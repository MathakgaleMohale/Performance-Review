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sosimpleenergy.sharepoint.com/Shared Documents/01. Sosimple Team Drive/05. Operations/09. System Performance/05. Performance Report/"/>
    </mc:Choice>
  </mc:AlternateContent>
  <xr:revisionPtr revIDLastSave="4495" documentId="13_ncr:1_{8CCFD1E3-719E-4C10-96BD-950107C648A6}" xr6:coauthVersionLast="47" xr6:coauthVersionMax="47" xr10:uidLastSave="{906FB87C-FD38-4FE1-9665-94457DE9974C}"/>
  <bookViews>
    <workbookView xWindow="-108" yWindow="-108" windowWidth="23256" windowHeight="12456" tabRatio="746" xr2:uid="{00000000-000D-0000-FFFF-FFFF00000000}"/>
  </bookViews>
  <sheets>
    <sheet name="site_tech_info" sheetId="1" r:id="rId1"/>
    <sheet name="Simulated Production" sheetId="4" r:id="rId2"/>
    <sheet name="OG" sheetId="12" r:id="rId3"/>
    <sheet name="measured" sheetId="8" r:id="rId4"/>
    <sheet name="Expected Production" sheetId="6" r:id="rId5"/>
    <sheet name="expected_production" sheetId="7" r:id="rId6"/>
    <sheet name="performance" sheetId="9" r:id="rId7"/>
    <sheet name="Comments" sheetId="10" r:id="rId8"/>
    <sheet name="CountryList" sheetId="11" state="hidden" r:id="rId9"/>
  </sheets>
  <definedNames>
    <definedName name="AfricaCountries">CountryList!$A$1:$A$54</definedName>
    <definedName name="DegradationRate">expected_production!$J$1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66" i="7" l="1"/>
  <c r="G2665" i="7"/>
  <c r="G2664" i="7"/>
  <c r="G2663" i="7"/>
  <c r="G2662" i="7"/>
  <c r="G2661" i="7"/>
  <c r="G2660" i="7"/>
  <c r="G2659" i="7"/>
  <c r="G2658" i="7"/>
  <c r="G2657" i="7"/>
  <c r="G2656" i="7"/>
  <c r="G2655" i="7"/>
  <c r="G2654" i="7"/>
  <c r="G2653" i="7"/>
  <c r="G2652" i="7"/>
  <c r="G2651" i="7"/>
  <c r="G2650" i="7"/>
  <c r="G2649" i="7"/>
  <c r="G2648" i="7"/>
  <c r="G2647" i="7"/>
  <c r="G2646" i="7"/>
  <c r="G2645" i="7"/>
  <c r="G2644" i="7"/>
  <c r="G2643" i="7"/>
  <c r="G2642" i="7"/>
  <c r="G2641" i="7"/>
  <c r="G2640" i="7"/>
  <c r="G2639" i="7"/>
  <c r="G2638" i="7"/>
  <c r="G2637" i="7"/>
  <c r="G2636" i="7"/>
  <c r="G2635" i="7"/>
  <c r="G2634" i="7"/>
  <c r="G2633" i="7"/>
  <c r="G2632" i="7"/>
  <c r="G2631" i="7"/>
  <c r="D2780" i="7"/>
  <c r="E2780" i="7" s="1"/>
  <c r="F2780" i="7" s="1"/>
  <c r="D2779" i="7"/>
  <c r="E2779" i="7" s="1"/>
  <c r="F2779" i="7" s="1"/>
  <c r="D2778" i="7"/>
  <c r="E2778" i="7" s="1"/>
  <c r="F2778" i="7" s="1"/>
  <c r="D2777" i="7"/>
  <c r="E2777" i="7" s="1"/>
  <c r="F2777" i="7" s="1"/>
  <c r="D2776" i="7"/>
  <c r="E2776" i="7" s="1"/>
  <c r="F2776" i="7" s="1"/>
  <c r="D2775" i="7"/>
  <c r="E2775" i="7" s="1"/>
  <c r="F2775" i="7" s="1"/>
  <c r="D2774" i="7"/>
  <c r="E2774" i="7" s="1"/>
  <c r="F2774" i="7" s="1"/>
  <c r="D2773" i="7"/>
  <c r="E2773" i="7" s="1"/>
  <c r="F2773" i="7" s="1"/>
  <c r="D2772" i="7"/>
  <c r="E2772" i="7" s="1"/>
  <c r="F2772" i="7" s="1"/>
  <c r="D2771" i="7"/>
  <c r="E2771" i="7" s="1"/>
  <c r="F2771" i="7" s="1"/>
  <c r="D2770" i="7"/>
  <c r="E2770" i="7" s="1"/>
  <c r="F2770" i="7" s="1"/>
  <c r="D2769" i="7"/>
  <c r="E2769" i="7" s="1"/>
  <c r="F2769" i="7" s="1"/>
  <c r="D2768" i="7"/>
  <c r="E2768" i="7" s="1"/>
  <c r="F2768" i="7" s="1"/>
  <c r="D2767" i="7"/>
  <c r="E2767" i="7" s="1"/>
  <c r="F2767" i="7" s="1"/>
  <c r="D2766" i="7"/>
  <c r="E2766" i="7" s="1"/>
  <c r="F2766" i="7" s="1"/>
  <c r="D2765" i="7"/>
  <c r="E2765" i="7" s="1"/>
  <c r="F2765" i="7" s="1"/>
  <c r="D2764" i="7"/>
  <c r="E2764" i="7" s="1"/>
  <c r="F2764" i="7" s="1"/>
  <c r="D2763" i="7"/>
  <c r="E2763" i="7" s="1"/>
  <c r="F2763" i="7" s="1"/>
  <c r="D2762" i="7"/>
  <c r="E2762" i="7" s="1"/>
  <c r="F2762" i="7" s="1"/>
  <c r="D2761" i="7"/>
  <c r="E2761" i="7" s="1"/>
  <c r="F2761" i="7" s="1"/>
  <c r="D2760" i="7"/>
  <c r="E2760" i="7" s="1"/>
  <c r="F2760" i="7" s="1"/>
  <c r="D2759" i="7"/>
  <c r="E2759" i="7" s="1"/>
  <c r="F2759" i="7" s="1"/>
  <c r="D2758" i="7"/>
  <c r="E2758" i="7" s="1"/>
  <c r="F2758" i="7" s="1"/>
  <c r="D2757" i="7"/>
  <c r="E2757" i="7" s="1"/>
  <c r="F2757" i="7" s="1"/>
  <c r="D2756" i="7"/>
  <c r="E2756" i="7" s="1"/>
  <c r="F2756" i="7" s="1"/>
  <c r="D2755" i="7"/>
  <c r="E2755" i="7" s="1"/>
  <c r="F2755" i="7" s="1"/>
  <c r="D2754" i="7"/>
  <c r="E2754" i="7" s="1"/>
  <c r="F2754" i="7" s="1"/>
  <c r="D2753" i="7"/>
  <c r="E2753" i="7" s="1"/>
  <c r="F2753" i="7" s="1"/>
  <c r="D2752" i="7"/>
  <c r="E2752" i="7" s="1"/>
  <c r="F2752" i="7" s="1"/>
  <c r="D2751" i="7"/>
  <c r="E2751" i="7" s="1"/>
  <c r="F2751" i="7" s="1"/>
  <c r="D2750" i="7"/>
  <c r="E2750" i="7" s="1"/>
  <c r="F2750" i="7" s="1"/>
  <c r="D2749" i="7"/>
  <c r="E2749" i="7" s="1"/>
  <c r="F2749" i="7" s="1"/>
  <c r="D2748" i="7"/>
  <c r="E2748" i="7" s="1"/>
  <c r="F2748" i="7" s="1"/>
  <c r="D2747" i="7"/>
  <c r="E2747" i="7" s="1"/>
  <c r="F2747" i="7" s="1"/>
  <c r="D2746" i="7"/>
  <c r="E2746" i="7" s="1"/>
  <c r="F2746" i="7" s="1"/>
  <c r="D2745" i="7"/>
  <c r="E2745" i="7" s="1"/>
  <c r="F2745" i="7" s="1"/>
  <c r="D2744" i="7"/>
  <c r="E2744" i="7" s="1"/>
  <c r="F2744" i="7" s="1"/>
  <c r="D2743" i="7"/>
  <c r="E2743" i="7" s="1"/>
  <c r="F2743" i="7" s="1"/>
  <c r="D2742" i="7"/>
  <c r="E2742" i="7" s="1"/>
  <c r="F2742" i="7" s="1"/>
  <c r="D2741" i="7"/>
  <c r="E2741" i="7" s="1"/>
  <c r="F2741" i="7" s="1"/>
  <c r="D2740" i="7"/>
  <c r="E2740" i="7" s="1"/>
  <c r="F2740" i="7" s="1"/>
  <c r="D2739" i="7"/>
  <c r="E2739" i="7" s="1"/>
  <c r="F2739" i="7" s="1"/>
  <c r="D2738" i="7"/>
  <c r="E2738" i="7" s="1"/>
  <c r="F2738" i="7" s="1"/>
  <c r="D2737" i="7"/>
  <c r="E2737" i="7" s="1"/>
  <c r="F2737" i="7" s="1"/>
  <c r="D2736" i="7"/>
  <c r="E2736" i="7" s="1"/>
  <c r="F2736" i="7" s="1"/>
  <c r="D2735" i="7"/>
  <c r="E2735" i="7" s="1"/>
  <c r="F2735" i="7" s="1"/>
  <c r="D2734" i="7"/>
  <c r="E2734" i="7" s="1"/>
  <c r="F2734" i="7" s="1"/>
  <c r="D2733" i="7"/>
  <c r="E2733" i="7" s="1"/>
  <c r="F2733" i="7" s="1"/>
  <c r="D2732" i="7"/>
  <c r="E2732" i="7" s="1"/>
  <c r="F2732" i="7" s="1"/>
  <c r="D2731" i="7"/>
  <c r="E2731" i="7" s="1"/>
  <c r="F2731" i="7" s="1"/>
  <c r="D2730" i="7"/>
  <c r="E2730" i="7" s="1"/>
  <c r="F2730" i="7" s="1"/>
  <c r="D2729" i="7"/>
  <c r="E2729" i="7" s="1"/>
  <c r="F2729" i="7" s="1"/>
  <c r="D2728" i="7"/>
  <c r="E2728" i="7" s="1"/>
  <c r="F2728" i="7" s="1"/>
  <c r="D2727" i="7"/>
  <c r="E2727" i="7" s="1"/>
  <c r="F2727" i="7" s="1"/>
  <c r="D2726" i="7"/>
  <c r="E2726" i="7" s="1"/>
  <c r="F2726" i="7" s="1"/>
  <c r="D2725" i="7"/>
  <c r="E2725" i="7" s="1"/>
  <c r="F2725" i="7" s="1"/>
  <c r="D2724" i="7"/>
  <c r="E2724" i="7" s="1"/>
  <c r="F2724" i="7" s="1"/>
  <c r="D2723" i="7"/>
  <c r="E2723" i="7" s="1"/>
  <c r="F2723" i="7" s="1"/>
  <c r="D2722" i="7"/>
  <c r="E2722" i="7" s="1"/>
  <c r="F2722" i="7" s="1"/>
  <c r="D2721" i="7"/>
  <c r="E2721" i="7" s="1"/>
  <c r="F2721" i="7" s="1"/>
  <c r="D2720" i="7"/>
  <c r="E2720" i="7" s="1"/>
  <c r="F2720" i="7" s="1"/>
  <c r="D2719" i="7"/>
  <c r="E2719" i="7" s="1"/>
  <c r="F2719" i="7" s="1"/>
  <c r="D2718" i="7"/>
  <c r="E2718" i="7" s="1"/>
  <c r="F2718" i="7" s="1"/>
  <c r="D2717" i="7"/>
  <c r="E2717" i="7" s="1"/>
  <c r="F2717" i="7" s="1"/>
  <c r="D2716" i="7"/>
  <c r="E2716" i="7" s="1"/>
  <c r="F2716" i="7" s="1"/>
  <c r="D2715" i="7"/>
  <c r="E2715" i="7" s="1"/>
  <c r="F2715" i="7" s="1"/>
  <c r="D2714" i="7"/>
  <c r="E2714" i="7" s="1"/>
  <c r="F2714" i="7" s="1"/>
  <c r="D2713" i="7"/>
  <c r="E2713" i="7" s="1"/>
  <c r="F2713" i="7" s="1"/>
  <c r="D2712" i="7"/>
  <c r="E2712" i="7" s="1"/>
  <c r="F2712" i="7" s="1"/>
  <c r="D2711" i="7"/>
  <c r="E2711" i="7" s="1"/>
  <c r="F2711" i="7" s="1"/>
  <c r="D2710" i="7"/>
  <c r="E2710" i="7" s="1"/>
  <c r="F2710" i="7" s="1"/>
  <c r="D2709" i="7"/>
  <c r="E2709" i="7" s="1"/>
  <c r="F2709" i="7" s="1"/>
  <c r="D2708" i="7"/>
  <c r="E2708" i="7" s="1"/>
  <c r="F2708" i="7" s="1"/>
  <c r="D2707" i="7"/>
  <c r="E2707" i="7" s="1"/>
  <c r="F2707" i="7" s="1"/>
  <c r="D2706" i="7"/>
  <c r="E2706" i="7" s="1"/>
  <c r="F2706" i="7" s="1"/>
  <c r="D2705" i="7"/>
  <c r="E2705" i="7" s="1"/>
  <c r="F2705" i="7" s="1"/>
  <c r="D2704" i="7"/>
  <c r="E2704" i="7" s="1"/>
  <c r="F2704" i="7" s="1"/>
  <c r="D2703" i="7"/>
  <c r="E2703" i="7" s="1"/>
  <c r="F2703" i="7" s="1"/>
  <c r="D2702" i="7"/>
  <c r="E2702" i="7" s="1"/>
  <c r="F2702" i="7" s="1"/>
  <c r="D2701" i="7"/>
  <c r="E2701" i="7" s="1"/>
  <c r="F2701" i="7" s="1"/>
  <c r="D2700" i="7"/>
  <c r="E2700" i="7" s="1"/>
  <c r="F2700" i="7" s="1"/>
  <c r="D2699" i="7"/>
  <c r="E2699" i="7" s="1"/>
  <c r="F2699" i="7" s="1"/>
  <c r="D2698" i="7"/>
  <c r="E2698" i="7" s="1"/>
  <c r="F2698" i="7" s="1"/>
  <c r="D2697" i="7"/>
  <c r="E2697" i="7" s="1"/>
  <c r="F2697" i="7" s="1"/>
  <c r="D2696" i="7"/>
  <c r="E2696" i="7" s="1"/>
  <c r="F2696" i="7" s="1"/>
  <c r="D2695" i="7"/>
  <c r="E2695" i="7" s="1"/>
  <c r="F2695" i="7" s="1"/>
  <c r="D2694" i="7"/>
  <c r="E2694" i="7" s="1"/>
  <c r="F2694" i="7" s="1"/>
  <c r="D2693" i="7"/>
  <c r="E2693" i="7" s="1"/>
  <c r="F2693" i="7" s="1"/>
  <c r="D2692" i="7"/>
  <c r="E2692" i="7" s="1"/>
  <c r="F2692" i="7" s="1"/>
  <c r="D2691" i="7"/>
  <c r="E2691" i="7" s="1"/>
  <c r="F2691" i="7" s="1"/>
  <c r="D2690" i="7"/>
  <c r="E2690" i="7" s="1"/>
  <c r="F2690" i="7" s="1"/>
  <c r="D2689" i="7"/>
  <c r="E2689" i="7" s="1"/>
  <c r="F2689" i="7" s="1"/>
  <c r="D2688" i="7"/>
  <c r="E2688" i="7" s="1"/>
  <c r="F2688" i="7" s="1"/>
  <c r="D2687" i="7"/>
  <c r="E2687" i="7" s="1"/>
  <c r="F2687" i="7" s="1"/>
  <c r="D2686" i="7"/>
  <c r="E2686" i="7" s="1"/>
  <c r="F2686" i="7" s="1"/>
  <c r="D2685" i="7"/>
  <c r="E2685" i="7" s="1"/>
  <c r="F2685" i="7" s="1"/>
  <c r="D2684" i="7"/>
  <c r="E2684" i="7" s="1"/>
  <c r="F2684" i="7" s="1"/>
  <c r="D2683" i="7"/>
  <c r="E2683" i="7" s="1"/>
  <c r="F2683" i="7" s="1"/>
  <c r="D2682" i="7"/>
  <c r="E2682" i="7" s="1"/>
  <c r="F2682" i="7" s="1"/>
  <c r="D2681" i="7"/>
  <c r="E2681" i="7" s="1"/>
  <c r="F2681" i="7" s="1"/>
  <c r="D2680" i="7"/>
  <c r="E2680" i="7" s="1"/>
  <c r="F2680" i="7" s="1"/>
  <c r="D2679" i="7"/>
  <c r="E2679" i="7" s="1"/>
  <c r="F2679" i="7" s="1"/>
  <c r="D2678" i="7"/>
  <c r="E2678" i="7" s="1"/>
  <c r="F2678" i="7" s="1"/>
  <c r="D2677" i="7"/>
  <c r="E2677" i="7" s="1"/>
  <c r="F2677" i="7" s="1"/>
  <c r="D2676" i="7"/>
  <c r="E2676" i="7" s="1"/>
  <c r="F2676" i="7" s="1"/>
  <c r="D2675" i="7"/>
  <c r="E2675" i="7" s="1"/>
  <c r="F2675" i="7" s="1"/>
  <c r="D2674" i="7"/>
  <c r="E2674" i="7" s="1"/>
  <c r="F2674" i="7" s="1"/>
  <c r="D2673" i="7"/>
  <c r="E2673" i="7" s="1"/>
  <c r="F2673" i="7" s="1"/>
  <c r="D2672" i="7"/>
  <c r="E2672" i="7" s="1"/>
  <c r="F2672" i="7" s="1"/>
  <c r="D2671" i="7"/>
  <c r="E2671" i="7" s="1"/>
  <c r="F2671" i="7" s="1"/>
  <c r="D2670" i="7"/>
  <c r="E2670" i="7" s="1"/>
  <c r="F2670" i="7" s="1"/>
  <c r="D2669" i="7"/>
  <c r="E2669" i="7" s="1"/>
  <c r="F2669" i="7" s="1"/>
  <c r="D2668" i="7"/>
  <c r="E2668" i="7" s="1"/>
  <c r="F2668" i="7" s="1"/>
  <c r="D2667" i="7"/>
  <c r="E2667" i="7" s="1"/>
  <c r="F2667" i="7" s="1"/>
  <c r="D2666" i="7"/>
  <c r="E2666" i="7" s="1"/>
  <c r="F2666" i="7" s="1"/>
  <c r="D2665" i="7"/>
  <c r="E2665" i="7" s="1"/>
  <c r="F2665" i="7" s="1"/>
  <c r="D2664" i="7"/>
  <c r="E2664" i="7" s="1"/>
  <c r="F2664" i="7" s="1"/>
  <c r="D2663" i="7"/>
  <c r="E2663" i="7" s="1"/>
  <c r="F2663" i="7" s="1"/>
  <c r="D2662" i="7"/>
  <c r="E2662" i="7" s="1"/>
  <c r="F2662" i="7" s="1"/>
  <c r="D2661" i="7"/>
  <c r="E2661" i="7" s="1"/>
  <c r="F2661" i="7" s="1"/>
  <c r="D2660" i="7"/>
  <c r="E2660" i="7" s="1"/>
  <c r="F2660" i="7" s="1"/>
  <c r="D2659" i="7"/>
  <c r="E2659" i="7" s="1"/>
  <c r="F2659" i="7" s="1"/>
  <c r="D2658" i="7"/>
  <c r="E2658" i="7" s="1"/>
  <c r="F2658" i="7" s="1"/>
  <c r="D2657" i="7"/>
  <c r="E2657" i="7" s="1"/>
  <c r="F2657" i="7" s="1"/>
  <c r="D2656" i="7"/>
  <c r="E2656" i="7" s="1"/>
  <c r="F2656" i="7" s="1"/>
  <c r="D2655" i="7"/>
  <c r="E2655" i="7" s="1"/>
  <c r="F2655" i="7" s="1"/>
  <c r="D2654" i="7"/>
  <c r="E2654" i="7" s="1"/>
  <c r="F2654" i="7" s="1"/>
  <c r="D2653" i="7"/>
  <c r="E2653" i="7" s="1"/>
  <c r="F2653" i="7" s="1"/>
  <c r="D2652" i="7"/>
  <c r="E2652" i="7" s="1"/>
  <c r="F2652" i="7" s="1"/>
  <c r="D2651" i="7"/>
  <c r="E2651" i="7" s="1"/>
  <c r="F2651" i="7" s="1"/>
  <c r="D2650" i="7"/>
  <c r="E2650" i="7" s="1"/>
  <c r="F2650" i="7" s="1"/>
  <c r="D2649" i="7"/>
  <c r="E2649" i="7" s="1"/>
  <c r="F2649" i="7" s="1"/>
  <c r="D2648" i="7"/>
  <c r="E2648" i="7" s="1"/>
  <c r="F2648" i="7" s="1"/>
  <c r="D2647" i="7"/>
  <c r="E2647" i="7" s="1"/>
  <c r="F2647" i="7" s="1"/>
  <c r="D2646" i="7"/>
  <c r="E2646" i="7" s="1"/>
  <c r="F2646" i="7" s="1"/>
  <c r="D2645" i="7"/>
  <c r="E2645" i="7" s="1"/>
  <c r="F2645" i="7" s="1"/>
  <c r="D2644" i="7"/>
  <c r="E2644" i="7" s="1"/>
  <c r="F2644" i="7" s="1"/>
  <c r="D2643" i="7"/>
  <c r="E2643" i="7" s="1"/>
  <c r="F2643" i="7" s="1"/>
  <c r="D2642" i="7"/>
  <c r="E2642" i="7" s="1"/>
  <c r="F2642" i="7" s="1"/>
  <c r="D2641" i="7"/>
  <c r="E2641" i="7" s="1"/>
  <c r="F2641" i="7" s="1"/>
  <c r="D2640" i="7"/>
  <c r="E2640" i="7" s="1"/>
  <c r="F2640" i="7" s="1"/>
  <c r="D2639" i="7"/>
  <c r="E2639" i="7" s="1"/>
  <c r="F2639" i="7" s="1"/>
  <c r="D2638" i="7"/>
  <c r="E2638" i="7" s="1"/>
  <c r="F2638" i="7" s="1"/>
  <c r="D2637" i="7"/>
  <c r="E2637" i="7" s="1"/>
  <c r="F2637" i="7" s="1"/>
  <c r="D2636" i="7"/>
  <c r="E2636" i="7" s="1"/>
  <c r="F2636" i="7" s="1"/>
  <c r="D2635" i="7"/>
  <c r="E2635" i="7" s="1"/>
  <c r="F2635" i="7" s="1"/>
  <c r="D2634" i="7"/>
  <c r="E2634" i="7" s="1"/>
  <c r="F2634" i="7" s="1"/>
  <c r="D2633" i="7"/>
  <c r="E2633" i="7" s="1"/>
  <c r="F2633" i="7" s="1"/>
  <c r="D2632" i="7"/>
  <c r="E2632" i="7" s="1"/>
  <c r="F2632" i="7" s="1"/>
  <c r="D2631" i="7"/>
  <c r="E2631" i="7" s="1"/>
  <c r="F2631" i="7" s="1"/>
  <c r="D2630" i="7"/>
  <c r="E2630" i="7" s="1"/>
  <c r="F2630" i="7" s="1"/>
  <c r="G2630" i="7" s="1"/>
  <c r="D2629" i="7"/>
  <c r="E2629" i="7" s="1"/>
  <c r="F2629" i="7" s="1"/>
  <c r="G2629" i="7" s="1"/>
  <c r="D2628" i="7"/>
  <c r="E2628" i="7" s="1"/>
  <c r="F2628" i="7" s="1"/>
  <c r="G2628" i="7" s="1"/>
  <c r="D2627" i="7"/>
  <c r="E2627" i="7" s="1"/>
  <c r="F2627" i="7" s="1"/>
  <c r="G2627" i="7" s="1"/>
  <c r="D2626" i="7"/>
  <c r="E2626" i="7" s="1"/>
  <c r="F2626" i="7" s="1"/>
  <c r="G2626" i="7" s="1"/>
  <c r="D2625" i="7"/>
  <c r="E2625" i="7" s="1"/>
  <c r="F2625" i="7" s="1"/>
  <c r="G2625" i="7" s="1"/>
  <c r="D2624" i="7"/>
  <c r="E2624" i="7" s="1"/>
  <c r="F2624" i="7" s="1"/>
  <c r="G2624" i="7" s="1"/>
  <c r="D2623" i="7"/>
  <c r="E2623" i="7" s="1"/>
  <c r="F2623" i="7" s="1"/>
  <c r="G2623" i="7" s="1"/>
  <c r="D2622" i="7"/>
  <c r="E2622" i="7" s="1"/>
  <c r="F2622" i="7" s="1"/>
  <c r="G2622" i="7" s="1"/>
  <c r="D2621" i="7"/>
  <c r="E2621" i="7" s="1"/>
  <c r="F2621" i="7" s="1"/>
  <c r="G2621" i="7" s="1"/>
  <c r="D2620" i="7"/>
  <c r="E2620" i="7" s="1"/>
  <c r="F2620" i="7" s="1"/>
  <c r="G2620" i="7" s="1"/>
  <c r="D2619" i="7"/>
  <c r="E2619" i="7" s="1"/>
  <c r="F2619" i="7" s="1"/>
  <c r="G2619" i="7" s="1"/>
  <c r="D2618" i="7"/>
  <c r="E2618" i="7" s="1"/>
  <c r="F2618" i="7" s="1"/>
  <c r="G2618" i="7" s="1"/>
  <c r="D2617" i="7"/>
  <c r="E2617" i="7" s="1"/>
  <c r="F2617" i="7" s="1"/>
  <c r="G2617" i="7" s="1"/>
  <c r="D2616" i="7"/>
  <c r="E2616" i="7" s="1"/>
  <c r="F2616" i="7" s="1"/>
  <c r="G2616" i="7" s="1"/>
  <c r="D2615" i="7"/>
  <c r="E2615" i="7" s="1"/>
  <c r="F2615" i="7" s="1"/>
  <c r="G2615" i="7" s="1"/>
  <c r="D2614" i="7"/>
  <c r="E2614" i="7" s="1"/>
  <c r="F2614" i="7" s="1"/>
  <c r="G2614" i="7" s="1"/>
  <c r="D2613" i="7"/>
  <c r="E2613" i="7" s="1"/>
  <c r="F2613" i="7" s="1"/>
  <c r="G2613" i="7" s="1"/>
  <c r="D2612" i="7"/>
  <c r="E2612" i="7" s="1"/>
  <c r="F2612" i="7" s="1"/>
  <c r="G2612" i="7" s="1"/>
  <c r="D2611" i="7"/>
  <c r="E2611" i="7" s="1"/>
  <c r="F2611" i="7" s="1"/>
  <c r="G2611" i="7" s="1"/>
  <c r="D2610" i="7"/>
  <c r="E2610" i="7" s="1"/>
  <c r="F2610" i="7" s="1"/>
  <c r="G2610" i="7" s="1"/>
  <c r="D2609" i="7"/>
  <c r="E2609" i="7" s="1"/>
  <c r="F2609" i="7" s="1"/>
  <c r="G2609" i="7" s="1"/>
  <c r="D2608" i="7"/>
  <c r="E2608" i="7" s="1"/>
  <c r="F2608" i="7" s="1"/>
  <c r="G2608" i="7" s="1"/>
  <c r="D2607" i="7"/>
  <c r="E2607" i="7" s="1"/>
  <c r="F2607" i="7" s="1"/>
  <c r="G2607" i="7" s="1"/>
  <c r="D2606" i="7"/>
  <c r="E2606" i="7" s="1"/>
  <c r="F2606" i="7" s="1"/>
  <c r="G2606" i="7" s="1"/>
  <c r="D2605" i="7"/>
  <c r="E2605" i="7" s="1"/>
  <c r="F2605" i="7" s="1"/>
  <c r="G2605" i="7" s="1"/>
  <c r="D2604" i="7"/>
  <c r="E2604" i="7" s="1"/>
  <c r="F2604" i="7" s="1"/>
  <c r="G2604" i="7" s="1"/>
  <c r="D2603" i="7"/>
  <c r="E2603" i="7" s="1"/>
  <c r="F2603" i="7" s="1"/>
  <c r="G2603" i="7" s="1"/>
  <c r="D2602" i="7"/>
  <c r="E2602" i="7" s="1"/>
  <c r="F2602" i="7" s="1"/>
  <c r="G2602" i="7" s="1"/>
  <c r="D2601" i="7"/>
  <c r="E2601" i="7" s="1"/>
  <c r="F2601" i="7" s="1"/>
  <c r="G2601" i="7" s="1"/>
  <c r="D2600" i="7"/>
  <c r="E2600" i="7" s="1"/>
  <c r="F2600" i="7" s="1"/>
  <c r="G2600" i="7" s="1"/>
  <c r="D2599" i="7"/>
  <c r="E2599" i="7" s="1"/>
  <c r="F2599" i="7" s="1"/>
  <c r="G2599" i="7" s="1"/>
  <c r="D2598" i="7"/>
  <c r="E2598" i="7" s="1"/>
  <c r="F2598" i="7" s="1"/>
  <c r="G2598" i="7" s="1"/>
  <c r="D2597" i="7"/>
  <c r="E2597" i="7" s="1"/>
  <c r="F2597" i="7" s="1"/>
  <c r="G2597" i="7" s="1"/>
  <c r="D2596" i="7"/>
  <c r="E2596" i="7" s="1"/>
  <c r="F2596" i="7" s="1"/>
  <c r="G2596" i="7" s="1"/>
  <c r="D2595" i="7"/>
  <c r="E2595" i="7" s="1"/>
  <c r="F2595" i="7" s="1"/>
  <c r="G2595" i="7" s="1"/>
  <c r="D2594" i="7"/>
  <c r="E2594" i="7" s="1"/>
  <c r="F2594" i="7" s="1"/>
  <c r="G2594" i="7" s="1"/>
  <c r="D2593" i="7"/>
  <c r="E2593" i="7" s="1"/>
  <c r="F2593" i="7" s="1"/>
  <c r="G2593" i="7" s="1"/>
  <c r="D2592" i="7"/>
  <c r="E2592" i="7" s="1"/>
  <c r="F2592" i="7" s="1"/>
  <c r="G2592" i="7" s="1"/>
  <c r="D2591" i="7"/>
  <c r="E2591" i="7" s="1"/>
  <c r="F2591" i="7" s="1"/>
  <c r="G2591" i="7" s="1"/>
  <c r="D2590" i="7"/>
  <c r="E2590" i="7" s="1"/>
  <c r="F2590" i="7" s="1"/>
  <c r="G2590" i="7" s="1"/>
  <c r="D2589" i="7"/>
  <c r="E2589" i="7" s="1"/>
  <c r="F2589" i="7" s="1"/>
  <c r="G2589" i="7" s="1"/>
  <c r="D2588" i="7"/>
  <c r="E2588" i="7" s="1"/>
  <c r="F2588" i="7" s="1"/>
  <c r="G2588" i="7" s="1"/>
  <c r="D2587" i="7"/>
  <c r="E2587" i="7" s="1"/>
  <c r="F2587" i="7" s="1"/>
  <c r="G2587" i="7" s="1"/>
  <c r="D2586" i="7"/>
  <c r="E2586" i="7" s="1"/>
  <c r="F2586" i="7" s="1"/>
  <c r="G2586" i="7" s="1"/>
  <c r="D2585" i="7"/>
  <c r="E2585" i="7" s="1"/>
  <c r="F2585" i="7" s="1"/>
  <c r="G2585" i="7" s="1"/>
  <c r="D2584" i="7"/>
  <c r="E2584" i="7" s="1"/>
  <c r="F2584" i="7" s="1"/>
  <c r="G2584" i="7" s="1"/>
  <c r="D2583" i="7"/>
  <c r="E2583" i="7" s="1"/>
  <c r="F2583" i="7" s="1"/>
  <c r="G2583" i="7" s="1"/>
  <c r="D2582" i="7"/>
  <c r="E2582" i="7" s="1"/>
  <c r="F2582" i="7" s="1"/>
  <c r="G2582" i="7" s="1"/>
  <c r="D2581" i="7"/>
  <c r="E2581" i="7" s="1"/>
  <c r="F2581" i="7" s="1"/>
  <c r="G2581" i="7" s="1"/>
  <c r="D2580" i="7"/>
  <c r="E2580" i="7" s="1"/>
  <c r="F2580" i="7" s="1"/>
  <c r="G2580" i="7" s="1"/>
  <c r="D2579" i="7"/>
  <c r="E2579" i="7" s="1"/>
  <c r="F2579" i="7" s="1"/>
  <c r="G2579" i="7" s="1"/>
  <c r="D2578" i="7"/>
  <c r="E2578" i="7" s="1"/>
  <c r="F2578" i="7" s="1"/>
  <c r="G2578" i="7" s="1"/>
  <c r="D2577" i="7"/>
  <c r="E2577" i="7" s="1"/>
  <c r="F2577" i="7" s="1"/>
  <c r="G2577" i="7" s="1"/>
  <c r="D2576" i="7"/>
  <c r="E2576" i="7" s="1"/>
  <c r="F2576" i="7" s="1"/>
  <c r="G2576" i="7" s="1"/>
  <c r="D2575" i="7"/>
  <c r="E2575" i="7" s="1"/>
  <c r="F2575" i="7" s="1"/>
  <c r="G2575" i="7" s="1"/>
  <c r="D2574" i="7"/>
  <c r="E2574" i="7" s="1"/>
  <c r="F2574" i="7" s="1"/>
  <c r="G2574" i="7" s="1"/>
  <c r="D2573" i="7"/>
  <c r="E2573" i="7" s="1"/>
  <c r="F2573" i="7" s="1"/>
  <c r="G2573" i="7" s="1"/>
  <c r="D2572" i="7"/>
  <c r="E2572" i="7" s="1"/>
  <c r="F2572" i="7" s="1"/>
  <c r="G2572" i="7" s="1"/>
  <c r="D2571" i="7"/>
  <c r="E2571" i="7" s="1"/>
  <c r="F2571" i="7" s="1"/>
  <c r="G2571" i="7" s="1"/>
  <c r="D2570" i="7"/>
  <c r="E2570" i="7" s="1"/>
  <c r="F2570" i="7" s="1"/>
  <c r="G2570" i="7" s="1"/>
  <c r="D2569" i="7"/>
  <c r="E2569" i="7" s="1"/>
  <c r="F2569" i="7" s="1"/>
  <c r="G2569" i="7" s="1"/>
  <c r="D2568" i="7"/>
  <c r="E2568" i="7" s="1"/>
  <c r="F2568" i="7" s="1"/>
  <c r="G2568" i="7" s="1"/>
  <c r="D2567" i="7"/>
  <c r="E2567" i="7" s="1"/>
  <c r="F2567" i="7" s="1"/>
  <c r="G2567" i="7" s="1"/>
  <c r="D2566" i="7"/>
  <c r="E2566" i="7" s="1"/>
  <c r="F2566" i="7" s="1"/>
  <c r="G2566" i="7" s="1"/>
  <c r="D2565" i="7"/>
  <c r="E2565" i="7" s="1"/>
  <c r="F2565" i="7" s="1"/>
  <c r="G2565" i="7" s="1"/>
  <c r="D2564" i="7"/>
  <c r="E2564" i="7" s="1"/>
  <c r="F2564" i="7" s="1"/>
  <c r="G2564" i="7" s="1"/>
  <c r="D2563" i="7"/>
  <c r="E2563" i="7" s="1"/>
  <c r="F2563" i="7" s="1"/>
  <c r="G2563" i="7" s="1"/>
  <c r="D2562" i="7"/>
  <c r="E2562" i="7" s="1"/>
  <c r="F2562" i="7" s="1"/>
  <c r="G2562" i="7" s="1"/>
  <c r="D2561" i="7"/>
  <c r="E2561" i="7" s="1"/>
  <c r="F2561" i="7" s="1"/>
  <c r="G2561" i="7" s="1"/>
  <c r="D2560" i="7"/>
  <c r="E2560" i="7" s="1"/>
  <c r="F2560" i="7" s="1"/>
  <c r="G2560" i="7" s="1"/>
  <c r="D2559" i="7"/>
  <c r="E2559" i="7" s="1"/>
  <c r="F2559" i="7" s="1"/>
  <c r="G2559" i="7" s="1"/>
  <c r="D2558" i="7"/>
  <c r="E2558" i="7" s="1"/>
  <c r="F2558" i="7" s="1"/>
  <c r="G2558" i="7" s="1"/>
  <c r="D2557" i="7"/>
  <c r="E2557" i="7" s="1"/>
  <c r="F2557" i="7" s="1"/>
  <c r="G2557" i="7" s="1"/>
  <c r="D2556" i="7"/>
  <c r="E2556" i="7" s="1"/>
  <c r="F2556" i="7" s="1"/>
  <c r="G2556" i="7" s="1"/>
  <c r="D2555" i="7"/>
  <c r="E2555" i="7" s="1"/>
  <c r="F2555" i="7" s="1"/>
  <c r="G2555" i="7" s="1"/>
  <c r="D2554" i="7"/>
  <c r="E2554" i="7" s="1"/>
  <c r="F2554" i="7" s="1"/>
  <c r="G2554" i="7" s="1"/>
  <c r="D2553" i="7"/>
  <c r="E2553" i="7" s="1"/>
  <c r="F2553" i="7" s="1"/>
  <c r="G2553" i="7" s="1"/>
  <c r="D2552" i="7"/>
  <c r="E2552" i="7" s="1"/>
  <c r="F2552" i="7" s="1"/>
  <c r="G2552" i="7" s="1"/>
  <c r="D2551" i="7"/>
  <c r="E2551" i="7" s="1"/>
  <c r="F2551" i="7" s="1"/>
  <c r="G2551" i="7" s="1"/>
  <c r="D2550" i="7"/>
  <c r="E2550" i="7" s="1"/>
  <c r="F2550" i="7" s="1"/>
  <c r="G2550" i="7" s="1"/>
  <c r="D2549" i="7"/>
  <c r="E2549" i="7" s="1"/>
  <c r="F2549" i="7" s="1"/>
  <c r="G2549" i="7" s="1"/>
  <c r="D2548" i="7"/>
  <c r="E2548" i="7" s="1"/>
  <c r="F2548" i="7" s="1"/>
  <c r="G2548" i="7" s="1"/>
  <c r="D2547" i="7"/>
  <c r="E2547" i="7" s="1"/>
  <c r="F2547" i="7" s="1"/>
  <c r="G2547" i="7" s="1"/>
  <c r="D2546" i="7"/>
  <c r="E2546" i="7" s="1"/>
  <c r="F2546" i="7" s="1"/>
  <c r="G2546" i="7" s="1"/>
  <c r="D2545" i="7"/>
  <c r="E2545" i="7" s="1"/>
  <c r="F2545" i="7" s="1"/>
  <c r="G2545" i="7" s="1"/>
  <c r="D2544" i="7"/>
  <c r="E2544" i="7" s="1"/>
  <c r="F2544" i="7" s="1"/>
  <c r="G2544" i="7" s="1"/>
  <c r="D2543" i="7"/>
  <c r="E2543" i="7" s="1"/>
  <c r="F2543" i="7" s="1"/>
  <c r="G2543" i="7" s="1"/>
  <c r="D2542" i="7"/>
  <c r="E2542" i="7" s="1"/>
  <c r="F2542" i="7" s="1"/>
  <c r="G2542" i="7" s="1"/>
  <c r="D2541" i="7"/>
  <c r="E2541" i="7" s="1"/>
  <c r="F2541" i="7" s="1"/>
  <c r="G2541" i="7" s="1"/>
  <c r="D2540" i="7"/>
  <c r="E2540" i="7" s="1"/>
  <c r="F2540" i="7" s="1"/>
  <c r="G2540" i="7" s="1"/>
  <c r="D2539" i="7"/>
  <c r="E2539" i="7" s="1"/>
  <c r="F2539" i="7" s="1"/>
  <c r="G2539" i="7" s="1"/>
  <c r="D2538" i="7"/>
  <c r="E2538" i="7" s="1"/>
  <c r="F2538" i="7" s="1"/>
  <c r="G2538" i="7" s="1"/>
  <c r="D2537" i="7"/>
  <c r="E2537" i="7" s="1"/>
  <c r="F2537" i="7" s="1"/>
  <c r="G2537" i="7" s="1"/>
  <c r="D2536" i="7"/>
  <c r="E2536" i="7" s="1"/>
  <c r="F2536" i="7" s="1"/>
  <c r="G2536" i="7" s="1"/>
  <c r="D2535" i="7"/>
  <c r="E2535" i="7" s="1"/>
  <c r="F2535" i="7" s="1"/>
  <c r="G2535" i="7" s="1"/>
  <c r="D2534" i="7"/>
  <c r="E2534" i="7" s="1"/>
  <c r="F2534" i="7" s="1"/>
  <c r="G2534" i="7" s="1"/>
  <c r="D2533" i="7"/>
  <c r="E2533" i="7" s="1"/>
  <c r="F2533" i="7" s="1"/>
  <c r="G2533" i="7" s="1"/>
  <c r="D2532" i="7"/>
  <c r="E2532" i="7" s="1"/>
  <c r="F2532" i="7" s="1"/>
  <c r="G2532" i="7" s="1"/>
  <c r="D2531" i="7"/>
  <c r="E2531" i="7" s="1"/>
  <c r="F2531" i="7" s="1"/>
  <c r="G2531" i="7" s="1"/>
  <c r="D2530" i="7"/>
  <c r="E2530" i="7" s="1"/>
  <c r="F2530" i="7" s="1"/>
  <c r="G2530" i="7" s="1"/>
  <c r="D2529" i="7"/>
  <c r="E2529" i="7" s="1"/>
  <c r="F2529" i="7" s="1"/>
  <c r="G2529" i="7" s="1"/>
  <c r="D2528" i="7"/>
  <c r="E2528" i="7" s="1"/>
  <c r="F2528" i="7" s="1"/>
  <c r="G2528" i="7" s="1"/>
  <c r="D2527" i="7"/>
  <c r="E2527" i="7" s="1"/>
  <c r="F2527" i="7" s="1"/>
  <c r="G2527" i="7" s="1"/>
  <c r="D2526" i="7"/>
  <c r="E2526" i="7" s="1"/>
  <c r="F2526" i="7" s="1"/>
  <c r="G2526" i="7" s="1"/>
  <c r="D2525" i="7"/>
  <c r="E2525" i="7" s="1"/>
  <c r="F2525" i="7" s="1"/>
  <c r="G2525" i="7" s="1"/>
  <c r="D2524" i="7"/>
  <c r="E2524" i="7" s="1"/>
  <c r="F2524" i="7" s="1"/>
  <c r="G2524" i="7" s="1"/>
  <c r="D2523" i="7"/>
  <c r="E2523" i="7" s="1"/>
  <c r="F2523" i="7" s="1"/>
  <c r="G2523" i="7" s="1"/>
  <c r="D2522" i="7"/>
  <c r="E2522" i="7" s="1"/>
  <c r="F2522" i="7" s="1"/>
  <c r="G2522" i="7" s="1"/>
  <c r="D2521" i="7"/>
  <c r="E2521" i="7" s="1"/>
  <c r="F2521" i="7" s="1"/>
  <c r="G2521" i="7" s="1"/>
  <c r="D2520" i="7"/>
  <c r="E2520" i="7" s="1"/>
  <c r="F2520" i="7" s="1"/>
  <c r="G2520" i="7" s="1"/>
  <c r="D2519" i="7"/>
  <c r="E2519" i="7" s="1"/>
  <c r="F2519" i="7" s="1"/>
  <c r="G2519" i="7" s="1"/>
  <c r="D2518" i="7"/>
  <c r="E2518" i="7" s="1"/>
  <c r="F2518" i="7" s="1"/>
  <c r="G2518" i="7" s="1"/>
  <c r="D2517" i="7"/>
  <c r="E2517" i="7" s="1"/>
  <c r="F2517" i="7" s="1"/>
  <c r="G2517" i="7" s="1"/>
  <c r="D2516" i="7"/>
  <c r="E2516" i="7" s="1"/>
  <c r="F2516" i="7" s="1"/>
  <c r="G2516" i="7" s="1"/>
  <c r="D2515" i="7"/>
  <c r="E2515" i="7" s="1"/>
  <c r="F2515" i="7" s="1"/>
  <c r="G2515" i="7" s="1"/>
  <c r="D2514" i="7"/>
  <c r="E2514" i="7" s="1"/>
  <c r="F2514" i="7" s="1"/>
  <c r="G2514" i="7" s="1"/>
  <c r="D2513" i="7"/>
  <c r="E2513" i="7" s="1"/>
  <c r="F2513" i="7" s="1"/>
  <c r="G2513" i="7" s="1"/>
  <c r="D2512" i="7"/>
  <c r="E2512" i="7" s="1"/>
  <c r="F2512" i="7" s="1"/>
  <c r="G2512" i="7" s="1"/>
  <c r="D2511" i="7"/>
  <c r="E2511" i="7" s="1"/>
  <c r="F2511" i="7" s="1"/>
  <c r="G2511" i="7" s="1"/>
  <c r="D2510" i="7"/>
  <c r="E2510" i="7" s="1"/>
  <c r="F2510" i="7" s="1"/>
  <c r="G2510" i="7" s="1"/>
  <c r="D2509" i="7"/>
  <c r="E2509" i="7" s="1"/>
  <c r="F2509" i="7" s="1"/>
  <c r="G2509" i="7" s="1"/>
  <c r="D2508" i="7"/>
  <c r="E2508" i="7" s="1"/>
  <c r="F2508" i="7" s="1"/>
  <c r="G2508" i="7" s="1"/>
  <c r="D2507" i="7"/>
  <c r="E2507" i="7" s="1"/>
  <c r="F2507" i="7" s="1"/>
  <c r="G2507" i="7" s="1"/>
  <c r="D2506" i="7"/>
  <c r="E2506" i="7" s="1"/>
  <c r="F2506" i="7" s="1"/>
  <c r="G2506" i="7" s="1"/>
  <c r="D2505" i="7"/>
  <c r="E2505" i="7" s="1"/>
  <c r="F2505" i="7" s="1"/>
  <c r="G2505" i="7" s="1"/>
  <c r="D2504" i="7"/>
  <c r="E2504" i="7" s="1"/>
  <c r="F2504" i="7" s="1"/>
  <c r="G2504" i="7" s="1"/>
  <c r="D2503" i="7"/>
  <c r="E2503" i="7" s="1"/>
  <c r="F2503" i="7" s="1"/>
  <c r="G2503" i="7" s="1"/>
  <c r="D2502" i="7"/>
  <c r="E2502" i="7" s="1"/>
  <c r="F2502" i="7" s="1"/>
  <c r="G2502" i="7" s="1"/>
  <c r="D2501" i="7"/>
  <c r="E2501" i="7" s="1"/>
  <c r="F2501" i="7" s="1"/>
  <c r="G2501" i="7" s="1"/>
  <c r="D2500" i="7"/>
  <c r="E2500" i="7" s="1"/>
  <c r="F2500" i="7" s="1"/>
  <c r="G2500" i="7" s="1"/>
  <c r="D2499" i="7"/>
  <c r="E2499" i="7" s="1"/>
  <c r="F2499" i="7" s="1"/>
  <c r="G2499" i="7" s="1"/>
  <c r="D2498" i="7"/>
  <c r="E2498" i="7" s="1"/>
  <c r="F2498" i="7" s="1"/>
  <c r="G2498" i="7" s="1"/>
  <c r="D2497" i="7"/>
  <c r="E2497" i="7" s="1"/>
  <c r="F2497" i="7" s="1"/>
  <c r="G2497" i="7" s="1"/>
  <c r="D2496" i="7"/>
  <c r="E2496" i="7" s="1"/>
  <c r="F2496" i="7" s="1"/>
  <c r="G2496" i="7" s="1"/>
  <c r="D2495" i="7"/>
  <c r="E2495" i="7" s="1"/>
  <c r="F2495" i="7" s="1"/>
  <c r="G2495" i="7" s="1"/>
  <c r="D2494" i="7"/>
  <c r="E2494" i="7" s="1"/>
  <c r="F2494" i="7" s="1"/>
  <c r="G2494" i="7" s="1"/>
  <c r="D2493" i="7"/>
  <c r="E2493" i="7" s="1"/>
  <c r="F2493" i="7" s="1"/>
  <c r="G2493" i="7" s="1"/>
  <c r="D2492" i="7"/>
  <c r="E2492" i="7" s="1"/>
  <c r="F2492" i="7" s="1"/>
  <c r="G2492" i="7" s="1"/>
  <c r="D2491" i="7"/>
  <c r="E2491" i="7" s="1"/>
  <c r="F2491" i="7" s="1"/>
  <c r="G2491" i="7" s="1"/>
  <c r="D2490" i="7"/>
  <c r="E2490" i="7" s="1"/>
  <c r="F2490" i="7" s="1"/>
  <c r="G2490" i="7" s="1"/>
  <c r="D2489" i="7"/>
  <c r="E2489" i="7" s="1"/>
  <c r="F2489" i="7" s="1"/>
  <c r="G2489" i="7" s="1"/>
  <c r="D2488" i="7"/>
  <c r="E2488" i="7" s="1"/>
  <c r="F2488" i="7" s="1"/>
  <c r="G2488" i="7" s="1"/>
  <c r="D2487" i="7"/>
  <c r="E2487" i="7" s="1"/>
  <c r="F2487" i="7" s="1"/>
  <c r="G2487" i="7" s="1"/>
  <c r="D2486" i="7"/>
  <c r="E2486" i="7" s="1"/>
  <c r="F2486" i="7" s="1"/>
  <c r="G2486" i="7" s="1"/>
  <c r="D2485" i="7"/>
  <c r="E2485" i="7" s="1"/>
  <c r="F2485" i="7" s="1"/>
  <c r="G2485" i="7" s="1"/>
  <c r="D2484" i="7"/>
  <c r="E2484" i="7" s="1"/>
  <c r="F2484" i="7" s="1"/>
  <c r="G2484" i="7" s="1"/>
  <c r="D2483" i="7"/>
  <c r="E2483" i="7" s="1"/>
  <c r="F2483" i="7" s="1"/>
  <c r="G2483" i="7" s="1"/>
  <c r="D2482" i="7"/>
  <c r="E2482" i="7" s="1"/>
  <c r="F2482" i="7" s="1"/>
  <c r="G2482" i="7" s="1"/>
  <c r="D2481" i="7"/>
  <c r="E2481" i="7" s="1"/>
  <c r="F2481" i="7" s="1"/>
  <c r="G2481" i="7" s="1"/>
  <c r="D2480" i="7"/>
  <c r="E2480" i="7" s="1"/>
  <c r="F2480" i="7" s="1"/>
  <c r="G2480" i="7" s="1"/>
  <c r="D2479" i="7"/>
  <c r="E2479" i="7" s="1"/>
  <c r="F2479" i="7" s="1"/>
  <c r="G2479" i="7" s="1"/>
  <c r="D2478" i="7"/>
  <c r="E2478" i="7" s="1"/>
  <c r="F2478" i="7" s="1"/>
  <c r="G2478" i="7" s="1"/>
  <c r="D2477" i="7"/>
  <c r="E2477" i="7" s="1"/>
  <c r="F2477" i="7" s="1"/>
  <c r="G2477" i="7" s="1"/>
  <c r="D2476" i="7"/>
  <c r="E2476" i="7" s="1"/>
  <c r="F2476" i="7" s="1"/>
  <c r="G2476" i="7" s="1"/>
  <c r="D2475" i="7"/>
  <c r="E2475" i="7" s="1"/>
  <c r="F2475" i="7" s="1"/>
  <c r="G2475" i="7" s="1"/>
  <c r="D2474" i="7"/>
  <c r="E2474" i="7" s="1"/>
  <c r="F2474" i="7" s="1"/>
  <c r="G2474" i="7" s="1"/>
  <c r="D2473" i="7"/>
  <c r="E2473" i="7" s="1"/>
  <c r="F2473" i="7" s="1"/>
  <c r="G2473" i="7" s="1"/>
  <c r="D2472" i="7"/>
  <c r="E2472" i="7" s="1"/>
  <c r="F2472" i="7" s="1"/>
  <c r="G2472" i="7" s="1"/>
  <c r="D2471" i="7"/>
  <c r="E2471" i="7" s="1"/>
  <c r="F2471" i="7" s="1"/>
  <c r="G2471" i="7" s="1"/>
  <c r="D2470" i="7"/>
  <c r="E2470" i="7" s="1"/>
  <c r="F2470" i="7" s="1"/>
  <c r="G2470" i="7" s="1"/>
  <c r="D2469" i="7"/>
  <c r="E2469" i="7" s="1"/>
  <c r="F2469" i="7" s="1"/>
  <c r="G2469" i="7" s="1"/>
  <c r="D2468" i="7"/>
  <c r="E2468" i="7" s="1"/>
  <c r="F2468" i="7" s="1"/>
  <c r="G2468" i="7" s="1"/>
  <c r="D2467" i="7"/>
  <c r="E2467" i="7" s="1"/>
  <c r="F2467" i="7" s="1"/>
  <c r="G2467" i="7" s="1"/>
  <c r="D2466" i="7"/>
  <c r="E2466" i="7" s="1"/>
  <c r="F2466" i="7" s="1"/>
  <c r="G2466" i="7" s="1"/>
  <c r="D2465" i="7"/>
  <c r="E2465" i="7" s="1"/>
  <c r="F2465" i="7" s="1"/>
  <c r="G2465" i="7" s="1"/>
  <c r="D2464" i="7"/>
  <c r="E2464" i="7" s="1"/>
  <c r="F2464" i="7" s="1"/>
  <c r="G2464" i="7" s="1"/>
  <c r="D2463" i="7"/>
  <c r="E2463" i="7" s="1"/>
  <c r="F2463" i="7" s="1"/>
  <c r="G2463" i="7" s="1"/>
  <c r="D2462" i="7"/>
  <c r="E2462" i="7" s="1"/>
  <c r="F2462" i="7" s="1"/>
  <c r="G2462" i="7" s="1"/>
  <c r="D2461" i="7"/>
  <c r="E2461" i="7" s="1"/>
  <c r="F2461" i="7" s="1"/>
  <c r="G2461" i="7" s="1"/>
  <c r="D2460" i="7"/>
  <c r="E2460" i="7" s="1"/>
  <c r="F2460" i="7" s="1"/>
  <c r="G2460" i="7" s="1"/>
  <c r="D2459" i="7"/>
  <c r="E2459" i="7" s="1"/>
  <c r="F2459" i="7" s="1"/>
  <c r="G2459" i="7" s="1"/>
  <c r="D2458" i="7"/>
  <c r="E2458" i="7" s="1"/>
  <c r="F2458" i="7" s="1"/>
  <c r="G2458" i="7" s="1"/>
  <c r="D2457" i="7"/>
  <c r="E2457" i="7" s="1"/>
  <c r="F2457" i="7" s="1"/>
  <c r="G2457" i="7" s="1"/>
  <c r="D2456" i="7"/>
  <c r="E2456" i="7" s="1"/>
  <c r="F2456" i="7" s="1"/>
  <c r="G2456" i="7" s="1"/>
  <c r="D2455" i="7"/>
  <c r="E2455" i="7" s="1"/>
  <c r="F2455" i="7" s="1"/>
  <c r="G2455" i="7" s="1"/>
  <c r="D2454" i="7"/>
  <c r="E2454" i="7" s="1"/>
  <c r="F2454" i="7" s="1"/>
  <c r="G2454" i="7" s="1"/>
  <c r="D2453" i="7"/>
  <c r="E2453" i="7" s="1"/>
  <c r="F2453" i="7" s="1"/>
  <c r="G2453" i="7" s="1"/>
  <c r="D2452" i="7"/>
  <c r="E2452" i="7" s="1"/>
  <c r="F2452" i="7" s="1"/>
  <c r="G2452" i="7" s="1"/>
  <c r="D2451" i="7"/>
  <c r="E2451" i="7" s="1"/>
  <c r="F2451" i="7" s="1"/>
  <c r="G2451" i="7" s="1"/>
  <c r="D2450" i="7"/>
  <c r="E2450" i="7" s="1"/>
  <c r="F2450" i="7" s="1"/>
  <c r="G2450" i="7" s="1"/>
  <c r="D2449" i="7"/>
  <c r="E2449" i="7" s="1"/>
  <c r="F2449" i="7" s="1"/>
  <c r="G2449" i="7" s="1"/>
  <c r="D2448" i="7"/>
  <c r="E2448" i="7" s="1"/>
  <c r="F2448" i="7" s="1"/>
  <c r="G2448" i="7" s="1"/>
  <c r="D2447" i="7"/>
  <c r="E2447" i="7" s="1"/>
  <c r="F2447" i="7" s="1"/>
  <c r="G2447" i="7" s="1"/>
  <c r="D2446" i="7"/>
  <c r="E2446" i="7" s="1"/>
  <c r="F2446" i="7" s="1"/>
  <c r="G2446" i="7" s="1"/>
  <c r="D2445" i="7"/>
  <c r="E2445" i="7" s="1"/>
  <c r="F2445" i="7" s="1"/>
  <c r="G2445" i="7" s="1"/>
  <c r="D2444" i="7"/>
  <c r="E2444" i="7" s="1"/>
  <c r="F2444" i="7" s="1"/>
  <c r="G2444" i="7" s="1"/>
  <c r="D2443" i="7"/>
  <c r="E2443" i="7" s="1"/>
  <c r="F2443" i="7" s="1"/>
  <c r="G2443" i="7" s="1"/>
  <c r="D2442" i="7"/>
  <c r="E2442" i="7" s="1"/>
  <c r="F2442" i="7" s="1"/>
  <c r="G2442" i="7" s="1"/>
  <c r="D2441" i="7"/>
  <c r="E2441" i="7" s="1"/>
  <c r="F2441" i="7" s="1"/>
  <c r="G2441" i="7" s="1"/>
  <c r="D2440" i="7"/>
  <c r="E2440" i="7" s="1"/>
  <c r="F2440" i="7" s="1"/>
  <c r="G2440" i="7" s="1"/>
  <c r="D2439" i="7"/>
  <c r="E2439" i="7" s="1"/>
  <c r="F2439" i="7" s="1"/>
  <c r="G2439" i="7" s="1"/>
  <c r="D2438" i="7"/>
  <c r="E2438" i="7" s="1"/>
  <c r="F2438" i="7" s="1"/>
  <c r="G2438" i="7" s="1"/>
  <c r="D2437" i="7"/>
  <c r="E2437" i="7" s="1"/>
  <c r="F2437" i="7" s="1"/>
  <c r="G2437" i="7" s="1"/>
  <c r="D2436" i="7"/>
  <c r="E2436" i="7" s="1"/>
  <c r="F2436" i="7" s="1"/>
  <c r="G2436" i="7" s="1"/>
  <c r="D2435" i="7"/>
  <c r="E2435" i="7" s="1"/>
  <c r="F2435" i="7" s="1"/>
  <c r="G2435" i="7" s="1"/>
  <c r="D2434" i="7"/>
  <c r="E2434" i="7" s="1"/>
  <c r="F2434" i="7" s="1"/>
  <c r="G2434" i="7" s="1"/>
  <c r="D2433" i="7"/>
  <c r="E2433" i="7" s="1"/>
  <c r="F2433" i="7" s="1"/>
  <c r="G2433" i="7" s="1"/>
  <c r="D2432" i="7"/>
  <c r="E2432" i="7" s="1"/>
  <c r="F2432" i="7" s="1"/>
  <c r="G2432" i="7" s="1"/>
  <c r="D2431" i="7"/>
  <c r="E2431" i="7" s="1"/>
  <c r="F2431" i="7" s="1"/>
  <c r="G2431" i="7" s="1"/>
  <c r="D2430" i="7"/>
  <c r="E2430" i="7" s="1"/>
  <c r="F2430" i="7" s="1"/>
  <c r="G2430" i="7" s="1"/>
  <c r="D2429" i="7"/>
  <c r="E2429" i="7" s="1"/>
  <c r="F2429" i="7" s="1"/>
  <c r="G2429" i="7" s="1"/>
  <c r="D2428" i="7"/>
  <c r="E2428" i="7" s="1"/>
  <c r="F2428" i="7" s="1"/>
  <c r="G2428" i="7" s="1"/>
  <c r="D2427" i="7"/>
  <c r="E2427" i="7" s="1"/>
  <c r="F2427" i="7" s="1"/>
  <c r="G2427" i="7" s="1"/>
  <c r="D2426" i="7"/>
  <c r="E2426" i="7" s="1"/>
  <c r="F2426" i="7" s="1"/>
  <c r="G2426" i="7" s="1"/>
  <c r="D2425" i="7"/>
  <c r="E2425" i="7" s="1"/>
  <c r="F2425" i="7" s="1"/>
  <c r="G2425" i="7" s="1"/>
  <c r="D2424" i="7"/>
  <c r="E2424" i="7" s="1"/>
  <c r="F2424" i="7" s="1"/>
  <c r="G2424" i="7" s="1"/>
  <c r="D2423" i="7"/>
  <c r="E2423" i="7" s="1"/>
  <c r="F2423" i="7" s="1"/>
  <c r="G2423" i="7" s="1"/>
  <c r="D2422" i="7"/>
  <c r="E2422" i="7" s="1"/>
  <c r="F2422" i="7" s="1"/>
  <c r="G2422" i="7" s="1"/>
  <c r="D2421" i="7"/>
  <c r="E2421" i="7" s="1"/>
  <c r="F2421" i="7" s="1"/>
  <c r="G2421" i="7" s="1"/>
  <c r="D2420" i="7"/>
  <c r="E2420" i="7" s="1"/>
  <c r="F2420" i="7" s="1"/>
  <c r="G2420" i="7" s="1"/>
  <c r="D2419" i="7"/>
  <c r="E2419" i="7" s="1"/>
  <c r="F2419" i="7" s="1"/>
  <c r="G2419" i="7" s="1"/>
  <c r="D2418" i="7"/>
  <c r="E2418" i="7" s="1"/>
  <c r="F2418" i="7" s="1"/>
  <c r="G2418" i="7" s="1"/>
  <c r="D2417" i="7"/>
  <c r="E2417" i="7" s="1"/>
  <c r="F2417" i="7" s="1"/>
  <c r="G2417" i="7" s="1"/>
  <c r="D2416" i="7"/>
  <c r="E2416" i="7" s="1"/>
  <c r="F2416" i="7" s="1"/>
  <c r="G2416" i="7" s="1"/>
  <c r="D2415" i="7"/>
  <c r="E2415" i="7" s="1"/>
  <c r="F2415" i="7" s="1"/>
  <c r="G2415" i="7" s="1"/>
  <c r="D2414" i="7"/>
  <c r="E2414" i="7" s="1"/>
  <c r="F2414" i="7" s="1"/>
  <c r="G2414" i="7" s="1"/>
  <c r="D2413" i="7"/>
  <c r="E2413" i="7" s="1"/>
  <c r="F2413" i="7" s="1"/>
  <c r="G2413" i="7" s="1"/>
  <c r="D2412" i="7"/>
  <c r="E2412" i="7" s="1"/>
  <c r="F2412" i="7" s="1"/>
  <c r="G2412" i="7" s="1"/>
  <c r="D2411" i="7"/>
  <c r="E2411" i="7" s="1"/>
  <c r="F2411" i="7" s="1"/>
  <c r="G2411" i="7" s="1"/>
  <c r="D2410" i="7"/>
  <c r="E2410" i="7" s="1"/>
  <c r="F2410" i="7" s="1"/>
  <c r="G2410" i="7" s="1"/>
  <c r="D2409" i="7"/>
  <c r="E2409" i="7" s="1"/>
  <c r="F2409" i="7" s="1"/>
  <c r="G2409" i="7" s="1"/>
  <c r="D2408" i="7"/>
  <c r="E2408" i="7" s="1"/>
  <c r="F2408" i="7" s="1"/>
  <c r="G2408" i="7" s="1"/>
  <c r="D2407" i="7"/>
  <c r="E2407" i="7" s="1"/>
  <c r="F2407" i="7" s="1"/>
  <c r="G2407" i="7" s="1"/>
  <c r="D2406" i="7"/>
  <c r="E2406" i="7" s="1"/>
  <c r="F2406" i="7" s="1"/>
  <c r="G2406" i="7" s="1"/>
  <c r="D2405" i="7"/>
  <c r="E2405" i="7" s="1"/>
  <c r="F2405" i="7" s="1"/>
  <c r="G2405" i="7" s="1"/>
  <c r="D2404" i="7"/>
  <c r="E2404" i="7" s="1"/>
  <c r="F2404" i="7" s="1"/>
  <c r="G2404" i="7" s="1"/>
  <c r="D2403" i="7"/>
  <c r="E2403" i="7" s="1"/>
  <c r="F2403" i="7" s="1"/>
  <c r="G2403" i="7" s="1"/>
  <c r="D2402" i="7"/>
  <c r="E2402" i="7" s="1"/>
  <c r="F2402" i="7" s="1"/>
  <c r="G2402" i="7" s="1"/>
  <c r="D2401" i="7"/>
  <c r="E2401" i="7" s="1"/>
  <c r="F2401" i="7" s="1"/>
  <c r="G2401" i="7" s="1"/>
  <c r="D2400" i="7"/>
  <c r="E2400" i="7" s="1"/>
  <c r="F2400" i="7" s="1"/>
  <c r="G2400" i="7" s="1"/>
  <c r="D2399" i="7"/>
  <c r="E2399" i="7" s="1"/>
  <c r="F2399" i="7" s="1"/>
  <c r="G2399" i="7" s="1"/>
  <c r="D2398" i="7"/>
  <c r="E2398" i="7" s="1"/>
  <c r="F2398" i="7" s="1"/>
  <c r="G2398" i="7" s="1"/>
  <c r="D2397" i="7"/>
  <c r="E2397" i="7" s="1"/>
  <c r="F2397" i="7" s="1"/>
  <c r="G2397" i="7" s="1"/>
  <c r="D2396" i="7"/>
  <c r="E2396" i="7" s="1"/>
  <c r="F2396" i="7" s="1"/>
  <c r="G2396" i="7" s="1"/>
  <c r="D2395" i="7"/>
  <c r="E2395" i="7" s="1"/>
  <c r="F2395" i="7" s="1"/>
  <c r="G2395" i="7" s="1"/>
  <c r="D2394" i="7"/>
  <c r="E2394" i="7" s="1"/>
  <c r="F2394" i="7" s="1"/>
  <c r="G2394" i="7" s="1"/>
  <c r="D2393" i="7"/>
  <c r="E2393" i="7" s="1"/>
  <c r="F2393" i="7" s="1"/>
  <c r="G2393" i="7" s="1"/>
  <c r="D2392" i="7"/>
  <c r="E2392" i="7" s="1"/>
  <c r="F2392" i="7" s="1"/>
  <c r="G2392" i="7" s="1"/>
  <c r="D2391" i="7"/>
  <c r="E2391" i="7" s="1"/>
  <c r="F2391" i="7" s="1"/>
  <c r="G2391" i="7" s="1"/>
  <c r="D2390" i="7"/>
  <c r="E2390" i="7" s="1"/>
  <c r="F2390" i="7" s="1"/>
  <c r="G2390" i="7" s="1"/>
  <c r="D2389" i="7"/>
  <c r="E2389" i="7" s="1"/>
  <c r="F2389" i="7" s="1"/>
  <c r="G2389" i="7" s="1"/>
  <c r="D2388" i="7"/>
  <c r="E2388" i="7" s="1"/>
  <c r="F2388" i="7" s="1"/>
  <c r="G2388" i="7" s="1"/>
  <c r="D2387" i="7"/>
  <c r="E2387" i="7" s="1"/>
  <c r="F2387" i="7" s="1"/>
  <c r="G2387" i="7" s="1"/>
  <c r="D2386" i="7"/>
  <c r="E2386" i="7" s="1"/>
  <c r="F2386" i="7" s="1"/>
  <c r="G2386" i="7" s="1"/>
  <c r="D2385" i="7"/>
  <c r="E2385" i="7" s="1"/>
  <c r="F2385" i="7" s="1"/>
  <c r="G2385" i="7" s="1"/>
  <c r="D2384" i="7"/>
  <c r="E2384" i="7" s="1"/>
  <c r="F2384" i="7" s="1"/>
  <c r="G2384" i="7" s="1"/>
  <c r="D2383" i="7"/>
  <c r="E2383" i="7" s="1"/>
  <c r="F2383" i="7" s="1"/>
  <c r="G2383" i="7" s="1"/>
  <c r="D2382" i="7"/>
  <c r="E2382" i="7" s="1"/>
  <c r="F2382" i="7" s="1"/>
  <c r="G2382" i="7" s="1"/>
  <c r="D2381" i="7"/>
  <c r="E2381" i="7" s="1"/>
  <c r="F2381" i="7" s="1"/>
  <c r="G2381" i="7" s="1"/>
  <c r="D2380" i="7"/>
  <c r="E2380" i="7" s="1"/>
  <c r="F2380" i="7" s="1"/>
  <c r="G2380" i="7" s="1"/>
  <c r="D2379" i="7"/>
  <c r="E2379" i="7" s="1"/>
  <c r="F2379" i="7" s="1"/>
  <c r="G2379" i="7" s="1"/>
  <c r="D2378" i="7"/>
  <c r="E2378" i="7" s="1"/>
  <c r="F2378" i="7" s="1"/>
  <c r="G2378" i="7" s="1"/>
  <c r="D2377" i="7"/>
  <c r="E2377" i="7" s="1"/>
  <c r="F2377" i="7" s="1"/>
  <c r="G2377" i="7" s="1"/>
  <c r="D2376" i="7"/>
  <c r="E2376" i="7" s="1"/>
  <c r="F2376" i="7" s="1"/>
  <c r="G2376" i="7" s="1"/>
  <c r="D2375" i="7"/>
  <c r="E2375" i="7" s="1"/>
  <c r="F2375" i="7" s="1"/>
  <c r="G2375" i="7" s="1"/>
  <c r="D2374" i="7"/>
  <c r="E2374" i="7" s="1"/>
  <c r="F2374" i="7" s="1"/>
  <c r="G2374" i="7" s="1"/>
  <c r="D2373" i="7"/>
  <c r="E2373" i="7" s="1"/>
  <c r="F2373" i="7" s="1"/>
  <c r="G2373" i="7" s="1"/>
  <c r="D2372" i="7"/>
  <c r="E2372" i="7" s="1"/>
  <c r="F2372" i="7" s="1"/>
  <c r="G2372" i="7" s="1"/>
  <c r="D2371" i="7"/>
  <c r="E2371" i="7" s="1"/>
  <c r="F2371" i="7" s="1"/>
  <c r="G2371" i="7" s="1"/>
  <c r="D2370" i="7"/>
  <c r="E2370" i="7" s="1"/>
  <c r="F2370" i="7" s="1"/>
  <c r="G2370" i="7" s="1"/>
  <c r="D2369" i="7"/>
  <c r="E2369" i="7" s="1"/>
  <c r="F2369" i="7" s="1"/>
  <c r="G2369" i="7" s="1"/>
  <c r="D2368" i="7"/>
  <c r="E2368" i="7" s="1"/>
  <c r="F2368" i="7" s="1"/>
  <c r="G2368" i="7" s="1"/>
  <c r="D2367" i="7"/>
  <c r="E2367" i="7" s="1"/>
  <c r="F2367" i="7" s="1"/>
  <c r="G2367" i="7" s="1"/>
  <c r="D2366" i="7"/>
  <c r="E2366" i="7" s="1"/>
  <c r="F2366" i="7" s="1"/>
  <c r="G2366" i="7" s="1"/>
  <c r="D2365" i="7"/>
  <c r="E2365" i="7" s="1"/>
  <c r="F2365" i="7" s="1"/>
  <c r="G2365" i="7" s="1"/>
  <c r="D2364" i="7"/>
  <c r="E2364" i="7" s="1"/>
  <c r="F2364" i="7" s="1"/>
  <c r="G2364" i="7" s="1"/>
  <c r="D2363" i="7"/>
  <c r="E2363" i="7" s="1"/>
  <c r="F2363" i="7" s="1"/>
  <c r="G2363" i="7" s="1"/>
  <c r="D2362" i="7"/>
  <c r="E2362" i="7" s="1"/>
  <c r="F2362" i="7" s="1"/>
  <c r="G2362" i="7" s="1"/>
  <c r="D2361" i="7"/>
  <c r="E2361" i="7" s="1"/>
  <c r="F2361" i="7" s="1"/>
  <c r="G2361" i="7" s="1"/>
  <c r="D2360" i="7"/>
  <c r="E2360" i="7" s="1"/>
  <c r="F2360" i="7" s="1"/>
  <c r="G2360" i="7" s="1"/>
  <c r="D2359" i="7"/>
  <c r="E2359" i="7" s="1"/>
  <c r="F2359" i="7" s="1"/>
  <c r="G2359" i="7" s="1"/>
  <c r="D2358" i="7"/>
  <c r="E2358" i="7" s="1"/>
  <c r="F2358" i="7" s="1"/>
  <c r="G2358" i="7" s="1"/>
  <c r="D2357" i="7"/>
  <c r="E2357" i="7" s="1"/>
  <c r="F2357" i="7" s="1"/>
  <c r="G2357" i="7" s="1"/>
  <c r="D2356" i="7"/>
  <c r="E2356" i="7" s="1"/>
  <c r="F2356" i="7" s="1"/>
  <c r="G2356" i="7" s="1"/>
  <c r="D2355" i="7"/>
  <c r="E2355" i="7" s="1"/>
  <c r="F2355" i="7" s="1"/>
  <c r="G2355" i="7" s="1"/>
  <c r="D2354" i="7"/>
  <c r="E2354" i="7" s="1"/>
  <c r="F2354" i="7" s="1"/>
  <c r="G2354" i="7" s="1"/>
  <c r="D2353" i="7"/>
  <c r="E2353" i="7" s="1"/>
  <c r="F2353" i="7" s="1"/>
  <c r="G2353" i="7" s="1"/>
  <c r="D2352" i="7"/>
  <c r="E2352" i="7" s="1"/>
  <c r="F2352" i="7" s="1"/>
  <c r="G2352" i="7" s="1"/>
  <c r="D2351" i="7"/>
  <c r="E2351" i="7" s="1"/>
  <c r="F2351" i="7" s="1"/>
  <c r="G2351" i="7" s="1"/>
  <c r="D2350" i="7"/>
  <c r="E2350" i="7" s="1"/>
  <c r="F2350" i="7" s="1"/>
  <c r="G2350" i="7" s="1"/>
  <c r="D2349" i="7"/>
  <c r="E2349" i="7" s="1"/>
  <c r="F2349" i="7" s="1"/>
  <c r="G2349" i="7" s="1"/>
  <c r="D2348" i="7"/>
  <c r="E2348" i="7" s="1"/>
  <c r="F2348" i="7" s="1"/>
  <c r="G2348" i="7" s="1"/>
  <c r="D2347" i="7"/>
  <c r="E2347" i="7" s="1"/>
  <c r="F2347" i="7" s="1"/>
  <c r="G2347" i="7" s="1"/>
  <c r="D2346" i="7"/>
  <c r="E2346" i="7" s="1"/>
  <c r="F2346" i="7" s="1"/>
  <c r="G2346" i="7" s="1"/>
  <c r="D2345" i="7"/>
  <c r="E2345" i="7" s="1"/>
  <c r="F2345" i="7" s="1"/>
  <c r="G2345" i="7" s="1"/>
  <c r="D2344" i="7"/>
  <c r="E2344" i="7" s="1"/>
  <c r="F2344" i="7" s="1"/>
  <c r="G2344" i="7" s="1"/>
  <c r="D2343" i="7"/>
  <c r="E2343" i="7" s="1"/>
  <c r="F2343" i="7" s="1"/>
  <c r="G2343" i="7" s="1"/>
  <c r="D2342" i="7"/>
  <c r="E2342" i="7" s="1"/>
  <c r="F2342" i="7" s="1"/>
  <c r="G2342" i="7" s="1"/>
  <c r="D2341" i="7"/>
  <c r="E2341" i="7" s="1"/>
  <c r="F2341" i="7" s="1"/>
  <c r="G2341" i="7" s="1"/>
  <c r="D2340" i="7"/>
  <c r="E2340" i="7" s="1"/>
  <c r="F2340" i="7" s="1"/>
  <c r="G2340" i="7" s="1"/>
  <c r="D2339" i="7"/>
  <c r="E2339" i="7" s="1"/>
  <c r="F2339" i="7" s="1"/>
  <c r="G2339" i="7" s="1"/>
  <c r="D2338" i="7"/>
  <c r="E2338" i="7" s="1"/>
  <c r="F2338" i="7" s="1"/>
  <c r="G2338" i="7" s="1"/>
  <c r="D2337" i="7"/>
  <c r="E2337" i="7" s="1"/>
  <c r="F2337" i="7" s="1"/>
  <c r="G2337" i="7" s="1"/>
  <c r="D2336" i="7"/>
  <c r="E2336" i="7" s="1"/>
  <c r="F2336" i="7" s="1"/>
  <c r="G2336" i="7" s="1"/>
  <c r="D2335" i="7"/>
  <c r="E2335" i="7" s="1"/>
  <c r="F2335" i="7" s="1"/>
  <c r="G2335" i="7" s="1"/>
  <c r="D2334" i="7"/>
  <c r="E2334" i="7" s="1"/>
  <c r="F2334" i="7" s="1"/>
  <c r="G2334" i="7" s="1"/>
  <c r="D2333" i="7"/>
  <c r="E2333" i="7" s="1"/>
  <c r="F2333" i="7" s="1"/>
  <c r="G2333" i="7" s="1"/>
  <c r="D2332" i="7"/>
  <c r="E2332" i="7" s="1"/>
  <c r="F2332" i="7" s="1"/>
  <c r="G2332" i="7" s="1"/>
  <c r="D2331" i="7"/>
  <c r="E2331" i="7" s="1"/>
  <c r="F2331" i="7" s="1"/>
  <c r="G2331" i="7" s="1"/>
  <c r="D2330" i="7"/>
  <c r="E2330" i="7" s="1"/>
  <c r="F2330" i="7" s="1"/>
  <c r="G2330" i="7" s="1"/>
  <c r="D2329" i="7"/>
  <c r="E2329" i="7" s="1"/>
  <c r="F2329" i="7" s="1"/>
  <c r="G2329" i="7" s="1"/>
  <c r="D2328" i="7"/>
  <c r="E2328" i="7" s="1"/>
  <c r="F2328" i="7" s="1"/>
  <c r="G2328" i="7" s="1"/>
  <c r="D2327" i="7"/>
  <c r="E2327" i="7" s="1"/>
  <c r="F2327" i="7" s="1"/>
  <c r="G2327" i="7" s="1"/>
  <c r="D2326" i="7"/>
  <c r="E2326" i="7" s="1"/>
  <c r="F2326" i="7" s="1"/>
  <c r="G2326" i="7" s="1"/>
  <c r="D2325" i="7"/>
  <c r="E2325" i="7" s="1"/>
  <c r="F2325" i="7" s="1"/>
  <c r="G2325" i="7" s="1"/>
  <c r="D2324" i="7"/>
  <c r="E2324" i="7" s="1"/>
  <c r="F2324" i="7" s="1"/>
  <c r="G2324" i="7" s="1"/>
  <c r="D2323" i="7"/>
  <c r="E2323" i="7" s="1"/>
  <c r="F2323" i="7" s="1"/>
  <c r="G2323" i="7" s="1"/>
  <c r="D2322" i="7"/>
  <c r="E2322" i="7" s="1"/>
  <c r="F2322" i="7" s="1"/>
  <c r="G2322" i="7" s="1"/>
  <c r="D2321" i="7"/>
  <c r="E2321" i="7" s="1"/>
  <c r="F2321" i="7" s="1"/>
  <c r="G2321" i="7" s="1"/>
  <c r="D2320" i="7"/>
  <c r="E2320" i="7" s="1"/>
  <c r="F2320" i="7" s="1"/>
  <c r="G2320" i="7" s="1"/>
  <c r="D2319" i="7"/>
  <c r="E2319" i="7" s="1"/>
  <c r="F2319" i="7" s="1"/>
  <c r="G2319" i="7" s="1"/>
  <c r="D2318" i="7"/>
  <c r="E2318" i="7" s="1"/>
  <c r="F2318" i="7" s="1"/>
  <c r="G2318" i="7" s="1"/>
  <c r="D2317" i="7"/>
  <c r="E2317" i="7" s="1"/>
  <c r="F2317" i="7" s="1"/>
  <c r="G2317" i="7" s="1"/>
  <c r="D2316" i="7"/>
  <c r="E2316" i="7" s="1"/>
  <c r="F2316" i="7" s="1"/>
  <c r="G2316" i="7" s="1"/>
  <c r="D2315" i="7"/>
  <c r="E2315" i="7" s="1"/>
  <c r="F2315" i="7" s="1"/>
  <c r="G2315" i="7" s="1"/>
  <c r="D2314" i="7"/>
  <c r="E2314" i="7" s="1"/>
  <c r="F2314" i="7" s="1"/>
  <c r="G2314" i="7" s="1"/>
  <c r="D2313" i="7"/>
  <c r="E2313" i="7" s="1"/>
  <c r="F2313" i="7" s="1"/>
  <c r="G2313" i="7" s="1"/>
  <c r="D2312" i="7"/>
  <c r="E2312" i="7" s="1"/>
  <c r="F2312" i="7" s="1"/>
  <c r="G2312" i="7" s="1"/>
  <c r="D2311" i="7"/>
  <c r="E2311" i="7" s="1"/>
  <c r="F2311" i="7" s="1"/>
  <c r="G2311" i="7" s="1"/>
  <c r="D2310" i="7"/>
  <c r="E2310" i="7" s="1"/>
  <c r="F2310" i="7" s="1"/>
  <c r="G2310" i="7" s="1"/>
  <c r="D2309" i="7"/>
  <c r="E2309" i="7" s="1"/>
  <c r="F2309" i="7" s="1"/>
  <c r="G2309" i="7" s="1"/>
  <c r="D2308" i="7"/>
  <c r="E2308" i="7" s="1"/>
  <c r="F2308" i="7" s="1"/>
  <c r="G2308" i="7" s="1"/>
  <c r="D2307" i="7"/>
  <c r="E2307" i="7" s="1"/>
  <c r="F2307" i="7" s="1"/>
  <c r="G2307" i="7" s="1"/>
  <c r="D2306" i="7"/>
  <c r="E2306" i="7" s="1"/>
  <c r="F2306" i="7" s="1"/>
  <c r="G2306" i="7" s="1"/>
  <c r="D2305" i="7"/>
  <c r="E2305" i="7" s="1"/>
  <c r="F2305" i="7" s="1"/>
  <c r="G2305" i="7" s="1"/>
  <c r="D2304" i="7"/>
  <c r="E2304" i="7" s="1"/>
  <c r="F2304" i="7" s="1"/>
  <c r="G2304" i="7" s="1"/>
  <c r="D2303" i="7"/>
  <c r="E2303" i="7" s="1"/>
  <c r="F2303" i="7" s="1"/>
  <c r="G2303" i="7" s="1"/>
  <c r="D2302" i="7"/>
  <c r="E2302" i="7" s="1"/>
  <c r="F2302" i="7" s="1"/>
  <c r="G2302" i="7" s="1"/>
  <c r="D2301" i="7"/>
  <c r="E2301" i="7" s="1"/>
  <c r="F2301" i="7" s="1"/>
  <c r="G2301" i="7" s="1"/>
  <c r="D2300" i="7"/>
  <c r="E2300" i="7" s="1"/>
  <c r="F2300" i="7" s="1"/>
  <c r="G2300" i="7" s="1"/>
  <c r="D2299" i="7"/>
  <c r="E2299" i="7" s="1"/>
  <c r="F2299" i="7" s="1"/>
  <c r="G2299" i="7" s="1"/>
  <c r="D2298" i="7"/>
  <c r="E2298" i="7" s="1"/>
  <c r="F2298" i="7" s="1"/>
  <c r="G2298" i="7" s="1"/>
  <c r="D2297" i="7"/>
  <c r="E2297" i="7" s="1"/>
  <c r="F2297" i="7" s="1"/>
  <c r="G2297" i="7" s="1"/>
  <c r="D2296" i="7"/>
  <c r="E2296" i="7" s="1"/>
  <c r="F2296" i="7" s="1"/>
  <c r="G2296" i="7" s="1"/>
  <c r="D2295" i="7"/>
  <c r="E2295" i="7" s="1"/>
  <c r="F2295" i="7" s="1"/>
  <c r="G2295" i="7" s="1"/>
  <c r="D2294" i="7"/>
  <c r="E2294" i="7" s="1"/>
  <c r="F2294" i="7" s="1"/>
  <c r="G2294" i="7" s="1"/>
  <c r="D2293" i="7"/>
  <c r="E2293" i="7" s="1"/>
  <c r="F2293" i="7" s="1"/>
  <c r="G2293" i="7" s="1"/>
  <c r="D2292" i="7"/>
  <c r="E2292" i="7" s="1"/>
  <c r="F2292" i="7" s="1"/>
  <c r="G2292" i="7" s="1"/>
  <c r="D2291" i="7"/>
  <c r="E2291" i="7" s="1"/>
  <c r="F2291" i="7" s="1"/>
  <c r="G2291" i="7" s="1"/>
  <c r="D2290" i="7"/>
  <c r="E2290" i="7" s="1"/>
  <c r="F2290" i="7" s="1"/>
  <c r="G2290" i="7" s="1"/>
  <c r="D2289" i="7"/>
  <c r="E2289" i="7" s="1"/>
  <c r="F2289" i="7" s="1"/>
  <c r="G2289" i="7" s="1"/>
  <c r="D2288" i="7"/>
  <c r="E2288" i="7" s="1"/>
  <c r="F2288" i="7" s="1"/>
  <c r="G2288" i="7" s="1"/>
  <c r="D2287" i="7"/>
  <c r="E2287" i="7" s="1"/>
  <c r="F2287" i="7" s="1"/>
  <c r="G2287" i="7" s="1"/>
  <c r="D2286" i="7"/>
  <c r="E2286" i="7" s="1"/>
  <c r="F2286" i="7" s="1"/>
  <c r="G2286" i="7" s="1"/>
  <c r="D2285" i="7"/>
  <c r="E2285" i="7" s="1"/>
  <c r="F2285" i="7" s="1"/>
  <c r="G2285" i="7" s="1"/>
  <c r="D2284" i="7"/>
  <c r="E2284" i="7" s="1"/>
  <c r="F2284" i="7" s="1"/>
  <c r="G2284" i="7" s="1"/>
  <c r="D2283" i="7"/>
  <c r="E2283" i="7" s="1"/>
  <c r="F2283" i="7" s="1"/>
  <c r="G2283" i="7" s="1"/>
  <c r="D2282" i="7"/>
  <c r="E2282" i="7" s="1"/>
  <c r="F2282" i="7" s="1"/>
  <c r="G2282" i="7" s="1"/>
  <c r="D2281" i="7"/>
  <c r="E2281" i="7" s="1"/>
  <c r="F2281" i="7" s="1"/>
  <c r="G2281" i="7" s="1"/>
  <c r="D2280" i="7"/>
  <c r="E2280" i="7" s="1"/>
  <c r="F2280" i="7" s="1"/>
  <c r="G2280" i="7" s="1"/>
  <c r="D2279" i="7"/>
  <c r="E2279" i="7" s="1"/>
  <c r="F2279" i="7" s="1"/>
  <c r="G2279" i="7" s="1"/>
  <c r="D2278" i="7"/>
  <c r="E2278" i="7" s="1"/>
  <c r="F2278" i="7" s="1"/>
  <c r="G2278" i="7" s="1"/>
  <c r="D2277" i="7"/>
  <c r="E2277" i="7" s="1"/>
  <c r="F2277" i="7" s="1"/>
  <c r="G2277" i="7" s="1"/>
  <c r="D2276" i="7"/>
  <c r="E2276" i="7" s="1"/>
  <c r="F2276" i="7" s="1"/>
  <c r="G2276" i="7" s="1"/>
  <c r="D2275" i="7"/>
  <c r="E2275" i="7" s="1"/>
  <c r="F2275" i="7" s="1"/>
  <c r="G2275" i="7" s="1"/>
  <c r="D2274" i="7"/>
  <c r="E2274" i="7" s="1"/>
  <c r="F2274" i="7" s="1"/>
  <c r="G2274" i="7" s="1"/>
  <c r="D2273" i="7"/>
  <c r="E2273" i="7" s="1"/>
  <c r="F2273" i="7" s="1"/>
  <c r="G2273" i="7" s="1"/>
  <c r="D2272" i="7"/>
  <c r="E2272" i="7" s="1"/>
  <c r="F2272" i="7" s="1"/>
  <c r="G2272" i="7" s="1"/>
  <c r="D2271" i="7"/>
  <c r="E2271" i="7" s="1"/>
  <c r="F2271" i="7" s="1"/>
  <c r="G2271" i="7" s="1"/>
  <c r="D2270" i="7"/>
  <c r="E2270" i="7" s="1"/>
  <c r="F2270" i="7" s="1"/>
  <c r="G2270" i="7" s="1"/>
  <c r="D2269" i="7"/>
  <c r="E2269" i="7" s="1"/>
  <c r="F2269" i="7" s="1"/>
  <c r="G2269" i="7" s="1"/>
  <c r="D2268" i="7"/>
  <c r="E2268" i="7" s="1"/>
  <c r="F2268" i="7" s="1"/>
  <c r="G2268" i="7" s="1"/>
  <c r="D2267" i="7"/>
  <c r="E2267" i="7" s="1"/>
  <c r="F2267" i="7" s="1"/>
  <c r="G2267" i="7" s="1"/>
  <c r="D2266" i="7"/>
  <c r="E2266" i="7" s="1"/>
  <c r="F2266" i="7" s="1"/>
  <c r="G2266" i="7" s="1"/>
  <c r="D2265" i="7"/>
  <c r="E2265" i="7" s="1"/>
  <c r="F2265" i="7" s="1"/>
  <c r="G2265" i="7" s="1"/>
  <c r="D2264" i="7"/>
  <c r="E2264" i="7" s="1"/>
  <c r="F2264" i="7" s="1"/>
  <c r="G2264" i="7" s="1"/>
  <c r="D2263" i="7"/>
  <c r="E2263" i="7" s="1"/>
  <c r="F2263" i="7" s="1"/>
  <c r="G2263" i="7" s="1"/>
  <c r="D2262" i="7"/>
  <c r="E2262" i="7" s="1"/>
  <c r="F2262" i="7" s="1"/>
  <c r="G2262" i="7" s="1"/>
  <c r="D2261" i="7"/>
  <c r="E2261" i="7" s="1"/>
  <c r="F2261" i="7" s="1"/>
  <c r="G2261" i="7" s="1"/>
  <c r="D2260" i="7"/>
  <c r="E2260" i="7" s="1"/>
  <c r="F2260" i="7" s="1"/>
  <c r="G2260" i="7" s="1"/>
  <c r="D2259" i="7"/>
  <c r="E2259" i="7" s="1"/>
  <c r="F2259" i="7" s="1"/>
  <c r="G2259" i="7" s="1"/>
  <c r="D2258" i="7"/>
  <c r="E2258" i="7" s="1"/>
  <c r="F2258" i="7" s="1"/>
  <c r="G2258" i="7" s="1"/>
  <c r="D2257" i="7"/>
  <c r="E2257" i="7" s="1"/>
  <c r="F2257" i="7" s="1"/>
  <c r="G2257" i="7" s="1"/>
  <c r="D2256" i="7"/>
  <c r="E2256" i="7" s="1"/>
  <c r="F2256" i="7" s="1"/>
  <c r="G2256" i="7" s="1"/>
  <c r="D2255" i="7"/>
  <c r="E2255" i="7" s="1"/>
  <c r="F2255" i="7" s="1"/>
  <c r="G2255" i="7" s="1"/>
  <c r="D2254" i="7"/>
  <c r="E2254" i="7" s="1"/>
  <c r="F2254" i="7" s="1"/>
  <c r="G2254" i="7" s="1"/>
  <c r="D2253" i="7"/>
  <c r="E2253" i="7" s="1"/>
  <c r="F2253" i="7" s="1"/>
  <c r="G2253" i="7" s="1"/>
  <c r="D2252" i="7"/>
  <c r="E2252" i="7" s="1"/>
  <c r="F2252" i="7" s="1"/>
  <c r="G2252" i="7" s="1"/>
  <c r="D2251" i="7"/>
  <c r="E2251" i="7" s="1"/>
  <c r="F2251" i="7" s="1"/>
  <c r="G2251" i="7" s="1"/>
  <c r="D2250" i="7"/>
  <c r="E2250" i="7" s="1"/>
  <c r="F2250" i="7" s="1"/>
  <c r="G2250" i="7" s="1"/>
  <c r="D2249" i="7"/>
  <c r="E2249" i="7" s="1"/>
  <c r="F2249" i="7" s="1"/>
  <c r="G2249" i="7" s="1"/>
  <c r="D2248" i="7"/>
  <c r="E2248" i="7" s="1"/>
  <c r="F2248" i="7" s="1"/>
  <c r="G2248" i="7" s="1"/>
  <c r="D2247" i="7"/>
  <c r="E2247" i="7" s="1"/>
  <c r="F2247" i="7" s="1"/>
  <c r="G2247" i="7" s="1"/>
  <c r="D2246" i="7"/>
  <c r="E2246" i="7" s="1"/>
  <c r="F2246" i="7" s="1"/>
  <c r="G2246" i="7" s="1"/>
  <c r="D2245" i="7"/>
  <c r="E2245" i="7" s="1"/>
  <c r="F2245" i="7" s="1"/>
  <c r="G2245" i="7" s="1"/>
  <c r="D2244" i="7"/>
  <c r="E2244" i="7" s="1"/>
  <c r="F2244" i="7" s="1"/>
  <c r="G2244" i="7" s="1"/>
  <c r="D2243" i="7"/>
  <c r="E2243" i="7" s="1"/>
  <c r="F2243" i="7" s="1"/>
  <c r="G2243" i="7" s="1"/>
  <c r="D2242" i="7"/>
  <c r="E2242" i="7" s="1"/>
  <c r="F2242" i="7" s="1"/>
  <c r="G2242" i="7" s="1"/>
  <c r="D2241" i="7"/>
  <c r="E2241" i="7" s="1"/>
  <c r="F2241" i="7" s="1"/>
  <c r="G2241" i="7" s="1"/>
  <c r="D2240" i="7"/>
  <c r="E2240" i="7" s="1"/>
  <c r="F2240" i="7" s="1"/>
  <c r="G2240" i="7" s="1"/>
  <c r="D2239" i="7"/>
  <c r="E2239" i="7" s="1"/>
  <c r="F2239" i="7" s="1"/>
  <c r="G2239" i="7" s="1"/>
  <c r="D2238" i="7"/>
  <c r="E2238" i="7" s="1"/>
  <c r="F2238" i="7" s="1"/>
  <c r="G2238" i="7" s="1"/>
  <c r="D2237" i="7"/>
  <c r="E2237" i="7" s="1"/>
  <c r="F2237" i="7" s="1"/>
  <c r="G2237" i="7" s="1"/>
  <c r="D2236" i="7"/>
  <c r="E2236" i="7" s="1"/>
  <c r="F2236" i="7" s="1"/>
  <c r="G2236" i="7" s="1"/>
  <c r="D2235" i="7"/>
  <c r="E2235" i="7" s="1"/>
  <c r="F2235" i="7" s="1"/>
  <c r="G2235" i="7" s="1"/>
  <c r="D2234" i="7"/>
  <c r="E2234" i="7" s="1"/>
  <c r="F2234" i="7" s="1"/>
  <c r="G2234" i="7" s="1"/>
  <c r="D2233" i="7"/>
  <c r="E2233" i="7" s="1"/>
  <c r="F2233" i="7" s="1"/>
  <c r="G2233" i="7" s="1"/>
  <c r="D2232" i="7"/>
  <c r="E2232" i="7" s="1"/>
  <c r="F2232" i="7" s="1"/>
  <c r="G2232" i="7" s="1"/>
  <c r="D2231" i="7"/>
  <c r="E2231" i="7" s="1"/>
  <c r="F2231" i="7" s="1"/>
  <c r="G2231" i="7" s="1"/>
  <c r="D2230" i="7"/>
  <c r="E2230" i="7" s="1"/>
  <c r="F2230" i="7" s="1"/>
  <c r="G2230" i="7" s="1"/>
  <c r="D2229" i="7"/>
  <c r="E2229" i="7" s="1"/>
  <c r="F2229" i="7" s="1"/>
  <c r="G2229" i="7" s="1"/>
  <c r="D2228" i="7"/>
  <c r="E2228" i="7" s="1"/>
  <c r="F2228" i="7" s="1"/>
  <c r="G2228" i="7" s="1"/>
  <c r="D2227" i="7"/>
  <c r="E2227" i="7" s="1"/>
  <c r="F2227" i="7" s="1"/>
  <c r="G2227" i="7" s="1"/>
  <c r="D2226" i="7"/>
  <c r="E2226" i="7" s="1"/>
  <c r="F2226" i="7" s="1"/>
  <c r="G2226" i="7" s="1"/>
  <c r="D2225" i="7"/>
  <c r="E2225" i="7" s="1"/>
  <c r="F2225" i="7" s="1"/>
  <c r="G2225" i="7" s="1"/>
  <c r="D2224" i="7"/>
  <c r="E2224" i="7" s="1"/>
  <c r="F2224" i="7" s="1"/>
  <c r="G2224" i="7" s="1"/>
  <c r="D2223" i="7"/>
  <c r="E2223" i="7" s="1"/>
  <c r="F2223" i="7" s="1"/>
  <c r="G2223" i="7" s="1"/>
  <c r="D2222" i="7"/>
  <c r="E2222" i="7" s="1"/>
  <c r="F2222" i="7" s="1"/>
  <c r="G2222" i="7" s="1"/>
  <c r="D2221" i="7"/>
  <c r="E2221" i="7" s="1"/>
  <c r="F2221" i="7" s="1"/>
  <c r="G2221" i="7" s="1"/>
  <c r="D2220" i="7"/>
  <c r="E2220" i="7" s="1"/>
  <c r="F2220" i="7" s="1"/>
  <c r="G2220" i="7" s="1"/>
  <c r="D2219" i="7"/>
  <c r="E2219" i="7" s="1"/>
  <c r="F2219" i="7" s="1"/>
  <c r="G2219" i="7" s="1"/>
  <c r="D2218" i="7"/>
  <c r="E2218" i="7" s="1"/>
  <c r="F2218" i="7" s="1"/>
  <c r="G2218" i="7" s="1"/>
  <c r="D2217" i="7"/>
  <c r="E2217" i="7" s="1"/>
  <c r="F2217" i="7" s="1"/>
  <c r="G2217" i="7" s="1"/>
  <c r="D2216" i="7"/>
  <c r="E2216" i="7" s="1"/>
  <c r="F2216" i="7" s="1"/>
  <c r="G2216" i="7" s="1"/>
  <c r="D2215" i="7"/>
  <c r="E2215" i="7" s="1"/>
  <c r="F2215" i="7" s="1"/>
  <c r="G2215" i="7" s="1"/>
  <c r="D2214" i="7"/>
  <c r="E2214" i="7" s="1"/>
  <c r="F2214" i="7" s="1"/>
  <c r="G2214" i="7" s="1"/>
  <c r="D2213" i="7"/>
  <c r="E2213" i="7" s="1"/>
  <c r="F2213" i="7" s="1"/>
  <c r="G2213" i="7" s="1"/>
  <c r="D2212" i="7"/>
  <c r="E2212" i="7" s="1"/>
  <c r="F2212" i="7" s="1"/>
  <c r="G2212" i="7" s="1"/>
  <c r="D2211" i="7"/>
  <c r="E2211" i="7" s="1"/>
  <c r="F2211" i="7" s="1"/>
  <c r="G2211" i="7" s="1"/>
  <c r="D2210" i="7"/>
  <c r="E2210" i="7" s="1"/>
  <c r="F2210" i="7" s="1"/>
  <c r="G2210" i="7" s="1"/>
  <c r="D2209" i="7"/>
  <c r="E2209" i="7" s="1"/>
  <c r="F2209" i="7" s="1"/>
  <c r="G2209" i="7" s="1"/>
  <c r="D2208" i="7"/>
  <c r="E2208" i="7" s="1"/>
  <c r="F2208" i="7" s="1"/>
  <c r="G2208" i="7" s="1"/>
  <c r="D2207" i="7"/>
  <c r="E2207" i="7" s="1"/>
  <c r="F2207" i="7" s="1"/>
  <c r="G2207" i="7" s="1"/>
  <c r="D2206" i="7"/>
  <c r="E2206" i="7" s="1"/>
  <c r="F2206" i="7" s="1"/>
  <c r="G2206" i="7" s="1"/>
  <c r="D2205" i="7"/>
  <c r="E2205" i="7" s="1"/>
  <c r="F2205" i="7" s="1"/>
  <c r="G2205" i="7" s="1"/>
  <c r="D2204" i="7"/>
  <c r="E2204" i="7" s="1"/>
  <c r="F2204" i="7" s="1"/>
  <c r="G2204" i="7" s="1"/>
  <c r="D2203" i="7"/>
  <c r="E2203" i="7" s="1"/>
  <c r="F2203" i="7" s="1"/>
  <c r="G2203" i="7" s="1"/>
  <c r="D2202" i="7"/>
  <c r="E2202" i="7" s="1"/>
  <c r="F2202" i="7" s="1"/>
  <c r="G2202" i="7" s="1"/>
  <c r="D2201" i="7"/>
  <c r="E2201" i="7" s="1"/>
  <c r="F2201" i="7" s="1"/>
  <c r="G2201" i="7" s="1"/>
  <c r="D2200" i="7"/>
  <c r="E2200" i="7" s="1"/>
  <c r="F2200" i="7" s="1"/>
  <c r="G2200" i="7" s="1"/>
  <c r="D2199" i="7"/>
  <c r="E2199" i="7" s="1"/>
  <c r="F2199" i="7" s="1"/>
  <c r="G2199" i="7" s="1"/>
  <c r="D2198" i="7"/>
  <c r="E2198" i="7" s="1"/>
  <c r="F2198" i="7" s="1"/>
  <c r="G2198" i="7" s="1"/>
  <c r="D2197" i="7"/>
  <c r="E2197" i="7" s="1"/>
  <c r="F2197" i="7" s="1"/>
  <c r="G2197" i="7" s="1"/>
  <c r="D2196" i="7"/>
  <c r="E2196" i="7" s="1"/>
  <c r="F2196" i="7" s="1"/>
  <c r="G2196" i="7" s="1"/>
  <c r="D2195" i="7"/>
  <c r="E2195" i="7" s="1"/>
  <c r="F2195" i="7" s="1"/>
  <c r="G2195" i="7" s="1"/>
  <c r="D2194" i="7"/>
  <c r="E2194" i="7" s="1"/>
  <c r="F2194" i="7" s="1"/>
  <c r="G2194" i="7" s="1"/>
  <c r="D2193" i="7"/>
  <c r="E2193" i="7" s="1"/>
  <c r="F2193" i="7" s="1"/>
  <c r="G2193" i="7" s="1"/>
  <c r="D2192" i="7"/>
  <c r="E2192" i="7" s="1"/>
  <c r="F2192" i="7" s="1"/>
  <c r="G2192" i="7" s="1"/>
  <c r="D2191" i="7"/>
  <c r="E2191" i="7" s="1"/>
  <c r="F2191" i="7" s="1"/>
  <c r="G2191" i="7" s="1"/>
  <c r="D2190" i="7"/>
  <c r="E2190" i="7" s="1"/>
  <c r="F2190" i="7" s="1"/>
  <c r="G2190" i="7" s="1"/>
  <c r="D2189" i="7"/>
  <c r="E2189" i="7" s="1"/>
  <c r="F2189" i="7" s="1"/>
  <c r="G2189" i="7" s="1"/>
  <c r="D2188" i="7"/>
  <c r="E2188" i="7" s="1"/>
  <c r="F2188" i="7" s="1"/>
  <c r="G2188" i="7" s="1"/>
  <c r="D2187" i="7"/>
  <c r="E2187" i="7" s="1"/>
  <c r="F2187" i="7" s="1"/>
  <c r="G2187" i="7" s="1"/>
  <c r="D2186" i="7"/>
  <c r="E2186" i="7" s="1"/>
  <c r="F2186" i="7" s="1"/>
  <c r="G2186" i="7" s="1"/>
  <c r="D2185" i="7"/>
  <c r="E2185" i="7" s="1"/>
  <c r="F2185" i="7" s="1"/>
  <c r="G2185" i="7" s="1"/>
  <c r="D2184" i="7"/>
  <c r="E2184" i="7" s="1"/>
  <c r="F2184" i="7" s="1"/>
  <c r="G2184" i="7" s="1"/>
  <c r="D2183" i="7"/>
  <c r="E2183" i="7" s="1"/>
  <c r="F2183" i="7" s="1"/>
  <c r="G2183" i="7" s="1"/>
  <c r="D2182" i="7"/>
  <c r="E2182" i="7" s="1"/>
  <c r="F2182" i="7" s="1"/>
  <c r="G2182" i="7" s="1"/>
  <c r="D2181" i="7"/>
  <c r="E2181" i="7" s="1"/>
  <c r="F2181" i="7" s="1"/>
  <c r="G2181" i="7" s="1"/>
  <c r="D2180" i="7"/>
  <c r="E2180" i="7" s="1"/>
  <c r="F2180" i="7" s="1"/>
  <c r="G2180" i="7" s="1"/>
  <c r="D2179" i="7"/>
  <c r="E2179" i="7" s="1"/>
  <c r="F2179" i="7" s="1"/>
  <c r="G2179" i="7" s="1"/>
  <c r="D2178" i="7"/>
  <c r="E2178" i="7" s="1"/>
  <c r="F2178" i="7" s="1"/>
  <c r="G2178" i="7" s="1"/>
  <c r="D2177" i="7"/>
  <c r="E2177" i="7" s="1"/>
  <c r="F2177" i="7" s="1"/>
  <c r="G2177" i="7" s="1"/>
  <c r="D2176" i="7"/>
  <c r="E2176" i="7" s="1"/>
  <c r="F2176" i="7" s="1"/>
  <c r="G2176" i="7" s="1"/>
  <c r="D2175" i="7"/>
  <c r="E2175" i="7" s="1"/>
  <c r="F2175" i="7" s="1"/>
  <c r="G2175" i="7" s="1"/>
  <c r="D2174" i="7"/>
  <c r="E2174" i="7" s="1"/>
  <c r="F2174" i="7" s="1"/>
  <c r="G2174" i="7" s="1"/>
  <c r="D2173" i="7"/>
  <c r="E2173" i="7" s="1"/>
  <c r="F2173" i="7" s="1"/>
  <c r="G2173" i="7" s="1"/>
  <c r="D2172" i="7"/>
  <c r="E2172" i="7" s="1"/>
  <c r="F2172" i="7" s="1"/>
  <c r="G2172" i="7" s="1"/>
  <c r="D2171" i="7"/>
  <c r="E2171" i="7" s="1"/>
  <c r="F2171" i="7" s="1"/>
  <c r="G2171" i="7" s="1"/>
  <c r="D2170" i="7"/>
  <c r="E2170" i="7" s="1"/>
  <c r="F2170" i="7" s="1"/>
  <c r="G2170" i="7" s="1"/>
  <c r="D2169" i="7"/>
  <c r="E2169" i="7" s="1"/>
  <c r="F2169" i="7" s="1"/>
  <c r="G2169" i="7" s="1"/>
  <c r="D2168" i="7"/>
  <c r="E2168" i="7" s="1"/>
  <c r="F2168" i="7" s="1"/>
  <c r="G2168" i="7" s="1"/>
  <c r="D2167" i="7"/>
  <c r="E2167" i="7" s="1"/>
  <c r="F2167" i="7" s="1"/>
  <c r="G2167" i="7" s="1"/>
  <c r="D2166" i="7"/>
  <c r="E2166" i="7" s="1"/>
  <c r="F2166" i="7" s="1"/>
  <c r="G2166" i="7" s="1"/>
  <c r="D2165" i="7"/>
  <c r="E2165" i="7" s="1"/>
  <c r="F2165" i="7" s="1"/>
  <c r="G2165" i="7" s="1"/>
  <c r="D2164" i="7"/>
  <c r="E2164" i="7" s="1"/>
  <c r="F2164" i="7" s="1"/>
  <c r="G2164" i="7" s="1"/>
  <c r="D2163" i="7"/>
  <c r="E2163" i="7" s="1"/>
  <c r="F2163" i="7" s="1"/>
  <c r="G2163" i="7" s="1"/>
  <c r="D2162" i="7"/>
  <c r="E2162" i="7" s="1"/>
  <c r="F2162" i="7" s="1"/>
  <c r="G2162" i="7" s="1"/>
  <c r="D2161" i="7"/>
  <c r="E2161" i="7" s="1"/>
  <c r="F2161" i="7" s="1"/>
  <c r="G2161" i="7" s="1"/>
  <c r="D2160" i="7"/>
  <c r="E2160" i="7" s="1"/>
  <c r="F2160" i="7" s="1"/>
  <c r="G2160" i="7" s="1"/>
  <c r="D2159" i="7"/>
  <c r="E2159" i="7" s="1"/>
  <c r="F2159" i="7" s="1"/>
  <c r="G2159" i="7" s="1"/>
  <c r="D2158" i="7"/>
  <c r="E2158" i="7" s="1"/>
  <c r="F2158" i="7" s="1"/>
  <c r="G2158" i="7" s="1"/>
  <c r="D2157" i="7"/>
  <c r="E2157" i="7" s="1"/>
  <c r="F2157" i="7" s="1"/>
  <c r="G2157" i="7" s="1"/>
  <c r="D2156" i="7"/>
  <c r="E2156" i="7" s="1"/>
  <c r="F2156" i="7" s="1"/>
  <c r="G2156" i="7" s="1"/>
  <c r="D2155" i="7"/>
  <c r="E2155" i="7" s="1"/>
  <c r="F2155" i="7" s="1"/>
  <c r="G2155" i="7" s="1"/>
  <c r="D2154" i="7"/>
  <c r="E2154" i="7" s="1"/>
  <c r="F2154" i="7" s="1"/>
  <c r="G2154" i="7" s="1"/>
  <c r="D2153" i="7"/>
  <c r="E2153" i="7" s="1"/>
  <c r="F2153" i="7" s="1"/>
  <c r="G2153" i="7" s="1"/>
  <c r="D2152" i="7"/>
  <c r="E2152" i="7" s="1"/>
  <c r="F2152" i="7" s="1"/>
  <c r="G2152" i="7" s="1"/>
  <c r="D2151" i="7"/>
  <c r="E2151" i="7" s="1"/>
  <c r="F2151" i="7" s="1"/>
  <c r="G2151" i="7" s="1"/>
  <c r="D2150" i="7"/>
  <c r="E2150" i="7" s="1"/>
  <c r="F2150" i="7" s="1"/>
  <c r="G2150" i="7" s="1"/>
  <c r="D2149" i="7"/>
  <c r="E2149" i="7" s="1"/>
  <c r="F2149" i="7" s="1"/>
  <c r="G2149" i="7" s="1"/>
  <c r="D2148" i="7"/>
  <c r="E2148" i="7" s="1"/>
  <c r="F2148" i="7" s="1"/>
  <c r="G2148" i="7" s="1"/>
  <c r="D2147" i="7"/>
  <c r="E2147" i="7" s="1"/>
  <c r="F2147" i="7" s="1"/>
  <c r="G2147" i="7" s="1"/>
  <c r="D2146" i="7"/>
  <c r="E2146" i="7" s="1"/>
  <c r="F2146" i="7" s="1"/>
  <c r="G2146" i="7" s="1"/>
  <c r="D2145" i="7"/>
  <c r="E2145" i="7" s="1"/>
  <c r="F2145" i="7" s="1"/>
  <c r="G2145" i="7" s="1"/>
  <c r="D2144" i="7"/>
  <c r="E2144" i="7" s="1"/>
  <c r="F2144" i="7" s="1"/>
  <c r="G2144" i="7" s="1"/>
  <c r="D2143" i="7"/>
  <c r="E2143" i="7" s="1"/>
  <c r="F2143" i="7" s="1"/>
  <c r="G2143" i="7" s="1"/>
  <c r="D2142" i="7"/>
  <c r="E2142" i="7" s="1"/>
  <c r="F2142" i="7" s="1"/>
  <c r="G2142" i="7" s="1"/>
  <c r="D2141" i="7"/>
  <c r="E2141" i="7" s="1"/>
  <c r="F2141" i="7" s="1"/>
  <c r="G2141" i="7" s="1"/>
  <c r="D2140" i="7"/>
  <c r="E2140" i="7" s="1"/>
  <c r="F2140" i="7" s="1"/>
  <c r="G2140" i="7" s="1"/>
  <c r="D2139" i="7"/>
  <c r="E2139" i="7" s="1"/>
  <c r="F2139" i="7" s="1"/>
  <c r="G2139" i="7" s="1"/>
  <c r="D2138" i="7"/>
  <c r="E2138" i="7" s="1"/>
  <c r="F2138" i="7" s="1"/>
  <c r="G2138" i="7" s="1"/>
  <c r="D2137" i="7"/>
  <c r="E2137" i="7" s="1"/>
  <c r="F2137" i="7" s="1"/>
  <c r="G2137" i="7" s="1"/>
  <c r="D2136" i="7"/>
  <c r="E2136" i="7" s="1"/>
  <c r="F2136" i="7" s="1"/>
  <c r="G2136" i="7" s="1"/>
  <c r="D2135" i="7"/>
  <c r="E2135" i="7" s="1"/>
  <c r="F2135" i="7" s="1"/>
  <c r="G2135" i="7" s="1"/>
  <c r="D2134" i="7"/>
  <c r="E2134" i="7" s="1"/>
  <c r="F2134" i="7" s="1"/>
  <c r="G2134" i="7" s="1"/>
  <c r="D2133" i="7"/>
  <c r="E2133" i="7" s="1"/>
  <c r="F2133" i="7" s="1"/>
  <c r="G2133" i="7" s="1"/>
  <c r="D2132" i="7"/>
  <c r="E2132" i="7" s="1"/>
  <c r="F2132" i="7" s="1"/>
  <c r="G2132" i="7" s="1"/>
  <c r="D2131" i="7"/>
  <c r="E2131" i="7" s="1"/>
  <c r="F2131" i="7" s="1"/>
  <c r="G2131" i="7" s="1"/>
  <c r="D2130" i="7"/>
  <c r="E2130" i="7" s="1"/>
  <c r="F2130" i="7" s="1"/>
  <c r="G2130" i="7" s="1"/>
  <c r="D2129" i="7"/>
  <c r="E2129" i="7" s="1"/>
  <c r="F2129" i="7" s="1"/>
  <c r="G2129" i="7" s="1"/>
  <c r="D2128" i="7"/>
  <c r="E2128" i="7" s="1"/>
  <c r="F2128" i="7" s="1"/>
  <c r="G2128" i="7" s="1"/>
  <c r="D2127" i="7"/>
  <c r="E2127" i="7" s="1"/>
  <c r="F2127" i="7" s="1"/>
  <c r="G2127" i="7" s="1"/>
  <c r="D2126" i="7"/>
  <c r="E2126" i="7" s="1"/>
  <c r="F2126" i="7" s="1"/>
  <c r="G2126" i="7" s="1"/>
  <c r="D2125" i="7"/>
  <c r="E2125" i="7" s="1"/>
  <c r="F2125" i="7" s="1"/>
  <c r="G2125" i="7" s="1"/>
  <c r="D2124" i="7"/>
  <c r="E2124" i="7" s="1"/>
  <c r="F2124" i="7" s="1"/>
  <c r="G2124" i="7" s="1"/>
  <c r="D2123" i="7"/>
  <c r="E2123" i="7" s="1"/>
  <c r="F2123" i="7" s="1"/>
  <c r="G2123" i="7" s="1"/>
  <c r="D2122" i="7"/>
  <c r="E2122" i="7" s="1"/>
  <c r="F2122" i="7" s="1"/>
  <c r="G2122" i="7" s="1"/>
  <c r="D2121" i="7"/>
  <c r="E2121" i="7" s="1"/>
  <c r="F2121" i="7" s="1"/>
  <c r="G2121" i="7" s="1"/>
  <c r="D2120" i="7"/>
  <c r="E2120" i="7" s="1"/>
  <c r="F2120" i="7" s="1"/>
  <c r="G2120" i="7" s="1"/>
  <c r="D2119" i="7"/>
  <c r="E2119" i="7" s="1"/>
  <c r="F2119" i="7" s="1"/>
  <c r="G2119" i="7" s="1"/>
  <c r="D2118" i="7"/>
  <c r="E2118" i="7" s="1"/>
  <c r="F2118" i="7" s="1"/>
  <c r="G2118" i="7" s="1"/>
  <c r="D2117" i="7"/>
  <c r="E2117" i="7" s="1"/>
  <c r="F2117" i="7" s="1"/>
  <c r="G2117" i="7" s="1"/>
  <c r="D2116" i="7"/>
  <c r="E2116" i="7" s="1"/>
  <c r="F2116" i="7" s="1"/>
  <c r="G2116" i="7" s="1"/>
  <c r="D2115" i="7"/>
  <c r="E2115" i="7" s="1"/>
  <c r="F2115" i="7" s="1"/>
  <c r="G2115" i="7" s="1"/>
  <c r="D2114" i="7"/>
  <c r="E2114" i="7" s="1"/>
  <c r="F2114" i="7" s="1"/>
  <c r="G2114" i="7" s="1"/>
  <c r="D2113" i="7"/>
  <c r="E2113" i="7" s="1"/>
  <c r="F2113" i="7" s="1"/>
  <c r="G2113" i="7" s="1"/>
  <c r="D2112" i="7"/>
  <c r="E2112" i="7" s="1"/>
  <c r="F2112" i="7" s="1"/>
  <c r="G2112" i="7" s="1"/>
  <c r="D2111" i="7"/>
  <c r="E2111" i="7" s="1"/>
  <c r="F2111" i="7" s="1"/>
  <c r="G2111" i="7" s="1"/>
  <c r="D2110" i="7"/>
  <c r="E2110" i="7" s="1"/>
  <c r="F2110" i="7" s="1"/>
  <c r="G2110" i="7" s="1"/>
  <c r="D2109" i="7"/>
  <c r="E2109" i="7" s="1"/>
  <c r="F2109" i="7" s="1"/>
  <c r="G2109" i="7" s="1"/>
  <c r="D2108" i="7"/>
  <c r="E2108" i="7" s="1"/>
  <c r="F2108" i="7" s="1"/>
  <c r="G2108" i="7" s="1"/>
  <c r="D2107" i="7"/>
  <c r="E2107" i="7" s="1"/>
  <c r="F2107" i="7" s="1"/>
  <c r="G2107" i="7" s="1"/>
  <c r="D2106" i="7"/>
  <c r="E2106" i="7" s="1"/>
  <c r="F2106" i="7" s="1"/>
  <c r="G2106" i="7" s="1"/>
  <c r="D2105" i="7"/>
  <c r="E2105" i="7" s="1"/>
  <c r="F2105" i="7" s="1"/>
  <c r="G2105" i="7" s="1"/>
  <c r="D2104" i="7"/>
  <c r="E2104" i="7" s="1"/>
  <c r="F2104" i="7" s="1"/>
  <c r="G2104" i="7" s="1"/>
  <c r="D2103" i="7"/>
  <c r="E2103" i="7" s="1"/>
  <c r="F2103" i="7" s="1"/>
  <c r="G2103" i="7" s="1"/>
  <c r="D2102" i="7"/>
  <c r="E2102" i="7" s="1"/>
  <c r="F2102" i="7" s="1"/>
  <c r="G2102" i="7" s="1"/>
  <c r="D2101" i="7"/>
  <c r="E2101" i="7" s="1"/>
  <c r="F2101" i="7" s="1"/>
  <c r="G2101" i="7" s="1"/>
  <c r="D2100" i="7"/>
  <c r="E2100" i="7" s="1"/>
  <c r="F2100" i="7" s="1"/>
  <c r="G2100" i="7" s="1"/>
  <c r="D2099" i="7"/>
  <c r="E2099" i="7" s="1"/>
  <c r="F2099" i="7" s="1"/>
  <c r="G2099" i="7" s="1"/>
  <c r="D2098" i="7"/>
  <c r="E2098" i="7" s="1"/>
  <c r="F2098" i="7" s="1"/>
  <c r="G2098" i="7" s="1"/>
  <c r="D2097" i="7"/>
  <c r="E2097" i="7" s="1"/>
  <c r="F2097" i="7" s="1"/>
  <c r="G2097" i="7" s="1"/>
  <c r="D2096" i="7"/>
  <c r="E2096" i="7" s="1"/>
  <c r="F2096" i="7" s="1"/>
  <c r="G2096" i="7" s="1"/>
  <c r="D2095" i="7"/>
  <c r="E2095" i="7" s="1"/>
  <c r="F2095" i="7" s="1"/>
  <c r="G2095" i="7" s="1"/>
  <c r="D2094" i="7"/>
  <c r="E2094" i="7" s="1"/>
  <c r="F2094" i="7" s="1"/>
  <c r="G2094" i="7" s="1"/>
  <c r="D2093" i="7"/>
  <c r="E2093" i="7" s="1"/>
  <c r="F2093" i="7" s="1"/>
  <c r="G2093" i="7" s="1"/>
  <c r="D2092" i="7"/>
  <c r="E2092" i="7" s="1"/>
  <c r="F2092" i="7" s="1"/>
  <c r="G2092" i="7" s="1"/>
  <c r="D2091" i="7"/>
  <c r="E2091" i="7" s="1"/>
  <c r="F2091" i="7" s="1"/>
  <c r="G2091" i="7" s="1"/>
  <c r="D2090" i="7"/>
  <c r="E2090" i="7" s="1"/>
  <c r="F2090" i="7" s="1"/>
  <c r="G2090" i="7" s="1"/>
  <c r="D2089" i="7"/>
  <c r="E2089" i="7" s="1"/>
  <c r="F2089" i="7" s="1"/>
  <c r="G2089" i="7" s="1"/>
  <c r="D2088" i="7"/>
  <c r="E2088" i="7" s="1"/>
  <c r="F2088" i="7" s="1"/>
  <c r="G2088" i="7" s="1"/>
  <c r="D2087" i="7"/>
  <c r="E2087" i="7" s="1"/>
  <c r="F2087" i="7" s="1"/>
  <c r="G2087" i="7" s="1"/>
  <c r="D2086" i="7"/>
  <c r="E2086" i="7" s="1"/>
  <c r="F2086" i="7" s="1"/>
  <c r="G2086" i="7" s="1"/>
  <c r="D2085" i="7"/>
  <c r="E2085" i="7" s="1"/>
  <c r="F2085" i="7" s="1"/>
  <c r="G2085" i="7" s="1"/>
  <c r="D2084" i="7"/>
  <c r="E2084" i="7" s="1"/>
  <c r="F2084" i="7" s="1"/>
  <c r="G2084" i="7" s="1"/>
  <c r="D2083" i="7"/>
  <c r="E2083" i="7" s="1"/>
  <c r="F2083" i="7" s="1"/>
  <c r="G2083" i="7" s="1"/>
  <c r="D2082" i="7"/>
  <c r="E2082" i="7" s="1"/>
  <c r="F2082" i="7" s="1"/>
  <c r="G2082" i="7" s="1"/>
  <c r="D2081" i="7"/>
  <c r="E2081" i="7" s="1"/>
  <c r="F2081" i="7" s="1"/>
  <c r="G2081" i="7" s="1"/>
  <c r="D2080" i="7"/>
  <c r="E2080" i="7" s="1"/>
  <c r="F2080" i="7" s="1"/>
  <c r="G2080" i="7" s="1"/>
  <c r="D2079" i="7"/>
  <c r="E2079" i="7" s="1"/>
  <c r="F2079" i="7" s="1"/>
  <c r="G2079" i="7" s="1"/>
  <c r="D2078" i="7"/>
  <c r="E2078" i="7" s="1"/>
  <c r="F2078" i="7" s="1"/>
  <c r="G2078" i="7" s="1"/>
  <c r="D2077" i="7"/>
  <c r="E2077" i="7" s="1"/>
  <c r="F2077" i="7" s="1"/>
  <c r="G2077" i="7" s="1"/>
  <c r="D2076" i="7"/>
  <c r="E2076" i="7" s="1"/>
  <c r="F2076" i="7" s="1"/>
  <c r="G2076" i="7" s="1"/>
  <c r="D2075" i="7"/>
  <c r="E2075" i="7" s="1"/>
  <c r="F2075" i="7" s="1"/>
  <c r="G2075" i="7" s="1"/>
  <c r="D2074" i="7"/>
  <c r="E2074" i="7" s="1"/>
  <c r="F2074" i="7" s="1"/>
  <c r="G2074" i="7" s="1"/>
  <c r="D2073" i="7"/>
  <c r="E2073" i="7" s="1"/>
  <c r="F2073" i="7" s="1"/>
  <c r="G2073" i="7" s="1"/>
  <c r="D2072" i="7"/>
  <c r="E2072" i="7" s="1"/>
  <c r="F2072" i="7" s="1"/>
  <c r="G2072" i="7" s="1"/>
  <c r="D2071" i="7"/>
  <c r="E2071" i="7" s="1"/>
  <c r="F2071" i="7" s="1"/>
  <c r="G2071" i="7" s="1"/>
  <c r="D2070" i="7"/>
  <c r="E2070" i="7" s="1"/>
  <c r="F2070" i="7" s="1"/>
  <c r="G2070" i="7" s="1"/>
  <c r="D2069" i="7"/>
  <c r="E2069" i="7" s="1"/>
  <c r="F2069" i="7" s="1"/>
  <c r="G2069" i="7" s="1"/>
  <c r="D2068" i="7"/>
  <c r="E2068" i="7" s="1"/>
  <c r="F2068" i="7" s="1"/>
  <c r="G2068" i="7" s="1"/>
  <c r="D2067" i="7"/>
  <c r="E2067" i="7" s="1"/>
  <c r="F2067" i="7" s="1"/>
  <c r="G2067" i="7" s="1"/>
  <c r="D2066" i="7"/>
  <c r="E2066" i="7" s="1"/>
  <c r="F2066" i="7" s="1"/>
  <c r="G2066" i="7" s="1"/>
  <c r="D2065" i="7"/>
  <c r="E2065" i="7" s="1"/>
  <c r="F2065" i="7" s="1"/>
  <c r="G2065" i="7" s="1"/>
  <c r="D2064" i="7"/>
  <c r="E2064" i="7" s="1"/>
  <c r="F2064" i="7" s="1"/>
  <c r="G2064" i="7" s="1"/>
  <c r="D2063" i="7"/>
  <c r="E2063" i="7" s="1"/>
  <c r="F2063" i="7" s="1"/>
  <c r="G2063" i="7" s="1"/>
  <c r="D2062" i="7"/>
  <c r="E2062" i="7" s="1"/>
  <c r="F2062" i="7" s="1"/>
  <c r="G2062" i="7" s="1"/>
  <c r="D2061" i="7"/>
  <c r="E2061" i="7" s="1"/>
  <c r="F2061" i="7" s="1"/>
  <c r="G2061" i="7" s="1"/>
  <c r="D2060" i="7"/>
  <c r="E2060" i="7" s="1"/>
  <c r="F2060" i="7" s="1"/>
  <c r="G2060" i="7" s="1"/>
  <c r="D2059" i="7"/>
  <c r="E2059" i="7" s="1"/>
  <c r="F2059" i="7" s="1"/>
  <c r="G2059" i="7" s="1"/>
  <c r="D2058" i="7"/>
  <c r="E2058" i="7" s="1"/>
  <c r="F2058" i="7" s="1"/>
  <c r="G2058" i="7" s="1"/>
  <c r="D2057" i="7"/>
  <c r="E2057" i="7" s="1"/>
  <c r="F2057" i="7" s="1"/>
  <c r="G2057" i="7" s="1"/>
  <c r="D2056" i="7"/>
  <c r="E2056" i="7" s="1"/>
  <c r="F2056" i="7" s="1"/>
  <c r="G2056" i="7" s="1"/>
  <c r="D2055" i="7"/>
  <c r="E2055" i="7" s="1"/>
  <c r="F2055" i="7" s="1"/>
  <c r="G2055" i="7" s="1"/>
  <c r="D2054" i="7"/>
  <c r="E2054" i="7" s="1"/>
  <c r="F2054" i="7" s="1"/>
  <c r="G2054" i="7" s="1"/>
  <c r="D2053" i="7"/>
  <c r="E2053" i="7" s="1"/>
  <c r="F2053" i="7" s="1"/>
  <c r="G2053" i="7" s="1"/>
  <c r="D2052" i="7"/>
  <c r="E2052" i="7" s="1"/>
  <c r="F2052" i="7" s="1"/>
  <c r="G2052" i="7" s="1"/>
  <c r="D2051" i="7"/>
  <c r="E2051" i="7" s="1"/>
  <c r="F2051" i="7" s="1"/>
  <c r="G2051" i="7" s="1"/>
  <c r="D2050" i="7"/>
  <c r="E2050" i="7" s="1"/>
  <c r="F2050" i="7" s="1"/>
  <c r="G2050" i="7" s="1"/>
  <c r="D2049" i="7"/>
  <c r="E2049" i="7" s="1"/>
  <c r="F2049" i="7" s="1"/>
  <c r="G2049" i="7" s="1"/>
  <c r="D2048" i="7"/>
  <c r="E2048" i="7" s="1"/>
  <c r="F2048" i="7" s="1"/>
  <c r="G2048" i="7" s="1"/>
  <c r="D2047" i="7"/>
  <c r="E2047" i="7" s="1"/>
  <c r="F2047" i="7" s="1"/>
  <c r="G2047" i="7" s="1"/>
  <c r="D2046" i="7"/>
  <c r="E2046" i="7" s="1"/>
  <c r="F2046" i="7" s="1"/>
  <c r="G2046" i="7" s="1"/>
  <c r="D2045" i="7"/>
  <c r="E2045" i="7" s="1"/>
  <c r="F2045" i="7" s="1"/>
  <c r="G2045" i="7" s="1"/>
  <c r="D2044" i="7"/>
  <c r="E2044" i="7" s="1"/>
  <c r="F2044" i="7" s="1"/>
  <c r="G2044" i="7" s="1"/>
  <c r="D2043" i="7"/>
  <c r="E2043" i="7" s="1"/>
  <c r="F2043" i="7" s="1"/>
  <c r="G2043" i="7" s="1"/>
  <c r="D2042" i="7"/>
  <c r="E2042" i="7" s="1"/>
  <c r="F2042" i="7" s="1"/>
  <c r="G2042" i="7" s="1"/>
  <c r="D2041" i="7"/>
  <c r="E2041" i="7" s="1"/>
  <c r="F2041" i="7" s="1"/>
  <c r="G2041" i="7" s="1"/>
  <c r="D2040" i="7"/>
  <c r="E2040" i="7" s="1"/>
  <c r="F2040" i="7" s="1"/>
  <c r="G2040" i="7" s="1"/>
  <c r="D2039" i="7"/>
  <c r="E2039" i="7" s="1"/>
  <c r="F2039" i="7" s="1"/>
  <c r="G2039" i="7" s="1"/>
  <c r="D2038" i="7"/>
  <c r="E2038" i="7" s="1"/>
  <c r="F2038" i="7" s="1"/>
  <c r="G2038" i="7" s="1"/>
  <c r="D2037" i="7"/>
  <c r="E2037" i="7" s="1"/>
  <c r="F2037" i="7" s="1"/>
  <c r="G2037" i="7" s="1"/>
  <c r="D2036" i="7"/>
  <c r="E2036" i="7" s="1"/>
  <c r="F2036" i="7" s="1"/>
  <c r="G2036" i="7" s="1"/>
  <c r="D2035" i="7"/>
  <c r="E2035" i="7" s="1"/>
  <c r="F2035" i="7" s="1"/>
  <c r="G2035" i="7" s="1"/>
  <c r="D2034" i="7"/>
  <c r="E2034" i="7" s="1"/>
  <c r="F2034" i="7" s="1"/>
  <c r="G2034" i="7" s="1"/>
  <c r="D2033" i="7"/>
  <c r="E2033" i="7" s="1"/>
  <c r="F2033" i="7" s="1"/>
  <c r="G2033" i="7" s="1"/>
  <c r="D2032" i="7"/>
  <c r="E2032" i="7" s="1"/>
  <c r="F2032" i="7" s="1"/>
  <c r="G2032" i="7" s="1"/>
  <c r="D2031" i="7"/>
  <c r="E2031" i="7" s="1"/>
  <c r="F2031" i="7" s="1"/>
  <c r="G2031" i="7" s="1"/>
  <c r="D2030" i="7"/>
  <c r="E2030" i="7" s="1"/>
  <c r="F2030" i="7" s="1"/>
  <c r="G2030" i="7" s="1"/>
  <c r="D2029" i="7"/>
  <c r="E2029" i="7" s="1"/>
  <c r="F2029" i="7" s="1"/>
  <c r="G2029" i="7" s="1"/>
  <c r="D2028" i="7"/>
  <c r="E2028" i="7" s="1"/>
  <c r="F2028" i="7" s="1"/>
  <c r="G2028" i="7" s="1"/>
  <c r="D2027" i="7"/>
  <c r="E2027" i="7" s="1"/>
  <c r="F2027" i="7" s="1"/>
  <c r="G2027" i="7" s="1"/>
  <c r="D2026" i="7"/>
  <c r="E2026" i="7" s="1"/>
  <c r="F2026" i="7" s="1"/>
  <c r="G2026" i="7" s="1"/>
  <c r="D2025" i="7"/>
  <c r="E2025" i="7" s="1"/>
  <c r="F2025" i="7" s="1"/>
  <c r="G2025" i="7" s="1"/>
  <c r="D2024" i="7"/>
  <c r="E2024" i="7" s="1"/>
  <c r="F2024" i="7" s="1"/>
  <c r="G2024" i="7" s="1"/>
  <c r="D2023" i="7"/>
  <c r="E2023" i="7" s="1"/>
  <c r="F2023" i="7" s="1"/>
  <c r="G2023" i="7" s="1"/>
  <c r="D2022" i="7"/>
  <c r="E2022" i="7" s="1"/>
  <c r="F2022" i="7" s="1"/>
  <c r="G2022" i="7" s="1"/>
  <c r="D2021" i="7"/>
  <c r="E2021" i="7" s="1"/>
  <c r="F2021" i="7" s="1"/>
  <c r="G2021" i="7" s="1"/>
  <c r="D2020" i="7"/>
  <c r="E2020" i="7" s="1"/>
  <c r="F2020" i="7" s="1"/>
  <c r="G2020" i="7" s="1"/>
  <c r="D2019" i="7"/>
  <c r="E2019" i="7" s="1"/>
  <c r="F2019" i="7" s="1"/>
  <c r="G2019" i="7" s="1"/>
  <c r="D2018" i="7"/>
  <c r="E2018" i="7" s="1"/>
  <c r="F2018" i="7" s="1"/>
  <c r="G2018" i="7" s="1"/>
  <c r="D2017" i="7"/>
  <c r="E2017" i="7" s="1"/>
  <c r="F2017" i="7" s="1"/>
  <c r="G2017" i="7" s="1"/>
  <c r="D2016" i="7"/>
  <c r="E2016" i="7" s="1"/>
  <c r="F2016" i="7" s="1"/>
  <c r="G2016" i="7" s="1"/>
  <c r="D2015" i="7"/>
  <c r="E2015" i="7" s="1"/>
  <c r="F2015" i="7" s="1"/>
  <c r="G2015" i="7" s="1"/>
  <c r="D2014" i="7"/>
  <c r="E2014" i="7" s="1"/>
  <c r="F2014" i="7" s="1"/>
  <c r="G2014" i="7" s="1"/>
  <c r="D2013" i="7"/>
  <c r="E2013" i="7" s="1"/>
  <c r="F2013" i="7" s="1"/>
  <c r="G2013" i="7" s="1"/>
  <c r="D2012" i="7"/>
  <c r="E2012" i="7" s="1"/>
  <c r="F2012" i="7" s="1"/>
  <c r="G2012" i="7" s="1"/>
  <c r="D2011" i="7"/>
  <c r="E2011" i="7" s="1"/>
  <c r="F2011" i="7" s="1"/>
  <c r="G2011" i="7" s="1"/>
  <c r="D2010" i="7"/>
  <c r="E2010" i="7" s="1"/>
  <c r="F2010" i="7" s="1"/>
  <c r="G2010" i="7" s="1"/>
  <c r="D2009" i="7"/>
  <c r="E2009" i="7" s="1"/>
  <c r="F2009" i="7" s="1"/>
  <c r="G2009" i="7" s="1"/>
  <c r="D2008" i="7"/>
  <c r="E2008" i="7" s="1"/>
  <c r="F2008" i="7" s="1"/>
  <c r="G2008" i="7" s="1"/>
  <c r="D2007" i="7"/>
  <c r="E2007" i="7" s="1"/>
  <c r="F2007" i="7" s="1"/>
  <c r="G2007" i="7" s="1"/>
  <c r="D2006" i="7"/>
  <c r="E2006" i="7" s="1"/>
  <c r="F2006" i="7" s="1"/>
  <c r="G2006" i="7" s="1"/>
  <c r="D2005" i="7"/>
  <c r="E2005" i="7" s="1"/>
  <c r="F2005" i="7" s="1"/>
  <c r="G2005" i="7" s="1"/>
  <c r="D2004" i="7"/>
  <c r="E2004" i="7" s="1"/>
  <c r="F2004" i="7" s="1"/>
  <c r="G2004" i="7" s="1"/>
  <c r="D2003" i="7"/>
  <c r="E2003" i="7" s="1"/>
  <c r="F2003" i="7" s="1"/>
  <c r="G2003" i="7" s="1"/>
  <c r="D2002" i="7"/>
  <c r="E2002" i="7" s="1"/>
  <c r="F2002" i="7" s="1"/>
  <c r="G2002" i="7" s="1"/>
  <c r="D2001" i="7"/>
  <c r="E2001" i="7" s="1"/>
  <c r="F2001" i="7" s="1"/>
  <c r="G2001" i="7" s="1"/>
  <c r="D2000" i="7"/>
  <c r="E2000" i="7" s="1"/>
  <c r="F2000" i="7" s="1"/>
  <c r="G2000" i="7" s="1"/>
  <c r="D1999" i="7"/>
  <c r="E1999" i="7" s="1"/>
  <c r="F1999" i="7" s="1"/>
  <c r="G1999" i="7" s="1"/>
  <c r="D1998" i="7"/>
  <c r="E1998" i="7" s="1"/>
  <c r="F1998" i="7" s="1"/>
  <c r="G1998" i="7" s="1"/>
  <c r="D1997" i="7"/>
  <c r="E1997" i="7" s="1"/>
  <c r="F1997" i="7" s="1"/>
  <c r="G1997" i="7" s="1"/>
  <c r="D1996" i="7"/>
  <c r="E1996" i="7" s="1"/>
  <c r="F1996" i="7" s="1"/>
  <c r="G1996" i="7" s="1"/>
  <c r="D1995" i="7"/>
  <c r="E1995" i="7" s="1"/>
  <c r="F1995" i="7" s="1"/>
  <c r="G1995" i="7" s="1"/>
  <c r="D1994" i="7"/>
  <c r="E1994" i="7" s="1"/>
  <c r="F1994" i="7" s="1"/>
  <c r="G1994" i="7" s="1"/>
  <c r="D1993" i="7"/>
  <c r="E1993" i="7" s="1"/>
  <c r="F1993" i="7" s="1"/>
  <c r="G1993" i="7" s="1"/>
  <c r="D1992" i="7"/>
  <c r="E1992" i="7" s="1"/>
  <c r="F1992" i="7" s="1"/>
  <c r="G1992" i="7" s="1"/>
  <c r="D1991" i="7"/>
  <c r="E1991" i="7" s="1"/>
  <c r="F1991" i="7" s="1"/>
  <c r="G1991" i="7" s="1"/>
  <c r="D1990" i="7"/>
  <c r="E1990" i="7" s="1"/>
  <c r="F1990" i="7" s="1"/>
  <c r="G1990" i="7" s="1"/>
  <c r="D1989" i="7"/>
  <c r="E1989" i="7" s="1"/>
  <c r="F1989" i="7" s="1"/>
  <c r="G1989" i="7" s="1"/>
  <c r="D1988" i="7"/>
  <c r="E1988" i="7" s="1"/>
  <c r="F1988" i="7" s="1"/>
  <c r="G1988" i="7" s="1"/>
  <c r="D1987" i="7"/>
  <c r="E1987" i="7" s="1"/>
  <c r="F1987" i="7" s="1"/>
  <c r="G1987" i="7" s="1"/>
  <c r="D1986" i="7"/>
  <c r="E1986" i="7" s="1"/>
  <c r="F1986" i="7" s="1"/>
  <c r="G1986" i="7" s="1"/>
  <c r="D1985" i="7"/>
  <c r="E1985" i="7" s="1"/>
  <c r="F1985" i="7" s="1"/>
  <c r="G1985" i="7" s="1"/>
  <c r="D1984" i="7"/>
  <c r="E1984" i="7" s="1"/>
  <c r="F1984" i="7" s="1"/>
  <c r="G1984" i="7" s="1"/>
  <c r="D1983" i="7"/>
  <c r="E1983" i="7" s="1"/>
  <c r="F1983" i="7" s="1"/>
  <c r="G1983" i="7" s="1"/>
  <c r="D1982" i="7"/>
  <c r="E1982" i="7" s="1"/>
  <c r="F1982" i="7" s="1"/>
  <c r="G1982" i="7" s="1"/>
  <c r="D1981" i="7"/>
  <c r="E1981" i="7" s="1"/>
  <c r="F1981" i="7" s="1"/>
  <c r="G1981" i="7" s="1"/>
  <c r="D1980" i="7"/>
  <c r="E1980" i="7" s="1"/>
  <c r="F1980" i="7" s="1"/>
  <c r="G1980" i="7" s="1"/>
  <c r="D1979" i="7"/>
  <c r="E1979" i="7" s="1"/>
  <c r="F1979" i="7" s="1"/>
  <c r="G1979" i="7" s="1"/>
  <c r="D1978" i="7"/>
  <c r="E1978" i="7" s="1"/>
  <c r="F1978" i="7" s="1"/>
  <c r="G1978" i="7" s="1"/>
  <c r="D1977" i="7"/>
  <c r="E1977" i="7" s="1"/>
  <c r="F1977" i="7" s="1"/>
  <c r="G1977" i="7" s="1"/>
  <c r="D1976" i="7"/>
  <c r="E1976" i="7" s="1"/>
  <c r="F1976" i="7" s="1"/>
  <c r="G1976" i="7" s="1"/>
  <c r="D1975" i="7"/>
  <c r="E1975" i="7" s="1"/>
  <c r="F1975" i="7" s="1"/>
  <c r="G1975" i="7" s="1"/>
  <c r="D1974" i="7"/>
  <c r="E1974" i="7" s="1"/>
  <c r="F1974" i="7" s="1"/>
  <c r="G1974" i="7" s="1"/>
  <c r="D1973" i="7"/>
  <c r="E1973" i="7" s="1"/>
  <c r="F1973" i="7" s="1"/>
  <c r="G1973" i="7" s="1"/>
  <c r="D1972" i="7"/>
  <c r="E1972" i="7" s="1"/>
  <c r="F1972" i="7" s="1"/>
  <c r="G1972" i="7" s="1"/>
  <c r="D1971" i="7"/>
  <c r="E1971" i="7" s="1"/>
  <c r="F1971" i="7" s="1"/>
  <c r="G1971" i="7" s="1"/>
  <c r="D1970" i="7"/>
  <c r="E1970" i="7" s="1"/>
  <c r="F1970" i="7" s="1"/>
  <c r="G1970" i="7" s="1"/>
  <c r="D1969" i="7"/>
  <c r="E1969" i="7" s="1"/>
  <c r="F1969" i="7" s="1"/>
  <c r="G1969" i="7" s="1"/>
  <c r="D1968" i="7"/>
  <c r="E1968" i="7" s="1"/>
  <c r="F1968" i="7" s="1"/>
  <c r="G1968" i="7" s="1"/>
  <c r="D1967" i="7"/>
  <c r="E1967" i="7" s="1"/>
  <c r="F1967" i="7" s="1"/>
  <c r="G1967" i="7" s="1"/>
  <c r="D1966" i="7"/>
  <c r="E1966" i="7" s="1"/>
  <c r="F1966" i="7" s="1"/>
  <c r="G1966" i="7" s="1"/>
  <c r="D1965" i="7"/>
  <c r="E1965" i="7" s="1"/>
  <c r="F1965" i="7" s="1"/>
  <c r="G1965" i="7" s="1"/>
  <c r="D1964" i="7"/>
  <c r="E1964" i="7" s="1"/>
  <c r="F1964" i="7" s="1"/>
  <c r="G1964" i="7" s="1"/>
  <c r="D1963" i="7"/>
  <c r="E1963" i="7" s="1"/>
  <c r="F1963" i="7" s="1"/>
  <c r="G1963" i="7" s="1"/>
  <c r="D1962" i="7"/>
  <c r="E1962" i="7" s="1"/>
  <c r="F1962" i="7" s="1"/>
  <c r="G1962" i="7" s="1"/>
  <c r="D1961" i="7"/>
  <c r="E1961" i="7" s="1"/>
  <c r="F1961" i="7" s="1"/>
  <c r="G1961" i="7" s="1"/>
  <c r="D1960" i="7"/>
  <c r="E1960" i="7" s="1"/>
  <c r="F1960" i="7" s="1"/>
  <c r="G1960" i="7" s="1"/>
  <c r="D1959" i="7"/>
  <c r="E1959" i="7" s="1"/>
  <c r="F1959" i="7" s="1"/>
  <c r="G1959" i="7" s="1"/>
  <c r="D1958" i="7"/>
  <c r="E1958" i="7" s="1"/>
  <c r="F1958" i="7" s="1"/>
  <c r="G1958" i="7" s="1"/>
  <c r="D1957" i="7"/>
  <c r="E1957" i="7" s="1"/>
  <c r="F1957" i="7" s="1"/>
  <c r="G1957" i="7" s="1"/>
  <c r="D1956" i="7"/>
  <c r="E1956" i="7" s="1"/>
  <c r="F1956" i="7" s="1"/>
  <c r="G1956" i="7" s="1"/>
  <c r="D1955" i="7"/>
  <c r="E1955" i="7" s="1"/>
  <c r="F1955" i="7" s="1"/>
  <c r="G1955" i="7" s="1"/>
  <c r="D1954" i="7"/>
  <c r="E1954" i="7" s="1"/>
  <c r="F1954" i="7" s="1"/>
  <c r="G1954" i="7" s="1"/>
  <c r="D1953" i="7"/>
  <c r="E1953" i="7" s="1"/>
  <c r="F1953" i="7" s="1"/>
  <c r="G1953" i="7" s="1"/>
  <c r="D1952" i="7"/>
  <c r="E1952" i="7" s="1"/>
  <c r="F1952" i="7" s="1"/>
  <c r="G1952" i="7" s="1"/>
  <c r="D1951" i="7"/>
  <c r="E1951" i="7" s="1"/>
  <c r="F1951" i="7" s="1"/>
  <c r="G1951" i="7" s="1"/>
  <c r="D1950" i="7"/>
  <c r="E1950" i="7" s="1"/>
  <c r="F1950" i="7" s="1"/>
  <c r="G1950" i="7" s="1"/>
  <c r="D1949" i="7"/>
  <c r="E1949" i="7" s="1"/>
  <c r="F1949" i="7" s="1"/>
  <c r="G1949" i="7" s="1"/>
  <c r="D1948" i="7"/>
  <c r="E1948" i="7" s="1"/>
  <c r="F1948" i="7" s="1"/>
  <c r="G1948" i="7" s="1"/>
  <c r="D1947" i="7"/>
  <c r="E1947" i="7" s="1"/>
  <c r="F1947" i="7" s="1"/>
  <c r="G1947" i="7" s="1"/>
  <c r="D1946" i="7"/>
  <c r="E1946" i="7" s="1"/>
  <c r="F1946" i="7" s="1"/>
  <c r="G1946" i="7" s="1"/>
  <c r="D1945" i="7"/>
  <c r="E1945" i="7" s="1"/>
  <c r="F1945" i="7" s="1"/>
  <c r="G1945" i="7" s="1"/>
  <c r="D1944" i="7"/>
  <c r="E1944" i="7" s="1"/>
  <c r="F1944" i="7" s="1"/>
  <c r="G1944" i="7" s="1"/>
  <c r="D1943" i="7"/>
  <c r="E1943" i="7" s="1"/>
  <c r="F1943" i="7" s="1"/>
  <c r="G1943" i="7" s="1"/>
  <c r="D1942" i="7"/>
  <c r="E1942" i="7" s="1"/>
  <c r="F1942" i="7" s="1"/>
  <c r="G1942" i="7" s="1"/>
  <c r="D1941" i="7"/>
  <c r="E1941" i="7" s="1"/>
  <c r="F1941" i="7" s="1"/>
  <c r="G1941" i="7" s="1"/>
  <c r="D1940" i="7"/>
  <c r="E1940" i="7" s="1"/>
  <c r="F1940" i="7" s="1"/>
  <c r="G1940" i="7" s="1"/>
  <c r="D1939" i="7"/>
  <c r="E1939" i="7" s="1"/>
  <c r="F1939" i="7" s="1"/>
  <c r="G1939" i="7" s="1"/>
  <c r="D1938" i="7"/>
  <c r="E1938" i="7" s="1"/>
  <c r="F1938" i="7" s="1"/>
  <c r="G1938" i="7" s="1"/>
  <c r="D1937" i="7"/>
  <c r="E1937" i="7" s="1"/>
  <c r="F1937" i="7" s="1"/>
  <c r="G1937" i="7" s="1"/>
  <c r="D1936" i="7"/>
  <c r="E1936" i="7" s="1"/>
  <c r="F1936" i="7" s="1"/>
  <c r="G1936" i="7" s="1"/>
  <c r="D1935" i="7"/>
  <c r="E1935" i="7" s="1"/>
  <c r="F1935" i="7" s="1"/>
  <c r="G1935" i="7" s="1"/>
  <c r="D1934" i="7"/>
  <c r="E1934" i="7" s="1"/>
  <c r="F1934" i="7" s="1"/>
  <c r="G1934" i="7" s="1"/>
  <c r="D1933" i="7"/>
  <c r="E1933" i="7" s="1"/>
  <c r="F1933" i="7" s="1"/>
  <c r="G1933" i="7" s="1"/>
  <c r="D1932" i="7"/>
  <c r="E1932" i="7" s="1"/>
  <c r="F1932" i="7" s="1"/>
  <c r="G1932" i="7" s="1"/>
  <c r="D1931" i="7"/>
  <c r="E1931" i="7" s="1"/>
  <c r="F1931" i="7" s="1"/>
  <c r="G1931" i="7" s="1"/>
  <c r="D1930" i="7"/>
  <c r="E1930" i="7" s="1"/>
  <c r="F1930" i="7" s="1"/>
  <c r="G1930" i="7" s="1"/>
  <c r="D1929" i="7"/>
  <c r="E1929" i="7" s="1"/>
  <c r="F1929" i="7" s="1"/>
  <c r="G1929" i="7" s="1"/>
  <c r="D1928" i="7"/>
  <c r="E1928" i="7" s="1"/>
  <c r="F1928" i="7" s="1"/>
  <c r="G1928" i="7" s="1"/>
  <c r="D1927" i="7"/>
  <c r="E1927" i="7" s="1"/>
  <c r="F1927" i="7" s="1"/>
  <c r="G1927" i="7" s="1"/>
  <c r="D1926" i="7"/>
  <c r="E1926" i="7" s="1"/>
  <c r="F1926" i="7" s="1"/>
  <c r="G1926" i="7" s="1"/>
  <c r="D1925" i="7"/>
  <c r="E1925" i="7" s="1"/>
  <c r="F1925" i="7" s="1"/>
  <c r="G1925" i="7" s="1"/>
  <c r="D1924" i="7"/>
  <c r="E1924" i="7" s="1"/>
  <c r="F1924" i="7" s="1"/>
  <c r="G1924" i="7" s="1"/>
  <c r="D1923" i="7"/>
  <c r="E1923" i="7" s="1"/>
  <c r="F1923" i="7" s="1"/>
  <c r="G1923" i="7" s="1"/>
  <c r="D1922" i="7"/>
  <c r="E1922" i="7" s="1"/>
  <c r="F1922" i="7" s="1"/>
  <c r="G1922" i="7" s="1"/>
  <c r="D1921" i="7"/>
  <c r="E1921" i="7" s="1"/>
  <c r="F1921" i="7" s="1"/>
  <c r="G1921" i="7" s="1"/>
  <c r="D1920" i="7"/>
  <c r="E1920" i="7" s="1"/>
  <c r="F1920" i="7" s="1"/>
  <c r="G1920" i="7" s="1"/>
  <c r="D1919" i="7"/>
  <c r="E1919" i="7" s="1"/>
  <c r="F1919" i="7" s="1"/>
  <c r="G1919" i="7" s="1"/>
  <c r="D1918" i="7"/>
  <c r="E1918" i="7" s="1"/>
  <c r="F1918" i="7" s="1"/>
  <c r="G1918" i="7" s="1"/>
  <c r="D1917" i="7"/>
  <c r="E1917" i="7" s="1"/>
  <c r="F1917" i="7" s="1"/>
  <c r="G1917" i="7" s="1"/>
  <c r="D1916" i="7"/>
  <c r="E1916" i="7" s="1"/>
  <c r="F1916" i="7" s="1"/>
  <c r="G1916" i="7" s="1"/>
  <c r="D1915" i="7"/>
  <c r="E1915" i="7" s="1"/>
  <c r="F1915" i="7" s="1"/>
  <c r="G1915" i="7" s="1"/>
  <c r="D1914" i="7"/>
  <c r="E1914" i="7" s="1"/>
  <c r="F1914" i="7" s="1"/>
  <c r="G1914" i="7" s="1"/>
  <c r="D1913" i="7"/>
  <c r="E1913" i="7" s="1"/>
  <c r="F1913" i="7" s="1"/>
  <c r="G1913" i="7" s="1"/>
  <c r="D1912" i="7"/>
  <c r="E1912" i="7" s="1"/>
  <c r="F1912" i="7" s="1"/>
  <c r="G1912" i="7" s="1"/>
  <c r="D1911" i="7"/>
  <c r="E1911" i="7" s="1"/>
  <c r="F1911" i="7" s="1"/>
  <c r="G1911" i="7" s="1"/>
  <c r="D1910" i="7"/>
  <c r="E1910" i="7" s="1"/>
  <c r="F1910" i="7" s="1"/>
  <c r="G1910" i="7" s="1"/>
  <c r="D1909" i="7"/>
  <c r="E1909" i="7" s="1"/>
  <c r="F1909" i="7" s="1"/>
  <c r="G1909" i="7" s="1"/>
  <c r="D1908" i="7"/>
  <c r="E1908" i="7" s="1"/>
  <c r="F1908" i="7" s="1"/>
  <c r="G1908" i="7" s="1"/>
  <c r="D1907" i="7"/>
  <c r="E1907" i="7" s="1"/>
  <c r="F1907" i="7" s="1"/>
  <c r="G1907" i="7" s="1"/>
  <c r="D1906" i="7"/>
  <c r="E1906" i="7" s="1"/>
  <c r="F1906" i="7" s="1"/>
  <c r="G1906" i="7" s="1"/>
  <c r="D1905" i="7"/>
  <c r="E1905" i="7" s="1"/>
  <c r="F1905" i="7" s="1"/>
  <c r="G1905" i="7" s="1"/>
  <c r="D1904" i="7"/>
  <c r="E1904" i="7" s="1"/>
  <c r="F1904" i="7" s="1"/>
  <c r="G1904" i="7" s="1"/>
  <c r="D1903" i="7"/>
  <c r="E1903" i="7" s="1"/>
  <c r="F1903" i="7" s="1"/>
  <c r="G1903" i="7" s="1"/>
  <c r="D1902" i="7"/>
  <c r="E1902" i="7" s="1"/>
  <c r="F1902" i="7" s="1"/>
  <c r="G1902" i="7" s="1"/>
  <c r="D1901" i="7"/>
  <c r="E1901" i="7" s="1"/>
  <c r="F1901" i="7" s="1"/>
  <c r="G1901" i="7" s="1"/>
  <c r="D1900" i="7"/>
  <c r="E1900" i="7" s="1"/>
  <c r="F1900" i="7" s="1"/>
  <c r="G1900" i="7" s="1"/>
  <c r="D1899" i="7"/>
  <c r="E1899" i="7" s="1"/>
  <c r="F1899" i="7" s="1"/>
  <c r="G1899" i="7" s="1"/>
  <c r="D1898" i="7"/>
  <c r="E1898" i="7" s="1"/>
  <c r="F1898" i="7" s="1"/>
  <c r="G1898" i="7" s="1"/>
  <c r="D1897" i="7"/>
  <c r="E1897" i="7" s="1"/>
  <c r="F1897" i="7" s="1"/>
  <c r="G1897" i="7" s="1"/>
  <c r="D1896" i="7"/>
  <c r="E1896" i="7" s="1"/>
  <c r="F1896" i="7" s="1"/>
  <c r="G1896" i="7" s="1"/>
  <c r="D1895" i="7"/>
  <c r="E1895" i="7" s="1"/>
  <c r="F1895" i="7" s="1"/>
  <c r="G1895" i="7" s="1"/>
  <c r="D1894" i="7"/>
  <c r="E1894" i="7" s="1"/>
  <c r="F1894" i="7" s="1"/>
  <c r="G1894" i="7" s="1"/>
  <c r="D1893" i="7"/>
  <c r="E1893" i="7" s="1"/>
  <c r="F1893" i="7" s="1"/>
  <c r="G1893" i="7" s="1"/>
  <c r="D1892" i="7"/>
  <c r="E1892" i="7" s="1"/>
  <c r="F1892" i="7" s="1"/>
  <c r="G1892" i="7" s="1"/>
  <c r="D1891" i="7"/>
  <c r="E1891" i="7" s="1"/>
  <c r="F1891" i="7" s="1"/>
  <c r="G1891" i="7" s="1"/>
  <c r="D1890" i="7"/>
  <c r="E1890" i="7" s="1"/>
  <c r="F1890" i="7" s="1"/>
  <c r="G1890" i="7" s="1"/>
  <c r="D1889" i="7"/>
  <c r="E1889" i="7" s="1"/>
  <c r="F1889" i="7" s="1"/>
  <c r="G1889" i="7" s="1"/>
  <c r="D1888" i="7"/>
  <c r="E1888" i="7" s="1"/>
  <c r="F1888" i="7" s="1"/>
  <c r="G1888" i="7" s="1"/>
  <c r="D1887" i="7"/>
  <c r="E1887" i="7" s="1"/>
  <c r="F1887" i="7" s="1"/>
  <c r="G1887" i="7" s="1"/>
  <c r="D1886" i="7"/>
  <c r="E1886" i="7" s="1"/>
  <c r="F1886" i="7" s="1"/>
  <c r="G1886" i="7" s="1"/>
  <c r="D1885" i="7"/>
  <c r="E1885" i="7" s="1"/>
  <c r="F1885" i="7" s="1"/>
  <c r="G1885" i="7" s="1"/>
  <c r="D1884" i="7"/>
  <c r="E1884" i="7" s="1"/>
  <c r="F1884" i="7" s="1"/>
  <c r="G1884" i="7" s="1"/>
  <c r="D1883" i="7"/>
  <c r="E1883" i="7" s="1"/>
  <c r="F1883" i="7" s="1"/>
  <c r="G1883" i="7" s="1"/>
  <c r="D1882" i="7"/>
  <c r="E1882" i="7" s="1"/>
  <c r="F1882" i="7" s="1"/>
  <c r="G1882" i="7" s="1"/>
  <c r="D1881" i="7"/>
  <c r="E1881" i="7" s="1"/>
  <c r="F1881" i="7" s="1"/>
  <c r="G1881" i="7" s="1"/>
  <c r="D1880" i="7"/>
  <c r="E1880" i="7" s="1"/>
  <c r="F1880" i="7" s="1"/>
  <c r="G1880" i="7" s="1"/>
  <c r="D1879" i="7"/>
  <c r="E1879" i="7" s="1"/>
  <c r="F1879" i="7" s="1"/>
  <c r="G1879" i="7" s="1"/>
  <c r="D1878" i="7"/>
  <c r="E1878" i="7" s="1"/>
  <c r="F1878" i="7" s="1"/>
  <c r="G1878" i="7" s="1"/>
  <c r="D1877" i="7"/>
  <c r="E1877" i="7" s="1"/>
  <c r="F1877" i="7" s="1"/>
  <c r="G1877" i="7" s="1"/>
  <c r="D1876" i="7"/>
  <c r="E1876" i="7" s="1"/>
  <c r="F1876" i="7" s="1"/>
  <c r="G1876" i="7" s="1"/>
  <c r="D1875" i="7"/>
  <c r="E1875" i="7" s="1"/>
  <c r="F1875" i="7" s="1"/>
  <c r="G1875" i="7" s="1"/>
  <c r="D1874" i="7"/>
  <c r="E1874" i="7" s="1"/>
  <c r="F1874" i="7" s="1"/>
  <c r="G1874" i="7" s="1"/>
  <c r="D1873" i="7"/>
  <c r="E1873" i="7" s="1"/>
  <c r="F1873" i="7" s="1"/>
  <c r="G1873" i="7" s="1"/>
  <c r="D1872" i="7"/>
  <c r="E1872" i="7" s="1"/>
  <c r="F1872" i="7" s="1"/>
  <c r="G1872" i="7" s="1"/>
  <c r="D1871" i="7"/>
  <c r="E1871" i="7" s="1"/>
  <c r="F1871" i="7" s="1"/>
  <c r="G1871" i="7" s="1"/>
  <c r="D1870" i="7"/>
  <c r="E1870" i="7" s="1"/>
  <c r="F1870" i="7" s="1"/>
  <c r="G1870" i="7" s="1"/>
  <c r="D1869" i="7"/>
  <c r="E1869" i="7" s="1"/>
  <c r="F1869" i="7" s="1"/>
  <c r="G1869" i="7" s="1"/>
  <c r="D1868" i="7"/>
  <c r="E1868" i="7" s="1"/>
  <c r="F1868" i="7" s="1"/>
  <c r="G1868" i="7" s="1"/>
  <c r="D1867" i="7"/>
  <c r="E1867" i="7" s="1"/>
  <c r="F1867" i="7" s="1"/>
  <c r="G1867" i="7" s="1"/>
  <c r="D1866" i="7"/>
  <c r="E1866" i="7" s="1"/>
  <c r="F1866" i="7" s="1"/>
  <c r="G1866" i="7" s="1"/>
  <c r="D1865" i="7"/>
  <c r="E1865" i="7" s="1"/>
  <c r="F1865" i="7" s="1"/>
  <c r="G1865" i="7" s="1"/>
  <c r="D1864" i="7"/>
  <c r="E1864" i="7" s="1"/>
  <c r="F1864" i="7" s="1"/>
  <c r="G1864" i="7" s="1"/>
  <c r="D1863" i="7"/>
  <c r="E1863" i="7" s="1"/>
  <c r="F1863" i="7" s="1"/>
  <c r="G1863" i="7" s="1"/>
  <c r="D1862" i="7"/>
  <c r="E1862" i="7" s="1"/>
  <c r="F1862" i="7" s="1"/>
  <c r="G1862" i="7" s="1"/>
  <c r="D1861" i="7"/>
  <c r="E1861" i="7" s="1"/>
  <c r="F1861" i="7" s="1"/>
  <c r="G1861" i="7" s="1"/>
  <c r="D1860" i="7"/>
  <c r="E1860" i="7" s="1"/>
  <c r="F1860" i="7" s="1"/>
  <c r="G1860" i="7" s="1"/>
  <c r="D1859" i="7"/>
  <c r="E1859" i="7" s="1"/>
  <c r="F1859" i="7" s="1"/>
  <c r="G1859" i="7" s="1"/>
  <c r="D1858" i="7"/>
  <c r="E1858" i="7" s="1"/>
  <c r="F1858" i="7" s="1"/>
  <c r="G1858" i="7" s="1"/>
  <c r="D1857" i="7"/>
  <c r="E1857" i="7" s="1"/>
  <c r="F1857" i="7" s="1"/>
  <c r="G1857" i="7" s="1"/>
  <c r="D1856" i="7"/>
  <c r="E1856" i="7" s="1"/>
  <c r="F1856" i="7" s="1"/>
  <c r="G1856" i="7" s="1"/>
  <c r="D1855" i="7"/>
  <c r="E1855" i="7" s="1"/>
  <c r="F1855" i="7" s="1"/>
  <c r="G1855" i="7" s="1"/>
  <c r="D1854" i="7"/>
  <c r="E1854" i="7" s="1"/>
  <c r="F1854" i="7" s="1"/>
  <c r="G1854" i="7" s="1"/>
  <c r="D1853" i="7"/>
  <c r="E1853" i="7" s="1"/>
  <c r="F1853" i="7" s="1"/>
  <c r="G1853" i="7" s="1"/>
  <c r="D1852" i="7"/>
  <c r="E1852" i="7" s="1"/>
  <c r="F1852" i="7" s="1"/>
  <c r="G1852" i="7" s="1"/>
  <c r="D1851" i="7"/>
  <c r="E1851" i="7" s="1"/>
  <c r="F1851" i="7" s="1"/>
  <c r="G1851" i="7" s="1"/>
  <c r="D1850" i="7"/>
  <c r="E1850" i="7" s="1"/>
  <c r="F1850" i="7" s="1"/>
  <c r="G1850" i="7" s="1"/>
  <c r="D1849" i="7"/>
  <c r="E1849" i="7" s="1"/>
  <c r="F1849" i="7" s="1"/>
  <c r="G1849" i="7" s="1"/>
  <c r="D1848" i="7"/>
  <c r="E1848" i="7" s="1"/>
  <c r="F1848" i="7" s="1"/>
  <c r="G1848" i="7" s="1"/>
  <c r="D1847" i="7"/>
  <c r="E1847" i="7" s="1"/>
  <c r="F1847" i="7" s="1"/>
  <c r="G1847" i="7" s="1"/>
  <c r="D1846" i="7"/>
  <c r="E1846" i="7" s="1"/>
  <c r="F1846" i="7" s="1"/>
  <c r="G1846" i="7" s="1"/>
  <c r="D1845" i="7"/>
  <c r="E1845" i="7" s="1"/>
  <c r="F1845" i="7" s="1"/>
  <c r="G1845" i="7" s="1"/>
  <c r="D1844" i="7"/>
  <c r="E1844" i="7" s="1"/>
  <c r="F1844" i="7" s="1"/>
  <c r="G1844" i="7" s="1"/>
  <c r="D1843" i="7"/>
  <c r="E1843" i="7" s="1"/>
  <c r="F1843" i="7" s="1"/>
  <c r="G1843" i="7" s="1"/>
  <c r="D1842" i="7"/>
  <c r="E1842" i="7" s="1"/>
  <c r="F1842" i="7" s="1"/>
  <c r="G1842" i="7" s="1"/>
  <c r="D1841" i="7"/>
  <c r="E1841" i="7" s="1"/>
  <c r="F1841" i="7" s="1"/>
  <c r="G1841" i="7" s="1"/>
  <c r="D1840" i="7"/>
  <c r="E1840" i="7" s="1"/>
  <c r="F1840" i="7" s="1"/>
  <c r="G1840" i="7" s="1"/>
  <c r="D1839" i="7"/>
  <c r="E1839" i="7" s="1"/>
  <c r="F1839" i="7" s="1"/>
  <c r="G1839" i="7" s="1"/>
  <c r="D1838" i="7"/>
  <c r="E1838" i="7" s="1"/>
  <c r="F1838" i="7" s="1"/>
  <c r="G1838" i="7" s="1"/>
  <c r="D1837" i="7"/>
  <c r="E1837" i="7" s="1"/>
  <c r="F1837" i="7" s="1"/>
  <c r="G1837" i="7" s="1"/>
  <c r="D1836" i="7"/>
  <c r="E1836" i="7" s="1"/>
  <c r="F1836" i="7" s="1"/>
  <c r="G1836" i="7" s="1"/>
  <c r="D1835" i="7"/>
  <c r="E1835" i="7" s="1"/>
  <c r="F1835" i="7" s="1"/>
  <c r="G1835" i="7" s="1"/>
  <c r="D1834" i="7"/>
  <c r="E1834" i="7" s="1"/>
  <c r="F1834" i="7" s="1"/>
  <c r="G1834" i="7" s="1"/>
  <c r="D1833" i="7"/>
  <c r="E1833" i="7" s="1"/>
  <c r="F1833" i="7" s="1"/>
  <c r="G1833" i="7" s="1"/>
  <c r="D1832" i="7"/>
  <c r="E1832" i="7" s="1"/>
  <c r="F1832" i="7" s="1"/>
  <c r="G1832" i="7" s="1"/>
  <c r="D1831" i="7"/>
  <c r="E1831" i="7" s="1"/>
  <c r="F1831" i="7" s="1"/>
  <c r="G1831" i="7" s="1"/>
  <c r="D1830" i="7"/>
  <c r="E1830" i="7" s="1"/>
  <c r="F1830" i="7" s="1"/>
  <c r="G1830" i="7" s="1"/>
  <c r="D1829" i="7"/>
  <c r="E1829" i="7" s="1"/>
  <c r="F1829" i="7" s="1"/>
  <c r="G1829" i="7" s="1"/>
  <c r="D1828" i="7"/>
  <c r="E1828" i="7" s="1"/>
  <c r="F1828" i="7" s="1"/>
  <c r="G1828" i="7" s="1"/>
  <c r="D1827" i="7"/>
  <c r="E1827" i="7" s="1"/>
  <c r="F1827" i="7" s="1"/>
  <c r="G1827" i="7" s="1"/>
  <c r="D1826" i="7"/>
  <c r="E1826" i="7" s="1"/>
  <c r="F1826" i="7" s="1"/>
  <c r="G1826" i="7" s="1"/>
  <c r="D1825" i="7"/>
  <c r="E1825" i="7" s="1"/>
  <c r="F1825" i="7" s="1"/>
  <c r="G1825" i="7" s="1"/>
  <c r="D1824" i="7"/>
  <c r="E1824" i="7" s="1"/>
  <c r="F1824" i="7" s="1"/>
  <c r="G1824" i="7" s="1"/>
  <c r="D1823" i="7"/>
  <c r="E1823" i="7" s="1"/>
  <c r="F1823" i="7" s="1"/>
  <c r="G1823" i="7" s="1"/>
  <c r="D1822" i="7"/>
  <c r="E1822" i="7" s="1"/>
  <c r="F1822" i="7" s="1"/>
  <c r="G1822" i="7" s="1"/>
  <c r="D1821" i="7"/>
  <c r="E1821" i="7" s="1"/>
  <c r="F1821" i="7" s="1"/>
  <c r="G1821" i="7" s="1"/>
  <c r="D1820" i="7"/>
  <c r="E1820" i="7" s="1"/>
  <c r="F1820" i="7" s="1"/>
  <c r="G1820" i="7" s="1"/>
  <c r="D1819" i="7"/>
  <c r="E1819" i="7" s="1"/>
  <c r="F1819" i="7" s="1"/>
  <c r="G1819" i="7" s="1"/>
  <c r="D1818" i="7"/>
  <c r="E1818" i="7" s="1"/>
  <c r="F1818" i="7" s="1"/>
  <c r="G1818" i="7" s="1"/>
  <c r="D1817" i="7"/>
  <c r="E1817" i="7" s="1"/>
  <c r="F1817" i="7" s="1"/>
  <c r="G1817" i="7" s="1"/>
  <c r="D1816" i="7"/>
  <c r="E1816" i="7" s="1"/>
  <c r="F1816" i="7" s="1"/>
  <c r="G1816" i="7" s="1"/>
  <c r="D1815" i="7"/>
  <c r="E1815" i="7" s="1"/>
  <c r="F1815" i="7" s="1"/>
  <c r="G1815" i="7" s="1"/>
  <c r="D1814" i="7"/>
  <c r="E1814" i="7" s="1"/>
  <c r="F1814" i="7" s="1"/>
  <c r="G1814" i="7" s="1"/>
  <c r="D1813" i="7"/>
  <c r="E1813" i="7" s="1"/>
  <c r="F1813" i="7" s="1"/>
  <c r="G1813" i="7" s="1"/>
  <c r="D1812" i="7"/>
  <c r="E1812" i="7" s="1"/>
  <c r="F1812" i="7" s="1"/>
  <c r="G1812" i="7" s="1"/>
  <c r="D1811" i="7"/>
  <c r="E1811" i="7" s="1"/>
  <c r="F1811" i="7" s="1"/>
  <c r="G1811" i="7" s="1"/>
  <c r="D1810" i="7"/>
  <c r="E1810" i="7" s="1"/>
  <c r="F1810" i="7" s="1"/>
  <c r="G1810" i="7" s="1"/>
  <c r="D1809" i="7"/>
  <c r="E1809" i="7" s="1"/>
  <c r="F1809" i="7" s="1"/>
  <c r="G1809" i="7" s="1"/>
  <c r="D1808" i="7"/>
  <c r="E1808" i="7" s="1"/>
  <c r="F1808" i="7" s="1"/>
  <c r="G1808" i="7" s="1"/>
  <c r="D1807" i="7"/>
  <c r="E1807" i="7" s="1"/>
  <c r="F1807" i="7" s="1"/>
  <c r="G1807" i="7" s="1"/>
  <c r="D1806" i="7"/>
  <c r="E1806" i="7" s="1"/>
  <c r="F1806" i="7" s="1"/>
  <c r="G1806" i="7" s="1"/>
  <c r="D1805" i="7"/>
  <c r="E1805" i="7" s="1"/>
  <c r="F1805" i="7" s="1"/>
  <c r="G1805" i="7" s="1"/>
  <c r="D1804" i="7"/>
  <c r="E1804" i="7" s="1"/>
  <c r="F1804" i="7" s="1"/>
  <c r="G1804" i="7" s="1"/>
  <c r="D1803" i="7"/>
  <c r="E1803" i="7" s="1"/>
  <c r="F1803" i="7" s="1"/>
  <c r="G1803" i="7" s="1"/>
  <c r="D1802" i="7"/>
  <c r="E1802" i="7" s="1"/>
  <c r="F1802" i="7" s="1"/>
  <c r="G1802" i="7" s="1"/>
  <c r="D1801" i="7"/>
  <c r="E1801" i="7" s="1"/>
  <c r="F1801" i="7" s="1"/>
  <c r="G1801" i="7" s="1"/>
  <c r="D1800" i="7"/>
  <c r="E1800" i="7" s="1"/>
  <c r="F1800" i="7" s="1"/>
  <c r="G1800" i="7" s="1"/>
  <c r="D1799" i="7"/>
  <c r="E1799" i="7" s="1"/>
  <c r="F1799" i="7" s="1"/>
  <c r="G1799" i="7" s="1"/>
  <c r="D1798" i="7"/>
  <c r="E1798" i="7" s="1"/>
  <c r="F1798" i="7" s="1"/>
  <c r="G1798" i="7" s="1"/>
  <c r="D1797" i="7"/>
  <c r="E1797" i="7" s="1"/>
  <c r="F1797" i="7" s="1"/>
  <c r="G1797" i="7" s="1"/>
  <c r="D1796" i="7"/>
  <c r="E1796" i="7" s="1"/>
  <c r="F1796" i="7" s="1"/>
  <c r="G1796" i="7" s="1"/>
  <c r="D1795" i="7"/>
  <c r="E1795" i="7" s="1"/>
  <c r="F1795" i="7" s="1"/>
  <c r="G1795" i="7" s="1"/>
  <c r="D1794" i="7"/>
  <c r="E1794" i="7" s="1"/>
  <c r="F1794" i="7" s="1"/>
  <c r="G1794" i="7" s="1"/>
  <c r="D1793" i="7"/>
  <c r="E1793" i="7" s="1"/>
  <c r="F1793" i="7" s="1"/>
  <c r="G1793" i="7" s="1"/>
  <c r="D1792" i="7"/>
  <c r="E1792" i="7" s="1"/>
  <c r="F1792" i="7" s="1"/>
  <c r="G1792" i="7" s="1"/>
  <c r="D1791" i="7"/>
  <c r="E1791" i="7" s="1"/>
  <c r="F1791" i="7" s="1"/>
  <c r="G1791" i="7" s="1"/>
  <c r="D1790" i="7"/>
  <c r="E1790" i="7" s="1"/>
  <c r="F1790" i="7" s="1"/>
  <c r="G1790" i="7" s="1"/>
  <c r="D1789" i="7"/>
  <c r="E1789" i="7" s="1"/>
  <c r="F1789" i="7" s="1"/>
  <c r="G1789" i="7" s="1"/>
  <c r="D1788" i="7"/>
  <c r="E1788" i="7" s="1"/>
  <c r="F1788" i="7" s="1"/>
  <c r="G1788" i="7" s="1"/>
  <c r="D1787" i="7"/>
  <c r="E1787" i="7" s="1"/>
  <c r="F1787" i="7" s="1"/>
  <c r="G1787" i="7" s="1"/>
  <c r="D1786" i="7"/>
  <c r="E1786" i="7" s="1"/>
  <c r="F1786" i="7" s="1"/>
  <c r="G1786" i="7" s="1"/>
  <c r="D1785" i="7"/>
  <c r="E1785" i="7" s="1"/>
  <c r="F1785" i="7" s="1"/>
  <c r="G1785" i="7" s="1"/>
  <c r="D1784" i="7"/>
  <c r="E1784" i="7" s="1"/>
  <c r="F1784" i="7" s="1"/>
  <c r="G1784" i="7" s="1"/>
  <c r="D1783" i="7"/>
  <c r="E1783" i="7" s="1"/>
  <c r="F1783" i="7" s="1"/>
  <c r="G1783" i="7" s="1"/>
  <c r="D1782" i="7"/>
  <c r="E1782" i="7" s="1"/>
  <c r="F1782" i="7" s="1"/>
  <c r="G1782" i="7" s="1"/>
  <c r="D1781" i="7"/>
  <c r="E1781" i="7" s="1"/>
  <c r="F1781" i="7" s="1"/>
  <c r="G1781" i="7" s="1"/>
  <c r="D1780" i="7"/>
  <c r="E1780" i="7" s="1"/>
  <c r="F1780" i="7" s="1"/>
  <c r="G1780" i="7" s="1"/>
  <c r="D1779" i="7"/>
  <c r="E1779" i="7" s="1"/>
  <c r="F1779" i="7" s="1"/>
  <c r="G1779" i="7" s="1"/>
  <c r="D1778" i="7"/>
  <c r="E1778" i="7" s="1"/>
  <c r="F1778" i="7" s="1"/>
  <c r="G1778" i="7" s="1"/>
  <c r="D1777" i="7"/>
  <c r="E1777" i="7" s="1"/>
  <c r="F1777" i="7" s="1"/>
  <c r="G1777" i="7" s="1"/>
  <c r="D1776" i="7"/>
  <c r="E1776" i="7" s="1"/>
  <c r="F1776" i="7" s="1"/>
  <c r="G1776" i="7" s="1"/>
  <c r="D1775" i="7"/>
  <c r="E1775" i="7" s="1"/>
  <c r="F1775" i="7" s="1"/>
  <c r="G1775" i="7" s="1"/>
  <c r="D1774" i="7"/>
  <c r="E1774" i="7" s="1"/>
  <c r="F1774" i="7" s="1"/>
  <c r="G1774" i="7" s="1"/>
  <c r="D1773" i="7"/>
  <c r="E1773" i="7" s="1"/>
  <c r="F1773" i="7" s="1"/>
  <c r="G1773" i="7" s="1"/>
  <c r="D1772" i="7"/>
  <c r="E1772" i="7" s="1"/>
  <c r="F1772" i="7" s="1"/>
  <c r="G1772" i="7" s="1"/>
  <c r="D1771" i="7"/>
  <c r="E1771" i="7" s="1"/>
  <c r="F1771" i="7" s="1"/>
  <c r="G1771" i="7" s="1"/>
  <c r="D1770" i="7"/>
  <c r="E1770" i="7" s="1"/>
  <c r="F1770" i="7" s="1"/>
  <c r="G1770" i="7" s="1"/>
  <c r="D1769" i="7"/>
  <c r="E1769" i="7" s="1"/>
  <c r="F1769" i="7" s="1"/>
  <c r="G1769" i="7" s="1"/>
  <c r="D1768" i="7"/>
  <c r="E1768" i="7" s="1"/>
  <c r="F1768" i="7" s="1"/>
  <c r="G1768" i="7" s="1"/>
  <c r="D1767" i="7"/>
  <c r="E1767" i="7" s="1"/>
  <c r="F1767" i="7" s="1"/>
  <c r="G1767" i="7" s="1"/>
  <c r="D1766" i="7"/>
  <c r="E1766" i="7" s="1"/>
  <c r="F1766" i="7" s="1"/>
  <c r="G1766" i="7" s="1"/>
  <c r="D1765" i="7"/>
  <c r="E1765" i="7" s="1"/>
  <c r="F1765" i="7" s="1"/>
  <c r="G1765" i="7" s="1"/>
  <c r="D1764" i="7"/>
  <c r="E1764" i="7" s="1"/>
  <c r="F1764" i="7" s="1"/>
  <c r="G1764" i="7" s="1"/>
  <c r="D1763" i="7"/>
  <c r="E1763" i="7" s="1"/>
  <c r="F1763" i="7" s="1"/>
  <c r="G1763" i="7" s="1"/>
  <c r="D1762" i="7"/>
  <c r="E1762" i="7" s="1"/>
  <c r="F1762" i="7" s="1"/>
  <c r="G1762" i="7" s="1"/>
  <c r="D1761" i="7"/>
  <c r="E1761" i="7" s="1"/>
  <c r="F1761" i="7" s="1"/>
  <c r="G1761" i="7" s="1"/>
  <c r="D1760" i="7"/>
  <c r="E1760" i="7" s="1"/>
  <c r="F1760" i="7" s="1"/>
  <c r="G1760" i="7" s="1"/>
  <c r="D1759" i="7"/>
  <c r="E1759" i="7" s="1"/>
  <c r="F1759" i="7" s="1"/>
  <c r="G1759" i="7" s="1"/>
  <c r="D1758" i="7"/>
  <c r="E1758" i="7" s="1"/>
  <c r="F1758" i="7" s="1"/>
  <c r="G1758" i="7" s="1"/>
  <c r="D1757" i="7"/>
  <c r="E1757" i="7" s="1"/>
  <c r="F1757" i="7" s="1"/>
  <c r="G1757" i="7" s="1"/>
  <c r="D1756" i="7"/>
  <c r="E1756" i="7" s="1"/>
  <c r="F1756" i="7" s="1"/>
  <c r="G1756" i="7" s="1"/>
  <c r="D1755" i="7"/>
  <c r="E1755" i="7" s="1"/>
  <c r="F1755" i="7" s="1"/>
  <c r="G1755" i="7" s="1"/>
  <c r="D1754" i="7"/>
  <c r="E1754" i="7" s="1"/>
  <c r="F1754" i="7" s="1"/>
  <c r="G1754" i="7" s="1"/>
  <c r="D1753" i="7"/>
  <c r="E1753" i="7" s="1"/>
  <c r="F1753" i="7" s="1"/>
  <c r="G1753" i="7" s="1"/>
  <c r="D1752" i="7"/>
  <c r="E1752" i="7" s="1"/>
  <c r="F1752" i="7" s="1"/>
  <c r="G1752" i="7" s="1"/>
  <c r="D1751" i="7"/>
  <c r="E1751" i="7" s="1"/>
  <c r="F1751" i="7" s="1"/>
  <c r="G1751" i="7" s="1"/>
  <c r="D1750" i="7"/>
  <c r="E1750" i="7" s="1"/>
  <c r="F1750" i="7" s="1"/>
  <c r="G1750" i="7" s="1"/>
  <c r="D1749" i="7"/>
  <c r="E1749" i="7" s="1"/>
  <c r="F1749" i="7" s="1"/>
  <c r="G1749" i="7" s="1"/>
  <c r="D1748" i="7"/>
  <c r="E1748" i="7" s="1"/>
  <c r="F1748" i="7" s="1"/>
  <c r="G1748" i="7" s="1"/>
  <c r="D1747" i="7"/>
  <c r="E1747" i="7" s="1"/>
  <c r="F1747" i="7" s="1"/>
  <c r="G1747" i="7" s="1"/>
  <c r="D1746" i="7"/>
  <c r="E1746" i="7" s="1"/>
  <c r="F1746" i="7" s="1"/>
  <c r="G1746" i="7" s="1"/>
  <c r="D1745" i="7"/>
  <c r="E1745" i="7" s="1"/>
  <c r="F1745" i="7" s="1"/>
  <c r="G1745" i="7" s="1"/>
  <c r="D1744" i="7"/>
  <c r="E1744" i="7" s="1"/>
  <c r="F1744" i="7" s="1"/>
  <c r="G1744" i="7" s="1"/>
  <c r="D1743" i="7"/>
  <c r="E1743" i="7" s="1"/>
  <c r="F1743" i="7" s="1"/>
  <c r="G1743" i="7" s="1"/>
  <c r="D1742" i="7"/>
  <c r="E1742" i="7" s="1"/>
  <c r="F1742" i="7" s="1"/>
  <c r="G1742" i="7" s="1"/>
  <c r="D1741" i="7"/>
  <c r="E1741" i="7" s="1"/>
  <c r="F1741" i="7" s="1"/>
  <c r="G1741" i="7" s="1"/>
  <c r="D1740" i="7"/>
  <c r="E1740" i="7" s="1"/>
  <c r="F1740" i="7" s="1"/>
  <c r="G1740" i="7" s="1"/>
  <c r="D1739" i="7"/>
  <c r="E1739" i="7" s="1"/>
  <c r="F1739" i="7" s="1"/>
  <c r="G1739" i="7" s="1"/>
  <c r="D1738" i="7"/>
  <c r="E1738" i="7" s="1"/>
  <c r="F1738" i="7" s="1"/>
  <c r="G1738" i="7" s="1"/>
  <c r="D1737" i="7"/>
  <c r="E1737" i="7" s="1"/>
  <c r="F1737" i="7" s="1"/>
  <c r="G1737" i="7" s="1"/>
  <c r="D1736" i="7"/>
  <c r="E1736" i="7" s="1"/>
  <c r="F1736" i="7" s="1"/>
  <c r="G1736" i="7" s="1"/>
  <c r="D1735" i="7"/>
  <c r="E1735" i="7" s="1"/>
  <c r="F1735" i="7" s="1"/>
  <c r="G1735" i="7" s="1"/>
  <c r="D1734" i="7"/>
  <c r="E1734" i="7" s="1"/>
  <c r="F1734" i="7" s="1"/>
  <c r="G1734" i="7" s="1"/>
  <c r="D1733" i="7"/>
  <c r="E1733" i="7" s="1"/>
  <c r="F1733" i="7" s="1"/>
  <c r="G1733" i="7" s="1"/>
  <c r="D1732" i="7"/>
  <c r="E1732" i="7" s="1"/>
  <c r="F1732" i="7" s="1"/>
  <c r="G1732" i="7" s="1"/>
  <c r="D1731" i="7"/>
  <c r="E1731" i="7" s="1"/>
  <c r="F1731" i="7" s="1"/>
  <c r="G1731" i="7" s="1"/>
  <c r="D1730" i="7"/>
  <c r="E1730" i="7" s="1"/>
  <c r="F1730" i="7" s="1"/>
  <c r="G1730" i="7" s="1"/>
  <c r="D1729" i="7"/>
  <c r="E1729" i="7" s="1"/>
  <c r="F1729" i="7" s="1"/>
  <c r="G1729" i="7" s="1"/>
  <c r="D1728" i="7"/>
  <c r="E1728" i="7" s="1"/>
  <c r="F1728" i="7" s="1"/>
  <c r="G1728" i="7" s="1"/>
  <c r="D1727" i="7"/>
  <c r="E1727" i="7" s="1"/>
  <c r="F1727" i="7" s="1"/>
  <c r="G1727" i="7" s="1"/>
  <c r="D1726" i="7"/>
  <c r="E1726" i="7" s="1"/>
  <c r="F1726" i="7" s="1"/>
  <c r="G1726" i="7" s="1"/>
  <c r="D1725" i="7"/>
  <c r="E1725" i="7" s="1"/>
  <c r="F1725" i="7" s="1"/>
  <c r="G1725" i="7" s="1"/>
  <c r="D1724" i="7"/>
  <c r="E1724" i="7" s="1"/>
  <c r="F1724" i="7" s="1"/>
  <c r="G1724" i="7" s="1"/>
  <c r="D1723" i="7"/>
  <c r="E1723" i="7" s="1"/>
  <c r="F1723" i="7" s="1"/>
  <c r="G1723" i="7" s="1"/>
  <c r="D1722" i="7"/>
  <c r="E1722" i="7" s="1"/>
  <c r="F1722" i="7" s="1"/>
  <c r="G1722" i="7" s="1"/>
  <c r="D1721" i="7"/>
  <c r="E1721" i="7" s="1"/>
  <c r="F1721" i="7" s="1"/>
  <c r="G1721" i="7" s="1"/>
  <c r="D1720" i="7"/>
  <c r="E1720" i="7" s="1"/>
  <c r="F1720" i="7" s="1"/>
  <c r="G1720" i="7" s="1"/>
  <c r="D1719" i="7"/>
  <c r="E1719" i="7" s="1"/>
  <c r="F1719" i="7" s="1"/>
  <c r="G1719" i="7" s="1"/>
  <c r="D1718" i="7"/>
  <c r="E1718" i="7" s="1"/>
  <c r="F1718" i="7" s="1"/>
  <c r="G1718" i="7" s="1"/>
  <c r="D1717" i="7"/>
  <c r="E1717" i="7" s="1"/>
  <c r="F1717" i="7" s="1"/>
  <c r="G1717" i="7" s="1"/>
  <c r="D1716" i="7"/>
  <c r="E1716" i="7" s="1"/>
  <c r="F1716" i="7" s="1"/>
  <c r="G1716" i="7" s="1"/>
  <c r="D1715" i="7"/>
  <c r="E1715" i="7" s="1"/>
  <c r="F1715" i="7" s="1"/>
  <c r="G1715" i="7" s="1"/>
  <c r="D1714" i="7"/>
  <c r="E1714" i="7" s="1"/>
  <c r="F1714" i="7" s="1"/>
  <c r="G1714" i="7" s="1"/>
  <c r="D1713" i="7"/>
  <c r="E1713" i="7" s="1"/>
  <c r="F1713" i="7" s="1"/>
  <c r="G1713" i="7" s="1"/>
  <c r="D1712" i="7"/>
  <c r="E1712" i="7" s="1"/>
  <c r="F1712" i="7" s="1"/>
  <c r="G1712" i="7" s="1"/>
  <c r="D1711" i="7"/>
  <c r="E1711" i="7" s="1"/>
  <c r="F1711" i="7" s="1"/>
  <c r="G1711" i="7" s="1"/>
  <c r="D1710" i="7"/>
  <c r="E1710" i="7" s="1"/>
  <c r="F1710" i="7" s="1"/>
  <c r="G1710" i="7" s="1"/>
  <c r="D1709" i="7"/>
  <c r="E1709" i="7" s="1"/>
  <c r="F1709" i="7" s="1"/>
  <c r="G1709" i="7" s="1"/>
  <c r="D1708" i="7"/>
  <c r="E1708" i="7" s="1"/>
  <c r="F1708" i="7" s="1"/>
  <c r="G1708" i="7" s="1"/>
  <c r="D1707" i="7"/>
  <c r="E1707" i="7" s="1"/>
  <c r="F1707" i="7" s="1"/>
  <c r="G1707" i="7" s="1"/>
  <c r="D1706" i="7"/>
  <c r="E1706" i="7" s="1"/>
  <c r="F1706" i="7" s="1"/>
  <c r="G1706" i="7" s="1"/>
  <c r="D1705" i="7"/>
  <c r="E1705" i="7" s="1"/>
  <c r="F1705" i="7" s="1"/>
  <c r="G1705" i="7" s="1"/>
  <c r="D1704" i="7"/>
  <c r="E1704" i="7" s="1"/>
  <c r="F1704" i="7" s="1"/>
  <c r="G1704" i="7" s="1"/>
  <c r="D1703" i="7"/>
  <c r="E1703" i="7" s="1"/>
  <c r="F1703" i="7" s="1"/>
  <c r="G1703" i="7" s="1"/>
  <c r="D1702" i="7"/>
  <c r="E1702" i="7" s="1"/>
  <c r="F1702" i="7" s="1"/>
  <c r="G1702" i="7" s="1"/>
  <c r="D1701" i="7"/>
  <c r="E1701" i="7" s="1"/>
  <c r="F1701" i="7" s="1"/>
  <c r="G1701" i="7" s="1"/>
  <c r="D1700" i="7"/>
  <c r="E1700" i="7" s="1"/>
  <c r="F1700" i="7" s="1"/>
  <c r="G1700" i="7" s="1"/>
  <c r="D1699" i="7"/>
  <c r="E1699" i="7" s="1"/>
  <c r="F1699" i="7" s="1"/>
  <c r="G1699" i="7" s="1"/>
  <c r="D1698" i="7"/>
  <c r="E1698" i="7" s="1"/>
  <c r="F1698" i="7" s="1"/>
  <c r="G1698" i="7" s="1"/>
  <c r="D1697" i="7"/>
  <c r="E1697" i="7" s="1"/>
  <c r="F1697" i="7" s="1"/>
  <c r="G1697" i="7" s="1"/>
  <c r="D1696" i="7"/>
  <c r="E1696" i="7" s="1"/>
  <c r="F1696" i="7" s="1"/>
  <c r="G1696" i="7" s="1"/>
  <c r="D1695" i="7"/>
  <c r="E1695" i="7" s="1"/>
  <c r="F1695" i="7" s="1"/>
  <c r="G1695" i="7" s="1"/>
  <c r="D1694" i="7"/>
  <c r="E1694" i="7" s="1"/>
  <c r="F1694" i="7" s="1"/>
  <c r="G1694" i="7" s="1"/>
  <c r="D1693" i="7"/>
  <c r="E1693" i="7" s="1"/>
  <c r="F1693" i="7" s="1"/>
  <c r="G1693" i="7" s="1"/>
  <c r="D1692" i="7"/>
  <c r="E1692" i="7" s="1"/>
  <c r="F1692" i="7" s="1"/>
  <c r="G1692" i="7" s="1"/>
  <c r="D1691" i="7"/>
  <c r="E1691" i="7" s="1"/>
  <c r="F1691" i="7" s="1"/>
  <c r="G1691" i="7" s="1"/>
  <c r="D1690" i="7"/>
  <c r="E1690" i="7" s="1"/>
  <c r="F1690" i="7" s="1"/>
  <c r="G1690" i="7" s="1"/>
  <c r="D1689" i="7"/>
  <c r="E1689" i="7" s="1"/>
  <c r="F1689" i="7" s="1"/>
  <c r="G1689" i="7" s="1"/>
  <c r="D1688" i="7"/>
  <c r="E1688" i="7" s="1"/>
  <c r="F1688" i="7" s="1"/>
  <c r="G1688" i="7" s="1"/>
  <c r="D1687" i="7"/>
  <c r="E1687" i="7" s="1"/>
  <c r="F1687" i="7" s="1"/>
  <c r="G1687" i="7" s="1"/>
  <c r="D1686" i="7"/>
  <c r="E1686" i="7" s="1"/>
  <c r="F1686" i="7" s="1"/>
  <c r="G1686" i="7" s="1"/>
  <c r="D1685" i="7"/>
  <c r="E1685" i="7" s="1"/>
  <c r="F1685" i="7" s="1"/>
  <c r="G1685" i="7" s="1"/>
  <c r="D1684" i="7"/>
  <c r="E1684" i="7" s="1"/>
  <c r="F1684" i="7" s="1"/>
  <c r="G1684" i="7" s="1"/>
  <c r="D1683" i="7"/>
  <c r="E1683" i="7" s="1"/>
  <c r="F1683" i="7" s="1"/>
  <c r="G1683" i="7" s="1"/>
  <c r="D1682" i="7"/>
  <c r="E1682" i="7" s="1"/>
  <c r="F1682" i="7" s="1"/>
  <c r="G1682" i="7" s="1"/>
  <c r="D1681" i="7"/>
  <c r="E1681" i="7" s="1"/>
  <c r="F1681" i="7" s="1"/>
  <c r="G1681" i="7" s="1"/>
  <c r="D1680" i="7"/>
  <c r="E1680" i="7" s="1"/>
  <c r="F1680" i="7" s="1"/>
  <c r="G1680" i="7" s="1"/>
  <c r="D1679" i="7"/>
  <c r="E1679" i="7" s="1"/>
  <c r="F1679" i="7" s="1"/>
  <c r="G1679" i="7" s="1"/>
  <c r="D1678" i="7"/>
  <c r="E1678" i="7" s="1"/>
  <c r="F1678" i="7" s="1"/>
  <c r="G1678" i="7" s="1"/>
  <c r="D1677" i="7"/>
  <c r="E1677" i="7" s="1"/>
  <c r="F1677" i="7" s="1"/>
  <c r="G1677" i="7" s="1"/>
  <c r="D1676" i="7"/>
  <c r="E1676" i="7" s="1"/>
  <c r="F1676" i="7" s="1"/>
  <c r="G1676" i="7" s="1"/>
  <c r="D1675" i="7"/>
  <c r="E1675" i="7" s="1"/>
  <c r="F1675" i="7" s="1"/>
  <c r="G1675" i="7" s="1"/>
  <c r="D1674" i="7"/>
  <c r="E1674" i="7" s="1"/>
  <c r="F1674" i="7" s="1"/>
  <c r="G1674" i="7" s="1"/>
  <c r="D1673" i="7"/>
  <c r="E1673" i="7" s="1"/>
  <c r="F1673" i="7" s="1"/>
  <c r="G1673" i="7" s="1"/>
  <c r="D1672" i="7"/>
  <c r="E1672" i="7" s="1"/>
  <c r="F1672" i="7" s="1"/>
  <c r="G1672" i="7" s="1"/>
  <c r="D1671" i="7"/>
  <c r="E1671" i="7" s="1"/>
  <c r="F1671" i="7" s="1"/>
  <c r="G1671" i="7" s="1"/>
  <c r="D1670" i="7"/>
  <c r="E1670" i="7" s="1"/>
  <c r="F1670" i="7" s="1"/>
  <c r="G1670" i="7" s="1"/>
  <c r="D1669" i="7"/>
  <c r="E1669" i="7" s="1"/>
  <c r="F1669" i="7" s="1"/>
  <c r="G1669" i="7" s="1"/>
  <c r="D1668" i="7"/>
  <c r="E1668" i="7" s="1"/>
  <c r="F1668" i="7" s="1"/>
  <c r="G1668" i="7" s="1"/>
  <c r="D1667" i="7"/>
  <c r="E1667" i="7" s="1"/>
  <c r="F1667" i="7" s="1"/>
  <c r="G1667" i="7" s="1"/>
  <c r="D1666" i="7"/>
  <c r="E1666" i="7" s="1"/>
  <c r="F1666" i="7" s="1"/>
  <c r="G1666" i="7" s="1"/>
  <c r="D1665" i="7"/>
  <c r="E1665" i="7" s="1"/>
  <c r="F1665" i="7" s="1"/>
  <c r="G1665" i="7" s="1"/>
  <c r="D1664" i="7"/>
  <c r="E1664" i="7" s="1"/>
  <c r="F1664" i="7" s="1"/>
  <c r="G1664" i="7" s="1"/>
  <c r="D1663" i="7"/>
  <c r="E1663" i="7" s="1"/>
  <c r="F1663" i="7" s="1"/>
  <c r="G1663" i="7" s="1"/>
  <c r="D1662" i="7"/>
  <c r="E1662" i="7" s="1"/>
  <c r="F1662" i="7" s="1"/>
  <c r="G1662" i="7" s="1"/>
  <c r="D1661" i="7"/>
  <c r="E1661" i="7" s="1"/>
  <c r="F1661" i="7" s="1"/>
  <c r="G1661" i="7" s="1"/>
  <c r="D1660" i="7"/>
  <c r="E1660" i="7" s="1"/>
  <c r="F1660" i="7" s="1"/>
  <c r="G1660" i="7" s="1"/>
  <c r="D1659" i="7"/>
  <c r="E1659" i="7" s="1"/>
  <c r="F1659" i="7" s="1"/>
  <c r="G1659" i="7" s="1"/>
  <c r="D1658" i="7"/>
  <c r="E1658" i="7" s="1"/>
  <c r="F1658" i="7" s="1"/>
  <c r="G1658" i="7" s="1"/>
  <c r="D1657" i="7"/>
  <c r="E1657" i="7" s="1"/>
  <c r="F1657" i="7" s="1"/>
  <c r="G1657" i="7" s="1"/>
  <c r="D1656" i="7"/>
  <c r="E1656" i="7" s="1"/>
  <c r="F1656" i="7" s="1"/>
  <c r="G1656" i="7" s="1"/>
  <c r="D1655" i="7"/>
  <c r="E1655" i="7" s="1"/>
  <c r="F1655" i="7" s="1"/>
  <c r="G1655" i="7" s="1"/>
  <c r="D1654" i="7"/>
  <c r="E1654" i="7" s="1"/>
  <c r="F1654" i="7" s="1"/>
  <c r="G1654" i="7" s="1"/>
  <c r="D1653" i="7"/>
  <c r="E1653" i="7" s="1"/>
  <c r="F1653" i="7" s="1"/>
  <c r="G1653" i="7" s="1"/>
  <c r="D1652" i="7"/>
  <c r="E1652" i="7" s="1"/>
  <c r="F1652" i="7" s="1"/>
  <c r="G1652" i="7" s="1"/>
  <c r="D1651" i="7"/>
  <c r="E1651" i="7" s="1"/>
  <c r="F1651" i="7" s="1"/>
  <c r="G1651" i="7" s="1"/>
  <c r="D1650" i="7"/>
  <c r="E1650" i="7" s="1"/>
  <c r="F1650" i="7" s="1"/>
  <c r="G1650" i="7" s="1"/>
  <c r="D1649" i="7"/>
  <c r="E1649" i="7" s="1"/>
  <c r="F1649" i="7" s="1"/>
  <c r="G1649" i="7" s="1"/>
  <c r="D1648" i="7"/>
  <c r="E1648" i="7" s="1"/>
  <c r="F1648" i="7" s="1"/>
  <c r="G1648" i="7" s="1"/>
  <c r="D1647" i="7"/>
  <c r="E1647" i="7" s="1"/>
  <c r="F1647" i="7" s="1"/>
  <c r="G1647" i="7" s="1"/>
  <c r="D1646" i="7"/>
  <c r="E1646" i="7" s="1"/>
  <c r="F1646" i="7" s="1"/>
  <c r="G1646" i="7" s="1"/>
  <c r="D1645" i="7"/>
  <c r="E1645" i="7" s="1"/>
  <c r="F1645" i="7" s="1"/>
  <c r="G1645" i="7" s="1"/>
  <c r="D1644" i="7"/>
  <c r="E1644" i="7" s="1"/>
  <c r="F1644" i="7" s="1"/>
  <c r="G1644" i="7" s="1"/>
  <c r="D1643" i="7"/>
  <c r="E1643" i="7" s="1"/>
  <c r="F1643" i="7" s="1"/>
  <c r="G1643" i="7" s="1"/>
  <c r="D1642" i="7"/>
  <c r="E1642" i="7" s="1"/>
  <c r="F1642" i="7" s="1"/>
  <c r="G1642" i="7" s="1"/>
  <c r="D1641" i="7"/>
  <c r="E1641" i="7" s="1"/>
  <c r="F1641" i="7" s="1"/>
  <c r="G1641" i="7" s="1"/>
  <c r="D1640" i="7"/>
  <c r="E1640" i="7" s="1"/>
  <c r="F1640" i="7" s="1"/>
  <c r="G1640" i="7" s="1"/>
  <c r="D1639" i="7"/>
  <c r="E1639" i="7" s="1"/>
  <c r="F1639" i="7" s="1"/>
  <c r="G1639" i="7" s="1"/>
  <c r="D1638" i="7"/>
  <c r="E1638" i="7" s="1"/>
  <c r="F1638" i="7" s="1"/>
  <c r="G1638" i="7" s="1"/>
  <c r="D1637" i="7"/>
  <c r="E1637" i="7" s="1"/>
  <c r="F1637" i="7" s="1"/>
  <c r="G1637" i="7" s="1"/>
  <c r="D1636" i="7"/>
  <c r="E1636" i="7" s="1"/>
  <c r="F1636" i="7" s="1"/>
  <c r="G1636" i="7" s="1"/>
  <c r="D1635" i="7"/>
  <c r="E1635" i="7" s="1"/>
  <c r="F1635" i="7" s="1"/>
  <c r="G1635" i="7" s="1"/>
  <c r="D1634" i="7"/>
  <c r="E1634" i="7" s="1"/>
  <c r="F1634" i="7" s="1"/>
  <c r="G1634" i="7" s="1"/>
  <c r="D1633" i="7"/>
  <c r="E1633" i="7" s="1"/>
  <c r="F1633" i="7" s="1"/>
  <c r="G1633" i="7" s="1"/>
  <c r="D1632" i="7"/>
  <c r="E1632" i="7" s="1"/>
  <c r="F1632" i="7" s="1"/>
  <c r="G1632" i="7" s="1"/>
  <c r="D1631" i="7"/>
  <c r="E1631" i="7" s="1"/>
  <c r="F1631" i="7" s="1"/>
  <c r="G1631" i="7" s="1"/>
  <c r="D1630" i="7"/>
  <c r="E1630" i="7" s="1"/>
  <c r="F1630" i="7" s="1"/>
  <c r="G1630" i="7" s="1"/>
  <c r="D1629" i="7"/>
  <c r="E1629" i="7" s="1"/>
  <c r="F1629" i="7" s="1"/>
  <c r="G1629" i="7" s="1"/>
  <c r="D1628" i="7"/>
  <c r="E1628" i="7" s="1"/>
  <c r="F1628" i="7" s="1"/>
  <c r="G1628" i="7" s="1"/>
  <c r="D1627" i="7"/>
  <c r="E1627" i="7" s="1"/>
  <c r="F1627" i="7" s="1"/>
  <c r="G1627" i="7" s="1"/>
  <c r="D1626" i="7"/>
  <c r="E1626" i="7" s="1"/>
  <c r="F1626" i="7" s="1"/>
  <c r="G1626" i="7" s="1"/>
  <c r="D1625" i="7"/>
  <c r="E1625" i="7" s="1"/>
  <c r="F1625" i="7" s="1"/>
  <c r="G1625" i="7" s="1"/>
  <c r="D1624" i="7"/>
  <c r="E1624" i="7" s="1"/>
  <c r="F1624" i="7" s="1"/>
  <c r="G1624" i="7" s="1"/>
  <c r="D1623" i="7"/>
  <c r="E1623" i="7" s="1"/>
  <c r="F1623" i="7" s="1"/>
  <c r="G1623" i="7" s="1"/>
  <c r="D1622" i="7"/>
  <c r="E1622" i="7" s="1"/>
  <c r="F1622" i="7" s="1"/>
  <c r="G1622" i="7" s="1"/>
  <c r="D1621" i="7"/>
  <c r="E1621" i="7" s="1"/>
  <c r="F1621" i="7" s="1"/>
  <c r="G1621" i="7" s="1"/>
  <c r="D1620" i="7"/>
  <c r="E1620" i="7" s="1"/>
  <c r="F1620" i="7" s="1"/>
  <c r="G1620" i="7" s="1"/>
  <c r="D1619" i="7"/>
  <c r="E1619" i="7" s="1"/>
  <c r="F1619" i="7" s="1"/>
  <c r="G1619" i="7" s="1"/>
  <c r="D1618" i="7"/>
  <c r="E1618" i="7" s="1"/>
  <c r="F1618" i="7" s="1"/>
  <c r="G1618" i="7" s="1"/>
  <c r="D1617" i="7"/>
  <c r="E1617" i="7" s="1"/>
  <c r="F1617" i="7" s="1"/>
  <c r="G1617" i="7" s="1"/>
  <c r="D1616" i="7"/>
  <c r="E1616" i="7" s="1"/>
  <c r="F1616" i="7" s="1"/>
  <c r="G1616" i="7" s="1"/>
  <c r="D1615" i="7"/>
  <c r="E1615" i="7" s="1"/>
  <c r="F1615" i="7" s="1"/>
  <c r="G1615" i="7" s="1"/>
  <c r="D1614" i="7"/>
  <c r="E1614" i="7" s="1"/>
  <c r="F1614" i="7" s="1"/>
  <c r="G1614" i="7" s="1"/>
  <c r="D1613" i="7"/>
  <c r="E1613" i="7" s="1"/>
  <c r="F1613" i="7" s="1"/>
  <c r="G1613" i="7" s="1"/>
  <c r="D1612" i="7"/>
  <c r="E1612" i="7" s="1"/>
  <c r="F1612" i="7" s="1"/>
  <c r="G1612" i="7" s="1"/>
  <c r="D1611" i="7"/>
  <c r="E1611" i="7" s="1"/>
  <c r="F1611" i="7" s="1"/>
  <c r="G1611" i="7" s="1"/>
  <c r="D1610" i="7"/>
  <c r="E1610" i="7" s="1"/>
  <c r="F1610" i="7" s="1"/>
  <c r="G1610" i="7" s="1"/>
  <c r="D1609" i="7"/>
  <c r="E1609" i="7" s="1"/>
  <c r="F1609" i="7" s="1"/>
  <c r="G1609" i="7" s="1"/>
  <c r="D1608" i="7"/>
  <c r="E1608" i="7" s="1"/>
  <c r="F1608" i="7" s="1"/>
  <c r="G1608" i="7" s="1"/>
  <c r="D1607" i="7"/>
  <c r="E1607" i="7" s="1"/>
  <c r="F1607" i="7" s="1"/>
  <c r="G1607" i="7" s="1"/>
  <c r="D1606" i="7"/>
  <c r="E1606" i="7" s="1"/>
  <c r="F1606" i="7" s="1"/>
  <c r="G1606" i="7" s="1"/>
  <c r="D1605" i="7"/>
  <c r="E1605" i="7" s="1"/>
  <c r="F1605" i="7" s="1"/>
  <c r="G1605" i="7" s="1"/>
  <c r="D1604" i="7"/>
  <c r="E1604" i="7" s="1"/>
  <c r="F1604" i="7" s="1"/>
  <c r="G1604" i="7" s="1"/>
  <c r="D1603" i="7"/>
  <c r="E1603" i="7" s="1"/>
  <c r="F1603" i="7" s="1"/>
  <c r="G1603" i="7" s="1"/>
  <c r="D1602" i="7"/>
  <c r="E1602" i="7" s="1"/>
  <c r="F1602" i="7" s="1"/>
  <c r="G1602" i="7" s="1"/>
  <c r="D1601" i="7"/>
  <c r="E1601" i="7" s="1"/>
  <c r="F1601" i="7" s="1"/>
  <c r="G1601" i="7" s="1"/>
  <c r="D1600" i="7"/>
  <c r="E1600" i="7" s="1"/>
  <c r="F1600" i="7" s="1"/>
  <c r="G1600" i="7" s="1"/>
  <c r="D1599" i="7"/>
  <c r="E1599" i="7" s="1"/>
  <c r="F1599" i="7" s="1"/>
  <c r="G1599" i="7" s="1"/>
  <c r="D1598" i="7"/>
  <c r="E1598" i="7" s="1"/>
  <c r="F1598" i="7" s="1"/>
  <c r="G1598" i="7" s="1"/>
  <c r="D1597" i="7"/>
  <c r="E1597" i="7" s="1"/>
  <c r="F1597" i="7" s="1"/>
  <c r="G1597" i="7" s="1"/>
  <c r="D1596" i="7"/>
  <c r="E1596" i="7" s="1"/>
  <c r="F1596" i="7" s="1"/>
  <c r="G1596" i="7" s="1"/>
  <c r="D1595" i="7"/>
  <c r="E1595" i="7" s="1"/>
  <c r="F1595" i="7" s="1"/>
  <c r="G1595" i="7" s="1"/>
  <c r="D1594" i="7"/>
  <c r="E1594" i="7" s="1"/>
  <c r="F1594" i="7" s="1"/>
  <c r="G1594" i="7" s="1"/>
  <c r="D1593" i="7"/>
  <c r="E1593" i="7" s="1"/>
  <c r="F1593" i="7" s="1"/>
  <c r="G1593" i="7" s="1"/>
  <c r="D1592" i="7"/>
  <c r="E1592" i="7" s="1"/>
  <c r="F1592" i="7" s="1"/>
  <c r="G1592" i="7" s="1"/>
  <c r="D1591" i="7"/>
  <c r="E1591" i="7" s="1"/>
  <c r="F1591" i="7" s="1"/>
  <c r="G1591" i="7" s="1"/>
  <c r="D1590" i="7"/>
  <c r="E1590" i="7" s="1"/>
  <c r="F1590" i="7" s="1"/>
  <c r="G1590" i="7" s="1"/>
  <c r="D1589" i="7"/>
  <c r="E1589" i="7" s="1"/>
  <c r="F1589" i="7" s="1"/>
  <c r="G1589" i="7" s="1"/>
  <c r="D1588" i="7"/>
  <c r="E1588" i="7" s="1"/>
  <c r="F1588" i="7" s="1"/>
  <c r="G1588" i="7" s="1"/>
  <c r="D1587" i="7"/>
  <c r="E1587" i="7" s="1"/>
  <c r="F1587" i="7" s="1"/>
  <c r="G1587" i="7" s="1"/>
  <c r="D1586" i="7"/>
  <c r="E1586" i="7" s="1"/>
  <c r="F1586" i="7" s="1"/>
  <c r="G1586" i="7" s="1"/>
  <c r="D1585" i="7"/>
  <c r="E1585" i="7" s="1"/>
  <c r="F1585" i="7" s="1"/>
  <c r="G1585" i="7" s="1"/>
  <c r="D1584" i="7"/>
  <c r="E1584" i="7" s="1"/>
  <c r="F1584" i="7" s="1"/>
  <c r="G1584" i="7" s="1"/>
  <c r="D1583" i="7"/>
  <c r="E1583" i="7" s="1"/>
  <c r="F1583" i="7" s="1"/>
  <c r="G1583" i="7" s="1"/>
  <c r="D1582" i="7"/>
  <c r="E1582" i="7" s="1"/>
  <c r="F1582" i="7" s="1"/>
  <c r="G1582" i="7" s="1"/>
  <c r="D1581" i="7"/>
  <c r="E1581" i="7" s="1"/>
  <c r="F1581" i="7" s="1"/>
  <c r="G1581" i="7" s="1"/>
  <c r="D1580" i="7"/>
  <c r="E1580" i="7" s="1"/>
  <c r="F1580" i="7" s="1"/>
  <c r="G1580" i="7" s="1"/>
  <c r="D1579" i="7"/>
  <c r="E1579" i="7" s="1"/>
  <c r="F1579" i="7" s="1"/>
  <c r="G1579" i="7" s="1"/>
  <c r="D1578" i="7"/>
  <c r="E1578" i="7" s="1"/>
  <c r="F1578" i="7" s="1"/>
  <c r="G1578" i="7" s="1"/>
  <c r="D1577" i="7"/>
  <c r="E1577" i="7" s="1"/>
  <c r="F1577" i="7" s="1"/>
  <c r="G1577" i="7" s="1"/>
  <c r="D1576" i="7"/>
  <c r="E1576" i="7" s="1"/>
  <c r="F1576" i="7" s="1"/>
  <c r="G1576" i="7" s="1"/>
  <c r="D1575" i="7"/>
  <c r="E1575" i="7" s="1"/>
  <c r="F1575" i="7" s="1"/>
  <c r="G1575" i="7" s="1"/>
  <c r="D1574" i="7"/>
  <c r="E1574" i="7" s="1"/>
  <c r="F1574" i="7" s="1"/>
  <c r="G1574" i="7" s="1"/>
  <c r="D1573" i="7"/>
  <c r="E1573" i="7" s="1"/>
  <c r="F1573" i="7" s="1"/>
  <c r="G1573" i="7" s="1"/>
  <c r="D1572" i="7"/>
  <c r="E1572" i="7" s="1"/>
  <c r="F1572" i="7" s="1"/>
  <c r="G1572" i="7" s="1"/>
  <c r="D1571" i="7"/>
  <c r="E1571" i="7" s="1"/>
  <c r="F1571" i="7" s="1"/>
  <c r="G1571" i="7" s="1"/>
  <c r="D1570" i="7"/>
  <c r="E1570" i="7" s="1"/>
  <c r="F1570" i="7" s="1"/>
  <c r="G1570" i="7" s="1"/>
  <c r="D1569" i="7"/>
  <c r="E1569" i="7" s="1"/>
  <c r="F1569" i="7" s="1"/>
  <c r="G1569" i="7" s="1"/>
  <c r="D1568" i="7"/>
  <c r="E1568" i="7" s="1"/>
  <c r="F1568" i="7" s="1"/>
  <c r="G1568" i="7" s="1"/>
  <c r="D1567" i="7"/>
  <c r="E1567" i="7" s="1"/>
  <c r="F1567" i="7" s="1"/>
  <c r="G1567" i="7" s="1"/>
  <c r="D1566" i="7"/>
  <c r="E1566" i="7" s="1"/>
  <c r="F1566" i="7" s="1"/>
  <c r="G1566" i="7" s="1"/>
  <c r="D1565" i="7"/>
  <c r="E1565" i="7" s="1"/>
  <c r="F1565" i="7" s="1"/>
  <c r="G1565" i="7" s="1"/>
  <c r="D1564" i="7"/>
  <c r="E1564" i="7" s="1"/>
  <c r="F1564" i="7" s="1"/>
  <c r="G1564" i="7" s="1"/>
  <c r="D1563" i="7"/>
  <c r="E1563" i="7" s="1"/>
  <c r="F1563" i="7" s="1"/>
  <c r="G1563" i="7" s="1"/>
  <c r="D1562" i="7"/>
  <c r="E1562" i="7" s="1"/>
  <c r="F1562" i="7" s="1"/>
  <c r="G1562" i="7" s="1"/>
  <c r="D1561" i="7"/>
  <c r="E1561" i="7" s="1"/>
  <c r="F1561" i="7" s="1"/>
  <c r="G1561" i="7" s="1"/>
  <c r="D1560" i="7"/>
  <c r="E1560" i="7" s="1"/>
  <c r="F1560" i="7" s="1"/>
  <c r="G1560" i="7" s="1"/>
  <c r="D1559" i="7"/>
  <c r="E1559" i="7" s="1"/>
  <c r="F1559" i="7" s="1"/>
  <c r="G1559" i="7" s="1"/>
  <c r="D1558" i="7"/>
  <c r="E1558" i="7" s="1"/>
  <c r="F1558" i="7" s="1"/>
  <c r="G1558" i="7" s="1"/>
  <c r="D1557" i="7"/>
  <c r="E1557" i="7" s="1"/>
  <c r="F1557" i="7" s="1"/>
  <c r="G1557" i="7" s="1"/>
  <c r="D1556" i="7"/>
  <c r="E1556" i="7" s="1"/>
  <c r="F1556" i="7" s="1"/>
  <c r="G1556" i="7" s="1"/>
  <c r="D1555" i="7"/>
  <c r="E1555" i="7" s="1"/>
  <c r="F1555" i="7" s="1"/>
  <c r="G1555" i="7" s="1"/>
  <c r="D1554" i="7"/>
  <c r="E1554" i="7" s="1"/>
  <c r="F1554" i="7" s="1"/>
  <c r="G1554" i="7" s="1"/>
  <c r="D1553" i="7"/>
  <c r="E1553" i="7" s="1"/>
  <c r="F1553" i="7" s="1"/>
  <c r="G1553" i="7" s="1"/>
  <c r="D1552" i="7"/>
  <c r="E1552" i="7" s="1"/>
  <c r="F1552" i="7" s="1"/>
  <c r="G1552" i="7" s="1"/>
  <c r="D1551" i="7"/>
  <c r="E1551" i="7" s="1"/>
  <c r="F1551" i="7" s="1"/>
  <c r="G1551" i="7" s="1"/>
  <c r="D1550" i="7"/>
  <c r="E1550" i="7" s="1"/>
  <c r="F1550" i="7" s="1"/>
  <c r="G1550" i="7" s="1"/>
  <c r="D1549" i="7"/>
  <c r="E1549" i="7" s="1"/>
  <c r="F1549" i="7" s="1"/>
  <c r="G1549" i="7" s="1"/>
  <c r="D1548" i="7"/>
  <c r="E1548" i="7" s="1"/>
  <c r="F1548" i="7" s="1"/>
  <c r="G1548" i="7" s="1"/>
  <c r="D1547" i="7"/>
  <c r="E1547" i="7" s="1"/>
  <c r="F1547" i="7" s="1"/>
  <c r="G1547" i="7" s="1"/>
  <c r="D1546" i="7"/>
  <c r="E1546" i="7" s="1"/>
  <c r="F1546" i="7" s="1"/>
  <c r="G1546" i="7" s="1"/>
  <c r="D1545" i="7"/>
  <c r="E1545" i="7" s="1"/>
  <c r="F1545" i="7" s="1"/>
  <c r="G1545" i="7" s="1"/>
  <c r="D1544" i="7"/>
  <c r="E1544" i="7" s="1"/>
  <c r="F1544" i="7" s="1"/>
  <c r="G1544" i="7" s="1"/>
  <c r="D1543" i="7"/>
  <c r="E1543" i="7" s="1"/>
  <c r="F1543" i="7" s="1"/>
  <c r="G1543" i="7" s="1"/>
  <c r="D1542" i="7"/>
  <c r="E1542" i="7" s="1"/>
  <c r="F1542" i="7" s="1"/>
  <c r="G1542" i="7" s="1"/>
  <c r="D1541" i="7"/>
  <c r="E1541" i="7" s="1"/>
  <c r="F1541" i="7" s="1"/>
  <c r="G1541" i="7" s="1"/>
  <c r="D1540" i="7"/>
  <c r="E1540" i="7" s="1"/>
  <c r="F1540" i="7" s="1"/>
  <c r="G1540" i="7" s="1"/>
  <c r="D1539" i="7"/>
  <c r="E1539" i="7" s="1"/>
  <c r="F1539" i="7" s="1"/>
  <c r="G1539" i="7" s="1"/>
  <c r="D1538" i="7"/>
  <c r="E1538" i="7" s="1"/>
  <c r="F1538" i="7" s="1"/>
  <c r="G1538" i="7" s="1"/>
  <c r="D1537" i="7"/>
  <c r="E1537" i="7" s="1"/>
  <c r="F1537" i="7" s="1"/>
  <c r="G1537" i="7" s="1"/>
  <c r="D1536" i="7"/>
  <c r="E1536" i="7" s="1"/>
  <c r="F1536" i="7" s="1"/>
  <c r="G1536" i="7" s="1"/>
  <c r="D1535" i="7"/>
  <c r="E1535" i="7" s="1"/>
  <c r="F1535" i="7" s="1"/>
  <c r="G1535" i="7" s="1"/>
  <c r="D1534" i="7"/>
  <c r="E1534" i="7" s="1"/>
  <c r="F1534" i="7" s="1"/>
  <c r="G1534" i="7" s="1"/>
  <c r="D1533" i="7"/>
  <c r="E1533" i="7" s="1"/>
  <c r="F1533" i="7" s="1"/>
  <c r="G1533" i="7" s="1"/>
  <c r="D1532" i="7"/>
  <c r="E1532" i="7" s="1"/>
  <c r="F1532" i="7" s="1"/>
  <c r="G1532" i="7" s="1"/>
  <c r="D1531" i="7"/>
  <c r="E1531" i="7" s="1"/>
  <c r="F1531" i="7" s="1"/>
  <c r="G1531" i="7" s="1"/>
  <c r="D1530" i="7"/>
  <c r="E1530" i="7" s="1"/>
  <c r="F1530" i="7" s="1"/>
  <c r="G1530" i="7" s="1"/>
  <c r="D1529" i="7"/>
  <c r="E1529" i="7" s="1"/>
  <c r="F1529" i="7" s="1"/>
  <c r="G1529" i="7" s="1"/>
  <c r="D1528" i="7"/>
  <c r="E1528" i="7" s="1"/>
  <c r="F1528" i="7" s="1"/>
  <c r="G1528" i="7" s="1"/>
  <c r="D1527" i="7"/>
  <c r="E1527" i="7" s="1"/>
  <c r="F1527" i="7" s="1"/>
  <c r="G1527" i="7" s="1"/>
  <c r="D1526" i="7"/>
  <c r="E1526" i="7" s="1"/>
  <c r="F1526" i="7" s="1"/>
  <c r="G1526" i="7" s="1"/>
  <c r="D1525" i="7"/>
  <c r="E1525" i="7" s="1"/>
  <c r="F1525" i="7" s="1"/>
  <c r="G1525" i="7" s="1"/>
  <c r="D1524" i="7"/>
  <c r="E1524" i="7" s="1"/>
  <c r="F1524" i="7" s="1"/>
  <c r="G1524" i="7" s="1"/>
  <c r="D1523" i="7"/>
  <c r="E1523" i="7" s="1"/>
  <c r="F1523" i="7" s="1"/>
  <c r="G1523" i="7" s="1"/>
  <c r="D1522" i="7"/>
  <c r="E1522" i="7" s="1"/>
  <c r="F1522" i="7" s="1"/>
  <c r="G1522" i="7" s="1"/>
  <c r="D1521" i="7"/>
  <c r="E1521" i="7" s="1"/>
  <c r="F1521" i="7" s="1"/>
  <c r="G1521" i="7" s="1"/>
  <c r="D1520" i="7"/>
  <c r="E1520" i="7" s="1"/>
  <c r="F1520" i="7" s="1"/>
  <c r="G1520" i="7" s="1"/>
  <c r="D1519" i="7"/>
  <c r="E1519" i="7" s="1"/>
  <c r="F1519" i="7" s="1"/>
  <c r="G1519" i="7" s="1"/>
  <c r="D1518" i="7"/>
  <c r="E1518" i="7" s="1"/>
  <c r="F1518" i="7" s="1"/>
  <c r="G1518" i="7" s="1"/>
  <c r="D1517" i="7"/>
  <c r="E1517" i="7" s="1"/>
  <c r="F1517" i="7" s="1"/>
  <c r="G1517" i="7" s="1"/>
  <c r="D1516" i="7"/>
  <c r="E1516" i="7" s="1"/>
  <c r="F1516" i="7" s="1"/>
  <c r="G1516" i="7" s="1"/>
  <c r="D1515" i="7"/>
  <c r="E1515" i="7" s="1"/>
  <c r="F1515" i="7" s="1"/>
  <c r="G1515" i="7" s="1"/>
  <c r="D1514" i="7"/>
  <c r="E1514" i="7" s="1"/>
  <c r="F1514" i="7" s="1"/>
  <c r="G1514" i="7" s="1"/>
  <c r="D1513" i="7"/>
  <c r="E1513" i="7" s="1"/>
  <c r="F1513" i="7" s="1"/>
  <c r="G1513" i="7" s="1"/>
  <c r="D1512" i="7"/>
  <c r="E1512" i="7" s="1"/>
  <c r="F1512" i="7" s="1"/>
  <c r="G1512" i="7" s="1"/>
  <c r="D1511" i="7"/>
  <c r="E1511" i="7" s="1"/>
  <c r="F1511" i="7" s="1"/>
  <c r="G1511" i="7" s="1"/>
  <c r="D1510" i="7"/>
  <c r="E1510" i="7" s="1"/>
  <c r="F1510" i="7" s="1"/>
  <c r="G1510" i="7" s="1"/>
  <c r="D1509" i="7"/>
  <c r="E1509" i="7" s="1"/>
  <c r="F1509" i="7" s="1"/>
  <c r="G1509" i="7" s="1"/>
  <c r="D1508" i="7"/>
  <c r="E1508" i="7" s="1"/>
  <c r="F1508" i="7" s="1"/>
  <c r="G1508" i="7" s="1"/>
  <c r="D1507" i="7"/>
  <c r="E1507" i="7" s="1"/>
  <c r="F1507" i="7" s="1"/>
  <c r="G1507" i="7" s="1"/>
  <c r="D1506" i="7"/>
  <c r="E1506" i="7" s="1"/>
  <c r="F1506" i="7" s="1"/>
  <c r="G1506" i="7" s="1"/>
  <c r="D1505" i="7"/>
  <c r="E1505" i="7" s="1"/>
  <c r="F1505" i="7" s="1"/>
  <c r="G1505" i="7" s="1"/>
  <c r="D1504" i="7"/>
  <c r="E1504" i="7" s="1"/>
  <c r="F1504" i="7" s="1"/>
  <c r="G1504" i="7" s="1"/>
  <c r="D1503" i="7"/>
  <c r="E1503" i="7" s="1"/>
  <c r="F1503" i="7" s="1"/>
  <c r="G1503" i="7" s="1"/>
  <c r="D1502" i="7"/>
  <c r="E1502" i="7" s="1"/>
  <c r="F1502" i="7" s="1"/>
  <c r="G1502" i="7" s="1"/>
  <c r="D1501" i="7"/>
  <c r="E1501" i="7" s="1"/>
  <c r="F1501" i="7" s="1"/>
  <c r="G1501" i="7" s="1"/>
  <c r="D1500" i="7"/>
  <c r="E1500" i="7" s="1"/>
  <c r="F1500" i="7" s="1"/>
  <c r="G1500" i="7" s="1"/>
  <c r="D1499" i="7"/>
  <c r="E1499" i="7" s="1"/>
  <c r="F1499" i="7" s="1"/>
  <c r="G1499" i="7" s="1"/>
  <c r="D1498" i="7"/>
  <c r="E1498" i="7" s="1"/>
  <c r="F1498" i="7" s="1"/>
  <c r="G1498" i="7" s="1"/>
  <c r="D1497" i="7"/>
  <c r="E1497" i="7" s="1"/>
  <c r="F1497" i="7" s="1"/>
  <c r="G1497" i="7" s="1"/>
  <c r="D1496" i="7"/>
  <c r="E1496" i="7" s="1"/>
  <c r="F1496" i="7" s="1"/>
  <c r="G1496" i="7" s="1"/>
  <c r="D1495" i="7"/>
  <c r="E1495" i="7" s="1"/>
  <c r="F1495" i="7" s="1"/>
  <c r="G1495" i="7" s="1"/>
  <c r="D1494" i="7"/>
  <c r="E1494" i="7" s="1"/>
  <c r="F1494" i="7" s="1"/>
  <c r="G1494" i="7" s="1"/>
  <c r="D1493" i="7"/>
  <c r="E1493" i="7" s="1"/>
  <c r="F1493" i="7" s="1"/>
  <c r="G1493" i="7" s="1"/>
  <c r="D1492" i="7"/>
  <c r="E1492" i="7" s="1"/>
  <c r="F1492" i="7" s="1"/>
  <c r="G1492" i="7" s="1"/>
  <c r="D1491" i="7"/>
  <c r="E1491" i="7" s="1"/>
  <c r="F1491" i="7" s="1"/>
  <c r="G1491" i="7" s="1"/>
  <c r="D1490" i="7"/>
  <c r="E1490" i="7" s="1"/>
  <c r="F1490" i="7" s="1"/>
  <c r="G1490" i="7" s="1"/>
  <c r="D1489" i="7"/>
  <c r="E1489" i="7" s="1"/>
  <c r="F1489" i="7" s="1"/>
  <c r="G1489" i="7" s="1"/>
  <c r="D1488" i="7"/>
  <c r="E1488" i="7" s="1"/>
  <c r="F1488" i="7" s="1"/>
  <c r="G1488" i="7" s="1"/>
  <c r="D1487" i="7"/>
  <c r="E1487" i="7" s="1"/>
  <c r="F1487" i="7" s="1"/>
  <c r="G1487" i="7" s="1"/>
  <c r="D1486" i="7"/>
  <c r="E1486" i="7" s="1"/>
  <c r="F1486" i="7" s="1"/>
  <c r="G1486" i="7" s="1"/>
  <c r="D1485" i="7"/>
  <c r="E1485" i="7" s="1"/>
  <c r="F1485" i="7" s="1"/>
  <c r="G1485" i="7" s="1"/>
  <c r="D1484" i="7"/>
  <c r="E1484" i="7" s="1"/>
  <c r="F1484" i="7" s="1"/>
  <c r="G1484" i="7" s="1"/>
  <c r="D1483" i="7"/>
  <c r="E1483" i="7" s="1"/>
  <c r="F1483" i="7" s="1"/>
  <c r="G1483" i="7" s="1"/>
  <c r="D1482" i="7"/>
  <c r="E1482" i="7" s="1"/>
  <c r="F1482" i="7" s="1"/>
  <c r="G1482" i="7" s="1"/>
  <c r="D1481" i="7"/>
  <c r="E1481" i="7" s="1"/>
  <c r="F1481" i="7" s="1"/>
  <c r="G1481" i="7" s="1"/>
  <c r="D1480" i="7"/>
  <c r="E1480" i="7" s="1"/>
  <c r="F1480" i="7" s="1"/>
  <c r="G1480" i="7" s="1"/>
  <c r="D1479" i="7"/>
  <c r="E1479" i="7" s="1"/>
  <c r="F1479" i="7" s="1"/>
  <c r="G1479" i="7" s="1"/>
  <c r="D1478" i="7"/>
  <c r="E1478" i="7" s="1"/>
  <c r="F1478" i="7" s="1"/>
  <c r="G1478" i="7" s="1"/>
  <c r="D1477" i="7"/>
  <c r="E1477" i="7" s="1"/>
  <c r="F1477" i="7" s="1"/>
  <c r="G1477" i="7" s="1"/>
  <c r="D1476" i="7"/>
  <c r="E1476" i="7" s="1"/>
  <c r="F1476" i="7" s="1"/>
  <c r="G1476" i="7" s="1"/>
  <c r="D1475" i="7"/>
  <c r="E1475" i="7" s="1"/>
  <c r="F1475" i="7" s="1"/>
  <c r="G1475" i="7" s="1"/>
  <c r="D1474" i="7"/>
  <c r="E1474" i="7" s="1"/>
  <c r="F1474" i="7" s="1"/>
  <c r="G1474" i="7" s="1"/>
  <c r="D1473" i="7"/>
  <c r="E1473" i="7" s="1"/>
  <c r="F1473" i="7" s="1"/>
  <c r="G1473" i="7" s="1"/>
  <c r="D1472" i="7"/>
  <c r="E1472" i="7" s="1"/>
  <c r="F1472" i="7" s="1"/>
  <c r="G1472" i="7" s="1"/>
  <c r="D1471" i="7"/>
  <c r="E1471" i="7" s="1"/>
  <c r="F1471" i="7" s="1"/>
  <c r="G1471" i="7" s="1"/>
  <c r="D1470" i="7"/>
  <c r="E1470" i="7" s="1"/>
  <c r="F1470" i="7" s="1"/>
  <c r="G1470" i="7" s="1"/>
  <c r="D1469" i="7"/>
  <c r="E1469" i="7" s="1"/>
  <c r="F1469" i="7" s="1"/>
  <c r="G1469" i="7" s="1"/>
  <c r="D1468" i="7"/>
  <c r="E1468" i="7" s="1"/>
  <c r="F1468" i="7" s="1"/>
  <c r="G1468" i="7" s="1"/>
  <c r="D1467" i="7"/>
  <c r="E1467" i="7" s="1"/>
  <c r="F1467" i="7" s="1"/>
  <c r="G1467" i="7" s="1"/>
  <c r="D1466" i="7"/>
  <c r="E1466" i="7" s="1"/>
  <c r="F1466" i="7" s="1"/>
  <c r="G1466" i="7" s="1"/>
  <c r="D1465" i="7"/>
  <c r="E1465" i="7" s="1"/>
  <c r="F1465" i="7" s="1"/>
  <c r="G1465" i="7" s="1"/>
  <c r="D1464" i="7"/>
  <c r="E1464" i="7" s="1"/>
  <c r="F1464" i="7" s="1"/>
  <c r="G1464" i="7" s="1"/>
  <c r="D1463" i="7"/>
  <c r="E1463" i="7" s="1"/>
  <c r="F1463" i="7" s="1"/>
  <c r="G1463" i="7" s="1"/>
  <c r="D1462" i="7"/>
  <c r="E1462" i="7" s="1"/>
  <c r="F1462" i="7" s="1"/>
  <c r="G1462" i="7" s="1"/>
  <c r="D1461" i="7"/>
  <c r="E1461" i="7" s="1"/>
  <c r="F1461" i="7" s="1"/>
  <c r="G1461" i="7" s="1"/>
  <c r="D1460" i="7"/>
  <c r="E1460" i="7" s="1"/>
  <c r="F1460" i="7" s="1"/>
  <c r="G1460" i="7" s="1"/>
  <c r="D1459" i="7"/>
  <c r="E1459" i="7" s="1"/>
  <c r="F1459" i="7" s="1"/>
  <c r="G1459" i="7" s="1"/>
  <c r="D1458" i="7"/>
  <c r="E1458" i="7" s="1"/>
  <c r="F1458" i="7" s="1"/>
  <c r="G1458" i="7" s="1"/>
  <c r="D1457" i="7"/>
  <c r="E1457" i="7" s="1"/>
  <c r="F1457" i="7" s="1"/>
  <c r="G1457" i="7" s="1"/>
  <c r="D1456" i="7"/>
  <c r="E1456" i="7" s="1"/>
  <c r="F1456" i="7" s="1"/>
  <c r="G1456" i="7" s="1"/>
  <c r="D1455" i="7"/>
  <c r="E1455" i="7" s="1"/>
  <c r="F1455" i="7" s="1"/>
  <c r="G1455" i="7" s="1"/>
  <c r="D1454" i="7"/>
  <c r="E1454" i="7" s="1"/>
  <c r="F1454" i="7" s="1"/>
  <c r="G1454" i="7" s="1"/>
  <c r="D1453" i="7"/>
  <c r="E1453" i="7" s="1"/>
  <c r="F1453" i="7" s="1"/>
  <c r="G1453" i="7" s="1"/>
  <c r="D1452" i="7"/>
  <c r="E1452" i="7" s="1"/>
  <c r="F1452" i="7" s="1"/>
  <c r="G1452" i="7" s="1"/>
  <c r="D1451" i="7"/>
  <c r="E1451" i="7" s="1"/>
  <c r="F1451" i="7" s="1"/>
  <c r="G1451" i="7" s="1"/>
  <c r="D1450" i="7"/>
  <c r="E1450" i="7" s="1"/>
  <c r="F1450" i="7" s="1"/>
  <c r="G1450" i="7" s="1"/>
  <c r="D1449" i="7"/>
  <c r="E1449" i="7" s="1"/>
  <c r="F1449" i="7" s="1"/>
  <c r="G1449" i="7" s="1"/>
  <c r="D1448" i="7"/>
  <c r="E1448" i="7" s="1"/>
  <c r="F1448" i="7" s="1"/>
  <c r="G1448" i="7" s="1"/>
  <c r="D1447" i="7"/>
  <c r="E1447" i="7" s="1"/>
  <c r="F1447" i="7" s="1"/>
  <c r="G1447" i="7" s="1"/>
  <c r="D1446" i="7"/>
  <c r="E1446" i="7" s="1"/>
  <c r="F1446" i="7" s="1"/>
  <c r="G1446" i="7" s="1"/>
  <c r="D1445" i="7"/>
  <c r="E1445" i="7" s="1"/>
  <c r="F1445" i="7" s="1"/>
  <c r="G1445" i="7" s="1"/>
  <c r="D1444" i="7"/>
  <c r="E1444" i="7" s="1"/>
  <c r="F1444" i="7" s="1"/>
  <c r="G1444" i="7" s="1"/>
  <c r="D1443" i="7"/>
  <c r="E1443" i="7" s="1"/>
  <c r="F1443" i="7" s="1"/>
  <c r="G1443" i="7" s="1"/>
  <c r="D1442" i="7"/>
  <c r="E1442" i="7" s="1"/>
  <c r="F1442" i="7" s="1"/>
  <c r="G1442" i="7" s="1"/>
  <c r="D1441" i="7"/>
  <c r="E1441" i="7" s="1"/>
  <c r="F1441" i="7" s="1"/>
  <c r="G1441" i="7" s="1"/>
  <c r="D1440" i="7"/>
  <c r="E1440" i="7" s="1"/>
  <c r="F1440" i="7" s="1"/>
  <c r="G1440" i="7" s="1"/>
  <c r="D1439" i="7"/>
  <c r="E1439" i="7" s="1"/>
  <c r="F1439" i="7" s="1"/>
  <c r="G1439" i="7" s="1"/>
  <c r="D1438" i="7"/>
  <c r="E1438" i="7" s="1"/>
  <c r="F1438" i="7" s="1"/>
  <c r="G1438" i="7" s="1"/>
  <c r="D1437" i="7"/>
  <c r="E1437" i="7" s="1"/>
  <c r="F1437" i="7" s="1"/>
  <c r="G1437" i="7" s="1"/>
  <c r="D1436" i="7"/>
  <c r="E1436" i="7" s="1"/>
  <c r="F1436" i="7" s="1"/>
  <c r="G1436" i="7" s="1"/>
  <c r="D1435" i="7"/>
  <c r="E1435" i="7" s="1"/>
  <c r="F1435" i="7" s="1"/>
  <c r="G1435" i="7" s="1"/>
  <c r="D1434" i="7"/>
  <c r="E1434" i="7" s="1"/>
  <c r="F1434" i="7" s="1"/>
  <c r="G1434" i="7" s="1"/>
  <c r="D1433" i="7"/>
  <c r="E1433" i="7" s="1"/>
  <c r="F1433" i="7" s="1"/>
  <c r="G1433" i="7" s="1"/>
  <c r="D1432" i="7"/>
  <c r="E1432" i="7" s="1"/>
  <c r="F1432" i="7" s="1"/>
  <c r="G1432" i="7" s="1"/>
  <c r="D1431" i="7"/>
  <c r="E1431" i="7" s="1"/>
  <c r="F1431" i="7" s="1"/>
  <c r="G1431" i="7" s="1"/>
  <c r="D1430" i="7"/>
  <c r="E1430" i="7" s="1"/>
  <c r="F1430" i="7" s="1"/>
  <c r="G1430" i="7" s="1"/>
  <c r="D1429" i="7"/>
  <c r="E1429" i="7" s="1"/>
  <c r="F1429" i="7" s="1"/>
  <c r="G1429" i="7" s="1"/>
  <c r="D1428" i="7"/>
  <c r="E1428" i="7" s="1"/>
  <c r="F1428" i="7" s="1"/>
  <c r="G1428" i="7" s="1"/>
  <c r="D1427" i="7"/>
  <c r="E1427" i="7" s="1"/>
  <c r="F1427" i="7" s="1"/>
  <c r="G1427" i="7" s="1"/>
  <c r="D1426" i="7"/>
  <c r="E1426" i="7" s="1"/>
  <c r="F1426" i="7" s="1"/>
  <c r="G1426" i="7" s="1"/>
  <c r="D1425" i="7"/>
  <c r="E1425" i="7" s="1"/>
  <c r="F1425" i="7" s="1"/>
  <c r="G1425" i="7" s="1"/>
  <c r="D1424" i="7"/>
  <c r="E1424" i="7" s="1"/>
  <c r="F1424" i="7" s="1"/>
  <c r="G1424" i="7" s="1"/>
  <c r="D1423" i="7"/>
  <c r="E1423" i="7" s="1"/>
  <c r="F1423" i="7" s="1"/>
  <c r="G1423" i="7" s="1"/>
  <c r="D1422" i="7"/>
  <c r="E1422" i="7" s="1"/>
  <c r="F1422" i="7" s="1"/>
  <c r="G1422" i="7" s="1"/>
  <c r="D1421" i="7"/>
  <c r="E1421" i="7" s="1"/>
  <c r="F1421" i="7" s="1"/>
  <c r="G1421" i="7" s="1"/>
  <c r="D1420" i="7"/>
  <c r="E1420" i="7" s="1"/>
  <c r="F1420" i="7" s="1"/>
  <c r="G1420" i="7" s="1"/>
  <c r="D1419" i="7"/>
  <c r="E1419" i="7" s="1"/>
  <c r="F1419" i="7" s="1"/>
  <c r="G1419" i="7" s="1"/>
  <c r="D1418" i="7"/>
  <c r="E1418" i="7" s="1"/>
  <c r="F1418" i="7" s="1"/>
  <c r="G1418" i="7" s="1"/>
  <c r="D1417" i="7"/>
  <c r="E1417" i="7" s="1"/>
  <c r="F1417" i="7" s="1"/>
  <c r="G1417" i="7" s="1"/>
  <c r="D1416" i="7"/>
  <c r="E1416" i="7" s="1"/>
  <c r="F1416" i="7" s="1"/>
  <c r="G1416" i="7" s="1"/>
  <c r="D1415" i="7"/>
  <c r="E1415" i="7" s="1"/>
  <c r="F1415" i="7" s="1"/>
  <c r="G1415" i="7" s="1"/>
  <c r="D1414" i="7"/>
  <c r="E1414" i="7" s="1"/>
  <c r="F1414" i="7" s="1"/>
  <c r="G1414" i="7" s="1"/>
  <c r="D1413" i="7"/>
  <c r="E1413" i="7" s="1"/>
  <c r="F1413" i="7" s="1"/>
  <c r="G1413" i="7" s="1"/>
  <c r="D1412" i="7"/>
  <c r="E1412" i="7" s="1"/>
  <c r="F1412" i="7" s="1"/>
  <c r="G1412" i="7" s="1"/>
  <c r="D1411" i="7"/>
  <c r="E1411" i="7" s="1"/>
  <c r="F1411" i="7" s="1"/>
  <c r="G1411" i="7" s="1"/>
  <c r="D1410" i="7"/>
  <c r="E1410" i="7" s="1"/>
  <c r="F1410" i="7" s="1"/>
  <c r="G1410" i="7" s="1"/>
  <c r="D1409" i="7"/>
  <c r="E1409" i="7" s="1"/>
  <c r="F1409" i="7" s="1"/>
  <c r="G1409" i="7" s="1"/>
  <c r="D1408" i="7"/>
  <c r="E1408" i="7" s="1"/>
  <c r="F1408" i="7" s="1"/>
  <c r="G1408" i="7" s="1"/>
  <c r="D1407" i="7"/>
  <c r="E1407" i="7" s="1"/>
  <c r="F1407" i="7" s="1"/>
  <c r="G1407" i="7" s="1"/>
  <c r="D1406" i="7"/>
  <c r="E1406" i="7" s="1"/>
  <c r="F1406" i="7" s="1"/>
  <c r="G1406" i="7" s="1"/>
  <c r="D1405" i="7"/>
  <c r="E1405" i="7" s="1"/>
  <c r="F1405" i="7" s="1"/>
  <c r="G1405" i="7" s="1"/>
  <c r="D1404" i="7"/>
  <c r="E1404" i="7" s="1"/>
  <c r="F1404" i="7" s="1"/>
  <c r="G1404" i="7" s="1"/>
  <c r="D1403" i="7"/>
  <c r="E1403" i="7" s="1"/>
  <c r="F1403" i="7" s="1"/>
  <c r="G1403" i="7" s="1"/>
  <c r="D1402" i="7"/>
  <c r="E1402" i="7" s="1"/>
  <c r="F1402" i="7" s="1"/>
  <c r="G1402" i="7" s="1"/>
  <c r="D1401" i="7"/>
  <c r="E1401" i="7" s="1"/>
  <c r="F1401" i="7" s="1"/>
  <c r="G1401" i="7" s="1"/>
  <c r="D1400" i="7"/>
  <c r="E1400" i="7" s="1"/>
  <c r="F1400" i="7" s="1"/>
  <c r="G1400" i="7" s="1"/>
  <c r="D1399" i="7"/>
  <c r="E1399" i="7" s="1"/>
  <c r="F1399" i="7" s="1"/>
  <c r="G1399" i="7" s="1"/>
  <c r="D1398" i="7"/>
  <c r="E1398" i="7" s="1"/>
  <c r="F1398" i="7" s="1"/>
  <c r="G1398" i="7" s="1"/>
  <c r="D1397" i="7"/>
  <c r="E1397" i="7" s="1"/>
  <c r="F1397" i="7" s="1"/>
  <c r="G1397" i="7" s="1"/>
  <c r="D1396" i="7"/>
  <c r="E1396" i="7" s="1"/>
  <c r="F1396" i="7" s="1"/>
  <c r="G1396" i="7" s="1"/>
  <c r="D1395" i="7"/>
  <c r="E1395" i="7" s="1"/>
  <c r="F1395" i="7" s="1"/>
  <c r="G1395" i="7" s="1"/>
  <c r="D1394" i="7"/>
  <c r="E1394" i="7" s="1"/>
  <c r="F1394" i="7" s="1"/>
  <c r="G1394" i="7" s="1"/>
  <c r="D1393" i="7"/>
  <c r="E1393" i="7" s="1"/>
  <c r="F1393" i="7" s="1"/>
  <c r="G1393" i="7" s="1"/>
  <c r="D1392" i="7"/>
  <c r="E1392" i="7" s="1"/>
  <c r="F1392" i="7" s="1"/>
  <c r="G1392" i="7" s="1"/>
  <c r="D1391" i="7"/>
  <c r="E1391" i="7" s="1"/>
  <c r="F1391" i="7" s="1"/>
  <c r="G1391" i="7" s="1"/>
  <c r="D1390" i="7"/>
  <c r="E1390" i="7" s="1"/>
  <c r="F1390" i="7" s="1"/>
  <c r="G1390" i="7" s="1"/>
  <c r="D1389" i="7"/>
  <c r="E1389" i="7" s="1"/>
  <c r="F1389" i="7" s="1"/>
  <c r="G1389" i="7" s="1"/>
  <c r="D1388" i="7"/>
  <c r="E1388" i="7" s="1"/>
  <c r="F1388" i="7" s="1"/>
  <c r="G1388" i="7" s="1"/>
  <c r="D1387" i="7"/>
  <c r="E1387" i="7" s="1"/>
  <c r="F1387" i="7" s="1"/>
  <c r="G1387" i="7" s="1"/>
  <c r="D1386" i="7"/>
  <c r="E1386" i="7" s="1"/>
  <c r="F1386" i="7" s="1"/>
  <c r="G1386" i="7" s="1"/>
  <c r="D1385" i="7"/>
  <c r="E1385" i="7" s="1"/>
  <c r="F1385" i="7" s="1"/>
  <c r="G1385" i="7" s="1"/>
  <c r="D1384" i="7"/>
  <c r="E1384" i="7" s="1"/>
  <c r="F1384" i="7" s="1"/>
  <c r="G1384" i="7" s="1"/>
  <c r="D1383" i="7"/>
  <c r="E1383" i="7" s="1"/>
  <c r="F1383" i="7" s="1"/>
  <c r="G1383" i="7" s="1"/>
  <c r="D1382" i="7"/>
  <c r="E1382" i="7" s="1"/>
  <c r="F1382" i="7" s="1"/>
  <c r="G1382" i="7" s="1"/>
  <c r="D1381" i="7"/>
  <c r="E1381" i="7" s="1"/>
  <c r="F1381" i="7" s="1"/>
  <c r="G1381" i="7" s="1"/>
  <c r="D1380" i="7"/>
  <c r="E1380" i="7" s="1"/>
  <c r="F1380" i="7" s="1"/>
  <c r="G1380" i="7" s="1"/>
  <c r="D1379" i="7"/>
  <c r="E1379" i="7" s="1"/>
  <c r="F1379" i="7" s="1"/>
  <c r="G1379" i="7" s="1"/>
  <c r="D1378" i="7"/>
  <c r="E1378" i="7" s="1"/>
  <c r="F1378" i="7" s="1"/>
  <c r="G1378" i="7" s="1"/>
  <c r="D1377" i="7"/>
  <c r="E1377" i="7" s="1"/>
  <c r="F1377" i="7" s="1"/>
  <c r="G1377" i="7" s="1"/>
  <c r="D1376" i="7"/>
  <c r="E1376" i="7" s="1"/>
  <c r="F1376" i="7" s="1"/>
  <c r="G1376" i="7" s="1"/>
  <c r="D1375" i="7"/>
  <c r="E1375" i="7" s="1"/>
  <c r="F1375" i="7" s="1"/>
  <c r="G1375" i="7" s="1"/>
  <c r="D1374" i="7"/>
  <c r="E1374" i="7" s="1"/>
  <c r="F1374" i="7" s="1"/>
  <c r="G1374" i="7" s="1"/>
  <c r="D1373" i="7"/>
  <c r="E1373" i="7" s="1"/>
  <c r="F1373" i="7" s="1"/>
  <c r="G1373" i="7" s="1"/>
  <c r="D1372" i="7"/>
  <c r="E1372" i="7" s="1"/>
  <c r="F1372" i="7" s="1"/>
  <c r="G1372" i="7" s="1"/>
  <c r="D1371" i="7"/>
  <c r="E1371" i="7" s="1"/>
  <c r="F1371" i="7" s="1"/>
  <c r="G1371" i="7" s="1"/>
  <c r="D1370" i="7"/>
  <c r="E1370" i="7" s="1"/>
  <c r="F1370" i="7" s="1"/>
  <c r="G1370" i="7" s="1"/>
  <c r="D1369" i="7"/>
  <c r="E1369" i="7" s="1"/>
  <c r="F1369" i="7" s="1"/>
  <c r="G1369" i="7" s="1"/>
  <c r="D1368" i="7"/>
  <c r="E1368" i="7" s="1"/>
  <c r="F1368" i="7" s="1"/>
  <c r="G1368" i="7" s="1"/>
  <c r="D1367" i="7"/>
  <c r="E1367" i="7" s="1"/>
  <c r="F1367" i="7" s="1"/>
  <c r="G1367" i="7" s="1"/>
  <c r="D1366" i="7"/>
  <c r="E1366" i="7" s="1"/>
  <c r="F1366" i="7" s="1"/>
  <c r="G1366" i="7" s="1"/>
  <c r="D1365" i="7"/>
  <c r="E1365" i="7" s="1"/>
  <c r="F1365" i="7" s="1"/>
  <c r="G1365" i="7" s="1"/>
  <c r="D1364" i="7"/>
  <c r="E1364" i="7" s="1"/>
  <c r="F1364" i="7" s="1"/>
  <c r="G1364" i="7" s="1"/>
  <c r="D1363" i="7"/>
  <c r="E1363" i="7" s="1"/>
  <c r="F1363" i="7" s="1"/>
  <c r="G1363" i="7" s="1"/>
  <c r="D1362" i="7"/>
  <c r="E1362" i="7" s="1"/>
  <c r="F1362" i="7" s="1"/>
  <c r="G1362" i="7" s="1"/>
  <c r="D1361" i="7"/>
  <c r="E1361" i="7" s="1"/>
  <c r="F1361" i="7" s="1"/>
  <c r="G1361" i="7" s="1"/>
  <c r="D1360" i="7"/>
  <c r="E1360" i="7" s="1"/>
  <c r="F1360" i="7" s="1"/>
  <c r="G1360" i="7" s="1"/>
  <c r="D1359" i="7"/>
  <c r="E1359" i="7" s="1"/>
  <c r="F1359" i="7" s="1"/>
  <c r="G1359" i="7" s="1"/>
  <c r="D1358" i="7"/>
  <c r="E1358" i="7" s="1"/>
  <c r="F1358" i="7" s="1"/>
  <c r="G1358" i="7" s="1"/>
  <c r="D1357" i="7"/>
  <c r="E1357" i="7" s="1"/>
  <c r="F1357" i="7" s="1"/>
  <c r="G1357" i="7" s="1"/>
  <c r="D1356" i="7"/>
  <c r="E1356" i="7" s="1"/>
  <c r="F1356" i="7" s="1"/>
  <c r="G1356" i="7" s="1"/>
  <c r="D1355" i="7"/>
  <c r="E1355" i="7" s="1"/>
  <c r="F1355" i="7" s="1"/>
  <c r="G1355" i="7" s="1"/>
  <c r="D1354" i="7"/>
  <c r="E1354" i="7" s="1"/>
  <c r="F1354" i="7" s="1"/>
  <c r="G1354" i="7" s="1"/>
  <c r="D1353" i="7"/>
  <c r="E1353" i="7" s="1"/>
  <c r="F1353" i="7" s="1"/>
  <c r="G1353" i="7" s="1"/>
  <c r="D1352" i="7"/>
  <c r="E1352" i="7" s="1"/>
  <c r="F1352" i="7" s="1"/>
  <c r="G1352" i="7" s="1"/>
  <c r="D1351" i="7"/>
  <c r="E1351" i="7" s="1"/>
  <c r="F1351" i="7" s="1"/>
  <c r="G1351" i="7" s="1"/>
  <c r="D1350" i="7"/>
  <c r="E1350" i="7" s="1"/>
  <c r="F1350" i="7" s="1"/>
  <c r="G1350" i="7" s="1"/>
  <c r="D1349" i="7"/>
  <c r="E1349" i="7" s="1"/>
  <c r="F1349" i="7" s="1"/>
  <c r="G1349" i="7" s="1"/>
  <c r="D1348" i="7"/>
  <c r="E1348" i="7" s="1"/>
  <c r="F1348" i="7" s="1"/>
  <c r="G1348" i="7" s="1"/>
  <c r="D1347" i="7"/>
  <c r="E1347" i="7" s="1"/>
  <c r="F1347" i="7" s="1"/>
  <c r="G1347" i="7" s="1"/>
  <c r="D1346" i="7"/>
  <c r="E1346" i="7" s="1"/>
  <c r="F1346" i="7" s="1"/>
  <c r="G1346" i="7" s="1"/>
  <c r="D1345" i="7"/>
  <c r="E1345" i="7" s="1"/>
  <c r="F1345" i="7" s="1"/>
  <c r="G1345" i="7" s="1"/>
  <c r="D1344" i="7"/>
  <c r="E1344" i="7" s="1"/>
  <c r="F1344" i="7" s="1"/>
  <c r="G1344" i="7" s="1"/>
  <c r="D1343" i="7"/>
  <c r="E1343" i="7" s="1"/>
  <c r="F1343" i="7" s="1"/>
  <c r="G1343" i="7" s="1"/>
  <c r="D1342" i="7"/>
  <c r="E1342" i="7" s="1"/>
  <c r="F1342" i="7" s="1"/>
  <c r="G1342" i="7" s="1"/>
  <c r="D1341" i="7"/>
  <c r="E1341" i="7" s="1"/>
  <c r="F1341" i="7" s="1"/>
  <c r="G1341" i="7" s="1"/>
  <c r="D1340" i="7"/>
  <c r="E1340" i="7" s="1"/>
  <c r="F1340" i="7" s="1"/>
  <c r="G1340" i="7" s="1"/>
  <c r="D1339" i="7"/>
  <c r="E1339" i="7" s="1"/>
  <c r="F1339" i="7" s="1"/>
  <c r="G1339" i="7" s="1"/>
  <c r="D1338" i="7"/>
  <c r="E1338" i="7" s="1"/>
  <c r="F1338" i="7" s="1"/>
  <c r="G1338" i="7" s="1"/>
  <c r="D1337" i="7"/>
  <c r="E1337" i="7" s="1"/>
  <c r="F1337" i="7" s="1"/>
  <c r="G1337" i="7" s="1"/>
  <c r="D1336" i="7"/>
  <c r="E1336" i="7" s="1"/>
  <c r="F1336" i="7" s="1"/>
  <c r="G1336" i="7" s="1"/>
  <c r="D1335" i="7"/>
  <c r="E1335" i="7" s="1"/>
  <c r="F1335" i="7" s="1"/>
  <c r="G1335" i="7" s="1"/>
  <c r="D1334" i="7"/>
  <c r="E1334" i="7" s="1"/>
  <c r="F1334" i="7" s="1"/>
  <c r="G1334" i="7" s="1"/>
  <c r="D1333" i="7"/>
  <c r="E1333" i="7" s="1"/>
  <c r="F1333" i="7" s="1"/>
  <c r="G1333" i="7" s="1"/>
  <c r="D1332" i="7"/>
  <c r="E1332" i="7" s="1"/>
  <c r="F1332" i="7" s="1"/>
  <c r="G1332" i="7" s="1"/>
  <c r="D1331" i="7"/>
  <c r="E1331" i="7" s="1"/>
  <c r="F1331" i="7" s="1"/>
  <c r="G1331" i="7" s="1"/>
  <c r="D1330" i="7"/>
  <c r="E1330" i="7" s="1"/>
  <c r="F1330" i="7" s="1"/>
  <c r="G1330" i="7" s="1"/>
  <c r="D1329" i="7"/>
  <c r="E1329" i="7" s="1"/>
  <c r="F1329" i="7" s="1"/>
  <c r="G1329" i="7" s="1"/>
  <c r="D1328" i="7"/>
  <c r="E1328" i="7" s="1"/>
  <c r="F1328" i="7" s="1"/>
  <c r="G1328" i="7" s="1"/>
  <c r="D1327" i="7"/>
  <c r="E1327" i="7" s="1"/>
  <c r="F1327" i="7" s="1"/>
  <c r="G1327" i="7" s="1"/>
  <c r="D1326" i="7"/>
  <c r="E1326" i="7" s="1"/>
  <c r="F1326" i="7" s="1"/>
  <c r="G1326" i="7" s="1"/>
  <c r="D1325" i="7"/>
  <c r="E1325" i="7" s="1"/>
  <c r="F1325" i="7" s="1"/>
  <c r="G1325" i="7" s="1"/>
  <c r="D1324" i="7"/>
  <c r="E1324" i="7" s="1"/>
  <c r="F1324" i="7" s="1"/>
  <c r="G1324" i="7" s="1"/>
  <c r="D1323" i="7"/>
  <c r="E1323" i="7" s="1"/>
  <c r="F1323" i="7" s="1"/>
  <c r="G1323" i="7" s="1"/>
  <c r="D1322" i="7"/>
  <c r="E1322" i="7" s="1"/>
  <c r="F1322" i="7" s="1"/>
  <c r="G1322" i="7" s="1"/>
  <c r="D1321" i="7"/>
  <c r="E1321" i="7" s="1"/>
  <c r="F1321" i="7" s="1"/>
  <c r="G1321" i="7" s="1"/>
  <c r="D1320" i="7"/>
  <c r="E1320" i="7" s="1"/>
  <c r="F1320" i="7" s="1"/>
  <c r="G1320" i="7" s="1"/>
  <c r="D1319" i="7"/>
  <c r="E1319" i="7" s="1"/>
  <c r="F1319" i="7" s="1"/>
  <c r="G1319" i="7" s="1"/>
  <c r="D1318" i="7"/>
  <c r="E1318" i="7" s="1"/>
  <c r="F1318" i="7" s="1"/>
  <c r="G1318" i="7" s="1"/>
  <c r="D1317" i="7"/>
  <c r="E1317" i="7" s="1"/>
  <c r="F1317" i="7" s="1"/>
  <c r="G1317" i="7" s="1"/>
  <c r="D1316" i="7"/>
  <c r="E1316" i="7" s="1"/>
  <c r="F1316" i="7" s="1"/>
  <c r="G1316" i="7" s="1"/>
  <c r="D1315" i="7"/>
  <c r="E1315" i="7" s="1"/>
  <c r="F1315" i="7" s="1"/>
  <c r="G1315" i="7" s="1"/>
  <c r="D1314" i="7"/>
  <c r="E1314" i="7" s="1"/>
  <c r="F1314" i="7" s="1"/>
  <c r="G1314" i="7" s="1"/>
  <c r="D1313" i="7"/>
  <c r="E1313" i="7" s="1"/>
  <c r="F1313" i="7" s="1"/>
  <c r="G1313" i="7" s="1"/>
  <c r="D1312" i="7"/>
  <c r="E1312" i="7" s="1"/>
  <c r="F1312" i="7" s="1"/>
  <c r="G1312" i="7" s="1"/>
  <c r="D1311" i="7"/>
  <c r="E1311" i="7" s="1"/>
  <c r="F1311" i="7" s="1"/>
  <c r="G1311" i="7" s="1"/>
  <c r="D1310" i="7"/>
  <c r="E1310" i="7" s="1"/>
  <c r="F1310" i="7" s="1"/>
  <c r="G1310" i="7" s="1"/>
  <c r="D1309" i="7"/>
  <c r="E1309" i="7" s="1"/>
  <c r="F1309" i="7" s="1"/>
  <c r="G1309" i="7" s="1"/>
  <c r="D1308" i="7"/>
  <c r="E1308" i="7" s="1"/>
  <c r="F1308" i="7" s="1"/>
  <c r="G1308" i="7" s="1"/>
  <c r="D1307" i="7"/>
  <c r="E1307" i="7" s="1"/>
  <c r="F1307" i="7" s="1"/>
  <c r="G1307" i="7" s="1"/>
  <c r="D1306" i="7"/>
  <c r="E1306" i="7" s="1"/>
  <c r="F1306" i="7" s="1"/>
  <c r="G1306" i="7" s="1"/>
  <c r="D1305" i="7"/>
  <c r="E1305" i="7" s="1"/>
  <c r="F1305" i="7" s="1"/>
  <c r="G1305" i="7" s="1"/>
  <c r="D1304" i="7"/>
  <c r="E1304" i="7" s="1"/>
  <c r="F1304" i="7" s="1"/>
  <c r="G1304" i="7" s="1"/>
  <c r="D1303" i="7"/>
  <c r="E1303" i="7" s="1"/>
  <c r="F1303" i="7" s="1"/>
  <c r="G1303" i="7" s="1"/>
  <c r="D1302" i="7"/>
  <c r="E1302" i="7" s="1"/>
  <c r="F1302" i="7" s="1"/>
  <c r="G1302" i="7" s="1"/>
  <c r="D1301" i="7"/>
  <c r="E1301" i="7" s="1"/>
  <c r="F1301" i="7" s="1"/>
  <c r="G1301" i="7" s="1"/>
  <c r="D1300" i="7"/>
  <c r="E1300" i="7" s="1"/>
  <c r="F1300" i="7" s="1"/>
  <c r="G1300" i="7" s="1"/>
  <c r="D1299" i="7"/>
  <c r="E1299" i="7" s="1"/>
  <c r="F1299" i="7" s="1"/>
  <c r="G1299" i="7" s="1"/>
  <c r="D1298" i="7"/>
  <c r="E1298" i="7" s="1"/>
  <c r="F1298" i="7" s="1"/>
  <c r="G1298" i="7" s="1"/>
  <c r="D1297" i="7"/>
  <c r="E1297" i="7" s="1"/>
  <c r="F1297" i="7" s="1"/>
  <c r="G1297" i="7" s="1"/>
  <c r="D1296" i="7"/>
  <c r="E1296" i="7" s="1"/>
  <c r="F1296" i="7" s="1"/>
  <c r="G1296" i="7" s="1"/>
  <c r="D1295" i="7"/>
  <c r="E1295" i="7" s="1"/>
  <c r="F1295" i="7" s="1"/>
  <c r="G1295" i="7" s="1"/>
  <c r="D1294" i="7"/>
  <c r="E1294" i="7" s="1"/>
  <c r="F1294" i="7" s="1"/>
  <c r="G1294" i="7" s="1"/>
  <c r="D1293" i="7"/>
  <c r="E1293" i="7" s="1"/>
  <c r="F1293" i="7" s="1"/>
  <c r="G1293" i="7" s="1"/>
  <c r="D1292" i="7"/>
  <c r="E1292" i="7" s="1"/>
  <c r="F1292" i="7" s="1"/>
  <c r="G1292" i="7" s="1"/>
  <c r="D1291" i="7"/>
  <c r="E1291" i="7" s="1"/>
  <c r="F1291" i="7" s="1"/>
  <c r="G1291" i="7" s="1"/>
  <c r="D1290" i="7"/>
  <c r="E1290" i="7" s="1"/>
  <c r="F1290" i="7" s="1"/>
  <c r="G1290" i="7" s="1"/>
  <c r="D1289" i="7"/>
  <c r="E1289" i="7" s="1"/>
  <c r="F1289" i="7" s="1"/>
  <c r="G1289" i="7" s="1"/>
  <c r="D1288" i="7"/>
  <c r="E1288" i="7" s="1"/>
  <c r="F1288" i="7" s="1"/>
  <c r="G1288" i="7" s="1"/>
  <c r="D1287" i="7"/>
  <c r="E1287" i="7" s="1"/>
  <c r="F1287" i="7" s="1"/>
  <c r="G1287" i="7" s="1"/>
  <c r="D1286" i="7"/>
  <c r="E1286" i="7" s="1"/>
  <c r="F1286" i="7" s="1"/>
  <c r="G1286" i="7" s="1"/>
  <c r="D1285" i="7"/>
  <c r="E1285" i="7" s="1"/>
  <c r="F1285" i="7" s="1"/>
  <c r="G1285" i="7" s="1"/>
  <c r="D1284" i="7"/>
  <c r="E1284" i="7" s="1"/>
  <c r="F1284" i="7" s="1"/>
  <c r="G1284" i="7" s="1"/>
  <c r="D1283" i="7"/>
  <c r="E1283" i="7" s="1"/>
  <c r="F1283" i="7" s="1"/>
  <c r="G1283" i="7" s="1"/>
  <c r="D1282" i="7"/>
  <c r="E1282" i="7" s="1"/>
  <c r="F1282" i="7" s="1"/>
  <c r="G1282" i="7" s="1"/>
  <c r="D1281" i="7"/>
  <c r="E1281" i="7" s="1"/>
  <c r="F1281" i="7" s="1"/>
  <c r="G1281" i="7" s="1"/>
  <c r="D1280" i="7"/>
  <c r="E1280" i="7" s="1"/>
  <c r="F1280" i="7" s="1"/>
  <c r="G1280" i="7" s="1"/>
  <c r="D1279" i="7"/>
  <c r="E1279" i="7" s="1"/>
  <c r="F1279" i="7" s="1"/>
  <c r="G1279" i="7" s="1"/>
  <c r="D1278" i="7"/>
  <c r="E1278" i="7" s="1"/>
  <c r="F1278" i="7" s="1"/>
  <c r="G1278" i="7" s="1"/>
  <c r="D1277" i="7"/>
  <c r="E1277" i="7" s="1"/>
  <c r="F1277" i="7" s="1"/>
  <c r="G1277" i="7" s="1"/>
  <c r="D1276" i="7"/>
  <c r="E1276" i="7" s="1"/>
  <c r="F1276" i="7" s="1"/>
  <c r="G1276" i="7" s="1"/>
  <c r="D1275" i="7"/>
  <c r="E1275" i="7" s="1"/>
  <c r="F1275" i="7" s="1"/>
  <c r="G1275" i="7" s="1"/>
  <c r="D1274" i="7"/>
  <c r="E1274" i="7" s="1"/>
  <c r="F1274" i="7" s="1"/>
  <c r="G1274" i="7" s="1"/>
  <c r="D1273" i="7"/>
  <c r="E1273" i="7" s="1"/>
  <c r="F1273" i="7" s="1"/>
  <c r="G1273" i="7" s="1"/>
  <c r="D1272" i="7"/>
  <c r="E1272" i="7" s="1"/>
  <c r="F1272" i="7" s="1"/>
  <c r="G1272" i="7" s="1"/>
  <c r="D1271" i="7"/>
  <c r="E1271" i="7" s="1"/>
  <c r="F1271" i="7" s="1"/>
  <c r="G1271" i="7" s="1"/>
  <c r="D1270" i="7"/>
  <c r="E1270" i="7" s="1"/>
  <c r="F1270" i="7" s="1"/>
  <c r="G1270" i="7" s="1"/>
  <c r="D1269" i="7"/>
  <c r="E1269" i="7" s="1"/>
  <c r="F1269" i="7" s="1"/>
  <c r="G1269" i="7" s="1"/>
  <c r="D1268" i="7"/>
  <c r="E1268" i="7" s="1"/>
  <c r="F1268" i="7" s="1"/>
  <c r="G1268" i="7" s="1"/>
  <c r="D1267" i="7"/>
  <c r="E1267" i="7" s="1"/>
  <c r="F1267" i="7" s="1"/>
  <c r="G1267" i="7" s="1"/>
  <c r="D1266" i="7"/>
  <c r="E1266" i="7" s="1"/>
  <c r="F1266" i="7" s="1"/>
  <c r="G1266" i="7" s="1"/>
  <c r="D1265" i="7"/>
  <c r="E1265" i="7" s="1"/>
  <c r="F1265" i="7" s="1"/>
  <c r="G1265" i="7" s="1"/>
  <c r="D1264" i="7"/>
  <c r="E1264" i="7" s="1"/>
  <c r="F1264" i="7" s="1"/>
  <c r="G1264" i="7" s="1"/>
  <c r="D1263" i="7"/>
  <c r="E1263" i="7" s="1"/>
  <c r="F1263" i="7" s="1"/>
  <c r="G1263" i="7" s="1"/>
  <c r="D1262" i="7"/>
  <c r="E1262" i="7" s="1"/>
  <c r="F1262" i="7" s="1"/>
  <c r="G1262" i="7" s="1"/>
  <c r="D1261" i="7"/>
  <c r="E1261" i="7" s="1"/>
  <c r="F1261" i="7" s="1"/>
  <c r="G1261" i="7" s="1"/>
  <c r="D1260" i="7"/>
  <c r="E1260" i="7" s="1"/>
  <c r="F1260" i="7" s="1"/>
  <c r="G1260" i="7" s="1"/>
  <c r="D1259" i="7"/>
  <c r="E1259" i="7" s="1"/>
  <c r="F1259" i="7" s="1"/>
  <c r="G1259" i="7" s="1"/>
  <c r="D1258" i="7"/>
  <c r="E1258" i="7" s="1"/>
  <c r="F1258" i="7" s="1"/>
  <c r="G1258" i="7" s="1"/>
  <c r="D1257" i="7"/>
  <c r="E1257" i="7" s="1"/>
  <c r="F1257" i="7" s="1"/>
  <c r="G1257" i="7" s="1"/>
  <c r="D1256" i="7"/>
  <c r="E1256" i="7" s="1"/>
  <c r="F1256" i="7" s="1"/>
  <c r="G1256" i="7" s="1"/>
  <c r="D1255" i="7"/>
  <c r="E1255" i="7" s="1"/>
  <c r="F1255" i="7" s="1"/>
  <c r="G1255" i="7" s="1"/>
  <c r="D1254" i="7"/>
  <c r="E1254" i="7" s="1"/>
  <c r="F1254" i="7" s="1"/>
  <c r="G1254" i="7" s="1"/>
  <c r="D1253" i="7"/>
  <c r="E1253" i="7" s="1"/>
  <c r="F1253" i="7" s="1"/>
  <c r="G1253" i="7" s="1"/>
  <c r="D1252" i="7"/>
  <c r="E1252" i="7" s="1"/>
  <c r="F1252" i="7" s="1"/>
  <c r="G1252" i="7" s="1"/>
  <c r="D1251" i="7"/>
  <c r="E1251" i="7" s="1"/>
  <c r="F1251" i="7" s="1"/>
  <c r="G1251" i="7" s="1"/>
  <c r="D1250" i="7"/>
  <c r="E1250" i="7" s="1"/>
  <c r="F1250" i="7" s="1"/>
  <c r="G1250" i="7" s="1"/>
  <c r="D1249" i="7"/>
  <c r="E1249" i="7" s="1"/>
  <c r="F1249" i="7" s="1"/>
  <c r="G1249" i="7" s="1"/>
  <c r="D1248" i="7"/>
  <c r="E1248" i="7" s="1"/>
  <c r="F1248" i="7" s="1"/>
  <c r="G1248" i="7" s="1"/>
  <c r="D1247" i="7"/>
  <c r="E1247" i="7" s="1"/>
  <c r="F1247" i="7" s="1"/>
  <c r="G1247" i="7" s="1"/>
  <c r="D1246" i="7"/>
  <c r="E1246" i="7" s="1"/>
  <c r="F1246" i="7" s="1"/>
  <c r="G1246" i="7" s="1"/>
  <c r="D1245" i="7"/>
  <c r="E1245" i="7" s="1"/>
  <c r="F1245" i="7" s="1"/>
  <c r="G1245" i="7" s="1"/>
  <c r="D1244" i="7"/>
  <c r="E1244" i="7" s="1"/>
  <c r="F1244" i="7" s="1"/>
  <c r="G1244" i="7" s="1"/>
  <c r="D1243" i="7"/>
  <c r="E1243" i="7" s="1"/>
  <c r="F1243" i="7" s="1"/>
  <c r="G1243" i="7" s="1"/>
  <c r="D1242" i="7"/>
  <c r="E1242" i="7" s="1"/>
  <c r="F1242" i="7" s="1"/>
  <c r="G1242" i="7" s="1"/>
  <c r="D1241" i="7"/>
  <c r="E1241" i="7" s="1"/>
  <c r="F1241" i="7" s="1"/>
  <c r="G1241" i="7" s="1"/>
  <c r="D1240" i="7"/>
  <c r="E1240" i="7" s="1"/>
  <c r="F1240" i="7" s="1"/>
  <c r="G1240" i="7" s="1"/>
  <c r="D1239" i="7"/>
  <c r="E1239" i="7" s="1"/>
  <c r="F1239" i="7" s="1"/>
  <c r="G1239" i="7" s="1"/>
  <c r="D1238" i="7"/>
  <c r="E1238" i="7" s="1"/>
  <c r="F1238" i="7" s="1"/>
  <c r="G1238" i="7" s="1"/>
  <c r="D1237" i="7"/>
  <c r="E1237" i="7" s="1"/>
  <c r="F1237" i="7" s="1"/>
  <c r="G1237" i="7" s="1"/>
  <c r="D1236" i="7"/>
  <c r="E1236" i="7" s="1"/>
  <c r="F1236" i="7" s="1"/>
  <c r="G1236" i="7" s="1"/>
  <c r="D1235" i="7"/>
  <c r="E1235" i="7" s="1"/>
  <c r="F1235" i="7" s="1"/>
  <c r="G1235" i="7" s="1"/>
  <c r="D1234" i="7"/>
  <c r="E1234" i="7" s="1"/>
  <c r="F1234" i="7" s="1"/>
  <c r="G1234" i="7" s="1"/>
  <c r="D1233" i="7"/>
  <c r="E1233" i="7" s="1"/>
  <c r="F1233" i="7" s="1"/>
  <c r="G1233" i="7" s="1"/>
  <c r="D1232" i="7"/>
  <c r="E1232" i="7" s="1"/>
  <c r="F1232" i="7" s="1"/>
  <c r="G1232" i="7" s="1"/>
  <c r="D1231" i="7"/>
  <c r="E1231" i="7" s="1"/>
  <c r="F1231" i="7" s="1"/>
  <c r="G1231" i="7" s="1"/>
  <c r="D1230" i="7"/>
  <c r="E1230" i="7" s="1"/>
  <c r="F1230" i="7" s="1"/>
  <c r="G1230" i="7" s="1"/>
  <c r="D1229" i="7"/>
  <c r="E1229" i="7" s="1"/>
  <c r="F1229" i="7" s="1"/>
  <c r="G1229" i="7" s="1"/>
  <c r="D1228" i="7"/>
  <c r="E1228" i="7" s="1"/>
  <c r="F1228" i="7" s="1"/>
  <c r="G1228" i="7" s="1"/>
  <c r="D1227" i="7"/>
  <c r="E1227" i="7" s="1"/>
  <c r="F1227" i="7" s="1"/>
  <c r="G1227" i="7" s="1"/>
  <c r="D1226" i="7"/>
  <c r="E1226" i="7" s="1"/>
  <c r="F1226" i="7" s="1"/>
  <c r="G1226" i="7" s="1"/>
  <c r="D1225" i="7"/>
  <c r="E1225" i="7" s="1"/>
  <c r="F1225" i="7" s="1"/>
  <c r="G1225" i="7" s="1"/>
  <c r="D1224" i="7"/>
  <c r="E1224" i="7" s="1"/>
  <c r="F1224" i="7" s="1"/>
  <c r="G1224" i="7" s="1"/>
  <c r="D1223" i="7"/>
  <c r="E1223" i="7" s="1"/>
  <c r="F1223" i="7" s="1"/>
  <c r="G1223" i="7" s="1"/>
  <c r="D1222" i="7"/>
  <c r="E1222" i="7" s="1"/>
  <c r="F1222" i="7" s="1"/>
  <c r="G1222" i="7" s="1"/>
  <c r="D1221" i="7"/>
  <c r="E1221" i="7" s="1"/>
  <c r="F1221" i="7" s="1"/>
  <c r="G1221" i="7" s="1"/>
  <c r="D1220" i="7"/>
  <c r="E1220" i="7" s="1"/>
  <c r="F1220" i="7" s="1"/>
  <c r="G1220" i="7" s="1"/>
  <c r="D1219" i="7"/>
  <c r="E1219" i="7" s="1"/>
  <c r="F1219" i="7" s="1"/>
  <c r="G1219" i="7" s="1"/>
  <c r="D1218" i="7"/>
  <c r="E1218" i="7" s="1"/>
  <c r="F1218" i="7" s="1"/>
  <c r="G1218" i="7" s="1"/>
  <c r="D1217" i="7"/>
  <c r="E1217" i="7" s="1"/>
  <c r="F1217" i="7" s="1"/>
  <c r="G1217" i="7" s="1"/>
  <c r="D1216" i="7"/>
  <c r="E1216" i="7" s="1"/>
  <c r="F1216" i="7" s="1"/>
  <c r="G1216" i="7" s="1"/>
  <c r="D1215" i="7"/>
  <c r="E1215" i="7" s="1"/>
  <c r="F1215" i="7" s="1"/>
  <c r="G1215" i="7" s="1"/>
  <c r="D1214" i="7"/>
  <c r="E1214" i="7" s="1"/>
  <c r="F1214" i="7" s="1"/>
  <c r="G1214" i="7" s="1"/>
  <c r="D1213" i="7"/>
  <c r="E1213" i="7" s="1"/>
  <c r="F1213" i="7" s="1"/>
  <c r="G1213" i="7" s="1"/>
  <c r="D1212" i="7"/>
  <c r="E1212" i="7" s="1"/>
  <c r="F1212" i="7" s="1"/>
  <c r="G1212" i="7" s="1"/>
  <c r="D1211" i="7"/>
  <c r="E1211" i="7" s="1"/>
  <c r="F1211" i="7" s="1"/>
  <c r="G1211" i="7" s="1"/>
  <c r="D1210" i="7"/>
  <c r="E1210" i="7" s="1"/>
  <c r="F1210" i="7" s="1"/>
  <c r="G1210" i="7" s="1"/>
  <c r="D1209" i="7"/>
  <c r="E1209" i="7" s="1"/>
  <c r="F1209" i="7" s="1"/>
  <c r="G1209" i="7" s="1"/>
  <c r="D1208" i="7"/>
  <c r="E1208" i="7" s="1"/>
  <c r="F1208" i="7" s="1"/>
  <c r="G1208" i="7" s="1"/>
  <c r="D1207" i="7"/>
  <c r="E1207" i="7" s="1"/>
  <c r="F1207" i="7" s="1"/>
  <c r="G1207" i="7" s="1"/>
  <c r="D1206" i="7"/>
  <c r="E1206" i="7" s="1"/>
  <c r="F1206" i="7" s="1"/>
  <c r="G1206" i="7" s="1"/>
  <c r="D1205" i="7"/>
  <c r="E1205" i="7" s="1"/>
  <c r="F1205" i="7" s="1"/>
  <c r="G1205" i="7" s="1"/>
  <c r="D1204" i="7"/>
  <c r="E1204" i="7" s="1"/>
  <c r="F1204" i="7" s="1"/>
  <c r="G1204" i="7" s="1"/>
  <c r="D1203" i="7"/>
  <c r="E1203" i="7" s="1"/>
  <c r="F1203" i="7" s="1"/>
  <c r="G1203" i="7" s="1"/>
  <c r="D1202" i="7"/>
  <c r="E1202" i="7" s="1"/>
  <c r="F1202" i="7" s="1"/>
  <c r="G1202" i="7" s="1"/>
  <c r="D1201" i="7"/>
  <c r="E1201" i="7" s="1"/>
  <c r="F1201" i="7" s="1"/>
  <c r="G1201" i="7" s="1"/>
  <c r="D1200" i="7"/>
  <c r="E1200" i="7" s="1"/>
  <c r="F1200" i="7" s="1"/>
  <c r="G1200" i="7" s="1"/>
  <c r="D1199" i="7"/>
  <c r="E1199" i="7" s="1"/>
  <c r="F1199" i="7" s="1"/>
  <c r="G1199" i="7" s="1"/>
  <c r="D1198" i="7"/>
  <c r="E1198" i="7" s="1"/>
  <c r="F1198" i="7" s="1"/>
  <c r="G1198" i="7" s="1"/>
  <c r="D1197" i="7"/>
  <c r="E1197" i="7" s="1"/>
  <c r="F1197" i="7" s="1"/>
  <c r="G1197" i="7" s="1"/>
  <c r="D1196" i="7"/>
  <c r="E1196" i="7" s="1"/>
  <c r="F1196" i="7" s="1"/>
  <c r="G1196" i="7" s="1"/>
  <c r="D1195" i="7"/>
  <c r="E1195" i="7" s="1"/>
  <c r="F1195" i="7" s="1"/>
  <c r="G1195" i="7" s="1"/>
  <c r="D1194" i="7"/>
  <c r="E1194" i="7" s="1"/>
  <c r="F1194" i="7" s="1"/>
  <c r="G1194" i="7" s="1"/>
  <c r="D1193" i="7"/>
  <c r="E1193" i="7" s="1"/>
  <c r="F1193" i="7" s="1"/>
  <c r="G1193" i="7" s="1"/>
  <c r="D1192" i="7"/>
  <c r="E1192" i="7" s="1"/>
  <c r="F1192" i="7" s="1"/>
  <c r="G1192" i="7" s="1"/>
  <c r="D1191" i="7"/>
  <c r="E1191" i="7" s="1"/>
  <c r="F1191" i="7" s="1"/>
  <c r="G1191" i="7" s="1"/>
  <c r="D1190" i="7"/>
  <c r="E1190" i="7" s="1"/>
  <c r="F1190" i="7" s="1"/>
  <c r="G1190" i="7" s="1"/>
  <c r="D1189" i="7"/>
  <c r="E1189" i="7" s="1"/>
  <c r="F1189" i="7" s="1"/>
  <c r="G1189" i="7" s="1"/>
  <c r="D1188" i="7"/>
  <c r="E1188" i="7" s="1"/>
  <c r="F1188" i="7" s="1"/>
  <c r="G1188" i="7" s="1"/>
  <c r="D1187" i="7"/>
  <c r="E1187" i="7" s="1"/>
  <c r="F1187" i="7" s="1"/>
  <c r="G1187" i="7" s="1"/>
  <c r="D1186" i="7"/>
  <c r="E1186" i="7" s="1"/>
  <c r="F1186" i="7" s="1"/>
  <c r="G1186" i="7" s="1"/>
  <c r="D1185" i="7"/>
  <c r="E1185" i="7" s="1"/>
  <c r="F1185" i="7" s="1"/>
  <c r="G1185" i="7" s="1"/>
  <c r="D1184" i="7"/>
  <c r="E1184" i="7" s="1"/>
  <c r="F1184" i="7" s="1"/>
  <c r="G1184" i="7" s="1"/>
  <c r="D1183" i="7"/>
  <c r="E1183" i="7" s="1"/>
  <c r="F1183" i="7" s="1"/>
  <c r="G1183" i="7" s="1"/>
  <c r="D1182" i="7"/>
  <c r="E1182" i="7" s="1"/>
  <c r="F1182" i="7" s="1"/>
  <c r="G1182" i="7" s="1"/>
  <c r="D1181" i="7"/>
  <c r="E1181" i="7" s="1"/>
  <c r="F1181" i="7" s="1"/>
  <c r="G1181" i="7" s="1"/>
  <c r="D1180" i="7"/>
  <c r="E1180" i="7" s="1"/>
  <c r="F1180" i="7" s="1"/>
  <c r="G1180" i="7" s="1"/>
  <c r="D1179" i="7"/>
  <c r="E1179" i="7" s="1"/>
  <c r="F1179" i="7" s="1"/>
  <c r="G1179" i="7" s="1"/>
  <c r="D1178" i="7"/>
  <c r="E1178" i="7" s="1"/>
  <c r="F1178" i="7" s="1"/>
  <c r="G1178" i="7" s="1"/>
  <c r="D1177" i="7"/>
  <c r="E1177" i="7" s="1"/>
  <c r="F1177" i="7" s="1"/>
  <c r="G1177" i="7" s="1"/>
  <c r="D1176" i="7"/>
  <c r="E1176" i="7" s="1"/>
  <c r="F1176" i="7" s="1"/>
  <c r="G1176" i="7" s="1"/>
  <c r="D1175" i="7"/>
  <c r="E1175" i="7" s="1"/>
  <c r="F1175" i="7" s="1"/>
  <c r="G1175" i="7" s="1"/>
  <c r="D1174" i="7"/>
  <c r="E1174" i="7" s="1"/>
  <c r="F1174" i="7" s="1"/>
  <c r="G1174" i="7" s="1"/>
  <c r="D1173" i="7"/>
  <c r="E1173" i="7" s="1"/>
  <c r="F1173" i="7" s="1"/>
  <c r="G1173" i="7" s="1"/>
  <c r="D1172" i="7"/>
  <c r="E1172" i="7" s="1"/>
  <c r="F1172" i="7" s="1"/>
  <c r="G1172" i="7" s="1"/>
  <c r="D1171" i="7"/>
  <c r="E1171" i="7" s="1"/>
  <c r="F1171" i="7" s="1"/>
  <c r="G1171" i="7" s="1"/>
  <c r="D1170" i="7"/>
  <c r="E1170" i="7" s="1"/>
  <c r="F1170" i="7" s="1"/>
  <c r="G1170" i="7" s="1"/>
  <c r="D1169" i="7"/>
  <c r="E1169" i="7" s="1"/>
  <c r="F1169" i="7" s="1"/>
  <c r="G1169" i="7" s="1"/>
  <c r="D1168" i="7"/>
  <c r="E1168" i="7" s="1"/>
  <c r="F1168" i="7" s="1"/>
  <c r="G1168" i="7" s="1"/>
  <c r="D1167" i="7"/>
  <c r="E1167" i="7" s="1"/>
  <c r="F1167" i="7" s="1"/>
  <c r="G1167" i="7" s="1"/>
  <c r="D1166" i="7"/>
  <c r="E1166" i="7" s="1"/>
  <c r="F1166" i="7" s="1"/>
  <c r="G1166" i="7" s="1"/>
  <c r="D1165" i="7"/>
  <c r="E1165" i="7" s="1"/>
  <c r="F1165" i="7" s="1"/>
  <c r="G1165" i="7" s="1"/>
  <c r="D1164" i="7"/>
  <c r="E1164" i="7" s="1"/>
  <c r="F1164" i="7" s="1"/>
  <c r="G1164" i="7" s="1"/>
  <c r="D1163" i="7"/>
  <c r="E1163" i="7" s="1"/>
  <c r="F1163" i="7" s="1"/>
  <c r="G1163" i="7" s="1"/>
  <c r="D1162" i="7"/>
  <c r="E1162" i="7" s="1"/>
  <c r="F1162" i="7" s="1"/>
  <c r="G1162" i="7" s="1"/>
  <c r="D1161" i="7"/>
  <c r="E1161" i="7" s="1"/>
  <c r="F1161" i="7" s="1"/>
  <c r="G1161" i="7" s="1"/>
  <c r="D1160" i="7"/>
  <c r="E1160" i="7" s="1"/>
  <c r="F1160" i="7" s="1"/>
  <c r="G1160" i="7" s="1"/>
  <c r="D1159" i="7"/>
  <c r="E1159" i="7" s="1"/>
  <c r="F1159" i="7" s="1"/>
  <c r="G1159" i="7" s="1"/>
  <c r="D1158" i="7"/>
  <c r="E1158" i="7" s="1"/>
  <c r="F1158" i="7" s="1"/>
  <c r="G1158" i="7" s="1"/>
  <c r="D1157" i="7"/>
  <c r="E1157" i="7" s="1"/>
  <c r="F1157" i="7" s="1"/>
  <c r="G1157" i="7" s="1"/>
  <c r="D1156" i="7"/>
  <c r="E1156" i="7" s="1"/>
  <c r="F1156" i="7" s="1"/>
  <c r="G1156" i="7" s="1"/>
  <c r="D1155" i="7"/>
  <c r="E1155" i="7" s="1"/>
  <c r="F1155" i="7" s="1"/>
  <c r="G1155" i="7" s="1"/>
  <c r="D1154" i="7"/>
  <c r="E1154" i="7" s="1"/>
  <c r="F1154" i="7" s="1"/>
  <c r="G1154" i="7" s="1"/>
  <c r="D1153" i="7"/>
  <c r="E1153" i="7" s="1"/>
  <c r="F1153" i="7" s="1"/>
  <c r="G1153" i="7" s="1"/>
  <c r="D1152" i="7"/>
  <c r="E1152" i="7" s="1"/>
  <c r="F1152" i="7" s="1"/>
  <c r="G1152" i="7" s="1"/>
  <c r="D1151" i="7"/>
  <c r="E1151" i="7" s="1"/>
  <c r="F1151" i="7" s="1"/>
  <c r="G1151" i="7" s="1"/>
  <c r="D1150" i="7"/>
  <c r="E1150" i="7" s="1"/>
  <c r="F1150" i="7" s="1"/>
  <c r="G1150" i="7" s="1"/>
  <c r="D1149" i="7"/>
  <c r="E1149" i="7" s="1"/>
  <c r="F1149" i="7" s="1"/>
  <c r="G1149" i="7" s="1"/>
  <c r="D1148" i="7"/>
  <c r="E1148" i="7" s="1"/>
  <c r="F1148" i="7" s="1"/>
  <c r="G1148" i="7" s="1"/>
  <c r="D1147" i="7"/>
  <c r="E1147" i="7" s="1"/>
  <c r="F1147" i="7" s="1"/>
  <c r="G1147" i="7" s="1"/>
  <c r="D1146" i="7"/>
  <c r="E1146" i="7" s="1"/>
  <c r="F1146" i="7" s="1"/>
  <c r="G1146" i="7" s="1"/>
  <c r="D1145" i="7"/>
  <c r="E1145" i="7" s="1"/>
  <c r="F1145" i="7" s="1"/>
  <c r="G1145" i="7" s="1"/>
  <c r="D1144" i="7"/>
  <c r="E1144" i="7" s="1"/>
  <c r="F1144" i="7" s="1"/>
  <c r="G1144" i="7" s="1"/>
  <c r="D1143" i="7"/>
  <c r="E1143" i="7" s="1"/>
  <c r="F1143" i="7" s="1"/>
  <c r="G1143" i="7" s="1"/>
  <c r="D1142" i="7"/>
  <c r="E1142" i="7" s="1"/>
  <c r="F1142" i="7" s="1"/>
  <c r="G1142" i="7" s="1"/>
  <c r="D1141" i="7"/>
  <c r="E1141" i="7" s="1"/>
  <c r="F1141" i="7" s="1"/>
  <c r="G1141" i="7" s="1"/>
  <c r="D1140" i="7"/>
  <c r="E1140" i="7" s="1"/>
  <c r="F1140" i="7" s="1"/>
  <c r="G1140" i="7" s="1"/>
  <c r="D1139" i="7"/>
  <c r="E1139" i="7" s="1"/>
  <c r="F1139" i="7" s="1"/>
  <c r="G1139" i="7" s="1"/>
  <c r="D1138" i="7"/>
  <c r="E1138" i="7" s="1"/>
  <c r="F1138" i="7" s="1"/>
  <c r="G1138" i="7" s="1"/>
  <c r="D1137" i="7"/>
  <c r="E1137" i="7" s="1"/>
  <c r="F1137" i="7" s="1"/>
  <c r="G1137" i="7" s="1"/>
  <c r="D1136" i="7"/>
  <c r="E1136" i="7" s="1"/>
  <c r="F1136" i="7" s="1"/>
  <c r="G1136" i="7" s="1"/>
  <c r="D1135" i="7"/>
  <c r="E1135" i="7" s="1"/>
  <c r="F1135" i="7" s="1"/>
  <c r="G1135" i="7" s="1"/>
  <c r="D1134" i="7"/>
  <c r="E1134" i="7" s="1"/>
  <c r="F1134" i="7" s="1"/>
  <c r="G1134" i="7" s="1"/>
  <c r="D1133" i="7"/>
  <c r="E1133" i="7" s="1"/>
  <c r="F1133" i="7" s="1"/>
  <c r="G1133" i="7" s="1"/>
  <c r="D1132" i="7"/>
  <c r="E1132" i="7" s="1"/>
  <c r="F1132" i="7" s="1"/>
  <c r="G1132" i="7" s="1"/>
  <c r="D1131" i="7"/>
  <c r="E1131" i="7" s="1"/>
  <c r="F1131" i="7" s="1"/>
  <c r="G1131" i="7" s="1"/>
  <c r="D1130" i="7"/>
  <c r="E1130" i="7" s="1"/>
  <c r="F1130" i="7" s="1"/>
  <c r="G1130" i="7" s="1"/>
  <c r="D1129" i="7"/>
  <c r="E1129" i="7" s="1"/>
  <c r="F1129" i="7" s="1"/>
  <c r="G1129" i="7" s="1"/>
  <c r="D1128" i="7"/>
  <c r="E1128" i="7" s="1"/>
  <c r="F1128" i="7" s="1"/>
  <c r="G1128" i="7" s="1"/>
  <c r="D1127" i="7"/>
  <c r="E1127" i="7" s="1"/>
  <c r="F1127" i="7" s="1"/>
  <c r="G1127" i="7" s="1"/>
  <c r="D1126" i="7"/>
  <c r="E1126" i="7" s="1"/>
  <c r="F1126" i="7" s="1"/>
  <c r="G1126" i="7" s="1"/>
  <c r="D1125" i="7"/>
  <c r="E1125" i="7" s="1"/>
  <c r="F1125" i="7" s="1"/>
  <c r="G1125" i="7" s="1"/>
  <c r="D1124" i="7"/>
  <c r="E1124" i="7" s="1"/>
  <c r="F1124" i="7" s="1"/>
  <c r="G1124" i="7" s="1"/>
  <c r="D1123" i="7"/>
  <c r="E1123" i="7" s="1"/>
  <c r="F1123" i="7" s="1"/>
  <c r="G1123" i="7" s="1"/>
  <c r="D1122" i="7"/>
  <c r="E1122" i="7" s="1"/>
  <c r="F1122" i="7" s="1"/>
  <c r="G1122" i="7" s="1"/>
  <c r="D1121" i="7"/>
  <c r="E1121" i="7" s="1"/>
  <c r="F1121" i="7" s="1"/>
  <c r="G1121" i="7" s="1"/>
  <c r="D1120" i="7"/>
  <c r="E1120" i="7" s="1"/>
  <c r="F1120" i="7" s="1"/>
  <c r="G1120" i="7" s="1"/>
  <c r="D1119" i="7"/>
  <c r="E1119" i="7" s="1"/>
  <c r="F1119" i="7" s="1"/>
  <c r="G1119" i="7" s="1"/>
  <c r="D1118" i="7"/>
  <c r="E1118" i="7" s="1"/>
  <c r="F1118" i="7" s="1"/>
  <c r="G1118" i="7" s="1"/>
  <c r="D1117" i="7"/>
  <c r="E1117" i="7" s="1"/>
  <c r="F1117" i="7" s="1"/>
  <c r="G1117" i="7" s="1"/>
  <c r="D1116" i="7"/>
  <c r="E1116" i="7" s="1"/>
  <c r="F1116" i="7" s="1"/>
  <c r="G1116" i="7" s="1"/>
  <c r="D1115" i="7"/>
  <c r="E1115" i="7" s="1"/>
  <c r="F1115" i="7" s="1"/>
  <c r="G1115" i="7" s="1"/>
  <c r="D1114" i="7"/>
  <c r="E1114" i="7" s="1"/>
  <c r="F1114" i="7" s="1"/>
  <c r="G1114" i="7" s="1"/>
  <c r="D1113" i="7"/>
  <c r="E1113" i="7" s="1"/>
  <c r="F1113" i="7" s="1"/>
  <c r="G1113" i="7" s="1"/>
  <c r="D1112" i="7"/>
  <c r="E1112" i="7" s="1"/>
  <c r="F1112" i="7" s="1"/>
  <c r="G1112" i="7" s="1"/>
  <c r="D1111" i="7"/>
  <c r="E1111" i="7" s="1"/>
  <c r="F1111" i="7" s="1"/>
  <c r="G1111" i="7" s="1"/>
  <c r="D1110" i="7"/>
  <c r="E1110" i="7" s="1"/>
  <c r="F1110" i="7" s="1"/>
  <c r="G1110" i="7" s="1"/>
  <c r="D1109" i="7"/>
  <c r="E1109" i="7" s="1"/>
  <c r="F1109" i="7" s="1"/>
  <c r="G1109" i="7" s="1"/>
  <c r="D1108" i="7"/>
  <c r="E1108" i="7" s="1"/>
  <c r="F1108" i="7" s="1"/>
  <c r="G1108" i="7" s="1"/>
  <c r="D1107" i="7"/>
  <c r="E1107" i="7" s="1"/>
  <c r="F1107" i="7" s="1"/>
  <c r="G1107" i="7" s="1"/>
  <c r="D1106" i="7"/>
  <c r="E1106" i="7" s="1"/>
  <c r="F1106" i="7" s="1"/>
  <c r="G1106" i="7" s="1"/>
  <c r="D1105" i="7"/>
  <c r="E1105" i="7" s="1"/>
  <c r="F1105" i="7" s="1"/>
  <c r="G1105" i="7" s="1"/>
  <c r="D1104" i="7"/>
  <c r="E1104" i="7" s="1"/>
  <c r="F1104" i="7" s="1"/>
  <c r="G1104" i="7" s="1"/>
  <c r="D1103" i="7"/>
  <c r="E1103" i="7" s="1"/>
  <c r="F1103" i="7" s="1"/>
  <c r="G1103" i="7" s="1"/>
  <c r="D1102" i="7"/>
  <c r="E1102" i="7" s="1"/>
  <c r="F1102" i="7" s="1"/>
  <c r="G1102" i="7" s="1"/>
  <c r="D1101" i="7"/>
  <c r="E1101" i="7" s="1"/>
  <c r="F1101" i="7" s="1"/>
  <c r="G1101" i="7" s="1"/>
  <c r="D1100" i="7"/>
  <c r="E1100" i="7" s="1"/>
  <c r="F1100" i="7" s="1"/>
  <c r="G1100" i="7" s="1"/>
  <c r="D1099" i="7"/>
  <c r="E1099" i="7" s="1"/>
  <c r="F1099" i="7" s="1"/>
  <c r="G1099" i="7" s="1"/>
  <c r="D1098" i="7"/>
  <c r="E1098" i="7" s="1"/>
  <c r="F1098" i="7" s="1"/>
  <c r="G1098" i="7" s="1"/>
  <c r="D1097" i="7"/>
  <c r="E1097" i="7" s="1"/>
  <c r="F1097" i="7" s="1"/>
  <c r="G1097" i="7" s="1"/>
  <c r="D1096" i="7"/>
  <c r="E1096" i="7" s="1"/>
  <c r="F1096" i="7" s="1"/>
  <c r="G1096" i="7" s="1"/>
  <c r="D1095" i="7"/>
  <c r="E1095" i="7" s="1"/>
  <c r="F1095" i="7" s="1"/>
  <c r="G1095" i="7" s="1"/>
  <c r="D1094" i="7"/>
  <c r="E1094" i="7" s="1"/>
  <c r="F1094" i="7" s="1"/>
  <c r="G1094" i="7" s="1"/>
  <c r="D1093" i="7"/>
  <c r="E1093" i="7" s="1"/>
  <c r="F1093" i="7" s="1"/>
  <c r="G1093" i="7" s="1"/>
  <c r="D1092" i="7"/>
  <c r="E1092" i="7" s="1"/>
  <c r="F1092" i="7" s="1"/>
  <c r="G1092" i="7" s="1"/>
  <c r="D1091" i="7"/>
  <c r="E1091" i="7" s="1"/>
  <c r="F1091" i="7" s="1"/>
  <c r="G1091" i="7" s="1"/>
  <c r="D1090" i="7"/>
  <c r="E1090" i="7" s="1"/>
  <c r="F1090" i="7" s="1"/>
  <c r="G1090" i="7" s="1"/>
  <c r="D1089" i="7"/>
  <c r="E1089" i="7" s="1"/>
  <c r="F1089" i="7" s="1"/>
  <c r="G1089" i="7" s="1"/>
  <c r="D1088" i="7"/>
  <c r="E1088" i="7" s="1"/>
  <c r="F1088" i="7" s="1"/>
  <c r="G1088" i="7" s="1"/>
  <c r="D1087" i="7"/>
  <c r="E1087" i="7" s="1"/>
  <c r="F1087" i="7" s="1"/>
  <c r="G1087" i="7" s="1"/>
  <c r="D1086" i="7"/>
  <c r="E1086" i="7" s="1"/>
  <c r="F1086" i="7" s="1"/>
  <c r="G1086" i="7" s="1"/>
  <c r="D1085" i="7"/>
  <c r="E1085" i="7" s="1"/>
  <c r="F1085" i="7" s="1"/>
  <c r="G1085" i="7" s="1"/>
  <c r="D1084" i="7"/>
  <c r="E1084" i="7" s="1"/>
  <c r="F1084" i="7" s="1"/>
  <c r="G1084" i="7" s="1"/>
  <c r="D1083" i="7"/>
  <c r="E1083" i="7" s="1"/>
  <c r="F1083" i="7" s="1"/>
  <c r="G1083" i="7" s="1"/>
  <c r="D1082" i="7"/>
  <c r="E1082" i="7" s="1"/>
  <c r="F1082" i="7" s="1"/>
  <c r="D1081" i="7"/>
  <c r="E1081" i="7" s="1"/>
  <c r="F1081" i="7" s="1"/>
  <c r="D1080" i="7"/>
  <c r="E1080" i="7" s="1"/>
  <c r="F1080" i="7" s="1"/>
  <c r="D1079" i="7"/>
  <c r="E1079" i="7" s="1"/>
  <c r="F1079" i="7" s="1"/>
  <c r="D1078" i="7"/>
  <c r="E1078" i="7" s="1"/>
  <c r="F1078" i="7" s="1"/>
  <c r="D1077" i="7"/>
  <c r="E1077" i="7" s="1"/>
  <c r="F1077" i="7" s="1"/>
  <c r="D1076" i="7"/>
  <c r="E1076" i="7" s="1"/>
  <c r="F1076" i="7" s="1"/>
  <c r="D1075" i="7"/>
  <c r="E1075" i="7" s="1"/>
  <c r="F1075" i="7" s="1"/>
  <c r="D1074" i="7"/>
  <c r="E1074" i="7" s="1"/>
  <c r="F1074" i="7" s="1"/>
  <c r="D1073" i="7"/>
  <c r="E1073" i="7" s="1"/>
  <c r="F1073" i="7" s="1"/>
  <c r="D1072" i="7"/>
  <c r="E1072" i="7" s="1"/>
  <c r="F1072" i="7" s="1"/>
  <c r="D1071" i="7"/>
  <c r="E1071" i="7" s="1"/>
  <c r="F1071" i="7" s="1"/>
  <c r="D1070" i="7"/>
  <c r="E1070" i="7" s="1"/>
  <c r="F1070" i="7" s="1"/>
  <c r="D1069" i="7"/>
  <c r="E1069" i="7" s="1"/>
  <c r="F1069" i="7" s="1"/>
  <c r="D1068" i="7"/>
  <c r="E1068" i="7" s="1"/>
  <c r="F1068" i="7" s="1"/>
  <c r="D1067" i="7"/>
  <c r="E1067" i="7" s="1"/>
  <c r="F1067" i="7" s="1"/>
  <c r="D1066" i="7"/>
  <c r="E1066" i="7" s="1"/>
  <c r="F1066" i="7" s="1"/>
  <c r="D1065" i="7"/>
  <c r="E1065" i="7" s="1"/>
  <c r="F1065" i="7" s="1"/>
  <c r="D1064" i="7"/>
  <c r="E1064" i="7" s="1"/>
  <c r="F1064" i="7" s="1"/>
  <c r="D1063" i="7"/>
  <c r="E1063" i="7" s="1"/>
  <c r="F1063" i="7" s="1"/>
  <c r="D1062" i="7"/>
  <c r="E1062" i="7" s="1"/>
  <c r="F1062" i="7" s="1"/>
  <c r="D1061" i="7"/>
  <c r="E1061" i="7" s="1"/>
  <c r="F1061" i="7" s="1"/>
  <c r="D1060" i="7"/>
  <c r="E1060" i="7" s="1"/>
  <c r="F1060" i="7" s="1"/>
  <c r="D1059" i="7"/>
  <c r="E1059" i="7" s="1"/>
  <c r="F1059" i="7" s="1"/>
  <c r="D1058" i="7"/>
  <c r="E1058" i="7" s="1"/>
  <c r="F1058" i="7" s="1"/>
  <c r="D1057" i="7"/>
  <c r="E1057" i="7" s="1"/>
  <c r="F1057" i="7" s="1"/>
  <c r="D1056" i="7"/>
  <c r="E1056" i="7" s="1"/>
  <c r="F1056" i="7" s="1"/>
  <c r="D1055" i="7"/>
  <c r="E1055" i="7" s="1"/>
  <c r="F1055" i="7" s="1"/>
  <c r="D1054" i="7"/>
  <c r="E1054" i="7" s="1"/>
  <c r="F1054" i="7" s="1"/>
  <c r="D1053" i="7"/>
  <c r="E1053" i="7" s="1"/>
  <c r="F1053" i="7" s="1"/>
  <c r="D1052" i="7"/>
  <c r="E1052" i="7" s="1"/>
  <c r="F1052" i="7" s="1"/>
  <c r="D1051" i="7"/>
  <c r="E1051" i="7" s="1"/>
  <c r="F1051" i="7" s="1"/>
  <c r="D1050" i="7"/>
  <c r="E1050" i="7" s="1"/>
  <c r="F1050" i="7" s="1"/>
  <c r="D1049" i="7"/>
  <c r="E1049" i="7" s="1"/>
  <c r="F1049" i="7" s="1"/>
  <c r="D1048" i="7"/>
  <c r="E1048" i="7" s="1"/>
  <c r="F1048" i="7" s="1"/>
  <c r="D1047" i="7"/>
  <c r="E1047" i="7" s="1"/>
  <c r="F1047" i="7" s="1"/>
  <c r="D1046" i="7"/>
  <c r="E1046" i="7" s="1"/>
  <c r="F1046" i="7" s="1"/>
  <c r="G1046" i="7" s="1"/>
  <c r="D1045" i="7"/>
  <c r="E1045" i="7" s="1"/>
  <c r="F1045" i="7" s="1"/>
  <c r="G1045" i="7" s="1"/>
  <c r="D1044" i="7"/>
  <c r="E1044" i="7" s="1"/>
  <c r="F1044" i="7" s="1"/>
  <c r="G1044" i="7" s="1"/>
  <c r="D1043" i="7"/>
  <c r="E1043" i="7" s="1"/>
  <c r="F1043" i="7" s="1"/>
  <c r="G1043" i="7" s="1"/>
  <c r="D1042" i="7"/>
  <c r="E1042" i="7" s="1"/>
  <c r="F1042" i="7" s="1"/>
  <c r="G1042" i="7" s="1"/>
  <c r="D1041" i="7"/>
  <c r="E1041" i="7" s="1"/>
  <c r="F1041" i="7" s="1"/>
  <c r="G1041" i="7" s="1"/>
  <c r="D1040" i="7"/>
  <c r="E1040" i="7" s="1"/>
  <c r="F1040" i="7" s="1"/>
  <c r="G1040" i="7" s="1"/>
  <c r="D1039" i="7"/>
  <c r="E1039" i="7" s="1"/>
  <c r="F1039" i="7" s="1"/>
  <c r="G1039" i="7" s="1"/>
  <c r="D1038" i="7"/>
  <c r="E1038" i="7" s="1"/>
  <c r="F1038" i="7" s="1"/>
  <c r="G1038" i="7" s="1"/>
  <c r="D1037" i="7"/>
  <c r="E1037" i="7" s="1"/>
  <c r="F1037" i="7" s="1"/>
  <c r="G1037" i="7" s="1"/>
  <c r="D1036" i="7"/>
  <c r="E1036" i="7" s="1"/>
  <c r="F1036" i="7" s="1"/>
  <c r="G1036" i="7" s="1"/>
  <c r="D1035" i="7"/>
  <c r="E1035" i="7" s="1"/>
  <c r="F1035" i="7" s="1"/>
  <c r="G1035" i="7" s="1"/>
  <c r="D1034" i="7"/>
  <c r="E1034" i="7" s="1"/>
  <c r="F1034" i="7" s="1"/>
  <c r="G1034" i="7" s="1"/>
  <c r="D1033" i="7"/>
  <c r="E1033" i="7" s="1"/>
  <c r="F1033" i="7" s="1"/>
  <c r="G1033" i="7" s="1"/>
  <c r="D1032" i="7"/>
  <c r="E1032" i="7" s="1"/>
  <c r="F1032" i="7" s="1"/>
  <c r="G1032" i="7" s="1"/>
  <c r="D1031" i="7"/>
  <c r="E1031" i="7" s="1"/>
  <c r="F1031" i="7" s="1"/>
  <c r="G1031" i="7" s="1"/>
  <c r="D1030" i="7"/>
  <c r="E1030" i="7" s="1"/>
  <c r="F1030" i="7" s="1"/>
  <c r="G1030" i="7" s="1"/>
  <c r="D1029" i="7"/>
  <c r="E1029" i="7" s="1"/>
  <c r="F1029" i="7" s="1"/>
  <c r="G1029" i="7" s="1"/>
  <c r="D1028" i="7"/>
  <c r="E1028" i="7" s="1"/>
  <c r="F1028" i="7" s="1"/>
  <c r="G1028" i="7" s="1"/>
  <c r="D1027" i="7"/>
  <c r="E1027" i="7" s="1"/>
  <c r="F1027" i="7" s="1"/>
  <c r="G1027" i="7" s="1"/>
  <c r="D1026" i="7"/>
  <c r="E1026" i="7" s="1"/>
  <c r="F1026" i="7" s="1"/>
  <c r="G1026" i="7" s="1"/>
  <c r="D1025" i="7"/>
  <c r="E1025" i="7" s="1"/>
  <c r="F1025" i="7" s="1"/>
  <c r="G1025" i="7" s="1"/>
  <c r="D1024" i="7"/>
  <c r="E1024" i="7" s="1"/>
  <c r="F1024" i="7" s="1"/>
  <c r="G1024" i="7" s="1"/>
  <c r="D1023" i="7"/>
  <c r="E1023" i="7" s="1"/>
  <c r="F1023" i="7" s="1"/>
  <c r="G1023" i="7" s="1"/>
  <c r="D1022" i="7"/>
  <c r="E1022" i="7" s="1"/>
  <c r="F1022" i="7" s="1"/>
  <c r="G1022" i="7" s="1"/>
  <c r="D1021" i="7"/>
  <c r="E1021" i="7" s="1"/>
  <c r="F1021" i="7" s="1"/>
  <c r="G1021" i="7" s="1"/>
  <c r="D1020" i="7"/>
  <c r="E1020" i="7" s="1"/>
  <c r="F1020" i="7" s="1"/>
  <c r="G1020" i="7" s="1"/>
  <c r="D1019" i="7"/>
  <c r="E1019" i="7" s="1"/>
  <c r="F1019" i="7" s="1"/>
  <c r="G1019" i="7" s="1"/>
  <c r="D1018" i="7"/>
  <c r="E1018" i="7" s="1"/>
  <c r="F1018" i="7" s="1"/>
  <c r="G1018" i="7" s="1"/>
  <c r="D1017" i="7"/>
  <c r="E1017" i="7" s="1"/>
  <c r="F1017" i="7" s="1"/>
  <c r="G1017" i="7" s="1"/>
  <c r="D1016" i="7"/>
  <c r="E1016" i="7" s="1"/>
  <c r="F1016" i="7" s="1"/>
  <c r="G1016" i="7" s="1"/>
  <c r="D1015" i="7"/>
  <c r="E1015" i="7" s="1"/>
  <c r="F1015" i="7" s="1"/>
  <c r="G1015" i="7" s="1"/>
  <c r="D1014" i="7"/>
  <c r="E1014" i="7" s="1"/>
  <c r="F1014" i="7" s="1"/>
  <c r="G1014" i="7" s="1"/>
  <c r="D1013" i="7"/>
  <c r="E1013" i="7" s="1"/>
  <c r="F1013" i="7" s="1"/>
  <c r="G1013" i="7" s="1"/>
  <c r="D1012" i="7"/>
  <c r="E1012" i="7" s="1"/>
  <c r="F1012" i="7" s="1"/>
  <c r="G1012" i="7" s="1"/>
  <c r="D1011" i="7"/>
  <c r="E1011" i="7" s="1"/>
  <c r="F1011" i="7" s="1"/>
  <c r="G1011" i="7" s="1"/>
  <c r="D1010" i="7"/>
  <c r="E1010" i="7" s="1"/>
  <c r="F1010" i="7" s="1"/>
  <c r="G1010" i="7" s="1"/>
  <c r="D1009" i="7"/>
  <c r="E1009" i="7" s="1"/>
  <c r="F1009" i="7" s="1"/>
  <c r="G1009" i="7" s="1"/>
  <c r="D1008" i="7"/>
  <c r="E1008" i="7" s="1"/>
  <c r="F1008" i="7" s="1"/>
  <c r="G1008" i="7" s="1"/>
  <c r="D1007" i="7"/>
  <c r="E1007" i="7" s="1"/>
  <c r="F1007" i="7" s="1"/>
  <c r="G1007" i="7" s="1"/>
  <c r="D1006" i="7"/>
  <c r="E1006" i="7" s="1"/>
  <c r="F1006" i="7" s="1"/>
  <c r="G1006" i="7" s="1"/>
  <c r="D1005" i="7"/>
  <c r="E1005" i="7" s="1"/>
  <c r="F1005" i="7" s="1"/>
  <c r="G1005" i="7" s="1"/>
  <c r="D1004" i="7"/>
  <c r="E1004" i="7" s="1"/>
  <c r="F1004" i="7" s="1"/>
  <c r="G1004" i="7" s="1"/>
  <c r="D1003" i="7"/>
  <c r="E1003" i="7" s="1"/>
  <c r="F1003" i="7" s="1"/>
  <c r="G1003" i="7" s="1"/>
  <c r="D1002" i="7"/>
  <c r="E1002" i="7" s="1"/>
  <c r="F1002" i="7" s="1"/>
  <c r="G1002" i="7" s="1"/>
  <c r="D1001" i="7"/>
  <c r="E1001" i="7" s="1"/>
  <c r="F1001" i="7" s="1"/>
  <c r="G1001" i="7" s="1"/>
  <c r="D1000" i="7"/>
  <c r="E1000" i="7" s="1"/>
  <c r="F1000" i="7" s="1"/>
  <c r="G1000" i="7" s="1"/>
  <c r="D999" i="7"/>
  <c r="E999" i="7" s="1"/>
  <c r="F999" i="7" s="1"/>
  <c r="G999" i="7" s="1"/>
  <c r="D998" i="7"/>
  <c r="E998" i="7" s="1"/>
  <c r="F998" i="7" s="1"/>
  <c r="G998" i="7" s="1"/>
  <c r="D997" i="7"/>
  <c r="E997" i="7" s="1"/>
  <c r="F997" i="7" s="1"/>
  <c r="G997" i="7" s="1"/>
  <c r="D996" i="7"/>
  <c r="E996" i="7" s="1"/>
  <c r="F996" i="7" s="1"/>
  <c r="G996" i="7" s="1"/>
  <c r="D995" i="7"/>
  <c r="E995" i="7" s="1"/>
  <c r="F995" i="7" s="1"/>
  <c r="G995" i="7" s="1"/>
  <c r="D994" i="7"/>
  <c r="E994" i="7" s="1"/>
  <c r="F994" i="7" s="1"/>
  <c r="G994" i="7" s="1"/>
  <c r="D993" i="7"/>
  <c r="E993" i="7" s="1"/>
  <c r="F993" i="7" s="1"/>
  <c r="G993" i="7" s="1"/>
  <c r="D992" i="7"/>
  <c r="E992" i="7" s="1"/>
  <c r="F992" i="7" s="1"/>
  <c r="G992" i="7" s="1"/>
  <c r="D991" i="7"/>
  <c r="E991" i="7" s="1"/>
  <c r="F991" i="7" s="1"/>
  <c r="G991" i="7" s="1"/>
  <c r="D990" i="7"/>
  <c r="E990" i="7" s="1"/>
  <c r="F990" i="7" s="1"/>
  <c r="G990" i="7" s="1"/>
  <c r="D989" i="7"/>
  <c r="E989" i="7" s="1"/>
  <c r="F989" i="7" s="1"/>
  <c r="G989" i="7" s="1"/>
  <c r="D988" i="7"/>
  <c r="E988" i="7" s="1"/>
  <c r="F988" i="7" s="1"/>
  <c r="G988" i="7" s="1"/>
  <c r="D987" i="7"/>
  <c r="E987" i="7" s="1"/>
  <c r="F987" i="7" s="1"/>
  <c r="G987" i="7" s="1"/>
  <c r="D986" i="7"/>
  <c r="E986" i="7" s="1"/>
  <c r="F986" i="7" s="1"/>
  <c r="G986" i="7" s="1"/>
  <c r="D985" i="7"/>
  <c r="E985" i="7" s="1"/>
  <c r="F985" i="7" s="1"/>
  <c r="G985" i="7" s="1"/>
  <c r="D984" i="7"/>
  <c r="E984" i="7" s="1"/>
  <c r="F984" i="7" s="1"/>
  <c r="G984" i="7" s="1"/>
  <c r="D983" i="7"/>
  <c r="E983" i="7" s="1"/>
  <c r="F983" i="7" s="1"/>
  <c r="G983" i="7" s="1"/>
  <c r="D982" i="7"/>
  <c r="E982" i="7" s="1"/>
  <c r="F982" i="7" s="1"/>
  <c r="G982" i="7" s="1"/>
  <c r="D981" i="7"/>
  <c r="E981" i="7" s="1"/>
  <c r="F981" i="7" s="1"/>
  <c r="G981" i="7" s="1"/>
  <c r="D980" i="7"/>
  <c r="E980" i="7" s="1"/>
  <c r="F980" i="7" s="1"/>
  <c r="G980" i="7" s="1"/>
  <c r="D979" i="7"/>
  <c r="E979" i="7" s="1"/>
  <c r="F979" i="7" s="1"/>
  <c r="G979" i="7" s="1"/>
  <c r="D978" i="7"/>
  <c r="E978" i="7" s="1"/>
  <c r="F978" i="7" s="1"/>
  <c r="G978" i="7" s="1"/>
  <c r="D977" i="7"/>
  <c r="E977" i="7" s="1"/>
  <c r="F977" i="7" s="1"/>
  <c r="G977" i="7" s="1"/>
  <c r="D976" i="7"/>
  <c r="E976" i="7" s="1"/>
  <c r="F976" i="7" s="1"/>
  <c r="G976" i="7" s="1"/>
  <c r="D975" i="7"/>
  <c r="E975" i="7" s="1"/>
  <c r="F975" i="7" s="1"/>
  <c r="G975" i="7" s="1"/>
  <c r="D974" i="7"/>
  <c r="E974" i="7" s="1"/>
  <c r="F974" i="7" s="1"/>
  <c r="G974" i="7" s="1"/>
  <c r="D973" i="7"/>
  <c r="E973" i="7" s="1"/>
  <c r="F973" i="7" s="1"/>
  <c r="G973" i="7" s="1"/>
  <c r="D972" i="7"/>
  <c r="E972" i="7" s="1"/>
  <c r="F972" i="7" s="1"/>
  <c r="G972" i="7" s="1"/>
  <c r="D971" i="7"/>
  <c r="E971" i="7" s="1"/>
  <c r="F971" i="7" s="1"/>
  <c r="G971" i="7" s="1"/>
  <c r="D970" i="7"/>
  <c r="E970" i="7" s="1"/>
  <c r="F970" i="7" s="1"/>
  <c r="G970" i="7" s="1"/>
  <c r="D969" i="7"/>
  <c r="E969" i="7" s="1"/>
  <c r="F969" i="7" s="1"/>
  <c r="G969" i="7" s="1"/>
  <c r="D968" i="7"/>
  <c r="E968" i="7" s="1"/>
  <c r="F968" i="7" s="1"/>
  <c r="G968" i="7" s="1"/>
  <c r="D967" i="7"/>
  <c r="E967" i="7" s="1"/>
  <c r="F967" i="7" s="1"/>
  <c r="G967" i="7" s="1"/>
  <c r="D966" i="7"/>
  <c r="E966" i="7" s="1"/>
  <c r="F966" i="7" s="1"/>
  <c r="G966" i="7" s="1"/>
  <c r="D965" i="7"/>
  <c r="E965" i="7" s="1"/>
  <c r="F965" i="7" s="1"/>
  <c r="G965" i="7" s="1"/>
  <c r="D964" i="7"/>
  <c r="E964" i="7" s="1"/>
  <c r="F964" i="7" s="1"/>
  <c r="G964" i="7" s="1"/>
  <c r="D963" i="7"/>
  <c r="E963" i="7" s="1"/>
  <c r="F963" i="7" s="1"/>
  <c r="G963" i="7" s="1"/>
  <c r="D962" i="7"/>
  <c r="E962" i="7" s="1"/>
  <c r="F962" i="7" s="1"/>
  <c r="G962" i="7" s="1"/>
  <c r="D961" i="7"/>
  <c r="E961" i="7" s="1"/>
  <c r="F961" i="7" s="1"/>
  <c r="G961" i="7" s="1"/>
  <c r="D960" i="7"/>
  <c r="E960" i="7" s="1"/>
  <c r="F960" i="7" s="1"/>
  <c r="G960" i="7" s="1"/>
  <c r="D959" i="7"/>
  <c r="E959" i="7" s="1"/>
  <c r="F959" i="7" s="1"/>
  <c r="G959" i="7" s="1"/>
  <c r="D958" i="7"/>
  <c r="E958" i="7" s="1"/>
  <c r="F958" i="7" s="1"/>
  <c r="G958" i="7" s="1"/>
  <c r="D957" i="7"/>
  <c r="E957" i="7" s="1"/>
  <c r="F957" i="7" s="1"/>
  <c r="G957" i="7" s="1"/>
  <c r="D956" i="7"/>
  <c r="E956" i="7" s="1"/>
  <c r="F956" i="7" s="1"/>
  <c r="G956" i="7" s="1"/>
  <c r="D955" i="7"/>
  <c r="E955" i="7" s="1"/>
  <c r="F955" i="7" s="1"/>
  <c r="G955" i="7" s="1"/>
  <c r="D954" i="7"/>
  <c r="E954" i="7" s="1"/>
  <c r="F954" i="7" s="1"/>
  <c r="G954" i="7" s="1"/>
  <c r="D953" i="7"/>
  <c r="E953" i="7" s="1"/>
  <c r="F953" i="7" s="1"/>
  <c r="G953" i="7" s="1"/>
  <c r="D952" i="7"/>
  <c r="E952" i="7" s="1"/>
  <c r="F952" i="7" s="1"/>
  <c r="G952" i="7" s="1"/>
  <c r="D951" i="7"/>
  <c r="E951" i="7" s="1"/>
  <c r="F951" i="7" s="1"/>
  <c r="G951" i="7" s="1"/>
  <c r="D950" i="7"/>
  <c r="E950" i="7" s="1"/>
  <c r="F950" i="7" s="1"/>
  <c r="G950" i="7" s="1"/>
  <c r="D949" i="7"/>
  <c r="E949" i="7" s="1"/>
  <c r="F949" i="7" s="1"/>
  <c r="G949" i="7" s="1"/>
  <c r="D948" i="7"/>
  <c r="E948" i="7" s="1"/>
  <c r="F948" i="7" s="1"/>
  <c r="G948" i="7" s="1"/>
  <c r="D947" i="7"/>
  <c r="E947" i="7" s="1"/>
  <c r="F947" i="7" s="1"/>
  <c r="G947" i="7" s="1"/>
  <c r="D946" i="7"/>
  <c r="E946" i="7" s="1"/>
  <c r="F946" i="7" s="1"/>
  <c r="G946" i="7" s="1"/>
  <c r="D945" i="7"/>
  <c r="E945" i="7" s="1"/>
  <c r="F945" i="7" s="1"/>
  <c r="G945" i="7" s="1"/>
  <c r="D944" i="7"/>
  <c r="E944" i="7" s="1"/>
  <c r="F944" i="7" s="1"/>
  <c r="G944" i="7" s="1"/>
  <c r="D943" i="7"/>
  <c r="E943" i="7" s="1"/>
  <c r="F943" i="7" s="1"/>
  <c r="G943" i="7" s="1"/>
  <c r="D942" i="7"/>
  <c r="E942" i="7" s="1"/>
  <c r="F942" i="7" s="1"/>
  <c r="G942" i="7" s="1"/>
  <c r="D941" i="7"/>
  <c r="E941" i="7" s="1"/>
  <c r="F941" i="7" s="1"/>
  <c r="G941" i="7" s="1"/>
  <c r="D940" i="7"/>
  <c r="E940" i="7" s="1"/>
  <c r="F940" i="7" s="1"/>
  <c r="G940" i="7" s="1"/>
  <c r="D939" i="7"/>
  <c r="E939" i="7" s="1"/>
  <c r="F939" i="7" s="1"/>
  <c r="G939" i="7" s="1"/>
  <c r="D938" i="7"/>
  <c r="E938" i="7" s="1"/>
  <c r="F938" i="7" s="1"/>
  <c r="G938" i="7" s="1"/>
  <c r="D937" i="7"/>
  <c r="E937" i="7" s="1"/>
  <c r="F937" i="7" s="1"/>
  <c r="G937" i="7" s="1"/>
  <c r="D936" i="7"/>
  <c r="E936" i="7" s="1"/>
  <c r="F936" i="7" s="1"/>
  <c r="G936" i="7" s="1"/>
  <c r="D935" i="7"/>
  <c r="E935" i="7" s="1"/>
  <c r="F935" i="7" s="1"/>
  <c r="G935" i="7" s="1"/>
  <c r="D934" i="7"/>
  <c r="E934" i="7" s="1"/>
  <c r="F934" i="7" s="1"/>
  <c r="G934" i="7" s="1"/>
  <c r="D933" i="7"/>
  <c r="E933" i="7" s="1"/>
  <c r="F933" i="7" s="1"/>
  <c r="G933" i="7" s="1"/>
  <c r="D932" i="7"/>
  <c r="E932" i="7" s="1"/>
  <c r="F932" i="7" s="1"/>
  <c r="G932" i="7" s="1"/>
  <c r="D931" i="7"/>
  <c r="E931" i="7" s="1"/>
  <c r="F931" i="7" s="1"/>
  <c r="G931" i="7" s="1"/>
  <c r="D930" i="7"/>
  <c r="E930" i="7" s="1"/>
  <c r="F930" i="7" s="1"/>
  <c r="G930" i="7" s="1"/>
  <c r="D929" i="7"/>
  <c r="E929" i="7" s="1"/>
  <c r="F929" i="7" s="1"/>
  <c r="G929" i="7" s="1"/>
  <c r="D928" i="7"/>
  <c r="E928" i="7" s="1"/>
  <c r="F928" i="7" s="1"/>
  <c r="G928" i="7" s="1"/>
  <c r="D927" i="7"/>
  <c r="E927" i="7" s="1"/>
  <c r="F927" i="7" s="1"/>
  <c r="G927" i="7" s="1"/>
  <c r="D926" i="7"/>
  <c r="E926" i="7" s="1"/>
  <c r="F926" i="7" s="1"/>
  <c r="G926" i="7" s="1"/>
  <c r="D925" i="7"/>
  <c r="E925" i="7" s="1"/>
  <c r="F925" i="7" s="1"/>
  <c r="G925" i="7" s="1"/>
  <c r="D924" i="7"/>
  <c r="E924" i="7" s="1"/>
  <c r="F924" i="7" s="1"/>
  <c r="G924" i="7" s="1"/>
  <c r="D923" i="7"/>
  <c r="E923" i="7" s="1"/>
  <c r="F923" i="7" s="1"/>
  <c r="G923" i="7" s="1"/>
  <c r="D922" i="7"/>
  <c r="E922" i="7" s="1"/>
  <c r="F922" i="7" s="1"/>
  <c r="G922" i="7" s="1"/>
  <c r="D921" i="7"/>
  <c r="E921" i="7" s="1"/>
  <c r="F921" i="7" s="1"/>
  <c r="G921" i="7" s="1"/>
  <c r="D920" i="7"/>
  <c r="E920" i="7" s="1"/>
  <c r="F920" i="7" s="1"/>
  <c r="G920" i="7" s="1"/>
  <c r="D919" i="7"/>
  <c r="E919" i="7" s="1"/>
  <c r="F919" i="7" s="1"/>
  <c r="G919" i="7" s="1"/>
  <c r="D918" i="7"/>
  <c r="E918" i="7" s="1"/>
  <c r="F918" i="7" s="1"/>
  <c r="G918" i="7" s="1"/>
  <c r="D917" i="7"/>
  <c r="E917" i="7" s="1"/>
  <c r="F917" i="7" s="1"/>
  <c r="G917" i="7" s="1"/>
  <c r="D916" i="7"/>
  <c r="E916" i="7" s="1"/>
  <c r="F916" i="7" s="1"/>
  <c r="G916" i="7" s="1"/>
  <c r="D915" i="7"/>
  <c r="E915" i="7" s="1"/>
  <c r="F915" i="7" s="1"/>
  <c r="G915" i="7" s="1"/>
  <c r="D914" i="7"/>
  <c r="E914" i="7" s="1"/>
  <c r="F914" i="7" s="1"/>
  <c r="G914" i="7" s="1"/>
  <c r="D913" i="7"/>
  <c r="E913" i="7" s="1"/>
  <c r="F913" i="7" s="1"/>
  <c r="G913" i="7" s="1"/>
  <c r="D912" i="7"/>
  <c r="E912" i="7" s="1"/>
  <c r="F912" i="7" s="1"/>
  <c r="G912" i="7" s="1"/>
  <c r="D911" i="7"/>
  <c r="E911" i="7" s="1"/>
  <c r="F911" i="7" s="1"/>
  <c r="G911" i="7" s="1"/>
  <c r="D910" i="7"/>
  <c r="E910" i="7" s="1"/>
  <c r="F910" i="7" s="1"/>
  <c r="G910" i="7" s="1"/>
  <c r="D909" i="7"/>
  <c r="E909" i="7" s="1"/>
  <c r="F909" i="7" s="1"/>
  <c r="G909" i="7" s="1"/>
  <c r="D908" i="7"/>
  <c r="E908" i="7" s="1"/>
  <c r="F908" i="7" s="1"/>
  <c r="G908" i="7" s="1"/>
  <c r="D907" i="7"/>
  <c r="E907" i="7" s="1"/>
  <c r="F907" i="7" s="1"/>
  <c r="G907" i="7" s="1"/>
  <c r="D906" i="7"/>
  <c r="E906" i="7" s="1"/>
  <c r="F906" i="7" s="1"/>
  <c r="G906" i="7" s="1"/>
  <c r="D905" i="7"/>
  <c r="E905" i="7" s="1"/>
  <c r="F905" i="7" s="1"/>
  <c r="G905" i="7" s="1"/>
  <c r="D904" i="7"/>
  <c r="E904" i="7" s="1"/>
  <c r="F904" i="7" s="1"/>
  <c r="G904" i="7" s="1"/>
  <c r="D903" i="7"/>
  <c r="E903" i="7" s="1"/>
  <c r="F903" i="7" s="1"/>
  <c r="G903" i="7" s="1"/>
  <c r="D902" i="7"/>
  <c r="E902" i="7" s="1"/>
  <c r="F902" i="7" s="1"/>
  <c r="G902" i="7" s="1"/>
  <c r="D901" i="7"/>
  <c r="E901" i="7" s="1"/>
  <c r="F901" i="7" s="1"/>
  <c r="G901" i="7" s="1"/>
  <c r="D900" i="7"/>
  <c r="E900" i="7" s="1"/>
  <c r="F900" i="7" s="1"/>
  <c r="G900" i="7" s="1"/>
  <c r="D899" i="7"/>
  <c r="E899" i="7" s="1"/>
  <c r="F899" i="7" s="1"/>
  <c r="G899" i="7" s="1"/>
  <c r="D898" i="7"/>
  <c r="E898" i="7" s="1"/>
  <c r="F898" i="7" s="1"/>
  <c r="G898" i="7" s="1"/>
  <c r="D897" i="7"/>
  <c r="E897" i="7" s="1"/>
  <c r="F897" i="7" s="1"/>
  <c r="G897" i="7" s="1"/>
  <c r="D896" i="7"/>
  <c r="E896" i="7" s="1"/>
  <c r="F896" i="7" s="1"/>
  <c r="G896" i="7" s="1"/>
  <c r="D895" i="7"/>
  <c r="E895" i="7" s="1"/>
  <c r="F895" i="7" s="1"/>
  <c r="G895" i="7" s="1"/>
  <c r="D894" i="7"/>
  <c r="E894" i="7" s="1"/>
  <c r="F894" i="7" s="1"/>
  <c r="G894" i="7" s="1"/>
  <c r="D893" i="7"/>
  <c r="E893" i="7" s="1"/>
  <c r="F893" i="7" s="1"/>
  <c r="G893" i="7" s="1"/>
  <c r="D892" i="7"/>
  <c r="E892" i="7" s="1"/>
  <c r="F892" i="7" s="1"/>
  <c r="G892" i="7" s="1"/>
  <c r="D891" i="7"/>
  <c r="E891" i="7" s="1"/>
  <c r="F891" i="7" s="1"/>
  <c r="G891" i="7" s="1"/>
  <c r="D890" i="7"/>
  <c r="E890" i="7" s="1"/>
  <c r="F890" i="7" s="1"/>
  <c r="G890" i="7" s="1"/>
  <c r="D889" i="7"/>
  <c r="E889" i="7" s="1"/>
  <c r="F889" i="7" s="1"/>
  <c r="G889" i="7" s="1"/>
  <c r="D888" i="7"/>
  <c r="E888" i="7" s="1"/>
  <c r="F888" i="7" s="1"/>
  <c r="G888" i="7" s="1"/>
  <c r="D887" i="7"/>
  <c r="E887" i="7" s="1"/>
  <c r="F887" i="7" s="1"/>
  <c r="G887" i="7" s="1"/>
  <c r="D886" i="7"/>
  <c r="E886" i="7" s="1"/>
  <c r="F886" i="7" s="1"/>
  <c r="G886" i="7" s="1"/>
  <c r="D885" i="7"/>
  <c r="E885" i="7" s="1"/>
  <c r="F885" i="7" s="1"/>
  <c r="G885" i="7" s="1"/>
  <c r="D884" i="7"/>
  <c r="E884" i="7" s="1"/>
  <c r="F884" i="7" s="1"/>
  <c r="G884" i="7" s="1"/>
  <c r="D883" i="7"/>
  <c r="E883" i="7" s="1"/>
  <c r="F883" i="7" s="1"/>
  <c r="G883" i="7" s="1"/>
  <c r="D882" i="7"/>
  <c r="E882" i="7" s="1"/>
  <c r="F882" i="7" s="1"/>
  <c r="G882" i="7" s="1"/>
  <c r="D881" i="7"/>
  <c r="E881" i="7" s="1"/>
  <c r="F881" i="7" s="1"/>
  <c r="G881" i="7" s="1"/>
  <c r="D880" i="7"/>
  <c r="E880" i="7" s="1"/>
  <c r="F880" i="7" s="1"/>
  <c r="G880" i="7" s="1"/>
  <c r="D879" i="7"/>
  <c r="E879" i="7" s="1"/>
  <c r="F879" i="7" s="1"/>
  <c r="G879" i="7" s="1"/>
  <c r="D878" i="7"/>
  <c r="E878" i="7" s="1"/>
  <c r="F878" i="7" s="1"/>
  <c r="G878" i="7" s="1"/>
  <c r="D877" i="7"/>
  <c r="E877" i="7" s="1"/>
  <c r="F877" i="7" s="1"/>
  <c r="G877" i="7" s="1"/>
  <c r="D876" i="7"/>
  <c r="E876" i="7" s="1"/>
  <c r="F876" i="7" s="1"/>
  <c r="G876" i="7" s="1"/>
  <c r="D875" i="7"/>
  <c r="E875" i="7" s="1"/>
  <c r="F875" i="7" s="1"/>
  <c r="G875" i="7" s="1"/>
  <c r="D874" i="7"/>
  <c r="E874" i="7" s="1"/>
  <c r="F874" i="7" s="1"/>
  <c r="G874" i="7" s="1"/>
  <c r="D873" i="7"/>
  <c r="E873" i="7" s="1"/>
  <c r="F873" i="7" s="1"/>
  <c r="G873" i="7" s="1"/>
  <c r="D872" i="7"/>
  <c r="E872" i="7" s="1"/>
  <c r="F872" i="7" s="1"/>
  <c r="G872" i="7" s="1"/>
  <c r="D871" i="7"/>
  <c r="E871" i="7" s="1"/>
  <c r="F871" i="7" s="1"/>
  <c r="G871" i="7" s="1"/>
  <c r="D870" i="7"/>
  <c r="E870" i="7" s="1"/>
  <c r="F870" i="7" s="1"/>
  <c r="G870" i="7" s="1"/>
  <c r="D869" i="7"/>
  <c r="E869" i="7" s="1"/>
  <c r="F869" i="7" s="1"/>
  <c r="G869" i="7" s="1"/>
  <c r="D868" i="7"/>
  <c r="E868" i="7" s="1"/>
  <c r="F868" i="7" s="1"/>
  <c r="G868" i="7" s="1"/>
  <c r="D867" i="7"/>
  <c r="E867" i="7" s="1"/>
  <c r="F867" i="7" s="1"/>
  <c r="G867" i="7" s="1"/>
  <c r="D866" i="7"/>
  <c r="E866" i="7" s="1"/>
  <c r="F866" i="7" s="1"/>
  <c r="G866" i="7" s="1"/>
  <c r="D865" i="7"/>
  <c r="E865" i="7" s="1"/>
  <c r="F865" i="7" s="1"/>
  <c r="G865" i="7" s="1"/>
  <c r="D864" i="7"/>
  <c r="E864" i="7" s="1"/>
  <c r="F864" i="7" s="1"/>
  <c r="G864" i="7" s="1"/>
  <c r="D863" i="7"/>
  <c r="E863" i="7" s="1"/>
  <c r="F863" i="7" s="1"/>
  <c r="G863" i="7" s="1"/>
  <c r="D862" i="7"/>
  <c r="E862" i="7" s="1"/>
  <c r="F862" i="7" s="1"/>
  <c r="G862" i="7" s="1"/>
  <c r="D861" i="7"/>
  <c r="E861" i="7" s="1"/>
  <c r="F861" i="7" s="1"/>
  <c r="G861" i="7" s="1"/>
  <c r="D860" i="7"/>
  <c r="E860" i="7" s="1"/>
  <c r="F860" i="7" s="1"/>
  <c r="G860" i="7" s="1"/>
  <c r="D859" i="7"/>
  <c r="E859" i="7" s="1"/>
  <c r="F859" i="7" s="1"/>
  <c r="G859" i="7" s="1"/>
  <c r="D858" i="7"/>
  <c r="E858" i="7" s="1"/>
  <c r="F858" i="7" s="1"/>
  <c r="G858" i="7" s="1"/>
  <c r="D857" i="7"/>
  <c r="E857" i="7" s="1"/>
  <c r="F857" i="7" s="1"/>
  <c r="G857" i="7" s="1"/>
  <c r="D856" i="7"/>
  <c r="E856" i="7" s="1"/>
  <c r="F856" i="7" s="1"/>
  <c r="G856" i="7" s="1"/>
  <c r="D855" i="7"/>
  <c r="E855" i="7" s="1"/>
  <c r="F855" i="7" s="1"/>
  <c r="G855" i="7" s="1"/>
  <c r="D854" i="7"/>
  <c r="E854" i="7" s="1"/>
  <c r="F854" i="7" s="1"/>
  <c r="G854" i="7" s="1"/>
  <c r="D853" i="7"/>
  <c r="E853" i="7" s="1"/>
  <c r="F853" i="7" s="1"/>
  <c r="G853" i="7" s="1"/>
  <c r="D852" i="7"/>
  <c r="E852" i="7" s="1"/>
  <c r="F852" i="7" s="1"/>
  <c r="G852" i="7" s="1"/>
  <c r="D851" i="7"/>
  <c r="E851" i="7" s="1"/>
  <c r="F851" i="7" s="1"/>
  <c r="G851" i="7" s="1"/>
  <c r="D850" i="7"/>
  <c r="E850" i="7" s="1"/>
  <c r="F850" i="7" s="1"/>
  <c r="G850" i="7" s="1"/>
  <c r="D849" i="7"/>
  <c r="E849" i="7" s="1"/>
  <c r="F849" i="7" s="1"/>
  <c r="G849" i="7" s="1"/>
  <c r="D848" i="7"/>
  <c r="E848" i="7" s="1"/>
  <c r="F848" i="7" s="1"/>
  <c r="G848" i="7" s="1"/>
  <c r="D847" i="7"/>
  <c r="E847" i="7" s="1"/>
  <c r="F847" i="7" s="1"/>
  <c r="G847" i="7" s="1"/>
  <c r="D846" i="7"/>
  <c r="E846" i="7" s="1"/>
  <c r="F846" i="7" s="1"/>
  <c r="G846" i="7" s="1"/>
  <c r="D845" i="7"/>
  <c r="E845" i="7" s="1"/>
  <c r="F845" i="7" s="1"/>
  <c r="G845" i="7" s="1"/>
  <c r="D844" i="7"/>
  <c r="E844" i="7" s="1"/>
  <c r="F844" i="7" s="1"/>
  <c r="G844" i="7" s="1"/>
  <c r="D843" i="7"/>
  <c r="E843" i="7" s="1"/>
  <c r="F843" i="7" s="1"/>
  <c r="G843" i="7" s="1"/>
  <c r="D842" i="7"/>
  <c r="E842" i="7" s="1"/>
  <c r="F842" i="7" s="1"/>
  <c r="G842" i="7" s="1"/>
  <c r="D841" i="7"/>
  <c r="E841" i="7" s="1"/>
  <c r="F841" i="7" s="1"/>
  <c r="G841" i="7" s="1"/>
  <c r="D840" i="7"/>
  <c r="E840" i="7" s="1"/>
  <c r="F840" i="7" s="1"/>
  <c r="G840" i="7" s="1"/>
  <c r="D839" i="7"/>
  <c r="E839" i="7" s="1"/>
  <c r="F839" i="7" s="1"/>
  <c r="G839" i="7" s="1"/>
  <c r="D838" i="7"/>
  <c r="E838" i="7" s="1"/>
  <c r="F838" i="7" s="1"/>
  <c r="G838" i="7" s="1"/>
  <c r="D837" i="7"/>
  <c r="E837" i="7" s="1"/>
  <c r="F837" i="7" s="1"/>
  <c r="G837" i="7" s="1"/>
  <c r="D836" i="7"/>
  <c r="E836" i="7" s="1"/>
  <c r="F836" i="7" s="1"/>
  <c r="G836" i="7" s="1"/>
  <c r="D835" i="7"/>
  <c r="E835" i="7" s="1"/>
  <c r="F835" i="7" s="1"/>
  <c r="G835" i="7" s="1"/>
  <c r="D834" i="7"/>
  <c r="E834" i="7" s="1"/>
  <c r="F834" i="7" s="1"/>
  <c r="G834" i="7" s="1"/>
  <c r="D833" i="7"/>
  <c r="E833" i="7" s="1"/>
  <c r="F833" i="7" s="1"/>
  <c r="G833" i="7" s="1"/>
  <c r="D832" i="7"/>
  <c r="E832" i="7" s="1"/>
  <c r="F832" i="7" s="1"/>
  <c r="G832" i="7" s="1"/>
  <c r="D831" i="7"/>
  <c r="E831" i="7" s="1"/>
  <c r="F831" i="7" s="1"/>
  <c r="G831" i="7" s="1"/>
  <c r="D830" i="7"/>
  <c r="E830" i="7" s="1"/>
  <c r="F830" i="7" s="1"/>
  <c r="G830" i="7" s="1"/>
  <c r="D829" i="7"/>
  <c r="E829" i="7" s="1"/>
  <c r="F829" i="7" s="1"/>
  <c r="G829" i="7" s="1"/>
  <c r="D828" i="7"/>
  <c r="E828" i="7" s="1"/>
  <c r="F828" i="7" s="1"/>
  <c r="G828" i="7" s="1"/>
  <c r="D827" i="7"/>
  <c r="E827" i="7" s="1"/>
  <c r="F827" i="7" s="1"/>
  <c r="G827" i="7" s="1"/>
  <c r="D826" i="7"/>
  <c r="E826" i="7" s="1"/>
  <c r="F826" i="7" s="1"/>
  <c r="G826" i="7" s="1"/>
  <c r="D825" i="7"/>
  <c r="E825" i="7" s="1"/>
  <c r="F825" i="7" s="1"/>
  <c r="G825" i="7" s="1"/>
  <c r="D824" i="7"/>
  <c r="E824" i="7" s="1"/>
  <c r="F824" i="7" s="1"/>
  <c r="G824" i="7" s="1"/>
  <c r="D823" i="7"/>
  <c r="E823" i="7" s="1"/>
  <c r="F823" i="7" s="1"/>
  <c r="G823" i="7" s="1"/>
  <c r="D822" i="7"/>
  <c r="E822" i="7" s="1"/>
  <c r="F822" i="7" s="1"/>
  <c r="G822" i="7" s="1"/>
  <c r="D821" i="7"/>
  <c r="E821" i="7" s="1"/>
  <c r="F821" i="7" s="1"/>
  <c r="G821" i="7" s="1"/>
  <c r="D820" i="7"/>
  <c r="E820" i="7" s="1"/>
  <c r="F820" i="7" s="1"/>
  <c r="G820" i="7" s="1"/>
  <c r="D819" i="7"/>
  <c r="E819" i="7" s="1"/>
  <c r="F819" i="7" s="1"/>
  <c r="G819" i="7" s="1"/>
  <c r="D818" i="7"/>
  <c r="E818" i="7" s="1"/>
  <c r="F818" i="7" s="1"/>
  <c r="G818" i="7" s="1"/>
  <c r="D817" i="7"/>
  <c r="E817" i="7" s="1"/>
  <c r="F817" i="7" s="1"/>
  <c r="G817" i="7" s="1"/>
  <c r="D816" i="7"/>
  <c r="E816" i="7" s="1"/>
  <c r="F816" i="7" s="1"/>
  <c r="G816" i="7" s="1"/>
  <c r="D815" i="7"/>
  <c r="E815" i="7" s="1"/>
  <c r="F815" i="7" s="1"/>
  <c r="G815" i="7" s="1"/>
  <c r="D814" i="7"/>
  <c r="E814" i="7" s="1"/>
  <c r="F814" i="7" s="1"/>
  <c r="G814" i="7" s="1"/>
  <c r="D813" i="7"/>
  <c r="E813" i="7" s="1"/>
  <c r="F813" i="7" s="1"/>
  <c r="G813" i="7" s="1"/>
  <c r="D812" i="7"/>
  <c r="E812" i="7" s="1"/>
  <c r="F812" i="7" s="1"/>
  <c r="G812" i="7" s="1"/>
  <c r="D811" i="7"/>
  <c r="E811" i="7" s="1"/>
  <c r="F811" i="7" s="1"/>
  <c r="G811" i="7" s="1"/>
  <c r="D810" i="7"/>
  <c r="E810" i="7" s="1"/>
  <c r="F810" i="7" s="1"/>
  <c r="G810" i="7" s="1"/>
  <c r="D809" i="7"/>
  <c r="E809" i="7" s="1"/>
  <c r="F809" i="7" s="1"/>
  <c r="G809" i="7" s="1"/>
  <c r="D808" i="7"/>
  <c r="E808" i="7" s="1"/>
  <c r="F808" i="7" s="1"/>
  <c r="G808" i="7" s="1"/>
  <c r="D807" i="7"/>
  <c r="E807" i="7" s="1"/>
  <c r="F807" i="7" s="1"/>
  <c r="G807" i="7" s="1"/>
  <c r="D806" i="7"/>
  <c r="E806" i="7" s="1"/>
  <c r="F806" i="7" s="1"/>
  <c r="G806" i="7" s="1"/>
  <c r="D805" i="7"/>
  <c r="E805" i="7" s="1"/>
  <c r="F805" i="7" s="1"/>
  <c r="G805" i="7" s="1"/>
  <c r="D804" i="7"/>
  <c r="E804" i="7" s="1"/>
  <c r="F804" i="7" s="1"/>
  <c r="G804" i="7" s="1"/>
  <c r="D803" i="7"/>
  <c r="E803" i="7" s="1"/>
  <c r="F803" i="7" s="1"/>
  <c r="G803" i="7" s="1"/>
  <c r="D802" i="7"/>
  <c r="E802" i="7" s="1"/>
  <c r="F802" i="7" s="1"/>
  <c r="G802" i="7" s="1"/>
  <c r="D801" i="7"/>
  <c r="E801" i="7" s="1"/>
  <c r="F801" i="7" s="1"/>
  <c r="G801" i="7" s="1"/>
  <c r="D800" i="7"/>
  <c r="E800" i="7" s="1"/>
  <c r="F800" i="7" s="1"/>
  <c r="G800" i="7" s="1"/>
  <c r="D799" i="7"/>
  <c r="E799" i="7" s="1"/>
  <c r="F799" i="7" s="1"/>
  <c r="G799" i="7" s="1"/>
  <c r="D798" i="7"/>
  <c r="E798" i="7" s="1"/>
  <c r="F798" i="7" s="1"/>
  <c r="G798" i="7" s="1"/>
  <c r="D797" i="7"/>
  <c r="E797" i="7" s="1"/>
  <c r="F797" i="7" s="1"/>
  <c r="G797" i="7" s="1"/>
  <c r="D796" i="7"/>
  <c r="E796" i="7" s="1"/>
  <c r="F796" i="7" s="1"/>
  <c r="G796" i="7" s="1"/>
  <c r="D795" i="7"/>
  <c r="E795" i="7" s="1"/>
  <c r="F795" i="7" s="1"/>
  <c r="G795" i="7" s="1"/>
  <c r="D794" i="7"/>
  <c r="E794" i="7" s="1"/>
  <c r="F794" i="7" s="1"/>
  <c r="G794" i="7" s="1"/>
  <c r="D793" i="7"/>
  <c r="E793" i="7" s="1"/>
  <c r="F793" i="7" s="1"/>
  <c r="G793" i="7" s="1"/>
  <c r="D792" i="7"/>
  <c r="E792" i="7" s="1"/>
  <c r="F792" i="7" s="1"/>
  <c r="G792" i="7" s="1"/>
  <c r="D791" i="7"/>
  <c r="E791" i="7" s="1"/>
  <c r="F791" i="7" s="1"/>
  <c r="G791" i="7" s="1"/>
  <c r="D790" i="7"/>
  <c r="E790" i="7" s="1"/>
  <c r="F790" i="7" s="1"/>
  <c r="G790" i="7" s="1"/>
  <c r="D789" i="7"/>
  <c r="E789" i="7" s="1"/>
  <c r="F789" i="7" s="1"/>
  <c r="G789" i="7" s="1"/>
  <c r="D788" i="7"/>
  <c r="E788" i="7" s="1"/>
  <c r="F788" i="7" s="1"/>
  <c r="G788" i="7" s="1"/>
  <c r="D787" i="7"/>
  <c r="E787" i="7" s="1"/>
  <c r="F787" i="7" s="1"/>
  <c r="G787" i="7" s="1"/>
  <c r="D786" i="7"/>
  <c r="E786" i="7" s="1"/>
  <c r="F786" i="7" s="1"/>
  <c r="G786" i="7" s="1"/>
  <c r="D785" i="7"/>
  <c r="E785" i="7" s="1"/>
  <c r="F785" i="7" s="1"/>
  <c r="G785" i="7" s="1"/>
  <c r="D784" i="7"/>
  <c r="E784" i="7" s="1"/>
  <c r="F784" i="7" s="1"/>
  <c r="G784" i="7" s="1"/>
  <c r="D783" i="7"/>
  <c r="E783" i="7" s="1"/>
  <c r="F783" i="7" s="1"/>
  <c r="G783" i="7" s="1"/>
  <c r="D782" i="7"/>
  <c r="E782" i="7" s="1"/>
  <c r="F782" i="7" s="1"/>
  <c r="G782" i="7" s="1"/>
  <c r="D781" i="7"/>
  <c r="E781" i="7" s="1"/>
  <c r="F781" i="7" s="1"/>
  <c r="G781" i="7" s="1"/>
  <c r="D780" i="7"/>
  <c r="E780" i="7" s="1"/>
  <c r="F780" i="7" s="1"/>
  <c r="G780" i="7" s="1"/>
  <c r="D779" i="7"/>
  <c r="E779" i="7" s="1"/>
  <c r="F779" i="7" s="1"/>
  <c r="G779" i="7" s="1"/>
  <c r="D778" i="7"/>
  <c r="E778" i="7" s="1"/>
  <c r="F778" i="7" s="1"/>
  <c r="G778" i="7" s="1"/>
  <c r="D777" i="7"/>
  <c r="E777" i="7" s="1"/>
  <c r="F777" i="7" s="1"/>
  <c r="G777" i="7" s="1"/>
  <c r="D776" i="7"/>
  <c r="E776" i="7" s="1"/>
  <c r="F776" i="7" s="1"/>
  <c r="G776" i="7" s="1"/>
  <c r="D775" i="7"/>
  <c r="E775" i="7" s="1"/>
  <c r="F775" i="7" s="1"/>
  <c r="G775" i="7" s="1"/>
  <c r="D774" i="7"/>
  <c r="E774" i="7" s="1"/>
  <c r="F774" i="7" s="1"/>
  <c r="G774" i="7" s="1"/>
  <c r="D773" i="7"/>
  <c r="E773" i="7" s="1"/>
  <c r="F773" i="7" s="1"/>
  <c r="G773" i="7" s="1"/>
  <c r="D772" i="7"/>
  <c r="E772" i="7" s="1"/>
  <c r="F772" i="7" s="1"/>
  <c r="G772" i="7" s="1"/>
  <c r="D771" i="7"/>
  <c r="E771" i="7" s="1"/>
  <c r="F771" i="7" s="1"/>
  <c r="G771" i="7" s="1"/>
  <c r="D770" i="7"/>
  <c r="E770" i="7" s="1"/>
  <c r="F770" i="7" s="1"/>
  <c r="G770" i="7" s="1"/>
  <c r="D769" i="7"/>
  <c r="E769" i="7" s="1"/>
  <c r="F769" i="7" s="1"/>
  <c r="G769" i="7" s="1"/>
  <c r="D768" i="7"/>
  <c r="E768" i="7" s="1"/>
  <c r="F768" i="7" s="1"/>
  <c r="G768" i="7" s="1"/>
  <c r="D767" i="7"/>
  <c r="E767" i="7" s="1"/>
  <c r="F767" i="7" s="1"/>
  <c r="G767" i="7" s="1"/>
  <c r="D766" i="7"/>
  <c r="E766" i="7" s="1"/>
  <c r="F766" i="7" s="1"/>
  <c r="G766" i="7" s="1"/>
  <c r="D765" i="7"/>
  <c r="E765" i="7" s="1"/>
  <c r="F765" i="7" s="1"/>
  <c r="G765" i="7" s="1"/>
  <c r="D764" i="7"/>
  <c r="E764" i="7" s="1"/>
  <c r="F764" i="7" s="1"/>
  <c r="G764" i="7" s="1"/>
  <c r="D763" i="7"/>
  <c r="E763" i="7" s="1"/>
  <c r="F763" i="7" s="1"/>
  <c r="G763" i="7" s="1"/>
  <c r="D762" i="7"/>
  <c r="E762" i="7" s="1"/>
  <c r="F762" i="7" s="1"/>
  <c r="G762" i="7" s="1"/>
  <c r="D761" i="7"/>
  <c r="E761" i="7" s="1"/>
  <c r="F761" i="7" s="1"/>
  <c r="G761" i="7" s="1"/>
  <c r="D760" i="7"/>
  <c r="E760" i="7" s="1"/>
  <c r="F760" i="7" s="1"/>
  <c r="G760" i="7" s="1"/>
  <c r="D759" i="7"/>
  <c r="E759" i="7" s="1"/>
  <c r="F759" i="7" s="1"/>
  <c r="G759" i="7" s="1"/>
  <c r="D758" i="7"/>
  <c r="E758" i="7" s="1"/>
  <c r="F758" i="7" s="1"/>
  <c r="G758" i="7" s="1"/>
  <c r="D757" i="7"/>
  <c r="E757" i="7" s="1"/>
  <c r="F757" i="7" s="1"/>
  <c r="G757" i="7" s="1"/>
  <c r="D756" i="7"/>
  <c r="E756" i="7" s="1"/>
  <c r="F756" i="7" s="1"/>
  <c r="G756" i="7" s="1"/>
  <c r="D755" i="7"/>
  <c r="E755" i="7" s="1"/>
  <c r="F755" i="7" s="1"/>
  <c r="G755" i="7" s="1"/>
  <c r="D754" i="7"/>
  <c r="E754" i="7" s="1"/>
  <c r="F754" i="7" s="1"/>
  <c r="G754" i="7" s="1"/>
  <c r="D753" i="7"/>
  <c r="E753" i="7" s="1"/>
  <c r="F753" i="7" s="1"/>
  <c r="G753" i="7" s="1"/>
  <c r="D752" i="7"/>
  <c r="E752" i="7" s="1"/>
  <c r="F752" i="7" s="1"/>
  <c r="G752" i="7" s="1"/>
  <c r="D751" i="7"/>
  <c r="E751" i="7" s="1"/>
  <c r="F751" i="7" s="1"/>
  <c r="G751" i="7" s="1"/>
  <c r="D750" i="7"/>
  <c r="E750" i="7" s="1"/>
  <c r="F750" i="7" s="1"/>
  <c r="G750" i="7" s="1"/>
  <c r="D749" i="7"/>
  <c r="E749" i="7" s="1"/>
  <c r="F749" i="7" s="1"/>
  <c r="G749" i="7" s="1"/>
  <c r="D748" i="7"/>
  <c r="E748" i="7" s="1"/>
  <c r="F748" i="7" s="1"/>
  <c r="G748" i="7" s="1"/>
  <c r="D747" i="7"/>
  <c r="E747" i="7" s="1"/>
  <c r="F747" i="7" s="1"/>
  <c r="G747" i="7" s="1"/>
  <c r="D746" i="7"/>
  <c r="E746" i="7" s="1"/>
  <c r="F746" i="7" s="1"/>
  <c r="G746" i="7" s="1"/>
  <c r="D745" i="7"/>
  <c r="E745" i="7" s="1"/>
  <c r="F745" i="7" s="1"/>
  <c r="G745" i="7" s="1"/>
  <c r="D744" i="7"/>
  <c r="E744" i="7" s="1"/>
  <c r="F744" i="7" s="1"/>
  <c r="G744" i="7" s="1"/>
  <c r="D743" i="7"/>
  <c r="E743" i="7" s="1"/>
  <c r="F743" i="7" s="1"/>
  <c r="G743" i="7" s="1"/>
  <c r="D742" i="7"/>
  <c r="E742" i="7" s="1"/>
  <c r="F742" i="7" s="1"/>
  <c r="G742" i="7" s="1"/>
  <c r="D741" i="7"/>
  <c r="E741" i="7" s="1"/>
  <c r="F741" i="7" s="1"/>
  <c r="G741" i="7" s="1"/>
  <c r="D740" i="7"/>
  <c r="E740" i="7" s="1"/>
  <c r="F740" i="7" s="1"/>
  <c r="G740" i="7" s="1"/>
  <c r="D739" i="7"/>
  <c r="E739" i="7" s="1"/>
  <c r="F739" i="7" s="1"/>
  <c r="G739" i="7" s="1"/>
  <c r="D738" i="7"/>
  <c r="E738" i="7" s="1"/>
  <c r="F738" i="7" s="1"/>
  <c r="G738" i="7" s="1"/>
  <c r="D737" i="7"/>
  <c r="E737" i="7" s="1"/>
  <c r="F737" i="7" s="1"/>
  <c r="G737" i="7" s="1"/>
  <c r="D736" i="7"/>
  <c r="E736" i="7" s="1"/>
  <c r="F736" i="7" s="1"/>
  <c r="G736" i="7" s="1"/>
  <c r="D735" i="7"/>
  <c r="E735" i="7" s="1"/>
  <c r="F735" i="7" s="1"/>
  <c r="G735" i="7" s="1"/>
  <c r="D734" i="7"/>
  <c r="E734" i="7" s="1"/>
  <c r="F734" i="7" s="1"/>
  <c r="G734" i="7" s="1"/>
  <c r="D733" i="7"/>
  <c r="E733" i="7" s="1"/>
  <c r="F733" i="7" s="1"/>
  <c r="G733" i="7" s="1"/>
  <c r="D732" i="7"/>
  <c r="E732" i="7" s="1"/>
  <c r="F732" i="7" s="1"/>
  <c r="G732" i="7" s="1"/>
  <c r="D731" i="7"/>
  <c r="E731" i="7" s="1"/>
  <c r="F731" i="7" s="1"/>
  <c r="G731" i="7" s="1"/>
  <c r="D730" i="7"/>
  <c r="E730" i="7" s="1"/>
  <c r="F730" i="7" s="1"/>
  <c r="G730" i="7" s="1"/>
  <c r="D729" i="7"/>
  <c r="E729" i="7" s="1"/>
  <c r="F729" i="7" s="1"/>
  <c r="G729" i="7" s="1"/>
  <c r="D728" i="7"/>
  <c r="E728" i="7" s="1"/>
  <c r="F728" i="7" s="1"/>
  <c r="G728" i="7" s="1"/>
  <c r="D727" i="7"/>
  <c r="E727" i="7" s="1"/>
  <c r="F727" i="7" s="1"/>
  <c r="G727" i="7" s="1"/>
  <c r="D726" i="7"/>
  <c r="E726" i="7" s="1"/>
  <c r="F726" i="7" s="1"/>
  <c r="G726" i="7" s="1"/>
  <c r="D725" i="7"/>
  <c r="E725" i="7" s="1"/>
  <c r="F725" i="7" s="1"/>
  <c r="G725" i="7" s="1"/>
  <c r="D724" i="7"/>
  <c r="E724" i="7" s="1"/>
  <c r="F724" i="7" s="1"/>
  <c r="G724" i="7" s="1"/>
  <c r="D723" i="7"/>
  <c r="E723" i="7" s="1"/>
  <c r="F723" i="7" s="1"/>
  <c r="G723" i="7" s="1"/>
  <c r="D722" i="7"/>
  <c r="E722" i="7" s="1"/>
  <c r="F722" i="7" s="1"/>
  <c r="G722" i="7" s="1"/>
  <c r="D721" i="7"/>
  <c r="E721" i="7" s="1"/>
  <c r="F721" i="7" s="1"/>
  <c r="G721" i="7" s="1"/>
  <c r="D720" i="7"/>
  <c r="E720" i="7" s="1"/>
  <c r="F720" i="7" s="1"/>
  <c r="G720" i="7" s="1"/>
  <c r="D719" i="7"/>
  <c r="E719" i="7" s="1"/>
  <c r="F719" i="7" s="1"/>
  <c r="G719" i="7" s="1"/>
  <c r="D718" i="7"/>
  <c r="E718" i="7" s="1"/>
  <c r="F718" i="7" s="1"/>
  <c r="G718" i="7" s="1"/>
  <c r="D717" i="7"/>
  <c r="E717" i="7" s="1"/>
  <c r="F717" i="7" s="1"/>
  <c r="G717" i="7" s="1"/>
  <c r="D716" i="7"/>
  <c r="E716" i="7" s="1"/>
  <c r="F716" i="7" s="1"/>
  <c r="G716" i="7" s="1"/>
  <c r="D715" i="7"/>
  <c r="E715" i="7" s="1"/>
  <c r="F715" i="7" s="1"/>
  <c r="G715" i="7" s="1"/>
  <c r="D714" i="7"/>
  <c r="E714" i="7" s="1"/>
  <c r="F714" i="7" s="1"/>
  <c r="G714" i="7" s="1"/>
  <c r="D713" i="7"/>
  <c r="E713" i="7" s="1"/>
  <c r="F713" i="7" s="1"/>
  <c r="G713" i="7" s="1"/>
  <c r="D712" i="7"/>
  <c r="E712" i="7" s="1"/>
  <c r="F712" i="7" s="1"/>
  <c r="G712" i="7" s="1"/>
  <c r="D711" i="7"/>
  <c r="E711" i="7" s="1"/>
  <c r="F711" i="7" s="1"/>
  <c r="G711" i="7" s="1"/>
  <c r="D710" i="7"/>
  <c r="E710" i="7" s="1"/>
  <c r="F710" i="7" s="1"/>
  <c r="G710" i="7" s="1"/>
  <c r="D709" i="7"/>
  <c r="E709" i="7" s="1"/>
  <c r="F709" i="7" s="1"/>
  <c r="G709" i="7" s="1"/>
  <c r="D708" i="7"/>
  <c r="E708" i="7" s="1"/>
  <c r="F708" i="7" s="1"/>
  <c r="G708" i="7" s="1"/>
  <c r="D707" i="7"/>
  <c r="E707" i="7" s="1"/>
  <c r="F707" i="7" s="1"/>
  <c r="G707" i="7" s="1"/>
  <c r="D706" i="7"/>
  <c r="E706" i="7" s="1"/>
  <c r="F706" i="7" s="1"/>
  <c r="G706" i="7" s="1"/>
  <c r="D705" i="7"/>
  <c r="E705" i="7" s="1"/>
  <c r="F705" i="7" s="1"/>
  <c r="G705" i="7" s="1"/>
  <c r="D704" i="7"/>
  <c r="E704" i="7" s="1"/>
  <c r="F704" i="7" s="1"/>
  <c r="G704" i="7" s="1"/>
  <c r="D703" i="7"/>
  <c r="E703" i="7" s="1"/>
  <c r="F703" i="7" s="1"/>
  <c r="G703" i="7" s="1"/>
  <c r="D702" i="7"/>
  <c r="E702" i="7" s="1"/>
  <c r="F702" i="7" s="1"/>
  <c r="G702" i="7" s="1"/>
  <c r="D701" i="7"/>
  <c r="E701" i="7" s="1"/>
  <c r="F701" i="7" s="1"/>
  <c r="G701" i="7" s="1"/>
  <c r="D700" i="7"/>
  <c r="E700" i="7" s="1"/>
  <c r="F700" i="7" s="1"/>
  <c r="G700" i="7" s="1"/>
  <c r="D699" i="7"/>
  <c r="E699" i="7" s="1"/>
  <c r="F699" i="7" s="1"/>
  <c r="G699" i="7" s="1"/>
  <c r="D698" i="7"/>
  <c r="E698" i="7" s="1"/>
  <c r="F698" i="7" s="1"/>
  <c r="G698" i="7" s="1"/>
  <c r="D697" i="7"/>
  <c r="E697" i="7" s="1"/>
  <c r="F697" i="7" s="1"/>
  <c r="G697" i="7" s="1"/>
  <c r="D696" i="7"/>
  <c r="E696" i="7" s="1"/>
  <c r="F696" i="7" s="1"/>
  <c r="G696" i="7" s="1"/>
  <c r="D695" i="7"/>
  <c r="E695" i="7" s="1"/>
  <c r="F695" i="7" s="1"/>
  <c r="G695" i="7" s="1"/>
  <c r="D694" i="7"/>
  <c r="E694" i="7" s="1"/>
  <c r="F694" i="7" s="1"/>
  <c r="G694" i="7" s="1"/>
  <c r="D693" i="7"/>
  <c r="E693" i="7" s="1"/>
  <c r="F693" i="7" s="1"/>
  <c r="G693" i="7" s="1"/>
  <c r="D692" i="7"/>
  <c r="E692" i="7" s="1"/>
  <c r="F692" i="7" s="1"/>
  <c r="G692" i="7" s="1"/>
  <c r="D691" i="7"/>
  <c r="E691" i="7" s="1"/>
  <c r="F691" i="7" s="1"/>
  <c r="G691" i="7" s="1"/>
  <c r="D690" i="7"/>
  <c r="E690" i="7" s="1"/>
  <c r="F690" i="7" s="1"/>
  <c r="G690" i="7" s="1"/>
  <c r="D689" i="7"/>
  <c r="E689" i="7" s="1"/>
  <c r="F689" i="7" s="1"/>
  <c r="G689" i="7" s="1"/>
  <c r="D688" i="7"/>
  <c r="E688" i="7" s="1"/>
  <c r="F688" i="7" s="1"/>
  <c r="G688" i="7" s="1"/>
  <c r="D687" i="7"/>
  <c r="E687" i="7" s="1"/>
  <c r="F687" i="7" s="1"/>
  <c r="G687" i="7" s="1"/>
  <c r="D686" i="7"/>
  <c r="E686" i="7" s="1"/>
  <c r="F686" i="7" s="1"/>
  <c r="G686" i="7" s="1"/>
  <c r="D685" i="7"/>
  <c r="E685" i="7" s="1"/>
  <c r="F685" i="7" s="1"/>
  <c r="G685" i="7" s="1"/>
  <c r="D684" i="7"/>
  <c r="E684" i="7" s="1"/>
  <c r="F684" i="7" s="1"/>
  <c r="G684" i="7" s="1"/>
  <c r="D683" i="7"/>
  <c r="E683" i="7" s="1"/>
  <c r="F683" i="7" s="1"/>
  <c r="G683" i="7" s="1"/>
  <c r="D682" i="7"/>
  <c r="E682" i="7" s="1"/>
  <c r="F682" i="7" s="1"/>
  <c r="G682" i="7" s="1"/>
  <c r="D681" i="7"/>
  <c r="E681" i="7" s="1"/>
  <c r="F681" i="7" s="1"/>
  <c r="G681" i="7" s="1"/>
  <c r="D680" i="7"/>
  <c r="E680" i="7" s="1"/>
  <c r="F680" i="7" s="1"/>
  <c r="G680" i="7" s="1"/>
  <c r="D679" i="7"/>
  <c r="E679" i="7" s="1"/>
  <c r="F679" i="7" s="1"/>
  <c r="G679" i="7" s="1"/>
  <c r="D678" i="7"/>
  <c r="E678" i="7" s="1"/>
  <c r="F678" i="7" s="1"/>
  <c r="G678" i="7" s="1"/>
  <c r="D677" i="7"/>
  <c r="E677" i="7" s="1"/>
  <c r="F677" i="7" s="1"/>
  <c r="G677" i="7" s="1"/>
  <c r="D676" i="7"/>
  <c r="E676" i="7" s="1"/>
  <c r="F676" i="7" s="1"/>
  <c r="G676" i="7" s="1"/>
  <c r="D675" i="7"/>
  <c r="E675" i="7" s="1"/>
  <c r="F675" i="7" s="1"/>
  <c r="G675" i="7" s="1"/>
  <c r="D674" i="7"/>
  <c r="E674" i="7" s="1"/>
  <c r="F674" i="7" s="1"/>
  <c r="G674" i="7" s="1"/>
  <c r="D673" i="7"/>
  <c r="E673" i="7" s="1"/>
  <c r="F673" i="7" s="1"/>
  <c r="G673" i="7" s="1"/>
  <c r="D672" i="7"/>
  <c r="E672" i="7" s="1"/>
  <c r="F672" i="7" s="1"/>
  <c r="G672" i="7" s="1"/>
  <c r="D671" i="7"/>
  <c r="E671" i="7" s="1"/>
  <c r="F671" i="7" s="1"/>
  <c r="G671" i="7" s="1"/>
  <c r="D670" i="7"/>
  <c r="E670" i="7" s="1"/>
  <c r="F670" i="7" s="1"/>
  <c r="G670" i="7" s="1"/>
  <c r="D669" i="7"/>
  <c r="E669" i="7" s="1"/>
  <c r="F669" i="7" s="1"/>
  <c r="G669" i="7" s="1"/>
  <c r="D668" i="7"/>
  <c r="E668" i="7" s="1"/>
  <c r="F668" i="7" s="1"/>
  <c r="G668" i="7" s="1"/>
  <c r="D667" i="7"/>
  <c r="E667" i="7" s="1"/>
  <c r="F667" i="7" s="1"/>
  <c r="G667" i="7" s="1"/>
  <c r="D666" i="7"/>
  <c r="E666" i="7" s="1"/>
  <c r="F666" i="7" s="1"/>
  <c r="G666" i="7" s="1"/>
  <c r="D665" i="7"/>
  <c r="E665" i="7" s="1"/>
  <c r="F665" i="7" s="1"/>
  <c r="G665" i="7" s="1"/>
  <c r="D664" i="7"/>
  <c r="E664" i="7" s="1"/>
  <c r="F664" i="7" s="1"/>
  <c r="G664" i="7" s="1"/>
  <c r="D663" i="7"/>
  <c r="E663" i="7" s="1"/>
  <c r="F663" i="7" s="1"/>
  <c r="G663" i="7" s="1"/>
  <c r="D662" i="7"/>
  <c r="E662" i="7" s="1"/>
  <c r="F662" i="7" s="1"/>
  <c r="G662" i="7" s="1"/>
  <c r="D661" i="7"/>
  <c r="E661" i="7" s="1"/>
  <c r="F661" i="7" s="1"/>
  <c r="G661" i="7" s="1"/>
  <c r="D660" i="7"/>
  <c r="E660" i="7" s="1"/>
  <c r="F660" i="7" s="1"/>
  <c r="G660" i="7" s="1"/>
  <c r="D659" i="7"/>
  <c r="E659" i="7" s="1"/>
  <c r="F659" i="7" s="1"/>
  <c r="G659" i="7" s="1"/>
  <c r="D658" i="7"/>
  <c r="E658" i="7" s="1"/>
  <c r="F658" i="7" s="1"/>
  <c r="G658" i="7" s="1"/>
  <c r="D657" i="7"/>
  <c r="E657" i="7" s="1"/>
  <c r="F657" i="7" s="1"/>
  <c r="G657" i="7" s="1"/>
  <c r="D656" i="7"/>
  <c r="E656" i="7" s="1"/>
  <c r="F656" i="7" s="1"/>
  <c r="G656" i="7" s="1"/>
  <c r="D655" i="7"/>
  <c r="E655" i="7" s="1"/>
  <c r="F655" i="7" s="1"/>
  <c r="G655" i="7" s="1"/>
  <c r="D654" i="7"/>
  <c r="E654" i="7" s="1"/>
  <c r="F654" i="7" s="1"/>
  <c r="G654" i="7" s="1"/>
  <c r="D653" i="7"/>
  <c r="E653" i="7" s="1"/>
  <c r="F653" i="7" s="1"/>
  <c r="G653" i="7" s="1"/>
  <c r="D652" i="7"/>
  <c r="E652" i="7" s="1"/>
  <c r="F652" i="7" s="1"/>
  <c r="G652" i="7" s="1"/>
  <c r="D651" i="7"/>
  <c r="E651" i="7" s="1"/>
  <c r="F651" i="7" s="1"/>
  <c r="G651" i="7" s="1"/>
  <c r="D650" i="7"/>
  <c r="E650" i="7" s="1"/>
  <c r="F650" i="7" s="1"/>
  <c r="G650" i="7" s="1"/>
  <c r="D649" i="7"/>
  <c r="E649" i="7" s="1"/>
  <c r="F649" i="7" s="1"/>
  <c r="G649" i="7" s="1"/>
  <c r="D648" i="7"/>
  <c r="E648" i="7" s="1"/>
  <c r="F648" i="7" s="1"/>
  <c r="G648" i="7" s="1"/>
  <c r="D647" i="7"/>
  <c r="E647" i="7" s="1"/>
  <c r="F647" i="7" s="1"/>
  <c r="G647" i="7" s="1"/>
  <c r="D646" i="7"/>
  <c r="E646" i="7" s="1"/>
  <c r="F646" i="7" s="1"/>
  <c r="G646" i="7" s="1"/>
  <c r="D645" i="7"/>
  <c r="E645" i="7" s="1"/>
  <c r="F645" i="7" s="1"/>
  <c r="G645" i="7" s="1"/>
  <c r="D644" i="7"/>
  <c r="E644" i="7" s="1"/>
  <c r="F644" i="7" s="1"/>
  <c r="G644" i="7" s="1"/>
  <c r="D643" i="7"/>
  <c r="E643" i="7" s="1"/>
  <c r="F643" i="7" s="1"/>
  <c r="G643" i="7" s="1"/>
  <c r="D642" i="7"/>
  <c r="E642" i="7" s="1"/>
  <c r="F642" i="7" s="1"/>
  <c r="G642" i="7" s="1"/>
  <c r="D641" i="7"/>
  <c r="E641" i="7" s="1"/>
  <c r="F641" i="7" s="1"/>
  <c r="G641" i="7" s="1"/>
  <c r="D640" i="7"/>
  <c r="E640" i="7" s="1"/>
  <c r="F640" i="7" s="1"/>
  <c r="G640" i="7" s="1"/>
  <c r="D639" i="7"/>
  <c r="E639" i="7" s="1"/>
  <c r="F639" i="7" s="1"/>
  <c r="G639" i="7" s="1"/>
  <c r="D638" i="7"/>
  <c r="E638" i="7" s="1"/>
  <c r="F638" i="7" s="1"/>
  <c r="G638" i="7" s="1"/>
  <c r="D637" i="7"/>
  <c r="E637" i="7" s="1"/>
  <c r="F637" i="7" s="1"/>
  <c r="G637" i="7" s="1"/>
  <c r="D636" i="7"/>
  <c r="E636" i="7" s="1"/>
  <c r="F636" i="7" s="1"/>
  <c r="G636" i="7" s="1"/>
  <c r="D635" i="7"/>
  <c r="E635" i="7" s="1"/>
  <c r="F635" i="7" s="1"/>
  <c r="G635" i="7" s="1"/>
  <c r="D634" i="7"/>
  <c r="E634" i="7" s="1"/>
  <c r="F634" i="7" s="1"/>
  <c r="G634" i="7" s="1"/>
  <c r="D633" i="7"/>
  <c r="E633" i="7" s="1"/>
  <c r="F633" i="7" s="1"/>
  <c r="G633" i="7" s="1"/>
  <c r="D632" i="7"/>
  <c r="E632" i="7" s="1"/>
  <c r="F632" i="7" s="1"/>
  <c r="G632" i="7" s="1"/>
  <c r="D631" i="7"/>
  <c r="E631" i="7" s="1"/>
  <c r="F631" i="7" s="1"/>
  <c r="G631" i="7" s="1"/>
  <c r="D630" i="7"/>
  <c r="E630" i="7" s="1"/>
  <c r="F630" i="7" s="1"/>
  <c r="G630" i="7" s="1"/>
  <c r="D629" i="7"/>
  <c r="E629" i="7" s="1"/>
  <c r="F629" i="7" s="1"/>
  <c r="G629" i="7" s="1"/>
  <c r="D628" i="7"/>
  <c r="E628" i="7" s="1"/>
  <c r="F628" i="7" s="1"/>
  <c r="G628" i="7" s="1"/>
  <c r="D627" i="7"/>
  <c r="E627" i="7" s="1"/>
  <c r="F627" i="7" s="1"/>
  <c r="G627" i="7" s="1"/>
  <c r="D626" i="7"/>
  <c r="E626" i="7" s="1"/>
  <c r="F626" i="7" s="1"/>
  <c r="G626" i="7" s="1"/>
  <c r="D625" i="7"/>
  <c r="E625" i="7" s="1"/>
  <c r="F625" i="7" s="1"/>
  <c r="G625" i="7" s="1"/>
  <c r="D624" i="7"/>
  <c r="E624" i="7" s="1"/>
  <c r="F624" i="7" s="1"/>
  <c r="G624" i="7" s="1"/>
  <c r="D623" i="7"/>
  <c r="E623" i="7" s="1"/>
  <c r="F623" i="7" s="1"/>
  <c r="G623" i="7" s="1"/>
  <c r="D622" i="7"/>
  <c r="E622" i="7" s="1"/>
  <c r="F622" i="7" s="1"/>
  <c r="G622" i="7" s="1"/>
  <c r="D621" i="7"/>
  <c r="E621" i="7" s="1"/>
  <c r="F621" i="7" s="1"/>
  <c r="G621" i="7" s="1"/>
  <c r="D620" i="7"/>
  <c r="E620" i="7" s="1"/>
  <c r="F620" i="7" s="1"/>
  <c r="G620" i="7" s="1"/>
  <c r="D619" i="7"/>
  <c r="E619" i="7" s="1"/>
  <c r="F619" i="7" s="1"/>
  <c r="G619" i="7" s="1"/>
  <c r="D618" i="7"/>
  <c r="E618" i="7" s="1"/>
  <c r="F618" i="7" s="1"/>
  <c r="G618" i="7" s="1"/>
  <c r="D617" i="7"/>
  <c r="E617" i="7" s="1"/>
  <c r="F617" i="7" s="1"/>
  <c r="G617" i="7" s="1"/>
  <c r="D616" i="7"/>
  <c r="E616" i="7" s="1"/>
  <c r="F616" i="7" s="1"/>
  <c r="G616" i="7" s="1"/>
  <c r="D615" i="7"/>
  <c r="E615" i="7" s="1"/>
  <c r="F615" i="7" s="1"/>
  <c r="G615" i="7" s="1"/>
  <c r="D614" i="7"/>
  <c r="E614" i="7" s="1"/>
  <c r="F614" i="7" s="1"/>
  <c r="G614" i="7" s="1"/>
  <c r="D613" i="7"/>
  <c r="E613" i="7" s="1"/>
  <c r="F613" i="7" s="1"/>
  <c r="G613" i="7" s="1"/>
  <c r="D612" i="7"/>
  <c r="E612" i="7" s="1"/>
  <c r="F612" i="7" s="1"/>
  <c r="G612" i="7" s="1"/>
  <c r="D611" i="7"/>
  <c r="E611" i="7" s="1"/>
  <c r="F611" i="7" s="1"/>
  <c r="G611" i="7" s="1"/>
  <c r="D610" i="7"/>
  <c r="E610" i="7" s="1"/>
  <c r="F610" i="7" s="1"/>
  <c r="G610" i="7" s="1"/>
  <c r="D609" i="7"/>
  <c r="E609" i="7" s="1"/>
  <c r="F609" i="7" s="1"/>
  <c r="G609" i="7" s="1"/>
  <c r="D608" i="7"/>
  <c r="E608" i="7" s="1"/>
  <c r="F608" i="7" s="1"/>
  <c r="G608" i="7" s="1"/>
  <c r="D607" i="7"/>
  <c r="E607" i="7" s="1"/>
  <c r="F607" i="7" s="1"/>
  <c r="G607" i="7" s="1"/>
  <c r="D606" i="7"/>
  <c r="E606" i="7" s="1"/>
  <c r="F606" i="7" s="1"/>
  <c r="G606" i="7" s="1"/>
  <c r="D605" i="7"/>
  <c r="E605" i="7" s="1"/>
  <c r="F605" i="7" s="1"/>
  <c r="G605" i="7" s="1"/>
  <c r="D604" i="7"/>
  <c r="E604" i="7" s="1"/>
  <c r="F604" i="7" s="1"/>
  <c r="G604" i="7" s="1"/>
  <c r="D603" i="7"/>
  <c r="E603" i="7" s="1"/>
  <c r="F603" i="7" s="1"/>
  <c r="G603" i="7" s="1"/>
  <c r="D602" i="7"/>
  <c r="E602" i="7" s="1"/>
  <c r="F602" i="7" s="1"/>
  <c r="G602" i="7" s="1"/>
  <c r="D601" i="7"/>
  <c r="E601" i="7" s="1"/>
  <c r="F601" i="7" s="1"/>
  <c r="G601" i="7" s="1"/>
  <c r="D600" i="7"/>
  <c r="E600" i="7" s="1"/>
  <c r="F600" i="7" s="1"/>
  <c r="G600" i="7" s="1"/>
  <c r="D599" i="7"/>
  <c r="E599" i="7" s="1"/>
  <c r="F599" i="7" s="1"/>
  <c r="G599" i="7" s="1"/>
  <c r="D598" i="7"/>
  <c r="E598" i="7" s="1"/>
  <c r="F598" i="7" s="1"/>
  <c r="G598" i="7" s="1"/>
  <c r="D597" i="7"/>
  <c r="E597" i="7" s="1"/>
  <c r="F597" i="7" s="1"/>
  <c r="G597" i="7" s="1"/>
  <c r="D596" i="7"/>
  <c r="E596" i="7" s="1"/>
  <c r="F596" i="7" s="1"/>
  <c r="G596" i="7" s="1"/>
  <c r="D595" i="7"/>
  <c r="E595" i="7" s="1"/>
  <c r="F595" i="7" s="1"/>
  <c r="G595" i="7" s="1"/>
  <c r="D594" i="7"/>
  <c r="E594" i="7" s="1"/>
  <c r="F594" i="7" s="1"/>
  <c r="G594" i="7" s="1"/>
  <c r="D593" i="7"/>
  <c r="E593" i="7" s="1"/>
  <c r="F593" i="7" s="1"/>
  <c r="G593" i="7" s="1"/>
  <c r="D592" i="7"/>
  <c r="E592" i="7" s="1"/>
  <c r="F592" i="7" s="1"/>
  <c r="G592" i="7" s="1"/>
  <c r="D591" i="7"/>
  <c r="E591" i="7" s="1"/>
  <c r="F591" i="7" s="1"/>
  <c r="G591" i="7" s="1"/>
  <c r="D590" i="7"/>
  <c r="E590" i="7" s="1"/>
  <c r="F590" i="7" s="1"/>
  <c r="G590" i="7" s="1"/>
  <c r="D589" i="7"/>
  <c r="E589" i="7" s="1"/>
  <c r="F589" i="7" s="1"/>
  <c r="G589" i="7" s="1"/>
  <c r="D588" i="7"/>
  <c r="E588" i="7" s="1"/>
  <c r="F588" i="7" s="1"/>
  <c r="G588" i="7" s="1"/>
  <c r="D587" i="7"/>
  <c r="E587" i="7" s="1"/>
  <c r="F587" i="7" s="1"/>
  <c r="G587" i="7" s="1"/>
  <c r="D586" i="7"/>
  <c r="E586" i="7" s="1"/>
  <c r="F586" i="7" s="1"/>
  <c r="G586" i="7" s="1"/>
  <c r="D585" i="7"/>
  <c r="E585" i="7" s="1"/>
  <c r="F585" i="7" s="1"/>
  <c r="G585" i="7" s="1"/>
  <c r="D584" i="7"/>
  <c r="E584" i="7" s="1"/>
  <c r="F584" i="7" s="1"/>
  <c r="G584" i="7" s="1"/>
  <c r="D583" i="7"/>
  <c r="E583" i="7" s="1"/>
  <c r="F583" i="7" s="1"/>
  <c r="G583" i="7" s="1"/>
  <c r="D582" i="7"/>
  <c r="E582" i="7" s="1"/>
  <c r="F582" i="7" s="1"/>
  <c r="G582" i="7" s="1"/>
  <c r="D581" i="7"/>
  <c r="E581" i="7" s="1"/>
  <c r="F581" i="7" s="1"/>
  <c r="G581" i="7" s="1"/>
  <c r="D580" i="7"/>
  <c r="E580" i="7" s="1"/>
  <c r="F580" i="7" s="1"/>
  <c r="G580" i="7" s="1"/>
  <c r="D579" i="7"/>
  <c r="E579" i="7" s="1"/>
  <c r="F579" i="7" s="1"/>
  <c r="G579" i="7" s="1"/>
  <c r="D578" i="7"/>
  <c r="E578" i="7" s="1"/>
  <c r="F578" i="7" s="1"/>
  <c r="G578" i="7" s="1"/>
  <c r="D577" i="7"/>
  <c r="E577" i="7" s="1"/>
  <c r="F577" i="7" s="1"/>
  <c r="G577" i="7" s="1"/>
  <c r="D576" i="7"/>
  <c r="E576" i="7" s="1"/>
  <c r="F576" i="7" s="1"/>
  <c r="G576" i="7" s="1"/>
  <c r="D575" i="7"/>
  <c r="E575" i="7" s="1"/>
  <c r="F575" i="7" s="1"/>
  <c r="G575" i="7" s="1"/>
  <c r="D574" i="7"/>
  <c r="E574" i="7" s="1"/>
  <c r="F574" i="7" s="1"/>
  <c r="G574" i="7" s="1"/>
  <c r="D573" i="7"/>
  <c r="E573" i="7" s="1"/>
  <c r="F573" i="7" s="1"/>
  <c r="G573" i="7" s="1"/>
  <c r="D572" i="7"/>
  <c r="E572" i="7" s="1"/>
  <c r="F572" i="7" s="1"/>
  <c r="G572" i="7" s="1"/>
  <c r="D571" i="7"/>
  <c r="E571" i="7" s="1"/>
  <c r="F571" i="7" s="1"/>
  <c r="G571" i="7" s="1"/>
  <c r="D570" i="7"/>
  <c r="E570" i="7" s="1"/>
  <c r="F570" i="7" s="1"/>
  <c r="G570" i="7" s="1"/>
  <c r="D569" i="7"/>
  <c r="E569" i="7" s="1"/>
  <c r="F569" i="7" s="1"/>
  <c r="G569" i="7" s="1"/>
  <c r="D568" i="7"/>
  <c r="E568" i="7" s="1"/>
  <c r="F568" i="7" s="1"/>
  <c r="G568" i="7" s="1"/>
  <c r="D567" i="7"/>
  <c r="E567" i="7" s="1"/>
  <c r="F567" i="7" s="1"/>
  <c r="G567" i="7" s="1"/>
  <c r="D566" i="7"/>
  <c r="E566" i="7" s="1"/>
  <c r="F566" i="7" s="1"/>
  <c r="G566" i="7" s="1"/>
  <c r="D565" i="7"/>
  <c r="E565" i="7" s="1"/>
  <c r="F565" i="7" s="1"/>
  <c r="G565" i="7" s="1"/>
  <c r="D564" i="7"/>
  <c r="E564" i="7" s="1"/>
  <c r="F564" i="7" s="1"/>
  <c r="G564" i="7" s="1"/>
  <c r="D563" i="7"/>
  <c r="E563" i="7" s="1"/>
  <c r="F563" i="7" s="1"/>
  <c r="G563" i="7" s="1"/>
  <c r="D562" i="7"/>
  <c r="E562" i="7" s="1"/>
  <c r="F562" i="7" s="1"/>
  <c r="G562" i="7" s="1"/>
  <c r="D561" i="7"/>
  <c r="E561" i="7" s="1"/>
  <c r="F561" i="7" s="1"/>
  <c r="G561" i="7" s="1"/>
  <c r="D560" i="7"/>
  <c r="E560" i="7" s="1"/>
  <c r="F560" i="7" s="1"/>
  <c r="G560" i="7" s="1"/>
  <c r="D559" i="7"/>
  <c r="E559" i="7" s="1"/>
  <c r="F559" i="7" s="1"/>
  <c r="G559" i="7" s="1"/>
  <c r="D558" i="7"/>
  <c r="E558" i="7" s="1"/>
  <c r="F558" i="7" s="1"/>
  <c r="G558" i="7" s="1"/>
  <c r="D557" i="7"/>
  <c r="E557" i="7" s="1"/>
  <c r="F557" i="7" s="1"/>
  <c r="G557" i="7" s="1"/>
  <c r="D556" i="7"/>
  <c r="E556" i="7" s="1"/>
  <c r="F556" i="7" s="1"/>
  <c r="G556" i="7" s="1"/>
  <c r="D555" i="7"/>
  <c r="E555" i="7" s="1"/>
  <c r="F555" i="7" s="1"/>
  <c r="G555" i="7" s="1"/>
  <c r="D554" i="7"/>
  <c r="E554" i="7" s="1"/>
  <c r="F554" i="7" s="1"/>
  <c r="G554" i="7" s="1"/>
  <c r="D553" i="7"/>
  <c r="E553" i="7" s="1"/>
  <c r="F553" i="7" s="1"/>
  <c r="G553" i="7" s="1"/>
  <c r="D552" i="7"/>
  <c r="E552" i="7" s="1"/>
  <c r="F552" i="7" s="1"/>
  <c r="G552" i="7" s="1"/>
  <c r="D551" i="7"/>
  <c r="E551" i="7" s="1"/>
  <c r="F551" i="7" s="1"/>
  <c r="G551" i="7" s="1"/>
  <c r="D550" i="7"/>
  <c r="E550" i="7" s="1"/>
  <c r="F550" i="7" s="1"/>
  <c r="G550" i="7" s="1"/>
  <c r="D549" i="7"/>
  <c r="E549" i="7" s="1"/>
  <c r="F549" i="7" s="1"/>
  <c r="G549" i="7" s="1"/>
  <c r="D548" i="7"/>
  <c r="E548" i="7" s="1"/>
  <c r="F548" i="7" s="1"/>
  <c r="G548" i="7" s="1"/>
  <c r="D547" i="7"/>
  <c r="E547" i="7" s="1"/>
  <c r="F547" i="7" s="1"/>
  <c r="G547" i="7" s="1"/>
  <c r="D546" i="7"/>
  <c r="E546" i="7" s="1"/>
  <c r="F546" i="7" s="1"/>
  <c r="G546" i="7" s="1"/>
  <c r="D545" i="7"/>
  <c r="E545" i="7" s="1"/>
  <c r="F545" i="7" s="1"/>
  <c r="G545" i="7" s="1"/>
  <c r="D544" i="7"/>
  <c r="E544" i="7" s="1"/>
  <c r="F544" i="7" s="1"/>
  <c r="G544" i="7" s="1"/>
  <c r="D543" i="7"/>
  <c r="E543" i="7" s="1"/>
  <c r="F543" i="7" s="1"/>
  <c r="G543" i="7" s="1"/>
  <c r="D542" i="7"/>
  <c r="E542" i="7" s="1"/>
  <c r="F542" i="7" s="1"/>
  <c r="G542" i="7" s="1"/>
  <c r="D541" i="7"/>
  <c r="E541" i="7" s="1"/>
  <c r="F541" i="7" s="1"/>
  <c r="G541" i="7" s="1"/>
  <c r="D540" i="7"/>
  <c r="E540" i="7" s="1"/>
  <c r="F540" i="7" s="1"/>
  <c r="G540" i="7" s="1"/>
  <c r="D539" i="7"/>
  <c r="E539" i="7" s="1"/>
  <c r="F539" i="7" s="1"/>
  <c r="G539" i="7" s="1"/>
  <c r="D538" i="7"/>
  <c r="E538" i="7" s="1"/>
  <c r="F538" i="7" s="1"/>
  <c r="G538" i="7" s="1"/>
  <c r="D537" i="7"/>
  <c r="E537" i="7" s="1"/>
  <c r="F537" i="7" s="1"/>
  <c r="G537" i="7" s="1"/>
  <c r="D536" i="7"/>
  <c r="E536" i="7" s="1"/>
  <c r="F536" i="7" s="1"/>
  <c r="G536" i="7" s="1"/>
  <c r="D535" i="7"/>
  <c r="E535" i="7" s="1"/>
  <c r="F535" i="7" s="1"/>
  <c r="G535" i="7" s="1"/>
  <c r="D534" i="7"/>
  <c r="E534" i="7" s="1"/>
  <c r="F534" i="7" s="1"/>
  <c r="G534" i="7" s="1"/>
  <c r="D533" i="7"/>
  <c r="E533" i="7" s="1"/>
  <c r="F533" i="7" s="1"/>
  <c r="G533" i="7" s="1"/>
  <c r="D532" i="7"/>
  <c r="E532" i="7" s="1"/>
  <c r="F532" i="7" s="1"/>
  <c r="G532" i="7" s="1"/>
  <c r="D531" i="7"/>
  <c r="E531" i="7" s="1"/>
  <c r="F531" i="7" s="1"/>
  <c r="G531" i="7" s="1"/>
  <c r="D530" i="7"/>
  <c r="E530" i="7" s="1"/>
  <c r="F530" i="7" s="1"/>
  <c r="G530" i="7" s="1"/>
  <c r="D529" i="7"/>
  <c r="E529" i="7" s="1"/>
  <c r="F529" i="7" s="1"/>
  <c r="G529" i="7" s="1"/>
  <c r="D528" i="7"/>
  <c r="E528" i="7" s="1"/>
  <c r="F528" i="7" s="1"/>
  <c r="G528" i="7" s="1"/>
  <c r="D527" i="7"/>
  <c r="E527" i="7" s="1"/>
  <c r="F527" i="7" s="1"/>
  <c r="G527" i="7" s="1"/>
  <c r="D526" i="7"/>
  <c r="E526" i="7" s="1"/>
  <c r="F526" i="7" s="1"/>
  <c r="G526" i="7" s="1"/>
  <c r="D525" i="7"/>
  <c r="E525" i="7" s="1"/>
  <c r="F525" i="7" s="1"/>
  <c r="G525" i="7" s="1"/>
  <c r="D524" i="7"/>
  <c r="E524" i="7" s="1"/>
  <c r="F524" i="7" s="1"/>
  <c r="G524" i="7" s="1"/>
  <c r="D523" i="7"/>
  <c r="E523" i="7" s="1"/>
  <c r="F523" i="7" s="1"/>
  <c r="G523" i="7" s="1"/>
  <c r="D522" i="7"/>
  <c r="E522" i="7" s="1"/>
  <c r="F522" i="7" s="1"/>
  <c r="G522" i="7" s="1"/>
  <c r="D521" i="7"/>
  <c r="E521" i="7" s="1"/>
  <c r="F521" i="7" s="1"/>
  <c r="G521" i="7" s="1"/>
  <c r="D520" i="7"/>
  <c r="E520" i="7" s="1"/>
  <c r="F520" i="7" s="1"/>
  <c r="G520" i="7" s="1"/>
  <c r="D519" i="7"/>
  <c r="E519" i="7" s="1"/>
  <c r="F519" i="7" s="1"/>
  <c r="G519" i="7" s="1"/>
  <c r="D518" i="7"/>
  <c r="E518" i="7" s="1"/>
  <c r="F518" i="7" s="1"/>
  <c r="G518" i="7" s="1"/>
  <c r="D517" i="7"/>
  <c r="E517" i="7" s="1"/>
  <c r="F517" i="7" s="1"/>
  <c r="G517" i="7" s="1"/>
  <c r="D516" i="7"/>
  <c r="E516" i="7" s="1"/>
  <c r="F516" i="7" s="1"/>
  <c r="G516" i="7" s="1"/>
  <c r="D515" i="7"/>
  <c r="E515" i="7" s="1"/>
  <c r="F515" i="7" s="1"/>
  <c r="G515" i="7" s="1"/>
  <c r="D514" i="7"/>
  <c r="E514" i="7" s="1"/>
  <c r="F514" i="7" s="1"/>
  <c r="G514" i="7" s="1"/>
  <c r="D513" i="7"/>
  <c r="E513" i="7" s="1"/>
  <c r="F513" i="7" s="1"/>
  <c r="G513" i="7" s="1"/>
  <c r="D512" i="7"/>
  <c r="E512" i="7" s="1"/>
  <c r="F512" i="7" s="1"/>
  <c r="G512" i="7" s="1"/>
  <c r="D511" i="7"/>
  <c r="E511" i="7" s="1"/>
  <c r="F511" i="7" s="1"/>
  <c r="G511" i="7" s="1"/>
  <c r="D510" i="7"/>
  <c r="E510" i="7" s="1"/>
  <c r="F510" i="7" s="1"/>
  <c r="G510" i="7" s="1"/>
  <c r="D509" i="7"/>
  <c r="E509" i="7" s="1"/>
  <c r="F509" i="7" s="1"/>
  <c r="G509" i="7" s="1"/>
  <c r="D508" i="7"/>
  <c r="E508" i="7" s="1"/>
  <c r="F508" i="7" s="1"/>
  <c r="G508" i="7" s="1"/>
  <c r="D507" i="7"/>
  <c r="E507" i="7" s="1"/>
  <c r="F507" i="7" s="1"/>
  <c r="G507" i="7" s="1"/>
  <c r="D506" i="7"/>
  <c r="E506" i="7" s="1"/>
  <c r="F506" i="7" s="1"/>
  <c r="G506" i="7" s="1"/>
  <c r="D505" i="7"/>
  <c r="E505" i="7" s="1"/>
  <c r="F505" i="7" s="1"/>
  <c r="G505" i="7" s="1"/>
  <c r="D504" i="7"/>
  <c r="E504" i="7" s="1"/>
  <c r="F504" i="7" s="1"/>
  <c r="G504" i="7" s="1"/>
  <c r="D503" i="7"/>
  <c r="E503" i="7" s="1"/>
  <c r="F503" i="7" s="1"/>
  <c r="G503" i="7" s="1"/>
  <c r="D502" i="7"/>
  <c r="E502" i="7" s="1"/>
  <c r="F502" i="7" s="1"/>
  <c r="G502" i="7" s="1"/>
  <c r="D501" i="7"/>
  <c r="E501" i="7" s="1"/>
  <c r="F501" i="7" s="1"/>
  <c r="G501" i="7" s="1"/>
  <c r="D500" i="7"/>
  <c r="E500" i="7" s="1"/>
  <c r="F500" i="7" s="1"/>
  <c r="G500" i="7" s="1"/>
  <c r="D499" i="7"/>
  <c r="E499" i="7" s="1"/>
  <c r="F499" i="7" s="1"/>
  <c r="G499" i="7" s="1"/>
  <c r="D498" i="7"/>
  <c r="E498" i="7" s="1"/>
  <c r="F498" i="7" s="1"/>
  <c r="G498" i="7" s="1"/>
  <c r="D497" i="7"/>
  <c r="E497" i="7" s="1"/>
  <c r="F497" i="7" s="1"/>
  <c r="G497" i="7" s="1"/>
  <c r="D496" i="7"/>
  <c r="E496" i="7" s="1"/>
  <c r="F496" i="7" s="1"/>
  <c r="G496" i="7" s="1"/>
  <c r="D495" i="7"/>
  <c r="E495" i="7" s="1"/>
  <c r="F495" i="7" s="1"/>
  <c r="G495" i="7" s="1"/>
  <c r="D494" i="7"/>
  <c r="E494" i="7" s="1"/>
  <c r="F494" i="7" s="1"/>
  <c r="G494" i="7" s="1"/>
  <c r="D493" i="7"/>
  <c r="E493" i="7" s="1"/>
  <c r="F493" i="7" s="1"/>
  <c r="G493" i="7" s="1"/>
  <c r="D492" i="7"/>
  <c r="E492" i="7" s="1"/>
  <c r="F492" i="7" s="1"/>
  <c r="G492" i="7" s="1"/>
  <c r="D491" i="7"/>
  <c r="E491" i="7" s="1"/>
  <c r="F491" i="7" s="1"/>
  <c r="G491" i="7" s="1"/>
  <c r="D490" i="7"/>
  <c r="E490" i="7" s="1"/>
  <c r="F490" i="7" s="1"/>
  <c r="G490" i="7" s="1"/>
  <c r="D489" i="7"/>
  <c r="E489" i="7" s="1"/>
  <c r="F489" i="7" s="1"/>
  <c r="G489" i="7" s="1"/>
  <c r="D488" i="7"/>
  <c r="E488" i="7" s="1"/>
  <c r="F488" i="7" s="1"/>
  <c r="G488" i="7" s="1"/>
  <c r="D487" i="7"/>
  <c r="E487" i="7" s="1"/>
  <c r="F487" i="7" s="1"/>
  <c r="G487" i="7" s="1"/>
  <c r="D486" i="7"/>
  <c r="E486" i="7" s="1"/>
  <c r="F486" i="7" s="1"/>
  <c r="G486" i="7" s="1"/>
  <c r="D485" i="7"/>
  <c r="E485" i="7" s="1"/>
  <c r="F485" i="7" s="1"/>
  <c r="G485" i="7" s="1"/>
  <c r="D484" i="7"/>
  <c r="E484" i="7" s="1"/>
  <c r="F484" i="7" s="1"/>
  <c r="G484" i="7" s="1"/>
  <c r="D483" i="7"/>
  <c r="E483" i="7" s="1"/>
  <c r="F483" i="7" s="1"/>
  <c r="G483" i="7" s="1"/>
  <c r="D482" i="7"/>
  <c r="E482" i="7" s="1"/>
  <c r="F482" i="7" s="1"/>
  <c r="G482" i="7" s="1"/>
  <c r="D481" i="7"/>
  <c r="E481" i="7" s="1"/>
  <c r="F481" i="7" s="1"/>
  <c r="G481" i="7" s="1"/>
  <c r="D480" i="7"/>
  <c r="E480" i="7" s="1"/>
  <c r="F480" i="7" s="1"/>
  <c r="G480" i="7" s="1"/>
  <c r="D479" i="7"/>
  <c r="E479" i="7" s="1"/>
  <c r="F479" i="7" s="1"/>
  <c r="G479" i="7" s="1"/>
  <c r="D478" i="7"/>
  <c r="E478" i="7" s="1"/>
  <c r="F478" i="7" s="1"/>
  <c r="G478" i="7" s="1"/>
  <c r="D477" i="7"/>
  <c r="E477" i="7" s="1"/>
  <c r="F477" i="7" s="1"/>
  <c r="G477" i="7" s="1"/>
  <c r="D476" i="7"/>
  <c r="E476" i="7" s="1"/>
  <c r="F476" i="7" s="1"/>
  <c r="G476" i="7" s="1"/>
  <c r="D475" i="7"/>
  <c r="E475" i="7" s="1"/>
  <c r="F475" i="7" s="1"/>
  <c r="G475" i="7" s="1"/>
  <c r="D474" i="7"/>
  <c r="E474" i="7" s="1"/>
  <c r="F474" i="7" s="1"/>
  <c r="G474" i="7" s="1"/>
  <c r="D473" i="7"/>
  <c r="E473" i="7" s="1"/>
  <c r="F473" i="7" s="1"/>
  <c r="G473" i="7" s="1"/>
  <c r="D472" i="7"/>
  <c r="E472" i="7" s="1"/>
  <c r="F472" i="7" s="1"/>
  <c r="G472" i="7" s="1"/>
  <c r="D471" i="7"/>
  <c r="E471" i="7" s="1"/>
  <c r="F471" i="7" s="1"/>
  <c r="G471" i="7" s="1"/>
  <c r="D470" i="7"/>
  <c r="E470" i="7" s="1"/>
  <c r="F470" i="7" s="1"/>
  <c r="G470" i="7" s="1"/>
  <c r="D469" i="7"/>
  <c r="E469" i="7" s="1"/>
  <c r="F469" i="7" s="1"/>
  <c r="G469" i="7" s="1"/>
  <c r="D468" i="7"/>
  <c r="E468" i="7" s="1"/>
  <c r="F468" i="7" s="1"/>
  <c r="G468" i="7" s="1"/>
  <c r="D467" i="7"/>
  <c r="E467" i="7" s="1"/>
  <c r="F467" i="7" s="1"/>
  <c r="G467" i="7" s="1"/>
  <c r="D466" i="7"/>
  <c r="E466" i="7" s="1"/>
  <c r="F466" i="7" s="1"/>
  <c r="G466" i="7" s="1"/>
  <c r="D465" i="7"/>
  <c r="E465" i="7" s="1"/>
  <c r="F465" i="7" s="1"/>
  <c r="G465" i="7" s="1"/>
  <c r="D464" i="7"/>
  <c r="E464" i="7" s="1"/>
  <c r="F464" i="7" s="1"/>
  <c r="G464" i="7" s="1"/>
  <c r="D463" i="7"/>
  <c r="E463" i="7" s="1"/>
  <c r="F463" i="7" s="1"/>
  <c r="G463" i="7" s="1"/>
  <c r="D462" i="7"/>
  <c r="E462" i="7" s="1"/>
  <c r="F462" i="7" s="1"/>
  <c r="G462" i="7" s="1"/>
  <c r="D461" i="7"/>
  <c r="E461" i="7" s="1"/>
  <c r="F461" i="7" s="1"/>
  <c r="G461" i="7" s="1"/>
  <c r="D460" i="7"/>
  <c r="E460" i="7" s="1"/>
  <c r="F460" i="7" s="1"/>
  <c r="G460" i="7" s="1"/>
  <c r="D459" i="7"/>
  <c r="E459" i="7" s="1"/>
  <c r="F459" i="7" s="1"/>
  <c r="G459" i="7" s="1"/>
  <c r="D458" i="7"/>
  <c r="E458" i="7" s="1"/>
  <c r="F458" i="7" s="1"/>
  <c r="G458" i="7" s="1"/>
  <c r="D457" i="7"/>
  <c r="E457" i="7" s="1"/>
  <c r="F457" i="7" s="1"/>
  <c r="G457" i="7" s="1"/>
  <c r="D456" i="7"/>
  <c r="E456" i="7" s="1"/>
  <c r="F456" i="7" s="1"/>
  <c r="G456" i="7" s="1"/>
  <c r="D455" i="7"/>
  <c r="E455" i="7" s="1"/>
  <c r="F455" i="7" s="1"/>
  <c r="G455" i="7" s="1"/>
  <c r="D454" i="7"/>
  <c r="E454" i="7" s="1"/>
  <c r="F454" i="7" s="1"/>
  <c r="G454" i="7" s="1"/>
  <c r="D453" i="7"/>
  <c r="E453" i="7" s="1"/>
  <c r="F453" i="7" s="1"/>
  <c r="G453" i="7" s="1"/>
  <c r="D452" i="7"/>
  <c r="E452" i="7" s="1"/>
  <c r="F452" i="7" s="1"/>
  <c r="G452" i="7" s="1"/>
  <c r="D451" i="7"/>
  <c r="E451" i="7" s="1"/>
  <c r="F451" i="7" s="1"/>
  <c r="G451" i="7" s="1"/>
  <c r="D450" i="7"/>
  <c r="E450" i="7" s="1"/>
  <c r="F450" i="7" s="1"/>
  <c r="G450" i="7" s="1"/>
  <c r="D449" i="7"/>
  <c r="E449" i="7" s="1"/>
  <c r="F449" i="7" s="1"/>
  <c r="G449" i="7" s="1"/>
  <c r="D448" i="7"/>
  <c r="E448" i="7" s="1"/>
  <c r="F448" i="7" s="1"/>
  <c r="G448" i="7" s="1"/>
  <c r="D447" i="7"/>
  <c r="E447" i="7" s="1"/>
  <c r="F447" i="7" s="1"/>
  <c r="G447" i="7" s="1"/>
  <c r="D446" i="7"/>
  <c r="E446" i="7" s="1"/>
  <c r="F446" i="7" s="1"/>
  <c r="G446" i="7" s="1"/>
  <c r="D445" i="7"/>
  <c r="E445" i="7" s="1"/>
  <c r="F445" i="7" s="1"/>
  <c r="G445" i="7" s="1"/>
  <c r="D444" i="7"/>
  <c r="E444" i="7" s="1"/>
  <c r="F444" i="7" s="1"/>
  <c r="G444" i="7" s="1"/>
  <c r="D443" i="7"/>
  <c r="E443" i="7" s="1"/>
  <c r="F443" i="7" s="1"/>
  <c r="G443" i="7" s="1"/>
  <c r="D442" i="7"/>
  <c r="E442" i="7" s="1"/>
  <c r="F442" i="7" s="1"/>
  <c r="G442" i="7" s="1"/>
  <c r="D441" i="7"/>
  <c r="E441" i="7" s="1"/>
  <c r="F441" i="7" s="1"/>
  <c r="G441" i="7" s="1"/>
  <c r="D440" i="7"/>
  <c r="E440" i="7" s="1"/>
  <c r="F440" i="7" s="1"/>
  <c r="G440" i="7" s="1"/>
  <c r="D439" i="7"/>
  <c r="E439" i="7" s="1"/>
  <c r="F439" i="7" s="1"/>
  <c r="G439" i="7" s="1"/>
  <c r="D438" i="7"/>
  <c r="E438" i="7" s="1"/>
  <c r="F438" i="7" s="1"/>
  <c r="G438" i="7" s="1"/>
  <c r="D437" i="7"/>
  <c r="E437" i="7" s="1"/>
  <c r="F437" i="7" s="1"/>
  <c r="G437" i="7" s="1"/>
  <c r="D436" i="7"/>
  <c r="E436" i="7" s="1"/>
  <c r="F436" i="7" s="1"/>
  <c r="G436" i="7" s="1"/>
  <c r="D435" i="7"/>
  <c r="E435" i="7" s="1"/>
  <c r="F435" i="7" s="1"/>
  <c r="G435" i="7" s="1"/>
  <c r="D434" i="7"/>
  <c r="E434" i="7" s="1"/>
  <c r="F434" i="7" s="1"/>
  <c r="G434" i="7" s="1"/>
  <c r="D433" i="7"/>
  <c r="E433" i="7" s="1"/>
  <c r="F433" i="7" s="1"/>
  <c r="G433" i="7" s="1"/>
  <c r="D432" i="7"/>
  <c r="E432" i="7" s="1"/>
  <c r="F432" i="7" s="1"/>
  <c r="G432" i="7" s="1"/>
  <c r="D431" i="7"/>
  <c r="E431" i="7" s="1"/>
  <c r="F431" i="7" s="1"/>
  <c r="G431" i="7" s="1"/>
  <c r="D430" i="7"/>
  <c r="E430" i="7" s="1"/>
  <c r="F430" i="7" s="1"/>
  <c r="G430" i="7" s="1"/>
  <c r="D429" i="7"/>
  <c r="E429" i="7" s="1"/>
  <c r="F429" i="7" s="1"/>
  <c r="G429" i="7" s="1"/>
  <c r="D428" i="7"/>
  <c r="E428" i="7" s="1"/>
  <c r="F428" i="7" s="1"/>
  <c r="G428" i="7" s="1"/>
  <c r="D427" i="7"/>
  <c r="E427" i="7" s="1"/>
  <c r="F427" i="7" s="1"/>
  <c r="G427" i="7" s="1"/>
  <c r="D426" i="7"/>
  <c r="E426" i="7" s="1"/>
  <c r="F426" i="7" s="1"/>
  <c r="G426" i="7" s="1"/>
  <c r="D425" i="7"/>
  <c r="E425" i="7" s="1"/>
  <c r="F425" i="7" s="1"/>
  <c r="G425" i="7" s="1"/>
  <c r="D424" i="7"/>
  <c r="E424" i="7" s="1"/>
  <c r="F424" i="7" s="1"/>
  <c r="G424" i="7" s="1"/>
  <c r="D423" i="7"/>
  <c r="E423" i="7" s="1"/>
  <c r="F423" i="7" s="1"/>
  <c r="G423" i="7" s="1"/>
  <c r="D422" i="7"/>
  <c r="E422" i="7" s="1"/>
  <c r="F422" i="7" s="1"/>
  <c r="G422" i="7" s="1"/>
  <c r="D421" i="7"/>
  <c r="E421" i="7" s="1"/>
  <c r="F421" i="7" s="1"/>
  <c r="G421" i="7" s="1"/>
  <c r="D420" i="7"/>
  <c r="E420" i="7" s="1"/>
  <c r="F420" i="7" s="1"/>
  <c r="G420" i="7" s="1"/>
  <c r="D419" i="7"/>
  <c r="E419" i="7" s="1"/>
  <c r="F419" i="7" s="1"/>
  <c r="G419" i="7" s="1"/>
  <c r="D418" i="7"/>
  <c r="E418" i="7" s="1"/>
  <c r="F418" i="7" s="1"/>
  <c r="G418" i="7" s="1"/>
  <c r="D417" i="7"/>
  <c r="E417" i="7" s="1"/>
  <c r="F417" i="7" s="1"/>
  <c r="G417" i="7" s="1"/>
  <c r="D416" i="7"/>
  <c r="E416" i="7" s="1"/>
  <c r="F416" i="7" s="1"/>
  <c r="G416" i="7" s="1"/>
  <c r="D415" i="7"/>
  <c r="E415" i="7" s="1"/>
  <c r="F415" i="7" s="1"/>
  <c r="G415" i="7" s="1"/>
  <c r="D414" i="7"/>
  <c r="E414" i="7" s="1"/>
  <c r="F414" i="7" s="1"/>
  <c r="G414" i="7" s="1"/>
  <c r="D413" i="7"/>
  <c r="E413" i="7" s="1"/>
  <c r="F413" i="7" s="1"/>
  <c r="G413" i="7" s="1"/>
  <c r="D412" i="7"/>
  <c r="E412" i="7" s="1"/>
  <c r="F412" i="7" s="1"/>
  <c r="G412" i="7" s="1"/>
  <c r="D411" i="7"/>
  <c r="E411" i="7" s="1"/>
  <c r="F411" i="7" s="1"/>
  <c r="G411" i="7" s="1"/>
  <c r="D410" i="7"/>
  <c r="E410" i="7" s="1"/>
  <c r="F410" i="7" s="1"/>
  <c r="G410" i="7" s="1"/>
  <c r="D409" i="7"/>
  <c r="E409" i="7" s="1"/>
  <c r="F409" i="7" s="1"/>
  <c r="G409" i="7" s="1"/>
  <c r="D408" i="7"/>
  <c r="E408" i="7" s="1"/>
  <c r="F408" i="7" s="1"/>
  <c r="G408" i="7" s="1"/>
  <c r="D407" i="7"/>
  <c r="E407" i="7" s="1"/>
  <c r="F407" i="7" s="1"/>
  <c r="G407" i="7" s="1"/>
  <c r="D406" i="7"/>
  <c r="E406" i="7" s="1"/>
  <c r="F406" i="7" s="1"/>
  <c r="G406" i="7" s="1"/>
  <c r="D405" i="7"/>
  <c r="E405" i="7" s="1"/>
  <c r="F405" i="7" s="1"/>
  <c r="G405" i="7" s="1"/>
  <c r="D404" i="7"/>
  <c r="E404" i="7" s="1"/>
  <c r="F404" i="7" s="1"/>
  <c r="G404" i="7" s="1"/>
  <c r="D403" i="7"/>
  <c r="E403" i="7" s="1"/>
  <c r="F403" i="7" s="1"/>
  <c r="G403" i="7" s="1"/>
  <c r="D402" i="7"/>
  <c r="E402" i="7" s="1"/>
  <c r="F402" i="7" s="1"/>
  <c r="G402" i="7" s="1"/>
  <c r="D401" i="7"/>
  <c r="E401" i="7" s="1"/>
  <c r="F401" i="7" s="1"/>
  <c r="G401" i="7" s="1"/>
  <c r="D400" i="7"/>
  <c r="E400" i="7" s="1"/>
  <c r="F400" i="7" s="1"/>
  <c r="G400" i="7" s="1"/>
  <c r="D399" i="7"/>
  <c r="E399" i="7" s="1"/>
  <c r="F399" i="7" s="1"/>
  <c r="G399" i="7" s="1"/>
  <c r="D398" i="7"/>
  <c r="E398" i="7" s="1"/>
  <c r="F398" i="7" s="1"/>
  <c r="G398" i="7" s="1"/>
  <c r="D397" i="7"/>
  <c r="E397" i="7" s="1"/>
  <c r="F397" i="7" s="1"/>
  <c r="G397" i="7" s="1"/>
  <c r="D396" i="7"/>
  <c r="E396" i="7" s="1"/>
  <c r="F396" i="7" s="1"/>
  <c r="G396" i="7" s="1"/>
  <c r="D395" i="7"/>
  <c r="E395" i="7" s="1"/>
  <c r="F395" i="7" s="1"/>
  <c r="G395" i="7" s="1"/>
  <c r="D394" i="7"/>
  <c r="E394" i="7" s="1"/>
  <c r="F394" i="7" s="1"/>
  <c r="G394" i="7" s="1"/>
  <c r="D393" i="7"/>
  <c r="E393" i="7" s="1"/>
  <c r="F393" i="7" s="1"/>
  <c r="G393" i="7" s="1"/>
  <c r="D392" i="7"/>
  <c r="E392" i="7" s="1"/>
  <c r="F392" i="7" s="1"/>
  <c r="G392" i="7" s="1"/>
  <c r="D391" i="7"/>
  <c r="E391" i="7" s="1"/>
  <c r="F391" i="7" s="1"/>
  <c r="G391" i="7" s="1"/>
  <c r="D390" i="7"/>
  <c r="E390" i="7" s="1"/>
  <c r="F390" i="7" s="1"/>
  <c r="G390" i="7" s="1"/>
  <c r="D389" i="7"/>
  <c r="E389" i="7" s="1"/>
  <c r="F389" i="7" s="1"/>
  <c r="G389" i="7" s="1"/>
  <c r="D388" i="7"/>
  <c r="E388" i="7" s="1"/>
  <c r="F388" i="7" s="1"/>
  <c r="G388" i="7" s="1"/>
  <c r="D387" i="7"/>
  <c r="E387" i="7" s="1"/>
  <c r="F387" i="7" s="1"/>
  <c r="G387" i="7" s="1"/>
  <c r="D386" i="7"/>
  <c r="E386" i="7" s="1"/>
  <c r="F386" i="7" s="1"/>
  <c r="G386" i="7" s="1"/>
  <c r="D385" i="7"/>
  <c r="E385" i="7" s="1"/>
  <c r="F385" i="7" s="1"/>
  <c r="G385" i="7" s="1"/>
  <c r="D384" i="7"/>
  <c r="E384" i="7" s="1"/>
  <c r="F384" i="7" s="1"/>
  <c r="G384" i="7" s="1"/>
  <c r="D383" i="7"/>
  <c r="E383" i="7" s="1"/>
  <c r="F383" i="7" s="1"/>
  <c r="G383" i="7" s="1"/>
  <c r="D382" i="7"/>
  <c r="E382" i="7" s="1"/>
  <c r="F382" i="7" s="1"/>
  <c r="G382" i="7" s="1"/>
  <c r="D381" i="7"/>
  <c r="E381" i="7" s="1"/>
  <c r="F381" i="7" s="1"/>
  <c r="G381" i="7" s="1"/>
  <c r="D380" i="7"/>
  <c r="E380" i="7" s="1"/>
  <c r="F380" i="7" s="1"/>
  <c r="G380" i="7" s="1"/>
  <c r="D379" i="7"/>
  <c r="E379" i="7" s="1"/>
  <c r="F379" i="7" s="1"/>
  <c r="G379" i="7" s="1"/>
  <c r="D378" i="7"/>
  <c r="E378" i="7" s="1"/>
  <c r="F378" i="7" s="1"/>
  <c r="G378" i="7" s="1"/>
  <c r="D377" i="7"/>
  <c r="E377" i="7" s="1"/>
  <c r="F377" i="7" s="1"/>
  <c r="G377" i="7" s="1"/>
  <c r="D376" i="7"/>
  <c r="E376" i="7" s="1"/>
  <c r="F376" i="7" s="1"/>
  <c r="G376" i="7" s="1"/>
  <c r="D375" i="7"/>
  <c r="E375" i="7" s="1"/>
  <c r="F375" i="7" s="1"/>
  <c r="G375" i="7" s="1"/>
  <c r="D374" i="7"/>
  <c r="E374" i="7" s="1"/>
  <c r="F374" i="7" s="1"/>
  <c r="G374" i="7" s="1"/>
  <c r="D373" i="7"/>
  <c r="E373" i="7" s="1"/>
  <c r="F373" i="7" s="1"/>
  <c r="G373" i="7" s="1"/>
  <c r="D372" i="7"/>
  <c r="E372" i="7" s="1"/>
  <c r="F372" i="7" s="1"/>
  <c r="G372" i="7" s="1"/>
  <c r="D371" i="7"/>
  <c r="E371" i="7" s="1"/>
  <c r="F371" i="7" s="1"/>
  <c r="G371" i="7" s="1"/>
  <c r="D370" i="7"/>
  <c r="E370" i="7" s="1"/>
  <c r="F370" i="7" s="1"/>
  <c r="G370" i="7" s="1"/>
  <c r="D369" i="7"/>
  <c r="E369" i="7" s="1"/>
  <c r="F369" i="7" s="1"/>
  <c r="G369" i="7" s="1"/>
  <c r="D368" i="7"/>
  <c r="E368" i="7" s="1"/>
  <c r="F368" i="7" s="1"/>
  <c r="G368" i="7" s="1"/>
  <c r="D367" i="7"/>
  <c r="E367" i="7" s="1"/>
  <c r="F367" i="7" s="1"/>
  <c r="G367" i="7" s="1"/>
  <c r="D366" i="7"/>
  <c r="E366" i="7" s="1"/>
  <c r="F366" i="7" s="1"/>
  <c r="G366" i="7" s="1"/>
  <c r="D365" i="7"/>
  <c r="E365" i="7" s="1"/>
  <c r="F365" i="7" s="1"/>
  <c r="G365" i="7" s="1"/>
  <c r="D364" i="7"/>
  <c r="E364" i="7" s="1"/>
  <c r="F364" i="7" s="1"/>
  <c r="G364" i="7" s="1"/>
  <c r="D363" i="7"/>
  <c r="E363" i="7" s="1"/>
  <c r="F363" i="7" s="1"/>
  <c r="G363" i="7" s="1"/>
  <c r="D362" i="7"/>
  <c r="E362" i="7" s="1"/>
  <c r="F362" i="7" s="1"/>
  <c r="G362" i="7" s="1"/>
  <c r="D361" i="7"/>
  <c r="E361" i="7" s="1"/>
  <c r="F361" i="7" s="1"/>
  <c r="G361" i="7" s="1"/>
  <c r="D360" i="7"/>
  <c r="E360" i="7" s="1"/>
  <c r="F360" i="7" s="1"/>
  <c r="G360" i="7" s="1"/>
  <c r="D359" i="7"/>
  <c r="E359" i="7" s="1"/>
  <c r="F359" i="7" s="1"/>
  <c r="G359" i="7" s="1"/>
  <c r="D358" i="7"/>
  <c r="E358" i="7" s="1"/>
  <c r="F358" i="7" s="1"/>
  <c r="G358" i="7" s="1"/>
  <c r="D357" i="7"/>
  <c r="E357" i="7" s="1"/>
  <c r="F357" i="7" s="1"/>
  <c r="G357" i="7" s="1"/>
  <c r="D356" i="7"/>
  <c r="E356" i="7" s="1"/>
  <c r="F356" i="7" s="1"/>
  <c r="G356" i="7" s="1"/>
  <c r="D355" i="7"/>
  <c r="E355" i="7" s="1"/>
  <c r="F355" i="7" s="1"/>
  <c r="G355" i="7" s="1"/>
  <c r="D354" i="7"/>
  <c r="E354" i="7" s="1"/>
  <c r="F354" i="7" s="1"/>
  <c r="G354" i="7" s="1"/>
  <c r="D353" i="7"/>
  <c r="E353" i="7" s="1"/>
  <c r="F353" i="7" s="1"/>
  <c r="G353" i="7" s="1"/>
  <c r="D352" i="7"/>
  <c r="E352" i="7" s="1"/>
  <c r="F352" i="7" s="1"/>
  <c r="G352" i="7" s="1"/>
  <c r="D351" i="7"/>
  <c r="E351" i="7" s="1"/>
  <c r="F351" i="7" s="1"/>
  <c r="G351" i="7" s="1"/>
  <c r="D350" i="7"/>
  <c r="E350" i="7" s="1"/>
  <c r="F350" i="7" s="1"/>
  <c r="G350" i="7" s="1"/>
  <c r="D349" i="7"/>
  <c r="E349" i="7" s="1"/>
  <c r="F349" i="7" s="1"/>
  <c r="G349" i="7" s="1"/>
  <c r="D348" i="7"/>
  <c r="E348" i="7" s="1"/>
  <c r="F348" i="7" s="1"/>
  <c r="G348" i="7" s="1"/>
  <c r="D347" i="7"/>
  <c r="E347" i="7" s="1"/>
  <c r="F347" i="7" s="1"/>
  <c r="G347" i="7" s="1"/>
  <c r="D346" i="7"/>
  <c r="E346" i="7" s="1"/>
  <c r="F346" i="7" s="1"/>
  <c r="G346" i="7" s="1"/>
  <c r="D345" i="7"/>
  <c r="E345" i="7" s="1"/>
  <c r="F345" i="7" s="1"/>
  <c r="G345" i="7" s="1"/>
  <c r="D344" i="7"/>
  <c r="E344" i="7" s="1"/>
  <c r="F344" i="7" s="1"/>
  <c r="G344" i="7" s="1"/>
  <c r="D343" i="7"/>
  <c r="E343" i="7" s="1"/>
  <c r="F343" i="7" s="1"/>
  <c r="G343" i="7" s="1"/>
  <c r="D342" i="7"/>
  <c r="E342" i="7" s="1"/>
  <c r="F342" i="7" s="1"/>
  <c r="G342" i="7" s="1"/>
  <c r="D341" i="7"/>
  <c r="E341" i="7" s="1"/>
  <c r="F341" i="7" s="1"/>
  <c r="G341" i="7" s="1"/>
  <c r="D340" i="7"/>
  <c r="E340" i="7" s="1"/>
  <c r="F340" i="7" s="1"/>
  <c r="G340" i="7" s="1"/>
  <c r="D339" i="7"/>
  <c r="E339" i="7" s="1"/>
  <c r="F339" i="7" s="1"/>
  <c r="G339" i="7" s="1"/>
  <c r="D338" i="7"/>
  <c r="E338" i="7" s="1"/>
  <c r="F338" i="7" s="1"/>
  <c r="G338" i="7" s="1"/>
  <c r="D337" i="7"/>
  <c r="E337" i="7" s="1"/>
  <c r="F337" i="7" s="1"/>
  <c r="G337" i="7" s="1"/>
  <c r="D336" i="7"/>
  <c r="E336" i="7" s="1"/>
  <c r="F336" i="7" s="1"/>
  <c r="G336" i="7" s="1"/>
  <c r="D335" i="7"/>
  <c r="E335" i="7" s="1"/>
  <c r="F335" i="7" s="1"/>
  <c r="G335" i="7" s="1"/>
  <c r="D334" i="7"/>
  <c r="E334" i="7" s="1"/>
  <c r="F334" i="7" s="1"/>
  <c r="G334" i="7" s="1"/>
  <c r="D333" i="7"/>
  <c r="E333" i="7" s="1"/>
  <c r="F333" i="7" s="1"/>
  <c r="G333" i="7" s="1"/>
  <c r="D332" i="7"/>
  <c r="E332" i="7" s="1"/>
  <c r="F332" i="7" s="1"/>
  <c r="G332" i="7" s="1"/>
  <c r="D331" i="7"/>
  <c r="E331" i="7" s="1"/>
  <c r="F331" i="7" s="1"/>
  <c r="G331" i="7" s="1"/>
  <c r="D330" i="7"/>
  <c r="E330" i="7" s="1"/>
  <c r="F330" i="7" s="1"/>
  <c r="G330" i="7" s="1"/>
  <c r="D329" i="7"/>
  <c r="E329" i="7" s="1"/>
  <c r="F329" i="7" s="1"/>
  <c r="G329" i="7" s="1"/>
  <c r="D328" i="7"/>
  <c r="E328" i="7" s="1"/>
  <c r="F328" i="7" s="1"/>
  <c r="G328" i="7" s="1"/>
  <c r="D327" i="7"/>
  <c r="E327" i="7" s="1"/>
  <c r="F327" i="7" s="1"/>
  <c r="G327" i="7" s="1"/>
  <c r="D326" i="7"/>
  <c r="E326" i="7" s="1"/>
  <c r="F326" i="7" s="1"/>
  <c r="G326" i="7" s="1"/>
  <c r="D325" i="7"/>
  <c r="E325" i="7" s="1"/>
  <c r="F325" i="7" s="1"/>
  <c r="G325" i="7" s="1"/>
  <c r="D324" i="7"/>
  <c r="E324" i="7" s="1"/>
  <c r="F324" i="7" s="1"/>
  <c r="G324" i="7" s="1"/>
  <c r="D323" i="7"/>
  <c r="E323" i="7" s="1"/>
  <c r="F323" i="7" s="1"/>
  <c r="G323" i="7" s="1"/>
  <c r="D322" i="7"/>
  <c r="E322" i="7" s="1"/>
  <c r="F322" i="7" s="1"/>
  <c r="G322" i="7" s="1"/>
  <c r="D321" i="7"/>
  <c r="E321" i="7" s="1"/>
  <c r="F321" i="7" s="1"/>
  <c r="G321" i="7" s="1"/>
  <c r="D320" i="7"/>
  <c r="E320" i="7" s="1"/>
  <c r="F320" i="7" s="1"/>
  <c r="G320" i="7" s="1"/>
  <c r="D319" i="7"/>
  <c r="E319" i="7" s="1"/>
  <c r="F319" i="7" s="1"/>
  <c r="G319" i="7" s="1"/>
  <c r="D318" i="7"/>
  <c r="E318" i="7" s="1"/>
  <c r="F318" i="7" s="1"/>
  <c r="G318" i="7" s="1"/>
  <c r="D317" i="7"/>
  <c r="E317" i="7" s="1"/>
  <c r="F317" i="7" s="1"/>
  <c r="G317" i="7" s="1"/>
  <c r="D316" i="7"/>
  <c r="E316" i="7" s="1"/>
  <c r="F316" i="7" s="1"/>
  <c r="G316" i="7" s="1"/>
  <c r="D315" i="7"/>
  <c r="E315" i="7" s="1"/>
  <c r="F315" i="7" s="1"/>
  <c r="G315" i="7" s="1"/>
  <c r="D314" i="7"/>
  <c r="E314" i="7" s="1"/>
  <c r="F314" i="7" s="1"/>
  <c r="G314" i="7" s="1"/>
  <c r="D313" i="7"/>
  <c r="E313" i="7" s="1"/>
  <c r="F313" i="7" s="1"/>
  <c r="G313" i="7" s="1"/>
  <c r="D312" i="7"/>
  <c r="E312" i="7" s="1"/>
  <c r="F312" i="7" s="1"/>
  <c r="G312" i="7" s="1"/>
  <c r="D311" i="7"/>
  <c r="E311" i="7" s="1"/>
  <c r="F311" i="7" s="1"/>
  <c r="G311" i="7" s="1"/>
  <c r="D310" i="7"/>
  <c r="E310" i="7" s="1"/>
  <c r="F310" i="7" s="1"/>
  <c r="G310" i="7" s="1"/>
  <c r="D309" i="7"/>
  <c r="E309" i="7" s="1"/>
  <c r="F309" i="7" s="1"/>
  <c r="G309" i="7" s="1"/>
  <c r="D308" i="7"/>
  <c r="E308" i="7" s="1"/>
  <c r="F308" i="7" s="1"/>
  <c r="G308" i="7" s="1"/>
  <c r="D307" i="7"/>
  <c r="E307" i="7" s="1"/>
  <c r="F307" i="7" s="1"/>
  <c r="G307" i="7" s="1"/>
  <c r="D306" i="7"/>
  <c r="E306" i="7" s="1"/>
  <c r="F306" i="7" s="1"/>
  <c r="G306" i="7" s="1"/>
  <c r="D305" i="7"/>
  <c r="E305" i="7" s="1"/>
  <c r="F305" i="7" s="1"/>
  <c r="G305" i="7" s="1"/>
  <c r="D304" i="7"/>
  <c r="E304" i="7" s="1"/>
  <c r="F304" i="7" s="1"/>
  <c r="G304" i="7" s="1"/>
  <c r="D303" i="7"/>
  <c r="E303" i="7" s="1"/>
  <c r="F303" i="7" s="1"/>
  <c r="G303" i="7" s="1"/>
  <c r="D302" i="7"/>
  <c r="E302" i="7" s="1"/>
  <c r="F302" i="7" s="1"/>
  <c r="G302" i="7" s="1"/>
  <c r="D301" i="7"/>
  <c r="E301" i="7" s="1"/>
  <c r="F301" i="7" s="1"/>
  <c r="G301" i="7" s="1"/>
  <c r="D300" i="7"/>
  <c r="E300" i="7" s="1"/>
  <c r="F300" i="7" s="1"/>
  <c r="G300" i="7" s="1"/>
  <c r="D299" i="7"/>
  <c r="E299" i="7" s="1"/>
  <c r="F299" i="7" s="1"/>
  <c r="G299" i="7" s="1"/>
  <c r="D298" i="7"/>
  <c r="E298" i="7" s="1"/>
  <c r="F298" i="7" s="1"/>
  <c r="G298" i="7" s="1"/>
  <c r="D297" i="7"/>
  <c r="E297" i="7" s="1"/>
  <c r="F297" i="7" s="1"/>
  <c r="G297" i="7" s="1"/>
  <c r="D296" i="7"/>
  <c r="E296" i="7" s="1"/>
  <c r="F296" i="7" s="1"/>
  <c r="G296" i="7" s="1"/>
  <c r="D295" i="7"/>
  <c r="E295" i="7" s="1"/>
  <c r="F295" i="7" s="1"/>
  <c r="G295" i="7" s="1"/>
  <c r="D294" i="7"/>
  <c r="E294" i="7" s="1"/>
  <c r="F294" i="7" s="1"/>
  <c r="G294" i="7" s="1"/>
  <c r="D293" i="7"/>
  <c r="E293" i="7" s="1"/>
  <c r="F293" i="7" s="1"/>
  <c r="G293" i="7" s="1"/>
  <c r="D292" i="7"/>
  <c r="E292" i="7" s="1"/>
  <c r="F292" i="7" s="1"/>
  <c r="G292" i="7" s="1"/>
  <c r="D291" i="7"/>
  <c r="E291" i="7" s="1"/>
  <c r="F291" i="7" s="1"/>
  <c r="G291" i="7" s="1"/>
  <c r="D290" i="7"/>
  <c r="E290" i="7" s="1"/>
  <c r="F290" i="7" s="1"/>
  <c r="G290" i="7" s="1"/>
  <c r="D289" i="7"/>
  <c r="E289" i="7" s="1"/>
  <c r="F289" i="7" s="1"/>
  <c r="G289" i="7" s="1"/>
  <c r="D288" i="7"/>
  <c r="E288" i="7" s="1"/>
  <c r="F288" i="7" s="1"/>
  <c r="G288" i="7" s="1"/>
  <c r="D287" i="7"/>
  <c r="E287" i="7" s="1"/>
  <c r="F287" i="7" s="1"/>
  <c r="G287" i="7" s="1"/>
  <c r="D286" i="7"/>
  <c r="E286" i="7" s="1"/>
  <c r="F286" i="7" s="1"/>
  <c r="G286" i="7" s="1"/>
  <c r="D285" i="7"/>
  <c r="E285" i="7" s="1"/>
  <c r="F285" i="7" s="1"/>
  <c r="G285" i="7" s="1"/>
  <c r="D284" i="7"/>
  <c r="E284" i="7" s="1"/>
  <c r="F284" i="7" s="1"/>
  <c r="G284" i="7" s="1"/>
  <c r="D283" i="7"/>
  <c r="E283" i="7" s="1"/>
  <c r="F283" i="7" s="1"/>
  <c r="G283" i="7" s="1"/>
  <c r="D282" i="7"/>
  <c r="E282" i="7" s="1"/>
  <c r="F282" i="7" s="1"/>
  <c r="G282" i="7" s="1"/>
  <c r="D281" i="7"/>
  <c r="E281" i="7" s="1"/>
  <c r="F281" i="7" s="1"/>
  <c r="G281" i="7" s="1"/>
  <c r="D280" i="7"/>
  <c r="E280" i="7" s="1"/>
  <c r="F280" i="7" s="1"/>
  <c r="G280" i="7" s="1"/>
  <c r="D279" i="7"/>
  <c r="E279" i="7" s="1"/>
  <c r="F279" i="7" s="1"/>
  <c r="G279" i="7" s="1"/>
  <c r="D278" i="7"/>
  <c r="E278" i="7" s="1"/>
  <c r="F278" i="7" s="1"/>
  <c r="G278" i="7" s="1"/>
  <c r="D277" i="7"/>
  <c r="E277" i="7" s="1"/>
  <c r="F277" i="7" s="1"/>
  <c r="G277" i="7" s="1"/>
  <c r="D276" i="7"/>
  <c r="E276" i="7" s="1"/>
  <c r="F276" i="7" s="1"/>
  <c r="G276" i="7" s="1"/>
  <c r="D275" i="7"/>
  <c r="E275" i="7" s="1"/>
  <c r="F275" i="7" s="1"/>
  <c r="G275" i="7" s="1"/>
  <c r="D274" i="7"/>
  <c r="E274" i="7" s="1"/>
  <c r="F274" i="7" s="1"/>
  <c r="G274" i="7" s="1"/>
  <c r="D273" i="7"/>
  <c r="E273" i="7" s="1"/>
  <c r="F273" i="7" s="1"/>
  <c r="G273" i="7" s="1"/>
  <c r="D272" i="7"/>
  <c r="E272" i="7" s="1"/>
  <c r="F272" i="7" s="1"/>
  <c r="G272" i="7" s="1"/>
  <c r="D271" i="7"/>
  <c r="E271" i="7" s="1"/>
  <c r="F271" i="7" s="1"/>
  <c r="G271" i="7" s="1"/>
  <c r="D270" i="7"/>
  <c r="E270" i="7" s="1"/>
  <c r="F270" i="7" s="1"/>
  <c r="G270" i="7" s="1"/>
  <c r="D269" i="7"/>
  <c r="E269" i="7" s="1"/>
  <c r="F269" i="7" s="1"/>
  <c r="G269" i="7" s="1"/>
  <c r="D268" i="7"/>
  <c r="E268" i="7" s="1"/>
  <c r="F268" i="7" s="1"/>
  <c r="G268" i="7" s="1"/>
  <c r="D267" i="7"/>
  <c r="E267" i="7" s="1"/>
  <c r="F267" i="7" s="1"/>
  <c r="G267" i="7" s="1"/>
  <c r="D266" i="7"/>
  <c r="E266" i="7" s="1"/>
  <c r="F266" i="7" s="1"/>
  <c r="G266" i="7" s="1"/>
  <c r="D265" i="7"/>
  <c r="E265" i="7" s="1"/>
  <c r="F265" i="7" s="1"/>
  <c r="G265" i="7" s="1"/>
  <c r="D264" i="7"/>
  <c r="E264" i="7" s="1"/>
  <c r="F264" i="7" s="1"/>
  <c r="G264" i="7" s="1"/>
  <c r="D263" i="7"/>
  <c r="E263" i="7" s="1"/>
  <c r="F263" i="7" s="1"/>
  <c r="G263" i="7" s="1"/>
  <c r="D262" i="7"/>
  <c r="E262" i="7" s="1"/>
  <c r="F262" i="7" s="1"/>
  <c r="G262" i="7" s="1"/>
  <c r="D261" i="7"/>
  <c r="E261" i="7" s="1"/>
  <c r="F261" i="7" s="1"/>
  <c r="G261" i="7" s="1"/>
  <c r="D260" i="7"/>
  <c r="E260" i="7" s="1"/>
  <c r="F260" i="7" s="1"/>
  <c r="G260" i="7" s="1"/>
  <c r="D259" i="7"/>
  <c r="E259" i="7" s="1"/>
  <c r="F259" i="7" s="1"/>
  <c r="G259" i="7" s="1"/>
  <c r="D258" i="7"/>
  <c r="E258" i="7" s="1"/>
  <c r="F258" i="7" s="1"/>
  <c r="G258" i="7" s="1"/>
  <c r="D257" i="7"/>
  <c r="E257" i="7" s="1"/>
  <c r="F257" i="7" s="1"/>
  <c r="G257" i="7" s="1"/>
  <c r="D256" i="7"/>
  <c r="E256" i="7" s="1"/>
  <c r="F256" i="7" s="1"/>
  <c r="G256" i="7" s="1"/>
  <c r="D255" i="7"/>
  <c r="E255" i="7" s="1"/>
  <c r="F255" i="7" s="1"/>
  <c r="G255" i="7" s="1"/>
  <c r="D254" i="7"/>
  <c r="E254" i="7" s="1"/>
  <c r="F254" i="7" s="1"/>
  <c r="G254" i="7" s="1"/>
  <c r="D253" i="7"/>
  <c r="E253" i="7" s="1"/>
  <c r="F253" i="7" s="1"/>
  <c r="G253" i="7" s="1"/>
  <c r="D252" i="7"/>
  <c r="E252" i="7" s="1"/>
  <c r="F252" i="7" s="1"/>
  <c r="G252" i="7" s="1"/>
  <c r="D251" i="7"/>
  <c r="E251" i="7" s="1"/>
  <c r="F251" i="7" s="1"/>
  <c r="G251" i="7" s="1"/>
  <c r="D250" i="7"/>
  <c r="E250" i="7" s="1"/>
  <c r="F250" i="7" s="1"/>
  <c r="G250" i="7" s="1"/>
  <c r="D249" i="7"/>
  <c r="E249" i="7" s="1"/>
  <c r="F249" i="7" s="1"/>
  <c r="G249" i="7" s="1"/>
  <c r="D248" i="7"/>
  <c r="E248" i="7" s="1"/>
  <c r="F248" i="7" s="1"/>
  <c r="G248" i="7" s="1"/>
  <c r="D247" i="7"/>
  <c r="E247" i="7" s="1"/>
  <c r="F247" i="7" s="1"/>
  <c r="G247" i="7" s="1"/>
  <c r="D246" i="7"/>
  <c r="E246" i="7" s="1"/>
  <c r="F246" i="7" s="1"/>
  <c r="G246" i="7" s="1"/>
  <c r="D245" i="7"/>
  <c r="E245" i="7" s="1"/>
  <c r="F245" i="7" s="1"/>
  <c r="G245" i="7" s="1"/>
  <c r="D244" i="7"/>
  <c r="E244" i="7" s="1"/>
  <c r="F244" i="7" s="1"/>
  <c r="G244" i="7" s="1"/>
  <c r="D243" i="7"/>
  <c r="E243" i="7" s="1"/>
  <c r="F243" i="7" s="1"/>
  <c r="G243" i="7" s="1"/>
  <c r="D242" i="7"/>
  <c r="E242" i="7" s="1"/>
  <c r="F242" i="7" s="1"/>
  <c r="G242" i="7" s="1"/>
  <c r="D241" i="7"/>
  <c r="E241" i="7" s="1"/>
  <c r="F241" i="7" s="1"/>
  <c r="G241" i="7" s="1"/>
  <c r="D240" i="7"/>
  <c r="E240" i="7" s="1"/>
  <c r="F240" i="7" s="1"/>
  <c r="G240" i="7" s="1"/>
  <c r="D239" i="7"/>
  <c r="E239" i="7" s="1"/>
  <c r="F239" i="7" s="1"/>
  <c r="G239" i="7" s="1"/>
  <c r="D238" i="7"/>
  <c r="E238" i="7" s="1"/>
  <c r="F238" i="7" s="1"/>
  <c r="G238" i="7" s="1"/>
  <c r="D237" i="7"/>
  <c r="E237" i="7" s="1"/>
  <c r="F237" i="7" s="1"/>
  <c r="G237" i="7" s="1"/>
  <c r="D236" i="7"/>
  <c r="E236" i="7" s="1"/>
  <c r="F236" i="7" s="1"/>
  <c r="G236" i="7" s="1"/>
  <c r="D235" i="7"/>
  <c r="E235" i="7" s="1"/>
  <c r="F235" i="7" s="1"/>
  <c r="G235" i="7" s="1"/>
  <c r="D234" i="7"/>
  <c r="E234" i="7" s="1"/>
  <c r="F234" i="7" s="1"/>
  <c r="G234" i="7" s="1"/>
  <c r="D233" i="7"/>
  <c r="E233" i="7" s="1"/>
  <c r="F233" i="7" s="1"/>
  <c r="G233" i="7" s="1"/>
  <c r="D232" i="7"/>
  <c r="E232" i="7" s="1"/>
  <c r="F232" i="7" s="1"/>
  <c r="G232" i="7" s="1"/>
  <c r="D231" i="7"/>
  <c r="E231" i="7" s="1"/>
  <c r="F231" i="7" s="1"/>
  <c r="G231" i="7" s="1"/>
  <c r="D230" i="7"/>
  <c r="E230" i="7" s="1"/>
  <c r="F230" i="7" s="1"/>
  <c r="G230" i="7" s="1"/>
  <c r="D229" i="7"/>
  <c r="E229" i="7" s="1"/>
  <c r="F229" i="7" s="1"/>
  <c r="G229" i="7" s="1"/>
  <c r="D228" i="7"/>
  <c r="E228" i="7" s="1"/>
  <c r="F228" i="7" s="1"/>
  <c r="G228" i="7" s="1"/>
  <c r="D227" i="7"/>
  <c r="E227" i="7" s="1"/>
  <c r="F227" i="7" s="1"/>
  <c r="G227" i="7" s="1"/>
  <c r="D226" i="7"/>
  <c r="E226" i="7" s="1"/>
  <c r="F226" i="7" s="1"/>
  <c r="G226" i="7" s="1"/>
  <c r="D225" i="7"/>
  <c r="E225" i="7" s="1"/>
  <c r="F225" i="7" s="1"/>
  <c r="G225" i="7" s="1"/>
  <c r="D224" i="7"/>
  <c r="E224" i="7" s="1"/>
  <c r="F224" i="7" s="1"/>
  <c r="G224" i="7" s="1"/>
  <c r="D223" i="7"/>
  <c r="E223" i="7" s="1"/>
  <c r="F223" i="7" s="1"/>
  <c r="G223" i="7" s="1"/>
  <c r="D222" i="7"/>
  <c r="E222" i="7" s="1"/>
  <c r="F222" i="7" s="1"/>
  <c r="G222" i="7" s="1"/>
  <c r="D221" i="7"/>
  <c r="E221" i="7" s="1"/>
  <c r="F221" i="7" s="1"/>
  <c r="G221" i="7" s="1"/>
  <c r="D220" i="7"/>
  <c r="E220" i="7" s="1"/>
  <c r="F220" i="7" s="1"/>
  <c r="G220" i="7" s="1"/>
  <c r="D219" i="7"/>
  <c r="E219" i="7" s="1"/>
  <c r="F219" i="7" s="1"/>
  <c r="G219" i="7" s="1"/>
  <c r="D218" i="7"/>
  <c r="E218" i="7" s="1"/>
  <c r="F218" i="7" s="1"/>
  <c r="G218" i="7" s="1"/>
  <c r="D217" i="7"/>
  <c r="E217" i="7" s="1"/>
  <c r="F217" i="7" s="1"/>
  <c r="G217" i="7" s="1"/>
  <c r="D216" i="7"/>
  <c r="E216" i="7" s="1"/>
  <c r="F216" i="7" s="1"/>
  <c r="G216" i="7" s="1"/>
  <c r="D215" i="7"/>
  <c r="E215" i="7" s="1"/>
  <c r="F215" i="7" s="1"/>
  <c r="G215" i="7" s="1"/>
  <c r="D214" i="7"/>
  <c r="E214" i="7" s="1"/>
  <c r="F214" i="7" s="1"/>
  <c r="G214" i="7" s="1"/>
  <c r="D213" i="7"/>
  <c r="E213" i="7" s="1"/>
  <c r="F213" i="7" s="1"/>
  <c r="G213" i="7" s="1"/>
  <c r="D212" i="7"/>
  <c r="E212" i="7" s="1"/>
  <c r="F212" i="7" s="1"/>
  <c r="G212" i="7" s="1"/>
  <c r="D211" i="7"/>
  <c r="E211" i="7" s="1"/>
  <c r="F211" i="7" s="1"/>
  <c r="G211" i="7" s="1"/>
  <c r="D210" i="7"/>
  <c r="E210" i="7" s="1"/>
  <c r="F210" i="7" s="1"/>
  <c r="G210" i="7" s="1"/>
  <c r="D209" i="7"/>
  <c r="E209" i="7" s="1"/>
  <c r="F209" i="7" s="1"/>
  <c r="G209" i="7" s="1"/>
  <c r="D208" i="7"/>
  <c r="E208" i="7" s="1"/>
  <c r="F208" i="7" s="1"/>
  <c r="G208" i="7" s="1"/>
  <c r="D207" i="7"/>
  <c r="E207" i="7" s="1"/>
  <c r="F207" i="7" s="1"/>
  <c r="G207" i="7" s="1"/>
  <c r="D206" i="7"/>
  <c r="E206" i="7" s="1"/>
  <c r="F206" i="7" s="1"/>
  <c r="G206" i="7" s="1"/>
  <c r="D205" i="7"/>
  <c r="E205" i="7" s="1"/>
  <c r="F205" i="7" s="1"/>
  <c r="G205" i="7" s="1"/>
  <c r="D204" i="7"/>
  <c r="E204" i="7" s="1"/>
  <c r="F204" i="7" s="1"/>
  <c r="G204" i="7" s="1"/>
  <c r="D203" i="7"/>
  <c r="E203" i="7" s="1"/>
  <c r="F203" i="7" s="1"/>
  <c r="G203" i="7" s="1"/>
  <c r="D202" i="7"/>
  <c r="E202" i="7" s="1"/>
  <c r="F202" i="7" s="1"/>
  <c r="G202" i="7" s="1"/>
  <c r="D201" i="7"/>
  <c r="E201" i="7" s="1"/>
  <c r="F201" i="7" s="1"/>
  <c r="G201" i="7" s="1"/>
  <c r="D200" i="7"/>
  <c r="E200" i="7" s="1"/>
  <c r="F200" i="7" s="1"/>
  <c r="G200" i="7" s="1"/>
  <c r="D199" i="7"/>
  <c r="E199" i="7" s="1"/>
  <c r="F199" i="7" s="1"/>
  <c r="G199" i="7" s="1"/>
  <c r="D198" i="7"/>
  <c r="E198" i="7" s="1"/>
  <c r="F198" i="7" s="1"/>
  <c r="G198" i="7" s="1"/>
  <c r="D197" i="7"/>
  <c r="E197" i="7" s="1"/>
  <c r="F197" i="7" s="1"/>
  <c r="G197" i="7" s="1"/>
  <c r="D196" i="7"/>
  <c r="E196" i="7" s="1"/>
  <c r="F196" i="7" s="1"/>
  <c r="G196" i="7" s="1"/>
  <c r="D195" i="7"/>
  <c r="E195" i="7" s="1"/>
  <c r="F195" i="7" s="1"/>
  <c r="G195" i="7" s="1"/>
  <c r="D194" i="7"/>
  <c r="E194" i="7" s="1"/>
  <c r="F194" i="7" s="1"/>
  <c r="G194" i="7" s="1"/>
  <c r="D193" i="7"/>
  <c r="E193" i="7" s="1"/>
  <c r="F193" i="7" s="1"/>
  <c r="G193" i="7" s="1"/>
  <c r="D192" i="7"/>
  <c r="E192" i="7" s="1"/>
  <c r="F192" i="7" s="1"/>
  <c r="G192" i="7" s="1"/>
  <c r="D191" i="7"/>
  <c r="E191" i="7" s="1"/>
  <c r="F191" i="7" s="1"/>
  <c r="G191" i="7" s="1"/>
  <c r="D190" i="7"/>
  <c r="E190" i="7" s="1"/>
  <c r="F190" i="7" s="1"/>
  <c r="G190" i="7" s="1"/>
  <c r="D189" i="7"/>
  <c r="E189" i="7" s="1"/>
  <c r="F189" i="7" s="1"/>
  <c r="G189" i="7" s="1"/>
  <c r="D188" i="7"/>
  <c r="E188" i="7" s="1"/>
  <c r="F188" i="7" s="1"/>
  <c r="G188" i="7" s="1"/>
  <c r="D187" i="7"/>
  <c r="E187" i="7" s="1"/>
  <c r="F187" i="7" s="1"/>
  <c r="G187" i="7" s="1"/>
  <c r="D186" i="7"/>
  <c r="E186" i="7" s="1"/>
  <c r="F186" i="7" s="1"/>
  <c r="G186" i="7" s="1"/>
  <c r="D185" i="7"/>
  <c r="E185" i="7" s="1"/>
  <c r="F185" i="7" s="1"/>
  <c r="G185" i="7" s="1"/>
  <c r="D184" i="7"/>
  <c r="E184" i="7" s="1"/>
  <c r="F184" i="7" s="1"/>
  <c r="G184" i="7" s="1"/>
  <c r="D183" i="7"/>
  <c r="E183" i="7" s="1"/>
  <c r="F183" i="7" s="1"/>
  <c r="G183" i="7" s="1"/>
  <c r="D182" i="7"/>
  <c r="E182" i="7" s="1"/>
  <c r="F182" i="7" s="1"/>
  <c r="G182" i="7" s="1"/>
  <c r="D181" i="7"/>
  <c r="E181" i="7" s="1"/>
  <c r="F181" i="7" s="1"/>
  <c r="G181" i="7" s="1"/>
  <c r="D180" i="7"/>
  <c r="E180" i="7" s="1"/>
  <c r="F180" i="7" s="1"/>
  <c r="G180" i="7" s="1"/>
  <c r="D179" i="7"/>
  <c r="E179" i="7" s="1"/>
  <c r="F179" i="7" s="1"/>
  <c r="G179" i="7" s="1"/>
  <c r="D178" i="7"/>
  <c r="E178" i="7" s="1"/>
  <c r="F178" i="7" s="1"/>
  <c r="G178" i="7" s="1"/>
  <c r="D177" i="7"/>
  <c r="E177" i="7" s="1"/>
  <c r="F177" i="7" s="1"/>
  <c r="G177" i="7" s="1"/>
  <c r="D176" i="7"/>
  <c r="E176" i="7" s="1"/>
  <c r="F176" i="7" s="1"/>
  <c r="G176" i="7" s="1"/>
  <c r="D175" i="7"/>
  <c r="E175" i="7" s="1"/>
  <c r="F175" i="7" s="1"/>
  <c r="G175" i="7" s="1"/>
  <c r="D174" i="7"/>
  <c r="E174" i="7" s="1"/>
  <c r="F174" i="7" s="1"/>
  <c r="G174" i="7" s="1"/>
  <c r="D173" i="7"/>
  <c r="E173" i="7" s="1"/>
  <c r="F173" i="7" s="1"/>
  <c r="G173" i="7" s="1"/>
  <c r="D172" i="7"/>
  <c r="E172" i="7" s="1"/>
  <c r="F172" i="7" s="1"/>
  <c r="G172" i="7" s="1"/>
  <c r="D171" i="7"/>
  <c r="E171" i="7" s="1"/>
  <c r="F171" i="7" s="1"/>
  <c r="G171" i="7" s="1"/>
  <c r="D170" i="7"/>
  <c r="E170" i="7" s="1"/>
  <c r="F170" i="7" s="1"/>
  <c r="G170" i="7" s="1"/>
  <c r="D169" i="7"/>
  <c r="E169" i="7" s="1"/>
  <c r="F169" i="7" s="1"/>
  <c r="G169" i="7" s="1"/>
  <c r="D168" i="7"/>
  <c r="E168" i="7" s="1"/>
  <c r="F168" i="7" s="1"/>
  <c r="G168" i="7" s="1"/>
  <c r="D167" i="7"/>
  <c r="E167" i="7" s="1"/>
  <c r="F167" i="7" s="1"/>
  <c r="G167" i="7" s="1"/>
  <c r="D166" i="7"/>
  <c r="E166" i="7" s="1"/>
  <c r="F166" i="7" s="1"/>
  <c r="G166" i="7" s="1"/>
  <c r="D165" i="7"/>
  <c r="E165" i="7" s="1"/>
  <c r="F165" i="7" s="1"/>
  <c r="G165" i="7" s="1"/>
  <c r="D164" i="7"/>
  <c r="E164" i="7" s="1"/>
  <c r="F164" i="7" s="1"/>
  <c r="G164" i="7" s="1"/>
  <c r="D163" i="7"/>
  <c r="E163" i="7" s="1"/>
  <c r="F163" i="7" s="1"/>
  <c r="G163" i="7" s="1"/>
  <c r="D162" i="7"/>
  <c r="E162" i="7" s="1"/>
  <c r="F162" i="7" s="1"/>
  <c r="G162" i="7" s="1"/>
  <c r="D161" i="7"/>
  <c r="E161" i="7" s="1"/>
  <c r="F161" i="7" s="1"/>
  <c r="G161" i="7" s="1"/>
  <c r="D160" i="7"/>
  <c r="E160" i="7" s="1"/>
  <c r="F160" i="7" s="1"/>
  <c r="G160" i="7" s="1"/>
  <c r="D159" i="7"/>
  <c r="E159" i="7" s="1"/>
  <c r="F159" i="7" s="1"/>
  <c r="G159" i="7" s="1"/>
  <c r="D158" i="7"/>
  <c r="E158" i="7" s="1"/>
  <c r="F158" i="7" s="1"/>
  <c r="G158" i="7" s="1"/>
  <c r="D157" i="7"/>
  <c r="E157" i="7" s="1"/>
  <c r="F157" i="7" s="1"/>
  <c r="G157" i="7" s="1"/>
  <c r="D156" i="7"/>
  <c r="E156" i="7" s="1"/>
  <c r="F156" i="7" s="1"/>
  <c r="G156" i="7" s="1"/>
  <c r="D155" i="7"/>
  <c r="E155" i="7" s="1"/>
  <c r="F155" i="7" s="1"/>
  <c r="G155" i="7" s="1"/>
  <c r="D154" i="7"/>
  <c r="E154" i="7" s="1"/>
  <c r="F154" i="7" s="1"/>
  <c r="G154" i="7" s="1"/>
  <c r="D153" i="7"/>
  <c r="E153" i="7" s="1"/>
  <c r="F153" i="7" s="1"/>
  <c r="G153" i="7" s="1"/>
  <c r="D152" i="7"/>
  <c r="E152" i="7" s="1"/>
  <c r="F152" i="7" s="1"/>
  <c r="G152" i="7" s="1"/>
  <c r="D151" i="7"/>
  <c r="E151" i="7" s="1"/>
  <c r="F151" i="7" s="1"/>
  <c r="G151" i="7" s="1"/>
  <c r="D150" i="7"/>
  <c r="E150" i="7" s="1"/>
  <c r="F150" i="7" s="1"/>
  <c r="G150" i="7" s="1"/>
  <c r="D149" i="7"/>
  <c r="E149" i="7" s="1"/>
  <c r="F149" i="7" s="1"/>
  <c r="G149" i="7" s="1"/>
  <c r="D148" i="7"/>
  <c r="E148" i="7" s="1"/>
  <c r="F148" i="7" s="1"/>
  <c r="G148" i="7" s="1"/>
  <c r="D147" i="7"/>
  <c r="E147" i="7" s="1"/>
  <c r="F147" i="7" s="1"/>
  <c r="G147" i="7" s="1"/>
  <c r="D146" i="7"/>
  <c r="E146" i="7" s="1"/>
  <c r="F146" i="7" s="1"/>
  <c r="G146" i="7" s="1"/>
  <c r="D145" i="7"/>
  <c r="E145" i="7" s="1"/>
  <c r="F145" i="7" s="1"/>
  <c r="G145" i="7" s="1"/>
  <c r="D144" i="7"/>
  <c r="E144" i="7" s="1"/>
  <c r="F144" i="7" s="1"/>
  <c r="G144" i="7" s="1"/>
  <c r="D143" i="7"/>
  <c r="E143" i="7" s="1"/>
  <c r="F143" i="7" s="1"/>
  <c r="G143" i="7" s="1"/>
  <c r="D142" i="7"/>
  <c r="E142" i="7" s="1"/>
  <c r="F142" i="7" s="1"/>
  <c r="G142" i="7" s="1"/>
  <c r="D141" i="7"/>
  <c r="E141" i="7" s="1"/>
  <c r="F141" i="7" s="1"/>
  <c r="G141" i="7" s="1"/>
  <c r="D140" i="7"/>
  <c r="E140" i="7" s="1"/>
  <c r="F140" i="7" s="1"/>
  <c r="G140" i="7" s="1"/>
  <c r="D139" i="7"/>
  <c r="E139" i="7" s="1"/>
  <c r="F139" i="7" s="1"/>
  <c r="G139" i="7" s="1"/>
  <c r="D138" i="7"/>
  <c r="E138" i="7" s="1"/>
  <c r="F138" i="7" s="1"/>
  <c r="G138" i="7" s="1"/>
  <c r="D137" i="7"/>
  <c r="E137" i="7" s="1"/>
  <c r="F137" i="7" s="1"/>
  <c r="G137" i="7" s="1"/>
  <c r="D136" i="7"/>
  <c r="E136" i="7" s="1"/>
  <c r="F136" i="7" s="1"/>
  <c r="G136" i="7" s="1"/>
  <c r="D135" i="7"/>
  <c r="E135" i="7" s="1"/>
  <c r="F135" i="7" s="1"/>
  <c r="G135" i="7" s="1"/>
  <c r="D134" i="7"/>
  <c r="E134" i="7" s="1"/>
  <c r="F134" i="7" s="1"/>
  <c r="G134" i="7" s="1"/>
  <c r="D133" i="7"/>
  <c r="E133" i="7" s="1"/>
  <c r="F133" i="7" s="1"/>
  <c r="G133" i="7" s="1"/>
  <c r="D132" i="7"/>
  <c r="E132" i="7" s="1"/>
  <c r="F132" i="7" s="1"/>
  <c r="G132" i="7" s="1"/>
  <c r="D131" i="7"/>
  <c r="E131" i="7" s="1"/>
  <c r="F131" i="7" s="1"/>
  <c r="G131" i="7" s="1"/>
  <c r="D130" i="7"/>
  <c r="E130" i="7" s="1"/>
  <c r="F130" i="7" s="1"/>
  <c r="G130" i="7" s="1"/>
  <c r="D129" i="7"/>
  <c r="E129" i="7" s="1"/>
  <c r="F129" i="7" s="1"/>
  <c r="G129" i="7" s="1"/>
  <c r="D128" i="7"/>
  <c r="E128" i="7" s="1"/>
  <c r="F128" i="7" s="1"/>
  <c r="G128" i="7" s="1"/>
  <c r="D127" i="7"/>
  <c r="E127" i="7" s="1"/>
  <c r="F127" i="7" s="1"/>
  <c r="G127" i="7" s="1"/>
  <c r="D126" i="7"/>
  <c r="E126" i="7" s="1"/>
  <c r="F126" i="7" s="1"/>
  <c r="G126" i="7" s="1"/>
  <c r="D125" i="7"/>
  <c r="E125" i="7" s="1"/>
  <c r="F125" i="7" s="1"/>
  <c r="G125" i="7" s="1"/>
  <c r="D124" i="7"/>
  <c r="E124" i="7" s="1"/>
  <c r="F124" i="7" s="1"/>
  <c r="G124" i="7" s="1"/>
  <c r="D123" i="7"/>
  <c r="E123" i="7" s="1"/>
  <c r="F123" i="7" s="1"/>
  <c r="G123" i="7" s="1"/>
  <c r="D122" i="7"/>
  <c r="E122" i="7" s="1"/>
  <c r="F122" i="7" s="1"/>
  <c r="G122" i="7" s="1"/>
  <c r="D121" i="7"/>
  <c r="E121" i="7" s="1"/>
  <c r="F121" i="7" s="1"/>
  <c r="G121" i="7" s="1"/>
  <c r="D120" i="7"/>
  <c r="E120" i="7" s="1"/>
  <c r="F120" i="7" s="1"/>
  <c r="G120" i="7" s="1"/>
  <c r="D119" i="7"/>
  <c r="E119" i="7" s="1"/>
  <c r="F119" i="7" s="1"/>
  <c r="G119" i="7" s="1"/>
  <c r="D118" i="7"/>
  <c r="E118" i="7" s="1"/>
  <c r="F118" i="7" s="1"/>
  <c r="G118" i="7" s="1"/>
  <c r="D117" i="7"/>
  <c r="E117" i="7" s="1"/>
  <c r="F117" i="7" s="1"/>
  <c r="G117" i="7" s="1"/>
  <c r="D116" i="7"/>
  <c r="E116" i="7" s="1"/>
  <c r="F116" i="7" s="1"/>
  <c r="G116" i="7" s="1"/>
  <c r="D115" i="7"/>
  <c r="E115" i="7" s="1"/>
  <c r="F115" i="7" s="1"/>
  <c r="G115" i="7" s="1"/>
  <c r="D114" i="7"/>
  <c r="E114" i="7" s="1"/>
  <c r="F114" i="7" s="1"/>
  <c r="G114" i="7" s="1"/>
  <c r="D113" i="7"/>
  <c r="E113" i="7" s="1"/>
  <c r="F113" i="7" s="1"/>
  <c r="G113" i="7" s="1"/>
  <c r="D112" i="7"/>
  <c r="E112" i="7" s="1"/>
  <c r="F112" i="7" s="1"/>
  <c r="G112" i="7" s="1"/>
  <c r="D111" i="7"/>
  <c r="E111" i="7" s="1"/>
  <c r="F111" i="7" s="1"/>
  <c r="G111" i="7" s="1"/>
  <c r="D110" i="7"/>
  <c r="E110" i="7" s="1"/>
  <c r="F110" i="7" s="1"/>
  <c r="G110" i="7" s="1"/>
  <c r="D109" i="7"/>
  <c r="E109" i="7" s="1"/>
  <c r="F109" i="7" s="1"/>
  <c r="G109" i="7" s="1"/>
  <c r="D108" i="7"/>
  <c r="E108" i="7" s="1"/>
  <c r="F108" i="7" s="1"/>
  <c r="G108" i="7" s="1"/>
  <c r="D107" i="7"/>
  <c r="E107" i="7" s="1"/>
  <c r="F107" i="7" s="1"/>
  <c r="G107" i="7" s="1"/>
  <c r="D106" i="7"/>
  <c r="E106" i="7" s="1"/>
  <c r="F106" i="7" s="1"/>
  <c r="G106" i="7" s="1"/>
  <c r="D105" i="7"/>
  <c r="E105" i="7" s="1"/>
  <c r="F105" i="7" s="1"/>
  <c r="G105" i="7" s="1"/>
  <c r="D104" i="7"/>
  <c r="E104" i="7" s="1"/>
  <c r="F104" i="7" s="1"/>
  <c r="G104" i="7" s="1"/>
  <c r="D103" i="7"/>
  <c r="E103" i="7" s="1"/>
  <c r="F103" i="7" s="1"/>
  <c r="G103" i="7" s="1"/>
  <c r="D102" i="7"/>
  <c r="E102" i="7" s="1"/>
  <c r="F102" i="7" s="1"/>
  <c r="G102" i="7" s="1"/>
  <c r="D101" i="7"/>
  <c r="E101" i="7" s="1"/>
  <c r="F101" i="7" s="1"/>
  <c r="G101" i="7" s="1"/>
  <c r="D100" i="7"/>
  <c r="E100" i="7" s="1"/>
  <c r="F100" i="7" s="1"/>
  <c r="G100" i="7" s="1"/>
  <c r="D99" i="7"/>
  <c r="E99" i="7" s="1"/>
  <c r="F99" i="7" s="1"/>
  <c r="G99" i="7" s="1"/>
  <c r="D98" i="7"/>
  <c r="E98" i="7" s="1"/>
  <c r="F98" i="7" s="1"/>
  <c r="G98" i="7" s="1"/>
  <c r="D97" i="7"/>
  <c r="E97" i="7" s="1"/>
  <c r="F97" i="7" s="1"/>
  <c r="G97" i="7" s="1"/>
  <c r="D96" i="7"/>
  <c r="E96" i="7" s="1"/>
  <c r="F96" i="7" s="1"/>
  <c r="G96" i="7" s="1"/>
  <c r="D95" i="7"/>
  <c r="E95" i="7" s="1"/>
  <c r="F95" i="7" s="1"/>
  <c r="G95" i="7" s="1"/>
  <c r="D94" i="7"/>
  <c r="E94" i="7" s="1"/>
  <c r="F94" i="7" s="1"/>
  <c r="G94" i="7" s="1"/>
  <c r="D93" i="7"/>
  <c r="E93" i="7" s="1"/>
  <c r="F93" i="7" s="1"/>
  <c r="G93" i="7" s="1"/>
  <c r="D92" i="7"/>
  <c r="E92" i="7" s="1"/>
  <c r="F92" i="7" s="1"/>
  <c r="G92" i="7" s="1"/>
  <c r="D91" i="7"/>
  <c r="E91" i="7" s="1"/>
  <c r="F91" i="7" s="1"/>
  <c r="G91" i="7" s="1"/>
  <c r="D90" i="7"/>
  <c r="E90" i="7" s="1"/>
  <c r="F90" i="7" s="1"/>
  <c r="G90" i="7" s="1"/>
  <c r="D89" i="7"/>
  <c r="E89" i="7" s="1"/>
  <c r="F89" i="7" s="1"/>
  <c r="G89" i="7" s="1"/>
  <c r="D88" i="7"/>
  <c r="E88" i="7" s="1"/>
  <c r="F88" i="7" s="1"/>
  <c r="G88" i="7" s="1"/>
  <c r="D87" i="7"/>
  <c r="E87" i="7" s="1"/>
  <c r="F87" i="7" s="1"/>
  <c r="G87" i="7" s="1"/>
  <c r="D86" i="7"/>
  <c r="E86" i="7" s="1"/>
  <c r="F86" i="7" s="1"/>
  <c r="G86" i="7" s="1"/>
  <c r="D85" i="7"/>
  <c r="E85" i="7" s="1"/>
  <c r="F85" i="7" s="1"/>
  <c r="G85" i="7" s="1"/>
  <c r="D84" i="7"/>
  <c r="E84" i="7" s="1"/>
  <c r="F84" i="7" s="1"/>
  <c r="G84" i="7" s="1"/>
  <c r="D83" i="7"/>
  <c r="E83" i="7" s="1"/>
  <c r="F83" i="7" s="1"/>
  <c r="G83" i="7" s="1"/>
  <c r="D82" i="7"/>
  <c r="E82" i="7" s="1"/>
  <c r="F82" i="7" s="1"/>
  <c r="G82" i="7" s="1"/>
  <c r="D81" i="7"/>
  <c r="E81" i="7" s="1"/>
  <c r="F81" i="7" s="1"/>
  <c r="G81" i="7" s="1"/>
  <c r="D80" i="7"/>
  <c r="E80" i="7" s="1"/>
  <c r="F80" i="7" s="1"/>
  <c r="G80" i="7" s="1"/>
  <c r="D79" i="7"/>
  <c r="E79" i="7" s="1"/>
  <c r="F79" i="7" s="1"/>
  <c r="G79" i="7" s="1"/>
  <c r="D78" i="7"/>
  <c r="E78" i="7" s="1"/>
  <c r="F78" i="7" s="1"/>
  <c r="G78" i="7" s="1"/>
  <c r="D77" i="7"/>
  <c r="E77" i="7" s="1"/>
  <c r="F77" i="7" s="1"/>
  <c r="G77" i="7" s="1"/>
  <c r="D76" i="7"/>
  <c r="E76" i="7" s="1"/>
  <c r="F76" i="7" s="1"/>
  <c r="G76" i="7" s="1"/>
  <c r="D75" i="7"/>
  <c r="E75" i="7" s="1"/>
  <c r="F75" i="7" s="1"/>
  <c r="G75" i="7" s="1"/>
  <c r="D74" i="7"/>
  <c r="E74" i="7" s="1"/>
  <c r="F74" i="7" s="1"/>
  <c r="G74" i="7" s="1"/>
  <c r="D73" i="7"/>
  <c r="E73" i="7" s="1"/>
  <c r="F73" i="7" s="1"/>
  <c r="G73" i="7" s="1"/>
  <c r="D72" i="7"/>
  <c r="E72" i="7" s="1"/>
  <c r="F72" i="7" s="1"/>
  <c r="G72" i="7" s="1"/>
  <c r="D71" i="7"/>
  <c r="E71" i="7" s="1"/>
  <c r="F71" i="7" s="1"/>
  <c r="G71" i="7" s="1"/>
  <c r="D70" i="7"/>
  <c r="E70" i="7" s="1"/>
  <c r="F70" i="7" s="1"/>
  <c r="G70" i="7" s="1"/>
  <c r="D69" i="7"/>
  <c r="E69" i="7" s="1"/>
  <c r="F69" i="7" s="1"/>
  <c r="G69" i="7" s="1"/>
  <c r="D68" i="7"/>
  <c r="E68" i="7" s="1"/>
  <c r="F68" i="7" s="1"/>
  <c r="G68" i="7" s="1"/>
  <c r="D67" i="7"/>
  <c r="E67" i="7" s="1"/>
  <c r="F67" i="7" s="1"/>
  <c r="G67" i="7" s="1"/>
  <c r="D66" i="7"/>
  <c r="E66" i="7" s="1"/>
  <c r="F66" i="7" s="1"/>
  <c r="G66" i="7" s="1"/>
  <c r="D65" i="7"/>
  <c r="E65" i="7" s="1"/>
  <c r="F65" i="7" s="1"/>
  <c r="G65" i="7" s="1"/>
  <c r="D64" i="7"/>
  <c r="E64" i="7" s="1"/>
  <c r="F64" i="7" s="1"/>
  <c r="G64" i="7" s="1"/>
  <c r="D63" i="7"/>
  <c r="E63" i="7" s="1"/>
  <c r="F63" i="7" s="1"/>
  <c r="G63" i="7" s="1"/>
  <c r="D62" i="7"/>
  <c r="E62" i="7" s="1"/>
  <c r="F62" i="7" s="1"/>
  <c r="G62" i="7" s="1"/>
  <c r="D61" i="7"/>
  <c r="E61" i="7" s="1"/>
  <c r="F61" i="7" s="1"/>
  <c r="G61" i="7" s="1"/>
  <c r="D60" i="7"/>
  <c r="E60" i="7" s="1"/>
  <c r="F60" i="7" s="1"/>
  <c r="G60" i="7" s="1"/>
  <c r="D59" i="7"/>
  <c r="E59" i="7" s="1"/>
  <c r="F59" i="7" s="1"/>
  <c r="G59" i="7" s="1"/>
  <c r="D58" i="7"/>
  <c r="E58" i="7" s="1"/>
  <c r="F58" i="7" s="1"/>
  <c r="G58" i="7" s="1"/>
  <c r="D57" i="7"/>
  <c r="E57" i="7" s="1"/>
  <c r="F57" i="7" s="1"/>
  <c r="G57" i="7" s="1"/>
  <c r="D56" i="7"/>
  <c r="E56" i="7" s="1"/>
  <c r="F56" i="7" s="1"/>
  <c r="G56" i="7" s="1"/>
  <c r="D55" i="7"/>
  <c r="E55" i="7" s="1"/>
  <c r="F55" i="7" s="1"/>
  <c r="G55" i="7" s="1"/>
  <c r="D54" i="7"/>
  <c r="E54" i="7" s="1"/>
  <c r="F54" i="7" s="1"/>
  <c r="G54" i="7" s="1"/>
  <c r="D53" i="7"/>
  <c r="E53" i="7" s="1"/>
  <c r="F53" i="7" s="1"/>
  <c r="G53" i="7" s="1"/>
  <c r="D52" i="7"/>
  <c r="E52" i="7" s="1"/>
  <c r="F52" i="7" s="1"/>
  <c r="G52" i="7" s="1"/>
  <c r="D51" i="7"/>
  <c r="E51" i="7" s="1"/>
  <c r="F51" i="7" s="1"/>
  <c r="G51" i="7" s="1"/>
  <c r="D50" i="7"/>
  <c r="E50" i="7" s="1"/>
  <c r="F50" i="7" s="1"/>
  <c r="G50" i="7" s="1"/>
  <c r="D49" i="7"/>
  <c r="E49" i="7" s="1"/>
  <c r="F49" i="7" s="1"/>
  <c r="G49" i="7" s="1"/>
  <c r="D48" i="7"/>
  <c r="E48" i="7" s="1"/>
  <c r="F48" i="7" s="1"/>
  <c r="G48" i="7" s="1"/>
  <c r="D47" i="7"/>
  <c r="E47" i="7" s="1"/>
  <c r="F47" i="7" s="1"/>
  <c r="G47" i="7" s="1"/>
  <c r="D46" i="7"/>
  <c r="E46" i="7" s="1"/>
  <c r="F46" i="7" s="1"/>
  <c r="G46" i="7" s="1"/>
  <c r="D45" i="7"/>
  <c r="E45" i="7" s="1"/>
  <c r="F45" i="7" s="1"/>
  <c r="G45" i="7" s="1"/>
  <c r="D44" i="7"/>
  <c r="E44" i="7" s="1"/>
  <c r="F44" i="7" s="1"/>
  <c r="G44" i="7" s="1"/>
  <c r="D43" i="7"/>
  <c r="E43" i="7" s="1"/>
  <c r="F43" i="7" s="1"/>
  <c r="G43" i="7" s="1"/>
  <c r="D42" i="7"/>
  <c r="E42" i="7" s="1"/>
  <c r="F42" i="7" s="1"/>
  <c r="G42" i="7" s="1"/>
  <c r="D41" i="7"/>
  <c r="E41" i="7" s="1"/>
  <c r="F41" i="7" s="1"/>
  <c r="G41" i="7" s="1"/>
  <c r="D40" i="7"/>
  <c r="E40" i="7" s="1"/>
  <c r="F40" i="7" s="1"/>
  <c r="G40" i="7" s="1"/>
  <c r="D39" i="7"/>
  <c r="E39" i="7" s="1"/>
  <c r="F39" i="7" s="1"/>
  <c r="G39" i="7" s="1"/>
  <c r="D38" i="7"/>
  <c r="E38" i="7" s="1"/>
  <c r="F38" i="7" s="1"/>
  <c r="G38" i="7" s="1"/>
  <c r="D37" i="7"/>
  <c r="E37" i="7" s="1"/>
  <c r="F37" i="7" s="1"/>
  <c r="G37" i="7" s="1"/>
  <c r="D36" i="7"/>
  <c r="E36" i="7" s="1"/>
  <c r="F36" i="7" s="1"/>
  <c r="G36" i="7" s="1"/>
  <c r="D35" i="7"/>
  <c r="E35" i="7" s="1"/>
  <c r="F35" i="7" s="1"/>
  <c r="G35" i="7" s="1"/>
  <c r="D34" i="7"/>
  <c r="E34" i="7" s="1"/>
  <c r="F34" i="7" s="1"/>
  <c r="G34" i="7" s="1"/>
  <c r="D33" i="7"/>
  <c r="E33" i="7" s="1"/>
  <c r="F33" i="7" s="1"/>
  <c r="G33" i="7" s="1"/>
  <c r="D32" i="7"/>
  <c r="E32" i="7" s="1"/>
  <c r="F32" i="7" s="1"/>
  <c r="G32" i="7" s="1"/>
  <c r="D31" i="7"/>
  <c r="E31" i="7" s="1"/>
  <c r="F31" i="7" s="1"/>
  <c r="G31" i="7" s="1"/>
  <c r="D30" i="7"/>
  <c r="E30" i="7" s="1"/>
  <c r="F30" i="7" s="1"/>
  <c r="G30" i="7" s="1"/>
  <c r="D29" i="7"/>
  <c r="E29" i="7" s="1"/>
  <c r="F29" i="7" s="1"/>
  <c r="G29" i="7" s="1"/>
  <c r="D28" i="7"/>
  <c r="E28" i="7" s="1"/>
  <c r="F28" i="7" s="1"/>
  <c r="G28" i="7" s="1"/>
  <c r="D27" i="7"/>
  <c r="E27" i="7" s="1"/>
  <c r="F27" i="7" s="1"/>
  <c r="G27" i="7" s="1"/>
  <c r="D26" i="7"/>
  <c r="E26" i="7" s="1"/>
  <c r="F26" i="7" s="1"/>
  <c r="G26" i="7" s="1"/>
  <c r="D25" i="7"/>
  <c r="E25" i="7" s="1"/>
  <c r="F25" i="7" s="1"/>
  <c r="G25" i="7" s="1"/>
  <c r="D24" i="7"/>
  <c r="E24" i="7" s="1"/>
  <c r="F24" i="7" s="1"/>
  <c r="G24" i="7" s="1"/>
  <c r="D23" i="7"/>
  <c r="E23" i="7" s="1"/>
  <c r="F23" i="7" s="1"/>
  <c r="G23" i="7" s="1"/>
  <c r="D22" i="7"/>
  <c r="E22" i="7" s="1"/>
  <c r="F22" i="7" s="1"/>
  <c r="G22" i="7" s="1"/>
  <c r="D21" i="7"/>
  <c r="E21" i="7" s="1"/>
  <c r="F21" i="7" s="1"/>
  <c r="G21" i="7" s="1"/>
  <c r="D20" i="7"/>
  <c r="E20" i="7" s="1"/>
  <c r="F20" i="7" s="1"/>
  <c r="G20" i="7" s="1"/>
  <c r="D19" i="7"/>
  <c r="E19" i="7" s="1"/>
  <c r="F19" i="7" s="1"/>
  <c r="G19" i="7" s="1"/>
  <c r="D18" i="7"/>
  <c r="E18" i="7" s="1"/>
  <c r="F18" i="7" s="1"/>
  <c r="G18" i="7" s="1"/>
  <c r="D17" i="7"/>
  <c r="E17" i="7" s="1"/>
  <c r="F17" i="7" s="1"/>
  <c r="G17" i="7" s="1"/>
  <c r="D16" i="7"/>
  <c r="E16" i="7" s="1"/>
  <c r="F16" i="7" s="1"/>
  <c r="G16" i="7" s="1"/>
  <c r="D15" i="7"/>
  <c r="E15" i="7" s="1"/>
  <c r="F15" i="7" s="1"/>
  <c r="G15" i="7" s="1"/>
  <c r="D14" i="7"/>
  <c r="E14" i="7" s="1"/>
  <c r="F14" i="7" s="1"/>
  <c r="G14" i="7" s="1"/>
  <c r="D13" i="7"/>
  <c r="E13" i="7" s="1"/>
  <c r="F13" i="7" s="1"/>
  <c r="G13" i="7" s="1"/>
  <c r="D12" i="7"/>
  <c r="E12" i="7" s="1"/>
  <c r="F12" i="7" s="1"/>
  <c r="G12" i="7" s="1"/>
  <c r="D11" i="7"/>
  <c r="E11" i="7" s="1"/>
  <c r="F11" i="7" s="1"/>
  <c r="G11" i="7" s="1"/>
  <c r="D10" i="7"/>
  <c r="E10" i="7" s="1"/>
  <c r="F10" i="7" s="1"/>
  <c r="G10" i="7" s="1"/>
  <c r="D9" i="7"/>
  <c r="E9" i="7" s="1"/>
  <c r="F9" i="7" s="1"/>
  <c r="G9" i="7" s="1"/>
  <c r="D8" i="7"/>
  <c r="E8" i="7" s="1"/>
  <c r="F8" i="7" s="1"/>
  <c r="G8" i="7" s="1"/>
  <c r="D7" i="7"/>
  <c r="E7" i="7" s="1"/>
  <c r="F7" i="7" s="1"/>
  <c r="G7" i="7" s="1"/>
  <c r="D6" i="7"/>
  <c r="E6" i="7" s="1"/>
  <c r="F6" i="7" s="1"/>
  <c r="G6" i="7" s="1"/>
  <c r="D5" i="7"/>
  <c r="E5" i="7" s="1"/>
  <c r="F5" i="7" s="1"/>
  <c r="G5" i="7" s="1"/>
  <c r="D4" i="7"/>
  <c r="E4" i="7" s="1"/>
  <c r="F4" i="7" s="1"/>
  <c r="G4" i="7" s="1"/>
  <c r="D3" i="7"/>
  <c r="E3" i="7" s="1"/>
  <c r="F3" i="7" s="1"/>
  <c r="D2" i="7"/>
  <c r="E2" i="7" s="1"/>
  <c r="F2" i="7" s="1"/>
  <c r="G2" i="7" s="1"/>
  <c r="C2667" i="7" a="1"/>
  <c r="G2667" i="7" s="1"/>
  <c r="C2668" i="7" a="1"/>
  <c r="G2668" i="7" s="1"/>
  <c r="C2669" i="7" a="1"/>
  <c r="G2669" i="7" s="1"/>
  <c r="C2670" i="7" a="1"/>
  <c r="G2670" i="7" s="1"/>
  <c r="C2671" i="7" a="1"/>
  <c r="G2671" i="7" s="1"/>
  <c r="C2672" i="7" a="1"/>
  <c r="G2672" i="7" s="1"/>
  <c r="C2673" i="7" a="1"/>
  <c r="C2674" i="7" a="1"/>
  <c r="C2675" i="7" a="1"/>
  <c r="C2676" i="7" a="1"/>
  <c r="G2676" i="7" s="1"/>
  <c r="C2677" i="7" a="1"/>
  <c r="G2677" i="7" s="1"/>
  <c r="C2678" i="7" a="1"/>
  <c r="G2678" i="7" s="1"/>
  <c r="C2679" i="7" a="1"/>
  <c r="G2679" i="7" s="1"/>
  <c r="C2680" i="7" a="1"/>
  <c r="C2681" i="7" a="1"/>
  <c r="G2681" i="7" s="1"/>
  <c r="C2682" i="7" a="1"/>
  <c r="G2682" i="7" s="1"/>
  <c r="C2683" i="7" a="1"/>
  <c r="G2683" i="7" s="1"/>
  <c r="C2684" i="7" a="1"/>
  <c r="G2684" i="7" s="1"/>
  <c r="C2685" i="7" a="1"/>
  <c r="C2686" i="7" a="1"/>
  <c r="C2687" i="7" a="1"/>
  <c r="C2688" i="7" a="1"/>
  <c r="G2688" i="7" s="1"/>
  <c r="C2689" i="7" a="1"/>
  <c r="G2689" i="7" s="1"/>
  <c r="C2690" i="7" a="1"/>
  <c r="G2690" i="7" s="1"/>
  <c r="C2691" i="7" a="1"/>
  <c r="G2691" i="7" s="1"/>
  <c r="C2692" i="7" a="1"/>
  <c r="C2693" i="7" a="1"/>
  <c r="G2693" i="7" s="1"/>
  <c r="C2694" i="7" a="1"/>
  <c r="G2694" i="7" s="1"/>
  <c r="C2695" i="7" a="1"/>
  <c r="G2695" i="7" s="1"/>
  <c r="C2696" i="7" a="1"/>
  <c r="G2696" i="7" s="1"/>
  <c r="C2697" i="7" a="1"/>
  <c r="C2698" i="7" a="1"/>
  <c r="C2699" i="7" a="1"/>
  <c r="C2700" i="7" a="1"/>
  <c r="G2700" i="7" s="1"/>
  <c r="C2701" i="7" a="1"/>
  <c r="G2701" i="7" s="1"/>
  <c r="C2702" i="7" a="1"/>
  <c r="G2702" i="7" s="1"/>
  <c r="C2703" i="7" a="1"/>
  <c r="G2703" i="7" s="1"/>
  <c r="C2704" i="7" a="1"/>
  <c r="C2705" i="7" a="1"/>
  <c r="G2705" i="7" s="1"/>
  <c r="C2706" i="7" a="1"/>
  <c r="G2706" i="7" s="1"/>
  <c r="C2707" i="7" a="1"/>
  <c r="G2707" i="7" s="1"/>
  <c r="C2708" i="7" a="1"/>
  <c r="G2708" i="7" s="1"/>
  <c r="C2709" i="7" a="1"/>
  <c r="C2710" i="7" a="1"/>
  <c r="C2711" i="7" a="1"/>
  <c r="G2711" i="7" s="1"/>
  <c r="C2712" i="7" a="1"/>
  <c r="G2712" i="7" s="1"/>
  <c r="C2713" i="7" a="1"/>
  <c r="G2713" i="7" s="1"/>
  <c r="C2714" i="7" a="1"/>
  <c r="G2714" i="7" s="1"/>
  <c r="C2715" i="7" a="1"/>
  <c r="G2715" i="7" s="1"/>
  <c r="C2716" i="7" a="1"/>
  <c r="C2717" i="7" a="1"/>
  <c r="G2717" i="7" s="1"/>
  <c r="C2718" i="7" a="1"/>
  <c r="G2718" i="7" s="1"/>
  <c r="C2719" i="7" a="1"/>
  <c r="G2719" i="7" s="1"/>
  <c r="C2720" i="7" a="1"/>
  <c r="G2720" i="7" s="1"/>
  <c r="C2721" i="7" a="1"/>
  <c r="C2722" i="7" a="1"/>
  <c r="C2723" i="7" a="1"/>
  <c r="C2724" i="7" a="1"/>
  <c r="G2724" i="7" s="1"/>
  <c r="C2725" i="7" a="1"/>
  <c r="G2725" i="7" s="1"/>
  <c r="C2726" i="7" a="1"/>
  <c r="G2726" i="7" s="1"/>
  <c r="C2727" i="7" a="1"/>
  <c r="G2727" i="7" s="1"/>
  <c r="C2728" i="7" a="1"/>
  <c r="C2729" i="7" a="1"/>
  <c r="G2729" i="7" s="1"/>
  <c r="C2730" i="7" a="1"/>
  <c r="G2730" i="7" s="1"/>
  <c r="C2731" i="7" a="1"/>
  <c r="G2731" i="7" s="1"/>
  <c r="C2732" i="7" a="1"/>
  <c r="G2732" i="7" s="1"/>
  <c r="C2733" i="7" a="1"/>
  <c r="C2734" i="7" a="1"/>
  <c r="G2734" i="7" s="1"/>
  <c r="C2735" i="7" a="1"/>
  <c r="C2736" i="7" a="1"/>
  <c r="G2736" i="7" s="1"/>
  <c r="C2737" i="7" a="1"/>
  <c r="G2737" i="7" s="1"/>
  <c r="C2738" i="7" a="1"/>
  <c r="G2738" i="7" s="1"/>
  <c r="C2739" i="7" a="1"/>
  <c r="G2739" i="7" s="1"/>
  <c r="C2740" i="7" a="1"/>
  <c r="G2740" i="7" s="1"/>
  <c r="C2741" i="7" a="1"/>
  <c r="G2741" i="7" s="1"/>
  <c r="C2742" i="7" a="1"/>
  <c r="G2742" i="7" s="1"/>
  <c r="C2743" i="7" a="1"/>
  <c r="G2743" i="7" s="1"/>
  <c r="C2744" i="7" a="1"/>
  <c r="G2744" i="7" s="1"/>
  <c r="C2745" i="7" a="1"/>
  <c r="C2746" i="7" a="1"/>
  <c r="C2747" i="7" a="1"/>
  <c r="C2748" i="7" a="1"/>
  <c r="G2748" i="7" s="1"/>
  <c r="C2749" i="7" a="1"/>
  <c r="G2749" i="7" s="1"/>
  <c r="C2750" i="7" a="1"/>
  <c r="G2750" i="7" s="1"/>
  <c r="C2751" i="7" a="1"/>
  <c r="G2751" i="7" s="1"/>
  <c r="C2752" i="7" a="1"/>
  <c r="G2752" i="7" s="1"/>
  <c r="C2753" i="7" a="1"/>
  <c r="G2753" i="7" s="1"/>
  <c r="C2754" i="7" a="1"/>
  <c r="G2754" i="7" s="1"/>
  <c r="C2755" i="7" a="1"/>
  <c r="G2755" i="7" s="1"/>
  <c r="C2756" i="7" a="1"/>
  <c r="G2756" i="7" s="1"/>
  <c r="C2757" i="7" a="1"/>
  <c r="C2758" i="7" a="1"/>
  <c r="C2759" i="7" a="1"/>
  <c r="C2760" i="7" a="1"/>
  <c r="G2760" i="7" s="1"/>
  <c r="C2761" i="7" a="1"/>
  <c r="C2762" i="7" a="1"/>
  <c r="G2762" i="7" s="1"/>
  <c r="C2763" i="7" a="1"/>
  <c r="G2763" i="7" s="1"/>
  <c r="C2764" i="7" a="1"/>
  <c r="C2765" i="7" a="1"/>
  <c r="G2765" i="7" s="1"/>
  <c r="C2766" i="7" a="1"/>
  <c r="G2766" i="7" s="1"/>
  <c r="C2767" i="7" a="1"/>
  <c r="G2767" i="7" s="1"/>
  <c r="C2768" i="7" a="1"/>
  <c r="G2768" i="7" s="1"/>
  <c r="C2769" i="7" a="1"/>
  <c r="C2770" i="7" a="1"/>
  <c r="C2771" i="7" a="1"/>
  <c r="C2772" i="7" a="1"/>
  <c r="G2772" i="7" s="1"/>
  <c r="C2773" i="7" a="1"/>
  <c r="G2773" i="7" s="1"/>
  <c r="C2774" i="7" a="1"/>
  <c r="G2774" i="7" s="1"/>
  <c r="C2775" i="7" a="1"/>
  <c r="G2775" i="7" s="1"/>
  <c r="C2776" i="7" a="1"/>
  <c r="C2777" i="7" a="1"/>
  <c r="G2777" i="7" s="1"/>
  <c r="C2778" i="7" a="1"/>
  <c r="G2778" i="7" s="1"/>
  <c r="C2779" i="7" a="1"/>
  <c r="G2779" i="7" s="1"/>
  <c r="C2780" i="7" a="1"/>
  <c r="G2780" i="7" s="1"/>
  <c r="C1047" i="7" a="1"/>
  <c r="C1048" i="7" a="1"/>
  <c r="C1049" i="7" a="1"/>
  <c r="G1049" i="7" s="1"/>
  <c r="C1050" i="7" a="1"/>
  <c r="G1050" i="7" s="1"/>
  <c r="C1051" i="7" a="1"/>
  <c r="G1051" i="7" s="1"/>
  <c r="C1052" i="7" a="1"/>
  <c r="G1052" i="7" s="1"/>
  <c r="C1053" i="7" a="1"/>
  <c r="C1054" i="7" a="1"/>
  <c r="C1055" i="7" a="1"/>
  <c r="C1056" i="7" a="1"/>
  <c r="C1057" i="7" a="1"/>
  <c r="C1058" i="7" a="1"/>
  <c r="G1058" i="7" s="1"/>
  <c r="C1059" i="7" a="1"/>
  <c r="G1059" i="7" s="1"/>
  <c r="C1060" i="7" a="1"/>
  <c r="C1061" i="7" a="1"/>
  <c r="G1061" i="7" s="1"/>
  <c r="C1062" i="7" a="1"/>
  <c r="C1063" i="7" a="1"/>
  <c r="G1063" i="7" s="1"/>
  <c r="C1064" i="7" a="1"/>
  <c r="G1064" i="7" s="1"/>
  <c r="C1065" i="7" a="1"/>
  <c r="C1066" i="7" a="1"/>
  <c r="C1067" i="7" a="1"/>
  <c r="C1068" i="7" a="1"/>
  <c r="C1069" i="7" a="1"/>
  <c r="C1070" i="7" a="1"/>
  <c r="G1070" i="7" s="1"/>
  <c r="C1071" i="7" a="1"/>
  <c r="G1071" i="7" s="1"/>
  <c r="C1072" i="7" a="1"/>
  <c r="G1072" i="7" s="1"/>
  <c r="C1073" i="7" a="1"/>
  <c r="G1073" i="7" s="1"/>
  <c r="C1074" i="7" a="1"/>
  <c r="C1075" i="7" a="1"/>
  <c r="G1075" i="7" s="1"/>
  <c r="C1076" i="7" a="1"/>
  <c r="G1076" i="7" s="1"/>
  <c r="C1077" i="7" a="1"/>
  <c r="C1078" i="7" a="1"/>
  <c r="C1079" i="7" a="1"/>
  <c r="C1080" i="7" a="1"/>
  <c r="C1081" i="7" a="1"/>
  <c r="G1081" i="7" s="1"/>
  <c r="C1082" i="7" a="1"/>
  <c r="G1082" i="7" s="1"/>
  <c r="G1069" i="7" l="1"/>
  <c r="G2770" i="7"/>
  <c r="G2698" i="7"/>
  <c r="G2687" i="7"/>
  <c r="G2722" i="7"/>
  <c r="G2721" i="7"/>
  <c r="G2769" i="7"/>
  <c r="G2686" i="7"/>
  <c r="G2759" i="7"/>
  <c r="G2674" i="7"/>
  <c r="G2710" i="7"/>
  <c r="G2709" i="7"/>
  <c r="G2697" i="7"/>
  <c r="G1054" i="7"/>
  <c r="G2758" i="7"/>
  <c r="G2673" i="7"/>
  <c r="G1065" i="7"/>
  <c r="G2733" i="7"/>
  <c r="G2757" i="7"/>
  <c r="G2746" i="7"/>
  <c r="G2745" i="7"/>
  <c r="G1078" i="7"/>
  <c r="G2685" i="7"/>
  <c r="G1066" i="7"/>
  <c r="G1053" i="7"/>
  <c r="G2704" i="7"/>
  <c r="G1055" i="7"/>
  <c r="G2761" i="7"/>
  <c r="G1060" i="7"/>
  <c r="G2692" i="7"/>
  <c r="G1067" i="7"/>
  <c r="G2728" i="7"/>
  <c r="G2764" i="7"/>
  <c r="G2680" i="7"/>
  <c r="G2776" i="7"/>
  <c r="G1048" i="7"/>
  <c r="G1047" i="7"/>
  <c r="G2735" i="7"/>
  <c r="G2716" i="7"/>
  <c r="G1074" i="7"/>
  <c r="G1079" i="7"/>
  <c r="G1062" i="7"/>
  <c r="G1077" i="7"/>
  <c r="G2771" i="7"/>
  <c r="G2747" i="7"/>
  <c r="G2723" i="7"/>
  <c r="G2699" i="7"/>
  <c r="G2675" i="7"/>
  <c r="G3" i="7"/>
  <c r="G1056" i="7"/>
  <c r="G1068" i="7"/>
  <c r="G1080" i="7"/>
  <c r="G1057" i="7"/>
  <c r="F84" i="6"/>
  <c r="C2695" i="9" a="1"/>
  <c r="D37" i="1" l="1"/>
  <c r="D77" i="6"/>
  <c r="I64" i="4"/>
  <c r="I63" i="4"/>
  <c r="I62" i="4"/>
  <c r="W83" i="1"/>
  <c r="C2779" i="9" l="1" a="1"/>
  <c r="C2778" i="9" a="1"/>
  <c r="C2777" i="9" a="1"/>
  <c r="C322" i="9" a="1"/>
  <c r="C2775" i="9" a="1"/>
  <c r="C2774" i="9" a="1"/>
  <c r="C2773" i="9" a="1"/>
  <c r="N79" i="6"/>
  <c r="M79" i="6"/>
  <c r="L79" i="6"/>
  <c r="K79" i="6"/>
  <c r="J79" i="6"/>
  <c r="I79" i="6"/>
  <c r="H79" i="6"/>
  <c r="G79" i="6"/>
  <c r="F79" i="6"/>
  <c r="E79" i="6"/>
  <c r="D79" i="6"/>
  <c r="C79" i="6"/>
  <c r="C2" i="12" a="1"/>
  <c r="C24" i="12" a="1"/>
  <c r="C23" i="12" a="1"/>
  <c r="C22" i="12" a="1"/>
  <c r="C21" i="12" a="1"/>
  <c r="C20" i="12" a="1"/>
  <c r="C19" i="12" a="1"/>
  <c r="C18" i="12" a="1"/>
  <c r="C17" i="12" a="1"/>
  <c r="C16" i="12" a="1"/>
  <c r="C15" i="12" a="1"/>
  <c r="C14" i="12" a="1"/>
  <c r="C13" i="12" a="1"/>
  <c r="C12" i="12" a="1"/>
  <c r="C11" i="12" a="1"/>
  <c r="C10" i="12" a="1"/>
  <c r="C9" i="12" a="1"/>
  <c r="C8" i="12" a="1"/>
  <c r="C7" i="12" a="1"/>
  <c r="C6" i="12" a="1"/>
  <c r="C5" i="12" a="1"/>
  <c r="C4" i="12" a="1"/>
  <c r="C3" i="12" a="1"/>
  <c r="E2" i="12" a="1"/>
  <c r="E3" i="12" a="1"/>
  <c r="E4" i="12" a="1"/>
  <c r="E5" i="12" a="1"/>
  <c r="E6" i="12" a="1"/>
  <c r="E7" i="12" a="1"/>
  <c r="E8" i="12" a="1"/>
  <c r="E9" i="12" a="1"/>
  <c r="E10" i="12" a="1"/>
  <c r="E11" i="12" a="1"/>
  <c r="E12" i="12" a="1"/>
  <c r="E13" i="12" a="1"/>
  <c r="E14" i="12" a="1"/>
  <c r="E15" i="12" a="1"/>
  <c r="E18" i="12" a="1"/>
  <c r="E19" i="12" a="1"/>
  <c r="E20" i="12" a="1"/>
  <c r="E21" i="12" a="1"/>
  <c r="E22" i="12" a="1"/>
  <c r="E23" i="12" a="1"/>
  <c r="E24" i="12" a="1"/>
  <c r="E16" i="12" a="1"/>
  <c r="E17" i="12" a="1"/>
  <c r="C680" i="9" a="1"/>
  <c r="W79" i="1"/>
  <c r="C571" i="9" a="1"/>
  <c r="W4" i="1"/>
  <c r="W12" i="1"/>
  <c r="W5" i="1"/>
  <c r="D24" i="12" s="1" a="1"/>
  <c r="W20" i="1"/>
  <c r="D23" i="12" s="1" a="1"/>
  <c r="W51" i="1"/>
  <c r="W60" i="1"/>
  <c r="W21" i="1"/>
  <c r="D22" i="12" s="1" a="1"/>
  <c r="G22" i="12" s="1"/>
  <c r="W34" i="1"/>
  <c r="W38" i="1"/>
  <c r="W26" i="1"/>
  <c r="W66" i="1"/>
  <c r="W31" i="1"/>
  <c r="D21" i="12" s="1" a="1"/>
  <c r="W32" i="1"/>
  <c r="D20" i="12" s="1" a="1"/>
  <c r="W43" i="1"/>
  <c r="D19" i="12" s="1" a="1"/>
  <c r="G19" i="12" s="1"/>
  <c r="W42" i="1"/>
  <c r="D18" i="12" s="1" a="1"/>
  <c r="W72" i="1"/>
  <c r="W71" i="1"/>
  <c r="W70" i="1"/>
  <c r="D16" i="12" s="1" a="1"/>
  <c r="G16" i="12" s="1"/>
  <c r="W78" i="1"/>
  <c r="W68" i="1"/>
  <c r="W82" i="1"/>
  <c r="W81" i="1"/>
  <c r="D15" i="12" s="1" a="1"/>
  <c r="W77" i="1"/>
  <c r="W76" i="1"/>
  <c r="W75" i="1"/>
  <c r="W74" i="1"/>
  <c r="D14" i="12" s="1" a="1"/>
  <c r="W73" i="1"/>
  <c r="W69" i="1"/>
  <c r="W65" i="1"/>
  <c r="W64" i="1"/>
  <c r="W62" i="1"/>
  <c r="W61" i="1"/>
  <c r="W59" i="1"/>
  <c r="W58" i="1"/>
  <c r="W57" i="1"/>
  <c r="W56" i="1"/>
  <c r="W55" i="1"/>
  <c r="W54" i="1"/>
  <c r="W53" i="1"/>
  <c r="W52" i="1"/>
  <c r="W50" i="1"/>
  <c r="D13" i="12" s="1" a="1"/>
  <c r="W49" i="1"/>
  <c r="W48" i="1"/>
  <c r="W47" i="1"/>
  <c r="W46" i="1"/>
  <c r="W45" i="1"/>
  <c r="W44" i="1"/>
  <c r="D11" i="12" s="1" a="1"/>
  <c r="W41" i="1"/>
  <c r="W40" i="1"/>
  <c r="W39" i="1"/>
  <c r="W37" i="1"/>
  <c r="W36" i="1"/>
  <c r="W35" i="1"/>
  <c r="W33" i="1"/>
  <c r="W30" i="1"/>
  <c r="W29" i="1"/>
  <c r="D7" i="12" s="1" a="1"/>
  <c r="W28" i="1"/>
  <c r="W27" i="1"/>
  <c r="W25" i="1"/>
  <c r="D6" i="12" s="1" a="1"/>
  <c r="G6" i="12" s="1"/>
  <c r="W24" i="1"/>
  <c r="D5" i="12" s="1" a="1"/>
  <c r="G5" i="12" s="1"/>
  <c r="W23" i="1"/>
  <c r="W22" i="1"/>
  <c r="W19" i="1"/>
  <c r="W18" i="1"/>
  <c r="W17" i="1"/>
  <c r="W16" i="1"/>
  <c r="W15" i="1"/>
  <c r="D3" i="12" s="1" a="1"/>
  <c r="G3" i="12" s="1"/>
  <c r="W14" i="1"/>
  <c r="W13" i="1"/>
  <c r="W11" i="1"/>
  <c r="W10" i="1"/>
  <c r="W9" i="1"/>
  <c r="W8" i="1"/>
  <c r="W7" i="1"/>
  <c r="W6" i="1"/>
  <c r="W3" i="1"/>
  <c r="W2" i="1"/>
  <c r="W80" i="1"/>
  <c r="W67" i="1"/>
  <c r="W63" i="1"/>
  <c r="I20" i="12" a="1"/>
  <c r="I24" i="12" a="1"/>
  <c r="I23" i="12" a="1"/>
  <c r="I22" i="12" a="1"/>
  <c r="I21" i="12" a="1"/>
  <c r="I19" i="12" a="1"/>
  <c r="I18" i="12" a="1"/>
  <c r="I17" i="12" a="1"/>
  <c r="I16" i="12" a="1"/>
  <c r="I15" i="12" a="1"/>
  <c r="I14" i="12" a="1"/>
  <c r="I13" i="12" a="1"/>
  <c r="I12" i="12" a="1"/>
  <c r="I11" i="12" a="1"/>
  <c r="I10" i="12" a="1"/>
  <c r="I9" i="12" a="1"/>
  <c r="I8" i="12" a="1"/>
  <c r="I7" i="12" a="1"/>
  <c r="I6" i="12" a="1"/>
  <c r="I5" i="12" a="1"/>
  <c r="I4" i="12" a="1"/>
  <c r="I3" i="12" a="1"/>
  <c r="I2" i="12" a="1"/>
  <c r="F15" i="12" l="1"/>
  <c r="H15" i="12" s="1"/>
  <c r="F23" i="12"/>
  <c r="H23" i="12" s="1"/>
  <c r="K23" i="12" s="1"/>
  <c r="F18" i="12"/>
  <c r="F24" i="12"/>
  <c r="F14" i="12"/>
  <c r="H14" i="12" s="1"/>
  <c r="F20" i="12"/>
  <c r="F11" i="12"/>
  <c r="H11" i="12" s="1"/>
  <c r="F21" i="12"/>
  <c r="F6" i="12"/>
  <c r="H6" i="12" s="1"/>
  <c r="F7" i="12"/>
  <c r="H7" i="12" s="1"/>
  <c r="K7" i="12" s="1"/>
  <c r="F3" i="12"/>
  <c r="H3" i="12" s="1"/>
  <c r="F22" i="12"/>
  <c r="H22" i="12" s="1"/>
  <c r="F19" i="12"/>
  <c r="F5" i="12"/>
  <c r="H5" i="12" s="1"/>
  <c r="F13" i="12"/>
  <c r="G20" i="12"/>
  <c r="G24" i="12"/>
  <c r="G21" i="12"/>
  <c r="G18" i="12"/>
  <c r="D12" i="12" a="1"/>
  <c r="G12" i="12" s="1"/>
  <c r="D17" i="12" a="1"/>
  <c r="G17" i="12" s="1"/>
  <c r="D10" i="12" a="1"/>
  <c r="F10" i="12" s="1"/>
  <c r="D4" i="12" a="1"/>
  <c r="F4" i="12" s="1"/>
  <c r="D9" i="12" a="1"/>
  <c r="D8" i="12" a="1"/>
  <c r="G8" i="12" s="1"/>
  <c r="D2" i="12" a="1"/>
  <c r="G2" i="12" s="1"/>
  <c r="C82" i="1"/>
  <c r="C81" i="1"/>
  <c r="C75" i="1"/>
  <c r="C50" i="1"/>
  <c r="C46" i="1"/>
  <c r="C44" i="1"/>
  <c r="C40" i="1"/>
  <c r="C39" i="1"/>
  <c r="C36" i="1"/>
  <c r="C30" i="1"/>
  <c r="C26" i="1"/>
  <c r="C19" i="1"/>
  <c r="C15" i="1"/>
  <c r="C6" i="1"/>
  <c r="C4" i="1"/>
  <c r="C3" i="1"/>
  <c r="D78" i="6"/>
  <c r="E78" i="6"/>
  <c r="F78" i="6"/>
  <c r="G78" i="6"/>
  <c r="H78" i="6"/>
  <c r="I78" i="6"/>
  <c r="J78" i="6"/>
  <c r="K78" i="6"/>
  <c r="L78" i="6"/>
  <c r="M78" i="6"/>
  <c r="N78" i="6"/>
  <c r="E77" i="6"/>
  <c r="F77" i="6"/>
  <c r="G77" i="6"/>
  <c r="H77" i="6"/>
  <c r="I77" i="6"/>
  <c r="J77" i="6"/>
  <c r="K77" i="6"/>
  <c r="L77" i="6"/>
  <c r="M77" i="6"/>
  <c r="N77" i="6"/>
  <c r="C77" i="6"/>
  <c r="C78" i="6"/>
  <c r="C76" i="6"/>
  <c r="C5" i="1"/>
  <c r="C3" i="9" a="1"/>
  <c r="C4" i="9" a="1"/>
  <c r="C5" i="9" a="1"/>
  <c r="C6" i="9" a="1"/>
  <c r="C7" i="9" a="1"/>
  <c r="C8" i="9" a="1"/>
  <c r="C9" i="9" a="1"/>
  <c r="C10" i="9" a="1"/>
  <c r="C11" i="9" a="1"/>
  <c r="C12" i="9" a="1"/>
  <c r="C13" i="9" a="1"/>
  <c r="C14" i="9" a="1"/>
  <c r="C15" i="9" a="1"/>
  <c r="C16" i="9" a="1"/>
  <c r="C17" i="9" a="1"/>
  <c r="C18" i="9" a="1"/>
  <c r="C19" i="9" a="1"/>
  <c r="C20" i="9" a="1"/>
  <c r="C21" i="9" a="1"/>
  <c r="C22" i="9" a="1"/>
  <c r="C23" i="9" a="1"/>
  <c r="C24" i="9" a="1"/>
  <c r="C25" i="9" a="1"/>
  <c r="C26" i="9" a="1"/>
  <c r="C27" i="9" a="1"/>
  <c r="C28" i="9" a="1"/>
  <c r="C29" i="9" a="1"/>
  <c r="C30" i="9" a="1"/>
  <c r="C31" i="9" a="1"/>
  <c r="C32" i="9" a="1"/>
  <c r="C33" i="9" a="1"/>
  <c r="C34" i="9" a="1"/>
  <c r="C35" i="9" a="1"/>
  <c r="C36" i="9" a="1"/>
  <c r="C37" i="9" a="1"/>
  <c r="C38" i="9" a="1"/>
  <c r="C39" i="9" a="1"/>
  <c r="C40" i="9" a="1"/>
  <c r="C41" i="9" a="1"/>
  <c r="C42" i="9" a="1"/>
  <c r="C43" i="9" a="1"/>
  <c r="C44" i="9" a="1"/>
  <c r="C45" i="9" a="1"/>
  <c r="C46" i="9" a="1"/>
  <c r="C47" i="9" a="1"/>
  <c r="C48" i="9" a="1"/>
  <c r="C49" i="9" a="1"/>
  <c r="C50" i="9" a="1"/>
  <c r="C51" i="9" a="1"/>
  <c r="C52" i="9" a="1"/>
  <c r="C53" i="9" a="1"/>
  <c r="C54" i="9" a="1"/>
  <c r="C55" i="9" a="1"/>
  <c r="C56" i="9" a="1"/>
  <c r="C57" i="9" a="1"/>
  <c r="C58" i="9" a="1"/>
  <c r="C59" i="9" a="1"/>
  <c r="C60" i="9" a="1"/>
  <c r="C61" i="9" a="1"/>
  <c r="C62" i="9" a="1"/>
  <c r="C63" i="9" a="1"/>
  <c r="C64" i="9" a="1"/>
  <c r="C65" i="9" a="1"/>
  <c r="C66" i="9" a="1"/>
  <c r="C67" i="9" a="1"/>
  <c r="C68" i="9" a="1"/>
  <c r="C69" i="9" a="1"/>
  <c r="C70" i="9" a="1"/>
  <c r="C71" i="9" a="1"/>
  <c r="C72" i="9" a="1"/>
  <c r="C73" i="9" a="1"/>
  <c r="C74" i="9" a="1"/>
  <c r="C75" i="9" a="1"/>
  <c r="C76" i="9" a="1"/>
  <c r="C77" i="9" a="1"/>
  <c r="C78" i="9" a="1"/>
  <c r="C79" i="9" a="1"/>
  <c r="C80" i="9" a="1"/>
  <c r="C81" i="9" a="1"/>
  <c r="C82" i="9" a="1"/>
  <c r="C83" i="9" a="1"/>
  <c r="C84" i="9" a="1"/>
  <c r="C85" i="9" a="1"/>
  <c r="C86" i="9" a="1"/>
  <c r="C87" i="9" a="1"/>
  <c r="C88" i="9" a="1"/>
  <c r="C89" i="9" a="1"/>
  <c r="C90" i="9" a="1"/>
  <c r="C91" i="9" a="1"/>
  <c r="C92" i="9" a="1"/>
  <c r="C93" i="9" a="1"/>
  <c r="C94" i="9" a="1"/>
  <c r="C95" i="9" a="1"/>
  <c r="C96" i="9" a="1"/>
  <c r="C97" i="9" a="1"/>
  <c r="C98" i="9" a="1"/>
  <c r="C99" i="9" a="1"/>
  <c r="C100" i="9" a="1"/>
  <c r="C101" i="9" a="1"/>
  <c r="C102" i="9" a="1"/>
  <c r="C103" i="9" a="1"/>
  <c r="C104" i="9" a="1"/>
  <c r="C105" i="9" a="1"/>
  <c r="C106" i="9" a="1"/>
  <c r="C107" i="9" a="1"/>
  <c r="C108" i="9" a="1"/>
  <c r="C109" i="9" a="1"/>
  <c r="C110" i="9" a="1"/>
  <c r="C111" i="9" a="1"/>
  <c r="C112" i="9" a="1"/>
  <c r="C113" i="9" a="1"/>
  <c r="C114" i="9" a="1"/>
  <c r="C115" i="9" a="1"/>
  <c r="C116" i="9" a="1"/>
  <c r="C117" i="9" a="1"/>
  <c r="C118" i="9" a="1"/>
  <c r="C119" i="9" a="1"/>
  <c r="C120" i="9" a="1"/>
  <c r="C121" i="9" a="1"/>
  <c r="C122" i="9" a="1"/>
  <c r="C123" i="9" a="1"/>
  <c r="C124" i="9" a="1"/>
  <c r="C125" i="9" a="1"/>
  <c r="C126" i="9" a="1"/>
  <c r="C127" i="9" a="1"/>
  <c r="C128" i="9" a="1"/>
  <c r="C129" i="9" a="1"/>
  <c r="C130" i="9" a="1"/>
  <c r="C131" i="9" a="1"/>
  <c r="C132" i="9" a="1"/>
  <c r="C133" i="9" a="1"/>
  <c r="C134" i="9" a="1"/>
  <c r="C135" i="9" a="1"/>
  <c r="C136" i="9" a="1"/>
  <c r="C137" i="9" a="1"/>
  <c r="C138" i="9" a="1"/>
  <c r="C139" i="9" a="1"/>
  <c r="C284" i="9" a="1"/>
  <c r="C141" i="9" a="1"/>
  <c r="C142" i="9" a="1"/>
  <c r="C143" i="9" a="1"/>
  <c r="C144" i="9" a="1"/>
  <c r="C145" i="9" a="1"/>
  <c r="C146" i="9" a="1"/>
  <c r="C147" i="9" a="1"/>
  <c r="C148" i="9" a="1"/>
  <c r="C149" i="9" a="1"/>
  <c r="C150" i="9" a="1"/>
  <c r="C151" i="9" a="1"/>
  <c r="C152" i="9" a="1"/>
  <c r="C153" i="9" a="1"/>
  <c r="C154" i="9" a="1"/>
  <c r="C155" i="9" a="1"/>
  <c r="C156" i="9" a="1"/>
  <c r="C157" i="9" a="1"/>
  <c r="C158" i="9" a="1"/>
  <c r="C159" i="9" a="1"/>
  <c r="C160" i="9" a="1"/>
  <c r="C161" i="9" a="1"/>
  <c r="C162" i="9" a="1"/>
  <c r="C163" i="9" a="1"/>
  <c r="C164" i="9" a="1"/>
  <c r="C165" i="9" a="1"/>
  <c r="C166" i="9" a="1"/>
  <c r="C167" i="9" a="1"/>
  <c r="C168" i="9" a="1"/>
  <c r="C169" i="9" a="1"/>
  <c r="C170" i="9" a="1"/>
  <c r="C171" i="9" a="1"/>
  <c r="C172" i="9" a="1"/>
  <c r="C173" i="9" a="1"/>
  <c r="C174" i="9" a="1"/>
  <c r="C175" i="9" a="1"/>
  <c r="C176" i="9" a="1"/>
  <c r="C177" i="9" a="1"/>
  <c r="C178" i="9" a="1"/>
  <c r="C179" i="9" a="1"/>
  <c r="C180" i="9" a="1"/>
  <c r="C181" i="9" a="1"/>
  <c r="C182" i="9" a="1"/>
  <c r="C183" i="9" a="1"/>
  <c r="C184" i="9" a="1"/>
  <c r="C185" i="9" a="1"/>
  <c r="C186" i="9" a="1"/>
  <c r="C187" i="9" a="1"/>
  <c r="C188" i="9" a="1"/>
  <c r="C189" i="9" a="1"/>
  <c r="C190" i="9" a="1"/>
  <c r="C191" i="9" a="1"/>
  <c r="C192" i="9" a="1"/>
  <c r="C193" i="9" a="1"/>
  <c r="C194" i="9" a="1"/>
  <c r="C195" i="9" a="1"/>
  <c r="C196" i="9" a="1"/>
  <c r="C197" i="9" a="1"/>
  <c r="C198" i="9" a="1"/>
  <c r="C199" i="9" a="1"/>
  <c r="C200" i="9" a="1"/>
  <c r="C201" i="9" a="1"/>
  <c r="C202" i="9" a="1"/>
  <c r="C203" i="9" a="1"/>
  <c r="C204" i="9" a="1"/>
  <c r="C205" i="9" a="1"/>
  <c r="C206" i="9" a="1"/>
  <c r="C207" i="9" a="1"/>
  <c r="C208" i="9" a="1"/>
  <c r="C209" i="9" a="1"/>
  <c r="C210" i="9" a="1"/>
  <c r="C211" i="9" a="1"/>
  <c r="C212" i="9" a="1"/>
  <c r="C213" i="9" a="1"/>
  <c r="C1186" i="9" a="1"/>
  <c r="C215" i="9" a="1"/>
  <c r="C216" i="9" a="1"/>
  <c r="C217" i="9" a="1"/>
  <c r="C218" i="9" a="1"/>
  <c r="C219" i="9" a="1"/>
  <c r="C220" i="9" a="1"/>
  <c r="C221" i="9" a="1"/>
  <c r="C222" i="9" a="1"/>
  <c r="C223" i="9" a="1"/>
  <c r="C224" i="9" a="1"/>
  <c r="C225" i="9" a="1"/>
  <c r="C226" i="9" a="1"/>
  <c r="C227" i="9" a="1"/>
  <c r="C228" i="9" a="1"/>
  <c r="C229" i="9" a="1"/>
  <c r="C230" i="9" a="1"/>
  <c r="C231" i="9" a="1"/>
  <c r="C232" i="9" a="1"/>
  <c r="C233" i="9" a="1"/>
  <c r="C234" i="9" a="1"/>
  <c r="C235" i="9" a="1"/>
  <c r="C236" i="9" a="1"/>
  <c r="C237" i="9" a="1"/>
  <c r="C238" i="9" a="1"/>
  <c r="C239" i="9" a="1"/>
  <c r="C240" i="9" a="1"/>
  <c r="C241" i="9" a="1"/>
  <c r="C242" i="9" a="1"/>
  <c r="C243" i="9" a="1"/>
  <c r="C244" i="9" a="1"/>
  <c r="C245" i="9" a="1"/>
  <c r="C246" i="9" a="1"/>
  <c r="C247" i="9" a="1"/>
  <c r="C248" i="9" a="1"/>
  <c r="C249" i="9" a="1"/>
  <c r="C250" i="9" a="1"/>
  <c r="C251" i="9" a="1"/>
  <c r="C252" i="9" a="1"/>
  <c r="C253" i="9" a="1"/>
  <c r="C254" i="9" a="1"/>
  <c r="C255" i="9" a="1"/>
  <c r="C256" i="9" a="1"/>
  <c r="C257" i="9" a="1"/>
  <c r="C258" i="9" a="1"/>
  <c r="C259" i="9" a="1"/>
  <c r="C260" i="9" a="1"/>
  <c r="C261" i="9" a="1"/>
  <c r="C262" i="9" a="1"/>
  <c r="C263" i="9" a="1"/>
  <c r="C264" i="9" a="1"/>
  <c r="C265" i="9" a="1"/>
  <c r="C266" i="9" a="1"/>
  <c r="C267" i="9" a="1"/>
  <c r="C268" i="9" a="1"/>
  <c r="C269" i="9" a="1"/>
  <c r="C270" i="9" a="1"/>
  <c r="C271" i="9" a="1"/>
  <c r="C272" i="9" a="1"/>
  <c r="C273" i="9" a="1"/>
  <c r="C274" i="9" a="1"/>
  <c r="C275" i="9" a="1"/>
  <c r="C276" i="9" a="1"/>
  <c r="C277" i="9" a="1"/>
  <c r="C278" i="9" a="1"/>
  <c r="C279" i="9" a="1"/>
  <c r="C280" i="9" a="1"/>
  <c r="C281" i="9" a="1"/>
  <c r="C282" i="9" a="1"/>
  <c r="C283" i="9" a="1"/>
  <c r="C320" i="9" a="1"/>
  <c r="C285" i="9" a="1"/>
  <c r="C286" i="9" a="1"/>
  <c r="C287" i="9" a="1"/>
  <c r="C288" i="9" a="1"/>
  <c r="C289" i="9" a="1"/>
  <c r="C290" i="9" a="1"/>
  <c r="C291" i="9" a="1"/>
  <c r="C292" i="9" a="1"/>
  <c r="C293" i="9" a="1"/>
  <c r="C294" i="9" a="1"/>
  <c r="C295" i="9" a="1"/>
  <c r="C296" i="9" a="1"/>
  <c r="C297" i="9" a="1"/>
  <c r="C298" i="9" a="1"/>
  <c r="C299" i="9" a="1"/>
  <c r="C300" i="9" a="1"/>
  <c r="C301" i="9" a="1"/>
  <c r="C302" i="9" a="1"/>
  <c r="C303" i="9" a="1"/>
  <c r="C304" i="9" a="1"/>
  <c r="C305" i="9" a="1"/>
  <c r="C306" i="9" a="1"/>
  <c r="C307" i="9" a="1"/>
  <c r="C308" i="9" a="1"/>
  <c r="C309" i="9" a="1"/>
  <c r="C310" i="9" a="1"/>
  <c r="C311" i="9" a="1"/>
  <c r="C312" i="9" a="1"/>
  <c r="C313" i="9" a="1"/>
  <c r="C314" i="9" a="1"/>
  <c r="C315" i="9" a="1"/>
  <c r="C316" i="9" a="1"/>
  <c r="C317" i="9" a="1"/>
  <c r="C318" i="9" a="1"/>
  <c r="C319" i="9" a="1"/>
  <c r="C356" i="9" a="1"/>
  <c r="C321" i="9" a="1"/>
  <c r="C1618" i="9" a="1"/>
  <c r="C323" i="9" a="1"/>
  <c r="C324" i="9" a="1"/>
  <c r="C325" i="9" a="1"/>
  <c r="C326" i="9" a="1"/>
  <c r="C327" i="9" a="1"/>
  <c r="C328" i="9" a="1"/>
  <c r="C329" i="9" a="1"/>
  <c r="C330" i="9" a="1"/>
  <c r="C331" i="9" a="1"/>
  <c r="C332" i="9" a="1"/>
  <c r="C333" i="9" a="1"/>
  <c r="C334" i="9" a="1"/>
  <c r="C335" i="9" a="1"/>
  <c r="C336" i="9" a="1"/>
  <c r="C337" i="9" a="1"/>
  <c r="C338" i="9" a="1"/>
  <c r="C339" i="9" a="1"/>
  <c r="C340" i="9" a="1"/>
  <c r="C341" i="9" a="1"/>
  <c r="C342" i="9" a="1"/>
  <c r="C343" i="9" a="1"/>
  <c r="C344" i="9" a="1"/>
  <c r="C345" i="9" a="1"/>
  <c r="C346" i="9" a="1"/>
  <c r="C347" i="9" a="1"/>
  <c r="C348" i="9" a="1"/>
  <c r="C349" i="9" a="1"/>
  <c r="C350" i="9" a="1"/>
  <c r="C351" i="9" a="1"/>
  <c r="C352" i="9" a="1"/>
  <c r="C353" i="9" a="1"/>
  <c r="C354" i="9" a="1"/>
  <c r="C355" i="9" a="1"/>
  <c r="C428" i="9" a="1"/>
  <c r="C357" i="9" a="1"/>
  <c r="C358" i="9" a="1"/>
  <c r="C359" i="9" a="1"/>
  <c r="C360" i="9" a="1"/>
  <c r="C361" i="9" a="1"/>
  <c r="C362" i="9" a="1"/>
  <c r="C363" i="9" a="1"/>
  <c r="C364" i="9" a="1"/>
  <c r="C365" i="9" a="1"/>
  <c r="C366" i="9" a="1"/>
  <c r="C367" i="9" a="1"/>
  <c r="C368" i="9" a="1"/>
  <c r="C369" i="9" a="1"/>
  <c r="C370" i="9" a="1"/>
  <c r="C371" i="9" a="1"/>
  <c r="C372" i="9" a="1"/>
  <c r="C373" i="9" a="1"/>
  <c r="C374" i="9" a="1"/>
  <c r="C375" i="9" a="1"/>
  <c r="C376" i="9" a="1"/>
  <c r="C377" i="9" a="1"/>
  <c r="C378" i="9" a="1"/>
  <c r="C379" i="9" a="1"/>
  <c r="C380" i="9" a="1"/>
  <c r="C381" i="9" a="1"/>
  <c r="C382" i="9" a="1"/>
  <c r="C383" i="9" a="1"/>
  <c r="C384" i="9" a="1"/>
  <c r="C385" i="9" a="1"/>
  <c r="C386" i="9" a="1"/>
  <c r="C387" i="9" a="1"/>
  <c r="C388" i="9" a="1"/>
  <c r="C389" i="9" a="1"/>
  <c r="C390" i="9" a="1"/>
  <c r="C391" i="9" a="1"/>
  <c r="C464" i="9" a="1"/>
  <c r="C393" i="9" a="1"/>
  <c r="C2554" i="9" a="1"/>
  <c r="C395" i="9" a="1"/>
  <c r="C396" i="9" a="1"/>
  <c r="C397" i="9" a="1"/>
  <c r="C398" i="9" a="1"/>
  <c r="C399" i="9" a="1"/>
  <c r="C400" i="9" a="1"/>
  <c r="C401" i="9" a="1"/>
  <c r="C402" i="9" a="1"/>
  <c r="C403" i="9" a="1"/>
  <c r="C404" i="9" a="1"/>
  <c r="C405" i="9" a="1"/>
  <c r="C406" i="9" a="1"/>
  <c r="C407" i="9" a="1"/>
  <c r="C408" i="9" a="1"/>
  <c r="C409" i="9" a="1"/>
  <c r="C410" i="9" a="1"/>
  <c r="C411" i="9" a="1"/>
  <c r="C412" i="9" a="1"/>
  <c r="C413" i="9" a="1"/>
  <c r="C414" i="9" a="1"/>
  <c r="C415" i="9" a="1"/>
  <c r="C416" i="9" a="1"/>
  <c r="C417" i="9" a="1"/>
  <c r="C418" i="9" a="1"/>
  <c r="C419" i="9" a="1"/>
  <c r="C420" i="9" a="1"/>
  <c r="C421" i="9" a="1"/>
  <c r="C422" i="9" a="1"/>
  <c r="C423" i="9" a="1"/>
  <c r="C424" i="9" a="1"/>
  <c r="C425" i="9" a="1"/>
  <c r="C426" i="9" a="1"/>
  <c r="C427" i="9" a="1"/>
  <c r="C500" i="9" a="1"/>
  <c r="C429" i="9" a="1"/>
  <c r="C2122" i="9" a="1"/>
  <c r="C431" i="9" a="1"/>
  <c r="C432" i="9" a="1"/>
  <c r="C433" i="9" a="1"/>
  <c r="C434" i="9" a="1"/>
  <c r="C435" i="9" a="1"/>
  <c r="C436" i="9" a="1"/>
  <c r="C437" i="9" a="1"/>
  <c r="C438" i="9" a="1"/>
  <c r="C439" i="9" a="1"/>
  <c r="C440" i="9" a="1"/>
  <c r="C441" i="9" a="1"/>
  <c r="C442" i="9" a="1"/>
  <c r="C443" i="9" a="1"/>
  <c r="C444" i="9" a="1"/>
  <c r="C445" i="9" a="1"/>
  <c r="C446" i="9" a="1"/>
  <c r="C447" i="9" a="1"/>
  <c r="C448" i="9" a="1"/>
  <c r="C449" i="9" a="1"/>
  <c r="C450" i="9" a="1"/>
  <c r="C451" i="9" a="1"/>
  <c r="C452" i="9" a="1"/>
  <c r="C453" i="9" a="1"/>
  <c r="C454" i="9" a="1"/>
  <c r="C455" i="9" a="1"/>
  <c r="C456" i="9" a="1"/>
  <c r="C457" i="9" a="1"/>
  <c r="C458" i="9" a="1"/>
  <c r="C459" i="9" a="1"/>
  <c r="C460" i="9" a="1"/>
  <c r="C461" i="9" a="1"/>
  <c r="C462" i="9" a="1"/>
  <c r="C463" i="9" a="1"/>
  <c r="C536" i="9" a="1"/>
  <c r="C465" i="9" a="1"/>
  <c r="C1042" i="9" a="1"/>
  <c r="C467" i="9" a="1"/>
  <c r="C468" i="9" a="1"/>
  <c r="C469" i="9" a="1"/>
  <c r="C470" i="9" a="1"/>
  <c r="C471" i="9" a="1"/>
  <c r="C472" i="9" a="1"/>
  <c r="C473" i="9" a="1"/>
  <c r="C474" i="9" a="1"/>
  <c r="C475" i="9" a="1"/>
  <c r="C476" i="9" a="1"/>
  <c r="C477" i="9" a="1"/>
  <c r="C478" i="9" a="1"/>
  <c r="C479" i="9" a="1"/>
  <c r="C480" i="9" a="1"/>
  <c r="C481" i="9" a="1"/>
  <c r="C482" i="9" a="1"/>
  <c r="C483" i="9" a="1"/>
  <c r="C484" i="9" a="1"/>
  <c r="C485" i="9" a="1"/>
  <c r="C486" i="9" a="1"/>
  <c r="C487" i="9" a="1"/>
  <c r="C488" i="9" a="1"/>
  <c r="C489" i="9" a="1"/>
  <c r="C490" i="9" a="1"/>
  <c r="C491" i="9" a="1"/>
  <c r="C492" i="9" a="1"/>
  <c r="C493" i="9" a="1"/>
  <c r="C494" i="9" a="1"/>
  <c r="C495" i="9" a="1"/>
  <c r="C496" i="9" a="1"/>
  <c r="C497" i="9" a="1"/>
  <c r="C498" i="9" a="1"/>
  <c r="C499" i="9" a="1"/>
  <c r="C572" i="9" a="1"/>
  <c r="C501" i="9" a="1"/>
  <c r="C502" i="9" a="1"/>
  <c r="C503" i="9" a="1"/>
  <c r="C504" i="9" a="1"/>
  <c r="C505" i="9" a="1"/>
  <c r="C506" i="9" a="1"/>
  <c r="C507" i="9" a="1"/>
  <c r="C508" i="9" a="1"/>
  <c r="C509" i="9" a="1"/>
  <c r="C510" i="9" a="1"/>
  <c r="C511" i="9" a="1"/>
  <c r="C512" i="9" a="1"/>
  <c r="C513" i="9" a="1"/>
  <c r="C514" i="9" a="1"/>
  <c r="C515" i="9" a="1"/>
  <c r="C516" i="9" a="1"/>
  <c r="C517" i="9" a="1"/>
  <c r="C518" i="9" a="1"/>
  <c r="C519" i="9" a="1"/>
  <c r="C520" i="9" a="1"/>
  <c r="C521" i="9" a="1"/>
  <c r="C522" i="9" a="1"/>
  <c r="C523" i="9" a="1"/>
  <c r="C524" i="9" a="1"/>
  <c r="C525" i="9" a="1"/>
  <c r="C526" i="9" a="1"/>
  <c r="C527" i="9" a="1"/>
  <c r="C528" i="9" a="1"/>
  <c r="C529" i="9" a="1"/>
  <c r="C530" i="9" a="1"/>
  <c r="C531" i="9" a="1"/>
  <c r="C532" i="9" a="1"/>
  <c r="C533" i="9" a="1"/>
  <c r="C534" i="9" a="1"/>
  <c r="C535" i="9" a="1"/>
  <c r="C608" i="9" a="1"/>
  <c r="C537" i="9" a="1"/>
  <c r="C538" i="9" a="1"/>
  <c r="C539" i="9" a="1"/>
  <c r="C540" i="9" a="1"/>
  <c r="C541" i="9" a="1"/>
  <c r="C542" i="9" a="1"/>
  <c r="C543" i="9" a="1"/>
  <c r="C544" i="9" a="1"/>
  <c r="C545" i="9" a="1"/>
  <c r="C546" i="9" a="1"/>
  <c r="C547" i="9" a="1"/>
  <c r="C548" i="9" a="1"/>
  <c r="C549" i="9" a="1"/>
  <c r="C550" i="9" a="1"/>
  <c r="C551" i="9" a="1"/>
  <c r="C552" i="9" a="1"/>
  <c r="C553" i="9" a="1"/>
  <c r="C554" i="9" a="1"/>
  <c r="C555" i="9" a="1"/>
  <c r="C556" i="9" a="1"/>
  <c r="C557" i="9" a="1"/>
  <c r="C558" i="9" a="1"/>
  <c r="C559" i="9" a="1"/>
  <c r="C560" i="9" a="1"/>
  <c r="C561" i="9" a="1"/>
  <c r="C562" i="9" a="1"/>
  <c r="C563" i="9" a="1"/>
  <c r="C564" i="9" a="1"/>
  <c r="C565" i="9" a="1"/>
  <c r="C566" i="9" a="1"/>
  <c r="C567" i="9" a="1"/>
  <c r="C568" i="9" a="1"/>
  <c r="C569" i="9" a="1"/>
  <c r="C570" i="9" a="1"/>
  <c r="C644" i="9" a="1"/>
  <c r="C573" i="9" a="1"/>
  <c r="C574" i="9" a="1"/>
  <c r="C575" i="9" a="1"/>
  <c r="C576" i="9" a="1"/>
  <c r="C577" i="9" a="1"/>
  <c r="C578" i="9" a="1"/>
  <c r="C579" i="9" a="1"/>
  <c r="C580" i="9" a="1"/>
  <c r="C581" i="9" a="1"/>
  <c r="C582" i="9" a="1"/>
  <c r="C583" i="9" a="1"/>
  <c r="C584" i="9" a="1"/>
  <c r="C585" i="9" a="1"/>
  <c r="C586" i="9" a="1"/>
  <c r="C587" i="9" a="1"/>
  <c r="C588" i="9" a="1"/>
  <c r="C589" i="9" a="1"/>
  <c r="C590" i="9" a="1"/>
  <c r="C591" i="9" a="1"/>
  <c r="C592" i="9" a="1"/>
  <c r="C593" i="9" a="1"/>
  <c r="C594" i="9" a="1"/>
  <c r="C595" i="9" a="1"/>
  <c r="C596" i="9" a="1"/>
  <c r="C597" i="9" a="1"/>
  <c r="C598" i="9" a="1"/>
  <c r="C599" i="9" a="1"/>
  <c r="C600" i="9" a="1"/>
  <c r="C601" i="9" a="1"/>
  <c r="C602" i="9" a="1"/>
  <c r="C603" i="9" a="1"/>
  <c r="C604" i="9" a="1"/>
  <c r="C605" i="9" a="1"/>
  <c r="C606" i="9" a="1"/>
  <c r="C607" i="9" a="1"/>
  <c r="C716" i="9" a="1"/>
  <c r="C609" i="9" a="1"/>
  <c r="C610" i="9" a="1"/>
  <c r="C611" i="9" a="1"/>
  <c r="C612" i="9" a="1"/>
  <c r="C613" i="9" a="1"/>
  <c r="C614" i="9" a="1"/>
  <c r="C615" i="9" a="1"/>
  <c r="C616" i="9" a="1"/>
  <c r="C617" i="9" a="1"/>
  <c r="C618" i="9" a="1"/>
  <c r="C619" i="9" a="1"/>
  <c r="C620" i="9" a="1"/>
  <c r="C621" i="9" a="1"/>
  <c r="C622" i="9" a="1"/>
  <c r="C623" i="9" a="1"/>
  <c r="C624" i="9" a="1"/>
  <c r="C625" i="9" a="1"/>
  <c r="C626" i="9" a="1"/>
  <c r="C627" i="9" a="1"/>
  <c r="C628" i="9" a="1"/>
  <c r="C629" i="9" a="1"/>
  <c r="C630" i="9" a="1"/>
  <c r="C631" i="9" a="1"/>
  <c r="C632" i="9" a="1"/>
  <c r="C633" i="9" a="1"/>
  <c r="C634" i="9" a="1"/>
  <c r="C635" i="9" a="1"/>
  <c r="C636" i="9" a="1"/>
  <c r="C637" i="9" a="1"/>
  <c r="C638" i="9" a="1"/>
  <c r="C639" i="9" a="1"/>
  <c r="C640" i="9" a="1"/>
  <c r="C641" i="9" a="1"/>
  <c r="C642" i="9" a="1"/>
  <c r="C643" i="9" a="1"/>
  <c r="C752" i="9" a="1"/>
  <c r="C645" i="9" a="1"/>
  <c r="C646" i="9" a="1"/>
  <c r="C647" i="9" a="1"/>
  <c r="C648" i="9" a="1"/>
  <c r="C649" i="9" a="1"/>
  <c r="C650" i="9" a="1"/>
  <c r="C651" i="9" a="1"/>
  <c r="C652" i="9" a="1"/>
  <c r="C653" i="9" a="1"/>
  <c r="C654" i="9" a="1"/>
  <c r="C655" i="9" a="1"/>
  <c r="C656" i="9" a="1"/>
  <c r="C657" i="9" a="1"/>
  <c r="C658" i="9" a="1"/>
  <c r="C659" i="9" a="1"/>
  <c r="C660" i="9" a="1"/>
  <c r="C661" i="9" a="1"/>
  <c r="C662" i="9" a="1"/>
  <c r="C663" i="9" a="1"/>
  <c r="C664" i="9" a="1"/>
  <c r="C665" i="9" a="1"/>
  <c r="C666" i="9" a="1"/>
  <c r="C667" i="9" a="1"/>
  <c r="C668" i="9" a="1"/>
  <c r="C669" i="9" a="1"/>
  <c r="C670" i="9" a="1"/>
  <c r="C671" i="9" a="1"/>
  <c r="C672" i="9" a="1"/>
  <c r="C673" i="9" a="1"/>
  <c r="C674" i="9" a="1"/>
  <c r="C675" i="9" a="1"/>
  <c r="C676" i="9" a="1"/>
  <c r="C677" i="9" a="1"/>
  <c r="C678" i="9" a="1"/>
  <c r="C679" i="9" a="1"/>
  <c r="C788" i="9" a="1"/>
  <c r="C681" i="9" a="1"/>
  <c r="C682" i="9" a="1"/>
  <c r="C683" i="9" a="1"/>
  <c r="C684" i="9" a="1"/>
  <c r="C685" i="9" a="1"/>
  <c r="C686" i="9" a="1"/>
  <c r="C687" i="9" a="1"/>
  <c r="C688" i="9" a="1"/>
  <c r="C689" i="9" a="1"/>
  <c r="C690" i="9" a="1"/>
  <c r="C691" i="9" a="1"/>
  <c r="C692" i="9" a="1"/>
  <c r="C693" i="9" a="1"/>
  <c r="C694" i="9" a="1"/>
  <c r="C695" i="9" a="1"/>
  <c r="C696" i="9" a="1"/>
  <c r="C697" i="9" a="1"/>
  <c r="C698" i="9" a="1"/>
  <c r="C699" i="9" a="1"/>
  <c r="C700" i="9" a="1"/>
  <c r="C701" i="9" a="1"/>
  <c r="C702" i="9" a="1"/>
  <c r="C703" i="9" a="1"/>
  <c r="C704" i="9" a="1"/>
  <c r="C705" i="9" a="1"/>
  <c r="C706" i="9" a="1"/>
  <c r="C707" i="9" a="1"/>
  <c r="C708" i="9" a="1"/>
  <c r="C709" i="9" a="1"/>
  <c r="C710" i="9" a="1"/>
  <c r="C711" i="9" a="1"/>
  <c r="C712" i="9" a="1"/>
  <c r="C713" i="9" a="1"/>
  <c r="C714" i="9" a="1"/>
  <c r="C715" i="9" a="1"/>
  <c r="C789" i="9" a="1"/>
  <c r="C717" i="9" a="1"/>
  <c r="C718" i="9" a="1"/>
  <c r="C719" i="9" a="1"/>
  <c r="C720" i="9" a="1"/>
  <c r="C721" i="9" a="1"/>
  <c r="C722" i="9" a="1"/>
  <c r="C723" i="9" a="1"/>
  <c r="C724" i="9" a="1"/>
  <c r="C725" i="9" a="1"/>
  <c r="C726" i="9" a="1"/>
  <c r="C727" i="9" a="1"/>
  <c r="C728" i="9" a="1"/>
  <c r="C729" i="9" a="1"/>
  <c r="C730" i="9" a="1"/>
  <c r="C731" i="9" a="1"/>
  <c r="C732" i="9" a="1"/>
  <c r="C733" i="9" a="1"/>
  <c r="C734" i="9" a="1"/>
  <c r="C735" i="9" a="1"/>
  <c r="C736" i="9" a="1"/>
  <c r="C737" i="9" a="1"/>
  <c r="C738" i="9" a="1"/>
  <c r="C739" i="9" a="1"/>
  <c r="C740" i="9" a="1"/>
  <c r="C741" i="9" a="1"/>
  <c r="C742" i="9" a="1"/>
  <c r="C743" i="9" a="1"/>
  <c r="C744" i="9" a="1"/>
  <c r="C745" i="9" a="1"/>
  <c r="C746" i="9" a="1"/>
  <c r="C747" i="9" a="1"/>
  <c r="C748" i="9" a="1"/>
  <c r="C749" i="9" a="1"/>
  <c r="C750" i="9" a="1"/>
  <c r="C751" i="9" a="1"/>
  <c r="C825" i="9" a="1"/>
  <c r="C753" i="9" a="1"/>
  <c r="C754" i="9" a="1"/>
  <c r="C755" i="9" a="1"/>
  <c r="C756" i="9" a="1"/>
  <c r="C757" i="9" a="1"/>
  <c r="C758" i="9" a="1"/>
  <c r="C759" i="9" a="1"/>
  <c r="C760" i="9" a="1"/>
  <c r="C761" i="9" a="1"/>
  <c r="C762" i="9" a="1"/>
  <c r="C763" i="9" a="1"/>
  <c r="C764" i="9" a="1"/>
  <c r="C765" i="9" a="1"/>
  <c r="C766" i="9" a="1"/>
  <c r="C767" i="9" a="1"/>
  <c r="C768" i="9" a="1"/>
  <c r="C769" i="9" a="1"/>
  <c r="C770" i="9" a="1"/>
  <c r="C771" i="9" a="1"/>
  <c r="C772" i="9" a="1"/>
  <c r="C773" i="9" a="1"/>
  <c r="C774" i="9" a="1"/>
  <c r="C775" i="9" a="1"/>
  <c r="C776" i="9" a="1"/>
  <c r="C777" i="9" a="1"/>
  <c r="C778" i="9" a="1"/>
  <c r="C779" i="9" a="1"/>
  <c r="C780" i="9" a="1"/>
  <c r="C781" i="9" a="1"/>
  <c r="C782" i="9" a="1"/>
  <c r="C783" i="9" a="1"/>
  <c r="C784" i="9" a="1"/>
  <c r="C785" i="9" a="1"/>
  <c r="C786" i="9" a="1"/>
  <c r="C787" i="9" a="1"/>
  <c r="C861" i="9" a="1"/>
  <c r="C790" i="9" a="1"/>
  <c r="C791" i="9" a="1"/>
  <c r="C792" i="9" a="1"/>
  <c r="C793" i="9" a="1"/>
  <c r="C794" i="9" a="1"/>
  <c r="C795" i="9" a="1"/>
  <c r="C796" i="9" a="1"/>
  <c r="C797" i="9" a="1"/>
  <c r="C798" i="9" a="1"/>
  <c r="C799" i="9" a="1"/>
  <c r="C800" i="9" a="1"/>
  <c r="C801" i="9" a="1"/>
  <c r="C802" i="9" a="1"/>
  <c r="C803" i="9" a="1"/>
  <c r="C804" i="9" a="1"/>
  <c r="C805" i="9" a="1"/>
  <c r="C806" i="9" a="1"/>
  <c r="C807" i="9" a="1"/>
  <c r="C808" i="9" a="1"/>
  <c r="C809" i="9" a="1"/>
  <c r="C810" i="9" a="1"/>
  <c r="C811" i="9" a="1"/>
  <c r="C812" i="9" a="1"/>
  <c r="C813" i="9" a="1"/>
  <c r="C814" i="9" a="1"/>
  <c r="C815" i="9" a="1"/>
  <c r="C816" i="9" a="1"/>
  <c r="C817" i="9" a="1"/>
  <c r="C818" i="9" a="1"/>
  <c r="C819" i="9" a="1"/>
  <c r="C820" i="9" a="1"/>
  <c r="C821" i="9" a="1"/>
  <c r="C822" i="9" a="1"/>
  <c r="C823" i="9" a="1"/>
  <c r="C824" i="9" a="1"/>
  <c r="C932" i="9" a="1"/>
  <c r="C826" i="9" a="1"/>
  <c r="C1114" i="9" a="1"/>
  <c r="C828" i="9" a="1"/>
  <c r="C829" i="9" a="1"/>
  <c r="C830" i="9" a="1"/>
  <c r="C831" i="9" a="1"/>
  <c r="C832" i="9" a="1"/>
  <c r="C833" i="9" a="1"/>
  <c r="C834" i="9" a="1"/>
  <c r="C835" i="9" a="1"/>
  <c r="C836" i="9" a="1"/>
  <c r="C837" i="9" a="1"/>
  <c r="C838" i="9" a="1"/>
  <c r="C839" i="9" a="1"/>
  <c r="C840" i="9" a="1"/>
  <c r="C841" i="9" a="1"/>
  <c r="C842" i="9" a="1"/>
  <c r="C843" i="9" a="1"/>
  <c r="C844" i="9" a="1"/>
  <c r="C845" i="9" a="1"/>
  <c r="C846" i="9" a="1"/>
  <c r="C847" i="9" a="1"/>
  <c r="C848" i="9" a="1"/>
  <c r="C849" i="9" a="1"/>
  <c r="C850" i="9" a="1"/>
  <c r="C851" i="9" a="1"/>
  <c r="C852" i="9" a="1"/>
  <c r="C853" i="9" a="1"/>
  <c r="C854" i="9" a="1"/>
  <c r="C855" i="9" a="1"/>
  <c r="C856" i="9" a="1"/>
  <c r="C857" i="9" a="1"/>
  <c r="C858" i="9" a="1"/>
  <c r="C859" i="9" a="1"/>
  <c r="C860" i="9" a="1"/>
  <c r="C968" i="9" a="1"/>
  <c r="C862" i="9" a="1"/>
  <c r="C863" i="9" a="1"/>
  <c r="C864" i="9" a="1"/>
  <c r="C865" i="9" a="1"/>
  <c r="C866" i="9" a="1"/>
  <c r="C867" i="9" a="1"/>
  <c r="C868" i="9" a="1"/>
  <c r="C869" i="9" a="1"/>
  <c r="C870" i="9" a="1"/>
  <c r="C871" i="9" a="1"/>
  <c r="C872" i="9" a="1"/>
  <c r="C873" i="9" a="1"/>
  <c r="C874" i="9" a="1"/>
  <c r="C875" i="9" a="1"/>
  <c r="C876" i="9" a="1"/>
  <c r="C877" i="9" a="1"/>
  <c r="C878" i="9" a="1"/>
  <c r="C879" i="9" a="1"/>
  <c r="C880" i="9" a="1"/>
  <c r="C881" i="9" a="1"/>
  <c r="C882" i="9" a="1"/>
  <c r="C883" i="9" a="1"/>
  <c r="C884" i="9" a="1"/>
  <c r="C885" i="9" a="1"/>
  <c r="C886" i="9" a="1"/>
  <c r="C887" i="9" a="1"/>
  <c r="C888" i="9" a="1"/>
  <c r="C889" i="9" a="1"/>
  <c r="C890" i="9" a="1"/>
  <c r="C891" i="9" a="1"/>
  <c r="C892" i="9" a="1"/>
  <c r="C893" i="9" a="1"/>
  <c r="C894" i="9" a="1"/>
  <c r="C895" i="9" a="1"/>
  <c r="C896" i="9" a="1"/>
  <c r="C1004" i="9" a="1"/>
  <c r="C897" i="9" a="1"/>
  <c r="C898" i="9" a="1"/>
  <c r="C899" i="9" a="1"/>
  <c r="C900" i="9" a="1"/>
  <c r="C901" i="9" a="1"/>
  <c r="C902" i="9" a="1"/>
  <c r="C903" i="9" a="1"/>
  <c r="C904" i="9" a="1"/>
  <c r="C905" i="9" a="1"/>
  <c r="C906" i="9" a="1"/>
  <c r="C907" i="9" a="1"/>
  <c r="C908" i="9" a="1"/>
  <c r="C909" i="9" a="1"/>
  <c r="C910" i="9" a="1"/>
  <c r="C911" i="9" a="1"/>
  <c r="C912" i="9" a="1"/>
  <c r="C913" i="9" a="1"/>
  <c r="C914" i="9" a="1"/>
  <c r="C915" i="9" a="1"/>
  <c r="C916" i="9" a="1"/>
  <c r="C917" i="9" a="1"/>
  <c r="C918" i="9" a="1"/>
  <c r="C919" i="9" a="1"/>
  <c r="C920" i="9" a="1"/>
  <c r="C921" i="9" a="1"/>
  <c r="C922" i="9" a="1"/>
  <c r="C923" i="9" a="1"/>
  <c r="C924" i="9" a="1"/>
  <c r="C925" i="9" a="1"/>
  <c r="C926" i="9" a="1"/>
  <c r="C927" i="9" a="1"/>
  <c r="C928" i="9" a="1"/>
  <c r="C929" i="9" a="1"/>
  <c r="C930" i="9" a="1"/>
  <c r="C931" i="9" a="1"/>
  <c r="C1040" i="9" a="1"/>
  <c r="C933" i="9" a="1"/>
  <c r="C1726" i="9" a="1"/>
  <c r="C935" i="9" a="1"/>
  <c r="C936" i="9" a="1"/>
  <c r="C937" i="9" a="1"/>
  <c r="C938" i="9" a="1"/>
  <c r="C939" i="9" a="1"/>
  <c r="C940" i="9" a="1"/>
  <c r="C941" i="9" a="1"/>
  <c r="C942" i="9" a="1"/>
  <c r="C943" i="9" a="1"/>
  <c r="C944" i="9" a="1"/>
  <c r="C945" i="9" a="1"/>
  <c r="C946" i="9" a="1"/>
  <c r="C947" i="9" a="1"/>
  <c r="C948" i="9" a="1"/>
  <c r="C949" i="9" a="1"/>
  <c r="C950" i="9" a="1"/>
  <c r="C951" i="9" a="1"/>
  <c r="C952" i="9" a="1"/>
  <c r="C953" i="9" a="1"/>
  <c r="C954" i="9" a="1"/>
  <c r="C955" i="9" a="1"/>
  <c r="C956" i="9" a="1"/>
  <c r="C957" i="9" a="1"/>
  <c r="C958" i="9" a="1"/>
  <c r="C959" i="9" a="1"/>
  <c r="C960" i="9" a="1"/>
  <c r="C961" i="9" a="1"/>
  <c r="C962" i="9" a="1"/>
  <c r="C963" i="9" a="1"/>
  <c r="C964" i="9" a="1"/>
  <c r="C965" i="9" a="1"/>
  <c r="C966" i="9" a="1"/>
  <c r="C967" i="9" a="1"/>
  <c r="C1076" i="9" a="1"/>
  <c r="C969" i="9" a="1"/>
  <c r="C970" i="9" a="1"/>
  <c r="C971" i="9" a="1"/>
  <c r="C972" i="9" a="1"/>
  <c r="C973" i="9" a="1"/>
  <c r="C974" i="9" a="1"/>
  <c r="C975" i="9" a="1"/>
  <c r="C976" i="9" a="1"/>
  <c r="C977" i="9" a="1"/>
  <c r="C978" i="9" a="1"/>
  <c r="C979" i="9" a="1"/>
  <c r="C980" i="9" a="1"/>
  <c r="C981" i="9" a="1"/>
  <c r="C982" i="9" a="1"/>
  <c r="C983" i="9" a="1"/>
  <c r="C984" i="9" a="1"/>
  <c r="C985" i="9" a="1"/>
  <c r="C986" i="9" a="1"/>
  <c r="C987" i="9" a="1"/>
  <c r="C988" i="9" a="1"/>
  <c r="C989" i="9" a="1"/>
  <c r="C990" i="9" a="1"/>
  <c r="C991" i="9" a="1"/>
  <c r="C992" i="9" a="1"/>
  <c r="C993" i="9" a="1"/>
  <c r="C994" i="9" a="1"/>
  <c r="C995" i="9" a="1"/>
  <c r="C996" i="9" a="1"/>
  <c r="C997" i="9" a="1"/>
  <c r="C998" i="9" a="1"/>
  <c r="C999" i="9" a="1"/>
  <c r="C1000" i="9" a="1"/>
  <c r="C1001" i="9" a="1"/>
  <c r="C1002" i="9" a="1"/>
  <c r="C1003" i="9" a="1"/>
  <c r="C1112" i="9" a="1"/>
  <c r="C1005" i="9" a="1"/>
  <c r="C1006" i="9" a="1"/>
  <c r="C1007" i="9" a="1"/>
  <c r="C1008" i="9" a="1"/>
  <c r="C1009" i="9" a="1"/>
  <c r="C1010" i="9" a="1"/>
  <c r="C1011" i="9" a="1"/>
  <c r="C1012" i="9" a="1"/>
  <c r="C1013" i="9" a="1"/>
  <c r="C1014" i="9" a="1"/>
  <c r="C1015" i="9" a="1"/>
  <c r="C1016" i="9" a="1"/>
  <c r="C1017" i="9" a="1"/>
  <c r="C1018" i="9" a="1"/>
  <c r="C1019" i="9" a="1"/>
  <c r="C1020" i="9" a="1"/>
  <c r="C1021" i="9" a="1"/>
  <c r="C1022" i="9" a="1"/>
  <c r="C1023" i="9" a="1"/>
  <c r="C1024" i="9" a="1"/>
  <c r="C1025" i="9" a="1"/>
  <c r="C1026" i="9" a="1"/>
  <c r="C1027" i="9" a="1"/>
  <c r="C1028" i="9" a="1"/>
  <c r="C1029" i="9" a="1"/>
  <c r="C1030" i="9" a="1"/>
  <c r="C1031" i="9" a="1"/>
  <c r="C1032" i="9" a="1"/>
  <c r="C1033" i="9" a="1"/>
  <c r="C1034" i="9" a="1"/>
  <c r="C1035" i="9" a="1"/>
  <c r="C1036" i="9" a="1"/>
  <c r="C1037" i="9" a="1"/>
  <c r="C1038" i="9" a="1"/>
  <c r="C1039" i="9" a="1"/>
  <c r="C1148" i="9" a="1"/>
  <c r="C1041" i="9" a="1"/>
  <c r="C466" i="9" a="1"/>
  <c r="C1043" i="9" a="1"/>
  <c r="C1044" i="9" a="1"/>
  <c r="C1045" i="9" a="1"/>
  <c r="C1046" i="9" a="1"/>
  <c r="C1047" i="9" a="1"/>
  <c r="C1048" i="9" a="1"/>
  <c r="C1049" i="9" a="1"/>
  <c r="C1050" i="9" a="1"/>
  <c r="C1051" i="9" a="1"/>
  <c r="C1052" i="9" a="1"/>
  <c r="C1053" i="9" a="1"/>
  <c r="C1054" i="9" a="1"/>
  <c r="C1055" i="9" a="1"/>
  <c r="C1056" i="9" a="1"/>
  <c r="C1057" i="9" a="1"/>
  <c r="C1058" i="9" a="1"/>
  <c r="C1059" i="9" a="1"/>
  <c r="C1060" i="9" a="1"/>
  <c r="C1061" i="9" a="1"/>
  <c r="C1062" i="9" a="1"/>
  <c r="C1063" i="9" a="1"/>
  <c r="C1064" i="9" a="1"/>
  <c r="C1065" i="9" a="1"/>
  <c r="C1066" i="9" a="1"/>
  <c r="C1067" i="9" a="1"/>
  <c r="C1068" i="9" a="1"/>
  <c r="C1069" i="9" a="1"/>
  <c r="C1070" i="9" a="1"/>
  <c r="C1071" i="9" a="1"/>
  <c r="C1072" i="9" a="1"/>
  <c r="C1073" i="9" a="1"/>
  <c r="C1074" i="9" a="1"/>
  <c r="C1075" i="9" a="1"/>
  <c r="C1184" i="9" a="1"/>
  <c r="C1077" i="9" a="1"/>
  <c r="C1078" i="9" a="1"/>
  <c r="C1079" i="9" a="1"/>
  <c r="C1080" i="9" a="1"/>
  <c r="C1081" i="9" a="1"/>
  <c r="C1082" i="9" a="1"/>
  <c r="C1083" i="9" a="1"/>
  <c r="C1084" i="9" a="1"/>
  <c r="C1085" i="9" a="1"/>
  <c r="C1086" i="9" a="1"/>
  <c r="C1087" i="9" a="1"/>
  <c r="C1088" i="9" a="1"/>
  <c r="C1089" i="9" a="1"/>
  <c r="C1090" i="9" a="1"/>
  <c r="C1091" i="9" a="1"/>
  <c r="C1092" i="9" a="1"/>
  <c r="C1093" i="9" a="1"/>
  <c r="C1094" i="9" a="1"/>
  <c r="C1095" i="9" a="1"/>
  <c r="C1096" i="9" a="1"/>
  <c r="C1097" i="9" a="1"/>
  <c r="C1098" i="9" a="1"/>
  <c r="C1099" i="9" a="1"/>
  <c r="C1100" i="9" a="1"/>
  <c r="C1101" i="9" a="1"/>
  <c r="C1102" i="9" a="1"/>
  <c r="C1103" i="9" a="1"/>
  <c r="C1104" i="9" a="1"/>
  <c r="C1105" i="9" a="1"/>
  <c r="C1106" i="9" a="1"/>
  <c r="C1107" i="9" a="1"/>
  <c r="C1108" i="9" a="1"/>
  <c r="C1109" i="9" a="1"/>
  <c r="C1110" i="9" a="1"/>
  <c r="C1111" i="9" a="1"/>
  <c r="C1220" i="9" a="1"/>
  <c r="C1113" i="9" a="1"/>
  <c r="C2776" i="9" a="1"/>
  <c r="C1115" i="9" a="1"/>
  <c r="C1116" i="9" a="1"/>
  <c r="C1117" i="9" a="1"/>
  <c r="C1118" i="9" a="1"/>
  <c r="C1119" i="9" a="1"/>
  <c r="C1120" i="9" a="1"/>
  <c r="C1121" i="9" a="1"/>
  <c r="C1122" i="9" a="1"/>
  <c r="C1123" i="9" a="1"/>
  <c r="C1124" i="9" a="1"/>
  <c r="C1125" i="9" a="1"/>
  <c r="C1126" i="9" a="1"/>
  <c r="C1127" i="9" a="1"/>
  <c r="C1128" i="9" a="1"/>
  <c r="C1129" i="9" a="1"/>
  <c r="C1130" i="9" a="1"/>
  <c r="C1131" i="9" a="1"/>
  <c r="C1132" i="9" a="1"/>
  <c r="C1133" i="9" a="1"/>
  <c r="C1134" i="9" a="1"/>
  <c r="C1135" i="9" a="1"/>
  <c r="C1136" i="9" a="1"/>
  <c r="C1137" i="9" a="1"/>
  <c r="C1138" i="9" a="1"/>
  <c r="C1139" i="9" a="1"/>
  <c r="C1140" i="9" a="1"/>
  <c r="C1141" i="9" a="1"/>
  <c r="C1142" i="9" a="1"/>
  <c r="C1143" i="9" a="1"/>
  <c r="C1144" i="9" a="1"/>
  <c r="C1145" i="9" a="1"/>
  <c r="C1146" i="9" a="1"/>
  <c r="C1147" i="9" a="1"/>
  <c r="C1256" i="9" a="1"/>
  <c r="C1149" i="9" a="1"/>
  <c r="C2698" i="9" a="1"/>
  <c r="C1151" i="9" a="1"/>
  <c r="C1152" i="9" a="1"/>
  <c r="C1153" i="9" a="1"/>
  <c r="C1154" i="9" a="1"/>
  <c r="C1155" i="9" a="1"/>
  <c r="C1156" i="9" a="1"/>
  <c r="C1157" i="9" a="1"/>
  <c r="C1158" i="9" a="1"/>
  <c r="C1159" i="9" a="1"/>
  <c r="C1160" i="9" a="1"/>
  <c r="C1161" i="9" a="1"/>
  <c r="C1162" i="9" a="1"/>
  <c r="C1163" i="9" a="1"/>
  <c r="C1164" i="9" a="1"/>
  <c r="C1165" i="9" a="1"/>
  <c r="C1166" i="9" a="1"/>
  <c r="C1167" i="9" a="1"/>
  <c r="C1168" i="9" a="1"/>
  <c r="C1169" i="9" a="1"/>
  <c r="C1170" i="9" a="1"/>
  <c r="C1171" i="9" a="1"/>
  <c r="C1172" i="9" a="1"/>
  <c r="C1173" i="9" a="1"/>
  <c r="C1174" i="9" a="1"/>
  <c r="C1175" i="9" a="1"/>
  <c r="C1176" i="9" a="1"/>
  <c r="C1177" i="9" a="1"/>
  <c r="C1178" i="9" a="1"/>
  <c r="C1179" i="9" a="1"/>
  <c r="C1180" i="9" a="1"/>
  <c r="C1181" i="9" a="1"/>
  <c r="C1182" i="9" a="1"/>
  <c r="C1183" i="9" a="1"/>
  <c r="C1292" i="9" a="1"/>
  <c r="C1185" i="9" a="1"/>
  <c r="C214" i="9" a="1"/>
  <c r="C1187" i="9" a="1"/>
  <c r="C1188" i="9" a="1"/>
  <c r="C1189" i="9" a="1"/>
  <c r="C1190" i="9" a="1"/>
  <c r="C1191" i="9" a="1"/>
  <c r="C1192" i="9" a="1"/>
  <c r="C1193" i="9" a="1"/>
  <c r="C1194" i="9" a="1"/>
  <c r="C1195" i="9" a="1"/>
  <c r="C1196" i="9" a="1"/>
  <c r="C1197" i="9" a="1"/>
  <c r="C1198" i="9" a="1"/>
  <c r="C1199" i="9" a="1"/>
  <c r="C1200" i="9" a="1"/>
  <c r="C1201" i="9" a="1"/>
  <c r="C1202" i="9" a="1"/>
  <c r="C1203" i="9" a="1"/>
  <c r="C1204" i="9" a="1"/>
  <c r="C1205" i="9" a="1"/>
  <c r="C1206" i="9" a="1"/>
  <c r="C1207" i="9" a="1"/>
  <c r="C1208" i="9" a="1"/>
  <c r="C1209" i="9" a="1"/>
  <c r="C1210" i="9" a="1"/>
  <c r="C1211" i="9" a="1"/>
  <c r="C1212" i="9" a="1"/>
  <c r="C1213" i="9" a="1"/>
  <c r="C1214" i="9" a="1"/>
  <c r="C1215" i="9" a="1"/>
  <c r="C1216" i="9" a="1"/>
  <c r="C1217" i="9" a="1"/>
  <c r="C1218" i="9" a="1"/>
  <c r="C1219" i="9" a="1"/>
  <c r="C1328" i="9" a="1"/>
  <c r="C1221" i="9" a="1"/>
  <c r="C1222" i="9" a="1"/>
  <c r="C1223" i="9" a="1"/>
  <c r="C1224" i="9" a="1"/>
  <c r="C1225" i="9" a="1"/>
  <c r="C1226" i="9" a="1"/>
  <c r="C1227" i="9" a="1"/>
  <c r="C1228" i="9" a="1"/>
  <c r="C1229" i="9" a="1"/>
  <c r="C1230" i="9" a="1"/>
  <c r="C1231" i="9" a="1"/>
  <c r="C1232" i="9" a="1"/>
  <c r="C1233" i="9" a="1"/>
  <c r="C1234" i="9" a="1"/>
  <c r="C1235" i="9" a="1"/>
  <c r="C1236" i="9" a="1"/>
  <c r="C1237" i="9" a="1"/>
  <c r="C1238" i="9" a="1"/>
  <c r="C1239" i="9" a="1"/>
  <c r="C1240" i="9" a="1"/>
  <c r="C1241" i="9" a="1"/>
  <c r="C1242" i="9" a="1"/>
  <c r="C1243" i="9" a="1"/>
  <c r="C1244" i="9" a="1"/>
  <c r="C1245" i="9" a="1"/>
  <c r="C1246" i="9" a="1"/>
  <c r="C1247" i="9" a="1"/>
  <c r="C1248" i="9" a="1"/>
  <c r="C1249" i="9" a="1"/>
  <c r="C1250" i="9" a="1"/>
  <c r="C1251" i="9" a="1"/>
  <c r="C1252" i="9" a="1"/>
  <c r="C1253" i="9" a="1"/>
  <c r="C1254" i="9" a="1"/>
  <c r="C1255" i="9" a="1"/>
  <c r="C1364" i="9" a="1"/>
  <c r="C1257" i="9" a="1"/>
  <c r="C1258" i="9" a="1"/>
  <c r="C1259" i="9" a="1"/>
  <c r="C1260" i="9" a="1"/>
  <c r="C1261" i="9" a="1"/>
  <c r="C1262" i="9" a="1"/>
  <c r="C1263" i="9" a="1"/>
  <c r="C1264" i="9" a="1"/>
  <c r="C1265" i="9" a="1"/>
  <c r="C1266" i="9" a="1"/>
  <c r="C1267" i="9" a="1"/>
  <c r="C1268" i="9" a="1"/>
  <c r="C1269" i="9" a="1"/>
  <c r="C1270" i="9" a="1"/>
  <c r="C1271" i="9" a="1"/>
  <c r="C1272" i="9" a="1"/>
  <c r="C1273" i="9" a="1"/>
  <c r="C1274" i="9" a="1"/>
  <c r="C1275" i="9" a="1"/>
  <c r="C1276" i="9" a="1"/>
  <c r="C1277" i="9" a="1"/>
  <c r="C1278" i="9" a="1"/>
  <c r="C1279" i="9" a="1"/>
  <c r="C1280" i="9" a="1"/>
  <c r="C1281" i="9" a="1"/>
  <c r="C1282" i="9" a="1"/>
  <c r="C1283" i="9" a="1"/>
  <c r="C1284" i="9" a="1"/>
  <c r="C1285" i="9" a="1"/>
  <c r="C1286" i="9" a="1"/>
  <c r="C1287" i="9" a="1"/>
  <c r="C1288" i="9" a="1"/>
  <c r="C1289" i="9" a="1"/>
  <c r="C1290" i="9" a="1"/>
  <c r="C1291" i="9" a="1"/>
  <c r="C1400" i="9" a="1"/>
  <c r="C1293" i="9" a="1"/>
  <c r="C1294" i="9" a="1"/>
  <c r="C1295" i="9" a="1"/>
  <c r="C1296" i="9" a="1"/>
  <c r="C1297" i="9" a="1"/>
  <c r="C1298" i="9" a="1"/>
  <c r="C1299" i="9" a="1"/>
  <c r="C1300" i="9" a="1"/>
  <c r="C1301" i="9" a="1"/>
  <c r="C1302" i="9" a="1"/>
  <c r="C1303" i="9" a="1"/>
  <c r="C1304" i="9" a="1"/>
  <c r="C1305" i="9" a="1"/>
  <c r="C1306" i="9" a="1"/>
  <c r="C1307" i="9" a="1"/>
  <c r="C1308" i="9" a="1"/>
  <c r="C1309" i="9" a="1"/>
  <c r="C1310" i="9" a="1"/>
  <c r="C1311" i="9" a="1"/>
  <c r="C1312" i="9" a="1"/>
  <c r="C1313" i="9" a="1"/>
  <c r="C1314" i="9" a="1"/>
  <c r="C1315" i="9" a="1"/>
  <c r="C1316" i="9" a="1"/>
  <c r="C1317" i="9" a="1"/>
  <c r="C1318" i="9" a="1"/>
  <c r="C1319" i="9" a="1"/>
  <c r="C1320" i="9" a="1"/>
  <c r="C1321" i="9" a="1"/>
  <c r="C1322" i="9" a="1"/>
  <c r="C1323" i="9" a="1"/>
  <c r="C1324" i="9" a="1"/>
  <c r="C1325" i="9" a="1"/>
  <c r="C1326" i="9" a="1"/>
  <c r="C1327" i="9" a="1"/>
  <c r="C1436" i="9" a="1"/>
  <c r="C1329" i="9" a="1"/>
  <c r="C1330" i="9" a="1"/>
  <c r="C1331" i="9" a="1"/>
  <c r="C1332" i="9" a="1"/>
  <c r="C1333" i="9" a="1"/>
  <c r="C1334" i="9" a="1"/>
  <c r="C1335" i="9" a="1"/>
  <c r="C1336" i="9" a="1"/>
  <c r="C1337" i="9" a="1"/>
  <c r="C1338" i="9" a="1"/>
  <c r="C1339" i="9" a="1"/>
  <c r="C1340" i="9" a="1"/>
  <c r="C1341" i="9" a="1"/>
  <c r="C1342" i="9" a="1"/>
  <c r="C1343" i="9" a="1"/>
  <c r="C1344" i="9" a="1"/>
  <c r="C1345" i="9" a="1"/>
  <c r="C1346" i="9" a="1"/>
  <c r="C1347" i="9" a="1"/>
  <c r="C1348" i="9" a="1"/>
  <c r="C1349" i="9" a="1"/>
  <c r="C1350" i="9" a="1"/>
  <c r="C1351" i="9" a="1"/>
  <c r="C1352" i="9" a="1"/>
  <c r="C1353" i="9" a="1"/>
  <c r="C1354" i="9" a="1"/>
  <c r="C1355" i="9" a="1"/>
  <c r="C1356" i="9" a="1"/>
  <c r="C1357" i="9" a="1"/>
  <c r="C1358" i="9" a="1"/>
  <c r="C1359" i="9" a="1"/>
  <c r="C1360" i="9" a="1"/>
  <c r="C1361" i="9" a="1"/>
  <c r="C1362" i="9" a="1"/>
  <c r="C1363" i="9" a="1"/>
  <c r="C1472" i="9" a="1"/>
  <c r="C1365" i="9" a="1"/>
  <c r="C2410" i="9" a="1"/>
  <c r="C1367" i="9" a="1"/>
  <c r="C1368" i="9" a="1"/>
  <c r="C1369" i="9" a="1"/>
  <c r="C1370" i="9" a="1"/>
  <c r="C1371" i="9" a="1"/>
  <c r="C1372" i="9" a="1"/>
  <c r="C1373" i="9" a="1"/>
  <c r="C1374" i="9" a="1"/>
  <c r="C1375" i="9" a="1"/>
  <c r="C1376" i="9" a="1"/>
  <c r="C1377" i="9" a="1"/>
  <c r="C1378" i="9" a="1"/>
  <c r="C1379" i="9" a="1"/>
  <c r="C1380" i="9" a="1"/>
  <c r="C1381" i="9" a="1"/>
  <c r="C1382" i="9" a="1"/>
  <c r="C1383" i="9" a="1"/>
  <c r="C1384" i="9" a="1"/>
  <c r="C1385" i="9" a="1"/>
  <c r="C1386" i="9" a="1"/>
  <c r="C1387" i="9" a="1"/>
  <c r="C1388" i="9" a="1"/>
  <c r="C1389" i="9" a="1"/>
  <c r="C1390" i="9" a="1"/>
  <c r="C1391" i="9" a="1"/>
  <c r="C1392" i="9" a="1"/>
  <c r="C1393" i="9" a="1"/>
  <c r="C1394" i="9" a="1"/>
  <c r="C1395" i="9" a="1"/>
  <c r="C1396" i="9" a="1"/>
  <c r="C1397" i="9" a="1"/>
  <c r="C1398" i="9" a="1"/>
  <c r="C1399" i="9" a="1"/>
  <c r="C1508" i="9" a="1"/>
  <c r="C1401" i="9" a="1"/>
  <c r="C2734" i="9" a="1"/>
  <c r="C1403" i="9" a="1"/>
  <c r="C1404" i="9" a="1"/>
  <c r="C1405" i="9" a="1"/>
  <c r="C1406" i="9" a="1"/>
  <c r="C1407" i="9" a="1"/>
  <c r="C1408" i="9" a="1"/>
  <c r="C1409" i="9" a="1"/>
  <c r="C1410" i="9" a="1"/>
  <c r="C1411" i="9" a="1"/>
  <c r="C1412" i="9" a="1"/>
  <c r="C1413" i="9" a="1"/>
  <c r="C1414" i="9" a="1"/>
  <c r="C1415" i="9" a="1"/>
  <c r="C1416" i="9" a="1"/>
  <c r="C1417" i="9" a="1"/>
  <c r="C1418" i="9" a="1"/>
  <c r="C1419" i="9" a="1"/>
  <c r="C1420" i="9" a="1"/>
  <c r="C1421" i="9" a="1"/>
  <c r="C1422" i="9" a="1"/>
  <c r="C1423" i="9" a="1"/>
  <c r="C1424" i="9" a="1"/>
  <c r="C1425" i="9" a="1"/>
  <c r="C1426" i="9" a="1"/>
  <c r="C1427" i="9" a="1"/>
  <c r="C1428" i="9" a="1"/>
  <c r="C1429" i="9" a="1"/>
  <c r="C1430" i="9" a="1"/>
  <c r="C1431" i="9" a="1"/>
  <c r="C1432" i="9" a="1"/>
  <c r="C1433" i="9" a="1"/>
  <c r="C1434" i="9" a="1"/>
  <c r="C1435" i="9" a="1"/>
  <c r="C1544" i="9" a="1"/>
  <c r="C1437" i="9" a="1"/>
  <c r="C1438" i="9" a="1"/>
  <c r="C1439" i="9" a="1"/>
  <c r="C1440" i="9" a="1"/>
  <c r="C1441" i="9" a="1"/>
  <c r="C1442" i="9" a="1"/>
  <c r="C1443" i="9" a="1"/>
  <c r="C1444" i="9" a="1"/>
  <c r="C1445" i="9" a="1"/>
  <c r="C1446" i="9" a="1"/>
  <c r="C1447" i="9" a="1"/>
  <c r="C1448" i="9" a="1"/>
  <c r="C1449" i="9" a="1"/>
  <c r="C1450" i="9" a="1"/>
  <c r="C1451" i="9" a="1"/>
  <c r="C1452" i="9" a="1"/>
  <c r="C1453" i="9" a="1"/>
  <c r="C1454" i="9" a="1"/>
  <c r="C1455" i="9" a="1"/>
  <c r="C1456" i="9" a="1"/>
  <c r="C1457" i="9" a="1"/>
  <c r="C1458" i="9" a="1"/>
  <c r="C1459" i="9" a="1"/>
  <c r="C1460" i="9" a="1"/>
  <c r="C1461" i="9" a="1"/>
  <c r="C1462" i="9" a="1"/>
  <c r="C1463" i="9" a="1"/>
  <c r="C1464" i="9" a="1"/>
  <c r="C1465" i="9" a="1"/>
  <c r="C1466" i="9" a="1"/>
  <c r="C1467" i="9" a="1"/>
  <c r="C1468" i="9" a="1"/>
  <c r="C1469" i="9" a="1"/>
  <c r="C1470" i="9" a="1"/>
  <c r="C1471" i="9" a="1"/>
  <c r="C1580" i="9" a="1"/>
  <c r="C1473" i="9" a="1"/>
  <c r="C1474" i="9" a="1"/>
  <c r="C1475" i="9" a="1"/>
  <c r="C1476" i="9" a="1"/>
  <c r="C1477" i="9" a="1"/>
  <c r="C1478" i="9" a="1"/>
  <c r="C1479" i="9" a="1"/>
  <c r="C1480" i="9" a="1"/>
  <c r="C1481" i="9" a="1"/>
  <c r="C1482" i="9" a="1"/>
  <c r="C1483" i="9" a="1"/>
  <c r="C1484" i="9" a="1"/>
  <c r="C1485" i="9" a="1"/>
  <c r="C1486" i="9" a="1"/>
  <c r="C1487" i="9" a="1"/>
  <c r="C1488" i="9" a="1"/>
  <c r="C1489" i="9" a="1"/>
  <c r="C1490" i="9" a="1"/>
  <c r="C1491" i="9" a="1"/>
  <c r="C1492" i="9" a="1"/>
  <c r="C1493" i="9" a="1"/>
  <c r="C1494" i="9" a="1"/>
  <c r="C1495" i="9" a="1"/>
  <c r="C1496" i="9" a="1"/>
  <c r="C1497" i="9" a="1"/>
  <c r="C1498" i="9" a="1"/>
  <c r="C1499" i="9" a="1"/>
  <c r="C1500" i="9" a="1"/>
  <c r="C1501" i="9" a="1"/>
  <c r="C1502" i="9" a="1"/>
  <c r="C1503" i="9" a="1"/>
  <c r="C1504" i="9" a="1"/>
  <c r="C1505" i="9" a="1"/>
  <c r="C1506" i="9" a="1"/>
  <c r="C1507" i="9" a="1"/>
  <c r="C1652" i="9" a="1"/>
  <c r="C1509" i="9" a="1"/>
  <c r="C1510" i="9" a="1"/>
  <c r="C1511" i="9" a="1"/>
  <c r="C1512" i="9" a="1"/>
  <c r="C1513" i="9" a="1"/>
  <c r="C1514" i="9" a="1"/>
  <c r="C1515" i="9" a="1"/>
  <c r="C1516" i="9" a="1"/>
  <c r="C1517" i="9" a="1"/>
  <c r="C1518" i="9" a="1"/>
  <c r="C1519" i="9" a="1"/>
  <c r="C1520" i="9" a="1"/>
  <c r="C1521" i="9" a="1"/>
  <c r="C1522" i="9" a="1"/>
  <c r="C1523" i="9" a="1"/>
  <c r="C1524" i="9" a="1"/>
  <c r="C1525" i="9" a="1"/>
  <c r="C1526" i="9" a="1"/>
  <c r="C1527" i="9" a="1"/>
  <c r="C1528" i="9" a="1"/>
  <c r="C1529" i="9" a="1"/>
  <c r="C1530" i="9" a="1"/>
  <c r="C1531" i="9" a="1"/>
  <c r="C1532" i="9" a="1"/>
  <c r="C1533" i="9" a="1"/>
  <c r="C1534" i="9" a="1"/>
  <c r="C1535" i="9" a="1"/>
  <c r="C1536" i="9" a="1"/>
  <c r="C1537" i="9" a="1"/>
  <c r="C1538" i="9" a="1"/>
  <c r="C1539" i="9" a="1"/>
  <c r="C1540" i="9" a="1"/>
  <c r="C1541" i="9" a="1"/>
  <c r="C1542" i="9" a="1"/>
  <c r="C1543" i="9" a="1"/>
  <c r="C1616" i="9" a="1"/>
  <c r="C1545" i="9" a="1"/>
  <c r="C827" i="9" a="1"/>
  <c r="C1547" i="9" a="1"/>
  <c r="C1548" i="9" a="1"/>
  <c r="C1549" i="9" a="1"/>
  <c r="C1550" i="9" a="1"/>
  <c r="C1551" i="9" a="1"/>
  <c r="C1552" i="9" a="1"/>
  <c r="C1553" i="9" a="1"/>
  <c r="C1554" i="9" a="1"/>
  <c r="C1555" i="9" a="1"/>
  <c r="C1556" i="9" a="1"/>
  <c r="C1557" i="9" a="1"/>
  <c r="C1558" i="9" a="1"/>
  <c r="C1559" i="9" a="1"/>
  <c r="C1560" i="9" a="1"/>
  <c r="C1561" i="9" a="1"/>
  <c r="C1562" i="9" a="1"/>
  <c r="C1563" i="9" a="1"/>
  <c r="C1564" i="9" a="1"/>
  <c r="C1565" i="9" a="1"/>
  <c r="C1566" i="9" a="1"/>
  <c r="C1567" i="9" a="1"/>
  <c r="C1568" i="9" a="1"/>
  <c r="C1569" i="9" a="1"/>
  <c r="C1570" i="9" a="1"/>
  <c r="C1571" i="9" a="1"/>
  <c r="C1572" i="9" a="1"/>
  <c r="C1573" i="9" a="1"/>
  <c r="C1574" i="9" a="1"/>
  <c r="C1575" i="9" a="1"/>
  <c r="C1576" i="9" a="1"/>
  <c r="C1577" i="9" a="1"/>
  <c r="C1578" i="9" a="1"/>
  <c r="C1579" i="9" a="1"/>
  <c r="C1688" i="9" a="1"/>
  <c r="C1581" i="9" a="1"/>
  <c r="C1582" i="9" a="1"/>
  <c r="C1583" i="9" a="1"/>
  <c r="C1584" i="9" a="1"/>
  <c r="C1585" i="9" a="1"/>
  <c r="C1586" i="9" a="1"/>
  <c r="C1587" i="9" a="1"/>
  <c r="C1588" i="9" a="1"/>
  <c r="C1589" i="9" a="1"/>
  <c r="C1590" i="9" a="1"/>
  <c r="C1591" i="9" a="1"/>
  <c r="C1592" i="9" a="1"/>
  <c r="C1593" i="9" a="1"/>
  <c r="C1594" i="9" a="1"/>
  <c r="C1595" i="9" a="1"/>
  <c r="C1596" i="9" a="1"/>
  <c r="C1597" i="9" a="1"/>
  <c r="C1598" i="9" a="1"/>
  <c r="C1599" i="9" a="1"/>
  <c r="C1600" i="9" a="1"/>
  <c r="C1601" i="9" a="1"/>
  <c r="C1602" i="9" a="1"/>
  <c r="C1603" i="9" a="1"/>
  <c r="C1604" i="9" a="1"/>
  <c r="C1605" i="9" a="1"/>
  <c r="C1606" i="9" a="1"/>
  <c r="C1607" i="9" a="1"/>
  <c r="C1608" i="9" a="1"/>
  <c r="C1609" i="9" a="1"/>
  <c r="C1610" i="9" a="1"/>
  <c r="C1611" i="9" a="1"/>
  <c r="C1612" i="9" a="1"/>
  <c r="C1613" i="9" a="1"/>
  <c r="C1614" i="9" a="1"/>
  <c r="C1615" i="9" a="1"/>
  <c r="C1724" i="9" a="1"/>
  <c r="C1617" i="9" a="1"/>
  <c r="C2266" i="9" a="1"/>
  <c r="C1619" i="9" a="1"/>
  <c r="C1620" i="9" a="1"/>
  <c r="C1621" i="9" a="1"/>
  <c r="C1622" i="9" a="1"/>
  <c r="C1623" i="9" a="1"/>
  <c r="C1624" i="9" a="1"/>
  <c r="C1625" i="9" a="1"/>
  <c r="C1626" i="9" a="1"/>
  <c r="C1627" i="9" a="1"/>
  <c r="C1628" i="9" a="1"/>
  <c r="C1629" i="9" a="1"/>
  <c r="C1630" i="9" a="1"/>
  <c r="C1631" i="9" a="1"/>
  <c r="C1632" i="9" a="1"/>
  <c r="C1633" i="9" a="1"/>
  <c r="C1634" i="9" a="1"/>
  <c r="C1635" i="9" a="1"/>
  <c r="C1636" i="9" a="1"/>
  <c r="C1637" i="9" a="1"/>
  <c r="C1638" i="9" a="1"/>
  <c r="C1639" i="9" a="1"/>
  <c r="C1640" i="9" a="1"/>
  <c r="C1641" i="9" a="1"/>
  <c r="C1642" i="9" a="1"/>
  <c r="C1643" i="9" a="1"/>
  <c r="C1644" i="9" a="1"/>
  <c r="C1645" i="9" a="1"/>
  <c r="C1646" i="9" a="1"/>
  <c r="C1647" i="9" a="1"/>
  <c r="C1648" i="9" a="1"/>
  <c r="C1649" i="9" a="1"/>
  <c r="C1650" i="9" a="1"/>
  <c r="C1651" i="9" a="1"/>
  <c r="C1760" i="9" a="1"/>
  <c r="C1653" i="9" a="1"/>
  <c r="C1654" i="9" a="1"/>
  <c r="C1655" i="9" a="1"/>
  <c r="C1656" i="9" a="1"/>
  <c r="C1657" i="9" a="1"/>
  <c r="C1658" i="9" a="1"/>
  <c r="C1659" i="9" a="1"/>
  <c r="C1660" i="9" a="1"/>
  <c r="C1661" i="9" a="1"/>
  <c r="C1662" i="9" a="1"/>
  <c r="C1663" i="9" a="1"/>
  <c r="C1664" i="9" a="1"/>
  <c r="C1665" i="9" a="1"/>
  <c r="C1666" i="9" a="1"/>
  <c r="C1667" i="9" a="1"/>
  <c r="C1668" i="9" a="1"/>
  <c r="C1669" i="9" a="1"/>
  <c r="C1670" i="9" a="1"/>
  <c r="C1671" i="9" a="1"/>
  <c r="C1672" i="9" a="1"/>
  <c r="C1673" i="9" a="1"/>
  <c r="C1674" i="9" a="1"/>
  <c r="C1675" i="9" a="1"/>
  <c r="C1676" i="9" a="1"/>
  <c r="C1677" i="9" a="1"/>
  <c r="C1678" i="9" a="1"/>
  <c r="C1679" i="9" a="1"/>
  <c r="C1680" i="9" a="1"/>
  <c r="C1681" i="9" a="1"/>
  <c r="C1682" i="9" a="1"/>
  <c r="C1683" i="9" a="1"/>
  <c r="C1684" i="9" a="1"/>
  <c r="C1685" i="9" a="1"/>
  <c r="C1686" i="9" a="1"/>
  <c r="C1687" i="9" a="1"/>
  <c r="C1796" i="9" a="1"/>
  <c r="C1689" i="9" a="1"/>
  <c r="C1690" i="9" a="1"/>
  <c r="C1691" i="9" a="1"/>
  <c r="C1692" i="9" a="1"/>
  <c r="C1693" i="9" a="1"/>
  <c r="C1694" i="9" a="1"/>
  <c r="C1695" i="9" a="1"/>
  <c r="C1696" i="9" a="1"/>
  <c r="C1697" i="9" a="1"/>
  <c r="C1698" i="9" a="1"/>
  <c r="C1699" i="9" a="1"/>
  <c r="C1700" i="9" a="1"/>
  <c r="C1701" i="9" a="1"/>
  <c r="C1702" i="9" a="1"/>
  <c r="C1703" i="9" a="1"/>
  <c r="C1704" i="9" a="1"/>
  <c r="C1705" i="9" a="1"/>
  <c r="C1706" i="9" a="1"/>
  <c r="C1707" i="9" a="1"/>
  <c r="C1708" i="9" a="1"/>
  <c r="C1709" i="9" a="1"/>
  <c r="C1710" i="9" a="1"/>
  <c r="C1711" i="9" a="1"/>
  <c r="C1712" i="9" a="1"/>
  <c r="C1713" i="9" a="1"/>
  <c r="C1714" i="9" a="1"/>
  <c r="C1715" i="9" a="1"/>
  <c r="C1716" i="9" a="1"/>
  <c r="C1717" i="9" a="1"/>
  <c r="C1718" i="9" a="1"/>
  <c r="C1719" i="9" a="1"/>
  <c r="C1720" i="9" a="1"/>
  <c r="C1721" i="9" a="1"/>
  <c r="C1722" i="9" a="1"/>
  <c r="C1723" i="9" a="1"/>
  <c r="C2408" i="9" a="1"/>
  <c r="C1725" i="9" a="1"/>
  <c r="C2770" i="9" a="1"/>
  <c r="C1727" i="9" a="1"/>
  <c r="C1728" i="9" a="1"/>
  <c r="C1729" i="9" a="1"/>
  <c r="C1730" i="9" a="1"/>
  <c r="C1731" i="9" a="1"/>
  <c r="C1732" i="9" a="1"/>
  <c r="C1733" i="9" a="1"/>
  <c r="C1734" i="9" a="1"/>
  <c r="C1735" i="9" a="1"/>
  <c r="C1736" i="9" a="1"/>
  <c r="C1737" i="9" a="1"/>
  <c r="C1738" i="9" a="1"/>
  <c r="C1739" i="9" a="1"/>
  <c r="C1740" i="9" a="1"/>
  <c r="C1741" i="9" a="1"/>
  <c r="C1742" i="9" a="1"/>
  <c r="C1743" i="9" a="1"/>
  <c r="C1744" i="9" a="1"/>
  <c r="C1745" i="9" a="1"/>
  <c r="C1746" i="9" a="1"/>
  <c r="C1747" i="9" a="1"/>
  <c r="C1748" i="9" a="1"/>
  <c r="C1749" i="9" a="1"/>
  <c r="C1750" i="9" a="1"/>
  <c r="C1751" i="9" a="1"/>
  <c r="C1752" i="9" a="1"/>
  <c r="C1753" i="9" a="1"/>
  <c r="C1754" i="9" a="1"/>
  <c r="C1755" i="9" a="1"/>
  <c r="C1756" i="9" a="1"/>
  <c r="C1757" i="9" a="1"/>
  <c r="C1758" i="9" a="1"/>
  <c r="C1759" i="9" a="1"/>
  <c r="C2444" i="9" a="1"/>
  <c r="C1761" i="9" a="1"/>
  <c r="C1798" i="9" a="1"/>
  <c r="C1763" i="9" a="1"/>
  <c r="C1764" i="9" a="1"/>
  <c r="C1765" i="9" a="1"/>
  <c r="C1766" i="9" a="1"/>
  <c r="C1767" i="9" a="1"/>
  <c r="C1768" i="9" a="1"/>
  <c r="C1769" i="9" a="1"/>
  <c r="C1770" i="9" a="1"/>
  <c r="C1771" i="9" a="1"/>
  <c r="C1772" i="9" a="1"/>
  <c r="C1773" i="9" a="1"/>
  <c r="C1774" i="9" a="1"/>
  <c r="C1775" i="9" a="1"/>
  <c r="C1776" i="9" a="1"/>
  <c r="C1777" i="9" a="1"/>
  <c r="C1778" i="9" a="1"/>
  <c r="C1779" i="9" a="1"/>
  <c r="C1780" i="9" a="1"/>
  <c r="C1781" i="9" a="1"/>
  <c r="C1782" i="9" a="1"/>
  <c r="C1783" i="9" a="1"/>
  <c r="C1784" i="9" a="1"/>
  <c r="C1785" i="9" a="1"/>
  <c r="C1786" i="9" a="1"/>
  <c r="C1787" i="9" a="1"/>
  <c r="C1788" i="9" a="1"/>
  <c r="C1789" i="9" a="1"/>
  <c r="C1790" i="9" a="1"/>
  <c r="C1791" i="9" a="1"/>
  <c r="C1792" i="9" a="1"/>
  <c r="C1793" i="9" a="1"/>
  <c r="C1794" i="9" a="1"/>
  <c r="C1795" i="9" a="1"/>
  <c r="C2480" i="9" a="1"/>
  <c r="C1797" i="9" a="1"/>
  <c r="C1762" i="9" a="1"/>
  <c r="C1799" i="9" a="1"/>
  <c r="C1800" i="9" a="1"/>
  <c r="C1801" i="9" a="1"/>
  <c r="C1802" i="9" a="1"/>
  <c r="C1803" i="9" a="1"/>
  <c r="C1804" i="9" a="1"/>
  <c r="C1805" i="9" a="1"/>
  <c r="C1806" i="9" a="1"/>
  <c r="C1807" i="9" a="1"/>
  <c r="C1808" i="9" a="1"/>
  <c r="C1809" i="9" a="1"/>
  <c r="C1810" i="9" a="1"/>
  <c r="C1811" i="9" a="1"/>
  <c r="C1812" i="9" a="1"/>
  <c r="C1813" i="9" a="1"/>
  <c r="C1814" i="9" a="1"/>
  <c r="C1815" i="9" a="1"/>
  <c r="C1816" i="9" a="1"/>
  <c r="C1817" i="9" a="1"/>
  <c r="C1818" i="9" a="1"/>
  <c r="C1819" i="9" a="1"/>
  <c r="C1820" i="9" a="1"/>
  <c r="C1821" i="9" a="1"/>
  <c r="C1822" i="9" a="1"/>
  <c r="C1823" i="9" a="1"/>
  <c r="C1824" i="9" a="1"/>
  <c r="C1825" i="9" a="1"/>
  <c r="C1826" i="9" a="1"/>
  <c r="C1827" i="9" a="1"/>
  <c r="C1828" i="9" a="1"/>
  <c r="C1829" i="9" a="1"/>
  <c r="C1830" i="9" a="1"/>
  <c r="C1831" i="9" a="1"/>
  <c r="C1832" i="9" a="1"/>
  <c r="C1833" i="9" a="1"/>
  <c r="C1834" i="9" a="1"/>
  <c r="C1835" i="9" a="1"/>
  <c r="C1836" i="9" a="1"/>
  <c r="C1837" i="9" a="1"/>
  <c r="C1838" i="9" a="1"/>
  <c r="C1839" i="9" a="1"/>
  <c r="C1840" i="9" a="1"/>
  <c r="C1841" i="9" a="1"/>
  <c r="C1842" i="9" a="1"/>
  <c r="C1843" i="9" a="1"/>
  <c r="C1844" i="9" a="1"/>
  <c r="C1845" i="9" a="1"/>
  <c r="C1846" i="9" a="1"/>
  <c r="C1847" i="9" a="1"/>
  <c r="C1848" i="9" a="1"/>
  <c r="C1849" i="9" a="1"/>
  <c r="C1850" i="9" a="1"/>
  <c r="C1851" i="9" a="1"/>
  <c r="C1852" i="9" a="1"/>
  <c r="C1853" i="9" a="1"/>
  <c r="C1854" i="9" a="1"/>
  <c r="C1855" i="9" a="1"/>
  <c r="C1856" i="9" a="1"/>
  <c r="C1857" i="9" a="1"/>
  <c r="C1858" i="9" a="1"/>
  <c r="C1859" i="9" a="1"/>
  <c r="C1860" i="9" a="1"/>
  <c r="C1861" i="9" a="1"/>
  <c r="C1862" i="9" a="1"/>
  <c r="C1863" i="9" a="1"/>
  <c r="C1864" i="9" a="1"/>
  <c r="C1865" i="9" a="1"/>
  <c r="C1866" i="9" a="1"/>
  <c r="C1867" i="9" a="1"/>
  <c r="C1868" i="9" a="1"/>
  <c r="C1869" i="9" a="1"/>
  <c r="C1870" i="9" a="1"/>
  <c r="C1871" i="9" a="1"/>
  <c r="C1872" i="9" a="1"/>
  <c r="C1873" i="9" a="1"/>
  <c r="C1874" i="9" a="1"/>
  <c r="C1875" i="9" a="1"/>
  <c r="C1876" i="9" a="1"/>
  <c r="C1877" i="9" a="1"/>
  <c r="C1878" i="9" a="1"/>
  <c r="C1879" i="9" a="1"/>
  <c r="C1880" i="9" a="1"/>
  <c r="C1881" i="9" a="1"/>
  <c r="C1882" i="9" a="1"/>
  <c r="C1883" i="9" a="1"/>
  <c r="C1884" i="9" a="1"/>
  <c r="C1885" i="9" a="1"/>
  <c r="C1886" i="9" a="1"/>
  <c r="C1887" i="9" a="1"/>
  <c r="C1888" i="9" a="1"/>
  <c r="C1889" i="9" a="1"/>
  <c r="C1890" i="9" a="1"/>
  <c r="C1891" i="9" a="1"/>
  <c r="C1892" i="9" a="1"/>
  <c r="C1893" i="9" a="1"/>
  <c r="C1894" i="9" a="1"/>
  <c r="C1895" i="9" a="1"/>
  <c r="C1896" i="9" a="1"/>
  <c r="C1897" i="9" a="1"/>
  <c r="C1898" i="9" a="1"/>
  <c r="C1899" i="9" a="1"/>
  <c r="C1900" i="9" a="1"/>
  <c r="C1901" i="9" a="1"/>
  <c r="C1902" i="9" a="1"/>
  <c r="C1903" i="9" a="1"/>
  <c r="C1904" i="9" a="1"/>
  <c r="C1905" i="9" a="1"/>
  <c r="C1906" i="9" a="1"/>
  <c r="C1907" i="9" a="1"/>
  <c r="C1908" i="9" a="1"/>
  <c r="C1909" i="9" a="1"/>
  <c r="C1910" i="9" a="1"/>
  <c r="C1911" i="9" a="1"/>
  <c r="C1912" i="9" a="1"/>
  <c r="C1913" i="9" a="1"/>
  <c r="C1914" i="9" a="1"/>
  <c r="C1915" i="9" a="1"/>
  <c r="C1916" i="9" a="1"/>
  <c r="C1917" i="9" a="1"/>
  <c r="C1918" i="9" a="1"/>
  <c r="C1919" i="9" a="1"/>
  <c r="C1920" i="9" a="1"/>
  <c r="C1921" i="9" a="1"/>
  <c r="C1922" i="9" a="1"/>
  <c r="C1923" i="9" a="1"/>
  <c r="C1924" i="9" a="1"/>
  <c r="C1925" i="9" a="1"/>
  <c r="C1926" i="9" a="1"/>
  <c r="C1927" i="9" a="1"/>
  <c r="C1928" i="9" a="1"/>
  <c r="C1929" i="9" a="1"/>
  <c r="C1930" i="9" a="1"/>
  <c r="C1931" i="9" a="1"/>
  <c r="C1932" i="9" a="1"/>
  <c r="C1933" i="9" a="1"/>
  <c r="C1934" i="9" a="1"/>
  <c r="C1935" i="9" a="1"/>
  <c r="C1936" i="9" a="1"/>
  <c r="C1937" i="9" a="1"/>
  <c r="C1938" i="9" a="1"/>
  <c r="C1939" i="9" a="1"/>
  <c r="C1940" i="9" a="1"/>
  <c r="C1941" i="9" a="1"/>
  <c r="C2338" i="9" a="1"/>
  <c r="C1943" i="9" a="1"/>
  <c r="C1944" i="9" a="1"/>
  <c r="C1945" i="9" a="1"/>
  <c r="C1946" i="9" a="1"/>
  <c r="C1947" i="9" a="1"/>
  <c r="C1948" i="9" a="1"/>
  <c r="C1949" i="9" a="1"/>
  <c r="C1950" i="9" a="1"/>
  <c r="C1951" i="9" a="1"/>
  <c r="C1952" i="9" a="1"/>
  <c r="C1953" i="9" a="1"/>
  <c r="C1954" i="9" a="1"/>
  <c r="C1955" i="9" a="1"/>
  <c r="C1956" i="9" a="1"/>
  <c r="C1957" i="9" a="1"/>
  <c r="C1958" i="9" a="1"/>
  <c r="C1959" i="9" a="1"/>
  <c r="C1960" i="9" a="1"/>
  <c r="C1961" i="9" a="1"/>
  <c r="C1962" i="9" a="1"/>
  <c r="C1963" i="9" a="1"/>
  <c r="C1964" i="9" a="1"/>
  <c r="C1965" i="9" a="1"/>
  <c r="C1966" i="9" a="1"/>
  <c r="C1967" i="9" a="1"/>
  <c r="C1968" i="9" a="1"/>
  <c r="C1969" i="9" a="1"/>
  <c r="C1970" i="9" a="1"/>
  <c r="C1971" i="9" a="1"/>
  <c r="C1972" i="9" a="1"/>
  <c r="C1973" i="9" a="1"/>
  <c r="C1974" i="9" a="1"/>
  <c r="C1975" i="9" a="1"/>
  <c r="C1976" i="9" a="1"/>
  <c r="C1977" i="9" a="1"/>
  <c r="C1978" i="9" a="1"/>
  <c r="C1979" i="9" a="1"/>
  <c r="C1980" i="9" a="1"/>
  <c r="C1981" i="9" a="1"/>
  <c r="C1982" i="9" a="1"/>
  <c r="C1983" i="9" a="1"/>
  <c r="C1984" i="9" a="1"/>
  <c r="C1985" i="9" a="1"/>
  <c r="C1986" i="9" a="1"/>
  <c r="C1987" i="9" a="1"/>
  <c r="C1988" i="9" a="1"/>
  <c r="C1989" i="9" a="1"/>
  <c r="C1990" i="9" a="1"/>
  <c r="C1991" i="9" a="1"/>
  <c r="C1992" i="9" a="1"/>
  <c r="C1993" i="9" a="1"/>
  <c r="C1994" i="9" a="1"/>
  <c r="C1995" i="9" a="1"/>
  <c r="C1996" i="9" a="1"/>
  <c r="C1997" i="9" a="1"/>
  <c r="C1998" i="9" a="1"/>
  <c r="C1999" i="9" a="1"/>
  <c r="C2000" i="9" a="1"/>
  <c r="C2001" i="9" a="1"/>
  <c r="C2002" i="9" a="1"/>
  <c r="C2003" i="9" a="1"/>
  <c r="C2004" i="9" a="1"/>
  <c r="C2005" i="9" a="1"/>
  <c r="C2006" i="9" a="1"/>
  <c r="C2007" i="9" a="1"/>
  <c r="C2008" i="9" a="1"/>
  <c r="C2009" i="9" a="1"/>
  <c r="C2010" i="9" a="1"/>
  <c r="C2011" i="9" a="1"/>
  <c r="C2048" i="9" a="1"/>
  <c r="C2013" i="9" a="1"/>
  <c r="C2014" i="9" a="1"/>
  <c r="C2015" i="9" a="1"/>
  <c r="C2016" i="9" a="1"/>
  <c r="C2017" i="9" a="1"/>
  <c r="C2018" i="9" a="1"/>
  <c r="C2019" i="9" a="1"/>
  <c r="C2020" i="9" a="1"/>
  <c r="C2021" i="9" a="1"/>
  <c r="C2022" i="9" a="1"/>
  <c r="C2023" i="9" a="1"/>
  <c r="C2024" i="9" a="1"/>
  <c r="C2025" i="9" a="1"/>
  <c r="C2026" i="9" a="1"/>
  <c r="C2027" i="9" a="1"/>
  <c r="C2028" i="9" a="1"/>
  <c r="C2029" i="9" a="1"/>
  <c r="C2030" i="9" a="1"/>
  <c r="C2031" i="9" a="1"/>
  <c r="C2032" i="9" a="1"/>
  <c r="C2033" i="9" a="1"/>
  <c r="C2034" i="9" a="1"/>
  <c r="C2035" i="9" a="1"/>
  <c r="C2036" i="9" a="1"/>
  <c r="C2037" i="9" a="1"/>
  <c r="C2038" i="9" a="1"/>
  <c r="C2039" i="9" a="1"/>
  <c r="C2040" i="9" a="1"/>
  <c r="C2041" i="9" a="1"/>
  <c r="C2042" i="9" a="1"/>
  <c r="C2043" i="9" a="1"/>
  <c r="C2044" i="9" a="1"/>
  <c r="C2045" i="9" a="1"/>
  <c r="C2046" i="9" a="1"/>
  <c r="C2047" i="9" a="1"/>
  <c r="C2012" i="9" a="1"/>
  <c r="C2049" i="9" a="1"/>
  <c r="C2050" i="9" a="1"/>
  <c r="C2051" i="9" a="1"/>
  <c r="C2052" i="9" a="1"/>
  <c r="C2053" i="9" a="1"/>
  <c r="C2054" i="9" a="1"/>
  <c r="C2055" i="9" a="1"/>
  <c r="C2056" i="9" a="1"/>
  <c r="C2057" i="9" a="1"/>
  <c r="C2058" i="9" a="1"/>
  <c r="C2059" i="9" a="1"/>
  <c r="C2060" i="9" a="1"/>
  <c r="C2061" i="9" a="1"/>
  <c r="C2062" i="9" a="1"/>
  <c r="C2063" i="9" a="1"/>
  <c r="C2064" i="9" a="1"/>
  <c r="C2065" i="9" a="1"/>
  <c r="C2066" i="9" a="1"/>
  <c r="C2067" i="9" a="1"/>
  <c r="C2068" i="9" a="1"/>
  <c r="C2069" i="9" a="1"/>
  <c r="C2070" i="9" a="1"/>
  <c r="C2071" i="9" a="1"/>
  <c r="C2072" i="9" a="1"/>
  <c r="C2073" i="9" a="1"/>
  <c r="C2074" i="9" a="1"/>
  <c r="C2075" i="9" a="1"/>
  <c r="C2076" i="9" a="1"/>
  <c r="C2077" i="9" a="1"/>
  <c r="C2078" i="9" a="1"/>
  <c r="C2079" i="9" a="1"/>
  <c r="C2080" i="9" a="1"/>
  <c r="C2081" i="9" a="1"/>
  <c r="C2082" i="9" a="1"/>
  <c r="C2083" i="9" a="1"/>
  <c r="C2084" i="9" a="1"/>
  <c r="C2085" i="9" a="1"/>
  <c r="C2086" i="9" a="1"/>
  <c r="C2087" i="9" a="1"/>
  <c r="C2088" i="9" a="1"/>
  <c r="C2089" i="9" a="1"/>
  <c r="C2090" i="9" a="1"/>
  <c r="C2091" i="9" a="1"/>
  <c r="C2092" i="9" a="1"/>
  <c r="C2093" i="9" a="1"/>
  <c r="C2094" i="9" a="1"/>
  <c r="C2095" i="9" a="1"/>
  <c r="C2096" i="9" a="1"/>
  <c r="C2097" i="9" a="1"/>
  <c r="C2098" i="9" a="1"/>
  <c r="C2099" i="9" a="1"/>
  <c r="C2100" i="9" a="1"/>
  <c r="C2101" i="9" a="1"/>
  <c r="C2102" i="9" a="1"/>
  <c r="C2103" i="9" a="1"/>
  <c r="C2104" i="9" a="1"/>
  <c r="C2105" i="9" a="1"/>
  <c r="C2106" i="9" a="1"/>
  <c r="C2107" i="9" a="1"/>
  <c r="C2108" i="9" a="1"/>
  <c r="C2109" i="9" a="1"/>
  <c r="C2110" i="9" a="1"/>
  <c r="C2111" i="9" a="1"/>
  <c r="C2112" i="9" a="1"/>
  <c r="C2113" i="9" a="1"/>
  <c r="C2114" i="9" a="1"/>
  <c r="C2115" i="9" a="1"/>
  <c r="C2116" i="9" a="1"/>
  <c r="C2117" i="9" a="1"/>
  <c r="C2118" i="9" a="1"/>
  <c r="C2119" i="9" a="1"/>
  <c r="C2120" i="9" a="1"/>
  <c r="C2121" i="9" a="1"/>
  <c r="C2590" i="9" a="1"/>
  <c r="C2123" i="9" a="1"/>
  <c r="C2124" i="9" a="1"/>
  <c r="C2125" i="9" a="1"/>
  <c r="C2126" i="9" a="1"/>
  <c r="C2127" i="9" a="1"/>
  <c r="C2128" i="9" a="1"/>
  <c r="C2129" i="9" a="1"/>
  <c r="C2130" i="9" a="1"/>
  <c r="C2131" i="9" a="1"/>
  <c r="C2132" i="9" a="1"/>
  <c r="C2133" i="9" a="1"/>
  <c r="C2134" i="9" a="1"/>
  <c r="C2135" i="9" a="1"/>
  <c r="C2136" i="9" a="1"/>
  <c r="C2137" i="9" a="1"/>
  <c r="C2138" i="9" a="1"/>
  <c r="C2139" i="9" a="1"/>
  <c r="C2140" i="9" a="1"/>
  <c r="C2141" i="9" a="1"/>
  <c r="C2142" i="9" a="1"/>
  <c r="C2143" i="9" a="1"/>
  <c r="C2144" i="9" a="1"/>
  <c r="C2145" i="9" a="1"/>
  <c r="C2146" i="9" a="1"/>
  <c r="C2147" i="9" a="1"/>
  <c r="C2148" i="9" a="1"/>
  <c r="C2149" i="9" a="1"/>
  <c r="C2150" i="9" a="1"/>
  <c r="C2151" i="9" a="1"/>
  <c r="C2152" i="9" a="1"/>
  <c r="C2153" i="9" a="1"/>
  <c r="C2154" i="9" a="1"/>
  <c r="C2155" i="9" a="1"/>
  <c r="C2156" i="9" a="1"/>
  <c r="C2157" i="9" a="1"/>
  <c r="C2158" i="9" a="1"/>
  <c r="C2159" i="9" a="1"/>
  <c r="C2160" i="9" a="1"/>
  <c r="C2161" i="9" a="1"/>
  <c r="C2162" i="9" a="1"/>
  <c r="C2163" i="9" a="1"/>
  <c r="C2164" i="9" a="1"/>
  <c r="C2165" i="9" a="1"/>
  <c r="C2166" i="9" a="1"/>
  <c r="C2167" i="9" a="1"/>
  <c r="C2168" i="9" a="1"/>
  <c r="C2169" i="9" a="1"/>
  <c r="C2170" i="9" a="1"/>
  <c r="C2171" i="9" a="1"/>
  <c r="C2172" i="9" a="1"/>
  <c r="C2173" i="9" a="1"/>
  <c r="C2174" i="9" a="1"/>
  <c r="C2175" i="9" a="1"/>
  <c r="C2176" i="9" a="1"/>
  <c r="C2177" i="9" a="1"/>
  <c r="C2178" i="9" a="1"/>
  <c r="C2179" i="9" a="1"/>
  <c r="C2180" i="9" a="1"/>
  <c r="C2181" i="9" a="1"/>
  <c r="C2182" i="9" a="1"/>
  <c r="C2183" i="9" a="1"/>
  <c r="C2184" i="9" a="1"/>
  <c r="C2185" i="9" a="1"/>
  <c r="C2186" i="9" a="1"/>
  <c r="C2187" i="9" a="1"/>
  <c r="C2188" i="9" a="1"/>
  <c r="C2189" i="9" a="1"/>
  <c r="C2190" i="9" a="1"/>
  <c r="C2191" i="9" a="1"/>
  <c r="C2192" i="9" a="1"/>
  <c r="C2193" i="9" a="1"/>
  <c r="C2194" i="9" a="1"/>
  <c r="C2195" i="9" a="1"/>
  <c r="C2196" i="9" a="1"/>
  <c r="C2197" i="9" a="1"/>
  <c r="C2198" i="9" a="1"/>
  <c r="C2199" i="9" a="1"/>
  <c r="C2200" i="9" a="1"/>
  <c r="C2201" i="9" a="1"/>
  <c r="C2202" i="9" a="1"/>
  <c r="C2203" i="9" a="1"/>
  <c r="C2204" i="9" a="1"/>
  <c r="C2205" i="9" a="1"/>
  <c r="C2206" i="9" a="1"/>
  <c r="C2207" i="9" a="1"/>
  <c r="C2208" i="9" a="1"/>
  <c r="C2209" i="9" a="1"/>
  <c r="C2210" i="9" a="1"/>
  <c r="C2211" i="9" a="1"/>
  <c r="C2212" i="9" a="1"/>
  <c r="C2213" i="9" a="1"/>
  <c r="C2214" i="9" a="1"/>
  <c r="C2215" i="9" a="1"/>
  <c r="C2216" i="9" a="1"/>
  <c r="C2217" i="9" a="1"/>
  <c r="C2218" i="9" a="1"/>
  <c r="C2219" i="9" a="1"/>
  <c r="C2220" i="9" a="1"/>
  <c r="C2221" i="9" a="1"/>
  <c r="C2222" i="9" a="1"/>
  <c r="C2223" i="9" a="1"/>
  <c r="C2224" i="9" a="1"/>
  <c r="C2225" i="9" a="1"/>
  <c r="C2226" i="9" a="1"/>
  <c r="C2227" i="9" a="1"/>
  <c r="C2228" i="9" a="1"/>
  <c r="C2229" i="9" a="1"/>
  <c r="C2230" i="9" a="1"/>
  <c r="C2231" i="9" a="1"/>
  <c r="C2232" i="9" a="1"/>
  <c r="C2233" i="9" a="1"/>
  <c r="C2234" i="9" a="1"/>
  <c r="C2235" i="9" a="1"/>
  <c r="C2236" i="9" a="1"/>
  <c r="C2237" i="9" a="1"/>
  <c r="C2238" i="9" a="1"/>
  <c r="C2239" i="9" a="1"/>
  <c r="C2240" i="9" a="1"/>
  <c r="C2241" i="9" a="1"/>
  <c r="C2242" i="9" a="1"/>
  <c r="C2243" i="9" a="1"/>
  <c r="C2244" i="9" a="1"/>
  <c r="C2245" i="9" a="1"/>
  <c r="C2246" i="9" a="1"/>
  <c r="C2247" i="9" a="1"/>
  <c r="C2248" i="9" a="1"/>
  <c r="C2249" i="9" a="1"/>
  <c r="C2250" i="9" a="1"/>
  <c r="C2251" i="9" a="1"/>
  <c r="C2252" i="9" a="1"/>
  <c r="C2253" i="9" a="1"/>
  <c r="C2254" i="9" a="1"/>
  <c r="C2255" i="9" a="1"/>
  <c r="C2256" i="9" a="1"/>
  <c r="C2257" i="9" a="1"/>
  <c r="C2258" i="9" a="1"/>
  <c r="C2259" i="9" a="1"/>
  <c r="C2260" i="9" a="1"/>
  <c r="C2261" i="9" a="1"/>
  <c r="C2262" i="9" a="1"/>
  <c r="C2263" i="9" a="1"/>
  <c r="C2264" i="9" a="1"/>
  <c r="C2265" i="9" a="1"/>
  <c r="C2626" i="9" a="1"/>
  <c r="C2267" i="9" a="1"/>
  <c r="C2268" i="9" a="1"/>
  <c r="C2269" i="9" a="1"/>
  <c r="C2270" i="9" a="1"/>
  <c r="C2271" i="9" a="1"/>
  <c r="C2272" i="9" a="1"/>
  <c r="C2273" i="9" a="1"/>
  <c r="C2274" i="9" a="1"/>
  <c r="C2275" i="9" a="1"/>
  <c r="C2276" i="9" a="1"/>
  <c r="C2277" i="9" a="1"/>
  <c r="C2278" i="9" a="1"/>
  <c r="C2279" i="9" a="1"/>
  <c r="C2280" i="9" a="1"/>
  <c r="C2281" i="9" a="1"/>
  <c r="C2282" i="9" a="1"/>
  <c r="C2283" i="9" a="1"/>
  <c r="C2284" i="9" a="1"/>
  <c r="C2285" i="9" a="1"/>
  <c r="C2286" i="9" a="1"/>
  <c r="C2287" i="9" a="1"/>
  <c r="C2288" i="9" a="1"/>
  <c r="C2289" i="9" a="1"/>
  <c r="C2290" i="9" a="1"/>
  <c r="C2291" i="9" a="1"/>
  <c r="C2292" i="9" a="1"/>
  <c r="C2293" i="9" a="1"/>
  <c r="C2294" i="9" a="1"/>
  <c r="C2295" i="9" a="1"/>
  <c r="C2296" i="9" a="1"/>
  <c r="C2297" i="9" a="1"/>
  <c r="C2298" i="9" a="1"/>
  <c r="C2299" i="9" a="1"/>
  <c r="C2300" i="9" a="1"/>
  <c r="C2301" i="9" a="1"/>
  <c r="C2302" i="9" a="1"/>
  <c r="C2303" i="9" a="1"/>
  <c r="C2304" i="9" a="1"/>
  <c r="C2305" i="9" a="1"/>
  <c r="C2306" i="9" a="1"/>
  <c r="C2307" i="9" a="1"/>
  <c r="C2308" i="9" a="1"/>
  <c r="C2309" i="9" a="1"/>
  <c r="C2310" i="9" a="1"/>
  <c r="C2311" i="9" a="1"/>
  <c r="C2312" i="9" a="1"/>
  <c r="C2313" i="9" a="1"/>
  <c r="C2314" i="9" a="1"/>
  <c r="C2315" i="9" a="1"/>
  <c r="C2316" i="9" a="1"/>
  <c r="C2317" i="9" a="1"/>
  <c r="C2318" i="9" a="1"/>
  <c r="C2319" i="9" a="1"/>
  <c r="C2320" i="9" a="1"/>
  <c r="C2321" i="9" a="1"/>
  <c r="C2322" i="9" a="1"/>
  <c r="C2323" i="9" a="1"/>
  <c r="C2324" i="9" a="1"/>
  <c r="C2325" i="9" a="1"/>
  <c r="C2326" i="9" a="1"/>
  <c r="C2327" i="9" a="1"/>
  <c r="C2328" i="9" a="1"/>
  <c r="C2329" i="9" a="1"/>
  <c r="C2330" i="9" a="1"/>
  <c r="C2331" i="9" a="1"/>
  <c r="C2332" i="9" a="1"/>
  <c r="C2333" i="9" a="1"/>
  <c r="C2334" i="9" a="1"/>
  <c r="C2335" i="9" a="1"/>
  <c r="C2336" i="9" a="1"/>
  <c r="C2337" i="9" a="1"/>
  <c r="C934" i="9" a="1"/>
  <c r="C2339" i="9" a="1"/>
  <c r="C2340" i="9" a="1"/>
  <c r="C2341" i="9" a="1"/>
  <c r="C2342" i="9" a="1"/>
  <c r="C2343" i="9" a="1"/>
  <c r="C2344" i="9" a="1"/>
  <c r="C2345" i="9" a="1"/>
  <c r="C2346" i="9" a="1"/>
  <c r="C2347" i="9" a="1"/>
  <c r="C2348" i="9" a="1"/>
  <c r="C2349" i="9" a="1"/>
  <c r="C2350" i="9" a="1"/>
  <c r="C2351" i="9" a="1"/>
  <c r="C2352" i="9" a="1"/>
  <c r="C2353" i="9" a="1"/>
  <c r="C2354" i="9" a="1"/>
  <c r="C2355" i="9" a="1"/>
  <c r="C2356" i="9" a="1"/>
  <c r="C2357" i="9" a="1"/>
  <c r="C2358" i="9" a="1"/>
  <c r="C2359" i="9" a="1"/>
  <c r="C2360" i="9" a="1"/>
  <c r="C2361" i="9" a="1"/>
  <c r="C2362" i="9" a="1"/>
  <c r="C2363" i="9" a="1"/>
  <c r="C2364" i="9" a="1"/>
  <c r="C2365" i="9" a="1"/>
  <c r="C2366" i="9" a="1"/>
  <c r="C2367" i="9" a="1"/>
  <c r="C2368" i="9" a="1"/>
  <c r="C2369" i="9" a="1"/>
  <c r="C2370" i="9" a="1"/>
  <c r="C2371" i="9" a="1"/>
  <c r="C2372" i="9" a="1"/>
  <c r="C2373" i="9" a="1"/>
  <c r="C2374" i="9" a="1"/>
  <c r="C2375" i="9" a="1"/>
  <c r="C2376" i="9" a="1"/>
  <c r="C2377" i="9" a="1"/>
  <c r="C2378" i="9" a="1"/>
  <c r="C2379" i="9" a="1"/>
  <c r="C2380" i="9" a="1"/>
  <c r="C2381" i="9" a="1"/>
  <c r="C2382" i="9" a="1"/>
  <c r="C2383" i="9" a="1"/>
  <c r="C2384" i="9" a="1"/>
  <c r="C2385" i="9" a="1"/>
  <c r="C2386" i="9" a="1"/>
  <c r="C2387" i="9" a="1"/>
  <c r="C2388" i="9" a="1"/>
  <c r="C2389" i="9" a="1"/>
  <c r="C2390" i="9" a="1"/>
  <c r="C2391" i="9" a="1"/>
  <c r="C2392" i="9" a="1"/>
  <c r="C2393" i="9" a="1"/>
  <c r="C2394" i="9" a="1"/>
  <c r="C2395" i="9" a="1"/>
  <c r="C2396" i="9" a="1"/>
  <c r="C2397" i="9" a="1"/>
  <c r="C2398" i="9" a="1"/>
  <c r="C2399" i="9" a="1"/>
  <c r="C2400" i="9" a="1"/>
  <c r="C2401" i="9" a="1"/>
  <c r="C2402" i="9" a="1"/>
  <c r="C2403" i="9" a="1"/>
  <c r="C2404" i="9" a="1"/>
  <c r="C2405" i="9" a="1"/>
  <c r="C2406" i="9" a="1"/>
  <c r="C2407" i="9" a="1"/>
  <c r="C2624" i="9" a="1"/>
  <c r="C2409" i="9" a="1"/>
  <c r="C394" i="9" a="1"/>
  <c r="C2411" i="9" a="1"/>
  <c r="C2412" i="9" a="1"/>
  <c r="C2413" i="9" a="1"/>
  <c r="C2414" i="9" a="1"/>
  <c r="C2415" i="9" a="1"/>
  <c r="C2416" i="9" a="1"/>
  <c r="C2417" i="9" a="1"/>
  <c r="C2418" i="9" a="1"/>
  <c r="C2419" i="9" a="1"/>
  <c r="C2420" i="9" a="1"/>
  <c r="C2421" i="9" a="1"/>
  <c r="C2422" i="9" a="1"/>
  <c r="C2423" i="9" a="1"/>
  <c r="C2424" i="9" a="1"/>
  <c r="C2425" i="9" a="1"/>
  <c r="C2426" i="9" a="1"/>
  <c r="C2427" i="9" a="1"/>
  <c r="C2428" i="9" a="1"/>
  <c r="C2429" i="9" a="1"/>
  <c r="C2430" i="9" a="1"/>
  <c r="C2431" i="9" a="1"/>
  <c r="C2432" i="9" a="1"/>
  <c r="C2433" i="9" a="1"/>
  <c r="C2434" i="9" a="1"/>
  <c r="C2435" i="9" a="1"/>
  <c r="C2436" i="9" a="1"/>
  <c r="C2437" i="9" a="1"/>
  <c r="C2438" i="9" a="1"/>
  <c r="C2439" i="9" a="1"/>
  <c r="C2440" i="9" a="1"/>
  <c r="C2441" i="9" a="1"/>
  <c r="C2442" i="9" a="1"/>
  <c r="C2443" i="9" a="1"/>
  <c r="C2516" i="9" a="1"/>
  <c r="C2445" i="9" a="1"/>
  <c r="C2446" i="9" a="1"/>
  <c r="C2447" i="9" a="1"/>
  <c r="C2448" i="9" a="1"/>
  <c r="C2449" i="9" a="1"/>
  <c r="C2450" i="9" a="1"/>
  <c r="C2451" i="9" a="1"/>
  <c r="C2452" i="9" a="1"/>
  <c r="C2453" i="9" a="1"/>
  <c r="C2454" i="9" a="1"/>
  <c r="C2455" i="9" a="1"/>
  <c r="C2456" i="9" a="1"/>
  <c r="C2457" i="9" a="1"/>
  <c r="C2458" i="9" a="1"/>
  <c r="C2459" i="9" a="1"/>
  <c r="C2460" i="9" a="1"/>
  <c r="C2461" i="9" a="1"/>
  <c r="C2462" i="9" a="1"/>
  <c r="C2463" i="9" a="1"/>
  <c r="C2464" i="9" a="1"/>
  <c r="C2465" i="9" a="1"/>
  <c r="C2466" i="9" a="1"/>
  <c r="C2467" i="9" a="1"/>
  <c r="C2468" i="9" a="1"/>
  <c r="C2469" i="9" a="1"/>
  <c r="C2470" i="9" a="1"/>
  <c r="C2471" i="9" a="1"/>
  <c r="C2472" i="9" a="1"/>
  <c r="C2473" i="9" a="1"/>
  <c r="C2474" i="9" a="1"/>
  <c r="C2475" i="9" a="1"/>
  <c r="C2476" i="9" a="1"/>
  <c r="C2477" i="9" a="1"/>
  <c r="C2478" i="9" a="1"/>
  <c r="C2479" i="9" a="1"/>
  <c r="C2552" i="9" a="1"/>
  <c r="C2481" i="9" a="1"/>
  <c r="C1402" i="9" a="1"/>
  <c r="C2483" i="9" a="1"/>
  <c r="C2484" i="9" a="1"/>
  <c r="C2485" i="9" a="1"/>
  <c r="C2486" i="9" a="1"/>
  <c r="C2487" i="9" a="1"/>
  <c r="C2488" i="9" a="1"/>
  <c r="C2489" i="9" a="1"/>
  <c r="C2490" i="9" a="1"/>
  <c r="C2491" i="9" a="1"/>
  <c r="C2492" i="9" a="1"/>
  <c r="C2493" i="9" a="1"/>
  <c r="C2494" i="9" a="1"/>
  <c r="C2495" i="9" a="1"/>
  <c r="C2496" i="9" a="1"/>
  <c r="C2497" i="9" a="1"/>
  <c r="C2498" i="9" a="1"/>
  <c r="C2499" i="9" a="1"/>
  <c r="C2500" i="9" a="1"/>
  <c r="C2501" i="9" a="1"/>
  <c r="C2502" i="9" a="1"/>
  <c r="C2503" i="9" a="1"/>
  <c r="C2504" i="9" a="1"/>
  <c r="C2505" i="9" a="1"/>
  <c r="C2506" i="9" a="1"/>
  <c r="C2507" i="9" a="1"/>
  <c r="C2508" i="9" a="1"/>
  <c r="C2509" i="9" a="1"/>
  <c r="C2510" i="9" a="1"/>
  <c r="C2511" i="9" a="1"/>
  <c r="C2512" i="9" a="1"/>
  <c r="C2513" i="9" a="1"/>
  <c r="C2514" i="9" a="1"/>
  <c r="C2515" i="9" a="1"/>
  <c r="C2588" i="9" a="1"/>
  <c r="C2517" i="9" a="1"/>
  <c r="C2518" i="9" a="1"/>
  <c r="C2519" i="9" a="1"/>
  <c r="C2520" i="9" a="1"/>
  <c r="C2521" i="9" a="1"/>
  <c r="C2522" i="9" a="1"/>
  <c r="C2523" i="9" a="1"/>
  <c r="C2524" i="9" a="1"/>
  <c r="C2525" i="9" a="1"/>
  <c r="C2526" i="9" a="1"/>
  <c r="C2527" i="9" a="1"/>
  <c r="C2528" i="9" a="1"/>
  <c r="C2529" i="9" a="1"/>
  <c r="C2530" i="9" a="1"/>
  <c r="C2531" i="9" a="1"/>
  <c r="C2532" i="9" a="1"/>
  <c r="C2533" i="9" a="1"/>
  <c r="C2534" i="9" a="1"/>
  <c r="C2535" i="9" a="1"/>
  <c r="C2536" i="9" a="1"/>
  <c r="C2537" i="9" a="1"/>
  <c r="C2538" i="9" a="1"/>
  <c r="C2539" i="9" a="1"/>
  <c r="C2540" i="9" a="1"/>
  <c r="C2541" i="9" a="1"/>
  <c r="C2542" i="9" a="1"/>
  <c r="C2543" i="9" a="1"/>
  <c r="C2544" i="9" a="1"/>
  <c r="C2545" i="9" a="1"/>
  <c r="C2546" i="9" a="1"/>
  <c r="C2547" i="9" a="1"/>
  <c r="C2548" i="9" a="1"/>
  <c r="C2549" i="9" a="1"/>
  <c r="C2550" i="9" a="1"/>
  <c r="C2551" i="9" a="1"/>
  <c r="C2660" i="9" a="1"/>
  <c r="C2553" i="9" a="1"/>
  <c r="C1150" i="9" a="1"/>
  <c r="C2555" i="9" a="1"/>
  <c r="C2556" i="9" a="1"/>
  <c r="C2557" i="9" a="1"/>
  <c r="C2558" i="9" a="1"/>
  <c r="C2559" i="9" a="1"/>
  <c r="C2560" i="9" a="1"/>
  <c r="C2561" i="9" a="1"/>
  <c r="C2562" i="9" a="1"/>
  <c r="C2563" i="9" a="1"/>
  <c r="C2564" i="9" a="1"/>
  <c r="C2565" i="9" a="1"/>
  <c r="C2566" i="9" a="1"/>
  <c r="C2567" i="9" a="1"/>
  <c r="C2568" i="9" a="1"/>
  <c r="C2569" i="9" a="1"/>
  <c r="C2570" i="9" a="1"/>
  <c r="C2571" i="9" a="1"/>
  <c r="C2572" i="9" a="1"/>
  <c r="C2573" i="9" a="1"/>
  <c r="C2574" i="9" a="1"/>
  <c r="C2575" i="9" a="1"/>
  <c r="C2576" i="9" a="1"/>
  <c r="C2577" i="9" a="1"/>
  <c r="C2578" i="9" a="1"/>
  <c r="C2579" i="9" a="1"/>
  <c r="C2580" i="9" a="1"/>
  <c r="C2581" i="9" a="1"/>
  <c r="C2582" i="9" a="1"/>
  <c r="C2583" i="9" a="1"/>
  <c r="C2584" i="9" a="1"/>
  <c r="C2585" i="9" a="1"/>
  <c r="C2586" i="9" a="1"/>
  <c r="C2587" i="9" a="1"/>
  <c r="C2696" i="9" a="1"/>
  <c r="C2589" i="9" a="1"/>
  <c r="C430" i="9" a="1"/>
  <c r="C2591" i="9" a="1"/>
  <c r="C2592" i="9" a="1"/>
  <c r="C2593" i="9" a="1"/>
  <c r="C2594" i="9" a="1"/>
  <c r="C2595" i="9" a="1"/>
  <c r="C2596" i="9" a="1"/>
  <c r="C2597" i="9" a="1"/>
  <c r="C2598" i="9" a="1"/>
  <c r="C2599" i="9" a="1"/>
  <c r="C2600" i="9" a="1"/>
  <c r="C2601" i="9" a="1"/>
  <c r="C2602" i="9" a="1"/>
  <c r="C2603" i="9" a="1"/>
  <c r="C2604" i="9" a="1"/>
  <c r="C2605" i="9" a="1"/>
  <c r="C2606" i="9" a="1"/>
  <c r="C2607" i="9" a="1"/>
  <c r="C2608" i="9" a="1"/>
  <c r="C2609" i="9" a="1"/>
  <c r="C2610" i="9" a="1"/>
  <c r="C2611" i="9" a="1"/>
  <c r="C2612" i="9" a="1"/>
  <c r="C2613" i="9" a="1"/>
  <c r="C2614" i="9" a="1"/>
  <c r="C2615" i="9" a="1"/>
  <c r="C2616" i="9" a="1"/>
  <c r="C2617" i="9" a="1"/>
  <c r="C2618" i="9" a="1"/>
  <c r="C2619" i="9" a="1"/>
  <c r="C2620" i="9" a="1"/>
  <c r="C2621" i="9" a="1"/>
  <c r="C2622" i="9" a="1"/>
  <c r="C2623" i="9" a="1"/>
  <c r="C2732" i="9" a="1"/>
  <c r="C2625" i="9" a="1"/>
  <c r="C1942" i="9" a="1"/>
  <c r="C2627" i="9" a="1"/>
  <c r="C2628" i="9" a="1"/>
  <c r="C2629" i="9" a="1"/>
  <c r="C2630" i="9" a="1"/>
  <c r="C2631" i="9" a="1"/>
  <c r="C2632" i="9" a="1"/>
  <c r="C2633" i="9" a="1"/>
  <c r="C2634" i="9" a="1"/>
  <c r="C2635" i="9" a="1"/>
  <c r="C2636" i="9" a="1"/>
  <c r="C2637" i="9" a="1"/>
  <c r="C2638" i="9" a="1"/>
  <c r="C2639" i="9" a="1"/>
  <c r="C2640" i="9" a="1"/>
  <c r="C2641" i="9" a="1"/>
  <c r="C2642" i="9" a="1"/>
  <c r="C2643" i="9" a="1"/>
  <c r="C2644" i="9" a="1"/>
  <c r="C2645" i="9" a="1"/>
  <c r="C2646" i="9" a="1"/>
  <c r="C2647" i="9" a="1"/>
  <c r="C2648" i="9" a="1"/>
  <c r="C2649" i="9" a="1"/>
  <c r="C2650" i="9" a="1"/>
  <c r="C2651" i="9" a="1"/>
  <c r="C2652" i="9" a="1"/>
  <c r="C2653" i="9" a="1"/>
  <c r="C2654" i="9" a="1"/>
  <c r="C2655" i="9" a="1"/>
  <c r="C2656" i="9" a="1"/>
  <c r="C2657" i="9" a="1"/>
  <c r="C2658" i="9" a="1"/>
  <c r="C2659" i="9" a="1"/>
  <c r="C2768" i="9" a="1"/>
  <c r="C2661" i="9" a="1"/>
  <c r="C2662" i="9" a="1"/>
  <c r="C2663" i="9" a="1"/>
  <c r="C2664" i="9" a="1"/>
  <c r="C2665" i="9" a="1"/>
  <c r="C2666" i="9" a="1"/>
  <c r="C2667" i="9" a="1"/>
  <c r="C2668" i="9" a="1"/>
  <c r="C2669" i="9" a="1"/>
  <c r="C2670" i="9" a="1"/>
  <c r="C2671" i="9" a="1"/>
  <c r="C2672" i="9" a="1"/>
  <c r="C2673" i="9" a="1"/>
  <c r="C2674" i="9" a="1"/>
  <c r="C2675" i="9" a="1"/>
  <c r="C2676" i="9" a="1"/>
  <c r="C2677" i="9" a="1"/>
  <c r="C2678" i="9" a="1"/>
  <c r="C2679" i="9" a="1"/>
  <c r="C2680" i="9" a="1"/>
  <c r="C2681" i="9" a="1"/>
  <c r="C2682" i="9" a="1"/>
  <c r="C2683" i="9" a="1"/>
  <c r="C2684" i="9" a="1"/>
  <c r="C2685" i="9" a="1"/>
  <c r="C2686" i="9" a="1"/>
  <c r="C2687" i="9" a="1"/>
  <c r="C2688" i="9" a="1"/>
  <c r="C2689" i="9" a="1"/>
  <c r="C2690" i="9" a="1"/>
  <c r="C2691" i="9" a="1"/>
  <c r="C2692" i="9" a="1"/>
  <c r="C2693" i="9" a="1"/>
  <c r="C2694" i="9" a="1"/>
  <c r="C392" i="9" a="1"/>
  <c r="C2697" i="9" a="1"/>
  <c r="C1546" i="9" a="1"/>
  <c r="C2699" i="9" a="1"/>
  <c r="C2700" i="9" a="1"/>
  <c r="C2701" i="9" a="1"/>
  <c r="C2702" i="9" a="1"/>
  <c r="C2703" i="9" a="1"/>
  <c r="C2704" i="9" a="1"/>
  <c r="C2705" i="9" a="1"/>
  <c r="C2706" i="9" a="1"/>
  <c r="C2707" i="9" a="1"/>
  <c r="C2708" i="9" a="1"/>
  <c r="C2709" i="9" a="1"/>
  <c r="C2710" i="9" a="1"/>
  <c r="C2711" i="9" a="1"/>
  <c r="C2712" i="9" a="1"/>
  <c r="C2713" i="9" a="1"/>
  <c r="C2714" i="9" a="1"/>
  <c r="C2715" i="9" a="1"/>
  <c r="C2716" i="9" a="1"/>
  <c r="C2717" i="9" a="1"/>
  <c r="C2718" i="9" a="1"/>
  <c r="C2719" i="9" a="1"/>
  <c r="C2720" i="9" a="1"/>
  <c r="C2721" i="9" a="1"/>
  <c r="C2722" i="9" a="1"/>
  <c r="C2723" i="9" a="1"/>
  <c r="C2724" i="9" a="1"/>
  <c r="C2725" i="9" a="1"/>
  <c r="C2726" i="9" a="1"/>
  <c r="C2727" i="9" a="1"/>
  <c r="C2728" i="9" a="1"/>
  <c r="C2729" i="9" a="1"/>
  <c r="C2730" i="9" a="1"/>
  <c r="C2731" i="9" a="1"/>
  <c r="C140" i="9" a="1"/>
  <c r="C2733" i="9" a="1"/>
  <c r="C1366" i="9" a="1"/>
  <c r="C2735" i="9" a="1"/>
  <c r="C2736" i="9" a="1"/>
  <c r="C2737" i="9" a="1"/>
  <c r="C2738" i="9" a="1"/>
  <c r="C2739" i="9" a="1"/>
  <c r="C2740" i="9" a="1"/>
  <c r="C2741" i="9" a="1"/>
  <c r="C2742" i="9" a="1"/>
  <c r="C2743" i="9" a="1"/>
  <c r="C2744" i="9" a="1"/>
  <c r="C2745" i="9" a="1"/>
  <c r="C2746" i="9" a="1"/>
  <c r="C2747" i="9" a="1"/>
  <c r="C2748" i="9" a="1"/>
  <c r="C2749" i="9" a="1"/>
  <c r="C2750" i="9" a="1"/>
  <c r="C2751" i="9" a="1"/>
  <c r="C2752" i="9" a="1"/>
  <c r="C2753" i="9" a="1"/>
  <c r="C2754" i="9" a="1"/>
  <c r="C2755" i="9" a="1"/>
  <c r="C2756" i="9" a="1"/>
  <c r="C2757" i="9" a="1"/>
  <c r="C2758" i="9" a="1"/>
  <c r="C2759" i="9" a="1"/>
  <c r="C2760" i="9" a="1"/>
  <c r="C2761" i="9" a="1"/>
  <c r="C2762" i="9" a="1"/>
  <c r="C2763" i="9" a="1"/>
  <c r="C2764" i="9" a="1"/>
  <c r="C2765" i="9" a="1"/>
  <c r="C2766" i="9" a="1"/>
  <c r="C2767" i="9" a="1"/>
  <c r="C2769" i="9" a="1"/>
  <c r="C2482" i="9" a="1"/>
  <c r="C2771" i="9" a="1"/>
  <c r="C2772" i="9" a="1"/>
  <c r="C2" i="9" a="1"/>
  <c r="H18" i="12" l="1"/>
  <c r="J18" i="12" s="1"/>
  <c r="F9" i="12"/>
  <c r="G4" i="12"/>
  <c r="F2" i="12"/>
  <c r="H2" i="12" s="1"/>
  <c r="K2" i="12" s="1"/>
  <c r="H21" i="12"/>
  <c r="K21" i="12" s="1"/>
  <c r="J7" i="12"/>
  <c r="J5" i="12"/>
  <c r="K5" i="12"/>
  <c r="J15" i="12"/>
  <c r="K15" i="12"/>
  <c r="J3" i="12"/>
  <c r="K3" i="12"/>
  <c r="J14" i="12"/>
  <c r="K14" i="12"/>
  <c r="J6" i="12"/>
  <c r="K6" i="12"/>
  <c r="J23" i="12"/>
  <c r="J11" i="12"/>
  <c r="K11" i="12"/>
  <c r="J22" i="12"/>
  <c r="K22" i="12"/>
  <c r="F8" i="12"/>
  <c r="F12" i="12"/>
  <c r="H12" i="12" s="1"/>
  <c r="H19" i="12"/>
  <c r="H13" i="12"/>
  <c r="H24" i="12"/>
  <c r="H20" i="12"/>
  <c r="D76" i="6"/>
  <c r="E76" i="6"/>
  <c r="F76" i="6"/>
  <c r="G76" i="6"/>
  <c r="H76" i="6"/>
  <c r="I76" i="6"/>
  <c r="J76" i="6"/>
  <c r="K76" i="6"/>
  <c r="L76" i="6"/>
  <c r="M76" i="6"/>
  <c r="N76" i="6"/>
  <c r="C75" i="6"/>
  <c r="N75" i="6"/>
  <c r="M75" i="6"/>
  <c r="L75" i="6"/>
  <c r="K75" i="6"/>
  <c r="J75" i="6"/>
  <c r="I75" i="6"/>
  <c r="H75" i="6"/>
  <c r="G75" i="6"/>
  <c r="F75" i="6"/>
  <c r="E75" i="6"/>
  <c r="D75" i="6"/>
  <c r="N74" i="6"/>
  <c r="M74" i="6"/>
  <c r="L74" i="6"/>
  <c r="K74" i="6"/>
  <c r="J74" i="6"/>
  <c r="I74" i="6"/>
  <c r="H74" i="6"/>
  <c r="G74" i="6"/>
  <c r="F74" i="6"/>
  <c r="E74" i="6"/>
  <c r="D74" i="6"/>
  <c r="C74" i="6"/>
  <c r="N73" i="6"/>
  <c r="M73" i="6"/>
  <c r="L73" i="6"/>
  <c r="K73" i="6"/>
  <c r="J73" i="6"/>
  <c r="I73" i="6"/>
  <c r="H73" i="6"/>
  <c r="G73" i="6"/>
  <c r="F73" i="6"/>
  <c r="E73" i="6"/>
  <c r="D73" i="6"/>
  <c r="C73" i="6"/>
  <c r="N72" i="6"/>
  <c r="M72" i="6"/>
  <c r="L72" i="6"/>
  <c r="K72" i="6"/>
  <c r="J72" i="6"/>
  <c r="I72" i="6"/>
  <c r="H72" i="6"/>
  <c r="G72" i="6"/>
  <c r="F72" i="6"/>
  <c r="E72" i="6"/>
  <c r="D72" i="6"/>
  <c r="C72" i="6"/>
  <c r="N71" i="6"/>
  <c r="M71" i="6"/>
  <c r="L71" i="6"/>
  <c r="K71" i="6"/>
  <c r="J71" i="6"/>
  <c r="I71" i="6"/>
  <c r="H71" i="6"/>
  <c r="G71" i="6"/>
  <c r="F71" i="6"/>
  <c r="E71" i="6"/>
  <c r="D71" i="6"/>
  <c r="C71" i="6"/>
  <c r="N70" i="6"/>
  <c r="M70" i="6"/>
  <c r="L70" i="6"/>
  <c r="K70" i="6"/>
  <c r="J70" i="6"/>
  <c r="I70" i="6"/>
  <c r="H70" i="6"/>
  <c r="G70" i="6"/>
  <c r="F70" i="6"/>
  <c r="E70" i="6"/>
  <c r="D70" i="6"/>
  <c r="C70" i="6"/>
  <c r="N69" i="6"/>
  <c r="M69" i="6"/>
  <c r="L69" i="6"/>
  <c r="K69" i="6"/>
  <c r="J69" i="6"/>
  <c r="I69" i="6"/>
  <c r="H69" i="6"/>
  <c r="G69" i="6"/>
  <c r="F69" i="6"/>
  <c r="E69" i="6"/>
  <c r="D69" i="6"/>
  <c r="C69" i="6"/>
  <c r="N68" i="6"/>
  <c r="M68" i="6"/>
  <c r="L68" i="6"/>
  <c r="K68" i="6"/>
  <c r="J68" i="6"/>
  <c r="I68" i="6"/>
  <c r="H68" i="6"/>
  <c r="G68" i="6"/>
  <c r="F68" i="6"/>
  <c r="E68" i="6"/>
  <c r="D68" i="6"/>
  <c r="C68" i="6"/>
  <c r="N67" i="6"/>
  <c r="M67" i="6"/>
  <c r="L67" i="6"/>
  <c r="K67" i="6"/>
  <c r="J67" i="6"/>
  <c r="I67" i="6"/>
  <c r="H67" i="6"/>
  <c r="G67" i="6"/>
  <c r="F67" i="6"/>
  <c r="E67" i="6"/>
  <c r="D67" i="6"/>
  <c r="C67" i="6"/>
  <c r="N66" i="6"/>
  <c r="M66" i="6"/>
  <c r="L66" i="6"/>
  <c r="K66" i="6"/>
  <c r="J66" i="6"/>
  <c r="I66" i="6"/>
  <c r="H66" i="6"/>
  <c r="G66" i="6"/>
  <c r="F66" i="6"/>
  <c r="E66" i="6"/>
  <c r="D66" i="6"/>
  <c r="C66" i="6"/>
  <c r="N65" i="6"/>
  <c r="M65" i="6"/>
  <c r="L65" i="6"/>
  <c r="K65" i="6"/>
  <c r="J65" i="6"/>
  <c r="I65" i="6"/>
  <c r="H65" i="6"/>
  <c r="G65" i="6"/>
  <c r="F65" i="6"/>
  <c r="E65" i="6"/>
  <c r="D65" i="6"/>
  <c r="C65" i="6"/>
  <c r="N64" i="6"/>
  <c r="M64" i="6"/>
  <c r="L64" i="6"/>
  <c r="K64" i="6"/>
  <c r="I64" i="6"/>
  <c r="H64" i="6"/>
  <c r="G64" i="6"/>
  <c r="F64" i="6"/>
  <c r="E64" i="6"/>
  <c r="D64" i="6"/>
  <c r="C64" i="6"/>
  <c r="N63" i="6"/>
  <c r="M63" i="6"/>
  <c r="L63" i="6"/>
  <c r="K63" i="6"/>
  <c r="I63" i="6"/>
  <c r="H63" i="6"/>
  <c r="G63" i="6"/>
  <c r="F63" i="6"/>
  <c r="E63" i="6"/>
  <c r="D63" i="6"/>
  <c r="C63" i="6"/>
  <c r="N62" i="6"/>
  <c r="M62" i="6"/>
  <c r="L62" i="6"/>
  <c r="K62" i="6"/>
  <c r="I62" i="6"/>
  <c r="H62" i="6"/>
  <c r="G62" i="6"/>
  <c r="F62" i="6"/>
  <c r="E62" i="6"/>
  <c r="D62" i="6"/>
  <c r="C62" i="6"/>
  <c r="N61" i="6"/>
  <c r="M61" i="6"/>
  <c r="L61" i="6"/>
  <c r="K61" i="6"/>
  <c r="J61" i="6"/>
  <c r="I61" i="6"/>
  <c r="H61" i="6"/>
  <c r="G61" i="6"/>
  <c r="F61" i="6"/>
  <c r="E61" i="6"/>
  <c r="D61" i="6"/>
  <c r="C61" i="6"/>
  <c r="N60" i="6"/>
  <c r="M60" i="6"/>
  <c r="L60" i="6"/>
  <c r="K60" i="6"/>
  <c r="J60" i="6"/>
  <c r="I60" i="6"/>
  <c r="H60" i="6"/>
  <c r="G60" i="6"/>
  <c r="E60" i="6"/>
  <c r="D60" i="6"/>
  <c r="C60" i="6"/>
  <c r="N59" i="6"/>
  <c r="M59" i="6"/>
  <c r="L59" i="6"/>
  <c r="K59" i="6"/>
  <c r="J59" i="6"/>
  <c r="I59" i="6"/>
  <c r="H59" i="6"/>
  <c r="G59" i="6"/>
  <c r="E59" i="6"/>
  <c r="D59" i="6"/>
  <c r="C59" i="6"/>
  <c r="N58" i="6"/>
  <c r="M58" i="6"/>
  <c r="L58" i="6"/>
  <c r="K58" i="6"/>
  <c r="J58" i="6"/>
  <c r="I58" i="6"/>
  <c r="H58" i="6"/>
  <c r="G58" i="6"/>
  <c r="F58" i="6"/>
  <c r="E58" i="6"/>
  <c r="D58" i="6"/>
  <c r="C58" i="6"/>
  <c r="N57" i="6"/>
  <c r="M57" i="6"/>
  <c r="L57" i="6"/>
  <c r="K57" i="6"/>
  <c r="J57" i="6"/>
  <c r="I57" i="6"/>
  <c r="H57" i="6"/>
  <c r="G57" i="6"/>
  <c r="F57" i="6"/>
  <c r="E57" i="6"/>
  <c r="D57" i="6"/>
  <c r="C57" i="6"/>
  <c r="N56" i="6"/>
  <c r="M56" i="6"/>
  <c r="L56" i="6"/>
  <c r="K56" i="6"/>
  <c r="J56" i="6"/>
  <c r="I56" i="6"/>
  <c r="H56" i="6"/>
  <c r="G56" i="6"/>
  <c r="F56" i="6"/>
  <c r="E56" i="6"/>
  <c r="D56" i="6"/>
  <c r="C56" i="6"/>
  <c r="N55" i="6"/>
  <c r="M55" i="6"/>
  <c r="L55" i="6"/>
  <c r="K55" i="6"/>
  <c r="J55" i="6"/>
  <c r="I55" i="6"/>
  <c r="H55" i="6"/>
  <c r="G55" i="6"/>
  <c r="F55" i="6"/>
  <c r="E55" i="6"/>
  <c r="D55" i="6"/>
  <c r="C55" i="6"/>
  <c r="N54" i="6"/>
  <c r="M54" i="6"/>
  <c r="L54" i="6"/>
  <c r="K54" i="6"/>
  <c r="J54" i="6"/>
  <c r="I54" i="6"/>
  <c r="H54" i="6"/>
  <c r="G54" i="6"/>
  <c r="F54" i="6"/>
  <c r="E54" i="6"/>
  <c r="D54" i="6"/>
  <c r="C54" i="6"/>
  <c r="N53" i="6"/>
  <c r="M53" i="6"/>
  <c r="L53" i="6"/>
  <c r="K53" i="6"/>
  <c r="J53" i="6"/>
  <c r="I53" i="6"/>
  <c r="H53" i="6"/>
  <c r="G53" i="6"/>
  <c r="F53" i="6"/>
  <c r="E53" i="6"/>
  <c r="D53" i="6"/>
  <c r="C53" i="6"/>
  <c r="N52" i="6"/>
  <c r="M52" i="6"/>
  <c r="L52" i="6"/>
  <c r="K52" i="6"/>
  <c r="J52" i="6"/>
  <c r="I52" i="6"/>
  <c r="H52" i="6"/>
  <c r="G52" i="6"/>
  <c r="F52" i="6"/>
  <c r="E52" i="6"/>
  <c r="D52" i="6"/>
  <c r="C52" i="6"/>
  <c r="N51" i="6"/>
  <c r="M51" i="6"/>
  <c r="L51" i="6"/>
  <c r="K51" i="6"/>
  <c r="J51" i="6"/>
  <c r="I51" i="6"/>
  <c r="H51" i="6"/>
  <c r="G51" i="6"/>
  <c r="F51" i="6"/>
  <c r="E51" i="6"/>
  <c r="D51" i="6"/>
  <c r="C51" i="6"/>
  <c r="N50" i="6"/>
  <c r="M50" i="6"/>
  <c r="L50" i="6"/>
  <c r="K50" i="6"/>
  <c r="J50" i="6"/>
  <c r="I50" i="6"/>
  <c r="H50" i="6"/>
  <c r="G50" i="6"/>
  <c r="F50" i="6"/>
  <c r="E50" i="6"/>
  <c r="D50" i="6"/>
  <c r="C50" i="6"/>
  <c r="N49" i="6"/>
  <c r="M49" i="6"/>
  <c r="L49" i="6"/>
  <c r="K49" i="6"/>
  <c r="J49" i="6"/>
  <c r="I49" i="6"/>
  <c r="H49" i="6"/>
  <c r="G49" i="6"/>
  <c r="F49" i="6"/>
  <c r="E49" i="6"/>
  <c r="D49" i="6"/>
  <c r="C49" i="6"/>
  <c r="N48" i="6"/>
  <c r="M48" i="6"/>
  <c r="L48" i="6"/>
  <c r="K48" i="6"/>
  <c r="J48" i="6"/>
  <c r="I48" i="6"/>
  <c r="H48" i="6"/>
  <c r="G48" i="6"/>
  <c r="F48" i="6"/>
  <c r="E48" i="6"/>
  <c r="D48" i="6"/>
  <c r="C48" i="6"/>
  <c r="N47" i="6"/>
  <c r="M47" i="6"/>
  <c r="L47" i="6"/>
  <c r="K47" i="6"/>
  <c r="J47" i="6"/>
  <c r="I47" i="6"/>
  <c r="H47" i="6"/>
  <c r="G47" i="6"/>
  <c r="F47" i="6"/>
  <c r="E47" i="6"/>
  <c r="D47" i="6"/>
  <c r="C47" i="6"/>
  <c r="N46" i="6"/>
  <c r="M46" i="6"/>
  <c r="L46" i="6"/>
  <c r="K46" i="6"/>
  <c r="J46" i="6"/>
  <c r="I46" i="6"/>
  <c r="H46" i="6"/>
  <c r="G46" i="6"/>
  <c r="F46" i="6"/>
  <c r="E46" i="6"/>
  <c r="D46" i="6"/>
  <c r="C46" i="6"/>
  <c r="N45" i="6"/>
  <c r="M45" i="6"/>
  <c r="L45" i="6"/>
  <c r="K45" i="6"/>
  <c r="J45" i="6"/>
  <c r="I45" i="6"/>
  <c r="H45" i="6"/>
  <c r="G45" i="6"/>
  <c r="F45" i="6"/>
  <c r="E45" i="6"/>
  <c r="D45" i="6"/>
  <c r="C45" i="6"/>
  <c r="N44" i="6"/>
  <c r="M44" i="6"/>
  <c r="L44" i="6"/>
  <c r="K44" i="6"/>
  <c r="J44" i="6"/>
  <c r="I44" i="6"/>
  <c r="H44" i="6"/>
  <c r="G44" i="6"/>
  <c r="F44" i="6"/>
  <c r="E44" i="6"/>
  <c r="D44" i="6"/>
  <c r="C44" i="6"/>
  <c r="N43" i="6"/>
  <c r="M43" i="6"/>
  <c r="L43" i="6"/>
  <c r="K43" i="6"/>
  <c r="J43" i="6"/>
  <c r="I43" i="6"/>
  <c r="H43" i="6"/>
  <c r="G43" i="6"/>
  <c r="F43" i="6"/>
  <c r="E43" i="6"/>
  <c r="D43" i="6"/>
  <c r="C43" i="6"/>
  <c r="N42" i="6"/>
  <c r="M42" i="6"/>
  <c r="L42" i="6"/>
  <c r="K42" i="6"/>
  <c r="J42" i="6"/>
  <c r="I42" i="6"/>
  <c r="H42" i="6"/>
  <c r="G42" i="6"/>
  <c r="F42" i="6"/>
  <c r="E42" i="6"/>
  <c r="D42" i="6"/>
  <c r="C42" i="6"/>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38" i="6"/>
  <c r="M38" i="6"/>
  <c r="L38" i="6"/>
  <c r="K38" i="6"/>
  <c r="J38" i="6"/>
  <c r="I38" i="6"/>
  <c r="H38" i="6"/>
  <c r="G38" i="6"/>
  <c r="F38" i="6"/>
  <c r="E38" i="6"/>
  <c r="D38" i="6"/>
  <c r="C38" i="6"/>
  <c r="N37" i="6"/>
  <c r="M37" i="6"/>
  <c r="L37" i="6"/>
  <c r="K37" i="6"/>
  <c r="J37" i="6"/>
  <c r="I37" i="6"/>
  <c r="H37" i="6"/>
  <c r="G37" i="6"/>
  <c r="F37" i="6"/>
  <c r="E37" i="6"/>
  <c r="D37" i="6"/>
  <c r="C37" i="6"/>
  <c r="N36" i="6"/>
  <c r="M36" i="6"/>
  <c r="L36" i="6"/>
  <c r="K36" i="6"/>
  <c r="J36" i="6"/>
  <c r="I36" i="6"/>
  <c r="H36" i="6"/>
  <c r="G36" i="6"/>
  <c r="F36" i="6"/>
  <c r="E36" i="6"/>
  <c r="D36" i="6"/>
  <c r="C36" i="6"/>
  <c r="N35" i="6"/>
  <c r="M35" i="6"/>
  <c r="L35" i="6"/>
  <c r="K35" i="6"/>
  <c r="J35" i="6"/>
  <c r="I35" i="6"/>
  <c r="H35" i="6"/>
  <c r="G35" i="6"/>
  <c r="F35" i="6"/>
  <c r="E35" i="6"/>
  <c r="D35" i="6"/>
  <c r="C35" i="6"/>
  <c r="N34" i="6"/>
  <c r="M34" i="6"/>
  <c r="L34" i="6"/>
  <c r="K34" i="6"/>
  <c r="J34" i="6"/>
  <c r="I34" i="6"/>
  <c r="H34" i="6"/>
  <c r="G34" i="6"/>
  <c r="F34" i="6"/>
  <c r="E34" i="6"/>
  <c r="D34" i="6"/>
  <c r="C34" i="6"/>
  <c r="N33" i="6"/>
  <c r="M33" i="6"/>
  <c r="L33" i="6"/>
  <c r="K33" i="6"/>
  <c r="J33" i="6"/>
  <c r="I33" i="6"/>
  <c r="H33" i="6"/>
  <c r="G33" i="6"/>
  <c r="F33" i="6"/>
  <c r="E33" i="6"/>
  <c r="D33" i="6"/>
  <c r="C33" i="6"/>
  <c r="N32" i="6"/>
  <c r="M32" i="6"/>
  <c r="L32" i="6"/>
  <c r="K32" i="6"/>
  <c r="J32" i="6"/>
  <c r="I32" i="6"/>
  <c r="H32" i="6"/>
  <c r="G32" i="6"/>
  <c r="F32" i="6"/>
  <c r="E32" i="6"/>
  <c r="D32" i="6"/>
  <c r="C32" i="6"/>
  <c r="N31" i="6"/>
  <c r="M31" i="6"/>
  <c r="L31" i="6"/>
  <c r="K31" i="6"/>
  <c r="J31" i="6"/>
  <c r="I31" i="6"/>
  <c r="H31" i="6"/>
  <c r="G31" i="6"/>
  <c r="F31" i="6"/>
  <c r="E31" i="6"/>
  <c r="D31" i="6"/>
  <c r="C31" i="6"/>
  <c r="N30" i="6"/>
  <c r="M30" i="6"/>
  <c r="L30" i="6"/>
  <c r="K30" i="6"/>
  <c r="J30" i="6"/>
  <c r="I30" i="6"/>
  <c r="H30" i="6"/>
  <c r="G30" i="6"/>
  <c r="F30" i="6"/>
  <c r="E30" i="6"/>
  <c r="D30" i="6"/>
  <c r="C30" i="6"/>
  <c r="N29" i="6"/>
  <c r="M29" i="6"/>
  <c r="L29" i="6"/>
  <c r="K29" i="6"/>
  <c r="J29" i="6"/>
  <c r="I29" i="6"/>
  <c r="H29" i="6"/>
  <c r="G29" i="6"/>
  <c r="F29" i="6"/>
  <c r="E29" i="6"/>
  <c r="D29" i="6"/>
  <c r="C29" i="6"/>
  <c r="N28" i="6"/>
  <c r="M28" i="6"/>
  <c r="L28" i="6"/>
  <c r="K28" i="6"/>
  <c r="J28" i="6"/>
  <c r="I28" i="6"/>
  <c r="H28" i="6"/>
  <c r="G28" i="6"/>
  <c r="F28" i="6"/>
  <c r="E28" i="6"/>
  <c r="D28" i="6"/>
  <c r="C28" i="6"/>
  <c r="N27" i="6"/>
  <c r="M27" i="6"/>
  <c r="L27" i="6"/>
  <c r="K27" i="6"/>
  <c r="J27" i="6"/>
  <c r="I27" i="6"/>
  <c r="H27" i="6"/>
  <c r="G27" i="6"/>
  <c r="F27" i="6"/>
  <c r="E27" i="6"/>
  <c r="D27" i="6"/>
  <c r="C27" i="6"/>
  <c r="N26" i="6"/>
  <c r="M26" i="6"/>
  <c r="L26" i="6"/>
  <c r="K26" i="6"/>
  <c r="J26" i="6"/>
  <c r="I26" i="6"/>
  <c r="H26" i="6"/>
  <c r="G26" i="6"/>
  <c r="F26" i="6"/>
  <c r="E26" i="6"/>
  <c r="D26" i="6"/>
  <c r="C26" i="6"/>
  <c r="N25" i="6"/>
  <c r="M25" i="6"/>
  <c r="L25" i="6"/>
  <c r="K25" i="6"/>
  <c r="J25" i="6"/>
  <c r="I25" i="6"/>
  <c r="H25" i="6"/>
  <c r="G25" i="6"/>
  <c r="F25" i="6"/>
  <c r="E25" i="6"/>
  <c r="D25" i="6"/>
  <c r="C25" i="6"/>
  <c r="N24" i="6"/>
  <c r="M24" i="6"/>
  <c r="L24" i="6"/>
  <c r="K24" i="6"/>
  <c r="J24" i="6"/>
  <c r="I24" i="6"/>
  <c r="H24" i="6"/>
  <c r="G24" i="6"/>
  <c r="F24" i="6"/>
  <c r="E24" i="6"/>
  <c r="D24" i="6"/>
  <c r="C24" i="6"/>
  <c r="N23" i="6"/>
  <c r="M23" i="6"/>
  <c r="L23" i="6"/>
  <c r="K23" i="6"/>
  <c r="J23" i="6"/>
  <c r="I23" i="6"/>
  <c r="H23" i="6"/>
  <c r="G23" i="6"/>
  <c r="F23" i="6"/>
  <c r="E23" i="6"/>
  <c r="D23" i="6"/>
  <c r="C23" i="6"/>
  <c r="N22" i="6"/>
  <c r="M22" i="6"/>
  <c r="L22" i="6"/>
  <c r="K22" i="6"/>
  <c r="J22" i="6"/>
  <c r="I22" i="6"/>
  <c r="H22" i="6"/>
  <c r="G22" i="6"/>
  <c r="F22" i="6"/>
  <c r="E22" i="6"/>
  <c r="D22" i="6"/>
  <c r="C22" i="6"/>
  <c r="N21" i="6"/>
  <c r="M21" i="6"/>
  <c r="L21" i="6"/>
  <c r="K21" i="6"/>
  <c r="J21" i="6"/>
  <c r="I21" i="6"/>
  <c r="H21" i="6"/>
  <c r="G21" i="6"/>
  <c r="F21" i="6"/>
  <c r="E21" i="6"/>
  <c r="D21" i="6"/>
  <c r="C21" i="6"/>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M17" i="6"/>
  <c r="L17" i="6"/>
  <c r="K17" i="6"/>
  <c r="J17" i="6"/>
  <c r="I17" i="6"/>
  <c r="H17" i="6"/>
  <c r="G17" i="6"/>
  <c r="F17" i="6"/>
  <c r="E17" i="6"/>
  <c r="D17" i="6"/>
  <c r="C17" i="6"/>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M13" i="6"/>
  <c r="L13" i="6"/>
  <c r="K13" i="6"/>
  <c r="J13" i="6"/>
  <c r="I13" i="6"/>
  <c r="H13" i="6"/>
  <c r="G13" i="6"/>
  <c r="F13" i="6"/>
  <c r="E13" i="6"/>
  <c r="D13" i="6"/>
  <c r="C13" i="6"/>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M9" i="6"/>
  <c r="L9" i="6"/>
  <c r="K9" i="6"/>
  <c r="J9" i="6"/>
  <c r="I9" i="6"/>
  <c r="H9" i="6"/>
  <c r="G9" i="6"/>
  <c r="F9" i="6"/>
  <c r="E9" i="6"/>
  <c r="D9" i="6"/>
  <c r="C9" i="6"/>
  <c r="N8" i="6"/>
  <c r="L8" i="6"/>
  <c r="K8" i="6"/>
  <c r="J8" i="6"/>
  <c r="I8" i="6"/>
  <c r="H8" i="6"/>
  <c r="G8" i="6"/>
  <c r="F8" i="6"/>
  <c r="E8" i="6"/>
  <c r="D8" i="6"/>
  <c r="C8" i="6"/>
  <c r="N7" i="6"/>
  <c r="M7" i="6"/>
  <c r="L7" i="6"/>
  <c r="K7" i="6"/>
  <c r="J7" i="6"/>
  <c r="I7" i="6"/>
  <c r="H7" i="6"/>
  <c r="G7" i="6"/>
  <c r="F7" i="6"/>
  <c r="E7" i="6"/>
  <c r="D7" i="6"/>
  <c r="C7" i="6"/>
  <c r="N6" i="6"/>
  <c r="M6" i="6"/>
  <c r="L6" i="6"/>
  <c r="K6" i="6"/>
  <c r="J6" i="6"/>
  <c r="I6" i="6"/>
  <c r="H6" i="6"/>
  <c r="G6" i="6"/>
  <c r="F6" i="6"/>
  <c r="E6" i="6"/>
  <c r="D6" i="6"/>
  <c r="C6" i="6"/>
  <c r="N5" i="6"/>
  <c r="M5" i="6"/>
  <c r="L5" i="6"/>
  <c r="K5" i="6"/>
  <c r="J5" i="6"/>
  <c r="I5" i="6"/>
  <c r="H5" i="6"/>
  <c r="G5" i="6"/>
  <c r="F5" i="6"/>
  <c r="E5" i="6"/>
  <c r="D5" i="6"/>
  <c r="C5" i="6"/>
  <c r="N4" i="6"/>
  <c r="M4" i="6"/>
  <c r="L4" i="6"/>
  <c r="K4" i="6"/>
  <c r="J4" i="6"/>
  <c r="I4" i="6"/>
  <c r="H4" i="6"/>
  <c r="G4" i="6"/>
  <c r="F4" i="6"/>
  <c r="E4" i="6"/>
  <c r="D4" i="6"/>
  <c r="C4" i="6"/>
  <c r="N3" i="6"/>
  <c r="M3" i="6"/>
  <c r="L3" i="6"/>
  <c r="K3" i="6"/>
  <c r="J3" i="6"/>
  <c r="I3" i="6"/>
  <c r="H3" i="6"/>
  <c r="G3" i="6"/>
  <c r="F3" i="6"/>
  <c r="E3" i="6"/>
  <c r="D3" i="6"/>
  <c r="C3" i="6"/>
  <c r="N2" i="6"/>
  <c r="M2" i="6"/>
  <c r="L2" i="6"/>
  <c r="K2" i="6"/>
  <c r="J2" i="6"/>
  <c r="I2" i="6"/>
  <c r="H2" i="6"/>
  <c r="G2" i="6"/>
  <c r="F2" i="6"/>
  <c r="E2" i="6"/>
  <c r="D2" i="6"/>
  <c r="C2" i="6"/>
  <c r="J63" i="6"/>
  <c r="E60" i="4"/>
  <c r="F60" i="6" s="1"/>
  <c r="L8" i="4"/>
  <c r="M8" i="6" s="1"/>
  <c r="D2715" i="9" l="1" a="1"/>
  <c r="E2715" i="9" s="1"/>
  <c r="F2715" i="9" s="1"/>
  <c r="F59" i="6"/>
  <c r="D2704" i="9" a="1"/>
  <c r="E2704" i="9" s="1"/>
  <c r="F2704" i="9" s="1"/>
  <c r="K18" i="12"/>
  <c r="G9" i="12"/>
  <c r="H9" i="12" s="1"/>
  <c r="K9" i="12" s="1"/>
  <c r="D2607" i="9" a="1"/>
  <c r="E2607" i="9" s="1"/>
  <c r="F2607" i="9" s="1"/>
  <c r="J62" i="6"/>
  <c r="F16" i="12"/>
  <c r="H16" i="12" s="1"/>
  <c r="J16" i="12" s="1"/>
  <c r="J64" i="6"/>
  <c r="F17" i="12"/>
  <c r="H17" i="12" s="1"/>
  <c r="K17" i="12" s="1"/>
  <c r="H4" i="12"/>
  <c r="J4" i="12" s="1"/>
  <c r="J21" i="12"/>
  <c r="J24" i="12"/>
  <c r="K24" i="12"/>
  <c r="J13" i="12"/>
  <c r="K13" i="12"/>
  <c r="J19" i="12"/>
  <c r="K19" i="12"/>
  <c r="J20" i="12"/>
  <c r="K20" i="12"/>
  <c r="J12" i="12"/>
  <c r="K12" i="12"/>
  <c r="J2" i="12"/>
  <c r="H8" i="12"/>
  <c r="H10" i="12"/>
  <c r="D2667" i="9" l="1" a="1"/>
  <c r="E2667" i="9" s="1"/>
  <c r="F2667" i="9" s="1"/>
  <c r="D2655" i="9" a="1"/>
  <c r="E2655" i="9" s="1"/>
  <c r="F2655" i="9" s="1"/>
  <c r="D2679" i="9" a="1"/>
  <c r="E2679" i="9" s="1"/>
  <c r="F2679" i="9" s="1"/>
  <c r="D2716" i="9" a="1"/>
  <c r="E2716" i="9" s="1"/>
  <c r="F2716" i="9" s="1"/>
  <c r="D2779" i="9" a="1"/>
  <c r="E2779" i="9" s="1"/>
  <c r="F2779" i="9" s="1"/>
  <c r="D2774" i="9" a="1"/>
  <c r="E2774" i="9" s="1"/>
  <c r="F2774" i="9" s="1"/>
  <c r="D2773" i="9" a="1"/>
  <c r="E2773" i="9" s="1"/>
  <c r="F2773" i="9" s="1"/>
  <c r="D2778" i="9" a="1"/>
  <c r="E2778" i="9" s="1"/>
  <c r="F2778" i="9" s="1"/>
  <c r="D2777" i="9" a="1"/>
  <c r="E2777" i="9" s="1"/>
  <c r="F2777" i="9" s="1"/>
  <c r="D322" i="9" a="1"/>
  <c r="E322" i="9" s="1"/>
  <c r="F322" i="9" s="1"/>
  <c r="D2775" i="9" a="1"/>
  <c r="E2775" i="9" s="1"/>
  <c r="F2775" i="9" s="1"/>
  <c r="D2461" i="9" a="1"/>
  <c r="E2461" i="9" s="1"/>
  <c r="F2461" i="9" s="1"/>
  <c r="D2703" i="9" a="1"/>
  <c r="E2703" i="9" s="1"/>
  <c r="F2703" i="9" s="1"/>
  <c r="D2504" i="9" a="1"/>
  <c r="E2504" i="9" s="1"/>
  <c r="F2504" i="9" s="1"/>
  <c r="D2740" i="9" a="1"/>
  <c r="E2740" i="9" s="1"/>
  <c r="F2740" i="9" s="1"/>
  <c r="D2179" i="9" a="1"/>
  <c r="E2179" i="9" s="1"/>
  <c r="F2179" i="9" s="1"/>
  <c r="D2753" i="9" a="1"/>
  <c r="E2753" i="9" s="1"/>
  <c r="F2753" i="9" s="1"/>
  <c r="D2727" i="9" a="1"/>
  <c r="E2727" i="9" s="1"/>
  <c r="F2727" i="9" s="1"/>
  <c r="D2595" i="9" a="1"/>
  <c r="E2595" i="9" s="1"/>
  <c r="F2595" i="9" s="1"/>
  <c r="D2739" i="9" a="1"/>
  <c r="E2739" i="9" s="1"/>
  <c r="F2739" i="9" s="1"/>
  <c r="D2619" i="9" a="1"/>
  <c r="E2619" i="9" s="1"/>
  <c r="F2619" i="9" s="1"/>
  <c r="D2738" i="9" a="1"/>
  <c r="E2738" i="9" s="1"/>
  <c r="F2738" i="9" s="1"/>
  <c r="D2649" i="9" a="1"/>
  <c r="E2649" i="9" s="1"/>
  <c r="F2649" i="9" s="1"/>
  <c r="D2616" i="9" a="1"/>
  <c r="E2616" i="9" s="1"/>
  <c r="F2616" i="9" s="1"/>
  <c r="D2749" i="9" a="1"/>
  <c r="E2749" i="9" s="1"/>
  <c r="F2749" i="9" s="1"/>
  <c r="D2390" i="9" a="1"/>
  <c r="E2390" i="9" s="1"/>
  <c r="F2390" i="9" s="1"/>
  <c r="D2542" i="9" a="1"/>
  <c r="E2542" i="9" s="1"/>
  <c r="F2542" i="9" s="1"/>
  <c r="D2403" i="9" a="1"/>
  <c r="E2403" i="9" s="1"/>
  <c r="F2403" i="9" s="1"/>
  <c r="D2495" i="9" a="1"/>
  <c r="E2495" i="9" s="1"/>
  <c r="F2495" i="9" s="1"/>
  <c r="D2420" i="9" a="1"/>
  <c r="E2420" i="9" s="1"/>
  <c r="F2420" i="9" s="1"/>
  <c r="D2652" i="9" a="1"/>
  <c r="E2652" i="9" s="1"/>
  <c r="F2652" i="9" s="1"/>
  <c r="D2751" i="9" a="1"/>
  <c r="E2751" i="9" s="1"/>
  <c r="F2751" i="9" s="1"/>
  <c r="D2605" i="9" a="1"/>
  <c r="E2605" i="9" s="1"/>
  <c r="F2605" i="9" s="1"/>
  <c r="D2661" i="9" a="1"/>
  <c r="E2661" i="9" s="1"/>
  <c r="F2661" i="9" s="1"/>
  <c r="D2577" i="9" a="1"/>
  <c r="E2577" i="9" s="1"/>
  <c r="F2577" i="9" s="1"/>
  <c r="D2629" i="9" a="1"/>
  <c r="E2629" i="9" s="1"/>
  <c r="F2629" i="9" s="1"/>
  <c r="D2641" i="9" a="1"/>
  <c r="E2641" i="9" s="1"/>
  <c r="F2641" i="9" s="1"/>
  <c r="D2433" i="9" a="1"/>
  <c r="E2433" i="9" s="1"/>
  <c r="F2433" i="9" s="1"/>
  <c r="D2558" i="9" a="1"/>
  <c r="E2558" i="9" s="1"/>
  <c r="F2558" i="9" s="1"/>
  <c r="D392" i="9" a="1"/>
  <c r="E392" i="9" s="1"/>
  <c r="F392" i="9" s="1"/>
  <c r="D2678" i="9" a="1"/>
  <c r="E2678" i="9" s="1"/>
  <c r="F2678" i="9" s="1"/>
  <c r="D2758" i="9" a="1"/>
  <c r="E2758" i="9" s="1"/>
  <c r="F2758" i="9" s="1"/>
  <c r="D2576" i="9" a="1"/>
  <c r="E2576" i="9" s="1"/>
  <c r="F2576" i="9" s="1"/>
  <c r="D2546" i="9" a="1"/>
  <c r="E2546" i="9" s="1"/>
  <c r="F2546" i="9" s="1"/>
  <c r="D1546" i="9" a="1"/>
  <c r="E1546" i="9" s="1"/>
  <c r="F1546" i="9" s="1"/>
  <c r="D2729" i="9" a="1"/>
  <c r="E2729" i="9" s="1"/>
  <c r="F2729" i="9" s="1"/>
  <c r="D2586" i="9" a="1"/>
  <c r="E2586" i="9" s="1"/>
  <c r="F2586" i="9" s="1"/>
  <c r="D2424" i="9" a="1"/>
  <c r="E2424" i="9" s="1"/>
  <c r="F2424" i="9" s="1"/>
  <c r="D2687" i="9" a="1"/>
  <c r="E2687" i="9" s="1"/>
  <c r="F2687" i="9" s="1"/>
  <c r="D2455" i="9" a="1"/>
  <c r="E2455" i="9" s="1"/>
  <c r="F2455" i="9" s="1"/>
  <c r="D2391" i="9" a="1"/>
  <c r="E2391" i="9" s="1"/>
  <c r="F2391" i="9" s="1"/>
  <c r="D2446" i="9" a="1"/>
  <c r="E2446" i="9" s="1"/>
  <c r="F2446" i="9" s="1"/>
  <c r="D2643" i="9" a="1"/>
  <c r="E2643" i="9" s="1"/>
  <c r="F2643" i="9" s="1"/>
  <c r="D2767" i="9" a="1"/>
  <c r="E2767" i="9" s="1"/>
  <c r="F2767" i="9" s="1"/>
  <c r="D2545" i="9" a="1"/>
  <c r="E2545" i="9" s="1"/>
  <c r="F2545" i="9" s="1"/>
  <c r="D2628" i="9" a="1"/>
  <c r="E2628" i="9" s="1"/>
  <c r="F2628" i="9" s="1"/>
  <c r="D2514" i="9" a="1"/>
  <c r="E2514" i="9" s="1"/>
  <c r="F2514" i="9" s="1"/>
  <c r="D2521" i="9" a="1"/>
  <c r="E2521" i="9" s="1"/>
  <c r="F2521" i="9" s="1"/>
  <c r="D2579" i="9" a="1"/>
  <c r="E2579" i="9" s="1"/>
  <c r="F2579" i="9" s="1"/>
  <c r="D2726" i="9" a="1"/>
  <c r="E2726" i="9" s="1"/>
  <c r="F2726" i="9" s="1"/>
  <c r="D2730" i="9" a="1"/>
  <c r="E2730" i="9" s="1"/>
  <c r="F2730" i="9" s="1"/>
  <c r="D2339" i="9" a="1"/>
  <c r="E2339" i="9" s="1"/>
  <c r="F2339" i="9" s="1"/>
  <c r="D2541" i="9" a="1"/>
  <c r="E2541" i="9" s="1"/>
  <c r="F2541" i="9" s="1"/>
  <c r="D2674" i="9" a="1"/>
  <c r="E2674" i="9" s="1"/>
  <c r="F2674" i="9" s="1"/>
  <c r="D2772" i="9" a="1"/>
  <c r="E2772" i="9" s="1"/>
  <c r="F2772" i="9" s="1"/>
  <c r="D2769" i="9" a="1"/>
  <c r="E2769" i="9" s="1"/>
  <c r="F2769" i="9" s="1"/>
  <c r="D2706" i="9" a="1"/>
  <c r="E2706" i="9" s="1"/>
  <c r="F2706" i="9" s="1"/>
  <c r="D2714" i="9" a="1"/>
  <c r="E2714" i="9" s="1"/>
  <c r="F2714" i="9" s="1"/>
  <c r="D2765" i="9" a="1"/>
  <c r="E2765" i="9" s="1"/>
  <c r="F2765" i="9" s="1"/>
  <c r="D2422" i="9" a="1"/>
  <c r="E2422" i="9" s="1"/>
  <c r="F2422" i="9" s="1"/>
  <c r="D2384" i="9" a="1"/>
  <c r="E2384" i="9" s="1"/>
  <c r="F2384" i="9" s="1"/>
  <c r="D2741" i="9" a="1"/>
  <c r="E2741" i="9" s="1"/>
  <c r="F2741" i="9" s="1"/>
  <c r="D2409" i="9" a="1"/>
  <c r="E2409" i="9" s="1"/>
  <c r="F2409" i="9" s="1"/>
  <c r="D2610" i="9" a="1"/>
  <c r="E2610" i="9" s="1"/>
  <c r="F2610" i="9" s="1"/>
  <c r="D2742" i="9" a="1"/>
  <c r="E2742" i="9" s="1"/>
  <c r="F2742" i="9" s="1"/>
  <c r="D2694" i="9" a="1"/>
  <c r="E2694" i="9" s="1"/>
  <c r="F2694" i="9" s="1"/>
  <c r="D2634" i="9" a="1"/>
  <c r="E2634" i="9" s="1"/>
  <c r="F2634" i="9" s="1"/>
  <c r="D2385" i="9" a="1"/>
  <c r="E2385" i="9" s="1"/>
  <c r="F2385" i="9" s="1"/>
  <c r="D2598" i="9" a="1"/>
  <c r="E2598" i="9" s="1"/>
  <c r="F2598" i="9" s="1"/>
  <c r="D2533" i="9" a="1"/>
  <c r="E2533" i="9" s="1"/>
  <c r="F2533" i="9" s="1"/>
  <c r="D2685" i="9" a="1"/>
  <c r="E2685" i="9" s="1"/>
  <c r="F2685" i="9" s="1"/>
  <c r="D2638" i="9" a="1"/>
  <c r="E2638" i="9" s="1"/>
  <c r="F2638" i="9" s="1"/>
  <c r="D2683" i="9" a="1"/>
  <c r="E2683" i="9" s="1"/>
  <c r="F2683" i="9" s="1"/>
  <c r="D2686" i="9" a="1"/>
  <c r="E2686" i="9" s="1"/>
  <c r="F2686" i="9" s="1"/>
  <c r="D2756" i="9" a="1"/>
  <c r="E2756" i="9" s="1"/>
  <c r="F2756" i="9" s="1"/>
  <c r="D2372" i="9" a="1"/>
  <c r="E2372" i="9" s="1"/>
  <c r="F2372" i="9" s="1"/>
  <c r="D2672" i="9" a="1"/>
  <c r="E2672" i="9" s="1"/>
  <c r="F2672" i="9" s="1"/>
  <c r="D2434" i="9" a="1"/>
  <c r="E2434" i="9" s="1"/>
  <c r="F2434" i="9" s="1"/>
  <c r="D430" i="9" a="1"/>
  <c r="E430" i="9" s="1"/>
  <c r="F430" i="9" s="1"/>
  <c r="D2675" i="9" a="1"/>
  <c r="E2675" i="9" s="1"/>
  <c r="F2675" i="9" s="1"/>
  <c r="D2768" i="9" a="1"/>
  <c r="E2768" i="9" s="1"/>
  <c r="F2768" i="9" s="1"/>
  <c r="D2436" i="9" a="1"/>
  <c r="E2436" i="9" s="1"/>
  <c r="F2436" i="9" s="1"/>
  <c r="D2578" i="9" a="1"/>
  <c r="E2578" i="9" s="1"/>
  <c r="F2578" i="9" s="1"/>
  <c r="D2702" i="9" a="1"/>
  <c r="E2702" i="9" s="1"/>
  <c r="F2702" i="9" s="1"/>
  <c r="D2038" i="9" a="1"/>
  <c r="E2038" i="9" s="1"/>
  <c r="F2038" i="9" s="1"/>
  <c r="D2522" i="9" a="1"/>
  <c r="E2522" i="9" s="1"/>
  <c r="F2522" i="9" s="1"/>
  <c r="D2591" i="9" a="1"/>
  <c r="E2591" i="9" s="1"/>
  <c r="F2591" i="9" s="1"/>
  <c r="D2613" i="9" a="1"/>
  <c r="E2613" i="9" s="1"/>
  <c r="F2613" i="9" s="1"/>
  <c r="D2646" i="9" a="1"/>
  <c r="E2646" i="9" s="1"/>
  <c r="F2646" i="9" s="1"/>
  <c r="D2766" i="9" a="1"/>
  <c r="E2766" i="9" s="1"/>
  <c r="F2766" i="9" s="1"/>
  <c r="D2340" i="9" a="1"/>
  <c r="E2340" i="9" s="1"/>
  <c r="F2340" i="9" s="1"/>
  <c r="D2075" i="9" a="1"/>
  <c r="E2075" i="9" s="1"/>
  <c r="F2075" i="9" s="1"/>
  <c r="D2673" i="9" a="1"/>
  <c r="E2673" i="9" s="1"/>
  <c r="F2673" i="9" s="1"/>
  <c r="D2684" i="9" a="1"/>
  <c r="E2684" i="9" s="1"/>
  <c r="F2684" i="9" s="1"/>
  <c r="D2670" i="9" a="1"/>
  <c r="E2670" i="9" s="1"/>
  <c r="F2670" i="9" s="1"/>
  <c r="D2497" i="9" a="1"/>
  <c r="E2497" i="9" s="1"/>
  <c r="F2497" i="9" s="1"/>
  <c r="D2746" i="9" a="1"/>
  <c r="E2746" i="9" s="1"/>
  <c r="F2746" i="9" s="1"/>
  <c r="D2762" i="9" a="1"/>
  <c r="E2762" i="9" s="1"/>
  <c r="F2762" i="9" s="1"/>
  <c r="D2544" i="9" a="1"/>
  <c r="E2544" i="9" s="1"/>
  <c r="F2544" i="9" s="1"/>
  <c r="D1150" i="9" a="1"/>
  <c r="E1150" i="9" s="1"/>
  <c r="F1150" i="9" s="1"/>
  <c r="D2640" i="9" a="1"/>
  <c r="E2640" i="9" s="1"/>
  <c r="F2640" i="9" s="1"/>
  <c r="D2709" i="9" a="1"/>
  <c r="E2709" i="9" s="1"/>
  <c r="F2709" i="9" s="1"/>
  <c r="D2745" i="9" a="1"/>
  <c r="E2745" i="9" s="1"/>
  <c r="F2745" i="9" s="1"/>
  <c r="D2389" i="9" a="1"/>
  <c r="E2389" i="9" s="1"/>
  <c r="F2389" i="9" s="1"/>
  <c r="D2473" i="9" a="1"/>
  <c r="E2473" i="9" s="1"/>
  <c r="F2473" i="9" s="1"/>
  <c r="D2710" i="9" a="1"/>
  <c r="E2710" i="9" s="1"/>
  <c r="F2710" i="9" s="1"/>
  <c r="D2711" i="9" a="1"/>
  <c r="E2711" i="9" s="1"/>
  <c r="F2711" i="9" s="1"/>
  <c r="D2757" i="9" a="1"/>
  <c r="E2757" i="9" s="1"/>
  <c r="F2757" i="9" s="1"/>
  <c r="D2691" i="9" a="1"/>
  <c r="E2691" i="9" s="1"/>
  <c r="F2691" i="9" s="1"/>
  <c r="D2556" i="9" a="1"/>
  <c r="E2556" i="9" s="1"/>
  <c r="F2556" i="9" s="1"/>
  <c r="D2570" i="9" a="1"/>
  <c r="E2570" i="9" s="1"/>
  <c r="F2570" i="9" s="1"/>
  <c r="D2653" i="9" a="1"/>
  <c r="E2653" i="9" s="1"/>
  <c r="F2653" i="9" s="1"/>
  <c r="D2482" i="9" a="1"/>
  <c r="E2482" i="9" s="1"/>
  <c r="F2482" i="9" s="1"/>
  <c r="D2719" i="9" a="1"/>
  <c r="E2719" i="9" s="1"/>
  <c r="F2719" i="9" s="1"/>
  <c r="D2534" i="9" a="1"/>
  <c r="E2534" i="9" s="1"/>
  <c r="F2534" i="9" s="1"/>
  <c r="D2582" i="9" a="1"/>
  <c r="E2582" i="9" s="1"/>
  <c r="F2582" i="9" s="1"/>
  <c r="D2458" i="9" a="1"/>
  <c r="E2458" i="9" s="1"/>
  <c r="F2458" i="9" s="1"/>
  <c r="D2627" i="9" a="1"/>
  <c r="E2627" i="9" s="1"/>
  <c r="F2627" i="9" s="1"/>
  <c r="D2092" i="9" a="1"/>
  <c r="E2092" i="9" s="1"/>
  <c r="F2092" i="9" s="1"/>
  <c r="D2597" i="9" a="1"/>
  <c r="E2597" i="9" s="1"/>
  <c r="F2597" i="9" s="1"/>
  <c r="D2506" i="9" a="1"/>
  <c r="E2506" i="9" s="1"/>
  <c r="F2506" i="9" s="1"/>
  <c r="D2485" i="9" a="1"/>
  <c r="E2485" i="9" s="1"/>
  <c r="F2485" i="9" s="1"/>
  <c r="D2688" i="9" a="1"/>
  <c r="E2688" i="9" s="1"/>
  <c r="F2688" i="9" s="1"/>
  <c r="D140" i="9" a="1"/>
  <c r="E140" i="9" s="1"/>
  <c r="F140" i="9" s="1"/>
  <c r="D2508" i="9" a="1"/>
  <c r="E2508" i="9" s="1"/>
  <c r="F2508" i="9" s="1"/>
  <c r="D1942" i="9" a="1"/>
  <c r="E1942" i="9" s="1"/>
  <c r="F1942" i="9" s="1"/>
  <c r="D2449" i="9" a="1"/>
  <c r="E2449" i="9" s="1"/>
  <c r="F2449" i="9" s="1"/>
  <c r="D2708" i="9" a="1"/>
  <c r="E2708" i="9" s="1"/>
  <c r="F2708" i="9" s="1"/>
  <c r="D2763" i="9" a="1"/>
  <c r="E2763" i="9" s="1"/>
  <c r="F2763" i="9" s="1"/>
  <c r="D2677" i="9" a="1"/>
  <c r="E2677" i="9" s="1"/>
  <c r="F2677" i="9" s="1"/>
  <c r="D2750" i="9" a="1"/>
  <c r="E2750" i="9" s="1"/>
  <c r="F2750" i="9" s="1"/>
  <c r="D2567" i="9" a="1"/>
  <c r="E2567" i="9" s="1"/>
  <c r="F2567" i="9" s="1"/>
  <c r="D2744" i="9" a="1"/>
  <c r="E2744" i="9" s="1"/>
  <c r="F2744" i="9" s="1"/>
  <c r="D2752" i="9" a="1"/>
  <c r="E2752" i="9" s="1"/>
  <c r="F2752" i="9" s="1"/>
  <c r="D2606" i="9" a="1"/>
  <c r="E2606" i="9" s="1"/>
  <c r="F2606" i="9" s="1"/>
  <c r="D2662" i="9" a="1"/>
  <c r="E2662" i="9" s="1"/>
  <c r="F2662" i="9" s="1"/>
  <c r="D2421" i="9" a="1"/>
  <c r="E2421" i="9" s="1"/>
  <c r="F2421" i="9" s="1"/>
  <c r="D2601" i="9" a="1"/>
  <c r="E2601" i="9" s="1"/>
  <c r="F2601" i="9" s="1"/>
  <c r="D2693" i="9" a="1"/>
  <c r="E2693" i="9" s="1"/>
  <c r="F2693" i="9" s="1"/>
  <c r="D2459" i="9" a="1"/>
  <c r="E2459" i="9" s="1"/>
  <c r="F2459" i="9" s="1"/>
  <c r="D2530" i="9" a="1"/>
  <c r="E2530" i="9" s="1"/>
  <c r="F2530" i="9" s="1"/>
  <c r="D2718" i="9" a="1"/>
  <c r="E2718" i="9" s="1"/>
  <c r="F2718" i="9" s="1"/>
  <c r="D2498" i="9" a="1"/>
  <c r="E2498" i="9" s="1"/>
  <c r="F2498" i="9" s="1"/>
  <c r="D1402" i="9" a="1"/>
  <c r="E1402" i="9" s="1"/>
  <c r="F1402" i="9" s="1"/>
  <c r="D2505" i="9" a="1"/>
  <c r="E2505" i="9" s="1"/>
  <c r="F2505" i="9" s="1"/>
  <c r="D1366" i="9" a="1"/>
  <c r="E1366" i="9" s="1"/>
  <c r="F1366" i="9" s="1"/>
  <c r="D2722" i="9" a="1"/>
  <c r="E2722" i="9" s="1"/>
  <c r="F2722" i="9" s="1"/>
  <c r="D2695" i="9" a="1"/>
  <c r="E2695" i="9" s="1"/>
  <c r="F2695" i="9" s="1"/>
  <c r="D2227" i="9" a="1"/>
  <c r="E2227" i="9" s="1"/>
  <c r="F2227" i="9" s="1"/>
  <c r="D2615" i="9" a="1"/>
  <c r="E2615" i="9" s="1"/>
  <c r="F2615" i="9" s="1"/>
  <c r="D2648" i="9" a="1"/>
  <c r="E2648" i="9" s="1"/>
  <c r="F2648" i="9" s="1"/>
  <c r="D2494" i="9" a="1"/>
  <c r="E2494" i="9" s="1"/>
  <c r="F2494" i="9" s="1"/>
  <c r="D2743" i="9" a="1"/>
  <c r="E2743" i="9" s="1"/>
  <c r="F2743" i="9" s="1"/>
  <c r="D2432" i="9" a="1"/>
  <c r="E2432" i="9" s="1"/>
  <c r="F2432" i="9" s="1"/>
  <c r="D2759" i="9" a="1"/>
  <c r="E2759" i="9" s="1"/>
  <c r="F2759" i="9" s="1"/>
  <c r="D2622" i="9" a="1"/>
  <c r="E2622" i="9" s="1"/>
  <c r="F2622" i="9" s="1"/>
  <c r="D2373" i="9" a="1"/>
  <c r="E2373" i="9" s="1"/>
  <c r="F2373" i="9" s="1"/>
  <c r="D2723" i="9" a="1"/>
  <c r="E2723" i="9" s="1"/>
  <c r="F2723" i="9" s="1"/>
  <c r="D2540" i="9" a="1"/>
  <c r="E2540" i="9" s="1"/>
  <c r="F2540" i="9" s="1"/>
  <c r="D2735" i="9" a="1"/>
  <c r="E2735" i="9" s="1"/>
  <c r="F2735" i="9" s="1"/>
  <c r="D2720" i="9" a="1"/>
  <c r="E2720" i="9" s="1"/>
  <c r="F2720" i="9" s="1"/>
  <c r="D2520" i="9" a="1"/>
  <c r="E2520" i="9" s="1"/>
  <c r="F2520" i="9" s="1"/>
  <c r="D2700" i="9" a="1"/>
  <c r="E2700" i="9" s="1"/>
  <c r="F2700" i="9" s="1"/>
  <c r="D2671" i="9" a="1"/>
  <c r="E2671" i="9" s="1"/>
  <c r="F2671" i="9" s="1"/>
  <c r="D2568" i="9" a="1"/>
  <c r="E2568" i="9" s="1"/>
  <c r="F2568" i="9" s="1"/>
  <c r="D2761" i="9" a="1"/>
  <c r="E2761" i="9" s="1"/>
  <c r="F2761" i="9" s="1"/>
  <c r="D2448" i="9" a="1"/>
  <c r="E2448" i="9" s="1"/>
  <c r="F2448" i="9" s="1"/>
  <c r="D2617" i="9" a="1"/>
  <c r="E2617" i="9" s="1"/>
  <c r="F2617" i="9" s="1"/>
  <c r="D2599" i="9" a="1"/>
  <c r="E2599" i="9" s="1"/>
  <c r="F2599" i="9" s="1"/>
  <c r="D2699" i="9" a="1"/>
  <c r="E2699" i="9" s="1"/>
  <c r="F2699" i="9" s="1"/>
  <c r="D2721" i="9" a="1"/>
  <c r="E2721" i="9" s="1"/>
  <c r="F2721" i="9" s="1"/>
  <c r="D2509" i="9" a="1"/>
  <c r="E2509" i="9" s="1"/>
  <c r="F2509" i="9" s="1"/>
  <c r="D2664" i="9" a="1"/>
  <c r="E2664" i="9" s="1"/>
  <c r="F2664" i="9" s="1"/>
  <c r="D2631" i="9" a="1"/>
  <c r="E2631" i="9" s="1"/>
  <c r="F2631" i="9" s="1"/>
  <c r="D2676" i="9" a="1"/>
  <c r="E2676" i="9" s="1"/>
  <c r="F2676" i="9" s="1"/>
  <c r="D2748" i="9" a="1"/>
  <c r="E2748" i="9" s="1"/>
  <c r="F2748" i="9" s="1"/>
  <c r="D2" i="9" a="1"/>
  <c r="E2" i="9" s="1"/>
  <c r="F2" i="9" s="1"/>
  <c r="D2689" i="9" a="1"/>
  <c r="E2689" i="9" s="1"/>
  <c r="F2689" i="9" s="1"/>
  <c r="D2527" i="9" a="1"/>
  <c r="E2527" i="9" s="1"/>
  <c r="F2527" i="9" s="1"/>
  <c r="D2712" i="9" a="1"/>
  <c r="E2712" i="9" s="1"/>
  <c r="F2712" i="9" s="1"/>
  <c r="D2518" i="9" a="1"/>
  <c r="E2518" i="9" s="1"/>
  <c r="F2518" i="9" s="1"/>
  <c r="D2665" i="9" a="1"/>
  <c r="E2665" i="9" s="1"/>
  <c r="F2665" i="9" s="1"/>
  <c r="D2602" i="9" a="1"/>
  <c r="E2602" i="9" s="1"/>
  <c r="F2602" i="9" s="1"/>
  <c r="D2771" i="9" a="1"/>
  <c r="E2771" i="9" s="1"/>
  <c r="F2771" i="9" s="1"/>
  <c r="D2618" i="9" a="1"/>
  <c r="E2618" i="9" s="1"/>
  <c r="F2618" i="9" s="1"/>
  <c r="D2728" i="9" a="1"/>
  <c r="E2728" i="9" s="1"/>
  <c r="F2728" i="9" s="1"/>
  <c r="D2701" i="9" a="1"/>
  <c r="E2701" i="9" s="1"/>
  <c r="F2701" i="9" s="1"/>
  <c r="D2462" i="9" a="1"/>
  <c r="E2462" i="9" s="1"/>
  <c r="F2462" i="9" s="1"/>
  <c r="D2594" i="9" a="1"/>
  <c r="E2594" i="9" s="1"/>
  <c r="F2594" i="9" s="1"/>
  <c r="D2470" i="9" a="1"/>
  <c r="E2470" i="9" s="1"/>
  <c r="F2470" i="9" s="1"/>
  <c r="D2754" i="9" a="1"/>
  <c r="E2754" i="9" s="1"/>
  <c r="F2754" i="9" s="1"/>
  <c r="D2486" i="9" a="1"/>
  <c r="E2486" i="9" s="1"/>
  <c r="F2486" i="9" s="1"/>
  <c r="D2690" i="9" a="1"/>
  <c r="E2690" i="9" s="1"/>
  <c r="F2690" i="9" s="1"/>
  <c r="D2630" i="9" a="1"/>
  <c r="E2630" i="9" s="1"/>
  <c r="F2630" i="9" s="1"/>
  <c r="D2387" i="9" a="1"/>
  <c r="E2387" i="9" s="1"/>
  <c r="F2387" i="9" s="1"/>
  <c r="D2510" i="9" a="1"/>
  <c r="E2510" i="9" s="1"/>
  <c r="F2510" i="9" s="1"/>
  <c r="D2603" i="9" a="1"/>
  <c r="E2603" i="9" s="1"/>
  <c r="F2603" i="9" s="1"/>
  <c r="D2707" i="9" a="1"/>
  <c r="E2707" i="9" s="1"/>
  <c r="F2707" i="9" s="1"/>
  <c r="D2163" i="9" a="1"/>
  <c r="E2163" i="9" s="1"/>
  <c r="F2163" i="9" s="1"/>
  <c r="D2650" i="9" a="1"/>
  <c r="E2650" i="9" s="1"/>
  <c r="F2650" i="9" s="1"/>
  <c r="D2474" i="9" a="1"/>
  <c r="E2474" i="9" s="1"/>
  <c r="F2474" i="9" s="1"/>
  <c r="D2481" i="9" a="1"/>
  <c r="E2481" i="9" s="1"/>
  <c r="F2481" i="9" s="1"/>
  <c r="D2651" i="9" a="1"/>
  <c r="E2651" i="9" s="1"/>
  <c r="F2651" i="9" s="1"/>
  <c r="D2639" i="9" a="1"/>
  <c r="E2639" i="9" s="1"/>
  <c r="F2639" i="9" s="1"/>
  <c r="D2732" i="9" a="1"/>
  <c r="E2732" i="9" s="1"/>
  <c r="F2732" i="9" s="1"/>
  <c r="D2580" i="9" a="1"/>
  <c r="E2580" i="9" s="1"/>
  <c r="F2580" i="9" s="1"/>
  <c r="D2552" i="9" a="1"/>
  <c r="E2552" i="9" s="1"/>
  <c r="F2552" i="9" s="1"/>
  <c r="D2496" i="9" a="1"/>
  <c r="E2496" i="9" s="1"/>
  <c r="F2496" i="9" s="1"/>
  <c r="D2724" i="9" a="1"/>
  <c r="E2724" i="9" s="1"/>
  <c r="F2724" i="9" s="1"/>
  <c r="D2647" i="9" a="1"/>
  <c r="E2647" i="9" s="1"/>
  <c r="F2647" i="9" s="1"/>
  <c r="D2713" i="9" a="1"/>
  <c r="E2713" i="9" s="1"/>
  <c r="F2713" i="9" s="1"/>
  <c r="D2503" i="9" a="1"/>
  <c r="E2503" i="9" s="1"/>
  <c r="F2503" i="9" s="1"/>
  <c r="D2642" i="9" a="1"/>
  <c r="E2642" i="9" s="1"/>
  <c r="F2642" i="9" s="1"/>
  <c r="D2414" i="9" a="1"/>
  <c r="E2414" i="9" s="1"/>
  <c r="F2414" i="9" s="1"/>
  <c r="D2566" i="9" a="1"/>
  <c r="E2566" i="9" s="1"/>
  <c r="F2566" i="9" s="1"/>
  <c r="D2731" i="9" a="1"/>
  <c r="E2731" i="9" s="1"/>
  <c r="F2731" i="9" s="1"/>
  <c r="D2581" i="9" a="1"/>
  <c r="E2581" i="9" s="1"/>
  <c r="F2581" i="9" s="1"/>
  <c r="D2453" i="9" a="1"/>
  <c r="E2453" i="9" s="1"/>
  <c r="F2453" i="9" s="1"/>
  <c r="D2437" i="9" a="1"/>
  <c r="E2437" i="9" s="1"/>
  <c r="F2437" i="9" s="1"/>
  <c r="D2656" i="9" a="1"/>
  <c r="E2656" i="9" s="1"/>
  <c r="F2656" i="9" s="1"/>
  <c r="D680" i="9" a="1"/>
  <c r="E680" i="9" s="1"/>
  <c r="F680" i="9" s="1"/>
  <c r="D2484" i="9" a="1"/>
  <c r="E2484" i="9" s="1"/>
  <c r="F2484" i="9" s="1"/>
  <c r="D2512" i="9" a="1"/>
  <c r="E2512" i="9" s="1"/>
  <c r="F2512" i="9" s="1"/>
  <c r="D2543" i="9" a="1"/>
  <c r="E2543" i="9" s="1"/>
  <c r="F2543" i="9" s="1"/>
  <c r="D2211" i="9" a="1"/>
  <c r="E2211" i="9" s="1"/>
  <c r="F2211" i="9" s="1"/>
  <c r="D2562" i="9" a="1"/>
  <c r="E2562" i="9" s="1"/>
  <c r="F2562" i="9" s="1"/>
  <c r="D2682" i="9" a="1"/>
  <c r="E2682" i="9" s="1"/>
  <c r="F2682" i="9" s="1"/>
  <c r="D2451" i="9" a="1"/>
  <c r="E2451" i="9" s="1"/>
  <c r="F2451" i="9" s="1"/>
  <c r="D2764" i="9" a="1"/>
  <c r="E2764" i="9" s="1"/>
  <c r="F2764" i="9" s="1"/>
  <c r="D2705" i="9" a="1"/>
  <c r="E2705" i="9" s="1"/>
  <c r="F2705" i="9" s="1"/>
  <c r="D2760" i="9" a="1"/>
  <c r="E2760" i="9" s="1"/>
  <c r="F2760" i="9" s="1"/>
  <c r="D2747" i="9" a="1"/>
  <c r="E2747" i="9" s="1"/>
  <c r="F2747" i="9" s="1"/>
  <c r="D2755" i="9" a="1"/>
  <c r="E2755" i="9" s="1"/>
  <c r="F2755" i="9" s="1"/>
  <c r="D2737" i="9" a="1"/>
  <c r="E2737" i="9" s="1"/>
  <c r="F2737" i="9" s="1"/>
  <c r="D2405" i="9" a="1"/>
  <c r="E2405" i="9" s="1"/>
  <c r="F2405" i="9" s="1"/>
  <c r="D2367" i="9" a="1"/>
  <c r="E2367" i="9" s="1"/>
  <c r="F2367" i="9" s="1"/>
  <c r="D2402" i="9" a="1"/>
  <c r="E2402" i="9" s="1"/>
  <c r="F2402" i="9" s="1"/>
  <c r="D2468" i="9" a="1"/>
  <c r="E2468" i="9" s="1"/>
  <c r="F2468" i="9" s="1"/>
  <c r="D2587" i="9" a="1"/>
  <c r="E2587" i="9" s="1"/>
  <c r="F2587" i="9" s="1"/>
  <c r="D2399" i="9" a="1"/>
  <c r="E2399" i="9" s="1"/>
  <c r="F2399" i="9" s="1"/>
  <c r="D2442" i="9" a="1"/>
  <c r="E2442" i="9" s="1"/>
  <c r="F2442" i="9" s="1"/>
  <c r="D2609" i="9" a="1"/>
  <c r="E2609" i="9" s="1"/>
  <c r="F2609" i="9" s="1"/>
  <c r="D2441" i="9" a="1"/>
  <c r="E2441" i="9" s="1"/>
  <c r="F2441" i="9" s="1"/>
  <c r="D2620" i="9" a="1"/>
  <c r="E2620" i="9" s="1"/>
  <c r="F2620" i="9" s="1"/>
  <c r="D2464" i="9" a="1"/>
  <c r="E2464" i="9" s="1"/>
  <c r="F2464" i="9" s="1"/>
  <c r="D2535" i="9" a="1"/>
  <c r="E2535" i="9" s="1"/>
  <c r="F2535" i="9" s="1"/>
  <c r="D2345" i="9" a="1"/>
  <c r="E2345" i="9" s="1"/>
  <c r="F2345" i="9" s="1"/>
  <c r="D2626" i="9" a="1"/>
  <c r="E2626" i="9" s="1"/>
  <c r="F2626" i="9" s="1"/>
  <c r="D2051" i="9" a="1"/>
  <c r="E2051" i="9" s="1"/>
  <c r="F2051" i="9" s="1"/>
  <c r="D2199" i="9" a="1"/>
  <c r="E2199" i="9" s="1"/>
  <c r="F2199" i="9" s="1"/>
  <c r="D2294" i="9" a="1"/>
  <c r="E2294" i="9" s="1"/>
  <c r="F2294" i="9" s="1"/>
  <c r="D2095" i="9" a="1"/>
  <c r="E2095" i="9" s="1"/>
  <c r="F2095" i="9" s="1"/>
  <c r="D2182" i="9" a="1"/>
  <c r="E2182" i="9" s="1"/>
  <c r="F2182" i="9" s="1"/>
  <c r="D2363" i="9" a="1"/>
  <c r="E2363" i="9" s="1"/>
  <c r="F2363" i="9" s="1"/>
  <c r="D2177" i="9" a="1"/>
  <c r="E2177" i="9" s="1"/>
  <c r="F2177" i="9" s="1"/>
  <c r="D2305" i="9" a="1"/>
  <c r="E2305" i="9" s="1"/>
  <c r="F2305" i="9" s="1"/>
  <c r="D2107" i="9" a="1"/>
  <c r="E2107" i="9" s="1"/>
  <c r="F2107" i="9" s="1"/>
  <c r="D2287" i="9" a="1"/>
  <c r="E2287" i="9" s="1"/>
  <c r="F2287" i="9" s="1"/>
  <c r="D2088" i="9" a="1"/>
  <c r="E2088" i="9" s="1"/>
  <c r="F2088" i="9" s="1"/>
  <c r="D2222" i="9" a="1"/>
  <c r="E2222" i="9" s="1"/>
  <c r="F2222" i="9" s="1"/>
  <c r="D2302" i="9" a="1"/>
  <c r="E2302" i="9" s="1"/>
  <c r="F2302" i="9" s="1"/>
  <c r="D2103" i="9" a="1"/>
  <c r="E2103" i="9" s="1"/>
  <c r="F2103" i="9" s="1"/>
  <c r="D2330" i="9" a="1"/>
  <c r="E2330" i="9" s="1"/>
  <c r="F2330" i="9" s="1"/>
  <c r="D2138" i="9" a="1"/>
  <c r="E2138" i="9" s="1"/>
  <c r="F2138" i="9" s="1"/>
  <c r="D2356" i="9" a="1"/>
  <c r="E2356" i="9" s="1"/>
  <c r="F2356" i="9" s="1"/>
  <c r="D2171" i="9" a="1"/>
  <c r="E2171" i="9" s="1"/>
  <c r="F2171" i="9" s="1"/>
  <c r="D2002" i="9" a="1"/>
  <c r="E2002" i="9" s="1"/>
  <c r="F2002" i="9" s="1"/>
  <c r="D1449" i="9" a="1"/>
  <c r="E1449" i="9" s="1"/>
  <c r="F1449" i="9" s="1"/>
  <c r="D1622" i="9" a="1"/>
  <c r="E1622" i="9" s="1"/>
  <c r="F1622" i="9" s="1"/>
  <c r="D1766" i="9" a="1"/>
  <c r="E1766" i="9" s="1"/>
  <c r="F1766" i="9" s="1"/>
  <c r="D1910" i="9" a="1"/>
  <c r="E1910" i="9" s="1"/>
  <c r="F1910" i="9" s="1"/>
  <c r="D2054" i="9" a="1"/>
  <c r="E2054" i="9" s="1"/>
  <c r="F2054" i="9" s="1"/>
  <c r="D1468" i="9" a="1"/>
  <c r="E1468" i="9" s="1"/>
  <c r="F1468" i="9" s="1"/>
  <c r="D1635" i="9" a="1"/>
  <c r="E1635" i="9" s="1"/>
  <c r="F1635" i="9" s="1"/>
  <c r="D1779" i="9" a="1"/>
  <c r="E1779" i="9" s="1"/>
  <c r="F1779" i="9" s="1"/>
  <c r="D1923" i="9" a="1"/>
  <c r="E1923" i="9" s="1"/>
  <c r="F1923" i="9" s="1"/>
  <c r="D2067" i="9" a="1"/>
  <c r="E2067" i="9" s="1"/>
  <c r="F2067" i="9" s="1"/>
  <c r="D1489" i="9" a="1"/>
  <c r="E1489" i="9" s="1"/>
  <c r="F1489" i="9" s="1"/>
  <c r="D1648" i="9" a="1"/>
  <c r="E1648" i="9" s="1"/>
  <c r="F1648" i="9" s="1"/>
  <c r="D1792" i="9" a="1"/>
  <c r="E1792" i="9" s="1"/>
  <c r="F1792" i="9" s="1"/>
  <c r="D1936" i="9" a="1"/>
  <c r="E1936" i="9" s="1"/>
  <c r="F1936" i="9" s="1"/>
  <c r="D1287" i="9" a="1"/>
  <c r="E1287" i="9" s="1"/>
  <c r="F1287" i="9" s="1"/>
  <c r="D1652" i="9" a="1"/>
  <c r="E1652" i="9" s="1"/>
  <c r="F1652" i="9" s="1"/>
  <c r="D1661" i="9" a="1"/>
  <c r="E1661" i="9" s="1"/>
  <c r="F1661" i="9" s="1"/>
  <c r="D1805" i="9" a="1"/>
  <c r="E1805" i="9" s="1"/>
  <c r="F1805" i="9" s="1"/>
  <c r="D1949" i="9" a="1"/>
  <c r="E1949" i="9" s="1"/>
  <c r="F1949" i="9" s="1"/>
  <c r="D1329" i="9" a="1"/>
  <c r="E1329" i="9" s="1"/>
  <c r="F1329" i="9" s="1"/>
  <c r="D1540" i="9" a="1"/>
  <c r="E1540" i="9" s="1"/>
  <c r="F1540" i="9" s="1"/>
  <c r="D1686" i="9" a="1"/>
  <c r="E1686" i="9" s="1"/>
  <c r="F1686" i="9" s="1"/>
  <c r="D1830" i="9" a="1"/>
  <c r="E1830" i="9" s="1"/>
  <c r="F1830" i="9" s="1"/>
  <c r="D1974" i="9" a="1"/>
  <c r="E1974" i="9" s="1"/>
  <c r="F1974" i="9" s="1"/>
  <c r="D2118" i="9" a="1"/>
  <c r="E2118" i="9" s="1"/>
  <c r="F2118" i="9" s="1"/>
  <c r="D2262" i="9" a="1"/>
  <c r="E2262" i="9" s="1"/>
  <c r="F2262" i="9" s="1"/>
  <c r="D1312" i="9" a="1"/>
  <c r="E1312" i="9" s="1"/>
  <c r="F1312" i="9" s="1"/>
  <c r="D1526" i="9" a="1"/>
  <c r="E1526" i="9" s="1"/>
  <c r="F1526" i="9" s="1"/>
  <c r="D1675" i="9" a="1"/>
  <c r="E1675" i="9" s="1"/>
  <c r="F1675" i="9" s="1"/>
  <c r="D1819" i="9" a="1"/>
  <c r="E1819" i="9" s="1"/>
  <c r="F1819" i="9" s="1"/>
  <c r="D1333" i="9" a="1"/>
  <c r="E1333" i="9" s="1"/>
  <c r="F1333" i="9" s="1"/>
  <c r="D1616" i="9" a="1"/>
  <c r="E1616" i="9" s="1"/>
  <c r="F1616" i="9" s="1"/>
  <c r="D1796" i="9" a="1"/>
  <c r="E1796" i="9" s="1"/>
  <c r="F1796" i="9" s="1"/>
  <c r="D1832" i="9" a="1"/>
  <c r="E1832" i="9" s="1"/>
  <c r="F1832" i="9" s="1"/>
  <c r="D1976" i="9" a="1"/>
  <c r="E1976" i="9" s="1"/>
  <c r="F1976" i="9" s="1"/>
  <c r="D2120" i="9" a="1"/>
  <c r="E2120" i="9" s="1"/>
  <c r="F2120" i="9" s="1"/>
  <c r="D2264" i="9" a="1"/>
  <c r="E2264" i="9" s="1"/>
  <c r="F2264" i="9" s="1"/>
  <c r="D1406" i="9" a="1"/>
  <c r="E1406" i="9" s="1"/>
  <c r="F1406" i="9" s="1"/>
  <c r="D1593" i="9" a="1"/>
  <c r="E1593" i="9" s="1"/>
  <c r="F1593" i="9" s="1"/>
  <c r="D2736" i="9" a="1"/>
  <c r="E2736" i="9" s="1"/>
  <c r="F2736" i="9" s="1"/>
  <c r="D2654" i="9" a="1"/>
  <c r="E2654" i="9" s="1"/>
  <c r="F2654" i="9" s="1"/>
  <c r="D2368" i="9" a="1"/>
  <c r="E2368" i="9" s="1"/>
  <c r="F2368" i="9" s="1"/>
  <c r="D2331" i="9" a="1"/>
  <c r="E2331" i="9" s="1"/>
  <c r="F2331" i="9" s="1"/>
  <c r="D2365" i="9" a="1"/>
  <c r="E2365" i="9" s="1"/>
  <c r="F2365" i="9" s="1"/>
  <c r="D2456" i="9" a="1"/>
  <c r="E2456" i="9" s="1"/>
  <c r="F2456" i="9" s="1"/>
  <c r="D2575" i="9" a="1"/>
  <c r="E2575" i="9" s="1"/>
  <c r="F2575" i="9" s="1"/>
  <c r="D2380" i="9" a="1"/>
  <c r="E2380" i="9" s="1"/>
  <c r="F2380" i="9" s="1"/>
  <c r="D2428" i="9" a="1"/>
  <c r="E2428" i="9" s="1"/>
  <c r="F2428" i="9" s="1"/>
  <c r="D2585" i="9" a="1"/>
  <c r="E2585" i="9" s="1"/>
  <c r="F2585" i="9" s="1"/>
  <c r="D2427" i="9" a="1"/>
  <c r="E2427" i="9" s="1"/>
  <c r="F2427" i="9" s="1"/>
  <c r="D2608" i="9" a="1"/>
  <c r="E2608" i="9" s="1"/>
  <c r="F2608" i="9" s="1"/>
  <c r="D2452" i="9" a="1"/>
  <c r="E2452" i="9" s="1"/>
  <c r="F2452" i="9" s="1"/>
  <c r="D2523" i="9" a="1"/>
  <c r="E2523" i="9" s="1"/>
  <c r="F2523" i="9" s="1"/>
  <c r="D1939" i="9" a="1"/>
  <c r="E1939" i="9" s="1"/>
  <c r="F1939" i="9" s="1"/>
  <c r="D2248" i="9" a="1"/>
  <c r="E2248" i="9" s="1"/>
  <c r="F2248" i="9" s="1"/>
  <c r="D1978" i="9" a="1"/>
  <c r="E1978" i="9" s="1"/>
  <c r="F1978" i="9" s="1"/>
  <c r="D2184" i="9" a="1"/>
  <c r="E2184" i="9" s="1"/>
  <c r="F2184" i="9" s="1"/>
  <c r="D2279" i="9" a="1"/>
  <c r="E2279" i="9" s="1"/>
  <c r="F2279" i="9" s="1"/>
  <c r="D2078" i="9" a="1"/>
  <c r="E2078" i="9" s="1"/>
  <c r="F2078" i="9" s="1"/>
  <c r="D2164" i="9" a="1"/>
  <c r="E2164" i="9" s="1"/>
  <c r="F2164" i="9" s="1"/>
  <c r="D2350" i="9" a="1"/>
  <c r="E2350" i="9" s="1"/>
  <c r="F2350" i="9" s="1"/>
  <c r="D2162" i="9" a="1"/>
  <c r="E2162" i="9" s="1"/>
  <c r="F2162" i="9" s="1"/>
  <c r="D2290" i="9" a="1"/>
  <c r="E2290" i="9" s="1"/>
  <c r="F2290" i="9" s="1"/>
  <c r="D2090" i="9" a="1"/>
  <c r="E2090" i="9" s="1"/>
  <c r="F2090" i="9" s="1"/>
  <c r="D2271" i="9" a="1"/>
  <c r="E2271" i="9" s="1"/>
  <c r="F2271" i="9" s="1"/>
  <c r="D2069" i="9" a="1"/>
  <c r="E2069" i="9" s="1"/>
  <c r="F2069" i="9" s="1"/>
  <c r="D2207" i="9" a="1"/>
  <c r="E2207" i="9" s="1"/>
  <c r="F2207" i="9" s="1"/>
  <c r="D2284" i="9" a="1"/>
  <c r="E2284" i="9" s="1"/>
  <c r="F2284" i="9" s="1"/>
  <c r="D2086" i="9" a="1"/>
  <c r="E2086" i="9" s="1"/>
  <c r="F2086" i="9" s="1"/>
  <c r="D2316" i="9" a="1"/>
  <c r="E2316" i="9" s="1"/>
  <c r="F2316" i="9" s="1"/>
  <c r="D2119" i="9" a="1"/>
  <c r="E2119" i="9" s="1"/>
  <c r="F2119" i="9" s="1"/>
  <c r="D2343" i="9" a="1"/>
  <c r="E2343" i="9" s="1"/>
  <c r="F2343" i="9" s="1"/>
  <c r="D2153" i="9" a="1"/>
  <c r="E2153" i="9" s="1"/>
  <c r="F2153" i="9" s="1"/>
  <c r="D1943" i="9" a="1"/>
  <c r="E1943" i="9" s="1"/>
  <c r="F1943" i="9" s="1"/>
  <c r="D1467" i="9" a="1"/>
  <c r="E1467" i="9" s="1"/>
  <c r="F1467" i="9" s="1"/>
  <c r="D1634" i="9" a="1"/>
  <c r="E1634" i="9" s="1"/>
  <c r="F1634" i="9" s="1"/>
  <c r="D1778" i="9" a="1"/>
  <c r="E1778" i="9" s="1"/>
  <c r="F1778" i="9" s="1"/>
  <c r="D1922" i="9" a="1"/>
  <c r="E1922" i="9" s="1"/>
  <c r="F1922" i="9" s="1"/>
  <c r="D2066" i="9" a="1"/>
  <c r="E2066" i="9" s="1"/>
  <c r="F2066" i="9" s="1"/>
  <c r="D1488" i="9" a="1"/>
  <c r="E1488" i="9" s="1"/>
  <c r="F1488" i="9" s="1"/>
  <c r="D1647" i="9" a="1"/>
  <c r="E1647" i="9" s="1"/>
  <c r="F1647" i="9" s="1"/>
  <c r="D1791" i="9" a="1"/>
  <c r="E1791" i="9" s="1"/>
  <c r="F1791" i="9" s="1"/>
  <c r="D1935" i="9" a="1"/>
  <c r="E1935" i="9" s="1"/>
  <c r="F1935" i="9" s="1"/>
  <c r="D1286" i="9" a="1"/>
  <c r="E1286" i="9" s="1"/>
  <c r="F1286" i="9" s="1"/>
  <c r="D1505" i="9" a="1"/>
  <c r="E1505" i="9" s="1"/>
  <c r="F1505" i="9" s="1"/>
  <c r="D1660" i="9" a="1"/>
  <c r="E1660" i="9" s="1"/>
  <c r="F1660" i="9" s="1"/>
  <c r="D1804" i="9" a="1"/>
  <c r="E1804" i="9" s="1"/>
  <c r="F1804" i="9" s="1"/>
  <c r="D1948" i="9" a="1"/>
  <c r="E1948" i="9" s="1"/>
  <c r="F1948" i="9" s="1"/>
  <c r="D1310" i="9" a="1"/>
  <c r="E1310" i="9" s="1"/>
  <c r="F1310" i="9" s="1"/>
  <c r="D1524" i="9" a="1"/>
  <c r="E1524" i="9" s="1"/>
  <c r="F1524" i="9" s="1"/>
  <c r="D1673" i="9" a="1"/>
  <c r="E1673" i="9" s="1"/>
  <c r="F1673" i="9" s="1"/>
  <c r="D1817" i="9" a="1"/>
  <c r="E1817" i="9" s="1"/>
  <c r="F1817" i="9" s="1"/>
  <c r="D1961" i="9" a="1"/>
  <c r="E1961" i="9" s="1"/>
  <c r="F1961" i="9" s="1"/>
  <c r="D1347" i="9" a="1"/>
  <c r="E1347" i="9" s="1"/>
  <c r="F1347" i="9" s="1"/>
  <c r="D1554" i="9" a="1"/>
  <c r="E1554" i="9" s="1"/>
  <c r="F1554" i="9" s="1"/>
  <c r="D1698" i="9" a="1"/>
  <c r="E1698" i="9" s="1"/>
  <c r="F1698" i="9" s="1"/>
  <c r="D1842" i="9" a="1"/>
  <c r="E1842" i="9" s="1"/>
  <c r="F1842" i="9" s="1"/>
  <c r="D1986" i="9" a="1"/>
  <c r="E1986" i="9" s="1"/>
  <c r="F1986" i="9" s="1"/>
  <c r="D2130" i="9" a="1"/>
  <c r="E2130" i="9" s="1"/>
  <c r="F2130" i="9" s="1"/>
  <c r="D2274" i="9" a="1"/>
  <c r="E2274" i="9" s="1"/>
  <c r="F2274" i="9" s="1"/>
  <c r="D1332" i="9" a="1"/>
  <c r="E1332" i="9" s="1"/>
  <c r="F1332" i="9" s="1"/>
  <c r="D1541" i="9" a="1"/>
  <c r="E1541" i="9" s="1"/>
  <c r="F1541" i="9" s="1"/>
  <c r="D1687" i="9" a="1"/>
  <c r="E1687" i="9" s="1"/>
  <c r="F1687" i="9" s="1"/>
  <c r="D1831" i="9" a="1"/>
  <c r="E1831" i="9" s="1"/>
  <c r="F1831" i="9" s="1"/>
  <c r="D1349" i="9" a="1"/>
  <c r="E1349" i="9" s="1"/>
  <c r="F1349" i="9" s="1"/>
  <c r="D1556" i="9" a="1"/>
  <c r="E1556" i="9" s="1"/>
  <c r="F1556" i="9" s="1"/>
  <c r="D1700" i="9" a="1"/>
  <c r="E1700" i="9" s="1"/>
  <c r="F1700" i="9" s="1"/>
  <c r="D1844" i="9" a="1"/>
  <c r="E1844" i="9" s="1"/>
  <c r="F1844" i="9" s="1"/>
  <c r="D1988" i="9" a="1"/>
  <c r="E1988" i="9" s="1"/>
  <c r="F1988" i="9" s="1"/>
  <c r="D2132" i="9" a="1"/>
  <c r="E2132" i="9" s="1"/>
  <c r="F2132" i="9" s="1"/>
  <c r="D2276" i="9" a="1"/>
  <c r="E2276" i="9" s="1"/>
  <c r="F2276" i="9" s="1"/>
  <c r="D1424" i="9" a="1"/>
  <c r="E1424" i="9" s="1"/>
  <c r="F1424" i="9" s="1"/>
  <c r="D2733" i="9" a="1"/>
  <c r="E2733" i="9" s="1"/>
  <c r="F2733" i="9" s="1"/>
  <c r="D2666" i="9" a="1"/>
  <c r="E2666" i="9" s="1"/>
  <c r="F2666" i="9" s="1"/>
  <c r="D934" i="9" a="1"/>
  <c r="E934" i="9" s="1"/>
  <c r="F934" i="9" s="1"/>
  <c r="D2589" i="9" a="1"/>
  <c r="E2589" i="9" s="1"/>
  <c r="F2589" i="9" s="1"/>
  <c r="D2307" i="9" a="1"/>
  <c r="E2307" i="9" s="1"/>
  <c r="F2307" i="9" s="1"/>
  <c r="D2516" i="9" a="1"/>
  <c r="E2516" i="9" s="1"/>
  <c r="F2516" i="9" s="1"/>
  <c r="D2563" i="9" a="1"/>
  <c r="E2563" i="9" s="1"/>
  <c r="F2563" i="9" s="1"/>
  <c r="D2359" i="9" a="1"/>
  <c r="E2359" i="9" s="1"/>
  <c r="F2359" i="9" s="1"/>
  <c r="D2397" i="9" a="1"/>
  <c r="E2397" i="9" s="1"/>
  <c r="F2397" i="9" s="1"/>
  <c r="D2573" i="9" a="1"/>
  <c r="E2573" i="9" s="1"/>
  <c r="F2573" i="9" s="1"/>
  <c r="D2413" i="9" a="1"/>
  <c r="E2413" i="9" s="1"/>
  <c r="F2413" i="9" s="1"/>
  <c r="D2596" i="9" a="1"/>
  <c r="E2596" i="9" s="1"/>
  <c r="F2596" i="9" s="1"/>
  <c r="D2440" i="9" a="1"/>
  <c r="E2440" i="9" s="1"/>
  <c r="F2440" i="9" s="1"/>
  <c r="D2511" i="9" a="1"/>
  <c r="E2511" i="9" s="1"/>
  <c r="F2511" i="9" s="1"/>
  <c r="D2196" i="9" a="1"/>
  <c r="E2196" i="9" s="1"/>
  <c r="F2196" i="9" s="1"/>
  <c r="D2233" i="9" a="1"/>
  <c r="E2233" i="9" s="1"/>
  <c r="F2233" i="9" s="1"/>
  <c r="D2354" i="9" a="1"/>
  <c r="E2354" i="9" s="1"/>
  <c r="F2354" i="9" s="1"/>
  <c r="D2167" i="9" a="1"/>
  <c r="E2167" i="9" s="1"/>
  <c r="F2167" i="9" s="1"/>
  <c r="D2261" i="9" a="1"/>
  <c r="E2261" i="9" s="1"/>
  <c r="F2261" i="9" s="1"/>
  <c r="D2047" i="9" a="1"/>
  <c r="E2047" i="9" s="1"/>
  <c r="F2047" i="9" s="1"/>
  <c r="D2148" i="9" a="1"/>
  <c r="E2148" i="9" s="1"/>
  <c r="F2148" i="9" s="1"/>
  <c r="D2336" i="9" a="1"/>
  <c r="E2336" i="9" s="1"/>
  <c r="F2336" i="9" s="1"/>
  <c r="D2146" i="9" a="1"/>
  <c r="E2146" i="9" s="1"/>
  <c r="F2146" i="9" s="1"/>
  <c r="D2272" i="9" a="1"/>
  <c r="E2272" i="9" s="1"/>
  <c r="F2272" i="9" s="1"/>
  <c r="D2071" i="9" a="1"/>
  <c r="E2071" i="9" s="1"/>
  <c r="F2071" i="9" s="1"/>
  <c r="D2256" i="9" a="1"/>
  <c r="E2256" i="9" s="1"/>
  <c r="F2256" i="9" s="1"/>
  <c r="D2023" i="9" a="1"/>
  <c r="E2023" i="9" s="1"/>
  <c r="F2023" i="9" s="1"/>
  <c r="D2189" i="9" a="1"/>
  <c r="E2189" i="9" s="1"/>
  <c r="F2189" i="9" s="1"/>
  <c r="D2269" i="9" a="1"/>
  <c r="E2269" i="9" s="1"/>
  <c r="F2269" i="9" s="1"/>
  <c r="D2063" i="9" a="1"/>
  <c r="E2063" i="9" s="1"/>
  <c r="F2063" i="9" s="1"/>
  <c r="D2299" i="9" a="1"/>
  <c r="E2299" i="9" s="1"/>
  <c r="F2299" i="9" s="1"/>
  <c r="D2102" i="9" a="1"/>
  <c r="E2102" i="9" s="1"/>
  <c r="F2102" i="9" s="1"/>
  <c r="D2329" i="9" a="1"/>
  <c r="E2329" i="9" s="1"/>
  <c r="F2329" i="9" s="1"/>
  <c r="D2136" i="9" a="1"/>
  <c r="E2136" i="9" s="1"/>
  <c r="F2136" i="9" s="1"/>
  <c r="D1999" i="9" a="1"/>
  <c r="E1999" i="9" s="1"/>
  <c r="F1999" i="9" s="1"/>
  <c r="D1485" i="9" a="1"/>
  <c r="E1485" i="9" s="1"/>
  <c r="F1485" i="9" s="1"/>
  <c r="D1646" i="9" a="1"/>
  <c r="E1646" i="9" s="1"/>
  <c r="F1646" i="9" s="1"/>
  <c r="D1790" i="9" a="1"/>
  <c r="E1790" i="9" s="1"/>
  <c r="F1790" i="9" s="1"/>
  <c r="D1934" i="9" a="1"/>
  <c r="E1934" i="9" s="1"/>
  <c r="F1934" i="9" s="1"/>
  <c r="D1285" i="9" a="1"/>
  <c r="E1285" i="9" s="1"/>
  <c r="F1285" i="9" s="1"/>
  <c r="D1504" i="9" a="1"/>
  <c r="E1504" i="9" s="1"/>
  <c r="F1504" i="9" s="1"/>
  <c r="D1659" i="9" a="1"/>
  <c r="E1659" i="9" s="1"/>
  <c r="F1659" i="9" s="1"/>
  <c r="D1803" i="9" a="1"/>
  <c r="E1803" i="9" s="1"/>
  <c r="F1803" i="9" s="1"/>
  <c r="D1947" i="9" a="1"/>
  <c r="E1947" i="9" s="1"/>
  <c r="F1947" i="9" s="1"/>
  <c r="D1309" i="9" a="1"/>
  <c r="E1309" i="9" s="1"/>
  <c r="F1309" i="9" s="1"/>
  <c r="D1523" i="9" a="1"/>
  <c r="E1523" i="9" s="1"/>
  <c r="F1523" i="9" s="1"/>
  <c r="D1672" i="9" a="1"/>
  <c r="E1672" i="9" s="1"/>
  <c r="F1672" i="9" s="1"/>
  <c r="D1816" i="9" a="1"/>
  <c r="E1816" i="9" s="1"/>
  <c r="F1816" i="9" s="1"/>
  <c r="D1960" i="9" a="1"/>
  <c r="E1960" i="9" s="1"/>
  <c r="F1960" i="9" s="1"/>
  <c r="D1436" i="9" a="1"/>
  <c r="E1436" i="9" s="1"/>
  <c r="F1436" i="9" s="1"/>
  <c r="D1539" i="9" a="1"/>
  <c r="E1539" i="9" s="1"/>
  <c r="F1539" i="9" s="1"/>
  <c r="D1685" i="9" a="1"/>
  <c r="E1685" i="9" s="1"/>
  <c r="F1685" i="9" s="1"/>
  <c r="D1829" i="9" a="1"/>
  <c r="E1829" i="9" s="1"/>
  <c r="F1829" i="9" s="1"/>
  <c r="D1973" i="9" a="1"/>
  <c r="E1973" i="9" s="1"/>
  <c r="F1973" i="9" s="1"/>
  <c r="D1365" i="9" a="1"/>
  <c r="E1365" i="9" s="1"/>
  <c r="F1365" i="9" s="1"/>
  <c r="D1566" i="9" a="1"/>
  <c r="E1566" i="9" s="1"/>
  <c r="F1566" i="9" s="1"/>
  <c r="D1710" i="9" a="1"/>
  <c r="E1710" i="9" s="1"/>
  <c r="F1710" i="9" s="1"/>
  <c r="D1854" i="9" a="1"/>
  <c r="E1854" i="9" s="1"/>
  <c r="F1854" i="9" s="1"/>
  <c r="D1998" i="9" a="1"/>
  <c r="E1998" i="9" s="1"/>
  <c r="F1998" i="9" s="1"/>
  <c r="D2142" i="9" a="1"/>
  <c r="E2142" i="9" s="1"/>
  <c r="F2142" i="9" s="1"/>
  <c r="D2286" i="9" a="1"/>
  <c r="E2286" i="9" s="1"/>
  <c r="F2286" i="9" s="1"/>
  <c r="D1348" i="9" a="1"/>
  <c r="E1348" i="9" s="1"/>
  <c r="F1348" i="9" s="1"/>
  <c r="D1555" i="9" a="1"/>
  <c r="E1555" i="9" s="1"/>
  <c r="F1555" i="9" s="1"/>
  <c r="D1699" i="9" a="1"/>
  <c r="E1699" i="9" s="1"/>
  <c r="F1699" i="9" s="1"/>
  <c r="D1843" i="9" a="1"/>
  <c r="E1843" i="9" s="1"/>
  <c r="F1843" i="9" s="1"/>
  <c r="D1369" i="9" a="1"/>
  <c r="E1369" i="9" s="1"/>
  <c r="F1369" i="9" s="1"/>
  <c r="D1568" i="9" a="1"/>
  <c r="E1568" i="9" s="1"/>
  <c r="F1568" i="9" s="1"/>
  <c r="D1712" i="9" a="1"/>
  <c r="E1712" i="9" s="1"/>
  <c r="F1712" i="9" s="1"/>
  <c r="D1856" i="9" a="1"/>
  <c r="E1856" i="9" s="1"/>
  <c r="F1856" i="9" s="1"/>
  <c r="D2000" i="9" a="1"/>
  <c r="E2000" i="9" s="1"/>
  <c r="F2000" i="9" s="1"/>
  <c r="D2144" i="9" a="1"/>
  <c r="E2144" i="9" s="1"/>
  <c r="F2144" i="9" s="1"/>
  <c r="D2288" i="9" a="1"/>
  <c r="E2288" i="9" s="1"/>
  <c r="F2288" i="9" s="1"/>
  <c r="D1442" i="9" a="1"/>
  <c r="E1442" i="9" s="1"/>
  <c r="F1442" i="9" s="1"/>
  <c r="D1617" i="9" a="1"/>
  <c r="E1617" i="9" s="1"/>
  <c r="F1617" i="9" s="1"/>
  <c r="D1761" i="9" a="1"/>
  <c r="E1761" i="9" s="1"/>
  <c r="F1761" i="9" s="1"/>
  <c r="D1905" i="9" a="1"/>
  <c r="E1905" i="9" s="1"/>
  <c r="F1905" i="9" s="1"/>
  <c r="D2049" i="9" a="1"/>
  <c r="E2049" i="9" s="1"/>
  <c r="F2049" i="9" s="1"/>
  <c r="D2193" i="9" a="1"/>
  <c r="E2193" i="9" s="1"/>
  <c r="F2193" i="9" s="1"/>
  <c r="D2337" i="9" a="1"/>
  <c r="E2337" i="9" s="1"/>
  <c r="F2337" i="9" s="1"/>
  <c r="D1479" i="9" a="1"/>
  <c r="E1479" i="9" s="1"/>
  <c r="F1479" i="9" s="1"/>
  <c r="D1642" i="9" a="1"/>
  <c r="E1642" i="9" s="1"/>
  <c r="F1642" i="9" s="1"/>
  <c r="D1786" i="9" a="1"/>
  <c r="E1786" i="9" s="1"/>
  <c r="F1786" i="9" s="1"/>
  <c r="D1930" i="9" a="1"/>
  <c r="E1930" i="9" s="1"/>
  <c r="F1930" i="9" s="1"/>
  <c r="D1428" i="9" a="1"/>
  <c r="E1428" i="9" s="1"/>
  <c r="F1428" i="9" s="1"/>
  <c r="D1607" i="9" a="1"/>
  <c r="E1607" i="9" s="1"/>
  <c r="F1607" i="9" s="1"/>
  <c r="D2637" i="9" a="1"/>
  <c r="E2637" i="9" s="1"/>
  <c r="F2637" i="9" s="1"/>
  <c r="D2450" i="9" a="1"/>
  <c r="E2450" i="9" s="1"/>
  <c r="F2450" i="9" s="1"/>
  <c r="D2555" i="9" a="1"/>
  <c r="E2555" i="9" s="1"/>
  <c r="F2555" i="9" s="1"/>
  <c r="D2565" i="9" a="1"/>
  <c r="E2565" i="9" s="1"/>
  <c r="F2565" i="9" s="1"/>
  <c r="D2636" i="9" a="1"/>
  <c r="E2636" i="9" s="1"/>
  <c r="F2636" i="9" s="1"/>
  <c r="D2416" i="9" a="1"/>
  <c r="E2416" i="9" s="1"/>
  <c r="F2416" i="9" s="1"/>
  <c r="D2551" i="9" a="1"/>
  <c r="E2551" i="9" s="1"/>
  <c r="F2551" i="9" s="1"/>
  <c r="D2275" i="9" a="1"/>
  <c r="E2275" i="9" s="1"/>
  <c r="F2275" i="9" s="1"/>
  <c r="D2379" i="9" a="1"/>
  <c r="E2379" i="9" s="1"/>
  <c r="F2379" i="9" s="1"/>
  <c r="D2561" i="9" a="1"/>
  <c r="E2561" i="9" s="1"/>
  <c r="F2561" i="9" s="1"/>
  <c r="D2396" i="9" a="1"/>
  <c r="E2396" i="9" s="1"/>
  <c r="F2396" i="9" s="1"/>
  <c r="D2584" i="9" a="1"/>
  <c r="E2584" i="9" s="1"/>
  <c r="F2584" i="9" s="1"/>
  <c r="D2426" i="9" a="1"/>
  <c r="E2426" i="9" s="1"/>
  <c r="F2426" i="9" s="1"/>
  <c r="D2499" i="9" a="1"/>
  <c r="E2499" i="9" s="1"/>
  <c r="F2499" i="9" s="1"/>
  <c r="D2147" i="9" a="1"/>
  <c r="E2147" i="9" s="1"/>
  <c r="F2147" i="9" s="1"/>
  <c r="D2218" i="9" a="1"/>
  <c r="E2218" i="9" s="1"/>
  <c r="F2218" i="9" s="1"/>
  <c r="D2341" i="9" a="1"/>
  <c r="E2341" i="9" s="1"/>
  <c r="F2341" i="9" s="1"/>
  <c r="D2151" i="9" a="1"/>
  <c r="E2151" i="9" s="1"/>
  <c r="F2151" i="9" s="1"/>
  <c r="D2246" i="9" a="1"/>
  <c r="E2246" i="9" s="1"/>
  <c r="F2246" i="9" s="1"/>
  <c r="D2324" i="9" a="1"/>
  <c r="E2324" i="9" s="1"/>
  <c r="F2324" i="9" s="1"/>
  <c r="D2129" i="9" a="1"/>
  <c r="E2129" i="9" s="1"/>
  <c r="F2129" i="9" s="1"/>
  <c r="D2321" i="9" a="1"/>
  <c r="E2321" i="9" s="1"/>
  <c r="F2321" i="9" s="1"/>
  <c r="D2127" i="9" a="1"/>
  <c r="E2127" i="9" s="1"/>
  <c r="F2127" i="9" s="1"/>
  <c r="D2257" i="9" a="1"/>
  <c r="E2257" i="9" s="1"/>
  <c r="F2257" i="9" s="1"/>
  <c r="D2026" i="9" a="1"/>
  <c r="E2026" i="9" s="1"/>
  <c r="F2026" i="9" s="1"/>
  <c r="D2239" i="9" a="1"/>
  <c r="E2239" i="9" s="1"/>
  <c r="F2239" i="9" s="1"/>
  <c r="D2360" i="9" a="1"/>
  <c r="E2360" i="9" s="1"/>
  <c r="F2360" i="9" s="1"/>
  <c r="D2174" i="9" a="1"/>
  <c r="E2174" i="9" s="1"/>
  <c r="F2174" i="9" s="1"/>
  <c r="D2254" i="9" a="1"/>
  <c r="E2254" i="9" s="1"/>
  <c r="F2254" i="9" s="1"/>
  <c r="D2003" i="9" a="1"/>
  <c r="E2003" i="9" s="1"/>
  <c r="F2003" i="9" s="1"/>
  <c r="D2283" i="9" a="1"/>
  <c r="E2283" i="9" s="1"/>
  <c r="F2283" i="9" s="1"/>
  <c r="D2083" i="9" a="1"/>
  <c r="E2083" i="9" s="1"/>
  <c r="F2083" i="9" s="1"/>
  <c r="D2315" i="9" a="1"/>
  <c r="E2315" i="9" s="1"/>
  <c r="F2315" i="9" s="1"/>
  <c r="D2117" i="9" a="1"/>
  <c r="E2117" i="9" s="1"/>
  <c r="F2117" i="9" s="1"/>
  <c r="D1284" i="9" a="1"/>
  <c r="E1284" i="9" s="1"/>
  <c r="F1284" i="9" s="1"/>
  <c r="D1503" i="9" a="1"/>
  <c r="E1503" i="9" s="1"/>
  <c r="F1503" i="9" s="1"/>
  <c r="D1658" i="9" a="1"/>
  <c r="E1658" i="9" s="1"/>
  <c r="F1658" i="9" s="1"/>
  <c r="D1802" i="9" a="1"/>
  <c r="E1802" i="9" s="1"/>
  <c r="F1802" i="9" s="1"/>
  <c r="D1946" i="9" a="1"/>
  <c r="E1946" i="9" s="1"/>
  <c r="F1946" i="9" s="1"/>
  <c r="D1308" i="9" a="1"/>
  <c r="E1308" i="9" s="1"/>
  <c r="F1308" i="9" s="1"/>
  <c r="D1521" i="9" a="1"/>
  <c r="E1521" i="9" s="1"/>
  <c r="F1521" i="9" s="1"/>
  <c r="D1671" i="9" a="1"/>
  <c r="E1671" i="9" s="1"/>
  <c r="F1671" i="9" s="1"/>
  <c r="D1815" i="9" a="1"/>
  <c r="E1815" i="9" s="1"/>
  <c r="F1815" i="9" s="1"/>
  <c r="D1959" i="9" a="1"/>
  <c r="E1959" i="9" s="1"/>
  <c r="F1959" i="9" s="1"/>
  <c r="D1325" i="9" a="1"/>
  <c r="E1325" i="9" s="1"/>
  <c r="F1325" i="9" s="1"/>
  <c r="D1538" i="9" a="1"/>
  <c r="E1538" i="9" s="1"/>
  <c r="F1538" i="9" s="1"/>
  <c r="D1684" i="9" a="1"/>
  <c r="E1684" i="9" s="1"/>
  <c r="F1684" i="9" s="1"/>
  <c r="D1828" i="9" a="1"/>
  <c r="E1828" i="9" s="1"/>
  <c r="F1828" i="9" s="1"/>
  <c r="D1972" i="9" a="1"/>
  <c r="E1972" i="9" s="1"/>
  <c r="F1972" i="9" s="1"/>
  <c r="D1346" i="9" a="1"/>
  <c r="E1346" i="9" s="1"/>
  <c r="F1346" i="9" s="1"/>
  <c r="D1553" i="9" a="1"/>
  <c r="E1553" i="9" s="1"/>
  <c r="F1553" i="9" s="1"/>
  <c r="D1697" i="9" a="1"/>
  <c r="E1697" i="9" s="1"/>
  <c r="F1697" i="9" s="1"/>
  <c r="D1841" i="9" a="1"/>
  <c r="E1841" i="9" s="1"/>
  <c r="F1841" i="9" s="1"/>
  <c r="D1985" i="9" a="1"/>
  <c r="E1985" i="9" s="1"/>
  <c r="F1985" i="9" s="1"/>
  <c r="D1383" i="9" a="1"/>
  <c r="E1383" i="9" s="1"/>
  <c r="F1383" i="9" s="1"/>
  <c r="D1578" i="9" a="1"/>
  <c r="E1578" i="9" s="1"/>
  <c r="F1578" i="9" s="1"/>
  <c r="D1722" i="9" a="1"/>
  <c r="E1722" i="9" s="1"/>
  <c r="F1722" i="9" s="1"/>
  <c r="D1866" i="9" a="1"/>
  <c r="E1866" i="9" s="1"/>
  <c r="F1866" i="9" s="1"/>
  <c r="D2010" i="9" a="1"/>
  <c r="E2010" i="9" s="1"/>
  <c r="F2010" i="9" s="1"/>
  <c r="D2154" i="9" a="1"/>
  <c r="E2154" i="9" s="1"/>
  <c r="F2154" i="9" s="1"/>
  <c r="D2298" i="9" a="1"/>
  <c r="E2298" i="9" s="1"/>
  <c r="F2298" i="9" s="1"/>
  <c r="D1368" i="9" a="1"/>
  <c r="E1368" i="9" s="1"/>
  <c r="F1368" i="9" s="1"/>
  <c r="D1567" i="9" a="1"/>
  <c r="E1567" i="9" s="1"/>
  <c r="F1567" i="9" s="1"/>
  <c r="D1711" i="9" a="1"/>
  <c r="E1711" i="9" s="1"/>
  <c r="F1711" i="9" s="1"/>
  <c r="D1855" i="9" a="1"/>
  <c r="E1855" i="9" s="1"/>
  <c r="F1855" i="9" s="1"/>
  <c r="D1385" i="9" a="1"/>
  <c r="E1385" i="9" s="1"/>
  <c r="F1385" i="9" s="1"/>
  <c r="D1688" i="9" a="1"/>
  <c r="E1688" i="9" s="1"/>
  <c r="F1688" i="9" s="1"/>
  <c r="D2408" i="9" a="1"/>
  <c r="E2408" i="9" s="1"/>
  <c r="F2408" i="9" s="1"/>
  <c r="D1868" i="9" a="1"/>
  <c r="E1868" i="9" s="1"/>
  <c r="F1868" i="9" s="1"/>
  <c r="D2048" i="9" a="1"/>
  <c r="E2048" i="9" s="1"/>
  <c r="F2048" i="9" s="1"/>
  <c r="D2156" i="9" a="1"/>
  <c r="E2156" i="9" s="1"/>
  <c r="F2156" i="9" s="1"/>
  <c r="D2300" i="9" a="1"/>
  <c r="E2300" i="9" s="1"/>
  <c r="F2300" i="9" s="1"/>
  <c r="D1460" i="9" a="1"/>
  <c r="E1460" i="9" s="1"/>
  <c r="F1460" i="9" s="1"/>
  <c r="D1629" i="9" a="1"/>
  <c r="E1629" i="9" s="1"/>
  <c r="F1629" i="9" s="1"/>
  <c r="D1773" i="9" a="1"/>
  <c r="E1773" i="9" s="1"/>
  <c r="F1773" i="9" s="1"/>
  <c r="D1917" i="9" a="1"/>
  <c r="E1917" i="9" s="1"/>
  <c r="F1917" i="9" s="1"/>
  <c r="D2061" i="9" a="1"/>
  <c r="E2061" i="9" s="1"/>
  <c r="F2061" i="9" s="1"/>
  <c r="D2366" i="9" a="1"/>
  <c r="E2366" i="9" s="1"/>
  <c r="F2366" i="9" s="1"/>
  <c r="D2438" i="9" a="1"/>
  <c r="E2438" i="9" s="1"/>
  <c r="F2438" i="9" s="1"/>
  <c r="D2531" i="9" a="1"/>
  <c r="E2531" i="9" s="1"/>
  <c r="F2531" i="9" s="1"/>
  <c r="D2553" i="9" a="1"/>
  <c r="E2553" i="9" s="1"/>
  <c r="F2553" i="9" s="1"/>
  <c r="D2612" i="9" a="1"/>
  <c r="E2612" i="9" s="1"/>
  <c r="F2612" i="9" s="1"/>
  <c r="D2401" i="9" a="1"/>
  <c r="E2401" i="9" s="1"/>
  <c r="F2401" i="9" s="1"/>
  <c r="D2539" i="9" a="1"/>
  <c r="E2539" i="9" s="1"/>
  <c r="F2539" i="9" s="1"/>
  <c r="D2550" i="9" a="1"/>
  <c r="E2550" i="9" s="1"/>
  <c r="F2550" i="9" s="1"/>
  <c r="D2353" i="9" a="1"/>
  <c r="E2353" i="9" s="1"/>
  <c r="F2353" i="9" s="1"/>
  <c r="D2549" i="9" a="1"/>
  <c r="E2549" i="9" s="1"/>
  <c r="F2549" i="9" s="1"/>
  <c r="D2378" i="9" a="1"/>
  <c r="E2378" i="9" s="1"/>
  <c r="F2378" i="9" s="1"/>
  <c r="D2572" i="9" a="1"/>
  <c r="E2572" i="9" s="1"/>
  <c r="F2572" i="9" s="1"/>
  <c r="D2411" i="9" a="1"/>
  <c r="E2411" i="9" s="1"/>
  <c r="F2411" i="9" s="1"/>
  <c r="D2487" i="9" a="1"/>
  <c r="E2487" i="9" s="1"/>
  <c r="F2487" i="9" s="1"/>
  <c r="D2128" i="9" a="1"/>
  <c r="E2128" i="9" s="1"/>
  <c r="F2128" i="9" s="1"/>
  <c r="D2200" i="9" a="1"/>
  <c r="E2200" i="9" s="1"/>
  <c r="F2200" i="9" s="1"/>
  <c r="D2327" i="9" a="1"/>
  <c r="E2327" i="9" s="1"/>
  <c r="F2327" i="9" s="1"/>
  <c r="D2134" i="9" a="1"/>
  <c r="E2134" i="9" s="1"/>
  <c r="F2134" i="9" s="1"/>
  <c r="D2231" i="9" a="1"/>
  <c r="E2231" i="9" s="1"/>
  <c r="F2231" i="9" s="1"/>
  <c r="D2308" i="9" a="1"/>
  <c r="E2308" i="9" s="1"/>
  <c r="F2308" i="9" s="1"/>
  <c r="D2112" i="9" a="1"/>
  <c r="E2112" i="9" s="1"/>
  <c r="F2112" i="9" s="1"/>
  <c r="D2306" i="9" a="1"/>
  <c r="E2306" i="9" s="1"/>
  <c r="F2306" i="9" s="1"/>
  <c r="D2110" i="9" a="1"/>
  <c r="E2110" i="9" s="1"/>
  <c r="F2110" i="9" s="1"/>
  <c r="D2242" i="9" a="1"/>
  <c r="E2242" i="9" s="1"/>
  <c r="F2242" i="9" s="1"/>
  <c r="D2398" i="9" a="1"/>
  <c r="E2398" i="9" s="1"/>
  <c r="F2398" i="9" s="1"/>
  <c r="D2223" i="9" a="1"/>
  <c r="E2223" i="9" s="1"/>
  <c r="F2223" i="9" s="1"/>
  <c r="D2347" i="9" a="1"/>
  <c r="E2347" i="9" s="1"/>
  <c r="F2347" i="9" s="1"/>
  <c r="D2159" i="9" a="1"/>
  <c r="E2159" i="9" s="1"/>
  <c r="F2159" i="9" s="1"/>
  <c r="D2236" i="9" a="1"/>
  <c r="E2236" i="9" s="1"/>
  <c r="F2236" i="9" s="1"/>
  <c r="D2431" i="9" a="1"/>
  <c r="E2431" i="9" s="1"/>
  <c r="F2431" i="9" s="1"/>
  <c r="D2268" i="9" a="1"/>
  <c r="E2268" i="9" s="1"/>
  <c r="F2268" i="9" s="1"/>
  <c r="D2062" i="9" a="1"/>
  <c r="E2062" i="9" s="1"/>
  <c r="F2062" i="9" s="1"/>
  <c r="D2297" i="9" a="1"/>
  <c r="E2297" i="9" s="1"/>
  <c r="F2297" i="9" s="1"/>
  <c r="D2100" i="9" a="1"/>
  <c r="E2100" i="9" s="1"/>
  <c r="F2100" i="9" s="1"/>
  <c r="D1305" i="9" a="1"/>
  <c r="E1305" i="9" s="1"/>
  <c r="F1305" i="9" s="1"/>
  <c r="D1520" i="9" a="1"/>
  <c r="E1520" i="9" s="1"/>
  <c r="F1520" i="9" s="1"/>
  <c r="D1670" i="9" a="1"/>
  <c r="E1670" i="9" s="1"/>
  <c r="F1670" i="9" s="1"/>
  <c r="D1814" i="9" a="1"/>
  <c r="E1814" i="9" s="1"/>
  <c r="F1814" i="9" s="1"/>
  <c r="D1958" i="9" a="1"/>
  <c r="E1958" i="9" s="1"/>
  <c r="F1958" i="9" s="1"/>
  <c r="D1324" i="9" a="1"/>
  <c r="E1324" i="9" s="1"/>
  <c r="F1324" i="9" s="1"/>
  <c r="D1537" i="9" a="1"/>
  <c r="E1537" i="9" s="1"/>
  <c r="F1537" i="9" s="1"/>
  <c r="D1683" i="9" a="1"/>
  <c r="E1683" i="9" s="1"/>
  <c r="F1683" i="9" s="1"/>
  <c r="D1827" i="9" a="1"/>
  <c r="E1827" i="9" s="1"/>
  <c r="F1827" i="9" s="1"/>
  <c r="D1971" i="9" a="1"/>
  <c r="E1971" i="9" s="1"/>
  <c r="F1971" i="9" s="1"/>
  <c r="D1345" i="9" a="1"/>
  <c r="E1345" i="9" s="1"/>
  <c r="F1345" i="9" s="1"/>
  <c r="D1552" i="9" a="1"/>
  <c r="E1552" i="9" s="1"/>
  <c r="F1552" i="9" s="1"/>
  <c r="D1696" i="9" a="1"/>
  <c r="E1696" i="9" s="1"/>
  <c r="F1696" i="9" s="1"/>
  <c r="D1840" i="9" a="1"/>
  <c r="E1840" i="9" s="1"/>
  <c r="F1840" i="9" s="1"/>
  <c r="D1984" i="9" a="1"/>
  <c r="E1984" i="9" s="1"/>
  <c r="F1984" i="9" s="1"/>
  <c r="D1472" i="9" a="1"/>
  <c r="E1472" i="9" s="1"/>
  <c r="F1472" i="9" s="1"/>
  <c r="D1565" i="9" a="1"/>
  <c r="E1565" i="9" s="1"/>
  <c r="F1565" i="9" s="1"/>
  <c r="D1709" i="9" a="1"/>
  <c r="E1709" i="9" s="1"/>
  <c r="F1709" i="9" s="1"/>
  <c r="D1853" i="9" a="1"/>
  <c r="E1853" i="9" s="1"/>
  <c r="F1853" i="9" s="1"/>
  <c r="D1997" i="9" a="1"/>
  <c r="E1997" i="9" s="1"/>
  <c r="F1997" i="9" s="1"/>
  <c r="D1401" i="9" a="1"/>
  <c r="E1401" i="9" s="1"/>
  <c r="F1401" i="9" s="1"/>
  <c r="D1590" i="9" a="1"/>
  <c r="E1590" i="9" s="1"/>
  <c r="F1590" i="9" s="1"/>
  <c r="D1734" i="9" a="1"/>
  <c r="E1734" i="9" s="1"/>
  <c r="F1734" i="9" s="1"/>
  <c r="D1878" i="9" a="1"/>
  <c r="E1878" i="9" s="1"/>
  <c r="F1878" i="9" s="1"/>
  <c r="D2022" i="9" a="1"/>
  <c r="E2022" i="9" s="1"/>
  <c r="F2022" i="9" s="1"/>
  <c r="D2166" i="9" a="1"/>
  <c r="E2166" i="9" s="1"/>
  <c r="F2166" i="9" s="1"/>
  <c r="D2310" i="9" a="1"/>
  <c r="E2310" i="9" s="1"/>
  <c r="F2310" i="9" s="1"/>
  <c r="D1384" i="9" a="1"/>
  <c r="E1384" i="9" s="1"/>
  <c r="F1384" i="9" s="1"/>
  <c r="D1579" i="9" a="1"/>
  <c r="E1579" i="9" s="1"/>
  <c r="F1579" i="9" s="1"/>
  <c r="D1723" i="9" a="1"/>
  <c r="E1723" i="9" s="1"/>
  <c r="F1723" i="9" s="1"/>
  <c r="D1867" i="9" a="1"/>
  <c r="E1867" i="9" s="1"/>
  <c r="F1867" i="9" s="1"/>
  <c r="D1405" i="9" a="1"/>
  <c r="E1405" i="9" s="1"/>
  <c r="F1405" i="9" s="1"/>
  <c r="D1592" i="9" a="1"/>
  <c r="E1592" i="9" s="1"/>
  <c r="F1592" i="9" s="1"/>
  <c r="D1736" i="9" a="1"/>
  <c r="E1736" i="9" s="1"/>
  <c r="F1736" i="9" s="1"/>
  <c r="D1880" i="9" a="1"/>
  <c r="E1880" i="9" s="1"/>
  <c r="F1880" i="9" s="1"/>
  <c r="D2024" i="9" a="1"/>
  <c r="E2024" i="9" s="1"/>
  <c r="F2024" i="9" s="1"/>
  <c r="D2168" i="9" a="1"/>
  <c r="E2168" i="9" s="1"/>
  <c r="F2168" i="9" s="1"/>
  <c r="D2312" i="9" a="1"/>
  <c r="E2312" i="9" s="1"/>
  <c r="F2312" i="9" s="1"/>
  <c r="D1478" i="9" a="1"/>
  <c r="E1478" i="9" s="1"/>
  <c r="F1478" i="9" s="1"/>
  <c r="D1641" i="9" a="1"/>
  <c r="E1641" i="9" s="1"/>
  <c r="F1641" i="9" s="1"/>
  <c r="D1785" i="9" a="1"/>
  <c r="E1785" i="9" s="1"/>
  <c r="F1785" i="9" s="1"/>
  <c r="D1929" i="9" a="1"/>
  <c r="E1929" i="9" s="1"/>
  <c r="F1929" i="9" s="1"/>
  <c r="D2073" i="9" a="1"/>
  <c r="E2073" i="9" s="1"/>
  <c r="F2073" i="9" s="1"/>
  <c r="D2217" i="9" a="1"/>
  <c r="E2217" i="9" s="1"/>
  <c r="F2217" i="9" s="1"/>
  <c r="D1299" i="9" a="1"/>
  <c r="E1299" i="9" s="1"/>
  <c r="F1299" i="9" s="1"/>
  <c r="D2614" i="9" a="1"/>
  <c r="E2614" i="9" s="1"/>
  <c r="F2614" i="9" s="1"/>
  <c r="D2569" i="9" a="1"/>
  <c r="E2569" i="9" s="1"/>
  <c r="F2569" i="9" s="1"/>
  <c r="D2519" i="9" a="1"/>
  <c r="E2519" i="9" s="1"/>
  <c r="F2519" i="9" s="1"/>
  <c r="D2529" i="9" a="1"/>
  <c r="E2529" i="9" s="1"/>
  <c r="F2529" i="9" s="1"/>
  <c r="D2600" i="9" a="1"/>
  <c r="E2600" i="9" s="1"/>
  <c r="F2600" i="9" s="1"/>
  <c r="D2381" i="9" a="1"/>
  <c r="E2381" i="9" s="1"/>
  <c r="F2381" i="9" s="1"/>
  <c r="D2515" i="9" a="1"/>
  <c r="E2515" i="9" s="1"/>
  <c r="F2515" i="9" s="1"/>
  <c r="D2538" i="9" a="1"/>
  <c r="E2538" i="9" s="1"/>
  <c r="F2538" i="9" s="1"/>
  <c r="D2259" i="9" a="1"/>
  <c r="E2259" i="9" s="1"/>
  <c r="F2259" i="9" s="1"/>
  <c r="D2537" i="9" a="1"/>
  <c r="E2537" i="9" s="1"/>
  <c r="F2537" i="9" s="1"/>
  <c r="D2352" i="9" a="1"/>
  <c r="E2352" i="9" s="1"/>
  <c r="F2352" i="9" s="1"/>
  <c r="D2560" i="9" a="1"/>
  <c r="E2560" i="9" s="1"/>
  <c r="F2560" i="9" s="1"/>
  <c r="D2393" i="9" a="1"/>
  <c r="E2393" i="9" s="1"/>
  <c r="F2393" i="9" s="1"/>
  <c r="D2475" i="9" a="1"/>
  <c r="E2475" i="9" s="1"/>
  <c r="F2475" i="9" s="1"/>
  <c r="D2111" i="9" a="1"/>
  <c r="E2111" i="9" s="1"/>
  <c r="F2111" i="9" s="1"/>
  <c r="D2185" i="9" a="1"/>
  <c r="E2185" i="9" s="1"/>
  <c r="F2185" i="9" s="1"/>
  <c r="D2311" i="9" a="1"/>
  <c r="E2311" i="9" s="1"/>
  <c r="F2311" i="9" s="1"/>
  <c r="D2115" i="9" a="1"/>
  <c r="E2115" i="9" s="1"/>
  <c r="F2115" i="9" s="1"/>
  <c r="D2213" i="9" a="1"/>
  <c r="E2213" i="9" s="1"/>
  <c r="F2213" i="9" s="1"/>
  <c r="D2293" i="9" a="1"/>
  <c r="E2293" i="9" s="1"/>
  <c r="F2293" i="9" s="1"/>
  <c r="D2093" i="9" a="1"/>
  <c r="E2093" i="9" s="1"/>
  <c r="F2093" i="9" s="1"/>
  <c r="D2291" i="9" a="1"/>
  <c r="E2291" i="9" s="1"/>
  <c r="F2291" i="9" s="1"/>
  <c r="D2091" i="9" a="1"/>
  <c r="E2091" i="9" s="1"/>
  <c r="F2091" i="9" s="1"/>
  <c r="D2224" i="9" a="1"/>
  <c r="E2224" i="9" s="1"/>
  <c r="F2224" i="9" s="1"/>
  <c r="D2386" i="9" a="1"/>
  <c r="E2386" i="9" s="1"/>
  <c r="F2386" i="9" s="1"/>
  <c r="D2208" i="9" a="1"/>
  <c r="E2208" i="9" s="1"/>
  <c r="F2208" i="9" s="1"/>
  <c r="D2332" i="9" a="1"/>
  <c r="E2332" i="9" s="1"/>
  <c r="F2332" i="9" s="1"/>
  <c r="D2140" i="9" a="1"/>
  <c r="E2140" i="9" s="1"/>
  <c r="F2140" i="9" s="1"/>
  <c r="D2221" i="9" a="1"/>
  <c r="E2221" i="9" s="1"/>
  <c r="F2221" i="9" s="1"/>
  <c r="D2419" i="9" a="1"/>
  <c r="E2419" i="9" s="1"/>
  <c r="F2419" i="9" s="1"/>
  <c r="D2251" i="9" a="1"/>
  <c r="E2251" i="9" s="1"/>
  <c r="F2251" i="9" s="1"/>
  <c r="D1991" i="9" a="1"/>
  <c r="E1991" i="9" s="1"/>
  <c r="F1991" i="9" s="1"/>
  <c r="D2282" i="9" a="1"/>
  <c r="E2282" i="9" s="1"/>
  <c r="F2282" i="9" s="1"/>
  <c r="D2081" i="9" a="1"/>
  <c r="E2081" i="9" s="1"/>
  <c r="F2081" i="9" s="1"/>
  <c r="D1323" i="9" a="1"/>
  <c r="E1323" i="9" s="1"/>
  <c r="F1323" i="9" s="1"/>
  <c r="D1536" i="9" a="1"/>
  <c r="E1536" i="9" s="1"/>
  <c r="F1536" i="9" s="1"/>
  <c r="D1682" i="9" a="1"/>
  <c r="E1682" i="9" s="1"/>
  <c r="F1682" i="9" s="1"/>
  <c r="D1826" i="9" a="1"/>
  <c r="E1826" i="9" s="1"/>
  <c r="F1826" i="9" s="1"/>
  <c r="D1970" i="9" a="1"/>
  <c r="E1970" i="9" s="1"/>
  <c r="F1970" i="9" s="1"/>
  <c r="D1344" i="9" a="1"/>
  <c r="E1344" i="9" s="1"/>
  <c r="F1344" i="9" s="1"/>
  <c r="D1551" i="9" a="1"/>
  <c r="E1551" i="9" s="1"/>
  <c r="F1551" i="9" s="1"/>
  <c r="D1695" i="9" a="1"/>
  <c r="E1695" i="9" s="1"/>
  <c r="F1695" i="9" s="1"/>
  <c r="D1839" i="9" a="1"/>
  <c r="E1839" i="9" s="1"/>
  <c r="F1839" i="9" s="1"/>
  <c r="D1983" i="9" a="1"/>
  <c r="E1983" i="9" s="1"/>
  <c r="F1983" i="9" s="1"/>
  <c r="D1361" i="9" a="1"/>
  <c r="E1361" i="9" s="1"/>
  <c r="F1361" i="9" s="1"/>
  <c r="D1564" i="9" a="1"/>
  <c r="E1564" i="9" s="1"/>
  <c r="F1564" i="9" s="1"/>
  <c r="D1708" i="9" a="1"/>
  <c r="E1708" i="9" s="1"/>
  <c r="F1708" i="9" s="1"/>
  <c r="D1852" i="9" a="1"/>
  <c r="E1852" i="9" s="1"/>
  <c r="F1852" i="9" s="1"/>
  <c r="D1996" i="9" a="1"/>
  <c r="E1996" i="9" s="1"/>
  <c r="F1996" i="9" s="1"/>
  <c r="D1382" i="9" a="1"/>
  <c r="E1382" i="9" s="1"/>
  <c r="F1382" i="9" s="1"/>
  <c r="D1577" i="9" a="1"/>
  <c r="E1577" i="9" s="1"/>
  <c r="F1577" i="9" s="1"/>
  <c r="D1721" i="9" a="1"/>
  <c r="E1721" i="9" s="1"/>
  <c r="F1721" i="9" s="1"/>
  <c r="D1865" i="9" a="1"/>
  <c r="E1865" i="9" s="1"/>
  <c r="F1865" i="9" s="1"/>
  <c r="D2009" i="9" a="1"/>
  <c r="E2009" i="9" s="1"/>
  <c r="F2009" i="9" s="1"/>
  <c r="D1419" i="9" a="1"/>
  <c r="E1419" i="9" s="1"/>
  <c r="F1419" i="9" s="1"/>
  <c r="D1602" i="9" a="1"/>
  <c r="E1602" i="9" s="1"/>
  <c r="F1602" i="9" s="1"/>
  <c r="D1746" i="9" a="1"/>
  <c r="E1746" i="9" s="1"/>
  <c r="F1746" i="9" s="1"/>
  <c r="D1890" i="9" a="1"/>
  <c r="E1890" i="9" s="1"/>
  <c r="F1890" i="9" s="1"/>
  <c r="D2034" i="9" a="1"/>
  <c r="E2034" i="9" s="1"/>
  <c r="F2034" i="9" s="1"/>
  <c r="D2178" i="9" a="1"/>
  <c r="E2178" i="9" s="1"/>
  <c r="F2178" i="9" s="1"/>
  <c r="D2322" i="9" a="1"/>
  <c r="E2322" i="9" s="1"/>
  <c r="F2322" i="9" s="1"/>
  <c r="D1404" i="9" a="1"/>
  <c r="E1404" i="9" s="1"/>
  <c r="F1404" i="9" s="1"/>
  <c r="D1591" i="9" a="1"/>
  <c r="E1591" i="9" s="1"/>
  <c r="F1591" i="9" s="1"/>
  <c r="D1735" i="9" a="1"/>
  <c r="E1735" i="9" s="1"/>
  <c r="F1735" i="9" s="1"/>
  <c r="D1879" i="9" a="1"/>
  <c r="E1879" i="9" s="1"/>
  <c r="F1879" i="9" s="1"/>
  <c r="D1421" i="9" a="1"/>
  <c r="E1421" i="9" s="1"/>
  <c r="F1421" i="9" s="1"/>
  <c r="D1604" i="9" a="1"/>
  <c r="E1604" i="9" s="1"/>
  <c r="F1604" i="9" s="1"/>
  <c r="D1748" i="9" a="1"/>
  <c r="E1748" i="9" s="1"/>
  <c r="F1748" i="9" s="1"/>
  <c r="D1892" i="9" a="1"/>
  <c r="E1892" i="9" s="1"/>
  <c r="F1892" i="9" s="1"/>
  <c r="D2036" i="9" a="1"/>
  <c r="E2036" i="9" s="1"/>
  <c r="F2036" i="9" s="1"/>
  <c r="D2180" i="9" a="1"/>
  <c r="E2180" i="9" s="1"/>
  <c r="F2180" i="9" s="1"/>
  <c r="D1205" i="9" a="1"/>
  <c r="E1205" i="9" s="1"/>
  <c r="F1205" i="9" s="1"/>
  <c r="D1496" i="9" a="1"/>
  <c r="E1496" i="9" s="1"/>
  <c r="F1496" i="9" s="1"/>
  <c r="D1653" i="9" a="1"/>
  <c r="E1653" i="9" s="1"/>
  <c r="F1653" i="9" s="1"/>
  <c r="D1797" i="9" a="1"/>
  <c r="E1797" i="9" s="1"/>
  <c r="F1797" i="9" s="1"/>
  <c r="D2663" i="9" a="1"/>
  <c r="E2663" i="9" s="1"/>
  <c r="F2663" i="9" s="1"/>
  <c r="D2557" i="9" a="1"/>
  <c r="E2557" i="9" s="1"/>
  <c r="F2557" i="9" s="1"/>
  <c r="D2507" i="9" a="1"/>
  <c r="E2507" i="9" s="1"/>
  <c r="F2507" i="9" s="1"/>
  <c r="D2517" i="9" a="1"/>
  <c r="E2517" i="9" s="1"/>
  <c r="F2517" i="9" s="1"/>
  <c r="D2696" i="9" a="1"/>
  <c r="E2696" i="9" s="1"/>
  <c r="F2696" i="9" s="1"/>
  <c r="D2364" i="9" a="1"/>
  <c r="E2364" i="9" s="1"/>
  <c r="F2364" i="9" s="1"/>
  <c r="D2491" i="9" a="1"/>
  <c r="E2491" i="9" s="1"/>
  <c r="F2491" i="9" s="1"/>
  <c r="D2526" i="9" a="1"/>
  <c r="E2526" i="9" s="1"/>
  <c r="F2526" i="9" s="1"/>
  <c r="D2681" i="9" a="1"/>
  <c r="E2681" i="9" s="1"/>
  <c r="F2681" i="9" s="1"/>
  <c r="D2525" i="9" a="1"/>
  <c r="E2525" i="9" s="1"/>
  <c r="F2525" i="9" s="1"/>
  <c r="D2244" i="9" a="1"/>
  <c r="E2244" i="9" s="1"/>
  <c r="F2244" i="9" s="1"/>
  <c r="D2548" i="9" a="1"/>
  <c r="E2548" i="9" s="1"/>
  <c r="F2548" i="9" s="1"/>
  <c r="D2377" i="9" a="1"/>
  <c r="E2377" i="9" s="1"/>
  <c r="F2377" i="9" s="1"/>
  <c r="D2463" i="9" a="1"/>
  <c r="E2463" i="9" s="1"/>
  <c r="F2463" i="9" s="1"/>
  <c r="D2355" i="9" a="1"/>
  <c r="E2355" i="9" s="1"/>
  <c r="F2355" i="9" s="1"/>
  <c r="D2170" i="9" a="1"/>
  <c r="E2170" i="9" s="1"/>
  <c r="F2170" i="9" s="1"/>
  <c r="D2295" i="9" a="1"/>
  <c r="E2295" i="9" s="1"/>
  <c r="F2295" i="9" s="1"/>
  <c r="D2098" i="9" a="1"/>
  <c r="E2098" i="9" s="1"/>
  <c r="F2098" i="9" s="1"/>
  <c r="D2198" i="9" a="1"/>
  <c r="E2198" i="9" s="1"/>
  <c r="F2198" i="9" s="1"/>
  <c r="D2278" i="9" a="1"/>
  <c r="E2278" i="9" s="1"/>
  <c r="F2278" i="9" s="1"/>
  <c r="D2076" i="9" a="1"/>
  <c r="E2076" i="9" s="1"/>
  <c r="F2076" i="9" s="1"/>
  <c r="D2273" i="9" a="1"/>
  <c r="E2273" i="9" s="1"/>
  <c r="F2273" i="9" s="1"/>
  <c r="D2074" i="9" a="1"/>
  <c r="E2074" i="9" s="1"/>
  <c r="F2074" i="9" s="1"/>
  <c r="D2209" i="9" a="1"/>
  <c r="E2209" i="9" s="1"/>
  <c r="F2209" i="9" s="1"/>
  <c r="D2374" i="9" a="1"/>
  <c r="E2374" i="9" s="1"/>
  <c r="F2374" i="9" s="1"/>
  <c r="D2191" i="9" a="1"/>
  <c r="E2191" i="9" s="1"/>
  <c r="F2191" i="9" s="1"/>
  <c r="D2318" i="9" a="1"/>
  <c r="E2318" i="9" s="1"/>
  <c r="F2318" i="9" s="1"/>
  <c r="D2123" i="9" a="1"/>
  <c r="E2123" i="9" s="1"/>
  <c r="F2123" i="9" s="1"/>
  <c r="D2206" i="9" a="1"/>
  <c r="E2206" i="9" s="1"/>
  <c r="F2206" i="9" s="1"/>
  <c r="D2407" i="9" a="1"/>
  <c r="E2407" i="9" s="1"/>
  <c r="F2407" i="9" s="1"/>
  <c r="D2235" i="9" a="1"/>
  <c r="E2235" i="9" s="1"/>
  <c r="F2235" i="9" s="1"/>
  <c r="D2430" i="9" a="1"/>
  <c r="E2430" i="9" s="1"/>
  <c r="F2430" i="9" s="1"/>
  <c r="D2267" i="9" a="1"/>
  <c r="E2267" i="9" s="1"/>
  <c r="F2267" i="9" s="1"/>
  <c r="D2059" i="9" a="1"/>
  <c r="E2059" i="9" s="1"/>
  <c r="F2059" i="9" s="1"/>
  <c r="D1341" i="9" a="1"/>
  <c r="E1341" i="9" s="1"/>
  <c r="F1341" i="9" s="1"/>
  <c r="D1550" i="9" a="1"/>
  <c r="E1550" i="9" s="1"/>
  <c r="F1550" i="9" s="1"/>
  <c r="D1694" i="9" a="1"/>
  <c r="E1694" i="9" s="1"/>
  <c r="F1694" i="9" s="1"/>
  <c r="D1838" i="9" a="1"/>
  <c r="E1838" i="9" s="1"/>
  <c r="F1838" i="9" s="1"/>
  <c r="D1982" i="9" a="1"/>
  <c r="E1982" i="9" s="1"/>
  <c r="F1982" i="9" s="1"/>
  <c r="D1360" i="9" a="1"/>
  <c r="E1360" i="9" s="1"/>
  <c r="F1360" i="9" s="1"/>
  <c r="D1563" i="9" a="1"/>
  <c r="E1563" i="9" s="1"/>
  <c r="F1563" i="9" s="1"/>
  <c r="D1707" i="9" a="1"/>
  <c r="E1707" i="9" s="1"/>
  <c r="F1707" i="9" s="1"/>
  <c r="D1851" i="9" a="1"/>
  <c r="E1851" i="9" s="1"/>
  <c r="F1851" i="9" s="1"/>
  <c r="D1995" i="9" a="1"/>
  <c r="E1995" i="9" s="1"/>
  <c r="F1995" i="9" s="1"/>
  <c r="D1381" i="9" a="1"/>
  <c r="E1381" i="9" s="1"/>
  <c r="F1381" i="9" s="1"/>
  <c r="D1576" i="9" a="1"/>
  <c r="E1576" i="9" s="1"/>
  <c r="F1576" i="9" s="1"/>
  <c r="D1720" i="9" a="1"/>
  <c r="E1720" i="9" s="1"/>
  <c r="F1720" i="9" s="1"/>
  <c r="D1864" i="9" a="1"/>
  <c r="E1864" i="9" s="1"/>
  <c r="F1864" i="9" s="1"/>
  <c r="D2008" i="9" a="1"/>
  <c r="E2008" i="9" s="1"/>
  <c r="F2008" i="9" s="1"/>
  <c r="D1508" i="9" a="1"/>
  <c r="E1508" i="9" s="1"/>
  <c r="F1508" i="9" s="1"/>
  <c r="D1589" i="9" a="1"/>
  <c r="E1589" i="9" s="1"/>
  <c r="F1589" i="9" s="1"/>
  <c r="D1733" i="9" a="1"/>
  <c r="E1733" i="9" s="1"/>
  <c r="F1733" i="9" s="1"/>
  <c r="D1877" i="9" a="1"/>
  <c r="E1877" i="9" s="1"/>
  <c r="F1877" i="9" s="1"/>
  <c r="D2021" i="9" a="1"/>
  <c r="E2021" i="9" s="1"/>
  <c r="F2021" i="9" s="1"/>
  <c r="D1437" i="9" a="1"/>
  <c r="E1437" i="9" s="1"/>
  <c r="F1437" i="9" s="1"/>
  <c r="D1614" i="9" a="1"/>
  <c r="E1614" i="9" s="1"/>
  <c r="F1614" i="9" s="1"/>
  <c r="D1758" i="9" a="1"/>
  <c r="E1758" i="9" s="1"/>
  <c r="F1758" i="9" s="1"/>
  <c r="D1902" i="9" a="1"/>
  <c r="E1902" i="9" s="1"/>
  <c r="F1902" i="9" s="1"/>
  <c r="D2046" i="9" a="1"/>
  <c r="E2046" i="9" s="1"/>
  <c r="F2046" i="9" s="1"/>
  <c r="D2190" i="9" a="1"/>
  <c r="E2190" i="9" s="1"/>
  <c r="F2190" i="9" s="1"/>
  <c r="D2334" i="9" a="1"/>
  <c r="E2334" i="9" s="1"/>
  <c r="F2334" i="9" s="1"/>
  <c r="D1420" i="9" a="1"/>
  <c r="E1420" i="9" s="1"/>
  <c r="F1420" i="9" s="1"/>
  <c r="D1603" i="9" a="1"/>
  <c r="E1603" i="9" s="1"/>
  <c r="F1603" i="9" s="1"/>
  <c r="D1747" i="9" a="1"/>
  <c r="E1747" i="9" s="1"/>
  <c r="F1747" i="9" s="1"/>
  <c r="D1891" i="9" a="1"/>
  <c r="E1891" i="9" s="1"/>
  <c r="F1891" i="9" s="1"/>
  <c r="D1441" i="9" a="1"/>
  <c r="E1441" i="9" s="1"/>
  <c r="F1441" i="9" s="1"/>
  <c r="D1724" i="9" a="1"/>
  <c r="E1724" i="9" s="1"/>
  <c r="F1724" i="9" s="1"/>
  <c r="D2444" i="9" a="1"/>
  <c r="E2444" i="9" s="1"/>
  <c r="F2444" i="9" s="1"/>
  <c r="D1904" i="9" a="1"/>
  <c r="E1904" i="9" s="1"/>
  <c r="F1904" i="9" s="1"/>
  <c r="D2012" i="9" a="1"/>
  <c r="E2012" i="9" s="1"/>
  <c r="F2012" i="9" s="1"/>
  <c r="D2192" i="9" a="1"/>
  <c r="E2192" i="9" s="1"/>
  <c r="F2192" i="9" s="1"/>
  <c r="D1298" i="9" a="1"/>
  <c r="E1298" i="9" s="1"/>
  <c r="F1298" i="9" s="1"/>
  <c r="D1513" i="9" a="1"/>
  <c r="E1513" i="9" s="1"/>
  <c r="F1513" i="9" s="1"/>
  <c r="D2592" i="9" a="1"/>
  <c r="E2592" i="9" s="1"/>
  <c r="F2592" i="9" s="1"/>
  <c r="D2423" i="9" a="1"/>
  <c r="E2423" i="9" s="1"/>
  <c r="F2423" i="9" s="1"/>
  <c r="D2483" i="9" a="1"/>
  <c r="E2483" i="9" s="1"/>
  <c r="F2483" i="9" s="1"/>
  <c r="D2493" i="9" a="1"/>
  <c r="E2493" i="9" s="1"/>
  <c r="F2493" i="9" s="1"/>
  <c r="D2564" i="9" a="1"/>
  <c r="E2564" i="9" s="1"/>
  <c r="F2564" i="9" s="1"/>
  <c r="D2292" i="9" a="1"/>
  <c r="E2292" i="9" s="1"/>
  <c r="F2292" i="9" s="1"/>
  <c r="D2479" i="9" a="1"/>
  <c r="E2479" i="9" s="1"/>
  <c r="F2479" i="9" s="1"/>
  <c r="D2502" i="9" a="1"/>
  <c r="E2502" i="9" s="1"/>
  <c r="F2502" i="9" s="1"/>
  <c r="D2669" i="9" a="1"/>
  <c r="E2669" i="9" s="1"/>
  <c r="F2669" i="9" s="1"/>
  <c r="D2513" i="9" a="1"/>
  <c r="E2513" i="9" s="1"/>
  <c r="F2513" i="9" s="1"/>
  <c r="D2692" i="9" a="1"/>
  <c r="E2692" i="9" s="1"/>
  <c r="F2692" i="9" s="1"/>
  <c r="D2536" i="9" a="1"/>
  <c r="E2536" i="9" s="1"/>
  <c r="F2536" i="9" s="1"/>
  <c r="D2351" i="9" a="1"/>
  <c r="E2351" i="9" s="1"/>
  <c r="F2351" i="9" s="1"/>
  <c r="D2439" i="9" a="1"/>
  <c r="E2439" i="9" s="1"/>
  <c r="F2439" i="9" s="1"/>
  <c r="D2342" i="9" a="1"/>
  <c r="E2342" i="9" s="1"/>
  <c r="F2342" i="9" s="1"/>
  <c r="D2152" i="9" a="1"/>
  <c r="E2152" i="9" s="1"/>
  <c r="F2152" i="9" s="1"/>
  <c r="D2280" i="9" a="1"/>
  <c r="E2280" i="9" s="1"/>
  <c r="F2280" i="9" s="1"/>
  <c r="D2079" i="9" a="1"/>
  <c r="E2079" i="9" s="1"/>
  <c r="F2079" i="9" s="1"/>
  <c r="D2183" i="9" a="1"/>
  <c r="E2183" i="9" s="1"/>
  <c r="F2183" i="9" s="1"/>
  <c r="D2260" i="9" a="1"/>
  <c r="E2260" i="9" s="1"/>
  <c r="F2260" i="9" s="1"/>
  <c r="D2039" i="9" a="1"/>
  <c r="E2039" i="9" s="1"/>
  <c r="F2039" i="9" s="1"/>
  <c r="D2258" i="9" a="1"/>
  <c r="E2258" i="9" s="1"/>
  <c r="F2258" i="9" s="1"/>
  <c r="D2035" i="9" a="1"/>
  <c r="E2035" i="9" s="1"/>
  <c r="F2035" i="9" s="1"/>
  <c r="D2194" i="9" a="1"/>
  <c r="E2194" i="9" s="1"/>
  <c r="F2194" i="9" s="1"/>
  <c r="D2361" i="9" a="1"/>
  <c r="E2361" i="9" s="1"/>
  <c r="F2361" i="9" s="1"/>
  <c r="D2175" i="9" a="1"/>
  <c r="E2175" i="9" s="1"/>
  <c r="F2175" i="9" s="1"/>
  <c r="D2303" i="9" a="1"/>
  <c r="E2303" i="9" s="1"/>
  <c r="F2303" i="9" s="1"/>
  <c r="D2104" i="9" a="1"/>
  <c r="E2104" i="9" s="1"/>
  <c r="F2104" i="9" s="1"/>
  <c r="D2188" i="9" a="1"/>
  <c r="E2188" i="9" s="1"/>
  <c r="F2188" i="9" s="1"/>
  <c r="D2395" i="9" a="1"/>
  <c r="E2395" i="9" s="1"/>
  <c r="F2395" i="9" s="1"/>
  <c r="D2220" i="9" a="1"/>
  <c r="E2220" i="9" s="1"/>
  <c r="F2220" i="9" s="1"/>
  <c r="D2418" i="9" a="1"/>
  <c r="E2418" i="9" s="1"/>
  <c r="F2418" i="9" s="1"/>
  <c r="D2249" i="9" a="1"/>
  <c r="E2249" i="9" s="1"/>
  <c r="F2249" i="9" s="1"/>
  <c r="D1990" i="9" a="1"/>
  <c r="E1990" i="9" s="1"/>
  <c r="F1990" i="9" s="1"/>
  <c r="D1359" i="9" a="1"/>
  <c r="E1359" i="9" s="1"/>
  <c r="F1359" i="9" s="1"/>
  <c r="D1562" i="9" a="1"/>
  <c r="E1562" i="9" s="1"/>
  <c r="F1562" i="9" s="1"/>
  <c r="D1706" i="9" a="1"/>
  <c r="E1706" i="9" s="1"/>
  <c r="F1706" i="9" s="1"/>
  <c r="D1850" i="9" a="1"/>
  <c r="E1850" i="9" s="1"/>
  <c r="F1850" i="9" s="1"/>
  <c r="D1994" i="9" a="1"/>
  <c r="E1994" i="9" s="1"/>
  <c r="F1994" i="9" s="1"/>
  <c r="D1380" i="9" a="1"/>
  <c r="E1380" i="9" s="1"/>
  <c r="F1380" i="9" s="1"/>
  <c r="D1575" i="9" a="1"/>
  <c r="E1575" i="9" s="1"/>
  <c r="F1575" i="9" s="1"/>
  <c r="D1719" i="9" a="1"/>
  <c r="E1719" i="9" s="1"/>
  <c r="F1719" i="9" s="1"/>
  <c r="D1863" i="9" a="1"/>
  <c r="E1863" i="9" s="1"/>
  <c r="F1863" i="9" s="1"/>
  <c r="D2007" i="9" a="1"/>
  <c r="E2007" i="9" s="1"/>
  <c r="F2007" i="9" s="1"/>
  <c r="D1397" i="9" a="1"/>
  <c r="E1397" i="9" s="1"/>
  <c r="F1397" i="9" s="1"/>
  <c r="D1588" i="9" a="1"/>
  <c r="E1588" i="9" s="1"/>
  <c r="F1588" i="9" s="1"/>
  <c r="D1732" i="9" a="1"/>
  <c r="E1732" i="9" s="1"/>
  <c r="F1732" i="9" s="1"/>
  <c r="D1876" i="9" a="1"/>
  <c r="E1876" i="9" s="1"/>
  <c r="F1876" i="9" s="1"/>
  <c r="D2020" i="9" a="1"/>
  <c r="E2020" i="9" s="1"/>
  <c r="F2020" i="9" s="1"/>
  <c r="D1418" i="9" a="1"/>
  <c r="E1418" i="9" s="1"/>
  <c r="F1418" i="9" s="1"/>
  <c r="D1601" i="9" a="1"/>
  <c r="E1601" i="9" s="1"/>
  <c r="F1601" i="9" s="1"/>
  <c r="D1745" i="9" a="1"/>
  <c r="E1745" i="9" s="1"/>
  <c r="F1745" i="9" s="1"/>
  <c r="D1889" i="9" a="1"/>
  <c r="E1889" i="9" s="1"/>
  <c r="F1889" i="9" s="1"/>
  <c r="D2033" i="9" a="1"/>
  <c r="E2033" i="9" s="1"/>
  <c r="F2033" i="9" s="1"/>
  <c r="D1455" i="9" a="1"/>
  <c r="E1455" i="9" s="1"/>
  <c r="F1455" i="9" s="1"/>
  <c r="D1626" i="9" a="1"/>
  <c r="E1626" i="9" s="1"/>
  <c r="F1626" i="9" s="1"/>
  <c r="D1770" i="9" a="1"/>
  <c r="E1770" i="9" s="1"/>
  <c r="F1770" i="9" s="1"/>
  <c r="D1914" i="9" a="1"/>
  <c r="E1914" i="9" s="1"/>
  <c r="F1914" i="9" s="1"/>
  <c r="D2058" i="9" a="1"/>
  <c r="E2058" i="9" s="1"/>
  <c r="F2058" i="9" s="1"/>
  <c r="D2202" i="9" a="1"/>
  <c r="E2202" i="9" s="1"/>
  <c r="F2202" i="9" s="1"/>
  <c r="D2346" i="9" a="1"/>
  <c r="E2346" i="9" s="1"/>
  <c r="F2346" i="9" s="1"/>
  <c r="D1440" i="9" a="1"/>
  <c r="E1440" i="9" s="1"/>
  <c r="F1440" i="9" s="1"/>
  <c r="D1615" i="9" a="1"/>
  <c r="E1615" i="9" s="1"/>
  <c r="F1615" i="9" s="1"/>
  <c r="D1759" i="9" a="1"/>
  <c r="E1759" i="9" s="1"/>
  <c r="F1759" i="9" s="1"/>
  <c r="D1903" i="9" a="1"/>
  <c r="E1903" i="9" s="1"/>
  <c r="F1903" i="9" s="1"/>
  <c r="D1457" i="9" a="1"/>
  <c r="E1457" i="9" s="1"/>
  <c r="F1457" i="9" s="1"/>
  <c r="D1628" i="9" a="1"/>
  <c r="E1628" i="9" s="1"/>
  <c r="F1628" i="9" s="1"/>
  <c r="D1772" i="9" a="1"/>
  <c r="E1772" i="9" s="1"/>
  <c r="F1772" i="9" s="1"/>
  <c r="D1916" i="9" a="1"/>
  <c r="E1916" i="9" s="1"/>
  <c r="F1916" i="9" s="1"/>
  <c r="D2060" i="9" a="1"/>
  <c r="E2060" i="9" s="1"/>
  <c r="F2060" i="9" s="1"/>
  <c r="D2204" i="9" a="1"/>
  <c r="E2204" i="9" s="1"/>
  <c r="F2204" i="9" s="1"/>
  <c r="D1316" i="9" a="1"/>
  <c r="E1316" i="9" s="1"/>
  <c r="F1316" i="9" s="1"/>
  <c r="D1528" i="9" a="1"/>
  <c r="E1528" i="9" s="1"/>
  <c r="F1528" i="9" s="1"/>
  <c r="D2604" i="9" a="1"/>
  <c r="E2604" i="9" s="1"/>
  <c r="F2604" i="9" s="1"/>
  <c r="D2624" i="9" a="1"/>
  <c r="E2624" i="9" s="1"/>
  <c r="F2624" i="9" s="1"/>
  <c r="D2471" i="9" a="1"/>
  <c r="E2471" i="9" s="1"/>
  <c r="F2471" i="9" s="1"/>
  <c r="D2469" i="9" a="1"/>
  <c r="E2469" i="9" s="1"/>
  <c r="F2469" i="9" s="1"/>
  <c r="D2660" i="9" a="1"/>
  <c r="E2660" i="9" s="1"/>
  <c r="F2660" i="9" s="1"/>
  <c r="D2659" i="9" a="1"/>
  <c r="E2659" i="9" s="1"/>
  <c r="F2659" i="9" s="1"/>
  <c r="D2467" i="9" a="1"/>
  <c r="E2467" i="9" s="1"/>
  <c r="F2467" i="9" s="1"/>
  <c r="D2490" i="9" a="1"/>
  <c r="E2490" i="9" s="1"/>
  <c r="F2490" i="9" s="1"/>
  <c r="D2657" i="9" a="1"/>
  <c r="E2657" i="9" s="1"/>
  <c r="F2657" i="9" s="1"/>
  <c r="D2501" i="9" a="1"/>
  <c r="E2501" i="9" s="1"/>
  <c r="F2501" i="9" s="1"/>
  <c r="D2680" i="9" a="1"/>
  <c r="E2680" i="9" s="1"/>
  <c r="F2680" i="9" s="1"/>
  <c r="D2524" i="9" a="1"/>
  <c r="E2524" i="9" s="1"/>
  <c r="F2524" i="9" s="1"/>
  <c r="D2583" i="9" a="1"/>
  <c r="E2583" i="9" s="1"/>
  <c r="F2583" i="9" s="1"/>
  <c r="D2425" i="9" a="1"/>
  <c r="E2425" i="9" s="1"/>
  <c r="F2425" i="9" s="1"/>
  <c r="D2328" i="9" a="1"/>
  <c r="E2328" i="9" s="1"/>
  <c r="F2328" i="9" s="1"/>
  <c r="D2135" i="9" a="1"/>
  <c r="E2135" i="9" s="1"/>
  <c r="F2135" i="9" s="1"/>
  <c r="D2263" i="9" a="1"/>
  <c r="E2263" i="9" s="1"/>
  <c r="F2263" i="9" s="1"/>
  <c r="D2050" i="9" a="1"/>
  <c r="E2050" i="9" s="1"/>
  <c r="F2050" i="9" s="1"/>
  <c r="D2165" i="9" a="1"/>
  <c r="E2165" i="9" s="1"/>
  <c r="F2165" i="9" s="1"/>
  <c r="D2245" i="9" a="1"/>
  <c r="E2245" i="9" s="1"/>
  <c r="F2245" i="9" s="1"/>
  <c r="D2412" i="9" a="1"/>
  <c r="E2412" i="9" s="1"/>
  <c r="F2412" i="9" s="1"/>
  <c r="D2243" i="9" a="1"/>
  <c r="E2243" i="9" s="1"/>
  <c r="F2243" i="9" s="1"/>
  <c r="D2362" i="9" a="1"/>
  <c r="E2362" i="9" s="1"/>
  <c r="F2362" i="9" s="1"/>
  <c r="D2176" i="9" a="1"/>
  <c r="E2176" i="9" s="1"/>
  <c r="F2176" i="9" s="1"/>
  <c r="D2348" i="9" a="1"/>
  <c r="E2348" i="9" s="1"/>
  <c r="F2348" i="9" s="1"/>
  <c r="D2160" i="9" a="1"/>
  <c r="E2160" i="9" s="1"/>
  <c r="F2160" i="9" s="1"/>
  <c r="D2285" i="9" a="1"/>
  <c r="E2285" i="9" s="1"/>
  <c r="F2285" i="9" s="1"/>
  <c r="D2087" i="9" a="1"/>
  <c r="E2087" i="9" s="1"/>
  <c r="F2087" i="9" s="1"/>
  <c r="D2173" i="9" a="1"/>
  <c r="E2173" i="9" s="1"/>
  <c r="F2173" i="9" s="1"/>
  <c r="D2383" i="9" a="1"/>
  <c r="E2383" i="9" s="1"/>
  <c r="F2383" i="9" s="1"/>
  <c r="D2203" i="9" a="1"/>
  <c r="E2203" i="9" s="1"/>
  <c r="F2203" i="9" s="1"/>
  <c r="D2406" i="9" a="1"/>
  <c r="E2406" i="9" s="1"/>
  <c r="F2406" i="9" s="1"/>
  <c r="D2234" i="9" a="1"/>
  <c r="E2234" i="9" s="1"/>
  <c r="F2234" i="9" s="1"/>
  <c r="D1955" i="9" a="1"/>
  <c r="E1955" i="9" s="1"/>
  <c r="F1955" i="9" s="1"/>
  <c r="D1377" i="9" a="1"/>
  <c r="E1377" i="9" s="1"/>
  <c r="F1377" i="9" s="1"/>
  <c r="D1574" i="9" a="1"/>
  <c r="E1574" i="9" s="1"/>
  <c r="F1574" i="9" s="1"/>
  <c r="D1718" i="9" a="1"/>
  <c r="E1718" i="9" s="1"/>
  <c r="F1718" i="9" s="1"/>
  <c r="D1862" i="9" a="1"/>
  <c r="E1862" i="9" s="1"/>
  <c r="F1862" i="9" s="1"/>
  <c r="D2006" i="9" a="1"/>
  <c r="E2006" i="9" s="1"/>
  <c r="F2006" i="9" s="1"/>
  <c r="D1396" i="9" a="1"/>
  <c r="E1396" i="9" s="1"/>
  <c r="F1396" i="9" s="1"/>
  <c r="D1587" i="9" a="1"/>
  <c r="E1587" i="9" s="1"/>
  <c r="F1587" i="9" s="1"/>
  <c r="D1731" i="9" a="1"/>
  <c r="E1731" i="9" s="1"/>
  <c r="F1731" i="9" s="1"/>
  <c r="D1875" i="9" a="1"/>
  <c r="E1875" i="9" s="1"/>
  <c r="F1875" i="9" s="1"/>
  <c r="D2019" i="9" a="1"/>
  <c r="E2019" i="9" s="1"/>
  <c r="F2019" i="9" s="1"/>
  <c r="D1417" i="9" a="1"/>
  <c r="E1417" i="9" s="1"/>
  <c r="F1417" i="9" s="1"/>
  <c r="D1600" i="9" a="1"/>
  <c r="E1600" i="9" s="1"/>
  <c r="F1600" i="9" s="1"/>
  <c r="D1744" i="9" a="1"/>
  <c r="E1744" i="9" s="1"/>
  <c r="F1744" i="9" s="1"/>
  <c r="D1888" i="9" a="1"/>
  <c r="E1888" i="9" s="1"/>
  <c r="F1888" i="9" s="1"/>
  <c r="D2032" i="9" a="1"/>
  <c r="E2032" i="9" s="1"/>
  <c r="F2032" i="9" s="1"/>
  <c r="D1544" i="9" a="1"/>
  <c r="E1544" i="9" s="1"/>
  <c r="F1544" i="9" s="1"/>
  <c r="D1613" i="9" a="1"/>
  <c r="E1613" i="9" s="1"/>
  <c r="F1613" i="9" s="1"/>
  <c r="D1757" i="9" a="1"/>
  <c r="E1757" i="9" s="1"/>
  <c r="F1757" i="9" s="1"/>
  <c r="D1901" i="9" a="1"/>
  <c r="E1901" i="9" s="1"/>
  <c r="F1901" i="9" s="1"/>
  <c r="D2045" i="9" a="1"/>
  <c r="E2045" i="9" s="1"/>
  <c r="F2045" i="9" s="1"/>
  <c r="D1473" i="9" a="1"/>
  <c r="E1473" i="9" s="1"/>
  <c r="F1473" i="9" s="1"/>
  <c r="D1638" i="9" a="1"/>
  <c r="E1638" i="9" s="1"/>
  <c r="F1638" i="9" s="1"/>
  <c r="D1782" i="9" a="1"/>
  <c r="E1782" i="9" s="1"/>
  <c r="F1782" i="9" s="1"/>
  <c r="D1926" i="9" a="1"/>
  <c r="E1926" i="9" s="1"/>
  <c r="F1926" i="9" s="1"/>
  <c r="D2070" i="9" a="1"/>
  <c r="E2070" i="9" s="1"/>
  <c r="F2070" i="9" s="1"/>
  <c r="D2214" i="9" a="1"/>
  <c r="E2214" i="9" s="1"/>
  <c r="F2214" i="9" s="1"/>
  <c r="D2357" i="9" a="1"/>
  <c r="E2357" i="9" s="1"/>
  <c r="F2357" i="9" s="1"/>
  <c r="D1456" i="9" a="1"/>
  <c r="E1456" i="9" s="1"/>
  <c r="F1456" i="9" s="1"/>
  <c r="D1627" i="9" a="1"/>
  <c r="E1627" i="9" s="1"/>
  <c r="F1627" i="9" s="1"/>
  <c r="D1771" i="9" a="1"/>
  <c r="E1771" i="9" s="1"/>
  <c r="F1771" i="9" s="1"/>
  <c r="D1915" i="9" a="1"/>
  <c r="E1915" i="9" s="1"/>
  <c r="F1915" i="9" s="1"/>
  <c r="D1477" i="9" a="1"/>
  <c r="E1477" i="9" s="1"/>
  <c r="F1477" i="9" s="1"/>
  <c r="D1640" i="9" a="1"/>
  <c r="E1640" i="9" s="1"/>
  <c r="F1640" i="9" s="1"/>
  <c r="D1784" i="9" a="1"/>
  <c r="E1784" i="9" s="1"/>
  <c r="F1784" i="9" s="1"/>
  <c r="D1928" i="9" a="1"/>
  <c r="E1928" i="9" s="1"/>
  <c r="F1928" i="9" s="1"/>
  <c r="D2072" i="9" a="1"/>
  <c r="E2072" i="9" s="1"/>
  <c r="F2072" i="9" s="1"/>
  <c r="D2216" i="9" a="1"/>
  <c r="E2216" i="9" s="1"/>
  <c r="F2216" i="9" s="1"/>
  <c r="D2658" i="9" a="1"/>
  <c r="E2658" i="9" s="1"/>
  <c r="F2658" i="9" s="1"/>
  <c r="D2532" i="9" a="1"/>
  <c r="E2532" i="9" s="1"/>
  <c r="F2532" i="9" s="1"/>
  <c r="D2447" i="9" a="1"/>
  <c r="E2447" i="9" s="1"/>
  <c r="F2447" i="9" s="1"/>
  <c r="D2457" i="9" a="1"/>
  <c r="E2457" i="9" s="1"/>
  <c r="F2457" i="9" s="1"/>
  <c r="D2528" i="9" a="1"/>
  <c r="E2528" i="9" s="1"/>
  <c r="F2528" i="9" s="1"/>
  <c r="D2635" i="9" a="1"/>
  <c r="E2635" i="9" s="1"/>
  <c r="F2635" i="9" s="1"/>
  <c r="D2443" i="9" a="1"/>
  <c r="E2443" i="9" s="1"/>
  <c r="F2443" i="9" s="1"/>
  <c r="D2478" i="9" a="1"/>
  <c r="E2478" i="9" s="1"/>
  <c r="F2478" i="9" s="1"/>
  <c r="D2645" i="9" a="1"/>
  <c r="E2645" i="9" s="1"/>
  <c r="F2645" i="9" s="1"/>
  <c r="D2489" i="9" a="1"/>
  <c r="E2489" i="9" s="1"/>
  <c r="F2489" i="9" s="1"/>
  <c r="D2668" i="9" a="1"/>
  <c r="E2668" i="9" s="1"/>
  <c r="F2668" i="9" s="1"/>
  <c r="D2500" i="9" a="1"/>
  <c r="E2500" i="9" s="1"/>
  <c r="F2500" i="9" s="1"/>
  <c r="D2571" i="9" a="1"/>
  <c r="E2571" i="9" s="1"/>
  <c r="F2571" i="9" s="1"/>
  <c r="D394" i="9" a="1"/>
  <c r="E394" i="9" s="1"/>
  <c r="F394" i="9" s="1"/>
  <c r="D2314" i="9" a="1"/>
  <c r="E2314" i="9" s="1"/>
  <c r="F2314" i="9" s="1"/>
  <c r="D2116" i="9" a="1"/>
  <c r="E2116" i="9" s="1"/>
  <c r="F2116" i="9" s="1"/>
  <c r="D2247" i="9" a="1"/>
  <c r="E2247" i="9" s="1"/>
  <c r="F2247" i="9" s="1"/>
  <c r="D1931" i="9" a="1"/>
  <c r="E1931" i="9" s="1"/>
  <c r="F1931" i="9" s="1"/>
  <c r="D2150" i="9" a="1"/>
  <c r="E2150" i="9" s="1"/>
  <c r="F2150" i="9" s="1"/>
  <c r="D2230" i="9" a="1"/>
  <c r="E2230" i="9" s="1"/>
  <c r="F2230" i="9" s="1"/>
  <c r="D2400" i="9" a="1"/>
  <c r="E2400" i="9" s="1"/>
  <c r="F2400" i="9" s="1"/>
  <c r="D2225" i="9" a="1"/>
  <c r="E2225" i="9" s="1"/>
  <c r="F2225" i="9" s="1"/>
  <c r="D2349" i="9" a="1"/>
  <c r="E2349" i="9" s="1"/>
  <c r="F2349" i="9" s="1"/>
  <c r="D2161" i="9" a="1"/>
  <c r="E2161" i="9" s="1"/>
  <c r="F2161" i="9" s="1"/>
  <c r="D2333" i="9" a="1"/>
  <c r="E2333" i="9" s="1"/>
  <c r="F2333" i="9" s="1"/>
  <c r="D2141" i="9" a="1"/>
  <c r="E2141" i="9" s="1"/>
  <c r="F2141" i="9" s="1"/>
  <c r="D2270" i="9" a="1"/>
  <c r="E2270" i="9" s="1"/>
  <c r="F2270" i="9" s="1"/>
  <c r="D2064" i="9" a="1"/>
  <c r="E2064" i="9" s="1"/>
  <c r="F2064" i="9" s="1"/>
  <c r="D2158" i="9" a="1"/>
  <c r="E2158" i="9" s="1"/>
  <c r="F2158" i="9" s="1"/>
  <c r="D2371" i="9" a="1"/>
  <c r="E2371" i="9" s="1"/>
  <c r="F2371" i="9" s="1"/>
  <c r="D2187" i="9" a="1"/>
  <c r="E2187" i="9" s="1"/>
  <c r="F2187" i="9" s="1"/>
  <c r="D2394" i="9" a="1"/>
  <c r="E2394" i="9" s="1"/>
  <c r="F2394" i="9" s="1"/>
  <c r="D2219" i="9" a="1"/>
  <c r="E2219" i="9" s="1"/>
  <c r="F2219" i="9" s="1"/>
  <c r="D1847" i="9" a="1"/>
  <c r="E1847" i="9" s="1"/>
  <c r="F1847" i="9" s="1"/>
  <c r="D1395" i="9" a="1"/>
  <c r="E1395" i="9" s="1"/>
  <c r="F1395" i="9" s="1"/>
  <c r="D1586" i="9" a="1"/>
  <c r="E1586" i="9" s="1"/>
  <c r="F1586" i="9" s="1"/>
  <c r="D1730" i="9" a="1"/>
  <c r="E1730" i="9" s="1"/>
  <c r="F1730" i="9" s="1"/>
  <c r="D1874" i="9" a="1"/>
  <c r="E1874" i="9" s="1"/>
  <c r="F1874" i="9" s="1"/>
  <c r="D2018" i="9" a="1"/>
  <c r="E2018" i="9" s="1"/>
  <c r="F2018" i="9" s="1"/>
  <c r="D1416" i="9" a="1"/>
  <c r="E1416" i="9" s="1"/>
  <c r="F1416" i="9" s="1"/>
  <c r="D1599" i="9" a="1"/>
  <c r="E1599" i="9" s="1"/>
  <c r="F1599" i="9" s="1"/>
  <c r="D1743" i="9" a="1"/>
  <c r="E1743" i="9" s="1"/>
  <c r="F1743" i="9" s="1"/>
  <c r="D1887" i="9" a="1"/>
  <c r="E1887" i="9" s="1"/>
  <c r="F1887" i="9" s="1"/>
  <c r="D2031" i="9" a="1"/>
  <c r="E2031" i="9" s="1"/>
  <c r="F2031" i="9" s="1"/>
  <c r="D1433" i="9" a="1"/>
  <c r="E1433" i="9" s="1"/>
  <c r="F1433" i="9" s="1"/>
  <c r="D1612" i="9" a="1"/>
  <c r="E1612" i="9" s="1"/>
  <c r="F1612" i="9" s="1"/>
  <c r="D1756" i="9" a="1"/>
  <c r="E1756" i="9" s="1"/>
  <c r="F1756" i="9" s="1"/>
  <c r="D1900" i="9" a="1"/>
  <c r="E1900" i="9" s="1"/>
  <c r="F1900" i="9" s="1"/>
  <c r="D2044" i="9" a="1"/>
  <c r="E2044" i="9" s="1"/>
  <c r="F2044" i="9" s="1"/>
  <c r="D1454" i="9" a="1"/>
  <c r="E1454" i="9" s="1"/>
  <c r="F1454" i="9" s="1"/>
  <c r="D1625" i="9" a="1"/>
  <c r="E1625" i="9" s="1"/>
  <c r="F1625" i="9" s="1"/>
  <c r="D1769" i="9" a="1"/>
  <c r="E1769" i="9" s="1"/>
  <c r="F1769" i="9" s="1"/>
  <c r="D1913" i="9" a="1"/>
  <c r="E1913" i="9" s="1"/>
  <c r="F1913" i="9" s="1"/>
  <c r="D2057" i="9" a="1"/>
  <c r="E2057" i="9" s="1"/>
  <c r="F2057" i="9" s="1"/>
  <c r="D1491" i="9" a="1"/>
  <c r="E1491" i="9" s="1"/>
  <c r="F1491" i="9" s="1"/>
  <c r="D1650" i="9" a="1"/>
  <c r="E1650" i="9" s="1"/>
  <c r="F1650" i="9" s="1"/>
  <c r="D1794" i="9" a="1"/>
  <c r="E1794" i="9" s="1"/>
  <c r="F1794" i="9" s="1"/>
  <c r="D1938" i="9" a="1"/>
  <c r="E1938" i="9" s="1"/>
  <c r="F1938" i="9" s="1"/>
  <c r="D2082" i="9" a="1"/>
  <c r="E2082" i="9" s="1"/>
  <c r="F2082" i="9" s="1"/>
  <c r="D2226" i="9" a="1"/>
  <c r="E2226" i="9" s="1"/>
  <c r="F2226" i="9" s="1"/>
  <c r="D2369" i="9" a="1"/>
  <c r="E2369" i="9" s="1"/>
  <c r="F2369" i="9" s="1"/>
  <c r="D1476" i="9" a="1"/>
  <c r="E1476" i="9" s="1"/>
  <c r="F1476" i="9" s="1"/>
  <c r="D1639" i="9" a="1"/>
  <c r="E1639" i="9" s="1"/>
  <c r="F1639" i="9" s="1"/>
  <c r="D1783" i="9" a="1"/>
  <c r="E1783" i="9" s="1"/>
  <c r="F1783" i="9" s="1"/>
  <c r="D1178" i="9" a="1"/>
  <c r="E1178" i="9" s="1"/>
  <c r="F1178" i="9" s="1"/>
  <c r="D1493" i="9" a="1"/>
  <c r="E1493" i="9" s="1"/>
  <c r="F1493" i="9" s="1"/>
  <c r="D1760" i="9" a="1"/>
  <c r="E1760" i="9" s="1"/>
  <c r="F1760" i="9" s="1"/>
  <c r="D2480" i="9" a="1"/>
  <c r="E2480" i="9" s="1"/>
  <c r="F2480" i="9" s="1"/>
  <c r="D1940" i="9" a="1"/>
  <c r="E1940" i="9" s="1"/>
  <c r="F1940" i="9" s="1"/>
  <c r="D2717" i="9" a="1"/>
  <c r="E2717" i="9" s="1"/>
  <c r="F2717" i="9" s="1"/>
  <c r="D2593" i="9" a="1"/>
  <c r="E2593" i="9" s="1"/>
  <c r="F2593" i="9" s="1"/>
  <c r="D2472" i="9" a="1"/>
  <c r="E2472" i="9" s="1"/>
  <c r="F2472" i="9" s="1"/>
  <c r="D2435" i="9" a="1"/>
  <c r="E2435" i="9" s="1"/>
  <c r="F2435" i="9" s="1"/>
  <c r="D2445" i="9" a="1"/>
  <c r="E2445" i="9" s="1"/>
  <c r="F2445" i="9" s="1"/>
  <c r="D2588" i="9" a="1"/>
  <c r="E2588" i="9" s="1"/>
  <c r="F2588" i="9" s="1"/>
  <c r="D2623" i="9" a="1"/>
  <c r="E2623" i="9" s="1"/>
  <c r="F2623" i="9" s="1"/>
  <c r="D2429" i="9" a="1"/>
  <c r="E2429" i="9" s="1"/>
  <c r="F2429" i="9" s="1"/>
  <c r="D2466" i="9" a="1"/>
  <c r="E2466" i="9" s="1"/>
  <c r="F2466" i="9" s="1"/>
  <c r="D2633" i="9" a="1"/>
  <c r="E2633" i="9" s="1"/>
  <c r="F2633" i="9" s="1"/>
  <c r="D2477" i="9" a="1"/>
  <c r="E2477" i="9" s="1"/>
  <c r="F2477" i="9" s="1"/>
  <c r="D2644" i="9" a="1"/>
  <c r="E2644" i="9" s="1"/>
  <c r="F2644" i="9" s="1"/>
  <c r="D2488" i="9" a="1"/>
  <c r="E2488" i="9" s="1"/>
  <c r="F2488" i="9" s="1"/>
  <c r="D2559" i="9" a="1"/>
  <c r="E2559" i="9" s="1"/>
  <c r="F2559" i="9" s="1"/>
  <c r="D2392" i="9" a="1"/>
  <c r="E2392" i="9" s="1"/>
  <c r="F2392" i="9" s="1"/>
  <c r="D2296" i="9" a="1"/>
  <c r="E2296" i="9" s="1"/>
  <c r="F2296" i="9" s="1"/>
  <c r="D2099" i="9" a="1"/>
  <c r="E2099" i="9" s="1"/>
  <c r="F2099" i="9" s="1"/>
  <c r="D2232" i="9" a="1"/>
  <c r="E2232" i="9" s="1"/>
  <c r="F2232" i="9" s="1"/>
  <c r="D2326" i="9" a="1"/>
  <c r="E2326" i="9" s="1"/>
  <c r="F2326" i="9" s="1"/>
  <c r="D2131" i="9" a="1"/>
  <c r="E2131" i="9" s="1"/>
  <c r="F2131" i="9" s="1"/>
  <c r="D2212" i="9" a="1"/>
  <c r="E2212" i="9" s="1"/>
  <c r="F2212" i="9" s="1"/>
  <c r="D2388" i="9" a="1"/>
  <c r="E2388" i="9" s="1"/>
  <c r="F2388" i="9" s="1"/>
  <c r="D2210" i="9" a="1"/>
  <c r="E2210" i="9" s="1"/>
  <c r="F2210" i="9" s="1"/>
  <c r="D2335" i="9" a="1"/>
  <c r="E2335" i="9" s="1"/>
  <c r="F2335" i="9" s="1"/>
  <c r="D2143" i="9" a="1"/>
  <c r="E2143" i="9" s="1"/>
  <c r="F2143" i="9" s="1"/>
  <c r="D2319" i="9" a="1"/>
  <c r="E2319" i="9" s="1"/>
  <c r="F2319" i="9" s="1"/>
  <c r="D2124" i="9" a="1"/>
  <c r="E2124" i="9" s="1"/>
  <c r="F2124" i="9" s="1"/>
  <c r="D2255" i="9" a="1"/>
  <c r="E2255" i="9" s="1"/>
  <c r="F2255" i="9" s="1"/>
  <c r="D2011" i="9" a="1"/>
  <c r="E2011" i="9" s="1"/>
  <c r="F2011" i="9" s="1"/>
  <c r="D2139" i="9" a="1"/>
  <c r="E2139" i="9" s="1"/>
  <c r="F2139" i="9" s="1"/>
  <c r="D2358" i="9" a="1"/>
  <c r="E2358" i="9" s="1"/>
  <c r="F2358" i="9" s="1"/>
  <c r="D2172" i="9" a="1"/>
  <c r="E2172" i="9" s="1"/>
  <c r="F2172" i="9" s="1"/>
  <c r="D2382" i="9" a="1"/>
  <c r="E2382" i="9" s="1"/>
  <c r="F2382" i="9" s="1"/>
  <c r="D2201" i="9" a="1"/>
  <c r="E2201" i="9" s="1"/>
  <c r="F2201" i="9" s="1"/>
  <c r="D1951" i="9" a="1"/>
  <c r="E1951" i="9" s="1"/>
  <c r="F1951" i="9" s="1"/>
  <c r="D1413" i="9" a="1"/>
  <c r="E1413" i="9" s="1"/>
  <c r="F1413" i="9" s="1"/>
  <c r="D1598" i="9" a="1"/>
  <c r="E1598" i="9" s="1"/>
  <c r="F1598" i="9" s="1"/>
  <c r="D1742" i="9" a="1"/>
  <c r="E1742" i="9" s="1"/>
  <c r="F1742" i="9" s="1"/>
  <c r="D1886" i="9" a="1"/>
  <c r="E1886" i="9" s="1"/>
  <c r="F1886" i="9" s="1"/>
  <c r="D2030" i="9" a="1"/>
  <c r="E2030" i="9" s="1"/>
  <c r="F2030" i="9" s="1"/>
  <c r="D1432" i="9" a="1"/>
  <c r="E1432" i="9" s="1"/>
  <c r="F1432" i="9" s="1"/>
  <c r="D1611" i="9" a="1"/>
  <c r="E1611" i="9" s="1"/>
  <c r="F1611" i="9" s="1"/>
  <c r="D1755" i="9" a="1"/>
  <c r="E1755" i="9" s="1"/>
  <c r="F1755" i="9" s="1"/>
  <c r="D1899" i="9" a="1"/>
  <c r="E1899" i="9" s="1"/>
  <c r="F1899" i="9" s="1"/>
  <c r="D2043" i="9" a="1"/>
  <c r="E2043" i="9" s="1"/>
  <c r="F2043" i="9" s="1"/>
  <c r="D1453" i="9" a="1"/>
  <c r="E1453" i="9" s="1"/>
  <c r="F1453" i="9" s="1"/>
  <c r="D1624" i="9" a="1"/>
  <c r="E1624" i="9" s="1"/>
  <c r="F1624" i="9" s="1"/>
  <c r="D1768" i="9" a="1"/>
  <c r="E1768" i="9" s="1"/>
  <c r="F1768" i="9" s="1"/>
  <c r="D1912" i="9" a="1"/>
  <c r="E1912" i="9" s="1"/>
  <c r="F1912" i="9" s="1"/>
  <c r="D2056" i="9" a="1"/>
  <c r="E2056" i="9" s="1"/>
  <c r="F2056" i="9" s="1"/>
  <c r="D1580" i="9" a="1"/>
  <c r="E1580" i="9" s="1"/>
  <c r="F1580" i="9" s="1"/>
  <c r="D1637" i="9" a="1"/>
  <c r="E1637" i="9" s="1"/>
  <c r="F1637" i="9" s="1"/>
  <c r="D1781" i="9" a="1"/>
  <c r="E1781" i="9" s="1"/>
  <c r="F1781" i="9" s="1"/>
  <c r="D1925" i="9" a="1"/>
  <c r="E1925" i="9" s="1"/>
  <c r="F1925" i="9" s="1"/>
  <c r="D1400" i="9" a="1"/>
  <c r="E1400" i="9" s="1"/>
  <c r="F1400" i="9" s="1"/>
  <c r="D1509" i="9" a="1"/>
  <c r="E1509" i="9" s="1"/>
  <c r="F1509" i="9" s="1"/>
  <c r="D1662" i="9" a="1"/>
  <c r="E1662" i="9" s="1"/>
  <c r="F1662" i="9" s="1"/>
  <c r="D1806" i="9" a="1"/>
  <c r="E1806" i="9" s="1"/>
  <c r="F1806" i="9" s="1"/>
  <c r="D1950" i="9" a="1"/>
  <c r="E1950" i="9" s="1"/>
  <c r="F1950" i="9" s="1"/>
  <c r="D2094" i="9" a="1"/>
  <c r="E2094" i="9" s="1"/>
  <c r="F2094" i="9" s="1"/>
  <c r="D2238" i="9" a="1"/>
  <c r="E2238" i="9" s="1"/>
  <c r="F2238" i="9" s="1"/>
  <c r="D1069" i="9" a="1"/>
  <c r="E1069" i="9" s="1"/>
  <c r="F1069" i="9" s="1"/>
  <c r="D1492" i="9" a="1"/>
  <c r="E1492" i="9" s="1"/>
  <c r="F1492" i="9" s="1"/>
  <c r="D1651" i="9" a="1"/>
  <c r="E1651" i="9" s="1"/>
  <c r="F1651" i="9" s="1"/>
  <c r="D2574" i="9" a="1"/>
  <c r="E2574" i="9" s="1"/>
  <c r="F2574" i="9" s="1"/>
  <c r="D2725" i="9" a="1"/>
  <c r="E2725" i="9" s="1"/>
  <c r="F2725" i="9" s="1"/>
  <c r="D2460" i="9" a="1"/>
  <c r="E2460" i="9" s="1"/>
  <c r="F2460" i="9" s="1"/>
  <c r="D2404" i="9" a="1"/>
  <c r="E2404" i="9" s="1"/>
  <c r="F2404" i="9" s="1"/>
  <c r="D2417" i="9" a="1"/>
  <c r="E2417" i="9" s="1"/>
  <c r="F2417" i="9" s="1"/>
  <c r="D2492" i="9" a="1"/>
  <c r="E2492" i="9" s="1"/>
  <c r="F2492" i="9" s="1"/>
  <c r="D2611" i="9" a="1"/>
  <c r="E2611" i="9" s="1"/>
  <c r="F2611" i="9" s="1"/>
  <c r="D2415" i="9" a="1"/>
  <c r="E2415" i="9" s="1"/>
  <c r="F2415" i="9" s="1"/>
  <c r="D2454" i="9" a="1"/>
  <c r="E2454" i="9" s="1"/>
  <c r="F2454" i="9" s="1"/>
  <c r="D2621" i="9" a="1"/>
  <c r="E2621" i="9" s="1"/>
  <c r="F2621" i="9" s="1"/>
  <c r="D2465" i="9" a="1"/>
  <c r="E2465" i="9" s="1"/>
  <c r="F2465" i="9" s="1"/>
  <c r="D2632" i="9" a="1"/>
  <c r="E2632" i="9" s="1"/>
  <c r="F2632" i="9" s="1"/>
  <c r="D2476" i="9" a="1"/>
  <c r="E2476" i="9" s="1"/>
  <c r="F2476" i="9" s="1"/>
  <c r="D2547" i="9" a="1"/>
  <c r="E2547" i="9" s="1"/>
  <c r="F2547" i="9" s="1"/>
  <c r="D2375" i="9" a="1"/>
  <c r="E2375" i="9" s="1"/>
  <c r="F2375" i="9" s="1"/>
  <c r="D2281" i="9" a="1"/>
  <c r="E2281" i="9" s="1"/>
  <c r="F2281" i="9" s="1"/>
  <c r="D2080" i="9" a="1"/>
  <c r="E2080" i="9" s="1"/>
  <c r="F2080" i="9" s="1"/>
  <c r="D2215" i="9" a="1"/>
  <c r="E2215" i="9" s="1"/>
  <c r="F2215" i="9" s="1"/>
  <c r="D2309" i="9" a="1"/>
  <c r="E2309" i="9" s="1"/>
  <c r="F2309" i="9" s="1"/>
  <c r="D2114" i="9" a="1"/>
  <c r="E2114" i="9" s="1"/>
  <c r="F2114" i="9" s="1"/>
  <c r="D2197" i="9" a="1"/>
  <c r="E2197" i="9" s="1"/>
  <c r="F2197" i="9" s="1"/>
  <c r="D2376" i="9" a="1"/>
  <c r="E2376" i="9" s="1"/>
  <c r="F2376" i="9" s="1"/>
  <c r="D2195" i="9" a="1"/>
  <c r="E2195" i="9" s="1"/>
  <c r="F2195" i="9" s="1"/>
  <c r="D2320" i="9" a="1"/>
  <c r="E2320" i="9" s="1"/>
  <c r="F2320" i="9" s="1"/>
  <c r="D2126" i="9" a="1"/>
  <c r="E2126" i="9" s="1"/>
  <c r="F2126" i="9" s="1"/>
  <c r="D2304" i="9" a="1"/>
  <c r="E2304" i="9" s="1"/>
  <c r="F2304" i="9" s="1"/>
  <c r="D2105" i="9" a="1"/>
  <c r="E2105" i="9" s="1"/>
  <c r="F2105" i="9" s="1"/>
  <c r="D2237" i="9" a="1"/>
  <c r="E2237" i="9" s="1"/>
  <c r="F2237" i="9" s="1"/>
  <c r="D2317" i="9" a="1"/>
  <c r="E2317" i="9" s="1"/>
  <c r="F2317" i="9" s="1"/>
  <c r="D2590" i="9" a="1"/>
  <c r="E2590" i="9" s="1"/>
  <c r="F2590" i="9" s="1"/>
  <c r="D2344" i="9" a="1"/>
  <c r="E2344" i="9" s="1"/>
  <c r="F2344" i="9" s="1"/>
  <c r="D2155" i="9" a="1"/>
  <c r="E2155" i="9" s="1"/>
  <c r="F2155" i="9" s="1"/>
  <c r="D2370" i="9" a="1"/>
  <c r="E2370" i="9" s="1"/>
  <c r="F2370" i="9" s="1"/>
  <c r="D2186" i="9" a="1"/>
  <c r="E2186" i="9" s="1"/>
  <c r="F2186" i="9" s="1"/>
  <c r="D1835" i="9" a="1"/>
  <c r="E1835" i="9" s="1"/>
  <c r="F1835" i="9" s="1"/>
  <c r="D1431" i="9" a="1"/>
  <c r="E1431" i="9" s="1"/>
  <c r="F1431" i="9" s="1"/>
  <c r="D1610" i="9" a="1"/>
  <c r="E1610" i="9" s="1"/>
  <c r="F1610" i="9" s="1"/>
  <c r="D1754" i="9" a="1"/>
  <c r="E1754" i="9" s="1"/>
  <c r="F1754" i="9" s="1"/>
  <c r="D1898" i="9" a="1"/>
  <c r="E1898" i="9" s="1"/>
  <c r="F1898" i="9" s="1"/>
  <c r="D2042" i="9" a="1"/>
  <c r="E2042" i="9" s="1"/>
  <c r="F2042" i="9" s="1"/>
  <c r="D1452" i="9" a="1"/>
  <c r="E1452" i="9" s="1"/>
  <c r="F1452" i="9" s="1"/>
  <c r="D1623" i="9" a="1"/>
  <c r="E1623" i="9" s="1"/>
  <c r="F1623" i="9" s="1"/>
  <c r="D1767" i="9" a="1"/>
  <c r="E1767" i="9" s="1"/>
  <c r="F1767" i="9" s="1"/>
  <c r="D1911" i="9" a="1"/>
  <c r="E1911" i="9" s="1"/>
  <c r="F1911" i="9" s="1"/>
  <c r="D2055" i="9" a="1"/>
  <c r="E2055" i="9" s="1"/>
  <c r="F2055" i="9" s="1"/>
  <c r="D1469" i="9" a="1"/>
  <c r="E1469" i="9" s="1"/>
  <c r="F1469" i="9" s="1"/>
  <c r="D1636" i="9" a="1"/>
  <c r="E1636" i="9" s="1"/>
  <c r="F1636" i="9" s="1"/>
  <c r="D1780" i="9" a="1"/>
  <c r="E1780" i="9" s="1"/>
  <c r="F1780" i="9" s="1"/>
  <c r="D1924" i="9" a="1"/>
  <c r="E1924" i="9" s="1"/>
  <c r="F1924" i="9" s="1"/>
  <c r="D2068" i="9" a="1"/>
  <c r="E2068" i="9" s="1"/>
  <c r="F2068" i="9" s="1"/>
  <c r="D1490" i="9" a="1"/>
  <c r="E1490" i="9" s="1"/>
  <c r="F1490" i="9" s="1"/>
  <c r="D1649" i="9" a="1"/>
  <c r="E1649" i="9" s="1"/>
  <c r="F1649" i="9" s="1"/>
  <c r="D1793" i="9" a="1"/>
  <c r="E1793" i="9" s="1"/>
  <c r="F1793" i="9" s="1"/>
  <c r="D1937" i="9" a="1"/>
  <c r="E1937" i="9" s="1"/>
  <c r="F1937" i="9" s="1"/>
  <c r="D1311" i="9" a="1"/>
  <c r="E1311" i="9" s="1"/>
  <c r="F1311" i="9" s="1"/>
  <c r="D1525" i="9" a="1"/>
  <c r="E1525" i="9" s="1"/>
  <c r="F1525" i="9" s="1"/>
  <c r="D1674" i="9" a="1"/>
  <c r="E1674" i="9" s="1"/>
  <c r="F1674" i="9" s="1"/>
  <c r="D1818" i="9" a="1"/>
  <c r="E1818" i="9" s="1"/>
  <c r="F1818" i="9" s="1"/>
  <c r="D1962" i="9" a="1"/>
  <c r="E1962" i="9" s="1"/>
  <c r="F1962" i="9" s="1"/>
  <c r="D2106" i="9" a="1"/>
  <c r="E2106" i="9" s="1"/>
  <c r="F2106" i="9" s="1"/>
  <c r="D2250" i="9" a="1"/>
  <c r="E2250" i="9" s="1"/>
  <c r="F2250" i="9" s="1"/>
  <c r="D1795" i="9" a="1"/>
  <c r="E1795" i="9" s="1"/>
  <c r="F1795" i="9" s="1"/>
  <c r="D2084" i="9" a="1"/>
  <c r="E2084" i="9" s="1"/>
  <c r="F2084" i="9" s="1"/>
  <c r="D1569" i="9" a="1"/>
  <c r="E1569" i="9" s="1"/>
  <c r="F1569" i="9" s="1"/>
  <c r="D1821" i="9" a="1"/>
  <c r="E1821" i="9" s="1"/>
  <c r="F1821" i="9" s="1"/>
  <c r="D2001" i="9" a="1"/>
  <c r="E2001" i="9" s="1"/>
  <c r="F2001" i="9" s="1"/>
  <c r="D2181" i="9" a="1"/>
  <c r="E2181" i="9" s="1"/>
  <c r="F2181" i="9" s="1"/>
  <c r="D1317" i="9" a="1"/>
  <c r="E1317" i="9" s="1"/>
  <c r="F1317" i="9" s="1"/>
  <c r="D827" i="9" a="1"/>
  <c r="E827" i="9" s="1"/>
  <c r="F827" i="9" s="1"/>
  <c r="D1702" i="9" a="1"/>
  <c r="E1702" i="9" s="1"/>
  <c r="F1702" i="9" s="1"/>
  <c r="D1858" i="9" a="1"/>
  <c r="E1858" i="9" s="1"/>
  <c r="F1858" i="9" s="1"/>
  <c r="D1336" i="9" a="1"/>
  <c r="E1336" i="9" s="1"/>
  <c r="F1336" i="9" s="1"/>
  <c r="D1559" i="9" a="1"/>
  <c r="E1559" i="9" s="1"/>
  <c r="F1559" i="9" s="1"/>
  <c r="D1715" i="9" a="1"/>
  <c r="E1715" i="9" s="1"/>
  <c r="F1715" i="9" s="1"/>
  <c r="D1321" i="9" a="1"/>
  <c r="E1321" i="9" s="1"/>
  <c r="F1321" i="9" s="1"/>
  <c r="D1533" i="9" a="1"/>
  <c r="E1533" i="9" s="1"/>
  <c r="F1533" i="9" s="1"/>
  <c r="D1680" i="9" a="1"/>
  <c r="E1680" i="9" s="1"/>
  <c r="F1680" i="9" s="1"/>
  <c r="D1824" i="9" a="1"/>
  <c r="E1824" i="9" s="1"/>
  <c r="F1824" i="9" s="1"/>
  <c r="D1968" i="9" a="1"/>
  <c r="E1968" i="9" s="1"/>
  <c r="F1968" i="9" s="1"/>
  <c r="D1358" i="9" a="1"/>
  <c r="E1358" i="9" s="1"/>
  <c r="F1358" i="9" s="1"/>
  <c r="D1561" i="9" a="1"/>
  <c r="E1561" i="9" s="1"/>
  <c r="F1561" i="9" s="1"/>
  <c r="D1705" i="9" a="1"/>
  <c r="E1705" i="9" s="1"/>
  <c r="F1705" i="9" s="1"/>
  <c r="D1849" i="9" a="1"/>
  <c r="E1849" i="9" s="1"/>
  <c r="F1849" i="9" s="1"/>
  <c r="D1993" i="9" a="1"/>
  <c r="E1993" i="9" s="1"/>
  <c r="F1993" i="9" s="1"/>
  <c r="D2137" i="9" a="1"/>
  <c r="E2137" i="9" s="1"/>
  <c r="F2137" i="9" s="1"/>
  <c r="D1967" i="9" a="1"/>
  <c r="E1967" i="9" s="1"/>
  <c r="F1967" i="9" s="1"/>
  <c r="D1244" i="9" a="1"/>
  <c r="E1244" i="9" s="1"/>
  <c r="F1244" i="9" s="1"/>
  <c r="D1181" i="9" a="1"/>
  <c r="E1181" i="9" s="1"/>
  <c r="F1181" i="9" s="1"/>
  <c r="D1177" i="9" a="1"/>
  <c r="E1177" i="9" s="1"/>
  <c r="F1177" i="9" s="1"/>
  <c r="D671" i="9" a="1"/>
  <c r="E671" i="9" s="1"/>
  <c r="F671" i="9" s="1"/>
  <c r="D795" i="9" a="1"/>
  <c r="E795" i="9" s="1"/>
  <c r="F795" i="9" s="1"/>
  <c r="D938" i="9" a="1"/>
  <c r="E938" i="9" s="1"/>
  <c r="F938" i="9" s="1"/>
  <c r="D1082" i="9" a="1"/>
  <c r="E1082" i="9" s="1"/>
  <c r="F1082" i="9" s="1"/>
  <c r="D644" i="9" a="1"/>
  <c r="E644" i="9" s="1"/>
  <c r="F644" i="9" s="1"/>
  <c r="D880" i="9" a="1"/>
  <c r="E880" i="9" s="1"/>
  <c r="F880" i="9" s="1"/>
  <c r="D1023" i="9" a="1"/>
  <c r="E1023" i="9" s="1"/>
  <c r="F1023" i="9" s="1"/>
  <c r="D1167" i="9" a="1"/>
  <c r="E1167" i="9" s="1"/>
  <c r="F1167" i="9" s="1"/>
  <c r="D552" i="9" a="1"/>
  <c r="E552" i="9" s="1"/>
  <c r="F552" i="9" s="1"/>
  <c r="D869" i="9" a="1"/>
  <c r="E869" i="9" s="1"/>
  <c r="F869" i="9" s="1"/>
  <c r="D1012" i="9" a="1"/>
  <c r="E1012" i="9" s="1"/>
  <c r="F1012" i="9" s="1"/>
  <c r="D1156" i="9" a="1"/>
  <c r="E1156" i="9" s="1"/>
  <c r="F1156" i="9" s="1"/>
  <c r="D675" i="9" a="1"/>
  <c r="E675" i="9" s="1"/>
  <c r="F675" i="9" s="1"/>
  <c r="D798" i="9" a="1"/>
  <c r="E798" i="9" s="1"/>
  <c r="F798" i="9" s="1"/>
  <c r="D941" i="9" a="1"/>
  <c r="E941" i="9" s="1"/>
  <c r="F941" i="9" s="1"/>
  <c r="D1085" i="9" a="1"/>
  <c r="E1085" i="9" s="1"/>
  <c r="F1085" i="9" s="1"/>
  <c r="D579" i="9" a="1"/>
  <c r="E579" i="9" s="1"/>
  <c r="F579" i="9" s="1"/>
  <c r="D766" i="9" a="1"/>
  <c r="E766" i="9" s="1"/>
  <c r="F766" i="9" s="1"/>
  <c r="D883" i="9" a="1"/>
  <c r="E883" i="9" s="1"/>
  <c r="F883" i="9" s="1"/>
  <c r="D1026" i="9" a="1"/>
  <c r="E1026" i="9" s="1"/>
  <c r="F1026" i="9" s="1"/>
  <c r="D1170" i="9" a="1"/>
  <c r="E1170" i="9" s="1"/>
  <c r="F1170" i="9" s="1"/>
  <c r="D1314" i="9" a="1"/>
  <c r="E1314" i="9" s="1"/>
  <c r="F1314" i="9" s="1"/>
  <c r="D1458" i="9" a="1"/>
  <c r="E1458" i="9" s="1"/>
  <c r="F1458" i="9" s="1"/>
  <c r="D557" i="9" a="1"/>
  <c r="E557" i="9" s="1"/>
  <c r="F557" i="9" s="1"/>
  <c r="D760" i="9" a="1"/>
  <c r="E760" i="9" s="1"/>
  <c r="F760" i="9" s="1"/>
  <c r="D872" i="9" a="1"/>
  <c r="E872" i="9" s="1"/>
  <c r="F872" i="9" s="1"/>
  <c r="D1015" i="9" a="1"/>
  <c r="E1015" i="9" s="1"/>
  <c r="F1015" i="9" s="1"/>
  <c r="D1159" i="9" a="1"/>
  <c r="E1159" i="9" s="1"/>
  <c r="F1159" i="9" s="1"/>
  <c r="D1303" i="9" a="1"/>
  <c r="E1303" i="9" s="1"/>
  <c r="F1303" i="9" s="1"/>
  <c r="D1447" i="9" a="1"/>
  <c r="E1447" i="9" s="1"/>
  <c r="F1447" i="9" s="1"/>
  <c r="D535" i="9" a="1"/>
  <c r="E535" i="9" s="1"/>
  <c r="F535" i="9" s="1"/>
  <c r="D750" i="9" a="1"/>
  <c r="E750" i="9" s="1"/>
  <c r="F750" i="9" s="1"/>
  <c r="D968" i="9" a="1"/>
  <c r="E968" i="9" s="1"/>
  <c r="F968" i="9" s="1"/>
  <c r="D1807" i="9" a="1"/>
  <c r="E1807" i="9" s="1"/>
  <c r="F1807" i="9" s="1"/>
  <c r="D2096" i="9" a="1"/>
  <c r="E2096" i="9" s="1"/>
  <c r="F2096" i="9" s="1"/>
  <c r="D1581" i="9" a="1"/>
  <c r="E1581" i="9" s="1"/>
  <c r="F1581" i="9" s="1"/>
  <c r="D1833" i="9" a="1"/>
  <c r="E1833" i="9" s="1"/>
  <c r="F1833" i="9" s="1"/>
  <c r="D2013" i="9" a="1"/>
  <c r="E2013" i="9" s="1"/>
  <c r="F2013" i="9" s="1"/>
  <c r="D2205" i="9" a="1"/>
  <c r="E2205" i="9" s="1"/>
  <c r="F2205" i="9" s="1"/>
  <c r="D1335" i="9" a="1"/>
  <c r="E1335" i="9" s="1"/>
  <c r="F1335" i="9" s="1"/>
  <c r="D1558" i="9" a="1"/>
  <c r="E1558" i="9" s="1"/>
  <c r="F1558" i="9" s="1"/>
  <c r="D1714" i="9" a="1"/>
  <c r="E1714" i="9" s="1"/>
  <c r="F1714" i="9" s="1"/>
  <c r="D1870" i="9" a="1"/>
  <c r="E1870" i="9" s="1"/>
  <c r="F1870" i="9" s="1"/>
  <c r="D1356" i="9" a="1"/>
  <c r="E1356" i="9" s="1"/>
  <c r="F1356" i="9" s="1"/>
  <c r="D1571" i="9" a="1"/>
  <c r="E1571" i="9" s="1"/>
  <c r="F1571" i="9" s="1"/>
  <c r="D1727" i="9" a="1"/>
  <c r="E1727" i="9" s="1"/>
  <c r="F1727" i="9" s="1"/>
  <c r="D1337" i="9" a="1"/>
  <c r="E1337" i="9" s="1"/>
  <c r="F1337" i="9" s="1"/>
  <c r="D1548" i="9" a="1"/>
  <c r="E1548" i="9" s="1"/>
  <c r="F1548" i="9" s="1"/>
  <c r="D1692" i="9" a="1"/>
  <c r="E1692" i="9" s="1"/>
  <c r="F1692" i="9" s="1"/>
  <c r="D1836" i="9" a="1"/>
  <c r="E1836" i="9" s="1"/>
  <c r="F1836" i="9" s="1"/>
  <c r="D1980" i="9" a="1"/>
  <c r="E1980" i="9" s="1"/>
  <c r="F1980" i="9" s="1"/>
  <c r="D1376" i="9" a="1"/>
  <c r="E1376" i="9" s="1"/>
  <c r="F1376" i="9" s="1"/>
  <c r="D1573" i="9" a="1"/>
  <c r="E1573" i="9" s="1"/>
  <c r="F1573" i="9" s="1"/>
  <c r="D1717" i="9" a="1"/>
  <c r="E1717" i="9" s="1"/>
  <c r="F1717" i="9" s="1"/>
  <c r="D1861" i="9" a="1"/>
  <c r="E1861" i="9" s="1"/>
  <c r="F1861" i="9" s="1"/>
  <c r="D2005" i="9" a="1"/>
  <c r="E2005" i="9" s="1"/>
  <c r="F2005" i="9" s="1"/>
  <c r="D2149" i="9" a="1"/>
  <c r="E2149" i="9" s="1"/>
  <c r="F2149" i="9" s="1"/>
  <c r="D1871" i="9" a="1"/>
  <c r="E1871" i="9" s="1"/>
  <c r="F1871" i="9" s="1"/>
  <c r="D1216" i="9" a="1"/>
  <c r="E1216" i="9" s="1"/>
  <c r="F1216" i="9" s="1"/>
  <c r="D1093" i="9" a="1"/>
  <c r="E1093" i="9" s="1"/>
  <c r="F1093" i="9" s="1"/>
  <c r="D1057" i="9" a="1"/>
  <c r="E1057" i="9" s="1"/>
  <c r="F1057" i="9" s="1"/>
  <c r="D685" i="9" a="1"/>
  <c r="E685" i="9" s="1"/>
  <c r="F685" i="9" s="1"/>
  <c r="D807" i="9" a="1"/>
  <c r="E807" i="9" s="1"/>
  <c r="F807" i="9" s="1"/>
  <c r="D950" i="9" a="1"/>
  <c r="E950" i="9" s="1"/>
  <c r="F950" i="9" s="1"/>
  <c r="D1094" i="9" a="1"/>
  <c r="E1094" i="9" s="1"/>
  <c r="F1094" i="9" s="1"/>
  <c r="D597" i="9" a="1"/>
  <c r="E597" i="9" s="1"/>
  <c r="F597" i="9" s="1"/>
  <c r="D892" i="9" a="1"/>
  <c r="E892" i="9" s="1"/>
  <c r="F892" i="9" s="1"/>
  <c r="D1035" i="9" a="1"/>
  <c r="E1035" i="9" s="1"/>
  <c r="F1035" i="9" s="1"/>
  <c r="D1179" i="9" a="1"/>
  <c r="E1179" i="9" s="1"/>
  <c r="F1179" i="9" s="1"/>
  <c r="D573" i="9" a="1"/>
  <c r="E573" i="9" s="1"/>
  <c r="F573" i="9" s="1"/>
  <c r="D765" i="9" a="1"/>
  <c r="E765" i="9" s="1"/>
  <c r="F765" i="9" s="1"/>
  <c r="D881" i="9" a="1"/>
  <c r="E881" i="9" s="1"/>
  <c r="F881" i="9" s="1"/>
  <c r="D1024" i="9" a="1"/>
  <c r="E1024" i="9" s="1"/>
  <c r="F1024" i="9" s="1"/>
  <c r="D1168" i="9" a="1"/>
  <c r="E1168" i="9" s="1"/>
  <c r="F1168" i="9" s="1"/>
  <c r="D690" i="9" a="1"/>
  <c r="E690" i="9" s="1"/>
  <c r="F690" i="9" s="1"/>
  <c r="D810" i="9" a="1"/>
  <c r="E810" i="9" s="1"/>
  <c r="F810" i="9" s="1"/>
  <c r="D953" i="9" a="1"/>
  <c r="E953" i="9" s="1"/>
  <c r="F953" i="9" s="1"/>
  <c r="D1097" i="9" a="1"/>
  <c r="E1097" i="9" s="1"/>
  <c r="F1097" i="9" s="1"/>
  <c r="D601" i="9" a="1"/>
  <c r="E601" i="9" s="1"/>
  <c r="F601" i="9" s="1"/>
  <c r="D772" i="9" a="1"/>
  <c r="E772" i="9" s="1"/>
  <c r="F772" i="9" s="1"/>
  <c r="D895" i="9" a="1"/>
  <c r="E895" i="9" s="1"/>
  <c r="F895" i="9" s="1"/>
  <c r="D1038" i="9" a="1"/>
  <c r="E1038" i="9" s="1"/>
  <c r="F1038" i="9" s="1"/>
  <c r="D1182" i="9" a="1"/>
  <c r="E1182" i="9" s="1"/>
  <c r="F1182" i="9" s="1"/>
  <c r="D1326" i="9" a="1"/>
  <c r="E1326" i="9" s="1"/>
  <c r="F1326" i="9" s="1"/>
  <c r="D1470" i="9" a="1"/>
  <c r="E1470" i="9" s="1"/>
  <c r="F1470" i="9" s="1"/>
  <c r="D581" i="9" a="1"/>
  <c r="E581" i="9" s="1"/>
  <c r="F581" i="9" s="1"/>
  <c r="D884" i="9" a="1"/>
  <c r="E884" i="9" s="1"/>
  <c r="F884" i="9" s="1"/>
  <c r="D1027" i="9" a="1"/>
  <c r="E1027" i="9" s="1"/>
  <c r="F1027" i="9" s="1"/>
  <c r="D1171" i="9" a="1"/>
  <c r="E1171" i="9" s="1"/>
  <c r="F1171" i="9" s="1"/>
  <c r="D1315" i="9" a="1"/>
  <c r="E1315" i="9" s="1"/>
  <c r="F1315" i="9" s="1"/>
  <c r="D1459" i="9" a="1"/>
  <c r="E1459" i="9" s="1"/>
  <c r="F1459" i="9" s="1"/>
  <c r="D560" i="9" a="1"/>
  <c r="E560" i="9" s="1"/>
  <c r="F560" i="9" s="1"/>
  <c r="D761" i="9" a="1"/>
  <c r="E761" i="9" s="1"/>
  <c r="F761" i="9" s="1"/>
  <c r="D873" i="9" a="1"/>
  <c r="E873" i="9" s="1"/>
  <c r="F873" i="9" s="1"/>
  <c r="D1297" i="9" a="1"/>
  <c r="E1297" i="9" s="1"/>
  <c r="F1297" i="9" s="1"/>
  <c r="D2108" i="9" a="1"/>
  <c r="E2108" i="9" s="1"/>
  <c r="F2108" i="9" s="1"/>
  <c r="D1605" i="9" a="1"/>
  <c r="E1605" i="9" s="1"/>
  <c r="F1605" i="9" s="1"/>
  <c r="D1845" i="9" a="1"/>
  <c r="E1845" i="9" s="1"/>
  <c r="F1845" i="9" s="1"/>
  <c r="D2025" i="9" a="1"/>
  <c r="E2025" i="9" s="1"/>
  <c r="F2025" i="9" s="1"/>
  <c r="D2229" i="9" a="1"/>
  <c r="E2229" i="9" s="1"/>
  <c r="F2229" i="9" s="1"/>
  <c r="D1353" i="9" a="1"/>
  <c r="E1353" i="9" s="1"/>
  <c r="F1353" i="9" s="1"/>
  <c r="D1570" i="9" a="1"/>
  <c r="E1570" i="9" s="1"/>
  <c r="F1570" i="9" s="1"/>
  <c r="D2770" i="9" a="1"/>
  <c r="E2770" i="9" s="1"/>
  <c r="F2770" i="9" s="1"/>
  <c r="D1882" i="9" a="1"/>
  <c r="E1882" i="9" s="1"/>
  <c r="F1882" i="9" s="1"/>
  <c r="D1372" i="9" a="1"/>
  <c r="E1372" i="9" s="1"/>
  <c r="F1372" i="9" s="1"/>
  <c r="D1583" i="9" a="1"/>
  <c r="E1583" i="9" s="1"/>
  <c r="F1583" i="9" s="1"/>
  <c r="D1739" i="9" a="1"/>
  <c r="E1739" i="9" s="1"/>
  <c r="F1739" i="9" s="1"/>
  <c r="D1357" i="9" a="1"/>
  <c r="E1357" i="9" s="1"/>
  <c r="F1357" i="9" s="1"/>
  <c r="D1560" i="9" a="1"/>
  <c r="E1560" i="9" s="1"/>
  <c r="F1560" i="9" s="1"/>
  <c r="D1704" i="9" a="1"/>
  <c r="E1704" i="9" s="1"/>
  <c r="F1704" i="9" s="1"/>
  <c r="D1848" i="9" a="1"/>
  <c r="E1848" i="9" s="1"/>
  <c r="F1848" i="9" s="1"/>
  <c r="D1992" i="9" a="1"/>
  <c r="E1992" i="9" s="1"/>
  <c r="F1992" i="9" s="1"/>
  <c r="D1394" i="9" a="1"/>
  <c r="E1394" i="9" s="1"/>
  <c r="F1394" i="9" s="1"/>
  <c r="D1585" i="9" a="1"/>
  <c r="E1585" i="9" s="1"/>
  <c r="F1585" i="9" s="1"/>
  <c r="D1729" i="9" a="1"/>
  <c r="E1729" i="9" s="1"/>
  <c r="F1729" i="9" s="1"/>
  <c r="D1873" i="9" a="1"/>
  <c r="E1873" i="9" s="1"/>
  <c r="F1873" i="9" s="1"/>
  <c r="D2017" i="9" a="1"/>
  <c r="E2017" i="9" s="1"/>
  <c r="F2017" i="9" s="1"/>
  <c r="D1927" i="9" a="1"/>
  <c r="E1927" i="9" s="1"/>
  <c r="F1927" i="9" s="1"/>
  <c r="D2014" i="9" a="1"/>
  <c r="E2014" i="9" s="1"/>
  <c r="F2014" i="9" s="1"/>
  <c r="D1189" i="9" a="1"/>
  <c r="E1189" i="9" s="1"/>
  <c r="F1189" i="9" s="1"/>
  <c r="D182" i="9" a="1"/>
  <c r="E182" i="9" s="1"/>
  <c r="F182" i="9" s="1"/>
  <c r="D702" i="9" a="1"/>
  <c r="E702" i="9" s="1"/>
  <c r="F702" i="9" s="1"/>
  <c r="D819" i="9" a="1"/>
  <c r="E819" i="9" s="1"/>
  <c r="F819" i="9" s="1"/>
  <c r="D962" i="9" a="1"/>
  <c r="E962" i="9" s="1"/>
  <c r="F962" i="9" s="1"/>
  <c r="D1106" i="9" a="1"/>
  <c r="E1106" i="9" s="1"/>
  <c r="F1106" i="9" s="1"/>
  <c r="D618" i="9" a="1"/>
  <c r="E618" i="9" s="1"/>
  <c r="F618" i="9" s="1"/>
  <c r="D903" i="9" a="1"/>
  <c r="E903" i="9" s="1"/>
  <c r="F903" i="9" s="1"/>
  <c r="D1047" i="9" a="1"/>
  <c r="E1047" i="9" s="1"/>
  <c r="F1047" i="9" s="1"/>
  <c r="D1191" i="9" a="1"/>
  <c r="E1191" i="9" s="1"/>
  <c r="F1191" i="9" s="1"/>
  <c r="D599" i="9" a="1"/>
  <c r="E599" i="9" s="1"/>
  <c r="F599" i="9" s="1"/>
  <c r="D771" i="9" a="1"/>
  <c r="E771" i="9" s="1"/>
  <c r="F771" i="9" s="1"/>
  <c r="D893" i="9" a="1"/>
  <c r="E893" i="9" s="1"/>
  <c r="F893" i="9" s="1"/>
  <c r="D1036" i="9" a="1"/>
  <c r="E1036" i="9" s="1"/>
  <c r="F1036" i="9" s="1"/>
  <c r="D231" i="9" a="1"/>
  <c r="E231" i="9" s="1"/>
  <c r="F231" i="9" s="1"/>
  <c r="D707" i="9" a="1"/>
  <c r="E707" i="9" s="1"/>
  <c r="F707" i="9" s="1"/>
  <c r="D822" i="9" a="1"/>
  <c r="E822" i="9" s="1"/>
  <c r="F822" i="9" s="1"/>
  <c r="D965" i="9" a="1"/>
  <c r="E965" i="9" s="1"/>
  <c r="F965" i="9" s="1"/>
  <c r="D1109" i="9" a="1"/>
  <c r="E1109" i="9" s="1"/>
  <c r="F1109" i="9" s="1"/>
  <c r="D622" i="9" a="1"/>
  <c r="E622" i="9" s="1"/>
  <c r="F622" i="9" s="1"/>
  <c r="D778" i="9" a="1"/>
  <c r="E778" i="9" s="1"/>
  <c r="F778" i="9" s="1"/>
  <c r="D906" i="9" a="1"/>
  <c r="E906" i="9" s="1"/>
  <c r="F906" i="9" s="1"/>
  <c r="D1050" i="9" a="1"/>
  <c r="E1050" i="9" s="1"/>
  <c r="F1050" i="9" s="1"/>
  <c r="D1194" i="9" a="1"/>
  <c r="E1194" i="9" s="1"/>
  <c r="F1194" i="9" s="1"/>
  <c r="D1338" i="9" a="1"/>
  <c r="E1338" i="9" s="1"/>
  <c r="F1338" i="9" s="1"/>
  <c r="D1482" i="9" a="1"/>
  <c r="E1482" i="9" s="1"/>
  <c r="F1482" i="9" s="1"/>
  <c r="D603" i="9" a="1"/>
  <c r="E603" i="9" s="1"/>
  <c r="F603" i="9" s="1"/>
  <c r="D896" i="9" a="1"/>
  <c r="E896" i="9" s="1"/>
  <c r="F896" i="9" s="1"/>
  <c r="D1039" i="9" a="1"/>
  <c r="E1039" i="9" s="1"/>
  <c r="F1039" i="9" s="1"/>
  <c r="D1183" i="9" a="1"/>
  <c r="E1183" i="9" s="1"/>
  <c r="F1183" i="9" s="1"/>
  <c r="D1327" i="9" a="1"/>
  <c r="E1327" i="9" s="1"/>
  <c r="F1327" i="9" s="1"/>
  <c r="D1471" i="9" a="1"/>
  <c r="E1471" i="9" s="1"/>
  <c r="F1471" i="9" s="1"/>
  <c r="D582" i="9" a="1"/>
  <c r="E582" i="9" s="1"/>
  <c r="F582" i="9" s="1"/>
  <c r="D767" i="9" a="1"/>
  <c r="E767" i="9" s="1"/>
  <c r="F767" i="9" s="1"/>
  <c r="D885" i="9" a="1"/>
  <c r="E885" i="9" s="1"/>
  <c r="F885" i="9" s="1"/>
  <c r="D1028" i="9" a="1"/>
  <c r="E1028" i="9" s="1"/>
  <c r="F1028" i="9" s="1"/>
  <c r="D1172" i="9" a="1"/>
  <c r="E1172" i="9" s="1"/>
  <c r="F1172" i="9" s="1"/>
  <c r="D694" i="9" a="1"/>
  <c r="E694" i="9" s="1"/>
  <c r="F694" i="9" s="1"/>
  <c r="D814" i="9" a="1"/>
  <c r="E814" i="9" s="1"/>
  <c r="F814" i="9" s="1"/>
  <c r="D957" i="9" a="1"/>
  <c r="E957" i="9" s="1"/>
  <c r="F957" i="9" s="1"/>
  <c r="D1101" i="9" a="1"/>
  <c r="E1101" i="9" s="1"/>
  <c r="F1101" i="9" s="1"/>
  <c r="D1245" i="9" a="1"/>
  <c r="E1245" i="9" s="1"/>
  <c r="F1245" i="9" s="1"/>
  <c r="D681" i="9" a="1"/>
  <c r="E681" i="9" s="1"/>
  <c r="F681" i="9" s="1"/>
  <c r="D803" i="9" a="1"/>
  <c r="E803" i="9" s="1"/>
  <c r="F803" i="9" s="1"/>
  <c r="D946" i="9" a="1"/>
  <c r="E946" i="9" s="1"/>
  <c r="F946" i="9" s="1"/>
  <c r="D1090" i="9" a="1"/>
  <c r="E1090" i="9" s="1"/>
  <c r="F1090" i="9" s="1"/>
  <c r="D1234" i="9" a="1"/>
  <c r="E1234" i="9" s="1"/>
  <c r="F1234" i="9" s="1"/>
  <c r="D1378" i="9" a="1"/>
  <c r="E1378" i="9" s="1"/>
  <c r="F1378" i="9" s="1"/>
  <c r="D1522" i="9" a="1"/>
  <c r="E1522" i="9" s="1"/>
  <c r="F1522" i="9" s="1"/>
  <c r="D682" i="9" a="1"/>
  <c r="E682" i="9" s="1"/>
  <c r="F682" i="9" s="1"/>
  <c r="D804" i="9" a="1"/>
  <c r="E804" i="9" s="1"/>
  <c r="F804" i="9" s="1"/>
  <c r="D947" i="9" a="1"/>
  <c r="E947" i="9" s="1"/>
  <c r="F947" i="9" s="1"/>
  <c r="D1091" i="9" a="1"/>
  <c r="E1091" i="9" s="1"/>
  <c r="F1091" i="9" s="1"/>
  <c r="D1235" i="9" a="1"/>
  <c r="E1235" i="9" s="1"/>
  <c r="F1235" i="9" s="1"/>
  <c r="D1379" i="9" a="1"/>
  <c r="E1379" i="9" s="1"/>
  <c r="F1379" i="9" s="1"/>
  <c r="D299" i="9" a="1"/>
  <c r="E299" i="9" s="1"/>
  <c r="F299" i="9" s="1"/>
  <c r="D715" i="9" a="1"/>
  <c r="E715" i="9" s="1"/>
  <c r="F715" i="9" s="1"/>
  <c r="D829" i="9" a="1"/>
  <c r="E829" i="9" s="1"/>
  <c r="F829" i="9" s="1"/>
  <c r="D972" i="9" a="1"/>
  <c r="E972" i="9" s="1"/>
  <c r="F972" i="9" s="1"/>
  <c r="D1116" i="9" a="1"/>
  <c r="E1116" i="9" s="1"/>
  <c r="F1116" i="9" s="1"/>
  <c r="D1313" i="9" a="1"/>
  <c r="E1313" i="9" s="1"/>
  <c r="F1313" i="9" s="1"/>
  <c r="D2228" i="9" a="1"/>
  <c r="E2228" i="9" s="1"/>
  <c r="F2228" i="9" s="1"/>
  <c r="D1665" i="9" a="1"/>
  <c r="E1665" i="9" s="1"/>
  <c r="F1665" i="9" s="1"/>
  <c r="D1857" i="9" a="1"/>
  <c r="E1857" i="9" s="1"/>
  <c r="F1857" i="9" s="1"/>
  <c r="D2037" i="9" a="1"/>
  <c r="E2037" i="9" s="1"/>
  <c r="F2037" i="9" s="1"/>
  <c r="D2241" i="9" a="1"/>
  <c r="E2241" i="9" s="1"/>
  <c r="F2241" i="9" s="1"/>
  <c r="D1371" i="9" a="1"/>
  <c r="E1371" i="9" s="1"/>
  <c r="F1371" i="9" s="1"/>
  <c r="D1582" i="9" a="1"/>
  <c r="E1582" i="9" s="1"/>
  <c r="F1582" i="9" s="1"/>
  <c r="D1738" i="9" a="1"/>
  <c r="E1738" i="9" s="1"/>
  <c r="F1738" i="9" s="1"/>
  <c r="D1894" i="9" a="1"/>
  <c r="E1894" i="9" s="1"/>
  <c r="F1894" i="9" s="1"/>
  <c r="D1392" i="9" a="1"/>
  <c r="E1392" i="9" s="1"/>
  <c r="F1392" i="9" s="1"/>
  <c r="D1595" i="9" a="1"/>
  <c r="E1595" i="9" s="1"/>
  <c r="F1595" i="9" s="1"/>
  <c r="D1751" i="9" a="1"/>
  <c r="E1751" i="9" s="1"/>
  <c r="F1751" i="9" s="1"/>
  <c r="D1373" i="9" a="1"/>
  <c r="E1373" i="9" s="1"/>
  <c r="F1373" i="9" s="1"/>
  <c r="D1572" i="9" a="1"/>
  <c r="E1572" i="9" s="1"/>
  <c r="F1572" i="9" s="1"/>
  <c r="D1716" i="9" a="1"/>
  <c r="E1716" i="9" s="1"/>
  <c r="F1716" i="9" s="1"/>
  <c r="D1860" i="9" a="1"/>
  <c r="E1860" i="9" s="1"/>
  <c r="F1860" i="9" s="1"/>
  <c r="D2004" i="9" a="1"/>
  <c r="E2004" i="9" s="1"/>
  <c r="F2004" i="9" s="1"/>
  <c r="D1412" i="9" a="1"/>
  <c r="E1412" i="9" s="1"/>
  <c r="F1412" i="9" s="1"/>
  <c r="D1597" i="9" a="1"/>
  <c r="E1597" i="9" s="1"/>
  <c r="F1597" i="9" s="1"/>
  <c r="D1741" i="9" a="1"/>
  <c r="E1741" i="9" s="1"/>
  <c r="F1741" i="9" s="1"/>
  <c r="D1885" i="9" a="1"/>
  <c r="E1885" i="9" s="1"/>
  <c r="F1885" i="9" s="1"/>
  <c r="D2029" i="9" a="1"/>
  <c r="E2029" i="9" s="1"/>
  <c r="F2029" i="9" s="1"/>
  <c r="D1987" i="9" a="1"/>
  <c r="E1987" i="9" s="1"/>
  <c r="F1987" i="9" s="1"/>
  <c r="D1963" i="9" a="1"/>
  <c r="E1963" i="9" s="1"/>
  <c r="F1963" i="9" s="1"/>
  <c r="D1117" i="9" a="1"/>
  <c r="E1117" i="9" s="1"/>
  <c r="F1117" i="9" s="1"/>
  <c r="D1281" i="9" a="1"/>
  <c r="E1281" i="9" s="1"/>
  <c r="F1281" i="9" s="1"/>
  <c r="D323" i="9" a="1"/>
  <c r="E323" i="9" s="1"/>
  <c r="F323" i="9" s="1"/>
  <c r="D717" i="9" a="1"/>
  <c r="E717" i="9" s="1"/>
  <c r="F717" i="9" s="1"/>
  <c r="D831" i="9" a="1"/>
  <c r="E831" i="9" s="1"/>
  <c r="F831" i="9" s="1"/>
  <c r="D974" i="9" a="1"/>
  <c r="E974" i="9" s="1"/>
  <c r="F974" i="9" s="1"/>
  <c r="D1118" i="9" a="1"/>
  <c r="E1118" i="9" s="1"/>
  <c r="F1118" i="9" s="1"/>
  <c r="D637" i="9" a="1"/>
  <c r="E637" i="9" s="1"/>
  <c r="F637" i="9" s="1"/>
  <c r="D915" i="9" a="1"/>
  <c r="E915" i="9" s="1"/>
  <c r="F915" i="9" s="1"/>
  <c r="D1059" i="9" a="1"/>
  <c r="E1059" i="9" s="1"/>
  <c r="F1059" i="9" s="1"/>
  <c r="D1203" i="9" a="1"/>
  <c r="E1203" i="9" s="1"/>
  <c r="F1203" i="9" s="1"/>
  <c r="D619" i="9" a="1"/>
  <c r="E619" i="9" s="1"/>
  <c r="F619" i="9" s="1"/>
  <c r="D777" i="9" a="1"/>
  <c r="E777" i="9" s="1"/>
  <c r="F777" i="9" s="1"/>
  <c r="D904" i="9" a="1"/>
  <c r="E904" i="9" s="1"/>
  <c r="F904" i="9" s="1"/>
  <c r="D1048" i="9" a="1"/>
  <c r="E1048" i="9" s="1"/>
  <c r="F1048" i="9" s="1"/>
  <c r="D384" i="9" a="1"/>
  <c r="E384" i="9" s="1"/>
  <c r="F384" i="9" s="1"/>
  <c r="D720" i="9" a="1"/>
  <c r="E720" i="9" s="1"/>
  <c r="F720" i="9" s="1"/>
  <c r="D834" i="9" a="1"/>
  <c r="E834" i="9" s="1"/>
  <c r="F834" i="9" s="1"/>
  <c r="D977" i="9" a="1"/>
  <c r="E977" i="9" s="1"/>
  <c r="F977" i="9" s="1"/>
  <c r="D1121" i="9" a="1"/>
  <c r="E1121" i="9" s="1"/>
  <c r="F1121" i="9" s="1"/>
  <c r="D640" i="9" a="1"/>
  <c r="E640" i="9" s="1"/>
  <c r="F640" i="9" s="1"/>
  <c r="D784" i="9" a="1"/>
  <c r="E784" i="9" s="1"/>
  <c r="F784" i="9" s="1"/>
  <c r="D918" i="9" a="1"/>
  <c r="E918" i="9" s="1"/>
  <c r="F918" i="9" s="1"/>
  <c r="D1062" i="9" a="1"/>
  <c r="E1062" i="9" s="1"/>
  <c r="F1062" i="9" s="1"/>
  <c r="D1206" i="9" a="1"/>
  <c r="E1206" i="9" s="1"/>
  <c r="F1206" i="9" s="1"/>
  <c r="D1350" i="9" a="1"/>
  <c r="E1350" i="9" s="1"/>
  <c r="F1350" i="9" s="1"/>
  <c r="D1494" i="9" a="1"/>
  <c r="E1494" i="9" s="1"/>
  <c r="F1494" i="9" s="1"/>
  <c r="D625" i="9" a="1"/>
  <c r="E625" i="9" s="1"/>
  <c r="F625" i="9" s="1"/>
  <c r="D907" i="9" a="1"/>
  <c r="E907" i="9" s="1"/>
  <c r="F907" i="9" s="1"/>
  <c r="D1051" i="9" a="1"/>
  <c r="E1051" i="9" s="1"/>
  <c r="F1051" i="9" s="1"/>
  <c r="D1195" i="9" a="1"/>
  <c r="E1195" i="9" s="1"/>
  <c r="F1195" i="9" s="1"/>
  <c r="D1339" i="9" a="1"/>
  <c r="E1339" i="9" s="1"/>
  <c r="F1339" i="9" s="1"/>
  <c r="D1483" i="9" a="1"/>
  <c r="E1483" i="9" s="1"/>
  <c r="F1483" i="9" s="1"/>
  <c r="D606" i="9" a="1"/>
  <c r="E606" i="9" s="1"/>
  <c r="F606" i="9" s="1"/>
  <c r="D773" i="9" a="1"/>
  <c r="E773" i="9" s="1"/>
  <c r="F773" i="9" s="1"/>
  <c r="D1004" i="9" a="1"/>
  <c r="E1004" i="9" s="1"/>
  <c r="F1004" i="9" s="1"/>
  <c r="D1148" i="9" a="1"/>
  <c r="E1148" i="9" s="1"/>
  <c r="F1148" i="9" s="1"/>
  <c r="D271" i="9" a="1"/>
  <c r="E271" i="9" s="1"/>
  <c r="F271" i="9" s="1"/>
  <c r="D711" i="9" a="1"/>
  <c r="E711" i="9" s="1"/>
  <c r="F711" i="9" s="1"/>
  <c r="D826" i="9" a="1"/>
  <c r="E826" i="9" s="1"/>
  <c r="F826" i="9" s="1"/>
  <c r="D969" i="9" a="1"/>
  <c r="E969" i="9" s="1"/>
  <c r="F969" i="9" s="1"/>
  <c r="D1113" i="9" a="1"/>
  <c r="E1113" i="9" s="1"/>
  <c r="F1113" i="9" s="1"/>
  <c r="D1257" i="9" a="1"/>
  <c r="E1257" i="9" s="1"/>
  <c r="F1257" i="9" s="1"/>
  <c r="D698" i="9" a="1"/>
  <c r="E698" i="9" s="1"/>
  <c r="F698" i="9" s="1"/>
  <c r="D815" i="9" a="1"/>
  <c r="E815" i="9" s="1"/>
  <c r="F815" i="9" s="1"/>
  <c r="D958" i="9" a="1"/>
  <c r="E958" i="9" s="1"/>
  <c r="F958" i="9" s="1"/>
  <c r="D1102" i="9" a="1"/>
  <c r="E1102" i="9" s="1"/>
  <c r="F1102" i="9" s="1"/>
  <c r="D1246" i="9" a="1"/>
  <c r="E1246" i="9" s="1"/>
  <c r="F1246" i="9" s="1"/>
  <c r="D1390" i="9" a="1"/>
  <c r="E1390" i="9" s="1"/>
  <c r="F1390" i="9" s="1"/>
  <c r="D1534" i="9" a="1"/>
  <c r="E1534" i="9" s="1"/>
  <c r="F1534" i="9" s="1"/>
  <c r="D699" i="9" a="1"/>
  <c r="E699" i="9" s="1"/>
  <c r="F699" i="9" s="1"/>
  <c r="D816" i="9" a="1"/>
  <c r="E816" i="9" s="1"/>
  <c r="F816" i="9" s="1"/>
  <c r="D959" i="9" a="1"/>
  <c r="E959" i="9" s="1"/>
  <c r="F959" i="9" s="1"/>
  <c r="D1103" i="9" a="1"/>
  <c r="E1103" i="9" s="1"/>
  <c r="F1103" i="9" s="1"/>
  <c r="D1247" i="9" a="1"/>
  <c r="E1247" i="9" s="1"/>
  <c r="F1247" i="9" s="1"/>
  <c r="D1391" i="9" a="1"/>
  <c r="E1391" i="9" s="1"/>
  <c r="F1391" i="9" s="1"/>
  <c r="D449" i="9" a="1"/>
  <c r="E449" i="9" s="1"/>
  <c r="F449" i="9" s="1"/>
  <c r="D1512" i="9" a="1"/>
  <c r="E1512" i="9" s="1"/>
  <c r="F1512" i="9" s="1"/>
  <c r="D2240" i="9" a="1"/>
  <c r="E2240" i="9" s="1"/>
  <c r="F2240" i="9" s="1"/>
  <c r="D1677" i="9" a="1"/>
  <c r="E1677" i="9" s="1"/>
  <c r="F1677" i="9" s="1"/>
  <c r="D1869" i="9" a="1"/>
  <c r="E1869" i="9" s="1"/>
  <c r="F1869" i="9" s="1"/>
  <c r="D2085" i="9" a="1"/>
  <c r="E2085" i="9" s="1"/>
  <c r="F2085" i="9" s="1"/>
  <c r="D2253" i="9" a="1"/>
  <c r="E2253" i="9" s="1"/>
  <c r="F2253" i="9" s="1"/>
  <c r="D1389" i="9" a="1"/>
  <c r="E1389" i="9" s="1"/>
  <c r="F1389" i="9" s="1"/>
  <c r="D1594" i="9" a="1"/>
  <c r="E1594" i="9" s="1"/>
  <c r="F1594" i="9" s="1"/>
  <c r="D1750" i="9" a="1"/>
  <c r="E1750" i="9" s="1"/>
  <c r="F1750" i="9" s="1"/>
  <c r="D1906" i="9" a="1"/>
  <c r="E1906" i="9" s="1"/>
  <c r="F1906" i="9" s="1"/>
  <c r="D1408" i="9" a="1"/>
  <c r="E1408" i="9" s="1"/>
  <c r="F1408" i="9" s="1"/>
  <c r="D1619" i="9" a="1"/>
  <c r="E1619" i="9" s="1"/>
  <c r="F1619" i="9" s="1"/>
  <c r="D1763" i="9" a="1"/>
  <c r="E1763" i="9" s="1"/>
  <c r="F1763" i="9" s="1"/>
  <c r="D1393" i="9" a="1"/>
  <c r="E1393" i="9" s="1"/>
  <c r="F1393" i="9" s="1"/>
  <c r="D1584" i="9" a="1"/>
  <c r="E1584" i="9" s="1"/>
  <c r="F1584" i="9" s="1"/>
  <c r="D1728" i="9" a="1"/>
  <c r="E1728" i="9" s="1"/>
  <c r="F1728" i="9" s="1"/>
  <c r="D1872" i="9" a="1"/>
  <c r="E1872" i="9" s="1"/>
  <c r="F1872" i="9" s="1"/>
  <c r="D2016" i="9" a="1"/>
  <c r="E2016" i="9" s="1"/>
  <c r="F2016" i="9" s="1"/>
  <c r="D1430" i="9" a="1"/>
  <c r="E1430" i="9" s="1"/>
  <c r="F1430" i="9" s="1"/>
  <c r="D1609" i="9" a="1"/>
  <c r="E1609" i="9" s="1"/>
  <c r="F1609" i="9" s="1"/>
  <c r="D1753" i="9" a="1"/>
  <c r="E1753" i="9" s="1"/>
  <c r="F1753" i="9" s="1"/>
  <c r="D1897" i="9" a="1"/>
  <c r="E1897" i="9" s="1"/>
  <c r="F1897" i="9" s="1"/>
  <c r="D2041" i="9" a="1"/>
  <c r="E2041" i="9" s="1"/>
  <c r="F2041" i="9" s="1"/>
  <c r="D1919" i="9" a="1"/>
  <c r="E1919" i="9" s="1"/>
  <c r="F1919" i="9" s="1"/>
  <c r="D1859" i="9" a="1"/>
  <c r="E1859" i="9" s="1"/>
  <c r="F1859" i="9" s="1"/>
  <c r="D1265" i="9" a="1"/>
  <c r="E1265" i="9" s="1"/>
  <c r="F1265" i="9" s="1"/>
  <c r="D1263" i="9" a="1"/>
  <c r="E1263" i="9" s="1"/>
  <c r="F1263" i="9" s="1"/>
  <c r="D470" i="9" a="1"/>
  <c r="E470" i="9" s="1"/>
  <c r="F470" i="9" s="1"/>
  <c r="D730" i="9" a="1"/>
  <c r="E730" i="9" s="1"/>
  <c r="F730" i="9" s="1"/>
  <c r="D843" i="9" a="1"/>
  <c r="E843" i="9" s="1"/>
  <c r="F843" i="9" s="1"/>
  <c r="D986" i="9" a="1"/>
  <c r="E986" i="9" s="1"/>
  <c r="F986" i="9" s="1"/>
  <c r="D1130" i="9" a="1"/>
  <c r="E1130" i="9" s="1"/>
  <c r="F1130" i="9" s="1"/>
  <c r="D653" i="9" a="1"/>
  <c r="E653" i="9" s="1"/>
  <c r="F653" i="9" s="1"/>
  <c r="D927" i="9" a="1"/>
  <c r="E927" i="9" s="1"/>
  <c r="F927" i="9" s="1"/>
  <c r="D1071" i="9" a="1"/>
  <c r="E1071" i="9" s="1"/>
  <c r="F1071" i="9" s="1"/>
  <c r="D1215" i="9" a="1"/>
  <c r="E1215" i="9" s="1"/>
  <c r="F1215" i="9" s="1"/>
  <c r="D638" i="9" a="1"/>
  <c r="E638" i="9" s="1"/>
  <c r="F638" i="9" s="1"/>
  <c r="D783" i="9" a="1"/>
  <c r="E783" i="9" s="1"/>
  <c r="F783" i="9" s="1"/>
  <c r="D916" i="9" a="1"/>
  <c r="E916" i="9" s="1"/>
  <c r="F916" i="9" s="1"/>
  <c r="D1060" i="9" a="1"/>
  <c r="E1060" i="9" s="1"/>
  <c r="F1060" i="9" s="1"/>
  <c r="D487" i="9" a="1"/>
  <c r="E487" i="9" s="1"/>
  <c r="F487" i="9" s="1"/>
  <c r="D733" i="9" a="1"/>
  <c r="E733" i="9" s="1"/>
  <c r="F733" i="9" s="1"/>
  <c r="D846" i="9" a="1"/>
  <c r="E846" i="9" s="1"/>
  <c r="F846" i="9" s="1"/>
  <c r="D989" i="9" a="1"/>
  <c r="E989" i="9" s="1"/>
  <c r="F989" i="9" s="1"/>
  <c r="D1133" i="9" a="1"/>
  <c r="E1133" i="9" s="1"/>
  <c r="F1133" i="9" s="1"/>
  <c r="D657" i="9" a="1"/>
  <c r="E657" i="9" s="1"/>
  <c r="F657" i="9" s="1"/>
  <c r="D791" i="9" a="1"/>
  <c r="E791" i="9" s="1"/>
  <c r="F791" i="9" s="1"/>
  <c r="D930" i="9" a="1"/>
  <c r="E930" i="9" s="1"/>
  <c r="F930" i="9" s="1"/>
  <c r="D1074" i="9" a="1"/>
  <c r="E1074" i="9" s="1"/>
  <c r="F1074" i="9" s="1"/>
  <c r="D1218" i="9" a="1"/>
  <c r="E1218" i="9" s="1"/>
  <c r="F1218" i="9" s="1"/>
  <c r="D1362" i="9" a="1"/>
  <c r="E1362" i="9" s="1"/>
  <c r="F1362" i="9" s="1"/>
  <c r="D1506" i="9" a="1"/>
  <c r="E1506" i="9" s="1"/>
  <c r="F1506" i="9" s="1"/>
  <c r="D642" i="9" a="1"/>
  <c r="E642" i="9" s="1"/>
  <c r="F642" i="9" s="1"/>
  <c r="D919" i="9" a="1"/>
  <c r="E919" i="9" s="1"/>
  <c r="F919" i="9" s="1"/>
  <c r="D1063" i="9" a="1"/>
  <c r="E1063" i="9" s="1"/>
  <c r="F1063" i="9" s="1"/>
  <c r="D1207" i="9" a="1"/>
  <c r="E1207" i="9" s="1"/>
  <c r="F1207" i="9" s="1"/>
  <c r="D1351" i="9" a="1"/>
  <c r="E1351" i="9" s="1"/>
  <c r="F1351" i="9" s="1"/>
  <c r="D1495" i="9" a="1"/>
  <c r="E1495" i="9" s="1"/>
  <c r="F1495" i="9" s="1"/>
  <c r="D626" i="9" a="1"/>
  <c r="E626" i="9" s="1"/>
  <c r="F626" i="9" s="1"/>
  <c r="D779" i="9" a="1"/>
  <c r="E779" i="9" s="1"/>
  <c r="F779" i="9" s="1"/>
  <c r="D908" i="9" a="1"/>
  <c r="E908" i="9" s="1"/>
  <c r="F908" i="9" s="1"/>
  <c r="D1052" i="9" a="1"/>
  <c r="E1052" i="9" s="1"/>
  <c r="F1052" i="9" s="1"/>
  <c r="D427" i="9" a="1"/>
  <c r="E427" i="9" s="1"/>
  <c r="F427" i="9" s="1"/>
  <c r="D724" i="9" a="1"/>
  <c r="E724" i="9" s="1"/>
  <c r="F724" i="9" s="1"/>
  <c r="D838" i="9" a="1"/>
  <c r="E838" i="9" s="1"/>
  <c r="F838" i="9" s="1"/>
  <c r="D981" i="9" a="1"/>
  <c r="E981" i="9" s="1"/>
  <c r="F981" i="9" s="1"/>
  <c r="D1125" i="9" a="1"/>
  <c r="E1125" i="9" s="1"/>
  <c r="F1125" i="9" s="1"/>
  <c r="D281" i="9" a="1"/>
  <c r="E281" i="9" s="1"/>
  <c r="F281" i="9" s="1"/>
  <c r="D713" i="9" a="1"/>
  <c r="E713" i="9" s="1"/>
  <c r="F713" i="9" s="1"/>
  <c r="D1114" i="9" a="1"/>
  <c r="E1114" i="9" s="1"/>
  <c r="F1114" i="9" s="1"/>
  <c r="D970" i="9" a="1"/>
  <c r="E970" i="9" s="1"/>
  <c r="F970" i="9" s="1"/>
  <c r="D2776" i="9" a="1"/>
  <c r="E2776" i="9" s="1"/>
  <c r="F2776" i="9" s="1"/>
  <c r="D1258" i="9" a="1"/>
  <c r="E1258" i="9" s="1"/>
  <c r="F1258" i="9" s="1"/>
  <c r="D2734" i="9" a="1"/>
  <c r="E2734" i="9" s="1"/>
  <c r="F2734" i="9" s="1"/>
  <c r="D290" i="9" a="1"/>
  <c r="E290" i="9" s="1"/>
  <c r="F290" i="9" s="1"/>
  <c r="D714" i="9" a="1"/>
  <c r="E714" i="9" s="1"/>
  <c r="F714" i="9" s="1"/>
  <c r="D828" i="9" a="1"/>
  <c r="E828" i="9" s="1"/>
  <c r="F828" i="9" s="1"/>
  <c r="D971" i="9" a="1"/>
  <c r="E971" i="9" s="1"/>
  <c r="F971" i="9" s="1"/>
  <c r="D1115" i="9" a="1"/>
  <c r="E1115" i="9" s="1"/>
  <c r="F1115" i="9" s="1"/>
  <c r="D1259" i="9" a="1"/>
  <c r="E1259" i="9" s="1"/>
  <c r="F1259" i="9" s="1"/>
  <c r="D1403" i="9" a="1"/>
  <c r="E1403" i="9" s="1"/>
  <c r="F1403" i="9" s="1"/>
  <c r="D508" i="9" a="1"/>
  <c r="E508" i="9" s="1"/>
  <c r="F508" i="9" s="1"/>
  <c r="D1527" i="9" a="1"/>
  <c r="E1527" i="9" s="1"/>
  <c r="F1527" i="9" s="1"/>
  <c r="D2252" i="9" a="1"/>
  <c r="E2252" i="9" s="1"/>
  <c r="F2252" i="9" s="1"/>
  <c r="D1689" i="9" a="1"/>
  <c r="E1689" i="9" s="1"/>
  <c r="F1689" i="9" s="1"/>
  <c r="D1881" i="9" a="1"/>
  <c r="E1881" i="9" s="1"/>
  <c r="F1881" i="9" s="1"/>
  <c r="D2097" i="9" a="1"/>
  <c r="E2097" i="9" s="1"/>
  <c r="F2097" i="9" s="1"/>
  <c r="D2265" i="9" a="1"/>
  <c r="E2265" i="9" s="1"/>
  <c r="F2265" i="9" s="1"/>
  <c r="D1407" i="9" a="1"/>
  <c r="E1407" i="9" s="1"/>
  <c r="F1407" i="9" s="1"/>
  <c r="D1606" i="9" a="1"/>
  <c r="E1606" i="9" s="1"/>
  <c r="F1606" i="9" s="1"/>
  <c r="D1798" i="9" a="1"/>
  <c r="E1798" i="9" s="1"/>
  <c r="F1798" i="9" s="1"/>
  <c r="D1918" i="9" a="1"/>
  <c r="E1918" i="9" s="1"/>
  <c r="F1918" i="9" s="1"/>
  <c r="D1444" i="9" a="1"/>
  <c r="E1444" i="9" s="1"/>
  <c r="F1444" i="9" s="1"/>
  <c r="D1631" i="9" a="1"/>
  <c r="E1631" i="9" s="1"/>
  <c r="F1631" i="9" s="1"/>
  <c r="D1775" i="9" a="1"/>
  <c r="E1775" i="9" s="1"/>
  <c r="F1775" i="9" s="1"/>
  <c r="D1409" i="9" a="1"/>
  <c r="E1409" i="9" s="1"/>
  <c r="F1409" i="9" s="1"/>
  <c r="D1596" i="9" a="1"/>
  <c r="E1596" i="9" s="1"/>
  <c r="F1596" i="9" s="1"/>
  <c r="D1740" i="9" a="1"/>
  <c r="E1740" i="9" s="1"/>
  <c r="F1740" i="9" s="1"/>
  <c r="D1884" i="9" a="1"/>
  <c r="E1884" i="9" s="1"/>
  <c r="F1884" i="9" s="1"/>
  <c r="D2028" i="9" a="1"/>
  <c r="E2028" i="9" s="1"/>
  <c r="F2028" i="9" s="1"/>
  <c r="D1448" i="9" a="1"/>
  <c r="E1448" i="9" s="1"/>
  <c r="F1448" i="9" s="1"/>
  <c r="D1621" i="9" a="1"/>
  <c r="E1621" i="9" s="1"/>
  <c r="F1621" i="9" s="1"/>
  <c r="D1765" i="9" a="1"/>
  <c r="E1765" i="9" s="1"/>
  <c r="F1765" i="9" s="1"/>
  <c r="D1909" i="9" a="1"/>
  <c r="E1909" i="9" s="1"/>
  <c r="F1909" i="9" s="1"/>
  <c r="D2053" i="9" a="1"/>
  <c r="E2053" i="9" s="1"/>
  <c r="F2053" i="9" s="1"/>
  <c r="D2027" i="9" a="1"/>
  <c r="E2027" i="9" s="1"/>
  <c r="F2027" i="9" s="1"/>
  <c r="D1141" i="9" a="1"/>
  <c r="E1141" i="9" s="1"/>
  <c r="F1141" i="9" s="1"/>
  <c r="D1241" i="9" a="1"/>
  <c r="E1241" i="9" s="1"/>
  <c r="F1241" i="9" s="1"/>
  <c r="D1238" i="9" a="1"/>
  <c r="E1238" i="9" s="1"/>
  <c r="F1238" i="9" s="1"/>
  <c r="D518" i="9" a="1"/>
  <c r="E518" i="9" s="1"/>
  <c r="F518" i="9" s="1"/>
  <c r="D743" i="9" a="1"/>
  <c r="E743" i="9" s="1"/>
  <c r="F743" i="9" s="1"/>
  <c r="D855" i="9" a="1"/>
  <c r="E855" i="9" s="1"/>
  <c r="F855" i="9" s="1"/>
  <c r="D998" i="9" a="1"/>
  <c r="E998" i="9" s="1"/>
  <c r="F998" i="9" s="1"/>
  <c r="D1142" i="9" a="1"/>
  <c r="E1142" i="9" s="1"/>
  <c r="F1142" i="9" s="1"/>
  <c r="D672" i="9" a="1"/>
  <c r="E672" i="9" s="1"/>
  <c r="F672" i="9" s="1"/>
  <c r="D796" i="9" a="1"/>
  <c r="E796" i="9" s="1"/>
  <c r="F796" i="9" s="1"/>
  <c r="D939" i="9" a="1"/>
  <c r="E939" i="9" s="1"/>
  <c r="F939" i="9" s="1"/>
  <c r="D1083" i="9" a="1"/>
  <c r="E1083" i="9" s="1"/>
  <c r="F1083" i="9" s="1"/>
  <c r="D1227" i="9" a="1"/>
  <c r="E1227" i="9" s="1"/>
  <c r="F1227" i="9" s="1"/>
  <c r="D654" i="9" a="1"/>
  <c r="E654" i="9" s="1"/>
  <c r="F654" i="9" s="1"/>
  <c r="D790" i="9" a="1"/>
  <c r="E790" i="9" s="1"/>
  <c r="F790" i="9" s="1"/>
  <c r="D928" i="9" a="1"/>
  <c r="E928" i="9" s="1"/>
  <c r="F928" i="9" s="1"/>
  <c r="D1072" i="9" a="1"/>
  <c r="E1072" i="9" s="1"/>
  <c r="F1072" i="9" s="1"/>
  <c r="D526" i="9" a="1"/>
  <c r="E526" i="9" s="1"/>
  <c r="F526" i="9" s="1"/>
  <c r="D746" i="9" a="1"/>
  <c r="E746" i="9" s="1"/>
  <c r="F746" i="9" s="1"/>
  <c r="D858" i="9" a="1"/>
  <c r="E858" i="9" s="1"/>
  <c r="F858" i="9" s="1"/>
  <c r="D1001" i="9" a="1"/>
  <c r="E1001" i="9" s="1"/>
  <c r="F1001" i="9" s="1"/>
  <c r="D1145" i="9" a="1"/>
  <c r="E1145" i="9" s="1"/>
  <c r="F1145" i="9" s="1"/>
  <c r="D676" i="9" a="1"/>
  <c r="E676" i="9" s="1"/>
  <c r="F676" i="9" s="1"/>
  <c r="D799" i="9" a="1"/>
  <c r="E799" i="9" s="1"/>
  <c r="F799" i="9" s="1"/>
  <c r="D942" i="9" a="1"/>
  <c r="E942" i="9" s="1"/>
  <c r="F942" i="9" s="1"/>
  <c r="D1086" i="9" a="1"/>
  <c r="E1086" i="9" s="1"/>
  <c r="F1086" i="9" s="1"/>
  <c r="D1230" i="9" a="1"/>
  <c r="E1230" i="9" s="1"/>
  <c r="F1230" i="9" s="1"/>
  <c r="D1374" i="9" a="1"/>
  <c r="E1374" i="9" s="1"/>
  <c r="F1374" i="9" s="1"/>
  <c r="D1518" i="9" a="1"/>
  <c r="E1518" i="9" s="1"/>
  <c r="F1518" i="9" s="1"/>
  <c r="D658" i="9" a="1"/>
  <c r="E658" i="9" s="1"/>
  <c r="F658" i="9" s="1"/>
  <c r="D931" i="9" a="1"/>
  <c r="E931" i="9" s="1"/>
  <c r="F931" i="9" s="1"/>
  <c r="D1075" i="9" a="1"/>
  <c r="E1075" i="9" s="1"/>
  <c r="F1075" i="9" s="1"/>
  <c r="D1219" i="9" a="1"/>
  <c r="E1219" i="9" s="1"/>
  <c r="F1219" i="9" s="1"/>
  <c r="D1363" i="9" a="1"/>
  <c r="E1363" i="9" s="1"/>
  <c r="F1363" i="9" s="1"/>
  <c r="D1507" i="9" a="1"/>
  <c r="E1507" i="9" s="1"/>
  <c r="F1507" i="9" s="1"/>
  <c r="D752" i="9" a="1"/>
  <c r="E752" i="9" s="1"/>
  <c r="F752" i="9" s="1"/>
  <c r="D785" i="9" a="1"/>
  <c r="E785" i="9" s="1"/>
  <c r="F785" i="9" s="1"/>
  <c r="D920" i="9" a="1"/>
  <c r="E920" i="9" s="1"/>
  <c r="F920" i="9" s="1"/>
  <c r="D1064" i="9" a="1"/>
  <c r="E1064" i="9" s="1"/>
  <c r="F1064" i="9" s="1"/>
  <c r="D499" i="9" a="1"/>
  <c r="E499" i="9" s="1"/>
  <c r="F499" i="9" s="1"/>
  <c r="D737" i="9" a="1"/>
  <c r="E737" i="9" s="1"/>
  <c r="F737" i="9" s="1"/>
  <c r="D850" i="9" a="1"/>
  <c r="E850" i="9" s="1"/>
  <c r="F850" i="9" s="1"/>
  <c r="D993" i="9" a="1"/>
  <c r="E993" i="9" s="1"/>
  <c r="F993" i="9" s="1"/>
  <c r="D1137" i="9" a="1"/>
  <c r="E1137" i="9" s="1"/>
  <c r="F1137" i="9" s="1"/>
  <c r="D436" i="9" a="1"/>
  <c r="E436" i="9" s="1"/>
  <c r="F436" i="9" s="1"/>
  <c r="D725" i="9" a="1"/>
  <c r="E725" i="9" s="1"/>
  <c r="F725" i="9" s="1"/>
  <c r="D839" i="9" a="1"/>
  <c r="E839" i="9" s="1"/>
  <c r="F839" i="9" s="1"/>
  <c r="D982" i="9" a="1"/>
  <c r="E982" i="9" s="1"/>
  <c r="F982" i="9" s="1"/>
  <c r="D1126" i="9" a="1"/>
  <c r="E1126" i="9" s="1"/>
  <c r="F1126" i="9" s="1"/>
  <c r="D1270" i="9" a="1"/>
  <c r="E1270" i="9" s="1"/>
  <c r="F1270" i="9" s="1"/>
  <c r="D1414" i="9" a="1"/>
  <c r="E1414" i="9" s="1"/>
  <c r="F1414" i="9" s="1"/>
  <c r="D446" i="9" a="1"/>
  <c r="E446" i="9" s="1"/>
  <c r="F446" i="9" s="1"/>
  <c r="D726" i="9" a="1"/>
  <c r="E726" i="9" s="1"/>
  <c r="F726" i="9" s="1"/>
  <c r="D840" i="9" a="1"/>
  <c r="E840" i="9" s="1"/>
  <c r="F840" i="9" s="1"/>
  <c r="D983" i="9" a="1"/>
  <c r="E983" i="9" s="1"/>
  <c r="F983" i="9" s="1"/>
  <c r="D1127" i="9" a="1"/>
  <c r="E1127" i="9" s="1"/>
  <c r="F1127" i="9" s="1"/>
  <c r="D1271" i="9" a="1"/>
  <c r="E1271" i="9" s="1"/>
  <c r="F1271" i="9" s="1"/>
  <c r="D1415" i="9" a="1"/>
  <c r="E1415" i="9" s="1"/>
  <c r="F1415" i="9" s="1"/>
  <c r="D545" i="9" a="1"/>
  <c r="E545" i="9" s="1"/>
  <c r="F545" i="9" s="1"/>
  <c r="D754" i="9" a="1"/>
  <c r="E754" i="9" s="1"/>
  <c r="F754" i="9" s="1"/>
  <c r="D1664" i="9" a="1"/>
  <c r="E1664" i="9" s="1"/>
  <c r="F1664" i="9" s="1"/>
  <c r="D1334" i="9" a="1"/>
  <c r="E1334" i="9" s="1"/>
  <c r="F1334" i="9" s="1"/>
  <c r="D1701" i="9" a="1"/>
  <c r="E1701" i="9" s="1"/>
  <c r="F1701" i="9" s="1"/>
  <c r="D1893" i="9" a="1"/>
  <c r="E1893" i="9" s="1"/>
  <c r="F1893" i="9" s="1"/>
  <c r="D2109" i="9" a="1"/>
  <c r="E2109" i="9" s="1"/>
  <c r="F2109" i="9" s="1"/>
  <c r="D2277" i="9" a="1"/>
  <c r="E2277" i="9" s="1"/>
  <c r="F2277" i="9" s="1"/>
  <c r="D1425" i="9" a="1"/>
  <c r="E1425" i="9" s="1"/>
  <c r="F1425" i="9" s="1"/>
  <c r="D2266" i="9" a="1"/>
  <c r="E2266" i="9" s="1"/>
  <c r="F2266" i="9" s="1"/>
  <c r="D1774" i="9" a="1"/>
  <c r="E1774" i="9" s="1"/>
  <c r="F1774" i="9" s="1"/>
  <c r="D2338" i="9" a="1"/>
  <c r="E2338" i="9" s="1"/>
  <c r="F2338" i="9" s="1"/>
  <c r="D1464" i="9" a="1"/>
  <c r="E1464" i="9" s="1"/>
  <c r="F1464" i="9" s="1"/>
  <c r="D1643" i="9" a="1"/>
  <c r="E1643" i="9" s="1"/>
  <c r="F1643" i="9" s="1"/>
  <c r="D1787" i="9" a="1"/>
  <c r="E1787" i="9" s="1"/>
  <c r="F1787" i="9" s="1"/>
  <c r="D1429" i="9" a="1"/>
  <c r="E1429" i="9" s="1"/>
  <c r="F1429" i="9" s="1"/>
  <c r="D1608" i="9" a="1"/>
  <c r="E1608" i="9" s="1"/>
  <c r="F1608" i="9" s="1"/>
  <c r="D1752" i="9" a="1"/>
  <c r="E1752" i="9" s="1"/>
  <c r="F1752" i="9" s="1"/>
  <c r="D1896" i="9" a="1"/>
  <c r="E1896" i="9" s="1"/>
  <c r="F1896" i="9" s="1"/>
  <c r="D2040" i="9" a="1"/>
  <c r="E2040" i="9" s="1"/>
  <c r="F2040" i="9" s="1"/>
  <c r="D1466" i="9" a="1"/>
  <c r="E1466" i="9" s="1"/>
  <c r="F1466" i="9" s="1"/>
  <c r="D1633" i="9" a="1"/>
  <c r="E1633" i="9" s="1"/>
  <c r="F1633" i="9" s="1"/>
  <c r="D1777" i="9" a="1"/>
  <c r="E1777" i="9" s="1"/>
  <c r="F1777" i="9" s="1"/>
  <c r="D1921" i="9" a="1"/>
  <c r="E1921" i="9" s="1"/>
  <c r="F1921" i="9" s="1"/>
  <c r="D2065" i="9" a="1"/>
  <c r="E2065" i="9" s="1"/>
  <c r="F2065" i="9" s="1"/>
  <c r="D1979" i="9" a="1"/>
  <c r="E1979" i="9" s="1"/>
  <c r="F1979" i="9" s="1"/>
  <c r="D1269" i="9" a="1"/>
  <c r="E1269" i="9" s="1"/>
  <c r="F1269" i="9" s="1"/>
  <c r="D1214" i="9" a="1"/>
  <c r="E1214" i="9" s="1"/>
  <c r="F1214" i="9" s="1"/>
  <c r="D1208" i="9" a="1"/>
  <c r="E1208" i="9" s="1"/>
  <c r="F1208" i="9" s="1"/>
  <c r="D547" i="9" a="1"/>
  <c r="E547" i="9" s="1"/>
  <c r="F547" i="9" s="1"/>
  <c r="D757" i="9" a="1"/>
  <c r="E757" i="9" s="1"/>
  <c r="F757" i="9" s="1"/>
  <c r="D867" i="9" a="1"/>
  <c r="E867" i="9" s="1"/>
  <c r="F867" i="9" s="1"/>
  <c r="D1010" i="9" a="1"/>
  <c r="E1010" i="9" s="1"/>
  <c r="F1010" i="9" s="1"/>
  <c r="D1154" i="9" a="1"/>
  <c r="E1154" i="9" s="1"/>
  <c r="F1154" i="9" s="1"/>
  <c r="D686" i="9" a="1"/>
  <c r="E686" i="9" s="1"/>
  <c r="F686" i="9" s="1"/>
  <c r="D808" i="9" a="1"/>
  <c r="E808" i="9" s="1"/>
  <c r="F808" i="9" s="1"/>
  <c r="D951" i="9" a="1"/>
  <c r="E951" i="9" s="1"/>
  <c r="F951" i="9" s="1"/>
  <c r="D1095" i="9" a="1"/>
  <c r="E1095" i="9" s="1"/>
  <c r="F1095" i="9" s="1"/>
  <c r="D1239" i="9" a="1"/>
  <c r="E1239" i="9" s="1"/>
  <c r="F1239" i="9" s="1"/>
  <c r="D674" i="9" a="1"/>
  <c r="E674" i="9" s="1"/>
  <c r="F674" i="9" s="1"/>
  <c r="D797" i="9" a="1"/>
  <c r="E797" i="9" s="1"/>
  <c r="F797" i="9" s="1"/>
  <c r="D940" i="9" a="1"/>
  <c r="E940" i="9" s="1"/>
  <c r="F940" i="9" s="1"/>
  <c r="D1084" i="9" a="1"/>
  <c r="E1084" i="9" s="1"/>
  <c r="F1084" i="9" s="1"/>
  <c r="D554" i="9" a="1"/>
  <c r="E554" i="9" s="1"/>
  <c r="F554" i="9" s="1"/>
  <c r="D759" i="9" a="1"/>
  <c r="E759" i="9" s="1"/>
  <c r="F759" i="9" s="1"/>
  <c r="D870" i="9" a="1"/>
  <c r="E870" i="9" s="1"/>
  <c r="F870" i="9" s="1"/>
  <c r="D1013" i="9" a="1"/>
  <c r="E1013" i="9" s="1"/>
  <c r="F1013" i="9" s="1"/>
  <c r="D1157" i="9" a="1"/>
  <c r="E1157" i="9" s="1"/>
  <c r="F1157" i="9" s="1"/>
  <c r="D691" i="9" a="1"/>
  <c r="E691" i="9" s="1"/>
  <c r="F691" i="9" s="1"/>
  <c r="D811" i="9" a="1"/>
  <c r="E811" i="9" s="1"/>
  <c r="F811" i="9" s="1"/>
  <c r="D954" i="9" a="1"/>
  <c r="E954" i="9" s="1"/>
  <c r="F954" i="9" s="1"/>
  <c r="D1098" i="9" a="1"/>
  <c r="E1098" i="9" s="1"/>
  <c r="F1098" i="9" s="1"/>
  <c r="D1242" i="9" a="1"/>
  <c r="E1242" i="9" s="1"/>
  <c r="F1242" i="9" s="1"/>
  <c r="D1386" i="9" a="1"/>
  <c r="E1386" i="9" s="1"/>
  <c r="F1386" i="9" s="1"/>
  <c r="D1530" i="9" a="1"/>
  <c r="E1530" i="9" s="1"/>
  <c r="F1530" i="9" s="1"/>
  <c r="D677" i="9" a="1"/>
  <c r="E677" i="9" s="1"/>
  <c r="F677" i="9" s="1"/>
  <c r="D800" i="9" a="1"/>
  <c r="E800" i="9" s="1"/>
  <c r="F800" i="9" s="1"/>
  <c r="D943" i="9" a="1"/>
  <c r="E943" i="9" s="1"/>
  <c r="F943" i="9" s="1"/>
  <c r="D1087" i="9" a="1"/>
  <c r="E1087" i="9" s="1"/>
  <c r="F1087" i="9" s="1"/>
  <c r="D1231" i="9" a="1"/>
  <c r="E1231" i="9" s="1"/>
  <c r="F1231" i="9" s="1"/>
  <c r="D1375" i="9" a="1"/>
  <c r="E1375" i="9" s="1"/>
  <c r="F1375" i="9" s="1"/>
  <c r="D1519" i="9" a="1"/>
  <c r="E1519" i="9" s="1"/>
  <c r="F1519" i="9" s="1"/>
  <c r="D660" i="9" a="1"/>
  <c r="E660" i="9" s="1"/>
  <c r="F660" i="9" s="1"/>
  <c r="D792" i="9" a="1"/>
  <c r="E792" i="9" s="1"/>
  <c r="F792" i="9" s="1"/>
  <c r="D1040" i="9" a="1"/>
  <c r="E1040" i="9" s="1"/>
  <c r="F1040" i="9" s="1"/>
  <c r="D1184" i="9" a="1"/>
  <c r="E1184" i="9" s="1"/>
  <c r="F1184" i="9" s="1"/>
  <c r="D538" i="9" a="1"/>
  <c r="E538" i="9" s="1"/>
  <c r="F538" i="9" s="1"/>
  <c r="D751" i="9" a="1"/>
  <c r="E751" i="9" s="1"/>
  <c r="F751" i="9" s="1"/>
  <c r="D1676" i="9" a="1"/>
  <c r="E1676" i="9" s="1"/>
  <c r="F1676" i="9" s="1"/>
  <c r="D1352" i="9" a="1"/>
  <c r="E1352" i="9" s="1"/>
  <c r="F1352" i="9" s="1"/>
  <c r="D1713" i="9" a="1"/>
  <c r="E1713" i="9" s="1"/>
  <c r="F1713" i="9" s="1"/>
  <c r="D1941" i="9" a="1"/>
  <c r="E1941" i="9" s="1"/>
  <c r="F1941" i="9" s="1"/>
  <c r="D2121" i="9" a="1"/>
  <c r="E2121" i="9" s="1"/>
  <c r="F2121" i="9" s="1"/>
  <c r="D2289" i="9" a="1"/>
  <c r="E2289" i="9" s="1"/>
  <c r="F2289" i="9" s="1"/>
  <c r="D1443" i="9" a="1"/>
  <c r="E1443" i="9" s="1"/>
  <c r="F1443" i="9" s="1"/>
  <c r="D1630" i="9" a="1"/>
  <c r="E1630" i="9" s="1"/>
  <c r="F1630" i="9" s="1"/>
  <c r="D1762" i="9" a="1"/>
  <c r="E1762" i="9" s="1"/>
  <c r="F1762" i="9" s="1"/>
  <c r="D1954" i="9" a="1"/>
  <c r="E1954" i="9" s="1"/>
  <c r="F1954" i="9" s="1"/>
  <c r="D1480" i="9" a="1"/>
  <c r="E1480" i="9" s="1"/>
  <c r="F1480" i="9" s="1"/>
  <c r="D1655" i="9" a="1"/>
  <c r="E1655" i="9" s="1"/>
  <c r="F1655" i="9" s="1"/>
  <c r="D1799" i="9" a="1"/>
  <c r="E1799" i="9" s="1"/>
  <c r="F1799" i="9" s="1"/>
  <c r="D1445" i="9" a="1"/>
  <c r="E1445" i="9" s="1"/>
  <c r="F1445" i="9" s="1"/>
  <c r="D1620" i="9" a="1"/>
  <c r="E1620" i="9" s="1"/>
  <c r="F1620" i="9" s="1"/>
  <c r="D1764" i="9" a="1"/>
  <c r="E1764" i="9" s="1"/>
  <c r="F1764" i="9" s="1"/>
  <c r="D1908" i="9" a="1"/>
  <c r="E1908" i="9" s="1"/>
  <c r="F1908" i="9" s="1"/>
  <c r="D2052" i="9" a="1"/>
  <c r="E2052" i="9" s="1"/>
  <c r="F2052" i="9" s="1"/>
  <c r="D1484" i="9" a="1"/>
  <c r="E1484" i="9" s="1"/>
  <c r="F1484" i="9" s="1"/>
  <c r="D1645" i="9" a="1"/>
  <c r="E1645" i="9" s="1"/>
  <c r="F1645" i="9" s="1"/>
  <c r="D1789" i="9" a="1"/>
  <c r="E1789" i="9" s="1"/>
  <c r="F1789" i="9" s="1"/>
  <c r="D1933" i="9" a="1"/>
  <c r="E1933" i="9" s="1"/>
  <c r="F1933" i="9" s="1"/>
  <c r="D2077" i="9" a="1"/>
  <c r="E2077" i="9" s="1"/>
  <c r="F2077" i="9" s="1"/>
  <c r="D1907" i="9" a="1"/>
  <c r="E1907" i="9" s="1"/>
  <c r="F1907" i="9" s="1"/>
  <c r="D1249" i="9" a="1"/>
  <c r="E1249" i="9" s="1"/>
  <c r="F1249" i="9" s="1"/>
  <c r="D1292" i="9" a="1"/>
  <c r="E1292" i="9" s="1"/>
  <c r="F1292" i="9" s="1"/>
  <c r="D1180" i="9" a="1"/>
  <c r="E1180" i="9" s="1"/>
  <c r="F1180" i="9" s="1"/>
  <c r="D571" i="9" a="1"/>
  <c r="E571" i="9" s="1"/>
  <c r="F571" i="9" s="1"/>
  <c r="D764" i="9" a="1"/>
  <c r="E764" i="9" s="1"/>
  <c r="F764" i="9" s="1"/>
  <c r="D879" i="9" a="1"/>
  <c r="E879" i="9" s="1"/>
  <c r="F879" i="9" s="1"/>
  <c r="D1022" i="9" a="1"/>
  <c r="E1022" i="9" s="1"/>
  <c r="F1022" i="9" s="1"/>
  <c r="D192" i="9" a="1"/>
  <c r="E192" i="9" s="1"/>
  <c r="F192" i="9" s="1"/>
  <c r="D705" i="9" a="1"/>
  <c r="E705" i="9" s="1"/>
  <c r="F705" i="9" s="1"/>
  <c r="D820" i="9" a="1"/>
  <c r="E820" i="9" s="1"/>
  <c r="F820" i="9" s="1"/>
  <c r="D963" i="9" a="1"/>
  <c r="E963" i="9" s="1"/>
  <c r="F963" i="9" s="1"/>
  <c r="D1107" i="9" a="1"/>
  <c r="E1107" i="9" s="1"/>
  <c r="F1107" i="9" s="1"/>
  <c r="D1251" i="9" a="1"/>
  <c r="E1251" i="9" s="1"/>
  <c r="F1251" i="9" s="1"/>
  <c r="D688" i="9" a="1"/>
  <c r="E688" i="9" s="1"/>
  <c r="F688" i="9" s="1"/>
  <c r="D809" i="9" a="1"/>
  <c r="E809" i="9" s="1"/>
  <c r="F809" i="9" s="1"/>
  <c r="D952" i="9" a="1"/>
  <c r="E952" i="9" s="1"/>
  <c r="F952" i="9" s="1"/>
  <c r="D1096" i="9" a="1"/>
  <c r="E1096" i="9" s="1"/>
  <c r="F1096" i="9" s="1"/>
  <c r="D578" i="9" a="1"/>
  <c r="E578" i="9" s="1"/>
  <c r="F578" i="9" s="1"/>
  <c r="D882" i="9" a="1"/>
  <c r="E882" i="9" s="1"/>
  <c r="F882" i="9" s="1"/>
  <c r="D1025" i="9" a="1"/>
  <c r="E1025" i="9" s="1"/>
  <c r="F1025" i="9" s="1"/>
  <c r="D241" i="9" a="1"/>
  <c r="E241" i="9" s="1"/>
  <c r="F241" i="9" s="1"/>
  <c r="D708" i="9" a="1"/>
  <c r="E708" i="9" s="1"/>
  <c r="F708" i="9" s="1"/>
  <c r="D823" i="9" a="1"/>
  <c r="E823" i="9" s="1"/>
  <c r="F823" i="9" s="1"/>
  <c r="D966" i="9" a="1"/>
  <c r="E966" i="9" s="1"/>
  <c r="F966" i="9" s="1"/>
  <c r="D1110" i="9" a="1"/>
  <c r="E1110" i="9" s="1"/>
  <c r="F1110" i="9" s="1"/>
  <c r="D1254" i="9" a="1"/>
  <c r="E1254" i="9" s="1"/>
  <c r="F1254" i="9" s="1"/>
  <c r="D1398" i="9" a="1"/>
  <c r="E1398" i="9" s="1"/>
  <c r="F1398" i="9" s="1"/>
  <c r="D1542" i="9" a="1"/>
  <c r="E1542" i="9" s="1"/>
  <c r="F1542" i="9" s="1"/>
  <c r="D692" i="9" a="1"/>
  <c r="E692" i="9" s="1"/>
  <c r="F692" i="9" s="1"/>
  <c r="D812" i="9" a="1"/>
  <c r="E812" i="9" s="1"/>
  <c r="F812" i="9" s="1"/>
  <c r="D955" i="9" a="1"/>
  <c r="E955" i="9" s="1"/>
  <c r="F955" i="9" s="1"/>
  <c r="D1099" i="9" a="1"/>
  <c r="E1099" i="9" s="1"/>
  <c r="F1099" i="9" s="1"/>
  <c r="D1243" i="9" a="1"/>
  <c r="E1243" i="9" s="1"/>
  <c r="F1243" i="9" s="1"/>
  <c r="D1387" i="9" a="1"/>
  <c r="E1387" i="9" s="1"/>
  <c r="F1387" i="9" s="1"/>
  <c r="D1531" i="9" a="1"/>
  <c r="E1531" i="9" s="1"/>
  <c r="F1531" i="9" s="1"/>
  <c r="D678" i="9" a="1"/>
  <c r="E678" i="9" s="1"/>
  <c r="F678" i="9" s="1"/>
  <c r="D801" i="9" a="1"/>
  <c r="E801" i="9" s="1"/>
  <c r="F801" i="9" s="1"/>
  <c r="D944" i="9" a="1"/>
  <c r="E944" i="9" s="1"/>
  <c r="F944" i="9" s="1"/>
  <c r="D1088" i="9" a="1"/>
  <c r="E1088" i="9" s="1"/>
  <c r="F1088" i="9" s="1"/>
  <c r="D561" i="9" a="1"/>
  <c r="E561" i="9" s="1"/>
  <c r="F561" i="9" s="1"/>
  <c r="D874" i="9" a="1"/>
  <c r="E874" i="9" s="1"/>
  <c r="F874" i="9" s="1"/>
  <c r="D1017" i="9" a="1"/>
  <c r="E1017" i="9" s="1"/>
  <c r="F1017" i="9" s="1"/>
  <c r="D1808" i="9" a="1"/>
  <c r="E1808" i="9" s="1"/>
  <c r="F1808" i="9" s="1"/>
  <c r="D1370" i="9" a="1"/>
  <c r="E1370" i="9" s="1"/>
  <c r="F1370" i="9" s="1"/>
  <c r="D1725" i="9" a="1"/>
  <c r="E1725" i="9" s="1"/>
  <c r="F1725" i="9" s="1"/>
  <c r="D1953" i="9" a="1"/>
  <c r="E1953" i="9" s="1"/>
  <c r="F1953" i="9" s="1"/>
  <c r="D2133" i="9" a="1"/>
  <c r="E2133" i="9" s="1"/>
  <c r="F2133" i="9" s="1"/>
  <c r="D2301" i="9" a="1"/>
  <c r="E2301" i="9" s="1"/>
  <c r="F2301" i="9" s="1"/>
  <c r="D1461" i="9" a="1"/>
  <c r="E1461" i="9" s="1"/>
  <c r="F1461" i="9" s="1"/>
  <c r="D1654" i="9" a="1"/>
  <c r="E1654" i="9" s="1"/>
  <c r="F1654" i="9" s="1"/>
  <c r="D1810" i="9" a="1"/>
  <c r="E1810" i="9" s="1"/>
  <c r="F1810" i="9" s="1"/>
  <c r="D1966" i="9" a="1"/>
  <c r="E1966" i="9" s="1"/>
  <c r="F1966" i="9" s="1"/>
  <c r="D1500" i="9" a="1"/>
  <c r="E1500" i="9" s="1"/>
  <c r="F1500" i="9" s="1"/>
  <c r="D1667" i="9" a="1"/>
  <c r="E1667" i="9" s="1"/>
  <c r="F1667" i="9" s="1"/>
  <c r="D1811" i="9" a="1"/>
  <c r="E1811" i="9" s="1"/>
  <c r="F1811" i="9" s="1"/>
  <c r="D1465" i="9" a="1"/>
  <c r="E1465" i="9" s="1"/>
  <c r="F1465" i="9" s="1"/>
  <c r="D1632" i="9" a="1"/>
  <c r="E1632" i="9" s="1"/>
  <c r="F1632" i="9" s="1"/>
  <c r="D1776" i="9" a="1"/>
  <c r="E1776" i="9" s="1"/>
  <c r="F1776" i="9" s="1"/>
  <c r="D1920" i="9" a="1"/>
  <c r="E1920" i="9" s="1"/>
  <c r="F1920" i="9" s="1"/>
  <c r="D1280" i="9" a="1"/>
  <c r="E1280" i="9" s="1"/>
  <c r="F1280" i="9" s="1"/>
  <c r="D1502" i="9" a="1"/>
  <c r="E1502" i="9" s="1"/>
  <c r="F1502" i="9" s="1"/>
  <c r="D1657" i="9" a="1"/>
  <c r="E1657" i="9" s="1"/>
  <c r="F1657" i="9" s="1"/>
  <c r="D1801" i="9" a="1"/>
  <c r="E1801" i="9" s="1"/>
  <c r="F1801" i="9" s="1"/>
  <c r="D1945" i="9" a="1"/>
  <c r="E1945" i="9" s="1"/>
  <c r="F1945" i="9" s="1"/>
  <c r="D2089" i="9" a="1"/>
  <c r="E2089" i="9" s="1"/>
  <c r="F2089" i="9" s="1"/>
  <c r="D1895" i="9" a="1"/>
  <c r="E1895" i="9" s="1"/>
  <c r="F1895" i="9" s="1"/>
  <c r="D1217" i="9" a="1"/>
  <c r="E1217" i="9" s="1"/>
  <c r="F1217" i="9" s="1"/>
  <c r="D1105" i="9" a="1"/>
  <c r="E1105" i="9" s="1"/>
  <c r="F1105" i="9" s="1"/>
  <c r="D1081" i="9" a="1"/>
  <c r="E1081" i="9" s="1"/>
  <c r="F1081" i="9" s="1"/>
  <c r="D593" i="9" a="1"/>
  <c r="E593" i="9" s="1"/>
  <c r="F593" i="9" s="1"/>
  <c r="D770" i="9" a="1"/>
  <c r="E770" i="9" s="1"/>
  <c r="F770" i="9" s="1"/>
  <c r="D891" i="9" a="1"/>
  <c r="E891" i="9" s="1"/>
  <c r="F891" i="9" s="1"/>
  <c r="D1034" i="9" a="1"/>
  <c r="E1034" i="9" s="1"/>
  <c r="F1034" i="9" s="1"/>
  <c r="D339" i="9" a="1"/>
  <c r="E339" i="9" s="1"/>
  <c r="F339" i="9" s="1"/>
  <c r="D718" i="9" a="1"/>
  <c r="E718" i="9" s="1"/>
  <c r="F718" i="9" s="1"/>
  <c r="D832" i="9" a="1"/>
  <c r="E832" i="9" s="1"/>
  <c r="F832" i="9" s="1"/>
  <c r="D975" i="9" a="1"/>
  <c r="E975" i="9" s="1"/>
  <c r="F975" i="9" s="1"/>
  <c r="D1119" i="9" a="1"/>
  <c r="E1119" i="9" s="1"/>
  <c r="F1119" i="9" s="1"/>
  <c r="D201" i="9" a="1"/>
  <c r="E201" i="9" s="1"/>
  <c r="F201" i="9" s="1"/>
  <c r="D706" i="9" a="1"/>
  <c r="E706" i="9" s="1"/>
  <c r="F706" i="9" s="1"/>
  <c r="D821" i="9" a="1"/>
  <c r="E821" i="9" s="1"/>
  <c r="F821" i="9" s="1"/>
  <c r="D964" i="9" a="1"/>
  <c r="E964" i="9" s="1"/>
  <c r="F964" i="9" s="1"/>
  <c r="D1108" i="9" a="1"/>
  <c r="E1108" i="9" s="1"/>
  <c r="F1108" i="9" s="1"/>
  <c r="D600" i="9" a="1"/>
  <c r="E600" i="9" s="1"/>
  <c r="F600" i="9" s="1"/>
  <c r="D894" i="9" a="1"/>
  <c r="E894" i="9" s="1"/>
  <c r="F894" i="9" s="1"/>
  <c r="D1037" i="9" a="1"/>
  <c r="E1037" i="9" s="1"/>
  <c r="F1037" i="9" s="1"/>
  <c r="D464" i="9" a="1"/>
  <c r="E464" i="9" s="1"/>
  <c r="F464" i="9" s="1"/>
  <c r="D721" i="9" a="1"/>
  <c r="E721" i="9" s="1"/>
  <c r="F721" i="9" s="1"/>
  <c r="D835" i="9" a="1"/>
  <c r="E835" i="9" s="1"/>
  <c r="F835" i="9" s="1"/>
  <c r="D978" i="9" a="1"/>
  <c r="E978" i="9" s="1"/>
  <c r="F978" i="9" s="1"/>
  <c r="D1122" i="9" a="1"/>
  <c r="E1122" i="9" s="1"/>
  <c r="F1122" i="9" s="1"/>
  <c r="D1266" i="9" a="1"/>
  <c r="E1266" i="9" s="1"/>
  <c r="F1266" i="9" s="1"/>
  <c r="D1410" i="9" a="1"/>
  <c r="E1410" i="9" s="1"/>
  <c r="F1410" i="9" s="1"/>
  <c r="D251" i="9" a="1"/>
  <c r="E251" i="9" s="1"/>
  <c r="F251" i="9" s="1"/>
  <c r="D709" i="9" a="1"/>
  <c r="E709" i="9" s="1"/>
  <c r="F709" i="9" s="1"/>
  <c r="D824" i="9" a="1"/>
  <c r="E824" i="9" s="1"/>
  <c r="F824" i="9" s="1"/>
  <c r="D967" i="9" a="1"/>
  <c r="E967" i="9" s="1"/>
  <c r="F967" i="9" s="1"/>
  <c r="D1111" i="9" a="1"/>
  <c r="E1111" i="9" s="1"/>
  <c r="F1111" i="9" s="1"/>
  <c r="D1255" i="9" a="1"/>
  <c r="E1255" i="9" s="1"/>
  <c r="F1255" i="9" s="1"/>
  <c r="D1399" i="9" a="1"/>
  <c r="E1399" i="9" s="1"/>
  <c r="F1399" i="9" s="1"/>
  <c r="D1543" i="9" a="1"/>
  <c r="E1543" i="9" s="1"/>
  <c r="F1543" i="9" s="1"/>
  <c r="D693" i="9" a="1"/>
  <c r="E693" i="9" s="1"/>
  <c r="F693" i="9" s="1"/>
  <c r="D813" i="9" a="1"/>
  <c r="E813" i="9" s="1"/>
  <c r="F813" i="9" s="1"/>
  <c r="D956" i="9" a="1"/>
  <c r="E956" i="9" s="1"/>
  <c r="F956" i="9" s="1"/>
  <c r="D1100" i="9" a="1"/>
  <c r="E1100" i="9" s="1"/>
  <c r="F1100" i="9" s="1"/>
  <c r="D587" i="9" a="1"/>
  <c r="E587" i="9" s="1"/>
  <c r="F587" i="9" s="1"/>
  <c r="D886" i="9" a="1"/>
  <c r="E886" i="9" s="1"/>
  <c r="F886" i="9" s="1"/>
  <c r="D1029" i="9" a="1"/>
  <c r="E1029" i="9" s="1"/>
  <c r="F1029" i="9" s="1"/>
  <c r="D1173" i="9" a="1"/>
  <c r="E1173" i="9" s="1"/>
  <c r="F1173" i="9" s="1"/>
  <c r="D1293" i="9" a="1"/>
  <c r="E1293" i="9" s="1"/>
  <c r="F1293" i="9" s="1"/>
  <c r="D1820" i="9" a="1"/>
  <c r="E1820" i="9" s="1"/>
  <c r="F1820" i="9" s="1"/>
  <c r="D1388" i="9" a="1"/>
  <c r="E1388" i="9" s="1"/>
  <c r="F1388" i="9" s="1"/>
  <c r="D1737" i="9" a="1"/>
  <c r="E1737" i="9" s="1"/>
  <c r="F1737" i="9" s="1"/>
  <c r="D1965" i="9" a="1"/>
  <c r="E1965" i="9" s="1"/>
  <c r="F1965" i="9" s="1"/>
  <c r="D2145" i="9" a="1"/>
  <c r="E2145" i="9" s="1"/>
  <c r="F2145" i="9" s="1"/>
  <c r="D2313" i="9" a="1"/>
  <c r="E2313" i="9" s="1"/>
  <c r="F2313" i="9" s="1"/>
  <c r="D1497" i="9" a="1"/>
  <c r="E1497" i="9" s="1"/>
  <c r="F1497" i="9" s="1"/>
  <c r="D1666" i="9" a="1"/>
  <c r="E1666" i="9" s="1"/>
  <c r="F1666" i="9" s="1"/>
  <c r="D1822" i="9" a="1"/>
  <c r="E1822" i="9" s="1"/>
  <c r="F1822" i="9" s="1"/>
  <c r="D1262" i="9" a="1"/>
  <c r="E1262" i="9" s="1"/>
  <c r="F1262" i="9" s="1"/>
  <c r="D1515" i="9" a="1"/>
  <c r="E1515" i="9" s="1"/>
  <c r="F1515" i="9" s="1"/>
  <c r="D1679" i="9" a="1"/>
  <c r="E1679" i="9" s="1"/>
  <c r="F1679" i="9" s="1"/>
  <c r="D1823" i="9" a="1"/>
  <c r="E1823" i="9" s="1"/>
  <c r="F1823" i="9" s="1"/>
  <c r="D1481" i="9" a="1"/>
  <c r="E1481" i="9" s="1"/>
  <c r="F1481" i="9" s="1"/>
  <c r="D1644" i="9" a="1"/>
  <c r="E1644" i="9" s="1"/>
  <c r="F1644" i="9" s="1"/>
  <c r="D1788" i="9" a="1"/>
  <c r="E1788" i="9" s="1"/>
  <c r="F1788" i="9" s="1"/>
  <c r="D1932" i="9" a="1"/>
  <c r="E1932" i="9" s="1"/>
  <c r="F1932" i="9" s="1"/>
  <c r="D1304" i="9" a="1"/>
  <c r="E1304" i="9" s="1"/>
  <c r="F1304" i="9" s="1"/>
  <c r="D1517" i="9" a="1"/>
  <c r="E1517" i="9" s="1"/>
  <c r="F1517" i="9" s="1"/>
  <c r="D1669" i="9" a="1"/>
  <c r="E1669" i="9" s="1"/>
  <c r="F1669" i="9" s="1"/>
  <c r="D1813" i="9" a="1"/>
  <c r="E1813" i="9" s="1"/>
  <c r="F1813" i="9" s="1"/>
  <c r="D1957" i="9" a="1"/>
  <c r="E1957" i="9" s="1"/>
  <c r="F1957" i="9" s="1"/>
  <c r="D2101" i="9" a="1"/>
  <c r="E2101" i="9" s="1"/>
  <c r="F2101" i="9" s="1"/>
  <c r="D1975" i="9" a="1"/>
  <c r="E1975" i="9" s="1"/>
  <c r="F1975" i="9" s="1"/>
  <c r="D1190" i="9" a="1"/>
  <c r="E1190" i="9" s="1"/>
  <c r="F1190" i="9" s="1"/>
  <c r="D1264" i="9" a="1"/>
  <c r="E1264" i="9" s="1"/>
  <c r="F1264" i="9" s="1"/>
  <c r="D1261" i="9" a="1"/>
  <c r="E1261" i="9" s="1"/>
  <c r="F1261" i="9" s="1"/>
  <c r="D617" i="9" a="1"/>
  <c r="E617" i="9" s="1"/>
  <c r="F617" i="9" s="1"/>
  <c r="D776" i="9" a="1"/>
  <c r="E776" i="9" s="1"/>
  <c r="F776" i="9" s="1"/>
  <c r="D902" i="9" a="1"/>
  <c r="E902" i="9" s="1"/>
  <c r="F902" i="9" s="1"/>
  <c r="D1046" i="9" a="1"/>
  <c r="E1046" i="9" s="1"/>
  <c r="F1046" i="9" s="1"/>
  <c r="D474" i="9" a="1"/>
  <c r="E474" i="9" s="1"/>
  <c r="F474" i="9" s="1"/>
  <c r="D731" i="9" a="1"/>
  <c r="E731" i="9" s="1"/>
  <c r="F731" i="9" s="1"/>
  <c r="D844" i="9" a="1"/>
  <c r="E844" i="9" s="1"/>
  <c r="F844" i="9" s="1"/>
  <c r="D987" i="9" a="1"/>
  <c r="E987" i="9" s="1"/>
  <c r="F987" i="9" s="1"/>
  <c r="D1131" i="9" a="1"/>
  <c r="E1131" i="9" s="1"/>
  <c r="F1131" i="9" s="1"/>
  <c r="D357" i="9" a="1"/>
  <c r="E357" i="9" s="1"/>
  <c r="F357" i="9" s="1"/>
  <c r="D719" i="9" a="1"/>
  <c r="E719" i="9" s="1"/>
  <c r="F719" i="9" s="1"/>
  <c r="D833" i="9" a="1"/>
  <c r="E833" i="9" s="1"/>
  <c r="F833" i="9" s="1"/>
  <c r="D976" i="9" a="1"/>
  <c r="E976" i="9" s="1"/>
  <c r="F976" i="9" s="1"/>
  <c r="D1120" i="9" a="1"/>
  <c r="E1120" i="9" s="1"/>
  <c r="F1120" i="9" s="1"/>
  <c r="D620" i="9" a="1"/>
  <c r="E620" i="9" s="1"/>
  <c r="F620" i="9" s="1"/>
  <c r="D905" i="9" a="1"/>
  <c r="E905" i="9" s="1"/>
  <c r="F905" i="9" s="1"/>
  <c r="D1049" i="9" a="1"/>
  <c r="E1049" i="9" s="1"/>
  <c r="F1049" i="9" s="1"/>
  <c r="D489" i="9" a="1"/>
  <c r="E489" i="9" s="1"/>
  <c r="F489" i="9" s="1"/>
  <c r="D734" i="9" a="1"/>
  <c r="E734" i="9" s="1"/>
  <c r="F734" i="9" s="1"/>
  <c r="D847" i="9" a="1"/>
  <c r="E847" i="9" s="1"/>
  <c r="F847" i="9" s="1"/>
  <c r="D990" i="9" a="1"/>
  <c r="E990" i="9" s="1"/>
  <c r="F990" i="9" s="1"/>
  <c r="D1134" i="9" a="1"/>
  <c r="E1134" i="9" s="1"/>
  <c r="F1134" i="9" s="1"/>
  <c r="D1278" i="9" a="1"/>
  <c r="E1278" i="9" s="1"/>
  <c r="F1278" i="9" s="1"/>
  <c r="D1422" i="9" a="1"/>
  <c r="E1422" i="9" s="1"/>
  <c r="F1422" i="9" s="1"/>
  <c r="D408" i="9" a="1"/>
  <c r="E408" i="9" s="1"/>
  <c r="F408" i="9" s="1"/>
  <c r="D722" i="9" a="1"/>
  <c r="E722" i="9" s="1"/>
  <c r="F722" i="9" s="1"/>
  <c r="D836" i="9" a="1"/>
  <c r="E836" i="9" s="1"/>
  <c r="F836" i="9" s="1"/>
  <c r="D979" i="9" a="1"/>
  <c r="E979" i="9" s="1"/>
  <c r="F979" i="9" s="1"/>
  <c r="D1123" i="9" a="1"/>
  <c r="E1123" i="9" s="1"/>
  <c r="F1123" i="9" s="1"/>
  <c r="D1267" i="9" a="1"/>
  <c r="E1267" i="9" s="1"/>
  <c r="F1267" i="9" s="1"/>
  <c r="D1411" i="9" a="1"/>
  <c r="E1411" i="9" s="1"/>
  <c r="F1411" i="9" s="1"/>
  <c r="D261" i="9" a="1"/>
  <c r="E261" i="9" s="1"/>
  <c r="F261" i="9" s="1"/>
  <c r="D710" i="9" a="1"/>
  <c r="E710" i="9" s="1"/>
  <c r="F710" i="9" s="1"/>
  <c r="D932" i="9" a="1"/>
  <c r="E932" i="9" s="1"/>
  <c r="F932" i="9" s="1"/>
  <c r="D1076" i="9" a="1"/>
  <c r="E1076" i="9" s="1"/>
  <c r="F1076" i="9" s="1"/>
  <c r="D1220" i="9" a="1"/>
  <c r="E1220" i="9" s="1"/>
  <c r="F1220" i="9" s="1"/>
  <c r="D716" i="9" a="1"/>
  <c r="E716" i="9" s="1"/>
  <c r="F716" i="9" s="1"/>
  <c r="D897" i="9" a="1"/>
  <c r="E897" i="9" s="1"/>
  <c r="F897" i="9" s="1"/>
  <c r="D1041" i="9" a="1"/>
  <c r="E1041" i="9" s="1"/>
  <c r="F1041" i="9" s="1"/>
  <c r="D1511" i="9" a="1"/>
  <c r="E1511" i="9" s="1"/>
  <c r="F1511" i="9" s="1"/>
  <c r="D1952" i="9" a="1"/>
  <c r="E1952" i="9" s="1"/>
  <c r="F1952" i="9" s="1"/>
  <c r="D1545" i="9" a="1"/>
  <c r="E1545" i="9" s="1"/>
  <c r="F1545" i="9" s="1"/>
  <c r="D1749" i="9" a="1"/>
  <c r="E1749" i="9" s="1"/>
  <c r="F1749" i="9" s="1"/>
  <c r="D1977" i="9" a="1"/>
  <c r="E1977" i="9" s="1"/>
  <c r="F1977" i="9" s="1"/>
  <c r="D2157" i="9" a="1"/>
  <c r="E2157" i="9" s="1"/>
  <c r="F2157" i="9" s="1"/>
  <c r="D2325" i="9" a="1"/>
  <c r="E2325" i="9" s="1"/>
  <c r="F2325" i="9" s="1"/>
  <c r="D1514" i="9" a="1"/>
  <c r="E1514" i="9" s="1"/>
  <c r="F1514" i="9" s="1"/>
  <c r="D1678" i="9" a="1"/>
  <c r="E1678" i="9" s="1"/>
  <c r="F1678" i="9" s="1"/>
  <c r="D1834" i="9" a="1"/>
  <c r="E1834" i="9" s="1"/>
  <c r="F1834" i="9" s="1"/>
  <c r="D1300" i="9" a="1"/>
  <c r="E1300" i="9" s="1"/>
  <c r="F1300" i="9" s="1"/>
  <c r="D1532" i="9" a="1"/>
  <c r="E1532" i="9" s="1"/>
  <c r="F1532" i="9" s="1"/>
  <c r="D1691" i="9" a="1"/>
  <c r="E1691" i="9" s="1"/>
  <c r="F1691" i="9" s="1"/>
  <c r="D1277" i="9" a="1"/>
  <c r="E1277" i="9" s="1"/>
  <c r="F1277" i="9" s="1"/>
  <c r="D1501" i="9" a="1"/>
  <c r="E1501" i="9" s="1"/>
  <c r="F1501" i="9" s="1"/>
  <c r="D1656" i="9" a="1"/>
  <c r="E1656" i="9" s="1"/>
  <c r="F1656" i="9" s="1"/>
  <c r="D1800" i="9" a="1"/>
  <c r="E1800" i="9" s="1"/>
  <c r="F1800" i="9" s="1"/>
  <c r="D1944" i="9" a="1"/>
  <c r="E1944" i="9" s="1"/>
  <c r="F1944" i="9" s="1"/>
  <c r="D1322" i="9" a="1"/>
  <c r="E1322" i="9" s="1"/>
  <c r="F1322" i="9" s="1"/>
  <c r="D1535" i="9" a="1"/>
  <c r="E1535" i="9" s="1"/>
  <c r="F1535" i="9" s="1"/>
  <c r="D1681" i="9" a="1"/>
  <c r="E1681" i="9" s="1"/>
  <c r="F1681" i="9" s="1"/>
  <c r="D1825" i="9" a="1"/>
  <c r="E1825" i="9" s="1"/>
  <c r="F1825" i="9" s="1"/>
  <c r="D1969" i="9" a="1"/>
  <c r="E1969" i="9" s="1"/>
  <c r="F1969" i="9" s="1"/>
  <c r="D2113" i="9" a="1"/>
  <c r="E2113" i="9" s="1"/>
  <c r="F2113" i="9" s="1"/>
  <c r="D1883" i="9" a="1"/>
  <c r="E1883" i="9" s="1"/>
  <c r="F1883" i="9" s="1"/>
  <c r="D1129" i="9" a="1"/>
  <c r="E1129" i="9" s="1"/>
  <c r="F1129" i="9" s="1"/>
  <c r="D1240" i="9" a="1"/>
  <c r="E1240" i="9" s="1"/>
  <c r="F1240" i="9" s="1"/>
  <c r="D1232" i="9" a="1"/>
  <c r="E1232" i="9" s="1"/>
  <c r="F1232" i="9" s="1"/>
  <c r="D636" i="9" a="1"/>
  <c r="E636" i="9" s="1"/>
  <c r="F636" i="9" s="1"/>
  <c r="D782" i="9" a="1"/>
  <c r="E782" i="9" s="1"/>
  <c r="F782" i="9" s="1"/>
  <c r="D914" i="9" a="1"/>
  <c r="E914" i="9" s="1"/>
  <c r="F914" i="9" s="1"/>
  <c r="D1058" i="9" a="1"/>
  <c r="E1058" i="9" s="1"/>
  <c r="F1058" i="9" s="1"/>
  <c r="D520" i="9" a="1"/>
  <c r="E520" i="9" s="1"/>
  <c r="F520" i="9" s="1"/>
  <c r="D744" i="9" a="1"/>
  <c r="E744" i="9" s="1"/>
  <c r="F744" i="9" s="1"/>
  <c r="D856" i="9" a="1"/>
  <c r="E856" i="9" s="1"/>
  <c r="F856" i="9" s="1"/>
  <c r="D999" i="9" a="1"/>
  <c r="E999" i="9" s="1"/>
  <c r="F999" i="9" s="1"/>
  <c r="D1143" i="9" a="1"/>
  <c r="E1143" i="9" s="1"/>
  <c r="F1143" i="9" s="1"/>
  <c r="D482" i="9" a="1"/>
  <c r="E482" i="9" s="1"/>
  <c r="F482" i="9" s="1"/>
  <c r="D732" i="9" a="1"/>
  <c r="E732" i="9" s="1"/>
  <c r="F732" i="9" s="1"/>
  <c r="D845" i="9" a="1"/>
  <c r="E845" i="9" s="1"/>
  <c r="F845" i="9" s="1"/>
  <c r="D988" i="9" a="1"/>
  <c r="E988" i="9" s="1"/>
  <c r="F988" i="9" s="1"/>
  <c r="D1132" i="9" a="1"/>
  <c r="E1132" i="9" s="1"/>
  <c r="F1132" i="9" s="1"/>
  <c r="D639" i="9" a="1"/>
  <c r="E639" i="9" s="1"/>
  <c r="F639" i="9" s="1"/>
  <c r="D917" i="9" a="1"/>
  <c r="E917" i="9" s="1"/>
  <c r="F917" i="9" s="1"/>
  <c r="D1061" i="9" a="1"/>
  <c r="E1061" i="9" s="1"/>
  <c r="F1061" i="9" s="1"/>
  <c r="D528" i="9" a="1"/>
  <c r="E528" i="9" s="1"/>
  <c r="F528" i="9" s="1"/>
  <c r="D747" i="9" a="1"/>
  <c r="E747" i="9" s="1"/>
  <c r="F747" i="9" s="1"/>
  <c r="D859" i="9" a="1"/>
  <c r="E859" i="9" s="1"/>
  <c r="F859" i="9" s="1"/>
  <c r="D1002" i="9" a="1"/>
  <c r="E1002" i="9" s="1"/>
  <c r="F1002" i="9" s="1"/>
  <c r="D1146" i="9" a="1"/>
  <c r="E1146" i="9" s="1"/>
  <c r="F1146" i="9" s="1"/>
  <c r="D1290" i="9" a="1"/>
  <c r="E1290" i="9" s="1"/>
  <c r="F1290" i="9" s="1"/>
  <c r="D1434" i="9" a="1"/>
  <c r="E1434" i="9" s="1"/>
  <c r="F1434" i="9" s="1"/>
  <c r="D491" i="9" a="1"/>
  <c r="E491" i="9" s="1"/>
  <c r="F491" i="9" s="1"/>
  <c r="D735" i="9" a="1"/>
  <c r="E735" i="9" s="1"/>
  <c r="F735" i="9" s="1"/>
  <c r="D848" i="9" a="1"/>
  <c r="E848" i="9" s="1"/>
  <c r="F848" i="9" s="1"/>
  <c r="D991" i="9" a="1"/>
  <c r="E991" i="9" s="1"/>
  <c r="F991" i="9" s="1"/>
  <c r="D1135" i="9" a="1"/>
  <c r="E1135" i="9" s="1"/>
  <c r="F1135" i="9" s="1"/>
  <c r="D1279" i="9" a="1"/>
  <c r="E1279" i="9" s="1"/>
  <c r="F1279" i="9" s="1"/>
  <c r="D1423" i="9" a="1"/>
  <c r="E1423" i="9" s="1"/>
  <c r="F1423" i="9" s="1"/>
  <c r="D417" i="9" a="1"/>
  <c r="E417" i="9" s="1"/>
  <c r="F417" i="9" s="1"/>
  <c r="D723" i="9" a="1"/>
  <c r="E723" i="9" s="1"/>
  <c r="F723" i="9" s="1"/>
  <c r="D837" i="9" a="1"/>
  <c r="E837" i="9" s="1"/>
  <c r="F837" i="9" s="1"/>
  <c r="D980" i="9" a="1"/>
  <c r="E980" i="9" s="1"/>
  <c r="F980" i="9" s="1"/>
  <c r="D1124" i="9" a="1"/>
  <c r="E1124" i="9" s="1"/>
  <c r="F1124" i="9" s="1"/>
  <c r="D1663" i="9" a="1"/>
  <c r="E1663" i="9" s="1"/>
  <c r="F1663" i="9" s="1"/>
  <c r="D1964" i="9" a="1"/>
  <c r="E1964" i="9" s="1"/>
  <c r="F1964" i="9" s="1"/>
  <c r="D1557" i="9" a="1"/>
  <c r="E1557" i="9" s="1"/>
  <c r="F1557" i="9" s="1"/>
  <c r="D1809" i="9" a="1"/>
  <c r="E1809" i="9" s="1"/>
  <c r="F1809" i="9" s="1"/>
  <c r="D1989" i="9" a="1"/>
  <c r="E1989" i="9" s="1"/>
  <c r="F1989" i="9" s="1"/>
  <c r="D2169" i="9" a="1"/>
  <c r="E2169" i="9" s="1"/>
  <c r="F2169" i="9" s="1"/>
  <c r="D1237" i="9" a="1"/>
  <c r="E1237" i="9" s="1"/>
  <c r="F1237" i="9" s="1"/>
  <c r="D1529" i="9" a="1"/>
  <c r="E1529" i="9" s="1"/>
  <c r="F1529" i="9" s="1"/>
  <c r="D1690" i="9" a="1"/>
  <c r="E1690" i="9" s="1"/>
  <c r="F1690" i="9" s="1"/>
  <c r="D1846" i="9" a="1"/>
  <c r="E1846" i="9" s="1"/>
  <c r="F1846" i="9" s="1"/>
  <c r="D1320" i="9" a="1"/>
  <c r="E1320" i="9" s="1"/>
  <c r="F1320" i="9" s="1"/>
  <c r="D1547" i="9" a="1"/>
  <c r="E1547" i="9" s="1"/>
  <c r="F1547" i="9" s="1"/>
  <c r="D1703" i="9" a="1"/>
  <c r="E1703" i="9" s="1"/>
  <c r="F1703" i="9" s="1"/>
  <c r="D1301" i="9" a="1"/>
  <c r="E1301" i="9" s="1"/>
  <c r="F1301" i="9" s="1"/>
  <c r="D1516" i="9" a="1"/>
  <c r="E1516" i="9" s="1"/>
  <c r="F1516" i="9" s="1"/>
  <c r="D1668" i="9" a="1"/>
  <c r="E1668" i="9" s="1"/>
  <c r="F1668" i="9" s="1"/>
  <c r="D1812" i="9" a="1"/>
  <c r="E1812" i="9" s="1"/>
  <c r="F1812" i="9" s="1"/>
  <c r="D1956" i="9" a="1"/>
  <c r="E1956" i="9" s="1"/>
  <c r="F1956" i="9" s="1"/>
  <c r="D1340" i="9" a="1"/>
  <c r="E1340" i="9" s="1"/>
  <c r="F1340" i="9" s="1"/>
  <c r="D1549" i="9" a="1"/>
  <c r="E1549" i="9" s="1"/>
  <c r="F1549" i="9" s="1"/>
  <c r="D1693" i="9" a="1"/>
  <c r="E1693" i="9" s="1"/>
  <c r="F1693" i="9" s="1"/>
  <c r="D1837" i="9" a="1"/>
  <c r="E1837" i="9" s="1"/>
  <c r="F1837" i="9" s="1"/>
  <c r="D1981" i="9" a="1"/>
  <c r="E1981" i="9" s="1"/>
  <c r="F1981" i="9" s="1"/>
  <c r="D2125" i="9" a="1"/>
  <c r="E2125" i="9" s="1"/>
  <c r="F2125" i="9" s="1"/>
  <c r="D2015" i="9" a="1"/>
  <c r="E2015" i="9" s="1"/>
  <c r="F2015" i="9" s="1"/>
  <c r="D1268" i="9" a="1"/>
  <c r="E1268" i="9" s="1"/>
  <c r="F1268" i="9" s="1"/>
  <c r="D1213" i="9" a="1"/>
  <c r="E1213" i="9" s="1"/>
  <c r="F1213" i="9" s="1"/>
  <c r="D1204" i="9" a="1"/>
  <c r="E1204" i="9" s="1"/>
  <c r="F1204" i="9" s="1"/>
  <c r="D651" i="9" a="1"/>
  <c r="E651" i="9" s="1"/>
  <c r="F651" i="9" s="1"/>
  <c r="D861" i="9" a="1"/>
  <c r="E861" i="9" s="1"/>
  <c r="F861" i="9" s="1"/>
  <c r="D926" i="9" a="1"/>
  <c r="E926" i="9" s="1"/>
  <c r="F926" i="9" s="1"/>
  <c r="D1070" i="9" a="1"/>
  <c r="E1070" i="9" s="1"/>
  <c r="F1070" i="9" s="1"/>
  <c r="D551" i="9" a="1"/>
  <c r="E551" i="9" s="1"/>
  <c r="F551" i="9" s="1"/>
  <c r="D758" i="9" a="1"/>
  <c r="E758" i="9" s="1"/>
  <c r="F758" i="9" s="1"/>
  <c r="D868" i="9" a="1"/>
  <c r="E868" i="9" s="1"/>
  <c r="F868" i="9" s="1"/>
  <c r="D1011" i="9" a="1"/>
  <c r="E1011" i="9" s="1"/>
  <c r="F1011" i="9" s="1"/>
  <c r="D1155" i="9" a="1"/>
  <c r="E1155" i="9" s="1"/>
  <c r="F1155" i="9" s="1"/>
  <c r="D524" i="9" a="1"/>
  <c r="E524" i="9" s="1"/>
  <c r="F524" i="9" s="1"/>
  <c r="D745" i="9" a="1"/>
  <c r="E745" i="9" s="1"/>
  <c r="F745" i="9" s="1"/>
  <c r="D857" i="9" a="1"/>
  <c r="E857" i="9" s="1"/>
  <c r="F857" i="9" s="1"/>
  <c r="D1000" i="9" a="1"/>
  <c r="E1000" i="9" s="1"/>
  <c r="F1000" i="9" s="1"/>
  <c r="D1144" i="9" a="1"/>
  <c r="E1144" i="9" s="1"/>
  <c r="F1144" i="9" s="1"/>
  <c r="D656" i="9" a="1"/>
  <c r="E656" i="9" s="1"/>
  <c r="F656" i="9" s="1"/>
  <c r="D929" i="9" a="1"/>
  <c r="E929" i="9" s="1"/>
  <c r="F929" i="9" s="1"/>
  <c r="D1073" i="9" a="1"/>
  <c r="E1073" i="9" s="1"/>
  <c r="F1073" i="9" s="1"/>
  <c r="D556" i="9" a="1"/>
  <c r="E556" i="9" s="1"/>
  <c r="F556" i="9" s="1"/>
  <c r="D871" i="9" a="1"/>
  <c r="E871" i="9" s="1"/>
  <c r="F871" i="9" s="1"/>
  <c r="D1014" i="9" a="1"/>
  <c r="E1014" i="9" s="1"/>
  <c r="F1014" i="9" s="1"/>
  <c r="D1158" i="9" a="1"/>
  <c r="E1158" i="9" s="1"/>
  <c r="F1158" i="9" s="1"/>
  <c r="D1302" i="9" a="1"/>
  <c r="E1302" i="9" s="1"/>
  <c r="F1302" i="9" s="1"/>
  <c r="D1446" i="9" a="1"/>
  <c r="E1446" i="9" s="1"/>
  <c r="F1446" i="9" s="1"/>
  <c r="D530" i="9" a="1"/>
  <c r="E530" i="9" s="1"/>
  <c r="F530" i="9" s="1"/>
  <c r="D749" i="9" a="1"/>
  <c r="E749" i="9" s="1"/>
  <c r="F749" i="9" s="1"/>
  <c r="D860" i="9" a="1"/>
  <c r="E860" i="9" s="1"/>
  <c r="F860" i="9" s="1"/>
  <c r="D1003" i="9" a="1"/>
  <c r="E1003" i="9" s="1"/>
  <c r="F1003" i="9" s="1"/>
  <c r="D1147" i="9" a="1"/>
  <c r="E1147" i="9" s="1"/>
  <c r="F1147" i="9" s="1"/>
  <c r="D1291" i="9" a="1"/>
  <c r="E1291" i="9" s="1"/>
  <c r="F1291" i="9" s="1"/>
  <c r="D1435" i="9" a="1"/>
  <c r="E1435" i="9" s="1"/>
  <c r="F1435" i="9" s="1"/>
  <c r="D497" i="9" a="1"/>
  <c r="E497" i="9" s="1"/>
  <c r="F497" i="9" s="1"/>
  <c r="D736" i="9" a="1"/>
  <c r="E736" i="9" s="1"/>
  <c r="F736" i="9" s="1"/>
  <c r="D849" i="9" a="1"/>
  <c r="E849" i="9" s="1"/>
  <c r="F849" i="9" s="1"/>
  <c r="D992" i="9" a="1"/>
  <c r="E992" i="9" s="1"/>
  <c r="F992" i="9" s="1"/>
  <c r="D1136" i="9" a="1"/>
  <c r="E1136" i="9" s="1"/>
  <c r="F1136" i="9" s="1"/>
  <c r="D1160" i="9" a="1"/>
  <c r="E1160" i="9" s="1"/>
  <c r="F1160" i="9" s="1"/>
  <c r="D933" i="9" a="1"/>
  <c r="E933" i="9" s="1"/>
  <c r="F933" i="9" s="1"/>
  <c r="D1221" i="9" a="1"/>
  <c r="E1221" i="9" s="1"/>
  <c r="F1221" i="9" s="1"/>
  <c r="D762" i="9" a="1"/>
  <c r="E762" i="9" s="1"/>
  <c r="F762" i="9" s="1"/>
  <c r="D922" i="9" a="1"/>
  <c r="E922" i="9" s="1"/>
  <c r="F922" i="9" s="1"/>
  <c r="D1162" i="9" a="1"/>
  <c r="E1162" i="9" s="1"/>
  <c r="F1162" i="9" s="1"/>
  <c r="D1354" i="9" a="1"/>
  <c r="E1354" i="9" s="1"/>
  <c r="F1354" i="9" s="1"/>
  <c r="D563" i="9" a="1"/>
  <c r="E563" i="9" s="1"/>
  <c r="F563" i="9" s="1"/>
  <c r="D1019" i="9" a="1"/>
  <c r="E1019" i="9" s="1"/>
  <c r="F1019" i="9" s="1"/>
  <c r="D1211" i="9" a="1"/>
  <c r="E1211" i="9" s="1"/>
  <c r="F1211" i="9" s="1"/>
  <c r="D1451" i="9" a="1"/>
  <c r="E1451" i="9" s="1"/>
  <c r="F1451" i="9" s="1"/>
  <c r="D683" i="9" a="1"/>
  <c r="E683" i="9" s="1"/>
  <c r="F683" i="9" s="1"/>
  <c r="D841" i="9" a="1"/>
  <c r="E841" i="9" s="1"/>
  <c r="F841" i="9" s="1"/>
  <c r="D996" i="9" a="1"/>
  <c r="E996" i="9" s="1"/>
  <c r="F996" i="9" s="1"/>
  <c r="D1152" i="9" a="1"/>
  <c r="E1152" i="9" s="1"/>
  <c r="F1152" i="9" s="1"/>
  <c r="D516" i="9" a="1"/>
  <c r="E516" i="9" s="1"/>
  <c r="F516" i="9" s="1"/>
  <c r="D742" i="9" a="1"/>
  <c r="E742" i="9" s="1"/>
  <c r="F742" i="9" s="1"/>
  <c r="D854" i="9" a="1"/>
  <c r="E854" i="9" s="1"/>
  <c r="F854" i="9" s="1"/>
  <c r="D997" i="9" a="1"/>
  <c r="E997" i="9" s="1"/>
  <c r="F997" i="9" s="1"/>
  <c r="D1169" i="9" a="1"/>
  <c r="E1169" i="9" s="1"/>
  <c r="F1169" i="9" s="1"/>
  <c r="D1273" i="9" a="1"/>
  <c r="E1273" i="9" s="1"/>
  <c r="F1273" i="9" s="1"/>
  <c r="D30" i="9" a="1"/>
  <c r="E30" i="9" s="1"/>
  <c r="F30" i="9" s="1"/>
  <c r="D161" i="9" a="1"/>
  <c r="E161" i="9" s="1"/>
  <c r="F161" i="9" s="1"/>
  <c r="D295" i="9" a="1"/>
  <c r="E295" i="9" s="1"/>
  <c r="F295" i="9" s="1"/>
  <c r="D468" i="9" a="1"/>
  <c r="E468" i="9" s="1"/>
  <c r="F468" i="9" s="1"/>
  <c r="D621" i="9" a="1"/>
  <c r="E621" i="9" s="1"/>
  <c r="F621" i="9" s="1"/>
  <c r="D59" i="9" a="1"/>
  <c r="E59" i="9" s="1"/>
  <c r="F59" i="9" s="1"/>
  <c r="D219" i="9" a="1"/>
  <c r="E219" i="9" s="1"/>
  <c r="F219" i="9" s="1"/>
  <c r="D337" i="9" a="1"/>
  <c r="E337" i="9" s="1"/>
  <c r="F337" i="9" s="1"/>
  <c r="D461" i="9" a="1"/>
  <c r="E461" i="9" s="1"/>
  <c r="F461" i="9" s="1"/>
  <c r="D594" i="9" a="1"/>
  <c r="E594" i="9" s="1"/>
  <c r="F594" i="9" s="1"/>
  <c r="D134" i="9" a="1"/>
  <c r="E134" i="9" s="1"/>
  <c r="F134" i="9" s="1"/>
  <c r="D249" i="9" a="1"/>
  <c r="E249" i="9" s="1"/>
  <c r="F249" i="9" s="1"/>
  <c r="D445" i="9" a="1"/>
  <c r="E445" i="9" s="1"/>
  <c r="F445" i="9" s="1"/>
  <c r="D585" i="9" a="1"/>
  <c r="E585" i="9" s="1"/>
  <c r="F585" i="9" s="1"/>
  <c r="D738" i="9" a="1"/>
  <c r="E738" i="9" s="1"/>
  <c r="F738" i="9" s="1"/>
  <c r="D89" i="9" a="1"/>
  <c r="E89" i="9" s="1"/>
  <c r="F89" i="9" s="1"/>
  <c r="D230" i="9" a="1"/>
  <c r="E230" i="9" s="1"/>
  <c r="F230" i="9" s="1"/>
  <c r="D365" i="9" a="1"/>
  <c r="E365" i="9" s="1"/>
  <c r="F365" i="9" s="1"/>
  <c r="D533" i="9" a="1"/>
  <c r="E533" i="9" s="1"/>
  <c r="F533" i="9" s="1"/>
  <c r="D670" i="9" a="1"/>
  <c r="E670" i="9" s="1"/>
  <c r="F670" i="9" s="1"/>
  <c r="D98" i="9" a="1"/>
  <c r="E98" i="9" s="1"/>
  <c r="F98" i="9" s="1"/>
  <c r="D90" i="9" a="1"/>
  <c r="E90" i="9" s="1"/>
  <c r="F90" i="9" s="1"/>
  <c r="D242" i="9" a="1"/>
  <c r="E242" i="9" s="1"/>
  <c r="F242" i="9" s="1"/>
  <c r="D376" i="9" a="1"/>
  <c r="E376" i="9" s="1"/>
  <c r="F376" i="9" s="1"/>
  <c r="D507" i="9" a="1"/>
  <c r="E507" i="9" s="1"/>
  <c r="F507" i="9" s="1"/>
  <c r="D127" i="9" a="1"/>
  <c r="E127" i="9" s="1"/>
  <c r="F127" i="9" s="1"/>
  <c r="D272" i="9" a="1"/>
  <c r="E272" i="9" s="1"/>
  <c r="F272" i="9" s="1"/>
  <c r="D437" i="9" a="1"/>
  <c r="E437" i="9" s="1"/>
  <c r="F437" i="9" s="1"/>
  <c r="D635" i="9" a="1"/>
  <c r="E635" i="9" s="1"/>
  <c r="F635" i="9" s="1"/>
  <c r="D110" i="9" a="1"/>
  <c r="E110" i="9" s="1"/>
  <c r="F110" i="9" s="1"/>
  <c r="D244" i="9" a="1"/>
  <c r="E244" i="9" s="1"/>
  <c r="F244" i="9" s="1"/>
  <c r="D377" i="9" a="1"/>
  <c r="E377" i="9" s="1"/>
  <c r="F377" i="9" s="1"/>
  <c r="D19" i="9" a="1"/>
  <c r="E19" i="9" s="1"/>
  <c r="F19" i="9" s="1"/>
  <c r="D167" i="9" a="1"/>
  <c r="E167" i="9" s="1"/>
  <c r="F167" i="9" s="1"/>
  <c r="D628" i="9" a="1"/>
  <c r="E628" i="9" s="1"/>
  <c r="F628" i="9" s="1"/>
  <c r="D945" i="9" a="1"/>
  <c r="E945" i="9" s="1"/>
  <c r="F945" i="9" s="1"/>
  <c r="D1233" i="9" a="1"/>
  <c r="E1233" i="9" s="1"/>
  <c r="F1233" i="9" s="1"/>
  <c r="D768" i="9" a="1"/>
  <c r="E768" i="9" s="1"/>
  <c r="F768" i="9" s="1"/>
  <c r="D1726" i="9" a="1"/>
  <c r="E1726" i="9" s="1"/>
  <c r="F1726" i="9" s="1"/>
  <c r="D1174" i="9" a="1"/>
  <c r="E1174" i="9" s="1"/>
  <c r="F1174" i="9" s="1"/>
  <c r="D2410" i="9" a="1"/>
  <c r="E2410" i="9" s="1"/>
  <c r="F2410" i="9" s="1"/>
  <c r="D590" i="9" a="1"/>
  <c r="E590" i="9" s="1"/>
  <c r="F590" i="9" s="1"/>
  <c r="D1031" i="9" a="1"/>
  <c r="E1031" i="9" s="1"/>
  <c r="F1031" i="9" s="1"/>
  <c r="D1223" i="9" a="1"/>
  <c r="E1223" i="9" s="1"/>
  <c r="F1223" i="9" s="1"/>
  <c r="D1463" i="9" a="1"/>
  <c r="E1463" i="9" s="1"/>
  <c r="F1463" i="9" s="1"/>
  <c r="D700" i="9" a="1"/>
  <c r="E700" i="9" s="1"/>
  <c r="F700" i="9" s="1"/>
  <c r="D853" i="9" a="1"/>
  <c r="E853" i="9" s="1"/>
  <c r="F853" i="9" s="1"/>
  <c r="D1008" i="9" a="1"/>
  <c r="E1008" i="9" s="1"/>
  <c r="F1008" i="9" s="1"/>
  <c r="D1164" i="9" a="1"/>
  <c r="E1164" i="9" s="1"/>
  <c r="F1164" i="9" s="1"/>
  <c r="D546" i="9" a="1"/>
  <c r="E546" i="9" s="1"/>
  <c r="F546" i="9" s="1"/>
  <c r="D756" i="9" a="1"/>
  <c r="E756" i="9" s="1"/>
  <c r="F756" i="9" s="1"/>
  <c r="D866" i="9" a="1"/>
  <c r="E866" i="9" s="1"/>
  <c r="F866" i="9" s="1"/>
  <c r="D1009" i="9" a="1"/>
  <c r="E1009" i="9" s="1"/>
  <c r="F1009" i="9" s="1"/>
  <c r="D1275" i="9" a="1"/>
  <c r="E1275" i="9" s="1"/>
  <c r="F1275" i="9" s="1"/>
  <c r="D1252" i="9" a="1"/>
  <c r="E1252" i="9" s="1"/>
  <c r="F1252" i="9" s="1"/>
  <c r="D40" i="9" a="1"/>
  <c r="E40" i="9" s="1"/>
  <c r="F40" i="9" s="1"/>
  <c r="D179" i="9" a="1"/>
  <c r="E179" i="9" s="1"/>
  <c r="F179" i="9" s="1"/>
  <c r="D313" i="9" a="1"/>
  <c r="E313" i="9" s="1"/>
  <c r="F313" i="9" s="1"/>
  <c r="D485" i="9" a="1"/>
  <c r="E485" i="9" s="1"/>
  <c r="F485" i="9" s="1"/>
  <c r="D631" i="9" a="1"/>
  <c r="E631" i="9" s="1"/>
  <c r="F631" i="9" s="1"/>
  <c r="D68" i="9" a="1"/>
  <c r="E68" i="9" s="1"/>
  <c r="F68" i="9" s="1"/>
  <c r="D228" i="9" a="1"/>
  <c r="E228" i="9" s="1"/>
  <c r="F228" i="9" s="1"/>
  <c r="D345" i="9" a="1"/>
  <c r="E345" i="9" s="1"/>
  <c r="F345" i="9" s="1"/>
  <c r="D476" i="9" a="1"/>
  <c r="E476" i="9" s="1"/>
  <c r="F476" i="9" s="1"/>
  <c r="D614" i="9" a="1"/>
  <c r="E614" i="9" s="1"/>
  <c r="F614" i="9" s="1"/>
  <c r="D144" i="9" a="1"/>
  <c r="E144" i="9" s="1"/>
  <c r="F144" i="9" s="1"/>
  <c r="D270" i="9" a="1"/>
  <c r="E270" i="9" s="1"/>
  <c r="F270" i="9" s="1"/>
  <c r="D452" i="9" a="1"/>
  <c r="E452" i="9" s="1"/>
  <c r="F452" i="9" s="1"/>
  <c r="D595" i="9" a="1"/>
  <c r="E595" i="9" s="1"/>
  <c r="F595" i="9" s="1"/>
  <c r="D748" i="9" a="1"/>
  <c r="E748" i="9" s="1"/>
  <c r="F748" i="9" s="1"/>
  <c r="D107" i="9" a="1"/>
  <c r="E107" i="9" s="1"/>
  <c r="F107" i="9" s="1"/>
  <c r="D250" i="9" a="1"/>
  <c r="E250" i="9" s="1"/>
  <c r="F250" i="9" s="1"/>
  <c r="D375" i="9" a="1"/>
  <c r="E375" i="9" s="1"/>
  <c r="F375" i="9" s="1"/>
  <c r="D542" i="9" a="1"/>
  <c r="E542" i="9" s="1"/>
  <c r="F542" i="9" s="1"/>
  <c r="D679" i="9" a="1"/>
  <c r="E679" i="9" s="1"/>
  <c r="F679" i="9" s="1"/>
  <c r="D117" i="9" a="1"/>
  <c r="E117" i="9" s="1"/>
  <c r="F117" i="9" s="1"/>
  <c r="D99" i="9" a="1"/>
  <c r="E99" i="9" s="1"/>
  <c r="F99" i="9" s="1"/>
  <c r="D262" i="9" a="1"/>
  <c r="E262" i="9" s="1"/>
  <c r="F262" i="9" s="1"/>
  <c r="D385" i="9" a="1"/>
  <c r="E385" i="9" s="1"/>
  <c r="F385" i="9" s="1"/>
  <c r="D517" i="9" a="1"/>
  <c r="E517" i="9" s="1"/>
  <c r="F517" i="9" s="1"/>
  <c r="D146" i="9" a="1"/>
  <c r="E146" i="9" s="1"/>
  <c r="F146" i="9" s="1"/>
  <c r="D301" i="9" a="1"/>
  <c r="E301" i="9" s="1"/>
  <c r="F301" i="9" s="1"/>
  <c r="D455" i="9" a="1"/>
  <c r="E455" i="9" s="1"/>
  <c r="F455" i="9" s="1"/>
  <c r="D655" i="9" a="1"/>
  <c r="E655" i="9" s="1"/>
  <c r="F655" i="9" s="1"/>
  <c r="D120" i="9" a="1"/>
  <c r="E120" i="9" s="1"/>
  <c r="F120" i="9" s="1"/>
  <c r="D253" i="9" a="1"/>
  <c r="E253" i="9" s="1"/>
  <c r="F253" i="9" s="1"/>
  <c r="D387" i="9" a="1"/>
  <c r="E387" i="9" s="1"/>
  <c r="F387" i="9" s="1"/>
  <c r="D27" i="9" a="1"/>
  <c r="E27" i="9" s="1"/>
  <c r="F27" i="9" s="1"/>
  <c r="D175" i="9" a="1"/>
  <c r="E175" i="9" s="1"/>
  <c r="F175" i="9" s="1"/>
  <c r="D333" i="9" a="1"/>
  <c r="E333" i="9" s="1"/>
  <c r="F333" i="9" s="1"/>
  <c r="D645" i="9" a="1"/>
  <c r="E645" i="9" s="1"/>
  <c r="F645" i="9" s="1"/>
  <c r="D1005" i="9" a="1"/>
  <c r="E1005" i="9" s="1"/>
  <c r="F1005" i="9" s="1"/>
  <c r="D572" i="9" a="1"/>
  <c r="E572" i="9" s="1"/>
  <c r="F572" i="9" s="1"/>
  <c r="D774" i="9" a="1"/>
  <c r="E774" i="9" s="1"/>
  <c r="F774" i="9" s="1"/>
  <c r="D994" i="9" a="1"/>
  <c r="E994" i="9" s="1"/>
  <c r="F994" i="9" s="1"/>
  <c r="D214" i="9" a="1"/>
  <c r="E214" i="9" s="1"/>
  <c r="F214" i="9" s="1"/>
  <c r="D1426" i="9" a="1"/>
  <c r="E1426" i="9" s="1"/>
  <c r="F1426" i="9" s="1"/>
  <c r="D610" i="9" a="1"/>
  <c r="E610" i="9" s="1"/>
  <c r="F610" i="9" s="1"/>
  <c r="D852" i="9" a="1"/>
  <c r="E852" i="9" s="1"/>
  <c r="F852" i="9" s="1"/>
  <c r="D1043" i="9" a="1"/>
  <c r="E1043" i="9" s="1"/>
  <c r="F1043" i="9" s="1"/>
  <c r="D1283" i="9" a="1"/>
  <c r="E1283" i="9" s="1"/>
  <c r="F1283" i="9" s="1"/>
  <c r="D1475" i="9" a="1"/>
  <c r="E1475" i="9" s="1"/>
  <c r="F1475" i="9" s="1"/>
  <c r="D727" i="9" a="1"/>
  <c r="E727" i="9" s="1"/>
  <c r="F727" i="9" s="1"/>
  <c r="D865" i="9" a="1"/>
  <c r="E865" i="9" s="1"/>
  <c r="F865" i="9" s="1"/>
  <c r="D1020" i="9" a="1"/>
  <c r="E1020" i="9" s="1"/>
  <c r="F1020" i="9" s="1"/>
  <c r="D1176" i="9" a="1"/>
  <c r="E1176" i="9" s="1"/>
  <c r="F1176" i="9" s="1"/>
  <c r="D570" i="9" a="1"/>
  <c r="E570" i="9" s="1"/>
  <c r="F570" i="9" s="1"/>
  <c r="D878" i="9" a="1"/>
  <c r="E878" i="9" s="1"/>
  <c r="F878" i="9" s="1"/>
  <c r="D1021" i="9" a="1"/>
  <c r="E1021" i="9" s="1"/>
  <c r="F1021" i="9" s="1"/>
  <c r="D1364" i="9" a="1"/>
  <c r="E1364" i="9" s="1"/>
  <c r="F1364" i="9" s="1"/>
  <c r="D1225" i="9" a="1"/>
  <c r="E1225" i="9" s="1"/>
  <c r="F1225" i="9" s="1"/>
  <c r="D49" i="9" a="1"/>
  <c r="E49" i="9" s="1"/>
  <c r="F49" i="9" s="1"/>
  <c r="D188" i="9" a="1"/>
  <c r="E188" i="9" s="1"/>
  <c r="F188" i="9" s="1"/>
  <c r="D356" i="9" a="1"/>
  <c r="E356" i="9" s="1"/>
  <c r="F356" i="9" s="1"/>
  <c r="D493" i="9" a="1"/>
  <c r="E493" i="9" s="1"/>
  <c r="F493" i="9" s="1"/>
  <c r="D641" i="9" a="1"/>
  <c r="E641" i="9" s="1"/>
  <c r="F641" i="9" s="1"/>
  <c r="D87" i="9" a="1"/>
  <c r="E87" i="9" s="1"/>
  <c r="F87" i="9" s="1"/>
  <c r="D239" i="9" a="1"/>
  <c r="E239" i="9" s="1"/>
  <c r="F239" i="9" s="1"/>
  <c r="D355" i="9" a="1"/>
  <c r="E355" i="9" s="1"/>
  <c r="F355" i="9" s="1"/>
  <c r="D494" i="9" a="1"/>
  <c r="E494" i="9" s="1"/>
  <c r="F494" i="9" s="1"/>
  <c r="D3" i="9" a="1"/>
  <c r="E3" i="9" s="1"/>
  <c r="F3" i="9" s="1"/>
  <c r="D152" i="9" a="1"/>
  <c r="E152" i="9" s="1"/>
  <c r="F152" i="9" s="1"/>
  <c r="D279" i="9" a="1"/>
  <c r="E279" i="9" s="1"/>
  <c r="F279" i="9" s="1"/>
  <c r="D469" i="9" a="1"/>
  <c r="E469" i="9" s="1"/>
  <c r="F469" i="9" s="1"/>
  <c r="D605" i="9" a="1"/>
  <c r="E605" i="9" s="1"/>
  <c r="F605" i="9" s="1"/>
  <c r="D755" i="9" a="1"/>
  <c r="E755" i="9" s="1"/>
  <c r="F755" i="9" s="1"/>
  <c r="D116" i="9" a="1"/>
  <c r="E116" i="9" s="1"/>
  <c r="F116" i="9" s="1"/>
  <c r="D260" i="9" a="1"/>
  <c r="E260" i="9" s="1"/>
  <c r="F260" i="9" s="1"/>
  <c r="D383" i="9" a="1"/>
  <c r="E383" i="9" s="1"/>
  <c r="F383" i="9" s="1"/>
  <c r="D550" i="9" a="1"/>
  <c r="E550" i="9" s="1"/>
  <c r="F550" i="9" s="1"/>
  <c r="D689" i="9" a="1"/>
  <c r="E689" i="9" s="1"/>
  <c r="F689" i="9" s="1"/>
  <c r="D126" i="9" a="1"/>
  <c r="E126" i="9" s="1"/>
  <c r="F126" i="9" s="1"/>
  <c r="D108" i="9" a="1"/>
  <c r="E108" i="9" s="1"/>
  <c r="F108" i="9" s="1"/>
  <c r="D282" i="9" a="1"/>
  <c r="E282" i="9" s="1"/>
  <c r="F282" i="9" s="1"/>
  <c r="D393" i="9" a="1"/>
  <c r="E393" i="9" s="1"/>
  <c r="F393" i="9" s="1"/>
  <c r="D534" i="9" a="1"/>
  <c r="E534" i="9" s="1"/>
  <c r="F534" i="9" s="1"/>
  <c r="D165" i="9" a="1"/>
  <c r="E165" i="9" s="1"/>
  <c r="F165" i="9" s="1"/>
  <c r="D308" i="9" a="1"/>
  <c r="E308" i="9" s="1"/>
  <c r="F308" i="9" s="1"/>
  <c r="D472" i="9" a="1"/>
  <c r="E472" i="9" s="1"/>
  <c r="F472" i="9" s="1"/>
  <c r="D673" i="9" a="1"/>
  <c r="E673" i="9" s="1"/>
  <c r="F673" i="9" s="1"/>
  <c r="D128" i="9" a="1"/>
  <c r="E128" i="9" s="1"/>
  <c r="F128" i="9" s="1"/>
  <c r="D264" i="9" a="1"/>
  <c r="E264" i="9" s="1"/>
  <c r="F264" i="9" s="1"/>
  <c r="D2554" i="9" a="1"/>
  <c r="E2554" i="9" s="1"/>
  <c r="F2554" i="9" s="1"/>
  <c r="D36" i="9" a="1"/>
  <c r="E36" i="9" s="1"/>
  <c r="F36" i="9" s="1"/>
  <c r="D195" i="9" a="1"/>
  <c r="E195" i="9" s="1"/>
  <c r="F195" i="9" s="1"/>
  <c r="D342" i="9" a="1"/>
  <c r="E342" i="9" s="1"/>
  <c r="F342" i="9" s="1"/>
  <c r="D509" i="9" a="1"/>
  <c r="E509" i="9" s="1"/>
  <c r="F509" i="9" s="1"/>
  <c r="D102" i="9" a="1"/>
  <c r="E102" i="9" s="1"/>
  <c r="F102" i="9" s="1"/>
  <c r="D225" i="9" a="1"/>
  <c r="E225" i="9" s="1"/>
  <c r="F225" i="9" s="1"/>
  <c r="D370" i="9" a="1"/>
  <c r="E370" i="9" s="1"/>
  <c r="F370" i="9" s="1"/>
  <c r="D38" i="9" a="1"/>
  <c r="E38" i="9" s="1"/>
  <c r="F38" i="9" s="1"/>
  <c r="D187" i="9" a="1"/>
  <c r="E187" i="9" s="1"/>
  <c r="F187" i="9" s="1"/>
  <c r="D343" i="9" a="1"/>
  <c r="E343" i="9" s="1"/>
  <c r="F343" i="9" s="1"/>
  <c r="D663" i="9" a="1"/>
  <c r="E663" i="9" s="1"/>
  <c r="F663" i="9" s="1"/>
  <c r="D1053" i="9" a="1"/>
  <c r="E1053" i="9" s="1"/>
  <c r="F1053" i="9" s="1"/>
  <c r="D543" i="9" a="1"/>
  <c r="E543" i="9" s="1"/>
  <c r="F543" i="9" s="1"/>
  <c r="D780" i="9" a="1"/>
  <c r="E780" i="9" s="1"/>
  <c r="F780" i="9" s="1"/>
  <c r="D1006" i="9" a="1"/>
  <c r="E1006" i="9" s="1"/>
  <c r="F1006" i="9" s="1"/>
  <c r="D1198" i="9" a="1"/>
  <c r="E1198" i="9" s="1"/>
  <c r="F1198" i="9" s="1"/>
  <c r="D1438" i="9" a="1"/>
  <c r="E1438" i="9" s="1"/>
  <c r="F1438" i="9" s="1"/>
  <c r="D630" i="9" a="1"/>
  <c r="E630" i="9" s="1"/>
  <c r="F630" i="9" s="1"/>
  <c r="D864" i="9" a="1"/>
  <c r="E864" i="9" s="1"/>
  <c r="F864" i="9" s="1"/>
  <c r="D1055" i="9" a="1"/>
  <c r="E1055" i="9" s="1"/>
  <c r="F1055" i="9" s="1"/>
  <c r="D1295" i="9" a="1"/>
  <c r="E1295" i="9" s="1"/>
  <c r="F1295" i="9" s="1"/>
  <c r="D1487" i="9" a="1"/>
  <c r="E1487" i="9" s="1"/>
  <c r="F1487" i="9" s="1"/>
  <c r="D741" i="9" a="1"/>
  <c r="E741" i="9" s="1"/>
  <c r="F741" i="9" s="1"/>
  <c r="D877" i="9" a="1"/>
  <c r="E877" i="9" s="1"/>
  <c r="F877" i="9" s="1"/>
  <c r="D1032" i="9" a="1"/>
  <c r="E1032" i="9" s="1"/>
  <c r="F1032" i="9" s="1"/>
  <c r="D1188" i="9" a="1"/>
  <c r="E1188" i="9" s="1"/>
  <c r="F1188" i="9" s="1"/>
  <c r="D592" i="9" a="1"/>
  <c r="E592" i="9" s="1"/>
  <c r="F592" i="9" s="1"/>
  <c r="D890" i="9" a="1"/>
  <c r="E890" i="9" s="1"/>
  <c r="F890" i="9" s="1"/>
  <c r="D1033" i="9" a="1"/>
  <c r="E1033" i="9" s="1"/>
  <c r="F1033" i="9" s="1"/>
  <c r="D1228" i="9" a="1"/>
  <c r="E1228" i="9" s="1"/>
  <c r="F1228" i="9" s="1"/>
  <c r="D1193" i="9" a="1"/>
  <c r="E1193" i="9" s="1"/>
  <c r="F1193" i="9" s="1"/>
  <c r="D58" i="9" a="1"/>
  <c r="E58" i="9" s="1"/>
  <c r="F58" i="9" s="1"/>
  <c r="D198" i="9" a="1"/>
  <c r="E198" i="9" s="1"/>
  <c r="F198" i="9" s="1"/>
  <c r="D336" i="9" a="1"/>
  <c r="E336" i="9" s="1"/>
  <c r="F336" i="9" s="1"/>
  <c r="D503" i="9" a="1"/>
  <c r="E503" i="9" s="1"/>
  <c r="F503" i="9" s="1"/>
  <c r="D650" i="9" a="1"/>
  <c r="E650" i="9" s="1"/>
  <c r="F650" i="9" s="1"/>
  <c r="D105" i="9" a="1"/>
  <c r="E105" i="9" s="1"/>
  <c r="F105" i="9" s="1"/>
  <c r="D248" i="9" a="1"/>
  <c r="E248" i="9" s="1"/>
  <c r="F248" i="9" s="1"/>
  <c r="D364" i="9" a="1"/>
  <c r="E364" i="9" s="1"/>
  <c r="F364" i="9" s="1"/>
  <c r="D504" i="9" a="1"/>
  <c r="E504" i="9" s="1"/>
  <c r="F504" i="9" s="1"/>
  <c r="D14" i="9" a="1"/>
  <c r="E14" i="9" s="1"/>
  <c r="F14" i="9" s="1"/>
  <c r="D162" i="9" a="1"/>
  <c r="E162" i="9" s="1"/>
  <c r="F162" i="9" s="1"/>
  <c r="D297" i="9" a="1"/>
  <c r="E297" i="9" s="1"/>
  <c r="F297" i="9" s="1"/>
  <c r="D477" i="9" a="1"/>
  <c r="E477" i="9" s="1"/>
  <c r="F477" i="9" s="1"/>
  <c r="D615" i="9" a="1"/>
  <c r="E615" i="9" s="1"/>
  <c r="F615" i="9" s="1"/>
  <c r="D135" i="9" a="1"/>
  <c r="E135" i="9" s="1"/>
  <c r="F135" i="9" s="1"/>
  <c r="D280" i="9" a="1"/>
  <c r="E280" i="9" s="1"/>
  <c r="F280" i="9" s="1"/>
  <c r="D400" i="9" a="1"/>
  <c r="E400" i="9" s="1"/>
  <c r="F400" i="9" s="1"/>
  <c r="D559" i="9" a="1"/>
  <c r="E559" i="9" s="1"/>
  <c r="F559" i="9" s="1"/>
  <c r="D697" i="9" a="1"/>
  <c r="E697" i="9" s="1"/>
  <c r="F697" i="9" s="1"/>
  <c r="D136" i="9" a="1"/>
  <c r="E136" i="9" s="1"/>
  <c r="F136" i="9" s="1"/>
  <c r="D118" i="9" a="1"/>
  <c r="E118" i="9" s="1"/>
  <c r="F118" i="9" s="1"/>
  <c r="D291" i="9" a="1"/>
  <c r="E291" i="9" s="1"/>
  <c r="F291" i="9" s="1"/>
  <c r="D401" i="9" a="1"/>
  <c r="E401" i="9" s="1"/>
  <c r="F401" i="9" s="1"/>
  <c r="D6" i="9" a="1"/>
  <c r="E6" i="9" s="1"/>
  <c r="F6" i="9" s="1"/>
  <c r="D174" i="9" a="1"/>
  <c r="E174" i="9" s="1"/>
  <c r="F174" i="9" s="1"/>
  <c r="D317" i="9" a="1"/>
  <c r="E317" i="9" s="1"/>
  <c r="F317" i="9" s="1"/>
  <c r="D480" i="9" a="1"/>
  <c r="E480" i="9" s="1"/>
  <c r="F480" i="9" s="1"/>
  <c r="D7" i="9" a="1"/>
  <c r="E7" i="9" s="1"/>
  <c r="F7" i="9" s="1"/>
  <c r="D138" i="9" a="1"/>
  <c r="E138" i="9" s="1"/>
  <c r="F138" i="9" s="1"/>
  <c r="D273" i="9" a="1"/>
  <c r="E273" i="9" s="1"/>
  <c r="F273" i="9" s="1"/>
  <c r="D402" i="9" a="1"/>
  <c r="E402" i="9" s="1"/>
  <c r="F402" i="9" s="1"/>
  <c r="D46" i="9" a="1"/>
  <c r="E46" i="9" s="1"/>
  <c r="F46" i="9" s="1"/>
  <c r="D204" i="9" a="1"/>
  <c r="E204" i="9" s="1"/>
  <c r="F204" i="9" s="1"/>
  <c r="D351" i="9" a="1"/>
  <c r="E351" i="9" s="1"/>
  <c r="F351" i="9" s="1"/>
  <c r="D519" i="9" a="1"/>
  <c r="E519" i="9" s="1"/>
  <c r="F519" i="9" s="1"/>
  <c r="D112" i="9" a="1"/>
  <c r="E112" i="9" s="1"/>
  <c r="F112" i="9" s="1"/>
  <c r="D255" i="9" a="1"/>
  <c r="E255" i="9" s="1"/>
  <c r="F255" i="9" s="1"/>
  <c r="D378" i="9" a="1"/>
  <c r="E378" i="9" s="1"/>
  <c r="F378" i="9" s="1"/>
  <c r="D48" i="9" a="1"/>
  <c r="E48" i="9" s="1"/>
  <c r="F48" i="9" s="1"/>
  <c r="D197" i="9" a="1"/>
  <c r="E197" i="9" s="1"/>
  <c r="F197" i="9" s="1"/>
  <c r="D353" i="9" a="1"/>
  <c r="E353" i="9" s="1"/>
  <c r="F353" i="9" s="1"/>
  <c r="D529" i="9" a="1"/>
  <c r="E529" i="9" s="1"/>
  <c r="F529" i="9" s="1"/>
  <c r="D95" i="9" a="1"/>
  <c r="E95" i="9" s="1"/>
  <c r="F95" i="9" s="1"/>
  <c r="D257" i="9" a="1"/>
  <c r="E257" i="9" s="1"/>
  <c r="F257" i="9" s="1"/>
  <c r="D379" i="9" a="1"/>
  <c r="E379" i="9" s="1"/>
  <c r="F379" i="9" s="1"/>
  <c r="D502" i="9" a="1"/>
  <c r="E502" i="9" s="1"/>
  <c r="F502" i="9" s="1"/>
  <c r="D788" i="9" a="1"/>
  <c r="E788" i="9" s="1"/>
  <c r="F788" i="9" s="1"/>
  <c r="D1065" i="9" a="1"/>
  <c r="E1065" i="9" s="1"/>
  <c r="F1065" i="9" s="1"/>
  <c r="D562" i="9" a="1"/>
  <c r="E562" i="9" s="1"/>
  <c r="F562" i="9" s="1"/>
  <c r="D786" i="9" a="1"/>
  <c r="E786" i="9" s="1"/>
  <c r="F786" i="9" s="1"/>
  <c r="D1018" i="9" a="1"/>
  <c r="E1018" i="9" s="1"/>
  <c r="F1018" i="9" s="1"/>
  <c r="D1210" i="9" a="1"/>
  <c r="E1210" i="9" s="1"/>
  <c r="F1210" i="9" s="1"/>
  <c r="D1450" i="9" a="1"/>
  <c r="E1450" i="9" s="1"/>
  <c r="F1450" i="9" s="1"/>
  <c r="D647" i="9" a="1"/>
  <c r="E647" i="9" s="1"/>
  <c r="F647" i="9" s="1"/>
  <c r="D876" i="9" a="1"/>
  <c r="E876" i="9" s="1"/>
  <c r="F876" i="9" s="1"/>
  <c r="D1067" i="9" a="1"/>
  <c r="E1067" i="9" s="1"/>
  <c r="F1067" i="9" s="1"/>
  <c r="D1307" i="9" a="1"/>
  <c r="E1307" i="9" s="1"/>
  <c r="F1307" i="9" s="1"/>
  <c r="D1499" i="9" a="1"/>
  <c r="E1499" i="9" s="1"/>
  <c r="F1499" i="9" s="1"/>
  <c r="D763" i="9" a="1"/>
  <c r="E763" i="9" s="1"/>
  <c r="F763" i="9" s="1"/>
  <c r="D889" i="9" a="1"/>
  <c r="E889" i="9" s="1"/>
  <c r="F889" i="9" s="1"/>
  <c r="D1044" i="9" a="1"/>
  <c r="E1044" i="9" s="1"/>
  <c r="F1044" i="9" s="1"/>
  <c r="D1200" i="9" a="1"/>
  <c r="E1200" i="9" s="1"/>
  <c r="F1200" i="9" s="1"/>
  <c r="D612" i="9" a="1"/>
  <c r="E612" i="9" s="1"/>
  <c r="F612" i="9" s="1"/>
  <c r="D901" i="9" a="1"/>
  <c r="E901" i="9" s="1"/>
  <c r="F901" i="9" s="1"/>
  <c r="D1045" i="9" a="1"/>
  <c r="E1045" i="9" s="1"/>
  <c r="F1045" i="9" s="1"/>
  <c r="D1201" i="9" a="1"/>
  <c r="E1201" i="9" s="1"/>
  <c r="F1201" i="9" s="1"/>
  <c r="D1153" i="9" a="1"/>
  <c r="E1153" i="9" s="1"/>
  <c r="F1153" i="9" s="1"/>
  <c r="D77" i="9" a="1"/>
  <c r="E77" i="9" s="1"/>
  <c r="F77" i="9" s="1"/>
  <c r="D208" i="9" a="1"/>
  <c r="E208" i="9" s="1"/>
  <c r="F208" i="9" s="1"/>
  <c r="D344" i="9" a="1"/>
  <c r="E344" i="9" s="1"/>
  <c r="F344" i="9" s="1"/>
  <c r="D512" i="9" a="1"/>
  <c r="E512" i="9" s="1"/>
  <c r="F512" i="9" s="1"/>
  <c r="D659" i="9" a="1"/>
  <c r="E659" i="9" s="1"/>
  <c r="F659" i="9" s="1"/>
  <c r="D115" i="9" a="1"/>
  <c r="E115" i="9" s="1"/>
  <c r="F115" i="9" s="1"/>
  <c r="D259" i="9" a="1"/>
  <c r="E259" i="9" s="1"/>
  <c r="F259" i="9" s="1"/>
  <c r="D381" i="9" a="1"/>
  <c r="E381" i="9" s="1"/>
  <c r="F381" i="9" s="1"/>
  <c r="D513" i="9" a="1"/>
  <c r="E513" i="9" s="1"/>
  <c r="F513" i="9" s="1"/>
  <c r="D31" i="9" a="1"/>
  <c r="E31" i="9" s="1"/>
  <c r="F31" i="9" s="1"/>
  <c r="D171" i="9" a="1"/>
  <c r="E171" i="9" s="1"/>
  <c r="F171" i="9" s="1"/>
  <c r="D315" i="9" a="1"/>
  <c r="E315" i="9" s="1"/>
  <c r="F315" i="9" s="1"/>
  <c r="D486" i="9" a="1"/>
  <c r="E486" i="9" s="1"/>
  <c r="F486" i="9" s="1"/>
  <c r="D623" i="9" a="1"/>
  <c r="E623" i="9" s="1"/>
  <c r="F623" i="9" s="1"/>
  <c r="D4" i="9" a="1"/>
  <c r="E4" i="9" s="1"/>
  <c r="F4" i="9" s="1"/>
  <c r="D153" i="9" a="1"/>
  <c r="E153" i="9" s="1"/>
  <c r="F153" i="9" s="1"/>
  <c r="D289" i="9" a="1"/>
  <c r="E289" i="9" s="1"/>
  <c r="F289" i="9" s="1"/>
  <c r="D407" i="9" a="1"/>
  <c r="E407" i="9" s="1"/>
  <c r="F407" i="9" s="1"/>
  <c r="D569" i="9" a="1"/>
  <c r="E569" i="9" s="1"/>
  <c r="F569" i="9" s="1"/>
  <c r="D5" i="9" a="1"/>
  <c r="E5" i="9" s="1"/>
  <c r="F5" i="9" s="1"/>
  <c r="D145" i="9" a="1"/>
  <c r="E145" i="9" s="1"/>
  <c r="F145" i="9" s="1"/>
  <c r="D137" i="9" a="1"/>
  <c r="E137" i="9" s="1"/>
  <c r="F137" i="9" s="1"/>
  <c r="D300" i="9" a="1"/>
  <c r="E300" i="9" s="1"/>
  <c r="F300" i="9" s="1"/>
  <c r="D409" i="9" a="1"/>
  <c r="E409" i="9" s="1"/>
  <c r="F409" i="9" s="1"/>
  <c r="D35" i="9" a="1"/>
  <c r="E35" i="9" s="1"/>
  <c r="F35" i="9" s="1"/>
  <c r="D184" i="9" a="1"/>
  <c r="E184" i="9" s="1"/>
  <c r="F184" i="9" s="1"/>
  <c r="D341" i="9" a="1"/>
  <c r="E341" i="9" s="1"/>
  <c r="F341" i="9" s="1"/>
  <c r="D488" i="9" a="1"/>
  <c r="E488" i="9" s="1"/>
  <c r="F488" i="9" s="1"/>
  <c r="D18" i="9" a="1"/>
  <c r="E18" i="9" s="1"/>
  <c r="F18" i="9" s="1"/>
  <c r="D147" i="9" a="1"/>
  <c r="E147" i="9" s="1"/>
  <c r="F147" i="9" s="1"/>
  <c r="D283" i="9" a="1"/>
  <c r="E283" i="9" s="1"/>
  <c r="F283" i="9" s="1"/>
  <c r="D411" i="9" a="1"/>
  <c r="E411" i="9" s="1"/>
  <c r="F411" i="9" s="1"/>
  <c r="D65" i="9" a="1"/>
  <c r="E65" i="9" s="1"/>
  <c r="F65" i="9" s="1"/>
  <c r="D215" i="9" a="1"/>
  <c r="E215" i="9" s="1"/>
  <c r="F215" i="9" s="1"/>
  <c r="D369" i="9" a="1"/>
  <c r="E369" i="9" s="1"/>
  <c r="F369" i="9" s="1"/>
  <c r="D527" i="9" a="1"/>
  <c r="E527" i="9" s="1"/>
  <c r="F527" i="9" s="1"/>
  <c r="D121" i="9" a="1"/>
  <c r="E121" i="9" s="1"/>
  <c r="F121" i="9" s="1"/>
  <c r="D266" i="9" a="1"/>
  <c r="E266" i="9" s="1"/>
  <c r="F266" i="9" s="1"/>
  <c r="D388" i="9" a="1"/>
  <c r="E388" i="9" s="1"/>
  <c r="F388" i="9" s="1"/>
  <c r="D56" i="9" a="1"/>
  <c r="E56" i="9" s="1"/>
  <c r="F56" i="9" s="1"/>
  <c r="D206" i="9" a="1"/>
  <c r="E206" i="9" s="1"/>
  <c r="F206" i="9" s="1"/>
  <c r="D362" i="9" a="1"/>
  <c r="E362" i="9" s="1"/>
  <c r="F362" i="9" s="1"/>
  <c r="D537" i="9" a="1"/>
  <c r="E537" i="9" s="1"/>
  <c r="F537" i="9" s="1"/>
  <c r="D103" i="9" a="1"/>
  <c r="E103" i="9" s="1"/>
  <c r="F103" i="9" s="1"/>
  <c r="D268" i="9" a="1"/>
  <c r="E268" i="9" s="1"/>
  <c r="F268" i="9" s="1"/>
  <c r="D397" i="9" a="1"/>
  <c r="E397" i="9" s="1"/>
  <c r="F397" i="9" s="1"/>
  <c r="D511" i="9" a="1"/>
  <c r="E511" i="9" s="1"/>
  <c r="F511" i="9" s="1"/>
  <c r="D1077" i="9" a="1"/>
  <c r="E1077" i="9" s="1"/>
  <c r="F1077" i="9" s="1"/>
  <c r="D588" i="9" a="1"/>
  <c r="E588" i="9" s="1"/>
  <c r="F588" i="9" s="1"/>
  <c r="D793" i="9" a="1"/>
  <c r="E793" i="9" s="1"/>
  <c r="F793" i="9" s="1"/>
  <c r="D1030" i="9" a="1"/>
  <c r="E1030" i="9" s="1"/>
  <c r="F1030" i="9" s="1"/>
  <c r="D1222" i="9" a="1"/>
  <c r="E1222" i="9" s="1"/>
  <c r="F1222" i="9" s="1"/>
  <c r="D1462" i="9" a="1"/>
  <c r="E1462" i="9" s="1"/>
  <c r="F1462" i="9" s="1"/>
  <c r="D665" i="9" a="1"/>
  <c r="E665" i="9" s="1"/>
  <c r="F665" i="9" s="1"/>
  <c r="D888" i="9" a="1"/>
  <c r="E888" i="9" s="1"/>
  <c r="F888" i="9" s="1"/>
  <c r="D1079" i="9" a="1"/>
  <c r="E1079" i="9" s="1"/>
  <c r="F1079" i="9" s="1"/>
  <c r="D1319" i="9" a="1"/>
  <c r="E1319" i="9" s="1"/>
  <c r="F1319" i="9" s="1"/>
  <c r="D154" i="9" a="1"/>
  <c r="E154" i="9" s="1"/>
  <c r="F154" i="9" s="1"/>
  <c r="D769" i="9" a="1"/>
  <c r="E769" i="9" s="1"/>
  <c r="F769" i="9" s="1"/>
  <c r="D900" i="9" a="1"/>
  <c r="E900" i="9" s="1"/>
  <c r="F900" i="9" s="1"/>
  <c r="D1056" i="9" a="1"/>
  <c r="E1056" i="9" s="1"/>
  <c r="F1056" i="9" s="1"/>
  <c r="D1212" i="9" a="1"/>
  <c r="E1212" i="9" s="1"/>
  <c r="F1212" i="9" s="1"/>
  <c r="D634" i="9" a="1"/>
  <c r="E634" i="9" s="1"/>
  <c r="F634" i="9" s="1"/>
  <c r="D913" i="9" a="1"/>
  <c r="E913" i="9" s="1"/>
  <c r="F913" i="9" s="1"/>
  <c r="D1166" i="9" a="1"/>
  <c r="E1166" i="9" s="1"/>
  <c r="F1166" i="9" s="1"/>
  <c r="D1288" i="9" a="1"/>
  <c r="E1288" i="9" s="1"/>
  <c r="F1288" i="9" s="1"/>
  <c r="D86" i="9" a="1"/>
  <c r="E86" i="9" s="1"/>
  <c r="F86" i="9" s="1"/>
  <c r="D218" i="9" a="1"/>
  <c r="E218" i="9" s="1"/>
  <c r="F218" i="9" s="1"/>
  <c r="D373" i="9" a="1"/>
  <c r="E373" i="9" s="1"/>
  <c r="F373" i="9" s="1"/>
  <c r="D531" i="9" a="1"/>
  <c r="E531" i="9" s="1"/>
  <c r="F531" i="9" s="1"/>
  <c r="D668" i="9" a="1"/>
  <c r="E668" i="9" s="1"/>
  <c r="F668" i="9" s="1"/>
  <c r="D124" i="9" a="1"/>
  <c r="E124" i="9" s="1"/>
  <c r="F124" i="9" s="1"/>
  <c r="D278" i="9" a="1"/>
  <c r="E278" i="9" s="1"/>
  <c r="F278" i="9" s="1"/>
  <c r="D398" i="9" a="1"/>
  <c r="E398" i="9" s="1"/>
  <c r="F398" i="9" s="1"/>
  <c r="D522" i="9" a="1"/>
  <c r="E522" i="9" s="1"/>
  <c r="F522" i="9" s="1"/>
  <c r="D50" i="9" a="1"/>
  <c r="E50" i="9" s="1"/>
  <c r="F50" i="9" s="1"/>
  <c r="D180" i="9" a="1"/>
  <c r="E180" i="9" s="1"/>
  <c r="F180" i="9" s="1"/>
  <c r="D346" i="9" a="1"/>
  <c r="E346" i="9" s="1"/>
  <c r="F346" i="9" s="1"/>
  <c r="D495" i="9" a="1"/>
  <c r="E495" i="9" s="1"/>
  <c r="F495" i="9" s="1"/>
  <c r="D632" i="9" a="1"/>
  <c r="E632" i="9" s="1"/>
  <c r="F632" i="9" s="1"/>
  <c r="D15" i="9" a="1"/>
  <c r="E15" i="9" s="1"/>
  <c r="F15" i="9" s="1"/>
  <c r="D163" i="9" a="1"/>
  <c r="E163" i="9" s="1"/>
  <c r="F163" i="9" s="1"/>
  <c r="D298" i="9" a="1"/>
  <c r="E298" i="9" s="1"/>
  <c r="F298" i="9" s="1"/>
  <c r="D416" i="9" a="1"/>
  <c r="E416" i="9" s="1"/>
  <c r="F416" i="9" s="1"/>
  <c r="D577" i="9" a="1"/>
  <c r="E577" i="9" s="1"/>
  <c r="F577" i="9" s="1"/>
  <c r="D16" i="9" a="1"/>
  <c r="E16" i="9" s="1"/>
  <c r="F16" i="9" s="1"/>
  <c r="D17" i="9" a="1"/>
  <c r="E17" i="9" s="1"/>
  <c r="F17" i="9" s="1"/>
  <c r="D155" i="9" a="1"/>
  <c r="E155" i="9" s="1"/>
  <c r="F155" i="9" s="1"/>
  <c r="D307" i="9" a="1"/>
  <c r="E307" i="9" s="1"/>
  <c r="F307" i="9" s="1"/>
  <c r="D418" i="9" a="1"/>
  <c r="E418" i="9" s="1"/>
  <c r="F418" i="9" s="1"/>
  <c r="D44" i="9" a="1"/>
  <c r="E44" i="9" s="1"/>
  <c r="F44" i="9" s="1"/>
  <c r="D193" i="9" a="1"/>
  <c r="E193" i="9" s="1"/>
  <c r="F193" i="9" s="1"/>
  <c r="D349" i="9" a="1"/>
  <c r="E349" i="9" s="1"/>
  <c r="F349" i="9" s="1"/>
  <c r="D525" i="9" a="1"/>
  <c r="E525" i="9" s="1"/>
  <c r="F525" i="9" s="1"/>
  <c r="D26" i="9" a="1"/>
  <c r="E26" i="9" s="1"/>
  <c r="F26" i="9" s="1"/>
  <c r="D156" i="9" a="1"/>
  <c r="E156" i="9" s="1"/>
  <c r="F156" i="9" s="1"/>
  <c r="D292" i="9" a="1"/>
  <c r="E292" i="9" s="1"/>
  <c r="F292" i="9" s="1"/>
  <c r="D429" i="9" a="1"/>
  <c r="E429" i="9" s="1"/>
  <c r="F429" i="9" s="1"/>
  <c r="D83" i="9" a="1"/>
  <c r="E83" i="9" s="1"/>
  <c r="F83" i="9" s="1"/>
  <c r="D224" i="9" a="1"/>
  <c r="E224" i="9" s="1"/>
  <c r="F224" i="9" s="1"/>
  <c r="D395" i="9" a="1"/>
  <c r="E395" i="9" s="1"/>
  <c r="F395" i="9" s="1"/>
  <c r="D608" i="9" a="1"/>
  <c r="E608" i="9" s="1"/>
  <c r="F608" i="9" s="1"/>
  <c r="D130" i="9" a="1"/>
  <c r="E130" i="9" s="1"/>
  <c r="F130" i="9" s="1"/>
  <c r="D275" i="9" a="1"/>
  <c r="E275" i="9" s="1"/>
  <c r="F275" i="9" s="1"/>
  <c r="D396" i="9" a="1"/>
  <c r="E396" i="9" s="1"/>
  <c r="F396" i="9" s="1"/>
  <c r="D66" i="9" a="1"/>
  <c r="E66" i="9" s="1"/>
  <c r="F66" i="9" s="1"/>
  <c r="D226" i="9" a="1"/>
  <c r="E226" i="9" s="1"/>
  <c r="F226" i="9" s="1"/>
  <c r="D371" i="9" a="1"/>
  <c r="E371" i="9" s="1"/>
  <c r="F371" i="9" s="1"/>
  <c r="D1089" i="9" a="1"/>
  <c r="E1089" i="9" s="1"/>
  <c r="F1089" i="9" s="1"/>
  <c r="D609" i="9" a="1"/>
  <c r="E609" i="9" s="1"/>
  <c r="F609" i="9" s="1"/>
  <c r="D851" i="9" a="1"/>
  <c r="E851" i="9" s="1"/>
  <c r="F851" i="9" s="1"/>
  <c r="D466" i="9" a="1"/>
  <c r="E466" i="9" s="1"/>
  <c r="F466" i="9" s="1"/>
  <c r="D1282" i="9" a="1"/>
  <c r="E1282" i="9" s="1"/>
  <c r="F1282" i="9" s="1"/>
  <c r="D1474" i="9" a="1"/>
  <c r="E1474" i="9" s="1"/>
  <c r="F1474" i="9" s="1"/>
  <c r="D740" i="9" a="1"/>
  <c r="E740" i="9" s="1"/>
  <c r="F740" i="9" s="1"/>
  <c r="D899" i="9" a="1"/>
  <c r="E899" i="9" s="1"/>
  <c r="F899" i="9" s="1"/>
  <c r="D1139" i="9" a="1"/>
  <c r="E1139" i="9" s="1"/>
  <c r="F1139" i="9" s="1"/>
  <c r="D1331" i="9" a="1"/>
  <c r="E1331" i="9" s="1"/>
  <c r="F1331" i="9" s="1"/>
  <c r="D565" i="9" a="1"/>
  <c r="E565" i="9" s="1"/>
  <c r="F565" i="9" s="1"/>
  <c r="D775" i="9" a="1"/>
  <c r="E775" i="9" s="1"/>
  <c r="F775" i="9" s="1"/>
  <c r="D912" i="9" a="1"/>
  <c r="E912" i="9" s="1"/>
  <c r="F912" i="9" s="1"/>
  <c r="D1068" i="9" a="1"/>
  <c r="E1068" i="9" s="1"/>
  <c r="F1068" i="9" s="1"/>
  <c r="D1224" i="9" a="1"/>
  <c r="E1224" i="9" s="1"/>
  <c r="F1224" i="9" s="1"/>
  <c r="D649" i="9" a="1"/>
  <c r="E649" i="9" s="1"/>
  <c r="F649" i="9" s="1"/>
  <c r="D925" i="9" a="1"/>
  <c r="E925" i="9" s="1"/>
  <c r="F925" i="9" s="1"/>
  <c r="D1274" i="9" a="1"/>
  <c r="E1274" i="9" s="1"/>
  <c r="F1274" i="9" s="1"/>
  <c r="D1272" i="9" a="1"/>
  <c r="E1272" i="9" s="1"/>
  <c r="F1272" i="9" s="1"/>
  <c r="D96" i="9" a="1"/>
  <c r="E96" i="9" s="1"/>
  <c r="F96" i="9" s="1"/>
  <c r="D238" i="9" a="1"/>
  <c r="E238" i="9" s="1"/>
  <c r="F238" i="9" s="1"/>
  <c r="D380" i="9" a="1"/>
  <c r="E380" i="9" s="1"/>
  <c r="F380" i="9" s="1"/>
  <c r="D539" i="9" a="1"/>
  <c r="E539" i="9" s="1"/>
  <c r="F539" i="9" s="1"/>
  <c r="D687" i="9" a="1"/>
  <c r="E687" i="9" s="1"/>
  <c r="F687" i="9" s="1"/>
  <c r="D133" i="9" a="1"/>
  <c r="E133" i="9" s="1"/>
  <c r="F133" i="9" s="1"/>
  <c r="D288" i="9" a="1"/>
  <c r="E288" i="9" s="1"/>
  <c r="F288" i="9" s="1"/>
  <c r="D406" i="9" a="1"/>
  <c r="E406" i="9" s="1"/>
  <c r="F406" i="9" s="1"/>
  <c r="D532" i="9" a="1"/>
  <c r="E532" i="9" s="1"/>
  <c r="F532" i="9" s="1"/>
  <c r="D69" i="9" a="1"/>
  <c r="E69" i="9" s="1"/>
  <c r="F69" i="9" s="1"/>
  <c r="D190" i="9" a="1"/>
  <c r="E190" i="9" s="1"/>
  <c r="F190" i="9" s="1"/>
  <c r="D374" i="9" a="1"/>
  <c r="E374" i="9" s="1"/>
  <c r="F374" i="9" s="1"/>
  <c r="D514" i="9" a="1"/>
  <c r="E514" i="9" s="1"/>
  <c r="F514" i="9" s="1"/>
  <c r="D652" i="9" a="1"/>
  <c r="E652" i="9" s="1"/>
  <c r="F652" i="9" s="1"/>
  <c r="D24" i="9" a="1"/>
  <c r="E24" i="9" s="1"/>
  <c r="F24" i="9" s="1"/>
  <c r="D172" i="9" a="1"/>
  <c r="E172" i="9" s="1"/>
  <c r="F172" i="9" s="1"/>
  <c r="D306" i="9" a="1"/>
  <c r="E306" i="9" s="1"/>
  <c r="F306" i="9" s="1"/>
  <c r="D453" i="9" a="1"/>
  <c r="E453" i="9" s="1"/>
  <c r="F453" i="9" s="1"/>
  <c r="D586" i="9" a="1"/>
  <c r="E586" i="9" s="1"/>
  <c r="F586" i="9" s="1"/>
  <c r="D33" i="9" a="1"/>
  <c r="E33" i="9" s="1"/>
  <c r="F33" i="9" s="1"/>
  <c r="D25" i="9" a="1"/>
  <c r="E25" i="9" s="1"/>
  <c r="F25" i="9" s="1"/>
  <c r="D164" i="9" a="1"/>
  <c r="E164" i="9" s="1"/>
  <c r="F164" i="9" s="1"/>
  <c r="D324" i="9" a="1"/>
  <c r="E324" i="9" s="1"/>
  <c r="F324" i="9" s="1"/>
  <c r="D447" i="9" a="1"/>
  <c r="E447" i="9" s="1"/>
  <c r="F447" i="9" s="1"/>
  <c r="D63" i="9" a="1"/>
  <c r="E63" i="9" s="1"/>
  <c r="F63" i="9" s="1"/>
  <c r="D203" i="9" a="1"/>
  <c r="E203" i="9" s="1"/>
  <c r="F203" i="9" s="1"/>
  <c r="D359" i="9" a="1"/>
  <c r="E359" i="9" s="1"/>
  <c r="F359" i="9" s="1"/>
  <c r="D553" i="9" a="1"/>
  <c r="E553" i="9" s="1"/>
  <c r="F553" i="9" s="1"/>
  <c r="D45" i="9" a="1"/>
  <c r="E45" i="9" s="1"/>
  <c r="F45" i="9" s="1"/>
  <c r="D1149" i="9" a="1"/>
  <c r="E1149" i="9" s="1"/>
  <c r="F1149" i="9" s="1"/>
  <c r="D629" i="9" a="1"/>
  <c r="E629" i="9" s="1"/>
  <c r="F629" i="9" s="1"/>
  <c r="D863" i="9" a="1"/>
  <c r="E863" i="9" s="1"/>
  <c r="F863" i="9" s="1"/>
  <c r="D1054" i="9" a="1"/>
  <c r="E1054" i="9" s="1"/>
  <c r="F1054" i="9" s="1"/>
  <c r="D1294" i="9" a="1"/>
  <c r="E1294" i="9" s="1"/>
  <c r="F1294" i="9" s="1"/>
  <c r="D1486" i="9" a="1"/>
  <c r="E1486" i="9" s="1"/>
  <c r="F1486" i="9" s="1"/>
  <c r="D753" i="9" a="1"/>
  <c r="E753" i="9" s="1"/>
  <c r="F753" i="9" s="1"/>
  <c r="D911" i="9" a="1"/>
  <c r="E911" i="9" s="1"/>
  <c r="F911" i="9" s="1"/>
  <c r="D1151" i="9" a="1"/>
  <c r="E1151" i="9" s="1"/>
  <c r="F1151" i="9" s="1"/>
  <c r="D1343" i="9" a="1"/>
  <c r="E1343" i="9" s="1"/>
  <c r="F1343" i="9" s="1"/>
  <c r="D591" i="9" a="1"/>
  <c r="E591" i="9" s="1"/>
  <c r="F591" i="9" s="1"/>
  <c r="D781" i="9" a="1"/>
  <c r="E781" i="9" s="1"/>
  <c r="F781" i="9" s="1"/>
  <c r="D924" i="9" a="1"/>
  <c r="E924" i="9" s="1"/>
  <c r="F924" i="9" s="1"/>
  <c r="D1080" i="9" a="1"/>
  <c r="E1080" i="9" s="1"/>
  <c r="F1080" i="9" s="1"/>
  <c r="D1236" i="9" a="1"/>
  <c r="E1236" i="9" s="1"/>
  <c r="F1236" i="9" s="1"/>
  <c r="D667" i="9" a="1"/>
  <c r="E667" i="9" s="1"/>
  <c r="F667" i="9" s="1"/>
  <c r="D937" i="9" a="1"/>
  <c r="E937" i="9" s="1"/>
  <c r="F937" i="9" s="1"/>
  <c r="D1296" i="9" a="1"/>
  <c r="E1296" i="9" s="1"/>
  <c r="F1296" i="9" s="1"/>
  <c r="D1253" i="9" a="1"/>
  <c r="E1253" i="9" s="1"/>
  <c r="F1253" i="9" s="1"/>
  <c r="D1250" i="9" a="1"/>
  <c r="E1250" i="9" s="1"/>
  <c r="F1250" i="9" s="1"/>
  <c r="D104" i="9" a="1"/>
  <c r="E104" i="9" s="1"/>
  <c r="F104" i="9" s="1"/>
  <c r="D247" i="9" a="1"/>
  <c r="E247" i="9" s="1"/>
  <c r="F247" i="9" s="1"/>
  <c r="D390" i="9" a="1"/>
  <c r="E390" i="9" s="1"/>
  <c r="F390" i="9" s="1"/>
  <c r="D566" i="9" a="1"/>
  <c r="E566" i="9" s="1"/>
  <c r="F566" i="9" s="1"/>
  <c r="D695" i="9" a="1"/>
  <c r="E695" i="9" s="1"/>
  <c r="F695" i="9" s="1"/>
  <c r="D143" i="9" a="1"/>
  <c r="E143" i="9" s="1"/>
  <c r="F143" i="9" s="1"/>
  <c r="D296" i="9" a="1"/>
  <c r="E296" i="9" s="1"/>
  <c r="F296" i="9" s="1"/>
  <c r="D415" i="9" a="1"/>
  <c r="E415" i="9" s="1"/>
  <c r="F415" i="9" s="1"/>
  <c r="D540" i="9" a="1"/>
  <c r="E540" i="9" s="1"/>
  <c r="F540" i="9" s="1"/>
  <c r="D78" i="9" a="1"/>
  <c r="E78" i="9" s="1"/>
  <c r="F78" i="9" s="1"/>
  <c r="D199" i="9" a="1"/>
  <c r="E199" i="9" s="1"/>
  <c r="F199" i="9" s="1"/>
  <c r="D382" i="9" a="1"/>
  <c r="E382" i="9" s="1"/>
  <c r="F382" i="9" s="1"/>
  <c r="D523" i="9" a="1"/>
  <c r="E523" i="9" s="1"/>
  <c r="F523" i="9" s="1"/>
  <c r="D661" i="9" a="1"/>
  <c r="E661" i="9" s="1"/>
  <c r="F661" i="9" s="1"/>
  <c r="D32" i="9" a="1"/>
  <c r="E32" i="9" s="1"/>
  <c r="F32" i="9" s="1"/>
  <c r="D181" i="9" a="1"/>
  <c r="E181" i="9" s="1"/>
  <c r="F181" i="9" s="1"/>
  <c r="D1618" i="9" a="1"/>
  <c r="E1618" i="9" s="1"/>
  <c r="F1618" i="9" s="1"/>
  <c r="D462" i="9" a="1"/>
  <c r="E462" i="9" s="1"/>
  <c r="F462" i="9" s="1"/>
  <c r="D596" i="9" a="1"/>
  <c r="E596" i="9" s="1"/>
  <c r="F596" i="9" s="1"/>
  <c r="D43" i="9" a="1"/>
  <c r="E43" i="9" s="1"/>
  <c r="F43" i="9" s="1"/>
  <c r="D34" i="9" a="1"/>
  <c r="E34" i="9" s="1"/>
  <c r="F34" i="9" s="1"/>
  <c r="D183" i="9" a="1"/>
  <c r="E183" i="9" s="1"/>
  <c r="F183" i="9" s="1"/>
  <c r="D331" i="9" a="1"/>
  <c r="E331" i="9" s="1"/>
  <c r="F331" i="9" s="1"/>
  <c r="D454" i="9" a="1"/>
  <c r="E454" i="9" s="1"/>
  <c r="F454" i="9" s="1"/>
  <c r="D81" i="9" a="1"/>
  <c r="E81" i="9" s="1"/>
  <c r="F81" i="9" s="1"/>
  <c r="D213" i="9" a="1"/>
  <c r="E213" i="9" s="1"/>
  <c r="F213" i="9" s="1"/>
  <c r="D367" i="9" a="1"/>
  <c r="E367" i="9" s="1"/>
  <c r="F367" i="9" s="1"/>
  <c r="D580" i="9" a="1"/>
  <c r="E580" i="9" s="1"/>
  <c r="F580" i="9" s="1"/>
  <c r="D54" i="9" a="1"/>
  <c r="E54" i="9" s="1"/>
  <c r="F54" i="9" s="1"/>
  <c r="D185" i="9" a="1"/>
  <c r="E185" i="9" s="1"/>
  <c r="F185" i="9" s="1"/>
  <c r="D325" i="9" a="1"/>
  <c r="E325" i="9" s="1"/>
  <c r="F325" i="9" s="1"/>
  <c r="D802" i="9" a="1"/>
  <c r="E802" i="9" s="1"/>
  <c r="F802" i="9" s="1"/>
  <c r="D1161" i="9" a="1"/>
  <c r="E1161" i="9" s="1"/>
  <c r="F1161" i="9" s="1"/>
  <c r="D646" i="9" a="1"/>
  <c r="E646" i="9" s="1"/>
  <c r="F646" i="9" s="1"/>
  <c r="D875" i="9" a="1"/>
  <c r="E875" i="9" s="1"/>
  <c r="F875" i="9" s="1"/>
  <c r="D1066" i="9" a="1"/>
  <c r="E1066" i="9" s="1"/>
  <c r="F1066" i="9" s="1"/>
  <c r="D1306" i="9" a="1"/>
  <c r="E1306" i="9" s="1"/>
  <c r="F1306" i="9" s="1"/>
  <c r="D1498" i="9" a="1"/>
  <c r="E1498" i="9" s="1"/>
  <c r="F1498" i="9" s="1"/>
  <c r="D923" i="9" a="1"/>
  <c r="E923" i="9" s="1"/>
  <c r="F923" i="9" s="1"/>
  <c r="D1163" i="9" a="1"/>
  <c r="E1163" i="9" s="1"/>
  <c r="F1163" i="9" s="1"/>
  <c r="D1355" i="9" a="1"/>
  <c r="E1355" i="9" s="1"/>
  <c r="F1355" i="9" s="1"/>
  <c r="D611" i="9" a="1"/>
  <c r="E611" i="9" s="1"/>
  <c r="F611" i="9" s="1"/>
  <c r="D787" i="9" a="1"/>
  <c r="E787" i="9" s="1"/>
  <c r="F787" i="9" s="1"/>
  <c r="D936" i="9" a="1"/>
  <c r="E936" i="9" s="1"/>
  <c r="F936" i="9" s="1"/>
  <c r="D1092" i="9" a="1"/>
  <c r="E1092" i="9" s="1"/>
  <c r="F1092" i="9" s="1"/>
  <c r="D1248" i="9" a="1"/>
  <c r="E1248" i="9" s="1"/>
  <c r="F1248" i="9" s="1"/>
  <c r="D684" i="9" a="1"/>
  <c r="E684" i="9" s="1"/>
  <c r="F684" i="9" s="1"/>
  <c r="D806" i="9" a="1"/>
  <c r="E806" i="9" s="1"/>
  <c r="F806" i="9" s="1"/>
  <c r="D949" i="9" a="1"/>
  <c r="E949" i="9" s="1"/>
  <c r="F949" i="9" s="1"/>
  <c r="D1276" i="9" a="1"/>
  <c r="E1276" i="9" s="1"/>
  <c r="F1276" i="9" s="1"/>
  <c r="D1226" i="9" a="1"/>
  <c r="E1226" i="9" s="1"/>
  <c r="F1226" i="9" s="1"/>
  <c r="D1328" i="9" a="1"/>
  <c r="E1328" i="9" s="1"/>
  <c r="F1328" i="9" s="1"/>
  <c r="D114" i="9" a="1"/>
  <c r="E114" i="9" s="1"/>
  <c r="F114" i="9" s="1"/>
  <c r="D258" i="9" a="1"/>
  <c r="E258" i="9" s="1"/>
  <c r="F258" i="9" s="1"/>
  <c r="D405" i="9" a="1"/>
  <c r="E405" i="9" s="1"/>
  <c r="F405" i="9" s="1"/>
  <c r="D574" i="9" a="1"/>
  <c r="E574" i="9" s="1"/>
  <c r="F574" i="9" s="1"/>
  <c r="D703" i="9" a="1"/>
  <c r="E703" i="9" s="1"/>
  <c r="F703" i="9" s="1"/>
  <c r="D151" i="9" a="1"/>
  <c r="E151" i="9" s="1"/>
  <c r="F151" i="9" s="1"/>
  <c r="D305" i="9" a="1"/>
  <c r="E305" i="9" s="1"/>
  <c r="F305" i="9" s="1"/>
  <c r="D425" i="9" a="1"/>
  <c r="E425" i="9" s="1"/>
  <c r="F425" i="9" s="1"/>
  <c r="D548" i="9" a="1"/>
  <c r="E548" i="9" s="1"/>
  <c r="F548" i="9" s="1"/>
  <c r="D88" i="9" a="1"/>
  <c r="E88" i="9" s="1"/>
  <c r="F88" i="9" s="1"/>
  <c r="D210" i="9" a="1"/>
  <c r="E210" i="9" s="1"/>
  <c r="F210" i="9" s="1"/>
  <c r="D391" i="9" a="1"/>
  <c r="E391" i="9" s="1"/>
  <c r="F391" i="9" s="1"/>
  <c r="D541" i="9" a="1"/>
  <c r="E541" i="9" s="1"/>
  <c r="F541" i="9" s="1"/>
  <c r="D669" i="9" a="1"/>
  <c r="E669" i="9" s="1"/>
  <c r="F669" i="9" s="1"/>
  <c r="D42" i="9" a="1"/>
  <c r="E42" i="9" s="1"/>
  <c r="F42" i="9" s="1"/>
  <c r="D191" i="9" a="1"/>
  <c r="E191" i="9" s="1"/>
  <c r="F191" i="9" s="1"/>
  <c r="D330" i="9" a="1"/>
  <c r="E330" i="9" s="1"/>
  <c r="F330" i="9" s="1"/>
  <c r="D478" i="9" a="1"/>
  <c r="E478" i="9" s="1"/>
  <c r="F478" i="9" s="1"/>
  <c r="D616" i="9" a="1"/>
  <c r="E616" i="9" s="1"/>
  <c r="F616" i="9" s="1"/>
  <c r="D52" i="9" a="1"/>
  <c r="E52" i="9" s="1"/>
  <c r="F52" i="9" s="1"/>
  <c r="D53" i="9" a="1"/>
  <c r="E53" i="9" s="1"/>
  <c r="F53" i="9" s="1"/>
  <c r="D202" i="9" a="1"/>
  <c r="E202" i="9" s="1"/>
  <c r="F202" i="9" s="1"/>
  <c r="D340" i="9" a="1"/>
  <c r="E340" i="9" s="1"/>
  <c r="F340" i="9" s="1"/>
  <c r="D463" i="9" a="1"/>
  <c r="E463" i="9" s="1"/>
  <c r="F463" i="9" s="1"/>
  <c r="D1112" i="9" a="1"/>
  <c r="E1112" i="9" s="1"/>
  <c r="F1112" i="9" s="1"/>
  <c r="D862" i="9" a="1"/>
  <c r="E862" i="9" s="1"/>
  <c r="F862" i="9" s="1"/>
  <c r="D1185" i="9" a="1"/>
  <c r="E1185" i="9" s="1"/>
  <c r="F1185" i="9" s="1"/>
  <c r="D664" i="9" a="1"/>
  <c r="E664" i="9" s="1"/>
  <c r="F664" i="9" s="1"/>
  <c r="D887" i="9" a="1"/>
  <c r="E887" i="9" s="1"/>
  <c r="F887" i="9" s="1"/>
  <c r="D1078" i="9" a="1"/>
  <c r="E1078" i="9" s="1"/>
  <c r="F1078" i="9" s="1"/>
  <c r="D1318" i="9" a="1"/>
  <c r="E1318" i="9" s="1"/>
  <c r="F1318" i="9" s="1"/>
  <c r="D1510" i="9" a="1"/>
  <c r="E1510" i="9" s="1"/>
  <c r="F1510" i="9" s="1"/>
  <c r="D935" i="9" a="1"/>
  <c r="E935" i="9" s="1"/>
  <c r="F935" i="9" s="1"/>
  <c r="D1175" i="9" a="1"/>
  <c r="E1175" i="9" s="1"/>
  <c r="F1175" i="9" s="1"/>
  <c r="D1367" i="9" a="1"/>
  <c r="E1367" i="9" s="1"/>
  <c r="F1367" i="9" s="1"/>
  <c r="D633" i="9" a="1"/>
  <c r="E633" i="9" s="1"/>
  <c r="F633" i="9" s="1"/>
  <c r="D794" i="9" a="1"/>
  <c r="E794" i="9" s="1"/>
  <c r="F794" i="9" s="1"/>
  <c r="D948" i="9" a="1"/>
  <c r="E948" i="9" s="1"/>
  <c r="F948" i="9" s="1"/>
  <c r="D1104" i="9" a="1"/>
  <c r="E1104" i="9" s="1"/>
  <c r="F1104" i="9" s="1"/>
  <c r="D173" i="9" a="1"/>
  <c r="E173" i="9" s="1"/>
  <c r="F173" i="9" s="1"/>
  <c r="D701" i="9" a="1"/>
  <c r="E701" i="9" s="1"/>
  <c r="F701" i="9" s="1"/>
  <c r="D818" i="9" a="1"/>
  <c r="E818" i="9" s="1"/>
  <c r="F818" i="9" s="1"/>
  <c r="D961" i="9" a="1"/>
  <c r="E961" i="9" s="1"/>
  <c r="F961" i="9" s="1"/>
  <c r="D1260" i="9" a="1"/>
  <c r="E1260" i="9" s="1"/>
  <c r="F1260" i="9" s="1"/>
  <c r="D1196" i="9" a="1"/>
  <c r="E1196" i="9" s="1"/>
  <c r="F1196" i="9" s="1"/>
  <c r="D1192" i="9" a="1"/>
  <c r="E1192" i="9" s="1"/>
  <c r="F1192" i="9" s="1"/>
  <c r="D123" i="9" a="1"/>
  <c r="E123" i="9" s="1"/>
  <c r="F123" i="9" s="1"/>
  <c r="D269" i="9" a="1"/>
  <c r="E269" i="9" s="1"/>
  <c r="F269" i="9" s="1"/>
  <c r="D424" i="9" a="1"/>
  <c r="E424" i="9" s="1"/>
  <c r="F424" i="9" s="1"/>
  <c r="D584" i="9" a="1"/>
  <c r="E584" i="9" s="1"/>
  <c r="F584" i="9" s="1"/>
  <c r="D712" i="9" a="1"/>
  <c r="E712" i="9" s="1"/>
  <c r="F712" i="9" s="1"/>
  <c r="D170" i="9" a="1"/>
  <c r="E170" i="9" s="1"/>
  <c r="F170" i="9" s="1"/>
  <c r="D314" i="9" a="1"/>
  <c r="E314" i="9" s="1"/>
  <c r="F314" i="9" s="1"/>
  <c r="D434" i="9" a="1"/>
  <c r="E434" i="9" s="1"/>
  <c r="F434" i="9" s="1"/>
  <c r="D558" i="9" a="1"/>
  <c r="E558" i="9" s="1"/>
  <c r="F558" i="9" s="1"/>
  <c r="D97" i="9" a="1"/>
  <c r="E97" i="9" s="1"/>
  <c r="F97" i="9" s="1"/>
  <c r="D220" i="9" a="1"/>
  <c r="E220" i="9" s="1"/>
  <c r="F220" i="9" s="1"/>
  <c r="D399" i="9" a="1"/>
  <c r="E399" i="9" s="1"/>
  <c r="F399" i="9" s="1"/>
  <c r="D549" i="9" a="1"/>
  <c r="E549" i="9" s="1"/>
  <c r="F549" i="9" s="1"/>
  <c r="D696" i="9" a="1"/>
  <c r="E696" i="9" s="1"/>
  <c r="F696" i="9" s="1"/>
  <c r="D51" i="9" a="1"/>
  <c r="E51" i="9" s="1"/>
  <c r="F51" i="9" s="1"/>
  <c r="D200" i="9" a="1"/>
  <c r="E200" i="9" s="1"/>
  <c r="F200" i="9" s="1"/>
  <c r="D338" i="9" a="1"/>
  <c r="E338" i="9" s="1"/>
  <c r="F338" i="9" s="1"/>
  <c r="D496" i="9" a="1"/>
  <c r="E496" i="9" s="1"/>
  <c r="F496" i="9" s="1"/>
  <c r="D624" i="9" a="1"/>
  <c r="E624" i="9" s="1"/>
  <c r="F624" i="9" s="1"/>
  <c r="D61" i="9" a="1"/>
  <c r="E61" i="9" s="1"/>
  <c r="F61" i="9" s="1"/>
  <c r="D62" i="9" a="1"/>
  <c r="E62" i="9" s="1"/>
  <c r="F62" i="9" s="1"/>
  <c r="D212" i="9" a="1"/>
  <c r="E212" i="9" s="1"/>
  <c r="F212" i="9" s="1"/>
  <c r="D348" i="9" a="1"/>
  <c r="E348" i="9" s="1"/>
  <c r="F348" i="9" s="1"/>
  <c r="D471" i="9" a="1"/>
  <c r="E471" i="9" s="1"/>
  <c r="F471" i="9" s="1"/>
  <c r="D100" i="9" a="1"/>
  <c r="E100" i="9" s="1"/>
  <c r="F100" i="9" s="1"/>
  <c r="D243" i="9" a="1"/>
  <c r="E243" i="9" s="1"/>
  <c r="F243" i="9" s="1"/>
  <c r="D410" i="9" a="1"/>
  <c r="E410" i="9" s="1"/>
  <c r="F410" i="9" s="1"/>
  <c r="D598" i="9" a="1"/>
  <c r="E598" i="9" s="1"/>
  <c r="F598" i="9" s="1"/>
  <c r="D73" i="9" a="1"/>
  <c r="E73" i="9" s="1"/>
  <c r="F73" i="9" s="1"/>
  <c r="D1186" i="9" a="1"/>
  <c r="D350" i="9" a="1"/>
  <c r="E350" i="9" s="1"/>
  <c r="F350" i="9" s="1"/>
  <c r="D536" i="9" a="1"/>
  <c r="E536" i="9" s="1"/>
  <c r="F536" i="9" s="1"/>
  <c r="D139" i="9" a="1"/>
  <c r="E139" i="9" s="1"/>
  <c r="F139" i="9" s="1"/>
  <c r="D1016" i="9" a="1"/>
  <c r="E1016" i="9" s="1"/>
  <c r="F1016" i="9" s="1"/>
  <c r="D909" i="9" a="1"/>
  <c r="E909" i="9" s="1"/>
  <c r="F909" i="9" s="1"/>
  <c r="D1197" i="9" a="1"/>
  <c r="E1197" i="9" s="1"/>
  <c r="F1197" i="9" s="1"/>
  <c r="D739" i="9" a="1"/>
  <c r="E739" i="9" s="1"/>
  <c r="F739" i="9" s="1"/>
  <c r="D898" i="9" a="1"/>
  <c r="E898" i="9" s="1"/>
  <c r="F898" i="9" s="1"/>
  <c r="D1138" i="9" a="1"/>
  <c r="E1138" i="9" s="1"/>
  <c r="F1138" i="9" s="1"/>
  <c r="D1330" i="9" a="1"/>
  <c r="E1330" i="9" s="1"/>
  <c r="F1330" i="9" s="1"/>
  <c r="D506" i="9" a="1"/>
  <c r="E506" i="9" s="1"/>
  <c r="F506" i="9" s="1"/>
  <c r="D995" i="9" a="1"/>
  <c r="E995" i="9" s="1"/>
  <c r="F995" i="9" s="1"/>
  <c r="D1187" i="9" a="1"/>
  <c r="E1187" i="9" s="1"/>
  <c r="F1187" i="9" s="1"/>
  <c r="D1427" i="9" a="1"/>
  <c r="E1427" i="9" s="1"/>
  <c r="F1427" i="9" s="1"/>
  <c r="D648" i="9" a="1"/>
  <c r="E648" i="9" s="1"/>
  <c r="F648" i="9" s="1"/>
  <c r="D805" i="9" a="1"/>
  <c r="E805" i="9" s="1"/>
  <c r="F805" i="9" s="1"/>
  <c r="D960" i="9" a="1"/>
  <c r="E960" i="9" s="1"/>
  <c r="F960" i="9" s="1"/>
  <c r="D1128" i="9" a="1"/>
  <c r="E1128" i="9" s="1"/>
  <c r="F1128" i="9" s="1"/>
  <c r="D316" i="9" a="1"/>
  <c r="E316" i="9" s="1"/>
  <c r="F316" i="9" s="1"/>
  <c r="D789" i="9" a="1"/>
  <c r="E789" i="9" s="1"/>
  <c r="F789" i="9" s="1"/>
  <c r="D830" i="9" a="1"/>
  <c r="E830" i="9" s="1"/>
  <c r="F830" i="9" s="1"/>
  <c r="D973" i="9" a="1"/>
  <c r="E973" i="9" s="1"/>
  <c r="F973" i="9" s="1"/>
  <c r="D1229" i="9" a="1"/>
  <c r="E1229" i="9" s="1"/>
  <c r="F1229" i="9" s="1"/>
  <c r="D1165" i="9" a="1"/>
  <c r="E1165" i="9" s="1"/>
  <c r="F1165" i="9" s="1"/>
  <c r="D12" i="9" a="1"/>
  <c r="E12" i="9" s="1"/>
  <c r="F12" i="9" s="1"/>
  <c r="D132" i="9" a="1"/>
  <c r="E132" i="9" s="1"/>
  <c r="F132" i="9" s="1"/>
  <c r="D277" i="9" a="1"/>
  <c r="E277" i="9" s="1"/>
  <c r="F277" i="9" s="1"/>
  <c r="D433" i="9" a="1"/>
  <c r="E433" i="9" s="1"/>
  <c r="F433" i="9" s="1"/>
  <c r="D604" i="9" a="1"/>
  <c r="E604" i="9" s="1"/>
  <c r="F604" i="9" s="1"/>
  <c r="D23" i="9" a="1"/>
  <c r="E23" i="9" s="1"/>
  <c r="F23" i="9" s="1"/>
  <c r="D189" i="9" a="1"/>
  <c r="E189" i="9" s="1"/>
  <c r="F189" i="9" s="1"/>
  <c r="D321" i="9" a="1"/>
  <c r="E321" i="9" s="1"/>
  <c r="F321" i="9" s="1"/>
  <c r="D444" i="9" a="1"/>
  <c r="E444" i="9" s="1"/>
  <c r="F444" i="9" s="1"/>
  <c r="D567" i="9" a="1"/>
  <c r="E567" i="9" s="1"/>
  <c r="F567" i="9" s="1"/>
  <c r="D106" i="9" a="1"/>
  <c r="E106" i="9" s="1"/>
  <c r="F106" i="9" s="1"/>
  <c r="D229" i="9" a="1"/>
  <c r="E229" i="9" s="1"/>
  <c r="F229" i="9" s="1"/>
  <c r="D426" i="9" a="1"/>
  <c r="E426" i="9" s="1"/>
  <c r="F426" i="9" s="1"/>
  <c r="D568" i="9" a="1"/>
  <c r="E568" i="9" s="1"/>
  <c r="F568" i="9" s="1"/>
  <c r="D704" i="9" a="1"/>
  <c r="E704" i="9" s="1"/>
  <c r="F704" i="9" s="1"/>
  <c r="D60" i="9" a="1"/>
  <c r="E60" i="9" s="1"/>
  <c r="F60" i="9" s="1"/>
  <c r="D211" i="9" a="1"/>
  <c r="E211" i="9" s="1"/>
  <c r="F211" i="9" s="1"/>
  <c r="D347" i="9" a="1"/>
  <c r="E347" i="9" s="1"/>
  <c r="F347" i="9" s="1"/>
  <c r="D505" i="9" a="1"/>
  <c r="E505" i="9" s="1"/>
  <c r="F505" i="9" s="1"/>
  <c r="D643" i="9" a="1"/>
  <c r="E643" i="9" s="1"/>
  <c r="F643" i="9" s="1"/>
  <c r="D71" i="9" a="1"/>
  <c r="E71" i="9" s="1"/>
  <c r="F71" i="9" s="1"/>
  <c r="D72" i="9" a="1"/>
  <c r="E72" i="9" s="1"/>
  <c r="F72" i="9" s="1"/>
  <c r="D222" i="9" a="1"/>
  <c r="E222" i="9" s="1"/>
  <c r="F222" i="9" s="1"/>
  <c r="D358" i="9" a="1"/>
  <c r="E358" i="9" s="1"/>
  <c r="F358" i="9" s="1"/>
  <c r="D479" i="9" a="1"/>
  <c r="E479" i="9" s="1"/>
  <c r="F479" i="9" s="1"/>
  <c r="D109" i="9" a="1"/>
  <c r="E109" i="9" s="1"/>
  <c r="F109" i="9" s="1"/>
  <c r="D252" i="9" a="1"/>
  <c r="E252" i="9" s="1"/>
  <c r="F252" i="9" s="1"/>
  <c r="D419" i="9" a="1"/>
  <c r="E419" i="9" s="1"/>
  <c r="F419" i="9" s="1"/>
  <c r="D607" i="9" a="1"/>
  <c r="E607" i="9" s="1"/>
  <c r="F607" i="9" s="1"/>
  <c r="D82" i="9" a="1"/>
  <c r="E82" i="9" s="1"/>
  <c r="F82" i="9" s="1"/>
  <c r="D223" i="9" a="1"/>
  <c r="E223" i="9" s="1"/>
  <c r="F223" i="9" s="1"/>
  <c r="D360" i="9" a="1"/>
  <c r="E360" i="9" s="1"/>
  <c r="F360" i="9" s="1"/>
  <c r="D481" i="9" a="1"/>
  <c r="E481" i="9" s="1"/>
  <c r="F481" i="9" s="1"/>
  <c r="D148" i="9" a="1"/>
  <c r="E148" i="9" s="1"/>
  <c r="F148" i="9" s="1"/>
  <c r="D1256" i="9" a="1"/>
  <c r="E1256" i="9" s="1"/>
  <c r="F1256" i="9" s="1"/>
  <c r="D921" i="9" a="1"/>
  <c r="E921" i="9" s="1"/>
  <c r="F921" i="9" s="1"/>
  <c r="D1209" i="9" a="1"/>
  <c r="E1209" i="9" s="1"/>
  <c r="F1209" i="9" s="1"/>
  <c r="D825" i="9" a="1"/>
  <c r="E825" i="9" s="1"/>
  <c r="F825" i="9" s="1"/>
  <c r="D910" i="9" a="1"/>
  <c r="E910" i="9" s="1"/>
  <c r="F910" i="9" s="1"/>
  <c r="D2698" i="9" a="1"/>
  <c r="E2698" i="9" s="1"/>
  <c r="F2698" i="9" s="1"/>
  <c r="D1342" i="9" a="1"/>
  <c r="E1342" i="9" s="1"/>
  <c r="F1342" i="9" s="1"/>
  <c r="D544" i="9" a="1"/>
  <c r="E544" i="9" s="1"/>
  <c r="F544" i="9" s="1"/>
  <c r="D1007" i="9" a="1"/>
  <c r="E1007" i="9" s="1"/>
  <c r="F1007" i="9" s="1"/>
  <c r="D1199" i="9" a="1"/>
  <c r="E1199" i="9" s="1"/>
  <c r="F1199" i="9" s="1"/>
  <c r="D1439" i="9" a="1"/>
  <c r="E1439" i="9" s="1"/>
  <c r="F1439" i="9" s="1"/>
  <c r="D666" i="9" a="1"/>
  <c r="E666" i="9" s="1"/>
  <c r="F666" i="9" s="1"/>
  <c r="D817" i="9" a="1"/>
  <c r="E817" i="9" s="1"/>
  <c r="F817" i="9" s="1"/>
  <c r="D984" i="9" a="1"/>
  <c r="E984" i="9" s="1"/>
  <c r="F984" i="9" s="1"/>
  <c r="D1140" i="9" a="1"/>
  <c r="E1140" i="9" s="1"/>
  <c r="F1140" i="9" s="1"/>
  <c r="D458" i="9" a="1"/>
  <c r="E458" i="9" s="1"/>
  <c r="F458" i="9" s="1"/>
  <c r="D728" i="9" a="1"/>
  <c r="E728" i="9" s="1"/>
  <c r="F728" i="9" s="1"/>
  <c r="D842" i="9" a="1"/>
  <c r="E842" i="9" s="1"/>
  <c r="F842" i="9" s="1"/>
  <c r="D985" i="9" a="1"/>
  <c r="E985" i="9" s="1"/>
  <c r="F985" i="9" s="1"/>
  <c r="D1202" i="9" a="1"/>
  <c r="E1202" i="9" s="1"/>
  <c r="F1202" i="9" s="1"/>
  <c r="D1289" i="9" a="1"/>
  <c r="E1289" i="9" s="1"/>
  <c r="F1289" i="9" s="1"/>
  <c r="D22" i="9" a="1"/>
  <c r="E22" i="9" s="1"/>
  <c r="F22" i="9" s="1"/>
  <c r="D142" i="9" a="1"/>
  <c r="E142" i="9" s="1"/>
  <c r="F142" i="9" s="1"/>
  <c r="D287" i="9" a="1"/>
  <c r="E287" i="9" s="1"/>
  <c r="F287" i="9" s="1"/>
  <c r="D443" i="9" a="1"/>
  <c r="E443" i="9" s="1"/>
  <c r="F443" i="9" s="1"/>
  <c r="D613" i="9" a="1"/>
  <c r="E613" i="9" s="1"/>
  <c r="F613" i="9" s="1"/>
  <c r="D41" i="9" a="1"/>
  <c r="E41" i="9" s="1"/>
  <c r="F41" i="9" s="1"/>
  <c r="D209" i="9" a="1"/>
  <c r="E209" i="9" s="1"/>
  <c r="F209" i="9" s="1"/>
  <c r="D329" i="9" a="1"/>
  <c r="E329" i="9" s="1"/>
  <c r="F329" i="9" s="1"/>
  <c r="D451" i="9" a="1"/>
  <c r="E451" i="9" s="1"/>
  <c r="F451" i="9" s="1"/>
  <c r="D575" i="9" a="1"/>
  <c r="E575" i="9" s="1"/>
  <c r="F575" i="9" s="1"/>
  <c r="D125" i="9" a="1"/>
  <c r="E125" i="9" s="1"/>
  <c r="F125" i="9" s="1"/>
  <c r="D240" i="9" a="1"/>
  <c r="E240" i="9" s="1"/>
  <c r="F240" i="9" s="1"/>
  <c r="D435" i="9" a="1"/>
  <c r="E435" i="9" s="1"/>
  <c r="F435" i="9" s="1"/>
  <c r="D576" i="9" a="1"/>
  <c r="E576" i="9" s="1"/>
  <c r="F576" i="9" s="1"/>
  <c r="D729" i="9" a="1"/>
  <c r="E729" i="9" s="1"/>
  <c r="F729" i="9" s="1"/>
  <c r="D70" i="9" a="1"/>
  <c r="E70" i="9" s="1"/>
  <c r="F70" i="9" s="1"/>
  <c r="D221" i="9" a="1"/>
  <c r="E221" i="9" s="1"/>
  <c r="F221" i="9" s="1"/>
  <c r="D428" i="9" a="1"/>
  <c r="E428" i="9" s="1"/>
  <c r="F428" i="9" s="1"/>
  <c r="D515" i="9" a="1"/>
  <c r="E515" i="9" s="1"/>
  <c r="F515" i="9" s="1"/>
  <c r="D662" i="9" a="1"/>
  <c r="E662" i="9" s="1"/>
  <c r="F662" i="9" s="1"/>
  <c r="D79" i="9" a="1"/>
  <c r="E79" i="9" s="1"/>
  <c r="F79" i="9" s="1"/>
  <c r="D80" i="9" a="1"/>
  <c r="E80" i="9" s="1"/>
  <c r="F80" i="9" s="1"/>
  <c r="D232" i="9" a="1"/>
  <c r="E232" i="9" s="1"/>
  <c r="F232" i="9" s="1"/>
  <c r="D366" i="9" a="1"/>
  <c r="E366" i="9" s="1"/>
  <c r="F366" i="9" s="1"/>
  <c r="D498" i="9" a="1"/>
  <c r="E498" i="9" s="1"/>
  <c r="F498" i="9" s="1"/>
  <c r="D119" i="9" a="1"/>
  <c r="E119" i="9" s="1"/>
  <c r="F119" i="9" s="1"/>
  <c r="D263" i="9" a="1"/>
  <c r="E263" i="9" s="1"/>
  <c r="F263" i="9" s="1"/>
  <c r="D500" i="9" a="1"/>
  <c r="E500" i="9" s="1"/>
  <c r="F500" i="9" s="1"/>
  <c r="D627" i="9" a="1"/>
  <c r="E627" i="9" s="1"/>
  <c r="F627" i="9" s="1"/>
  <c r="D101" i="9" a="1"/>
  <c r="E101" i="9" s="1"/>
  <c r="F101" i="9" s="1"/>
  <c r="D234" i="9" a="1"/>
  <c r="E234" i="9" s="1"/>
  <c r="F234" i="9" s="1"/>
  <c r="D589" i="9" a="1"/>
  <c r="E589" i="9" s="1"/>
  <c r="F589" i="9" s="1"/>
  <c r="D111" i="9" a="1"/>
  <c r="E111" i="9" s="1"/>
  <c r="F111" i="9" s="1"/>
  <c r="D2122" i="9" a="1"/>
  <c r="E2122" i="9" s="1"/>
  <c r="F2122" i="9" s="1"/>
  <c r="D74" i="9" a="1"/>
  <c r="E74" i="9" s="1"/>
  <c r="F74" i="9" s="1"/>
  <c r="D303" i="9" a="1"/>
  <c r="E303" i="9" s="1"/>
  <c r="F303" i="9" s="1"/>
  <c r="D20" i="9" a="1"/>
  <c r="E20" i="9" s="1"/>
  <c r="F20" i="9" s="1"/>
  <c r="D256" i="9" a="1"/>
  <c r="E256" i="9" s="1"/>
  <c r="F256" i="9" s="1"/>
  <c r="D483" i="9" a="1"/>
  <c r="E483" i="9" s="1"/>
  <c r="F483" i="9" s="1"/>
  <c r="D85" i="9" a="1"/>
  <c r="E85" i="9" s="1"/>
  <c r="F85" i="9" s="1"/>
  <c r="D286" i="9" a="1"/>
  <c r="E286" i="9" s="1"/>
  <c r="F286" i="9" s="1"/>
  <c r="D442" i="9" a="1"/>
  <c r="E442" i="9" s="1"/>
  <c r="F442" i="9" s="1"/>
  <c r="D29" i="9" a="1"/>
  <c r="E29" i="9" s="1"/>
  <c r="F29" i="9" s="1"/>
  <c r="D64" i="9" a="1"/>
  <c r="E64" i="9" s="1"/>
  <c r="F64" i="9" s="1"/>
  <c r="D129" i="9" a="1"/>
  <c r="E129" i="9" s="1"/>
  <c r="F129" i="9" s="1"/>
  <c r="D439" i="9" a="1"/>
  <c r="E439" i="9" s="1"/>
  <c r="F439" i="9" s="1"/>
  <c r="D93" i="9" a="1"/>
  <c r="E93" i="9" s="1"/>
  <c r="F93" i="9" s="1"/>
  <c r="D310" i="9" a="1"/>
  <c r="E310" i="9" s="1"/>
  <c r="F310" i="9" s="1"/>
  <c r="D166" i="9" a="1"/>
  <c r="E166" i="9" s="1"/>
  <c r="F166" i="9" s="1"/>
  <c r="D157" i="9" a="1"/>
  <c r="E157" i="9" s="1"/>
  <c r="F157" i="9" s="1"/>
  <c r="D457" i="9" a="1"/>
  <c r="E457" i="9" s="1"/>
  <c r="F457" i="9" s="1"/>
  <c r="D149" i="9" a="1"/>
  <c r="E149" i="9" s="1"/>
  <c r="F149" i="9" s="1"/>
  <c r="D326" i="9" a="1"/>
  <c r="E326" i="9" s="1"/>
  <c r="F326" i="9" s="1"/>
  <c r="D75" i="9" a="1"/>
  <c r="E75" i="9" s="1"/>
  <c r="F75" i="9" s="1"/>
  <c r="D285" i="9" a="1"/>
  <c r="E285" i="9" s="1"/>
  <c r="F285" i="9" s="1"/>
  <c r="D510" i="9" a="1"/>
  <c r="E510" i="9" s="1"/>
  <c r="F510" i="9" s="1"/>
  <c r="D141" i="9" a="1"/>
  <c r="E141" i="9" s="1"/>
  <c r="F141" i="9" s="1"/>
  <c r="D304" i="9" a="1"/>
  <c r="E304" i="9" s="1"/>
  <c r="F304" i="9" s="1"/>
  <c r="D460" i="9" a="1"/>
  <c r="E460" i="9" s="1"/>
  <c r="F460" i="9" s="1"/>
  <c r="D194" i="9" a="1"/>
  <c r="E194" i="9" s="1"/>
  <c r="F194" i="9" s="1"/>
  <c r="D235" i="9" a="1"/>
  <c r="E235" i="9" s="1"/>
  <c r="F235" i="9" s="1"/>
  <c r="D465" i="9" a="1"/>
  <c r="E465" i="9" s="1"/>
  <c r="F465" i="9" s="1"/>
  <c r="D158" i="9" a="1"/>
  <c r="E158" i="9" s="1"/>
  <c r="F158" i="9" s="1"/>
  <c r="D334" i="9" a="1"/>
  <c r="E334" i="9" s="1"/>
  <c r="F334" i="9" s="1"/>
  <c r="D84" i="9" a="1"/>
  <c r="E84" i="9" s="1"/>
  <c r="F84" i="9" s="1"/>
  <c r="D311" i="9" a="1"/>
  <c r="E311" i="9" s="1"/>
  <c r="F311" i="9" s="1"/>
  <c r="D564" i="9" a="1"/>
  <c r="E564" i="9" s="1"/>
  <c r="F564" i="9" s="1"/>
  <c r="D150" i="9" a="1"/>
  <c r="E150" i="9" s="1"/>
  <c r="F150" i="9" s="1"/>
  <c r="D312" i="9" a="1"/>
  <c r="E312" i="9" s="1"/>
  <c r="F312" i="9" s="1"/>
  <c r="D467" i="9" a="1"/>
  <c r="E467" i="9" s="1"/>
  <c r="F467" i="9" s="1"/>
  <c r="D335" i="9" a="1"/>
  <c r="E335" i="9" s="1"/>
  <c r="F335" i="9" s="1"/>
  <c r="D521" i="9" a="1"/>
  <c r="E521" i="9" s="1"/>
  <c r="F521" i="9" s="1"/>
  <c r="D267" i="9" a="1"/>
  <c r="E267" i="9" s="1"/>
  <c r="F267" i="9" s="1"/>
  <c r="D309" i="9" a="1"/>
  <c r="E309" i="9" s="1"/>
  <c r="F309" i="9" s="1"/>
  <c r="D245" i="9" a="1"/>
  <c r="E245" i="9" s="1"/>
  <c r="F245" i="9" s="1"/>
  <c r="D473" i="9" a="1"/>
  <c r="E473" i="9" s="1"/>
  <c r="F473" i="9" s="1"/>
  <c r="D168" i="9" a="1"/>
  <c r="E168" i="9" s="1"/>
  <c r="F168" i="9" s="1"/>
  <c r="D352" i="9" a="1"/>
  <c r="E352" i="9" s="1"/>
  <c r="F352" i="9" s="1"/>
  <c r="D94" i="9" a="1"/>
  <c r="E94" i="9" s="1"/>
  <c r="F94" i="9" s="1"/>
  <c r="D319" i="9" a="1"/>
  <c r="E319" i="9" s="1"/>
  <c r="F319" i="9" s="1"/>
  <c r="D583" i="9" a="1"/>
  <c r="E583" i="9" s="1"/>
  <c r="F583" i="9" s="1"/>
  <c r="D160" i="9" a="1"/>
  <c r="E160" i="9" s="1"/>
  <c r="F160" i="9" s="1"/>
  <c r="D328" i="9" a="1"/>
  <c r="E328" i="9" s="1"/>
  <c r="F328" i="9" s="1"/>
  <c r="D475" i="9" a="1"/>
  <c r="E475" i="9" s="1"/>
  <c r="F475" i="9" s="1"/>
  <c r="D354" i="9" a="1"/>
  <c r="E354" i="9" s="1"/>
  <c r="F354" i="9" s="1"/>
  <c r="D404" i="9" a="1"/>
  <c r="E404" i="9" s="1"/>
  <c r="F404" i="9" s="1"/>
  <c r="D294" i="9" a="1"/>
  <c r="E294" i="9" s="1"/>
  <c r="F294" i="9" s="1"/>
  <c r="D332" i="9" a="1"/>
  <c r="E332" i="9" s="1"/>
  <c r="F332" i="9" s="1"/>
  <c r="D254" i="9" a="1"/>
  <c r="E254" i="9" s="1"/>
  <c r="F254" i="9" s="1"/>
  <c r="D490" i="9" a="1"/>
  <c r="E490" i="9" s="1"/>
  <c r="F490" i="9" s="1"/>
  <c r="D176" i="9" a="1"/>
  <c r="E176" i="9" s="1"/>
  <c r="F176" i="9" s="1"/>
  <c r="D361" i="9" a="1"/>
  <c r="E361" i="9" s="1"/>
  <c r="F361" i="9" s="1"/>
  <c r="D113" i="9" a="1"/>
  <c r="E113" i="9" s="1"/>
  <c r="F113" i="9" s="1"/>
  <c r="D327" i="9" a="1"/>
  <c r="E327" i="9" s="1"/>
  <c r="F327" i="9" s="1"/>
  <c r="D602" i="9" a="1"/>
  <c r="E602" i="9" s="1"/>
  <c r="F602" i="9" s="1"/>
  <c r="D169" i="9" a="1"/>
  <c r="E169" i="9" s="1"/>
  <c r="F169" i="9" s="1"/>
  <c r="D484" i="9" a="1"/>
  <c r="E484" i="9" s="1"/>
  <c r="F484" i="9" s="1"/>
  <c r="D13" i="9" a="1"/>
  <c r="E13" i="9" s="1"/>
  <c r="F13" i="9" s="1"/>
  <c r="D368" i="9" a="1"/>
  <c r="E368" i="9" s="1"/>
  <c r="F368" i="9" s="1"/>
  <c r="D265" i="9" a="1"/>
  <c r="E265" i="9" s="1"/>
  <c r="F265" i="9" s="1"/>
  <c r="D555" i="9" a="1"/>
  <c r="E555" i="9" s="1"/>
  <c r="F555" i="9" s="1"/>
  <c r="D186" i="9" a="1"/>
  <c r="E186" i="9" s="1"/>
  <c r="F186" i="9" s="1"/>
  <c r="D403" i="9" a="1"/>
  <c r="E403" i="9" s="1"/>
  <c r="F403" i="9" s="1"/>
  <c r="D131" i="9" a="1"/>
  <c r="E131" i="9" s="1"/>
  <c r="F131" i="9" s="1"/>
  <c r="D389" i="9" a="1"/>
  <c r="E389" i="9" s="1"/>
  <c r="F389" i="9" s="1"/>
  <c r="D11" i="9" a="1"/>
  <c r="E11" i="9" s="1"/>
  <c r="F11" i="9" s="1"/>
  <c r="D178" i="9" a="1"/>
  <c r="E178" i="9" s="1"/>
  <c r="F178" i="9" s="1"/>
  <c r="D492" i="9" a="1"/>
  <c r="E492" i="9" s="1"/>
  <c r="F492" i="9" s="1"/>
  <c r="D501" i="9" a="1"/>
  <c r="E501" i="9" s="1"/>
  <c r="F501" i="9" s="1"/>
  <c r="D438" i="9" a="1"/>
  <c r="E438" i="9" s="1"/>
  <c r="F438" i="9" s="1"/>
  <c r="D274" i="9" a="1"/>
  <c r="E274" i="9" s="1"/>
  <c r="F274" i="9" s="1"/>
  <c r="D9" i="9" a="1"/>
  <c r="E9" i="9" s="1"/>
  <c r="F9" i="9" s="1"/>
  <c r="D196" i="9" a="1"/>
  <c r="E196" i="9" s="1"/>
  <c r="F196" i="9" s="1"/>
  <c r="D413" i="9" a="1"/>
  <c r="E413" i="9" s="1"/>
  <c r="F413" i="9" s="1"/>
  <c r="D284" i="9" a="1"/>
  <c r="E284" i="9" s="1"/>
  <c r="F284" i="9" s="1"/>
  <c r="D422" i="9" a="1"/>
  <c r="E422" i="9" s="1"/>
  <c r="F422" i="9" s="1"/>
  <c r="D21" i="9" a="1"/>
  <c r="E21" i="9" s="1"/>
  <c r="F21" i="9" s="1"/>
  <c r="D207" i="9" a="1"/>
  <c r="E207" i="9" s="1"/>
  <c r="F207" i="9" s="1"/>
  <c r="D363" i="9" a="1"/>
  <c r="E363" i="9" s="1"/>
  <c r="F363" i="9" s="1"/>
  <c r="D122" i="9" a="1"/>
  <c r="E122" i="9" s="1"/>
  <c r="F122" i="9" s="1"/>
  <c r="D448" i="9" a="1"/>
  <c r="E448" i="9" s="1"/>
  <c r="F448" i="9" s="1"/>
  <c r="D302" i="9" a="1"/>
  <c r="E302" i="9" s="1"/>
  <c r="F302" i="9" s="1"/>
  <c r="D28" i="9" a="1"/>
  <c r="E28" i="9" s="1"/>
  <c r="F28" i="9" s="1"/>
  <c r="D205" i="9" a="1"/>
  <c r="E205" i="9" s="1"/>
  <c r="F205" i="9" s="1"/>
  <c r="D421" i="9" a="1"/>
  <c r="E421" i="9" s="1"/>
  <c r="F421" i="9" s="1"/>
  <c r="D159" i="9" a="1"/>
  <c r="E159" i="9" s="1"/>
  <c r="F159" i="9" s="1"/>
  <c r="D432" i="9" a="1"/>
  <c r="E432" i="9" s="1"/>
  <c r="F432" i="9" s="1"/>
  <c r="D39" i="9" a="1"/>
  <c r="E39" i="9" s="1"/>
  <c r="F39" i="9" s="1"/>
  <c r="D217" i="9" a="1"/>
  <c r="E217" i="9" s="1"/>
  <c r="F217" i="9" s="1"/>
  <c r="D372" i="9" a="1"/>
  <c r="E372" i="9" s="1"/>
  <c r="F372" i="9" s="1"/>
  <c r="D414" i="9" a="1"/>
  <c r="E414" i="9" s="1"/>
  <c r="F414" i="9" s="1"/>
  <c r="D91" i="9" a="1"/>
  <c r="E91" i="9" s="1"/>
  <c r="F91" i="9" s="1"/>
  <c r="D456" i="9" a="1"/>
  <c r="E456" i="9" s="1"/>
  <c r="F456" i="9" s="1"/>
  <c r="D318" i="9" a="1"/>
  <c r="E318" i="9" s="1"/>
  <c r="F318" i="9" s="1"/>
  <c r="D37" i="9" a="1"/>
  <c r="E37" i="9" s="1"/>
  <c r="F37" i="9" s="1"/>
  <c r="D216" i="9" a="1"/>
  <c r="E216" i="9" s="1"/>
  <c r="F216" i="9" s="1"/>
  <c r="D431" i="9" a="1"/>
  <c r="E431" i="9" s="1"/>
  <c r="F431" i="9" s="1"/>
  <c r="D177" i="9" a="1"/>
  <c r="E177" i="9" s="1"/>
  <c r="F177" i="9" s="1"/>
  <c r="D441" i="9" a="1"/>
  <c r="E441" i="9" s="1"/>
  <c r="F441" i="9" s="1"/>
  <c r="D57" i="9" a="1"/>
  <c r="E57" i="9" s="1"/>
  <c r="F57" i="9" s="1"/>
  <c r="D227" i="9" a="1"/>
  <c r="E227" i="9" s="1"/>
  <c r="F227" i="9" s="1"/>
  <c r="D233" i="9" a="1"/>
  <c r="E233" i="9" s="1"/>
  <c r="F233" i="9" s="1"/>
  <c r="D8" i="9" a="1"/>
  <c r="E8" i="9" s="1"/>
  <c r="F8" i="9" s="1"/>
  <c r="D412" i="9" a="1"/>
  <c r="E412" i="9" s="1"/>
  <c r="F412" i="9" s="1"/>
  <c r="D47" i="9" a="1"/>
  <c r="E47" i="9" s="1"/>
  <c r="F47" i="9" s="1"/>
  <c r="D320" i="9" a="1"/>
  <c r="E320" i="9" s="1"/>
  <c r="F320" i="9" s="1"/>
  <c r="D440" i="9" a="1"/>
  <c r="E440" i="9" s="1"/>
  <c r="F440" i="9" s="1"/>
  <c r="D236" i="9" a="1"/>
  <c r="E236" i="9" s="1"/>
  <c r="F236" i="9" s="1"/>
  <c r="D459" i="9" a="1"/>
  <c r="E459" i="9" s="1"/>
  <c r="F459" i="9" s="1"/>
  <c r="D67" i="9" a="1"/>
  <c r="E67" i="9" s="1"/>
  <c r="F67" i="9" s="1"/>
  <c r="D237" i="9" a="1"/>
  <c r="E237" i="9" s="1"/>
  <c r="F237" i="9" s="1"/>
  <c r="D423" i="9" a="1"/>
  <c r="E423" i="9" s="1"/>
  <c r="F423" i="9" s="1"/>
  <c r="D386" i="9" a="1"/>
  <c r="E386" i="9" s="1"/>
  <c r="F386" i="9" s="1"/>
  <c r="D92" i="9" a="1"/>
  <c r="E92" i="9" s="1"/>
  <c r="F92" i="9" s="1"/>
  <c r="D420" i="9" a="1"/>
  <c r="E420" i="9" s="1"/>
  <c r="F420" i="9" s="1"/>
  <c r="D55" i="9" a="1"/>
  <c r="E55" i="9" s="1"/>
  <c r="F55" i="9" s="1"/>
  <c r="D293" i="9" a="1"/>
  <c r="E293" i="9" s="1"/>
  <c r="F293" i="9" s="1"/>
  <c r="D10" i="9" a="1"/>
  <c r="E10" i="9" s="1"/>
  <c r="F10" i="9" s="1"/>
  <c r="D246" i="9" a="1"/>
  <c r="E246" i="9" s="1"/>
  <c r="F246" i="9" s="1"/>
  <c r="D1042" i="9" a="1"/>
  <c r="E1042" i="9" s="1"/>
  <c r="F1042" i="9" s="1"/>
  <c r="D76" i="9" a="1"/>
  <c r="E76" i="9" s="1"/>
  <c r="F76" i="9" s="1"/>
  <c r="D276" i="9" a="1"/>
  <c r="E276" i="9" s="1"/>
  <c r="F276" i="9" s="1"/>
  <c r="D450" i="9" a="1"/>
  <c r="E450" i="9" s="1"/>
  <c r="F450" i="9" s="1"/>
  <c r="D2697" i="9" a="1"/>
  <c r="E2697" i="9" s="1"/>
  <c r="F2697" i="9" s="1"/>
  <c r="D2625" i="9" a="1"/>
  <c r="E2625" i="9" s="1"/>
  <c r="F2625" i="9" s="1"/>
  <c r="D2323" i="9" a="1"/>
  <c r="E2323" i="9" s="1"/>
  <c r="F2323" i="9" s="1"/>
  <c r="K16" i="12"/>
  <c r="J9" i="12"/>
  <c r="K4" i="12"/>
  <c r="J17" i="12"/>
  <c r="J10" i="12"/>
  <c r="K10" i="12"/>
  <c r="J8" i="12"/>
  <c r="K8" i="12"/>
  <c r="E1186" i="9" l="1"/>
  <c r="F118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Mathakgale Mohale</author>
  </authors>
  <commentList>
    <comment ref="A1" authorId="0" shapeId="0" xr:uid="{70913653-B1C5-43E9-959F-67DAC023593A}">
      <text>
        <r>
          <rPr>
            <b/>
            <sz val="9"/>
            <color indexed="81"/>
            <rFont val="Tahoma"/>
            <family val="2"/>
          </rPr>
          <t>Mathakgale Mohale:</t>
        </r>
        <r>
          <rPr>
            <sz val="9"/>
            <color indexed="81"/>
            <rFont val="Tahoma"/>
            <family val="2"/>
          </rPr>
          <t xml:space="preserve">
Sep-26 values (C34:C2701 Sep rows, and new rows 2717:2722): Source: 261001 kWh Registration_September.xlsx, Meter Overview sheet, Total kWh column, uploaded 2026-10-05.</t>
        </r>
      </text>
    </comment>
    <comment ref="C321" authorId="0" shapeId="0" xr:uid="{5810436F-CEBB-419A-9068-C538AA34BE2A}">
      <text>
        <r>
          <rPr>
            <b/>
            <sz val="9"/>
            <color indexed="81"/>
            <rFont val="Tahoma"/>
            <family val="2"/>
          </rPr>
          <t>Mathakgale Mohale:</t>
        </r>
        <r>
          <rPr>
            <sz val="9"/>
            <color indexed="81"/>
            <rFont val="Tahoma"/>
            <family val="2"/>
          </rPr>
          <t xml:space="preserve">
Aug-2026 measured. Offline 01/08 - 04/08. Source: 260901 kWh Registration_August.xlsx, Meter Overview</t>
        </r>
      </text>
    </comment>
    <comment ref="C1437" authorId="0" shapeId="0" xr:uid="{4663AF63-283D-4865-B746-A45870AE179A}">
      <text>
        <r>
          <rPr>
            <b/>
            <sz val="9"/>
            <color indexed="81"/>
            <rFont val="Tahoma"/>
            <family val="2"/>
          </rPr>
          <t>Mathakgale Mohale:</t>
        </r>
        <r>
          <rPr>
            <sz val="9"/>
            <color indexed="81"/>
            <rFont val="Tahoma"/>
            <family val="2"/>
          </rPr>
          <t xml:space="preserve">
Inverter readings. Source: 260901 kWh Registration_August.xlsx, Meter Overview</t>
        </r>
      </text>
    </comment>
    <comment ref="C1761" authorId="0" shapeId="0" xr:uid="{A64265D3-4F4D-4122-9F6C-C6EFE4E7B0C4}">
      <text>
        <r>
          <rPr>
            <b/>
            <sz val="9"/>
            <color indexed="81"/>
            <rFont val="Tahoma"/>
            <family val="2"/>
          </rPr>
          <t>Mathakgale Mohale:</t>
        </r>
        <r>
          <rPr>
            <sz val="9"/>
            <color indexed="81"/>
            <rFont val="Tahoma"/>
            <family val="2"/>
          </rPr>
          <t xml:space="preserve">
System offline until 17/08 (municipal fault). Source: 260901 kWh Registration_August.xlsx, Meter Overview</t>
        </r>
      </text>
    </comment>
    <comment ref="C2013" authorId="0" shapeId="0" xr:uid="{EAE735D6-5EA9-40C5-AD78-784FB9B86B89}">
      <text>
        <r>
          <rPr>
            <b/>
            <sz val="9"/>
            <color indexed="81"/>
            <rFont val="Tahoma"/>
            <family val="2"/>
          </rPr>
          <t>Mathakgale Mohale:</t>
        </r>
        <r>
          <rPr>
            <sz val="9"/>
            <color indexed="81"/>
            <rFont val="Tahoma"/>
            <family val="2"/>
          </rPr>
          <t xml:space="preserve">
System off due to grid unavailability. Source: 260901 kWh Registration_August.xlsx, Meter Overview</t>
        </r>
      </text>
    </comment>
    <comment ref="C2553" authorId="0" shapeId="0" xr:uid="{F07CCDB8-0DB7-4427-9FF5-0574B3480D84}">
      <text>
        <r>
          <rPr>
            <b/>
            <sz val="9"/>
            <color indexed="81"/>
            <rFont val="Tahoma"/>
            <family val="2"/>
          </rPr>
          <t>Mathakgale Mohale:</t>
        </r>
        <r>
          <rPr>
            <sz val="9"/>
            <color indexed="81"/>
            <rFont val="Tahoma"/>
            <family val="2"/>
          </rPr>
          <t xml:space="preserve">
Inverter readings. Source: 260901 kWh Registration_August.xlsx, Meter Overview</t>
        </r>
      </text>
    </comment>
    <comment ref="C2714" authorId="0" shapeId="0" xr:uid="{ECA30480-0CF7-413B-9B9F-93CD9B374593}">
      <text>
        <r>
          <rPr>
            <b/>
            <sz val="9"/>
            <color indexed="81"/>
            <rFont val="Tahoma"/>
            <family val="2"/>
          </rPr>
          <t>Mathakgale Mohale:</t>
        </r>
        <r>
          <rPr>
            <sz val="9"/>
            <color indexed="81"/>
            <rFont val="Tahoma"/>
            <family val="2"/>
          </rPr>
          <t xml:space="preserve">
Commissioned 17/08. Source: 260901 kWh Registration_August.xlsx, Meter Overview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<sst xmlns="http://schemas.openxmlformats.org/spreadsheetml/2006/main" count="15695" uniqueCount="1119">
  <si>
    <t xml:space="preserve">Site Name </t>
  </si>
  <si>
    <t>PV Inverter Size (kW)</t>
  </si>
  <si>
    <t xml:space="preserve">Battery Name </t>
  </si>
  <si>
    <t>Battery Inverter/Hybrid Size</t>
  </si>
  <si>
    <t>Generator  Size</t>
  </si>
  <si>
    <t>Genset/Grid set point kit</t>
  </si>
  <si>
    <t xml:space="preserve">Country </t>
  </si>
  <si>
    <t>Province</t>
  </si>
  <si>
    <t xml:space="preserve">Location </t>
  </si>
  <si>
    <t>Meter</t>
  </si>
  <si>
    <t>Contract Type</t>
  </si>
  <si>
    <t>Business Type</t>
  </si>
  <si>
    <t>Operational Satus</t>
  </si>
  <si>
    <t xml:space="preserve">Sales Type </t>
  </si>
  <si>
    <t>Investment Party</t>
  </si>
  <si>
    <t>Project Number</t>
  </si>
  <si>
    <t>Commisioned Date</t>
  </si>
  <si>
    <t xml:space="preserve">Installer Name </t>
  </si>
  <si>
    <t>Platform</t>
  </si>
  <si>
    <t>Vaal Maseru Klerksdorp</t>
  </si>
  <si>
    <t>Solar MD</t>
  </si>
  <si>
    <t>Sunsynk</t>
  </si>
  <si>
    <t>null</t>
  </si>
  <si>
    <t>South Africa</t>
  </si>
  <si>
    <t>Free state</t>
  </si>
  <si>
    <t>Cnr of Mikro and Von Wielligh Streets, Klerksdorp</t>
  </si>
  <si>
    <t>PPA</t>
  </si>
  <si>
    <t>Commercial</t>
  </si>
  <si>
    <t>Decommissioned</t>
  </si>
  <si>
    <t>SSI</t>
  </si>
  <si>
    <t>P00044</t>
  </si>
  <si>
    <t>21 Melrose</t>
  </si>
  <si>
    <t>3x12kW</t>
  </si>
  <si>
    <t>None</t>
  </si>
  <si>
    <t>Gauteng</t>
  </si>
  <si>
    <t>21 Melrose St Melrose</t>
  </si>
  <si>
    <t>N/A</t>
  </si>
  <si>
    <t>RTO</t>
  </si>
  <si>
    <t>Residential</t>
  </si>
  <si>
    <t>Reduced Demand</t>
  </si>
  <si>
    <t>Anuva</t>
  </si>
  <si>
    <t>P00062</t>
  </si>
  <si>
    <t xml:space="preserve">SA Energy </t>
  </si>
  <si>
    <t>African Global Plastics</t>
  </si>
  <si>
    <t>1st St &amp; 11th road, Kew, Sandton, 2090</t>
  </si>
  <si>
    <t>Alester Meter</t>
  </si>
  <si>
    <t>Manufacture</t>
  </si>
  <si>
    <t>P00008</t>
  </si>
  <si>
    <t>mypower24</t>
  </si>
  <si>
    <t xml:space="preserve">Alpine Heath Residential </t>
  </si>
  <si>
    <t>KZN</t>
  </si>
  <si>
    <t>Busingatha, South Africa</t>
  </si>
  <si>
    <t>Eastron Meter</t>
  </si>
  <si>
    <t>12B Fund</t>
  </si>
  <si>
    <t>isolarCloud</t>
  </si>
  <si>
    <t>Bendstore Plaza Shops</t>
  </si>
  <si>
    <t>Limpopo</t>
  </si>
  <si>
    <t>Stand 87, Bendstore Plaza, Giyani Main Rd, Giyani-BA, Giyani, 0832</t>
  </si>
  <si>
    <t>Retail</t>
  </si>
  <si>
    <t>P00072</t>
  </si>
  <si>
    <t>Bendstore Spar</t>
  </si>
  <si>
    <t>Beyerskloof</t>
  </si>
  <si>
    <t>Western Cape</t>
  </si>
  <si>
    <t>Koelenhof Street, R304, Koelenhof, Stellenbosch, 7600</t>
  </si>
  <si>
    <t xml:space="preserve">BP Parys </t>
  </si>
  <si>
    <t>63 Bree St, Parys, 9585</t>
  </si>
  <si>
    <t>Buffalo Rock</t>
  </si>
  <si>
    <t>2x12kW</t>
  </si>
  <si>
    <t>Mpumalanga</t>
  </si>
  <si>
    <t>Hazyview Ehlanzeni District Municipality MP</t>
  </si>
  <si>
    <t>P00054</t>
  </si>
  <si>
    <t>Checkers De Aar</t>
  </si>
  <si>
    <t>NuVo</t>
  </si>
  <si>
    <t>Northern Cape</t>
  </si>
  <si>
    <t>21 Alexander St, De Aar, 7000, South Africa</t>
  </si>
  <si>
    <t>P00038</t>
  </si>
  <si>
    <t>iSolarCloud &amp; NuVo</t>
  </si>
  <si>
    <t>Checkers Silverlakes Gen</t>
  </si>
  <si>
    <t>Nuvo</t>
  </si>
  <si>
    <t>Chamberlain Shopping Cntr (Six Fountains Cnr Solomon Mahlangu Dr, Bendeman Blvd, &amp;, Pretoria, 0081</t>
  </si>
  <si>
    <t>Checkers Silverlakes No Gen</t>
  </si>
  <si>
    <t>Checkrite Inanda</t>
  </si>
  <si>
    <t>6th Ave, Springs New, Springs, 1560</t>
  </si>
  <si>
    <t>P00056</t>
  </si>
  <si>
    <t>iSolarCloud</t>
  </si>
  <si>
    <t>Club Houghton</t>
  </si>
  <si>
    <t>6x12kW Sunsynk Inverters</t>
  </si>
  <si>
    <t>Osborn Rd, Houghton Estate, Johannesburg, 2198, South Africa</t>
  </si>
  <si>
    <t>P00067</t>
  </si>
  <si>
    <t>Sunsysnk;SolarMd</t>
  </si>
  <si>
    <t>Coldstar International</t>
  </si>
  <si>
    <t>Coldstar International, 3 Rana Rd, Isipingo Rail, Isipingo, 4110 | client miss use data</t>
  </si>
  <si>
    <t>P00051</t>
  </si>
  <si>
    <t>Cultura Fresh</t>
  </si>
  <si>
    <t>Agricultural</t>
  </si>
  <si>
    <t>Demco</t>
  </si>
  <si>
    <t>Industries East, 12 -14 Moller Street, Germiston. 1401</t>
  </si>
  <si>
    <t>P00035</t>
  </si>
  <si>
    <t>Giba Gorge Main</t>
  </si>
  <si>
    <t>5QCJ+XM2 Clifton Canyon, Pinetown Rural</t>
  </si>
  <si>
    <t>P00069</t>
  </si>
  <si>
    <t>soliscloud</t>
  </si>
  <si>
    <t>Giba Gorge Storage</t>
  </si>
  <si>
    <t>SolisCloud</t>
  </si>
  <si>
    <t>Golden Spot Resort</t>
  </si>
  <si>
    <t>HR2M+GQ7 Alkmaar (-25.4487127, 30.8344204)</t>
  </si>
  <si>
    <t>P00071</t>
  </si>
  <si>
    <t>Golden Spot Shops</t>
  </si>
  <si>
    <t>P00060</t>
  </si>
  <si>
    <t>HB Dunn</t>
  </si>
  <si>
    <t>1x50 kW</t>
  </si>
  <si>
    <t>Kriel Nkangala District Municipality MP</t>
  </si>
  <si>
    <t>P00045</t>
  </si>
  <si>
    <t xml:space="preserve">Helderberg Collage </t>
  </si>
  <si>
    <t>Hilston Rotoflo</t>
  </si>
  <si>
    <t>28 Hilston Rd, Kya Sand, Randburg, 2163</t>
  </si>
  <si>
    <t>P00055</t>
  </si>
  <si>
    <t>Huis Herfsblaar</t>
  </si>
  <si>
    <t>Edging Pretoria, 1244 Webb Rd, Queenswood, Pretoria, 0186, South Africa</t>
  </si>
  <si>
    <t>P00034</t>
  </si>
  <si>
    <t xml:space="preserve">Kool Village </t>
  </si>
  <si>
    <t>Kool Village, 89 Virginia Way, Virginia, 9430</t>
  </si>
  <si>
    <t>Mambha Cash &amp; Carry</t>
  </si>
  <si>
    <t>P00015</t>
  </si>
  <si>
    <t>Mathe Group Company</t>
  </si>
  <si>
    <t>4/160 Buckman Blvd, Cato Ridge, 3699, South Africa</t>
  </si>
  <si>
    <t>P00059</t>
  </si>
  <si>
    <t>Mdluli</t>
  </si>
  <si>
    <t>Makoko, South Africa,1251</t>
  </si>
  <si>
    <t>P00083</t>
  </si>
  <si>
    <t>mypower24&amp;IsolarCloud</t>
  </si>
  <si>
    <t xml:space="preserve">Meredale Heights </t>
  </si>
  <si>
    <t>40 thomas street</t>
  </si>
  <si>
    <t>P00052</t>
  </si>
  <si>
    <t>Monument Park Checkers</t>
  </si>
  <si>
    <t>242 Voortrekker Rd, Monument, Krugersdorp, 1739, South Africa</t>
  </si>
  <si>
    <t>P00037</t>
  </si>
  <si>
    <t>isloarcloud &amp;Nuvo</t>
  </si>
  <si>
    <t>Nkambeni Industrial</t>
  </si>
  <si>
    <t>Atess PCS500</t>
  </si>
  <si>
    <t>139 Numbi Rd Numbi Gate Kruger National Park, Hazyview, 1350</t>
  </si>
  <si>
    <t>P00040</t>
  </si>
  <si>
    <t xml:space="preserve">Opal Students </t>
  </si>
  <si>
    <t>Opal students</t>
  </si>
  <si>
    <t>P00057</t>
  </si>
  <si>
    <t>Orthochem Bethlehem</t>
  </si>
  <si>
    <t>6 Sauer Street Bethlehem Free State 9700</t>
  </si>
  <si>
    <t>P00063</t>
  </si>
  <si>
    <t xml:space="preserve">isolarcloud, &amp; NuVO </t>
  </si>
  <si>
    <t xml:space="preserve">Plastiplate </t>
  </si>
  <si>
    <t>6 adderley, Roodepoort, 1724, South Africa</t>
  </si>
  <si>
    <t>P00061</t>
  </si>
  <si>
    <t>PNB Unlimited</t>
  </si>
  <si>
    <t>North West</t>
  </si>
  <si>
    <t>8X4H+VXW Amaoti</t>
  </si>
  <si>
    <t>Q-lity Meat</t>
  </si>
  <si>
    <t>P00007</t>
  </si>
  <si>
    <t>Quintondale</t>
  </si>
  <si>
    <t>43 Orchards Street, Johannesburg, Johannesburg, Gauteng 2192, South Africa</t>
  </si>
  <si>
    <t>P00065</t>
  </si>
  <si>
    <t xml:space="preserve">Riverside Lodge </t>
  </si>
  <si>
    <t>Hartbeespoort, South Africa</t>
  </si>
  <si>
    <t>P00053</t>
  </si>
  <si>
    <t>Sakhumnotho</t>
  </si>
  <si>
    <t>R3W5+96X Johannesburg</t>
  </si>
  <si>
    <t>P00043</t>
  </si>
  <si>
    <t>SaveMore Alldays - Store</t>
  </si>
  <si>
    <t>R572, Alldays, 0909</t>
  </si>
  <si>
    <t>P00050</t>
  </si>
  <si>
    <t xml:space="preserve">Savemore Liquor Alldays </t>
  </si>
  <si>
    <t>84C3+PG2 Alldays</t>
  </si>
  <si>
    <t>Saverite Durban</t>
  </si>
  <si>
    <t>Saverite PMB</t>
  </si>
  <si>
    <t>457 Langalibalele St, Pietermaritzburg, 3200</t>
  </si>
  <si>
    <t>Secunda Plaza Choppies</t>
  </si>
  <si>
    <t>8337 Pichlerplien, Secunda, 2302, South Africa</t>
  </si>
  <si>
    <t>P00076</t>
  </si>
  <si>
    <t>Secunda Plaza Shops</t>
  </si>
  <si>
    <t>8309 Louwrens Muller St, Secunda, 2302, South Africa</t>
  </si>
  <si>
    <t>P00075</t>
  </si>
  <si>
    <t xml:space="preserve">Shoprite Dube </t>
  </si>
  <si>
    <t>Shoprite Maponya Center, 1980 Mahalefele Rd, Dube, Soweto, 1801</t>
  </si>
  <si>
    <t>Shoprite Hillbrow</t>
  </si>
  <si>
    <t xml:space="preserve">500kVa </t>
  </si>
  <si>
    <t xml:space="preserve">Shoprite Ladybrand </t>
  </si>
  <si>
    <t>248 Voortrekkers Ave, CBD, Ladybrand, 9745, South Africa</t>
  </si>
  <si>
    <t>Shoprite Mini Ganyesa</t>
  </si>
  <si>
    <t>P00078</t>
  </si>
  <si>
    <t>Shoprite Naledi</t>
  </si>
  <si>
    <t>PRVC+MPW Soweto</t>
  </si>
  <si>
    <t>Spring Glade</t>
  </si>
  <si>
    <t>VR7R+269 Roodepoort</t>
  </si>
  <si>
    <t>Thakadu Industrial</t>
  </si>
  <si>
    <t>D53 Thakadu Gate, Madikwe Game Reserve Molatedi, 2838</t>
  </si>
  <si>
    <t>The Alec</t>
  </si>
  <si>
    <t>48 Goldreich St, Hillbrow, Johannesburg, 2198, South Africa</t>
  </si>
  <si>
    <t>Three Peaks</t>
  </si>
  <si>
    <t>22A Underwood Rd, Hatton Estate, Pinetown, 3610</t>
  </si>
  <si>
    <t>P00064</t>
  </si>
  <si>
    <t xml:space="preserve">TPF Foods </t>
  </si>
  <si>
    <t>Q2R4+98G Johannesburg</t>
  </si>
  <si>
    <t>Trouw Nutrition</t>
  </si>
  <si>
    <t>Watt Place Rotoflo</t>
  </si>
  <si>
    <t>10 Watt Pl, Kya Sand, Randburg, 2163, South Africa</t>
  </si>
  <si>
    <t>P00048</t>
  </si>
  <si>
    <t>isolarCloud &amp; Nuvo</t>
  </si>
  <si>
    <t>Zwartop Golf Course</t>
  </si>
  <si>
    <t>ZwartKop Golf and Country club, 108 Golf Avenue Club view Centurion 0157</t>
  </si>
  <si>
    <t>Shoprite Thokoza</t>
  </si>
  <si>
    <t>9102 Khumalo St, Thokoza, 1426</t>
  </si>
  <si>
    <t>IsolarCloud</t>
  </si>
  <si>
    <t xml:space="preserve">U Save Botrivier </t>
  </si>
  <si>
    <t>3 8th Ave, Bot River, 7185, South Africa</t>
  </si>
  <si>
    <t>SR Morula TF 1</t>
  </si>
  <si>
    <t>8408 Mangope Rd, Mabopane Unit M, Mabopane, 0190, South Africa</t>
  </si>
  <si>
    <t>P00091</t>
  </si>
  <si>
    <t>SR Morula TF 1 - Shoprite</t>
  </si>
  <si>
    <t>8409 Mangope Rd, Mabopane Unit M, Mabopane, 0190, South Africa</t>
  </si>
  <si>
    <t>SR Morula TF 2</t>
  </si>
  <si>
    <t>8410 Mangope Rd, Mabopane Unit M, Mabopane, 0190, South Africa</t>
  </si>
  <si>
    <t>Olievenhoutbosch 1</t>
  </si>
  <si>
    <t>33WW+C5W Centurion</t>
  </si>
  <si>
    <t>Olievenhoutbosch 2</t>
  </si>
  <si>
    <t>IPID - Floor 6</t>
  </si>
  <si>
    <t>7633+M46 Pretoria</t>
  </si>
  <si>
    <t>IPID - Floor 4</t>
  </si>
  <si>
    <t>Shoprite Newlands</t>
  </si>
  <si>
    <t>Newlands City Centre, 2 Marble Ray Drive, New Dawn Park, Durban, 4037</t>
  </si>
  <si>
    <t>Grootpan</t>
  </si>
  <si>
    <t>Deye</t>
  </si>
  <si>
    <t>Daye</t>
  </si>
  <si>
    <t>2G4H+RXQ Ga-Motlatla</t>
  </si>
  <si>
    <t>OTG 4 U</t>
  </si>
  <si>
    <t>Deye Cloud</t>
  </si>
  <si>
    <t>Medipost</t>
  </si>
  <si>
    <t>593 Nico Smith St, Gezina, Pretoria, 0084</t>
  </si>
  <si>
    <t>Makalali</t>
  </si>
  <si>
    <t>Makalali game reserve Road D202 Harmony Block 33, Gravelotte</t>
  </si>
  <si>
    <t>Agriculural</t>
  </si>
  <si>
    <t>Engen Lotus Gardens</t>
  </si>
  <si>
    <t>63WC+CQ4 Pretoria</t>
  </si>
  <si>
    <t>Shoprite Ekhaya</t>
  </si>
  <si>
    <t>Ekhaya Mall, R546, Evander, 2285</t>
  </si>
  <si>
    <t>Producing</t>
  </si>
  <si>
    <t>Roan Foods</t>
  </si>
  <si>
    <t>Zambia</t>
  </si>
  <si>
    <t>Lusaka</t>
  </si>
  <si>
    <t>J8VC+WPJ, Lusaka, Zambia</t>
  </si>
  <si>
    <t>Dorman Energy</t>
  </si>
  <si>
    <t>3117 Angelfish St, Kaalfontein, Midrand, 1632</t>
  </si>
  <si>
    <t>Alpine Heath Resort</t>
  </si>
  <si>
    <t>Checkers Lichtenburg</t>
  </si>
  <si>
    <t>33 Nelson Mandela Dr, Lichtenburg, 2740</t>
  </si>
  <si>
    <t>Jan</t>
  </si>
  <si>
    <t>Feb</t>
  </si>
  <si>
    <t>Mar</t>
  </si>
  <si>
    <t>Apr</t>
  </si>
  <si>
    <t>May</t>
  </si>
  <si>
    <t>Jun</t>
  </si>
  <si>
    <t>Jul</t>
  </si>
  <si>
    <t>Aug</t>
  </si>
  <si>
    <t>Sep</t>
  </si>
  <si>
    <t>Oct</t>
  </si>
  <si>
    <t>Nov</t>
  </si>
  <si>
    <t>Dec</t>
  </si>
  <si>
    <t>Secunda Plaza choppies</t>
  </si>
  <si>
    <t>Date</t>
  </si>
  <si>
    <t>Expected Utilisation%</t>
  </si>
  <si>
    <t>Site Name</t>
  </si>
  <si>
    <t>Expected Production (kWh)</t>
  </si>
  <si>
    <t>Measured Value (kWh)</t>
  </si>
  <si>
    <t>Engen Kaalfontein</t>
  </si>
  <si>
    <t>Measured (kWh)</t>
  </si>
  <si>
    <t>Expected (kWh)</t>
  </si>
  <si>
    <t>Performance</t>
  </si>
  <si>
    <t>PF Band</t>
  </si>
  <si>
    <t>Underperforming
Low demand
Excessive rain and cloudy weather for approx. 2 weeks
-50% less production compared to Feb 2024
Avg load: Feb 2024: 200kW; Feb 2025 150-160kW</t>
  </si>
  <si>
    <t>Underperforming due to Low demand
System performance is &gt;65% expected production 
System Performance improved by 9% compared to last month
System Performance decreased by 55% compared to march 2024
System Performance affected by rain on some days</t>
  </si>
  <si>
    <t>1. Underperformance due to low demand
2. Production is 63% of expected 
3. Production is 45% Compared to April 2024
4. Production is the same compared to last month</t>
  </si>
  <si>
    <t>1. Production is 102% of the expected energy.
2. Production is 16% less compared to May 2024.
3. Production is 39% more compared to last month.
4. There is no downtime on the solar, Eskom, and communication.</t>
  </si>
  <si>
    <t>1. Production is 108% of the expected energy.
2. Production is 6% less compared to June 2024.
3. Production is 6% more compared to last month.
4. There is no downtime on the solar, Eskom, and communication.</t>
  </si>
  <si>
    <t>1. Production is 96% of the expected energy.
2. Production is 10% less compared to Jul 2024.
3. Production is 12% less compared to last month.
4. There is no downtime on the solar, Eskom, and communication.</t>
  </si>
  <si>
    <t xml:space="preserve">1. Production is 76% of the expected energy.
2. Production is 6% less compared to Aug 2024.
3. Production is 20% less compared to last month.
4. System performed moderately, client loads are slightly low.  </t>
  </si>
  <si>
    <t xml:space="preserve">1. Production is 60% of the expected energy.
2. Production is 146% less compared to Sep 2024.
3. Production is 16% less compared to last month.
4. System performed moderately; client load demand is low.  </t>
  </si>
  <si>
    <t xml:space="preserve">1. Production is 67% of the expected energy.
2. Production is 1% more compared to Oct 2024.
3. Production is 7% more compared to last month.
4. System performed poorly; client load demand is low.  </t>
  </si>
  <si>
    <t xml:space="preserve">1. Production is 61% of the expected energy.
2. Production is 20% less compared to Nov 2024.
3. Production is 3% less compared to last month.
4. System performed poorly; client load demand is low.  </t>
  </si>
  <si>
    <t xml:space="preserve"> System performed poorly; client load demand is low.</t>
  </si>
  <si>
    <t xml:space="preserve">The system performed poorly due to load demand. The system was on bu pass from the 22nd-30th, there was a phase rotation from city power, the issue is now resolved </t>
  </si>
  <si>
    <t>Performance decreased by 25% due to rainy weather
-36% lower production, compared to Feb 2024
Intermittent comms, IOT sim required</t>
  </si>
  <si>
    <t>Fix Comms - Install IoT simcard</t>
  </si>
  <si>
    <t xml:space="preserve">1. Production is 96% of the expected energy.
2. Production is 17% less compared to May 2024.
3. Production is 14% more compared to last month.
4. The system is performing well, monitoring platform was offline for 31 day, to install IoT sim to improve internet stability </t>
  </si>
  <si>
    <t xml:space="preserve">1. Production is 82% of the expected energy.
2. Production is 27% less compared to Jun 2024.
3. Production is 14% less compared to last month.
4. The system is performing moderate, monitoring platform was offline for 30 days, to install IoT sim to improve internet stability </t>
  </si>
  <si>
    <t>1. Production is 20% of the expected energy.
2. Production is 81% less compared to Jul 2024.
3. Production is 62% less compared to last month.
4. The system is performing poor. The reading are incorrect  from monitoring. Billing meter is offline.</t>
  </si>
  <si>
    <t xml:space="preserve">1. Production is 60% of the expected energy.
2. Production is 18% less compared to Aug 2024.
3. Production is 40% more compared to last month.
4. The system is performing poorly. The reading are incorrect on the billing meter. </t>
  </si>
  <si>
    <t xml:space="preserve">1. Production is 56% of the expected energy.
2. Production is 43% less compared to Sep 2024.
3. Production is 4% less compared to last month.
4. The system is performing poorly. The system is offline, and the system needs site attendance  </t>
  </si>
  <si>
    <t>1. Production is 58% of the expected energy.
2. Production is 54% less compared to Oct 2024.
3. Production is 2% more compared to last month.
4. The system is performing poorly. The system is offline, The system was under performing due to faulty controls logger; issue was resoved. System performance should increase next month</t>
  </si>
  <si>
    <t>1. Production is 51% of the expected energy.
2. Production is 52% less compared to Nov 2024.
3. Production is 7% less compared to last month.
4. System performed poorly. controls system has faulty software. Logger to be replaced</t>
  </si>
  <si>
    <t xml:space="preserve"> System performed poorly. controls system has faulty software. Logger to be replaced</t>
  </si>
  <si>
    <t xml:space="preserve">Performed poorly due to controls malfunction </t>
  </si>
  <si>
    <t>Performed poorly due to controls' malfunction, to be fixed this month</t>
  </si>
  <si>
    <t>Performed poorly due to load demand</t>
  </si>
  <si>
    <t>System performed moderately due to load demand</t>
  </si>
  <si>
    <t>Performed as expected</t>
  </si>
  <si>
    <t>Low load demand, 15-20kW avg
System performing as expected due to low loads</t>
  </si>
  <si>
    <t xml:space="preserve">Rain
Load Demand Low </t>
  </si>
  <si>
    <t>Load Demand Low</t>
  </si>
  <si>
    <t>1. Production is 65% of the expected energy. 
2. Production is 6% more compared to last month.
3. There was a power outage for 1 day,  client load is lower than the system installed</t>
  </si>
  <si>
    <t xml:space="preserve">1. Production is 50% of the expected energy.
2. Production is 15% less compared to last month.
4. The system comms went ofline for 8 days, client load demand is lower than the system installed. </t>
  </si>
  <si>
    <t>1. Production is 40% of the expected energy.
2. Production is 10% less compared to last month.
4. The system is performing poorly due to low load demand</t>
  </si>
  <si>
    <t>1. Production is 15% of the expected energy.
2. Production is 25% less compared to last month.
4. Inverter reading has 10 days (10/08/25-31/08/25) of missing data (actual reading should be higher), the system has been operational regardless of comms being offline on the monitoring, and the comms are online again.</t>
  </si>
  <si>
    <t>1. Production is 28% of the expected energy.
2. Production is 13% more compared to last month.
4. The system produced poorly due to reduced load demand</t>
  </si>
  <si>
    <t>1. Production is 40% of the expected energy.
2. Production is 12% more compared to last month.
4. The system produced poorly due to reduced load demand</t>
  </si>
  <si>
    <t>1. Production is 20% of the expected energy.
2. Production is 20% less compared to last month.
4. The system produced poorly due to reduced load demand</t>
  </si>
  <si>
    <t xml:space="preserve"> The system produced poorly due to business closure</t>
  </si>
  <si>
    <t>The system is performing moderately, reduced demand and affected by rainy weather .</t>
  </si>
  <si>
    <t>Client Load Demand went Lower than Installed Capacity</t>
  </si>
  <si>
    <t>Fluctuating loads
Load demand lower as of Jan 2024
Production lower than expected simulated production but improved from prior year by 10-15%. Due to increased ramp rate settings.
Rainy weather affected Feb performance</t>
  </si>
  <si>
    <t>Fluctuating loads
Load demand lower as of Jan 2024
System performance is &gt;80% expected production 
Performance improved by 1% compared to last month
Performance Improved by 4,2% compared to march 2024
Performance affected by rain on some days</t>
  </si>
  <si>
    <t>1. Fuctuating load &amp; Reduced 
2. Production is 62% of expected energy
3. Production is 7% less  Compared to April 2024
4. Production is 20% less compared to last month
5. Loadscheding for three days</t>
  </si>
  <si>
    <t xml:space="preserve">1. Production is 67% of the expected energy.
2. Production is 7% less compared to May 2024.
3. Production is 5% more compared to last month.
4. Production is in line with historical production, High fluctuating loads and Reduced. There was 3 times comms loss and 1-time grid loss. </t>
  </si>
  <si>
    <t>1. Production is 70% of the expected energy.
2. Production is 6% less compared to Jun 2024.
3. Production is 3% more compared to last month.
4. The system is performing moderate, monitoring platform was offline for 2 days.</t>
  </si>
  <si>
    <t xml:space="preserve">1. Production is 69% of the expected energy.
2. Production is 7% less compared to Jul 2024.
3. Production is 1% less compared to last month.
4. The system is performing poorly, monitoring platform was offline for 5 days. Days: 8th ,9th ,10th, 30th, 31th </t>
  </si>
  <si>
    <t xml:space="preserve">1. Production is 70% of the expected energy.
2. Production is 9% more compared to Aug 2024.
3. Production is 1% more compared to last month.
4. The system is performing modaretly. Load demand is modarate.  </t>
  </si>
  <si>
    <t>1. Production is 56% of the expected energy.
2. Production is 162% more compared to Sep 2024.
3. Production is 14% less compared to last month.
4. The system is performing poorly. There was no PV production for 5 for 5 days (25th -30th), monitoring is offline</t>
  </si>
  <si>
    <t>1. Production is 61% of the expected energy.
2. Production is 27% less compared to Oct 2024.
3. Production is 5% More compared to last month.
4. The system is performing poorly. There was  not producing pv from 1 Oct - 7 Oct due to PV String poor insulation and a fault alarm, that issue has been resolved and the system is working well.</t>
  </si>
  <si>
    <t>1. Production is 71% of the expected energy.
2. Production is 20% less compared to Nov 2024.
3. Production is 10% More compared to last month.
4. The system performed moderately. Client loads are moderate.</t>
  </si>
  <si>
    <t>System performed well</t>
  </si>
  <si>
    <t>System performed moderatly due to reduced demand</t>
  </si>
  <si>
    <t>Performing well, &gt;90% efficiency
Feb 2025 production slightly less than Feb 2024 due to rainy weather</t>
  </si>
  <si>
    <t xml:space="preserve">Performing well, &gt;90% efficiency
Improved performance by 1,1% compared to last month 
Performance increased by 11% compared to March 2024
To Install a Monitoring system. </t>
  </si>
  <si>
    <t>1. Billing meter was offline for 2 days in April
2. Production is 66% of expected energy
3. Production is 22% less compared to April 2024
4. Production is 28% less compared to last month
5. To install Monitoring platform 
6. Power Outage for tree days</t>
  </si>
  <si>
    <t xml:space="preserve">1. Production is 77% of the expected energy. 
2. Production is 12% less compared to May 2024. 
3. Production is 11% more compared to last month.
4. The no monitoring platform to identify the decreas in energy production. Monitoring platform will be installed during 0&amp;M ,  </t>
  </si>
  <si>
    <t>1. Production is 73% of the expected energy.
2. Production is 16% less compared to Jun 2024.
3. Production is 4% less compared to last month.
4. The system is performing moderate, The is no monitoring platform (30 days offline). System needs intervansion to improve performance.</t>
  </si>
  <si>
    <t>1. Production is 65% of the expected energy.
2. Production is 27% less compared to Jul 2024.
3. Production is 8% less compared to last month.
4. The system is performing moderate, The is no monitoring platform (31 days offline). System needs intervansion to improve performance.</t>
  </si>
  <si>
    <t xml:space="preserve">1. Production is 64% of the expected energy.
2. Production is 20% less compared to Aug 2024.
3. Production is 1% less compared to last month.
4. The system is performing poorly. Monitoring platform is added, comms currently offline due to nertwork issues. Monitoring offline from 21 Aug - 31 Aug. </t>
  </si>
  <si>
    <t>1. Production is 91% of the expected energy.
2. Production is 17% more compared to Sep 2024.
3. Production is 27% more compared to last month.
4. System performed as expected.</t>
  </si>
  <si>
    <t>1. Production is 114% of the expected energy.
2. Production is 12% more compared to Oct 2024.
3. Production is 23% more compared to last month.
4. System performed more than expected.</t>
  </si>
  <si>
    <t xml:space="preserve">1. Production is 96% of the expected energy.
2. Production is 8% less compared to Nov 2024.
3. Production is 18% less compared to last month.
4. System performed well.  </t>
  </si>
  <si>
    <t>The system performed as expected</t>
  </si>
  <si>
    <t xml:space="preserve">The performed moderately </t>
  </si>
  <si>
    <t xml:space="preserve">Assessment required
Improved performance from 2024
</t>
  </si>
  <si>
    <t>One Inverter stopped producing from the 13th Feb - 07 March
Billing meter reading incorrectly  
Rain affect
Power Cut - 4</t>
  </si>
  <si>
    <t xml:space="preserve">
Billing meter reading incorrectly  </t>
  </si>
  <si>
    <t xml:space="preserve">1. Production is 57% of the expected energy. 
2. Production is 9% less compared to May 2024. 
3. Production is 5% more compared to last month.
4. The system is performing poorly, the evening cycling is not yet implemented. </t>
  </si>
  <si>
    <t xml:space="preserve">1. Production is 45% of the expected energy.
2. Production is 34% less compared to Jun 2024.
3. Production is 12% less compared to last month.
4. The system is performing poorly, the battery cycling should be set up to increase daily load demand </t>
  </si>
  <si>
    <t>1. Production is 52% of the expected energy.
2. Production is 31% less compared to Jul 2024.
3. Production is 7% more compared to last month.
4. The system is performing poorly, the battery cycling should be adjusted to increase daily load</t>
  </si>
  <si>
    <t>1. Production is 77% of the expected energy.
2. Production is 3% less compared to Aug 2024.
3. Production is 25% more compared to last month.
4. The system performed moderately, issues are resolved, More performance improvement expected.</t>
  </si>
  <si>
    <t>1.  Production is 96% of the expected energy.
2. Production is 231% more compared to Sep 2024.
3. Production is 19% more compared to last month.
4. System performed as expected.</t>
  </si>
  <si>
    <t>1.  Production is 94% of the expected energy.
2. Production is 29% more compared to Oct 2024.
3. Production is 2% less compared to last month.
4. System performed as expected.</t>
  </si>
  <si>
    <t>1.  Production is 99% of the expected energy.
2. Production is 88% more compared to Nov 2024.
3. Production is 7% more compared to last month.
4. System performed as expected.</t>
  </si>
  <si>
    <t>Monitoring offline, need to improve comms, add IOT
No performance data</t>
  </si>
  <si>
    <t xml:space="preserve">System comms are restored toward the end of the month,  monlthy perfomance to evaluted from next month </t>
  </si>
  <si>
    <t>1. Production is 58% of the expected energy.
2. Production is 10% more compared to last Oct year 2024.
4. The system produced poorly due to reduced load demand</t>
  </si>
  <si>
    <t xml:space="preserve">System went offline </t>
  </si>
  <si>
    <t>Performing well
Performing 10% higher than expected</t>
  </si>
  <si>
    <t>Rain
Load Reduction</t>
  </si>
  <si>
    <t>1. System performing well
2. Production is 98% of expected energy</t>
  </si>
  <si>
    <t xml:space="preserve">1. Production is 113% of the expected energy. 
2. Production is 11% more compared to last month.
3. The system is performing as expected. No power outage, no comms loss, PV production loss. </t>
  </si>
  <si>
    <t xml:space="preserve">1. Production is 105% of the expected energy.
2. Production is 21% more compared to Jun 2024.
3. Production is 8% less compared to last month.
4. The system is performing as expected. No power outage, no comms loss, no PV production loss. </t>
  </si>
  <si>
    <t xml:space="preserve">1. Production is 97% of the expected energy.
2. Production is 7% more compared to Jul 2024.
3. Production is 8% less compared to last month.
4. The system is performing as expected. No power outage, no comms loss, no PV production loss. </t>
  </si>
  <si>
    <t xml:space="preserve">1. Production is 99% of the expected energy.
2. Production is 13% less compared to Aug 2024.
3. Production is 4% more compared to last month.
4. The system is performing as expected. No power outage, no comms loss, no PV production loss. </t>
  </si>
  <si>
    <t>1. Production is 99% of the expected energy.
2. Production is 8% less compared to Sep 2024.
3. Production is the same compared to last month.
4. The system is performing as expected.</t>
  </si>
  <si>
    <t>1. Production is 107% of the expected energy.
2. Production is 8% more compared to Oct 2024.
3. Production is 8% more compared to last month.
4. The system performed more than expected.</t>
  </si>
  <si>
    <t>1. Production is 103% of the expected energy.
2. Production is 8% less compared to Nov 2024.
3. Production is 4% less compared to last month.
4. The system performed more than expected.</t>
  </si>
  <si>
    <t>No PV production on the 14th, System performed well</t>
  </si>
  <si>
    <t>Commissioned March</t>
  </si>
  <si>
    <t>1. System performing well
2. Monitoring platform false reporting offline due to communication issue</t>
  </si>
  <si>
    <t>1. System performing well
2. Monitoring platform false reporting offline due to communication issue
3. Production is 99% expected energy</t>
  </si>
  <si>
    <t xml:space="preserve">1. Production is 128% of the expected energy.
2. Production is 29% more compared to last month. 
3. The system is performing more than expected. No power outage, no comms loss, PV production loss. </t>
  </si>
  <si>
    <t xml:space="preserve">1. Production is 103% of the expected energy.
2. Production is 24% less compared to last month. 
3. The system is performing more than expected. No power outage, comms offline for 1 day, PV off for 1 day, grid outage for 1 day. </t>
  </si>
  <si>
    <t>1. Production is 100% of the expected energy.
2. Production is 3% less compared to last month. 
3. The system is performing well.</t>
  </si>
  <si>
    <t>1. Production is 111% of the expected energy.
2. Production is 11% more compared to last month. 
3. The system is performing well.</t>
  </si>
  <si>
    <t>1. Production is 96% of the expected energy.
2. Production is 7% less compared to last month. 
3. The system is performing well.</t>
  </si>
  <si>
    <t>1. Production is 108% of the expected energy.
2. Production is 12% more compared to last month. 
3. The system performed more than expected</t>
  </si>
  <si>
    <t>1. Production is 84% of the expected energy.
2. Production is 24% less compared to last month. 
3. The system performed well. Production reduced to rainy weather</t>
  </si>
  <si>
    <t>System performed as expected</t>
  </si>
  <si>
    <t>1. System performing well
2. Monitoring platform false reporting offline due communication issue</t>
  </si>
  <si>
    <t>1. Sysstem performing well
2. Monitoring platform false reporting offline due to communication issue
3. Production is 87% expected energy</t>
  </si>
  <si>
    <t xml:space="preserve">1. Production is 107% of the expected energy.
2. Production is 20% more compared to last month. 
3. The system is performing more than expected. No power outage, no comms loss, PV production loss. </t>
  </si>
  <si>
    <t xml:space="preserve">1. Production is 77% of the expected energy.
2. Production is 30% less compared to last month. 
3. The system performed moderately, Load demand reduced compared to last month. Comms off for 3 days, 1 day grid outage, 3 days PV not producing. </t>
  </si>
  <si>
    <t>1. Production is 75% of the expected energy.
2. Production is 2% less compared to last month. 
3. The system performed moderately, Load demand reduced compared to last month.</t>
  </si>
  <si>
    <t>1. Production is 89% of the expected energy.
2. Production is 14% more compared to last month. 
3. The system performed well.</t>
  </si>
  <si>
    <t xml:space="preserve">1. Production is 65% of the expected energy.
2. Production is 24% less compared to last month. 
3. The system performed poorly due to load demand inconsistency. </t>
  </si>
  <si>
    <t>1. Production is 99% of the expected energy.
2. Production is 36% more compared to last month. 
3. The system performed as expected</t>
  </si>
  <si>
    <t>1. Production is 75% of the expected energy.
2. Production is 24% less compared to last month. 
3. The system performed moderately. Client load was reduced on some days, and rainy weather affected performance</t>
  </si>
  <si>
    <t>No PV production from 11-14th; 16-19th</t>
  </si>
  <si>
    <t>System performed moderately due to bad weather days</t>
  </si>
  <si>
    <t>Perfomance reduced significantly to rain and intermittent power outages
January performance was as expected</t>
  </si>
  <si>
    <t xml:space="preserve">Load-Reduced by almost half since February. 
Hence solar production reduced </t>
  </si>
  <si>
    <t>1. Production is 65% of the expected energy.  
2. Production is 13% less  compared to last month.
3. The system underperformed due to faulty due to 4 strings not producing because of faulty circuit breakers. The client electrition swapped one Grid CT the wrong way around. The system has been fixed. The was a power outage for 1 day.</t>
  </si>
  <si>
    <t>1. Production is 115% of the expected energy.  
2. Production is 50% more compared to last month.
3. System is performing as expected</t>
  </si>
  <si>
    <t>Reduced load demand compared to 2024
Reduced production due to rainy weather
Inline with historic performance</t>
  </si>
  <si>
    <t>System performance &gt; 65% expected production
System production increased by 4.8% compared to last month
System production decreased by 8,8% compared to March 2024
Reduced load demand compared to 2024
Reduced production due to rainy weather
Inline with historic performance</t>
  </si>
  <si>
    <t>1. Load demand is low
2. Production is 57% of expected energy
3. Production is 33% less compared to April 2024
4. Production is 11% less compared to last month</t>
  </si>
  <si>
    <t xml:space="preserve">1. Production is 77% of the expected energy. 
2. Production is 5% less compared to May 2024. 
3. Production is 20% more compared to last month.
4. System production reduced due to load being reduced </t>
  </si>
  <si>
    <t xml:space="preserve">1. Production is 76% of the expected energy. 
2. Production is 9% less compared to May 2024. 
3. Production is 1% less compared to last month.
4. System production reduced due to load being reduced </t>
  </si>
  <si>
    <t xml:space="preserve">1. Production is 65% of the expected energy. 
2. Production is 36% less compared to Jul 2024. 
3. Productions 11% less compared to last month.
4. System production reduced due to load being reduced </t>
  </si>
  <si>
    <t>1. Production is 47% of the expected energy. 
2. Production is 47% less compared to Aug 2024. 
3. Productions 18% less compared to last month.
4. System production reduced poorly due to long hours power outages. The system was on bypass: 2025/08/01-2025/08/06 and 2025/08/24 - 2025/08/27</t>
  </si>
  <si>
    <t>1. Production is 50% of the expected energy. 
2. Production is 32% less compared to Sep 2024. 
3. Productions 3% more compared to last month.
4. The system performed poorly due to load demand</t>
  </si>
  <si>
    <t>1. Production is 53% of the expected energy. 
2. Production is 26% less compared to Oct 2024. 
3. Productions 3% more compared to last month.
4. The system performed poorly due to load demand</t>
  </si>
  <si>
    <t xml:space="preserve">1. Production is 42% of the expected energy. 
2. Production is 40% less compared to Nov 2024. 
3. Productions 11% less compared to last month.
4. The system performed poorly due to load demand. There was grid maintenance sytsem was placed on bypass by onsite maintance technician </t>
  </si>
  <si>
    <t>System performed poorly, one inveter is faulty and needs maintanance</t>
  </si>
  <si>
    <t>System performed poorly due to low load demand</t>
  </si>
  <si>
    <t xml:space="preserve">The system performed poorly due to load demand. The system was on bu pass from the 24nd - 27th, there was a phase rotation from city power, the issue is now resolved </t>
  </si>
  <si>
    <t>Performance affected by rainy weather
Reduced load demand
Unable to check export settings as comms are offline
Awaiting tech to attend site
Requires further investigation</t>
  </si>
  <si>
    <t>Performance is &gt; 80% Expected production
Performance improved by 6% compared to last month 
Performance affected by rainy weather
Reduced load demand
Awaiting tech to attend site (not urgent)
Requires further investigation</t>
  </si>
  <si>
    <t xml:space="preserve">1. Load is reduced, no solar production for 4 days 
2. Production is 53% of expected energy
3. Production is 29% less compared to last month
4. Technician to attend site </t>
  </si>
  <si>
    <t>1. Production is 91% of the expected energy 
2. Production is 38% more compared to last month 
3. System performed well, there is was  no grid power loss, PV shutdown, and communication loss.</t>
  </si>
  <si>
    <t xml:space="preserve">1. Production is 91% of the expected energy.
2. Production is 12% less compared to Jun 2024.
3. Production is the same compared to last month.
4. The system is performing well . No power outage, no comms loss, no PV production loss. </t>
  </si>
  <si>
    <t xml:space="preserve">1. Production is 108% of the expected energy.
2. Production is 62% less compared to Jul 2024.
3. Production is 17% more compared to last month.
4. The system is performing well . No power outage, no comms loss, no PV production loss. </t>
  </si>
  <si>
    <t xml:space="preserve">1. Production is 110% of the expected energy.
2. Production is 116% more compared to Aug 2024.
3. Production is 2% more compared to last month.
4. The system is performing well . No power outage, no comms loss, no PV production loss. </t>
  </si>
  <si>
    <t xml:space="preserve">1. Production is 103% of the expected energy.
2. Production is 31% more compared to Sep 2024.
3. Production is 7% less compared to last month.
4. The system is performing well . No power outage, no comms loss, no PV production loss. </t>
  </si>
  <si>
    <t>1. Production is 103% of the expected energy.
2. Production is 31% more compared to Sep 2024.
3. Production is 16% more compared to last month.
4. The system performed more than expected</t>
  </si>
  <si>
    <t>1. Production is 128% of the expected energy.
2. Production is 42% more compared to Nov 2024.
3. Production is 15% more compared to last month.
4. The system performed more than expected</t>
  </si>
  <si>
    <t>1. Production is 106% of the expected energy.
2. Production is 5% less compared to last month. 
4. The system is performing well.</t>
  </si>
  <si>
    <t>The system if performing well</t>
  </si>
  <si>
    <t>No recorded monthly readings</t>
  </si>
  <si>
    <t>Client Demand very low on Friday and weekends, soiling</t>
  </si>
  <si>
    <t>Client Demand very low on Friday and weekends,
 Load reduction genset kit now serving its purpose</t>
  </si>
  <si>
    <t>Fluctuating loads, system slightly oversized
Closure Friday 12:00 - Sunday, reduce expected utilisation
Rainy weather further reduced performance
Tariff adjustment required as no expectation of improved performance</t>
  </si>
  <si>
    <t>Fluctuating loads, system slightly oversized
Rainy weather further reduced performance
Tariff adjustment required as no expectation of improved performance</t>
  </si>
  <si>
    <t>1. Production is 61% of the expected energy. 
2. Production is 21% more compared to last month.
3. The system is performing poorly due to Fluctuating loads, system slightly oversized.
Tariff adjustment required as no expectation of improved performance</t>
  </si>
  <si>
    <t>1. Production is 69% of the expected energy. 
2. Production is 8% more compared to last month.
3. The system is performing poorly maily due to low demand. The system was offline, with no PV Production for 9 days (days: 7, 8, 14, 15, 16, 22, 27, 25, 29).</t>
  </si>
  <si>
    <t>Performed poorly due to reduced loads</t>
  </si>
  <si>
    <t>Performed poorly due to reduced loads,and frequent power cuts during the day, and bad weather</t>
  </si>
  <si>
    <t>System was offline from Dec-Feb being repaired,
 System fully operation as of March 2025</t>
  </si>
  <si>
    <t xml:space="preserve">The system started producing on the 5th of March
Load demand is low and inconsistent </t>
  </si>
  <si>
    <t xml:space="preserve">1. Monitoring platform false reporting 
2. Load demand reduced 
3. Performance reduced </t>
  </si>
  <si>
    <t xml:space="preserve">1. Production is 61% of the expected energy. 
2. Production is 20% less compared to May 2024. 
3. Production is 25% more compared to last month.
4. The system is performing poorly due to a reduced client load demand. The system lost comms for 3 days. </t>
  </si>
  <si>
    <t>1. Production is 60% of the expected energy. 
2. Production is 17% less compared to May 2024. 
3. Production is 1% less compared to last month.
4. The system is performing poorly due to a reduced client load demand. The system lost comms for 4 days (days: 15,16,17,10)</t>
  </si>
  <si>
    <t>1. Production is 69% of the expected energy. 
2. Production is 40% less compared to Jul 2024. 
3. Production is 9% more compared to last month.
4. The system is performing poorly due to a reduced client load demand. The system lost comms for 6 days (days: 23-28).</t>
  </si>
  <si>
    <t xml:space="preserve">1. Production is 72% of the expected energy. 
2. Production is 31% less compared to Aug 2024. 
3. Production is 3% more compared to last month.
4. The system performed moderately. Loads are slightly low. </t>
  </si>
  <si>
    <t xml:space="preserve">1. Production is 64% of the expected energy. 
2. Production is 18% less compared to Sep 2024. 
3. Production is 8% less compared to last month.
4. The system performed poorly. Loads are slightly low. </t>
  </si>
  <si>
    <t xml:space="preserve">1. Production is 81% of the expected energy. 
2. Production is 23% less compared to Oct 2024. 
3. Production is 17% more compared to last month.
4. The system performed moderately. Load demand is reduced. </t>
  </si>
  <si>
    <t xml:space="preserve">1. Production is 76% of the expected energy. 
2. Production is 63% more compared to Nov 2024. 
3. Production is 5% less compared to last month.
4. The system performed moderately. Load demand is reduced. </t>
  </si>
  <si>
    <t>The system performed poorly due to the company closure</t>
  </si>
  <si>
    <t>Performed poorly due to reduced loads, client loads aore sometimes zero</t>
  </si>
  <si>
    <t xml:space="preserve">Performed poorly due to reduced loads, client loads aore sometimes zero, EPM might be faulty </t>
  </si>
  <si>
    <t xml:space="preserve">The system performed poorly due to broken inverters </t>
  </si>
  <si>
    <t>Performance affected by rainy weather
Fluctuating loads
Low load demand
Inline with historic performance</t>
  </si>
  <si>
    <t>Fluctuating loads
Low load demand
Inline with historic performance</t>
  </si>
  <si>
    <t xml:space="preserve">1. Fluctuating loads
2. Low load demand
3. System underperformed </t>
  </si>
  <si>
    <t>1. Production is 60% of the expected energy. 
2. Production is 25% more compared to May 2024. 
3. Production is 24% more compared to last month.
4. The system is performing poorly due to a reduced client load demand.</t>
  </si>
  <si>
    <t>1. Production is 44% of the expected energy. 
2. Production is 1% more compared to May 2024. 
3. Production is 16% less compared to last month.
4. The system is performing poorly due to a reduced client load demand. The comms and pv was off for 9 days  (Days: 12,13,14,15,16,17,22,28,29)</t>
  </si>
  <si>
    <t xml:space="preserve">1. Production is 66% of the expected energy. 
2. Production is 5% less compared to Jul 2024. 
3. Production is 22% more compared to last month.
4. The system is performing poorly due to a reduced client load demand. </t>
  </si>
  <si>
    <t>1. Production is 20% of the expected energy. 
2. Production is 61% less compared to Aug 2024. 
3. Production is 46% more compared to last month.
4.  The recorded reading on the sheet is incorrect. The readings from PNP Scada are 3283 kwh + August's new modem recorded data = Correct August reading. I am not sure where the 1766,10 kwh reading is coming from. I will align with the team to fix it</t>
  </si>
  <si>
    <t xml:space="preserve">1. Production is 50% of the expected energy. 
2. Production is 14% more compared to Sep 2024. 
3. Production is 30% more compared to last month.
4. The system performed poorly due to low load demand. </t>
  </si>
  <si>
    <t>1. Production is 62% of the expected energy. 
2. Production is 291% more compared to Oct 2024. 
3. Production is 12% more compared to last month.
4. The system performed poorly due to low demand.</t>
  </si>
  <si>
    <t>1. Production is 62% of the expected energy. 
2. Production is 9% more compared to Nov 2024. 
3. Production is the same compared to last month.
4. The system performed poorly due to low demand.</t>
  </si>
  <si>
    <t>Load Demand sometimes is very low</t>
  </si>
  <si>
    <t>Performance affeccted due to rain
Fluctuating load
Low load demand
Affected by power outages in the area</t>
  </si>
  <si>
    <t>Fluctuating load
Low load demand
Billing meter is offline 
PV was not production from 22/03/2025 - 28/03/2025</t>
  </si>
  <si>
    <t xml:space="preserve">1. Fluctuating load
2. Low load demand
3. The billing meter is offline 
</t>
  </si>
  <si>
    <t xml:space="preserve">1. Production is 78% of the expected energy. 
2. Production is 22% more compared to May 2024. 
3. Production is 28% more compared to last month.
4. The system is performing moderately due to a reduced client load demand. No power outage, no comms loss, no PV production loss. </t>
  </si>
  <si>
    <t>1. Production is 44% of the expected energy. 
2. Production is 26% less compared to Jun 2024. 
3. Production is 34% less compared to last month.
4. Wrong readings recorded, system was offline for 12 das (day: 7-19)</t>
  </si>
  <si>
    <t xml:space="preserve">System performed well </t>
  </si>
  <si>
    <t xml:space="preserve">1. Production is 115% of the expected energy. 
2. Production is 9% more compared to May 2024. 
3. Production is 25% more compared to last month.
4. The system is performing well. No power outage, no comms loss,no PV production loss. </t>
  </si>
  <si>
    <t xml:space="preserve">1. Production is 112% of the expected energy. 
2. Production is 10% more compared to Jun 2024. 
3. Production is 3% less compared to last month.
4. The system is performing well. No power outage, no comms loss,no PV production loss. </t>
  </si>
  <si>
    <t>Data needs to be extracted locally onsite, recorded data is missing</t>
  </si>
  <si>
    <t xml:space="preserve">First month of commisioning </t>
  </si>
  <si>
    <t xml:space="preserve">System performed as expected </t>
  </si>
  <si>
    <t>Performance affected by rainy weather
Performing as expected</t>
  </si>
  <si>
    <t xml:space="preserve">1. Production is 115% of the expected energy. 
2. Production is 21% more compared to last month.
3. The system is performing well. </t>
  </si>
  <si>
    <t xml:space="preserve">1. Production is 106% of the expected energy. 
2. Production is 76% more compared to Jun 2024. 
3. Production is 9% less compared to last month.
4. The system is performing well. No power outage, no comms loss,no PV production loss. </t>
  </si>
  <si>
    <t xml:space="preserve">1. Production is 92% of the expected energy. 
2. Production is 10% more compared to Jul 2024. 
3. Production is 12% less compared to last month.
4. The system is performing well. No power outage, no comms loss,no PV production loss. </t>
  </si>
  <si>
    <t xml:space="preserve">1. Production is 94% of the expected energy. 
2. Production is 18% more compared to Jul 2024. 
3. Production is 2% more compared to last month.
4. The system is performing well. No power outage, no comms loss,no PV production loss. </t>
  </si>
  <si>
    <t>1. Production is 79% of the expected energy. 
2. Production is 15% more compared to Sep 2024. 
3. Production is 15% more compared to last month.
4. The system is performing moderately; production is affected by load demand</t>
  </si>
  <si>
    <t>1. Production is 90% of the expected energy. 
2. Production is 1% more compared to Oct 2024. 
3. Production is 11% more compared to last month.
4. The system performed well as expected.</t>
  </si>
  <si>
    <t>1. Production is 69% of the expected energy. 
2. Production is 18% less compared to Nov 2024. 
3. Production is 21% less compared to last month.
4. The system is performing poorly due to reduced load demand</t>
  </si>
  <si>
    <t xml:space="preserve">System is offline </t>
  </si>
  <si>
    <t xml:space="preserve">The system performed moderately due to slightly reducded loads </t>
  </si>
  <si>
    <t>Performance reduced due to one inverter being oflfine and one currently damaged
Damaged inverter awaiting techs to attend to site
Offline inverter awaiting action upon feedback from management</t>
  </si>
  <si>
    <t>1. Two inverters offline
2. No monitoring</t>
  </si>
  <si>
    <t xml:space="preserve">1. Two inverters offline
2. No monitoring </t>
  </si>
  <si>
    <t xml:space="preserve">1. Production is 49% of the expected energy. 
2. Production is 7% less compared to May 2024. 
3. Production is 31% less compared to last month.
4. The system is performing poorly.  One inverter is switched off. The second inverter was offline for 29 days. </t>
  </si>
  <si>
    <t>1. Production is 50% of the expected energy. 
2. Production is 21% less compared to May 2024. 
3. Production is 1% more compared to last month.
4. The system is performing poorly.  One inverter is switched off.  Reduced load demand.</t>
  </si>
  <si>
    <t>1. Production is 58% of the expected energy. 
2. Production is 17% more compared to May 2024. 
3. Production is 8% more compared to last month.
4. The system is performing poorly.  One inverter is switched off.  Reduced load demand.</t>
  </si>
  <si>
    <t>1. Production is 64% of the expected energy. 
2. Production is 8% less compared to May 2024. 
3. Production is 6% less compared to last month.
4. The system is performing poorly.  One inverter is switched off.  Reduced load demand.</t>
  </si>
  <si>
    <t xml:space="preserve">1. Production is 73% of the expected energy. 
2. Production is 4% less compared to Sep 2024. 
3. Production is 9% more compared to last month.
4. The system is performing moderately. </t>
  </si>
  <si>
    <t xml:space="preserve">1. Production is 102% of the expected energy. 
2. Production is 28% more compared to Oct 2024. 
3. Production is 29% more compared to last month.
4. The system is performing well. </t>
  </si>
  <si>
    <t xml:space="preserve">1. Production is 108% of the expected energy. 
2. Production is 36% more compared to Nov 2024. 
3. Production is 6% more compared to last month.
4. The system is performing well. </t>
  </si>
  <si>
    <t>The system performed moderatly</t>
  </si>
  <si>
    <t>Performance affected by rain
2025 performance improved from 2024 performance
Expect better yield with improved weather and regurlar cleaning</t>
  </si>
  <si>
    <t>Performance is &gt; 90% expected production
Performance improved by 9% compared to last month
Performance improved by 0% compared to march 2024</t>
  </si>
  <si>
    <t>1. Production affected by 3 days of power outage.
2. Production is 81%  of expected energy 
3. Production is 13% less compared to April 2024
4. Production is 13% less compared to last month</t>
  </si>
  <si>
    <t>1. Production is 103% of the expected energy.
2. Production is 11% less compared to May 2024.
3. Production is 14% more compared to last month.
4. The system have improved and performing well.</t>
  </si>
  <si>
    <t>1. Production is 108% of the expected energy.
2. Production is 67% more compared to Jun 2024.
3. Production is 2% more compared to last month.
4. The system is performing well.</t>
  </si>
  <si>
    <t>Performed moderately due to slightly reduced load and weather</t>
  </si>
  <si>
    <t>Fluctuating loads
Power outages
Rainy weather</t>
  </si>
  <si>
    <t>1. Grid outage: 31/03/25
2.  Fluctuating load</t>
  </si>
  <si>
    <t>1. System performed well</t>
  </si>
  <si>
    <t>1. Production is 103% of the expected energy. 
2. Production is 23% more compared to last month.
3. The system is performing well. There was no grid loss, comms loss and no PV loss.</t>
  </si>
  <si>
    <t>1. Production is 89% of the expected energy. 
2. Production is 14% less compared to last month.
3. The system is performing well. There system lost comms and PV (days: 6,12,13)</t>
  </si>
  <si>
    <t>Performed well</t>
  </si>
  <si>
    <t>System performed poorly due to load demand</t>
  </si>
  <si>
    <t>System performing well
Slight decrease in performance as compared to 2024, mainly due to increased rain in 2025</t>
  </si>
  <si>
    <t xml:space="preserve">System performance is &gt;95% expected production 
System decreased by 1.3% compared to last month
System decreased by 16% compared to march 2024
Performance affected by rain and cloudy weather on some days
To install Monitoring system </t>
  </si>
  <si>
    <t xml:space="preserve">1. System is producing well
2. Production is 81% of expected energy
3. Production is 19% less compared to April 2024
4. Production is 17% less compared to last month
5. To install monitoring plartform </t>
  </si>
  <si>
    <t xml:space="preserve">1. Production is 92% of the expected energy.
2. Production is 1% less compared to May 2024.
3. Production is 11% more compared to last month.
4. The is no monitoring platform onsite, the system is performing well. </t>
  </si>
  <si>
    <t xml:space="preserve">1. Production is 83% of the expected energy.
2. Production is 3% less compared to May 2024.
3. Production is 24% less compared to last month.
4. The is no monitoring platform onsite, the system is performing well. </t>
  </si>
  <si>
    <t xml:space="preserve">1. Production is 84% of the expected energy.
2. Production is 9% less compared to Jul 2024.
3. Production is 1% more compared to last month.
4. There is no monitoring platform onsite, the system is performing well. </t>
  </si>
  <si>
    <t xml:space="preserve">1. Production is 74% of the expected energy.
2. Production is 16% less compared to Aug 2024.
3. Production is 10% less compared to last month.
4. There is no monitoring platform onsite, the system is performing modarate. </t>
  </si>
  <si>
    <t xml:space="preserve">1. Production is 76% of the expected energy.
2. Production is 11% less compared to Sep 2024.
3. Production is 2% More compared to last month.
4. There is no monitoring platform onsite, the system is performing modarate. </t>
  </si>
  <si>
    <t xml:space="preserve">1. Production is 92% of the expected energy.
2. Production is 16% less compared to Oct 2024.
3. Production is 16% more compared to last month.
4. The system performed well. </t>
  </si>
  <si>
    <t xml:space="preserve">1. Production is 87% of the expected energy.
2. Production is 21% less compared to Nov 2024.
3. Production is 5% less compared to last month.
4. The system performed well. </t>
  </si>
  <si>
    <t>System performing as expected
Rain in Feb 2025 reduced production
Expect system yield to increase with improved weather</t>
  </si>
  <si>
    <t>System performance is &gt; 90% expected production
System performance increased by 13% compared to last month
System performance decreased by 3,3% compared to march 2024</t>
  </si>
  <si>
    <t>1. System performing well 
2. Production is 86% of expected energy
3. Production is 13% less compared to April 2024
4. Production is 6% less compared to lasth month</t>
  </si>
  <si>
    <t xml:space="preserve">1. Production is 119% of the expected energy.
2. Production is 10% more compared to May 2024.
3. Production is 5% more compared to last month. 
4. The system is performing well, The monitoring platform is offline. </t>
  </si>
  <si>
    <t xml:space="preserve">1. Production is 79% of the expected energy.
2. Production is 17% less compared to Jul 2024.
3. Production is 31% less compared to last month. 
4. The system performed modarate. The monitoring platform is offline. </t>
  </si>
  <si>
    <t xml:space="preserve">1. Production is 90% of the expected energy.
2. Production is 7% less compared to Aug 2024.
3. Production is 10% more compared to last month. 
4. The system performed well. The monitoring platform is offline. </t>
  </si>
  <si>
    <t xml:space="preserve">1. Production is 71% of the expected energy.
2. Production is 1% less compared to Sep 2024.
3. Production is 19% more compared to last month. 
4. The system performed moderately, in line with historic performance. The monitoring platform is offline. </t>
  </si>
  <si>
    <t xml:space="preserve">1. Production is 87% of the expected energy.
2. Production is 13% less compared to Oct 2024.
3. Production is 16% more compared to last month. 
4. The system performed well. </t>
  </si>
  <si>
    <t xml:space="preserve">1. Production is 88% of the expected energy.
2. Production is 9% more compared to Nov 2024.
3. Production is 1% more compared to last month. 
4. The system performed well. </t>
  </si>
  <si>
    <t xml:space="preserve">The company had no loads during maintenance in october </t>
  </si>
  <si>
    <t>Performance affected by rainy weather
Loads are back to normal
Some power outages</t>
  </si>
  <si>
    <t>System performance is &gt; 85% Expected production 
System performance increased by 16% compared to last month
System performance decreased by 4,1% compared to last year
Customer loads are back to normal</t>
  </si>
  <si>
    <t>1. The System has under-performed, due to rain
2. Production is 68% of expected energy
3. Production is 28% less compared to April 204
4. Production is 19% less compared to last month</t>
  </si>
  <si>
    <t xml:space="preserve">1. Production is 111% of the expected energy.
2. Production is 7% more compared to May 2024.
3. Production is 21% more compared to last month.
4. There was no grid loss, comms loss and no PV loss. The system is performing well.  </t>
  </si>
  <si>
    <t xml:space="preserve">1. Production is 98% of the expected energy.
2. Production is 11% more compared to May 2024.
3. Production is 13% less compared to last month.
4. The system is performing well. System PV was off for 3 days (Day: 10-12) </t>
  </si>
  <si>
    <t xml:space="preserve">1. Production is 98% of the expected energy.
2. Production is 15% less compared to Jul 2024.
3. Production is 2% less compared to last month.
4. The system is performing well. </t>
  </si>
  <si>
    <t xml:space="preserve">1. Production is 88% of the expected energy.
2. Production is 14% less compared to Aug 2024.
3. Production is 8% less compared to last month.
4. The system is performing well. </t>
  </si>
  <si>
    <t xml:space="preserve">1. Production is 81% of the expected energy.
2. Production is 2% less compared to Sep 2024.
3. Production is 7% less compared to last month.
4. The system is performing well. </t>
  </si>
  <si>
    <t xml:space="preserve">1. Production is 85% of the expected energy.
2. Production is 20% more compared to Oct 2024.
3. Production is 4% more compared to last month.
4. The system is performing well. </t>
  </si>
  <si>
    <t xml:space="preserve">1. Production is 94% of the expected energy.
2. Production is 2% less compared to Nov 2024.
3. Production is 8% more compared to last month.
4. The system is performing well. </t>
  </si>
  <si>
    <t xml:space="preserve">No PV production from 24-26; 31-31 due to business closure </t>
  </si>
  <si>
    <t>The system had no production between 1-5th of Jan, system sligtly underperformed</t>
  </si>
  <si>
    <t xml:space="preserve">The system performed moderately due to winter shades </t>
  </si>
  <si>
    <t>Assesment required
System offline for a few months
Full production restored Feb 2025
Expect production to improve with improved weather</t>
  </si>
  <si>
    <t>1. Sustem performing well</t>
  </si>
  <si>
    <t>1. System reduced performance compared to last month</t>
  </si>
  <si>
    <t>1. The is no comms onsite for monitoring</t>
  </si>
  <si>
    <t xml:space="preserve">The system performed moderately </t>
  </si>
  <si>
    <t>PV production is capped to 125kWp</t>
  </si>
  <si>
    <t>Fluctuating loads
Reduced load demand, assume occupancy issue
Residential load pattern affecting system performance
Tariff adjustment required as no expectation of improved performance</t>
  </si>
  <si>
    <t>System performance is &gt;50% expected production
System performance increased by 3.65% compared to last month
System performance decreased by 25% compared to march 2024
Fluctuating loads
Reduced load demand, assume occupancy issue
Residential load pattern affecting system performance
Tariff adjustment required as no expectation of improved performance</t>
  </si>
  <si>
    <t>1. Load reduced compared to last year, tariff adjustment required as there is no expected improvement
2. Production is 55% of expected energy
3. Production is 30% less compared to April 2024
4. Production is 1% less compared to last month</t>
  </si>
  <si>
    <t>1. Production is 70% of the expected energy.
2. Production is 18% less compared to May 2024.
3. Production is 15% more compared to last month.
4. Loads have reduced, on of the CTs on the zero export meter is swapped around (arrangements are made for rectification).</t>
  </si>
  <si>
    <t>1. Production is 97% of the expected energy.
2. Production is 16% more compared to May 2024.
3. Production is 27% more compared to last month.
4. The system is performing well.</t>
  </si>
  <si>
    <t>System perfoming well
Reduced performance in Feb 2025 due to rainy weather</t>
  </si>
  <si>
    <t>System perfoming well 90%+ expected production
System performance decreased by 1% compared to month
System performance decreased by 23% compared to march 2024
System affected by rain on some days</t>
  </si>
  <si>
    <t>1. System is performing well
2. Production is 86% of expected energy
3. Production is 1% more compared to April 2024
4. Production is 4% less compared to last month</t>
  </si>
  <si>
    <t xml:space="preserve">1. Production is 117% of the expected energy.
2. Production is 18% more compared to May 2024.
3. Production is 3% more compared to last month.
4. The system is performing well  as expected </t>
  </si>
  <si>
    <t xml:space="preserve">1. Production is 114% of the expected energy.
2. Production is 18% more compared to May 2024.
3. Production is 4% less compared to last month.
4. The system is performing well  as expected </t>
  </si>
  <si>
    <t>1. Production is 83% of the expected energy.
2. Production is 24% less compared to Jul 2024.
3. Production is 3% less compared to last month.
4. The system is performed well.system  monitoring was offline for 6 days,Date: 3th - 8th.</t>
  </si>
  <si>
    <t>1. Production is 104% of the expected energy.
2. Production is 2% more compared to Aug 2024.
3. Production is 21% more compared to last month.
4. The system is performed 4% more than expected.</t>
  </si>
  <si>
    <t>1. Production is 92% of the expected energy.
2. Production is 2% less compared to Sep 2024.
3. Production is 4% less compared to last month.
4. The system is performing well.</t>
  </si>
  <si>
    <t>1. Production is 104% of the expected energy.
2. Production is 10% less compared to Oct 2024.
3. Production is 12% more compared to last month.
4. The system is performing well.</t>
  </si>
  <si>
    <t>1. Production is 112% of the expected energy.
2. Production is 4% less compared to Nov 2024.
3. Production is 8% more compared to last month.
4. The system is performing well.</t>
  </si>
  <si>
    <t>Expected system performance &gt;90% efficiency
Feb 2025 performance reduce due to rainy weather
2024 performance data to be added for comparison</t>
  </si>
  <si>
    <t>1. The comms are offline onsite</t>
  </si>
  <si>
    <t>No comms onsite, system performed poorly</t>
  </si>
  <si>
    <t xml:space="preserve">No data recorded </t>
  </si>
  <si>
    <t>Fluctuating loads
Performance as expected when occupied due to university oeprational months
Frequent power outages in the area</t>
  </si>
  <si>
    <t>System performing well 
Comms offline</t>
  </si>
  <si>
    <t>1. System is performing well
2. Production is 81% of expected energy
3. Production is 26% less compared to April 2024
4. Production is 8% lesss compred to last month</t>
  </si>
  <si>
    <t>1. Production is 109% of the expected energy.
2. Production is 5% more compared to May 2024.
3. Production is 28% more compared to last month. 
4. The system is performing well.</t>
  </si>
  <si>
    <t>1. Production is 104% of the expected energy.
2. Production is 20% more compared to May 2024.
3. Production is 5% less compared to last month. 
4. The system is performing well.</t>
  </si>
  <si>
    <t>System performed poorly due to no occupation</t>
  </si>
  <si>
    <t>Performing well, efficicieny &gt;90%
Performance affected by rainy weather and power outages</t>
  </si>
  <si>
    <t>1. System affected by weather &amp; load reduced on some days</t>
  </si>
  <si>
    <t xml:space="preserve">1. Production is 82% of the expected energy. 
2. Production is 9% more compared to May 2024. 
3. Production is 12% more compared to last month.
4. The system is performing moderately. No power outage, no comms loss, no PV production loss. </t>
  </si>
  <si>
    <t>1. Production is 77% of the expected energy. 
2. Production is 10% more compared to May 2024. 
3. Production is 5% less compared to last month.
4. The system is performing moderately. Reduced load demand for 6 days (days: 7,8,9,14,15,16)</t>
  </si>
  <si>
    <t xml:space="preserve">1. Production is 74% of the expected energy. 
2. Production is 4% less compared to Jul 2024. 
3. Production is 3% less compared to last month.
4. The system is performing moderately. </t>
  </si>
  <si>
    <t>1. Production is 73% of the expected energy. 
2. Production is 4% less compared to Aug 2024. 
3. Production is 1% more compared to last month.
4. The system is performing moderately. Billing reading are incorrect, use inverter readings instead - Inv Reading 30529kWh not 23016 not kwh.</t>
  </si>
  <si>
    <t>1. Production is 80% of the expected energy. 
2. Production is 20% more compared to Sep 2024. 
3. Production is 7% more compared to last month.
4. The system is performing well. Performance affected by weather</t>
  </si>
  <si>
    <t xml:space="preserve">1. Production is 98% of the expected energy. 
2. Production is 5% less compared to Oct 2024. 
3. Production is 18% more compared to last month.
4. The system is performing well. </t>
  </si>
  <si>
    <t xml:space="preserve">1. Production is 92% of the expected energy. 
2. Production is 9% less compared to Nov 2024. 
3. Production is 6% less compared to last month.
4. The system is performing well. </t>
  </si>
  <si>
    <t xml:space="preserve">No PV production from 20-31 due to business closure </t>
  </si>
  <si>
    <t>The system performed moderately due to load demand</t>
  </si>
  <si>
    <t>Monitoring comms Intermittent
System performance reduced in Feb 2025 due to rainy weather</t>
  </si>
  <si>
    <t xml:space="preserve">1. Production is 108% of the expected energy. 
2. Production is 17% more compared to May 2024. 
3. Production is 20% more compared to last month.
4. The system is performing well. Monitoring platform offline for 31 days due to internet instability. </t>
  </si>
  <si>
    <t xml:space="preserve">1. Production is 99% of the expected energy. 
2. Production is 16% less compared to May 2024. 
3. Production is 9% less compared to last month.
4. The system is performing well. Monitoring platform offline for 31 days due to internet instability. </t>
  </si>
  <si>
    <t xml:space="preserve">1. Production is 96% of the expected energy. 
2. Production is 9% less compared to May 2024. 
3. Production is 3% less compared to last month.
4. The system is performing well. Monitoring platform offline for 31 days due to internet instability. </t>
  </si>
  <si>
    <t xml:space="preserve">1. Production is 55% of the expected energy. 
2. Production is 39% less compared to aug 2024. 
3. Production is 41% less compared to last month.
4. The system is performing poorly. Monitoring platform offline for 31 days due to internet instability. </t>
  </si>
  <si>
    <t>1. Production is 68% of the expected energy. 
2. Production is 11% less compared to Sep 2024. 
3. Production is 13% more compared to last month.
4. The system is performing poorly.</t>
  </si>
  <si>
    <t>1. Production is 71% of the expected energy.
2. Production is 37% less compared to Oct 2024.
3. Production is 2% more compared to last month.
4. The system is performing moderately. The system is offline. system was under performing due to faulty controls logger; issue was resoved. System performance will  increase next month</t>
  </si>
  <si>
    <t>1. Production is 20% of the expected energy.
2. Production is 79% less compared to Nov 2024.
3. Production is 51% less compared to last month.
4. The system is performing poorly. The system is offline. system was under performing due to faulty controls logger; issue was resoved. System performance will  increase next month</t>
  </si>
  <si>
    <t>System performed poorly due business closure</t>
  </si>
  <si>
    <t>The system performed moderately, due to demand</t>
  </si>
  <si>
    <t>Performed moderatlry due to controls malfunction, system controll has been fixed and production is increasing</t>
  </si>
  <si>
    <t>The system performed poorly due to load inconsistent load demand</t>
  </si>
  <si>
    <t>The system is performance is affected by the weather 
Load demand fluctuation
An increase in the PV ramp rate will be done to improve performance</t>
  </si>
  <si>
    <t>System performance is &gt;65% expected production 
System performance increased by 0.23% compared to last month
System performace decreased by 21% compared to march 2024  
Load demand fluctuation
An increase in the PV ramp rate will be done to improve performance</t>
  </si>
  <si>
    <t>1. Load demand fluctuating 
2. Production is 67% of expected energy 
3. Production is 2% less compared to April 2024</t>
  </si>
  <si>
    <t xml:space="preserve">1. Production is 96% of the expected energy.
2. Production is 9% less compared to May 2024.
3. Production is 37% compared to last month.
4. The system is performing well. </t>
  </si>
  <si>
    <t xml:space="preserve">1. Production is 98% of the expected energy.
2. Production is 4% more compared to May 2024.
3. Production is 2% more compared to last month.
4. The system is performing well. </t>
  </si>
  <si>
    <t>Rain</t>
  </si>
  <si>
    <t>1. System perfoming well</t>
  </si>
  <si>
    <t>1. Production is 105% of the expected energy.
2. Production is the same compared to May 2024.
3. Production is 20% more compared to last month. 
4. The system is performing well. No power outage, no comms loss, no PV production loss.</t>
  </si>
  <si>
    <t>1. Production is 96% of the expected energy.
2. Production is 6% less compared to May 2024.
3. Production is 0% less compared to last month. 
4. The system is performing well. No power outage, no comms loss, no PV production loss.</t>
  </si>
  <si>
    <t>1. Production is 96% of the expected energy.
2. Production is 16% less compared to Aug 2024.
3. Production is 12% more compared to last month. 
4. The system is performing well. No power outage, no comms loss, no PV production loss.</t>
  </si>
  <si>
    <t>1. Production is 90% of the expected energy.
2. Production is 16% more compared to Sep 2024.
3. Production is 6% less compared to last month. 
4. The system is performing well. No power outage, no comms loss, no PV production loss.</t>
  </si>
  <si>
    <t xml:space="preserve">1. Production is 98% of the expected energy.
2. Production is 10% less compared to Oct 2024.
3. Production is 8% more compared to last month.
4. The system is performing well. </t>
  </si>
  <si>
    <t xml:space="preserve">1. Production is 86% of the expected energy.
2. Production is 24% less compared to Nov 2024.
3. Production is 12% less compared to last month.
4. The system is performing well. </t>
  </si>
  <si>
    <t>Performed moderately due to slightly reduced load</t>
  </si>
  <si>
    <t>The system was offline, energy reading to be retrieved on site</t>
  </si>
  <si>
    <t>1. Production is 93% of the expected energy.
2. Production is 10% less compared to Oct 2024.
3. Production is 11% more compared to last month. 
4. The system is performing well.</t>
  </si>
  <si>
    <t>The system performed well</t>
  </si>
  <si>
    <t>10 strings producing instead of 18 string , possible soiling or shading</t>
  </si>
  <si>
    <t>Monitoring platform offline, One string was down, Rain</t>
  </si>
  <si>
    <t>System performance is &gt;70% expected production
System performance increased by 17% compared to last month
System performance decreased by 0.77% compared to march 2024</t>
  </si>
  <si>
    <t xml:space="preserve">1. System performing well
2. Production is 93% of expected energy
3. Production is 3% more compared to April 2024
4. Production is 20% more compared to last month </t>
  </si>
  <si>
    <t>1. Production is 118% of the expected energy.
2. Production is 19% more compared to May 2024.
3. Production is 25% more compared to last month. 
4. The system is performing well</t>
  </si>
  <si>
    <t>1. Production is 114% of the expected energy.
2. Production is 31% more compared to May 2024.
3. Production is 4% less compared to last month. 
4. The system is performing well</t>
  </si>
  <si>
    <t>First month of commissioning</t>
  </si>
  <si>
    <t>The system performed moderately due to rainy weather</t>
  </si>
  <si>
    <t xml:space="preserve">1. Production is 86% of the expected energy.
2. Production is 28% less than last month.
4. The system is performing well. </t>
  </si>
  <si>
    <t xml:space="preserve">1. Production is 94% of the expected energy.
2. Production is 8% more than last month.
3. The system is performing well. </t>
  </si>
  <si>
    <t>1. Production is 81% of the expected energy.
2. Production is 13% less than last month.
3. The system is performing well. System is affected by weather.</t>
  </si>
  <si>
    <t xml:space="preserve">Rain, Load demand reduced, </t>
  </si>
  <si>
    <t>1. System underperforming due to load demand
2. System decresd  performance by 21% compared to April 2024</t>
  </si>
  <si>
    <t>1. System underperforming due to load demand
2. System increased performance by 8% compared to April 2024</t>
  </si>
  <si>
    <t xml:space="preserve">1. Production is 53% of the expected energy.
2. Production is 47% more compared to May 2024.
3. Production is 19% more compared to last month. 
4. The system is performing poorly due to reduced load. No power outage, no comms loss, no PV production loss. </t>
  </si>
  <si>
    <t xml:space="preserve">1. Production is 58% of the expected energy.
2. Production is 120% more compared to May 2024.
3. Production is 4% less compared to last month. 
4. The system is performing poorly due to reduced load. No power outage, no comms loss, no PV production loss. </t>
  </si>
  <si>
    <t xml:space="preserve">1. Production is 58% of the expected energy.
2. Production is 3% more compared to Jul 2024.
3. Production is the same compared to last month. 
4. The system is performing poorly due to reduced load. No power outage, no comms loss, no PV production loss. </t>
  </si>
  <si>
    <t xml:space="preserve">1. Production is 52% of the expected energy.
2. Production is 239% more compared to Aug 2024.
3. Production is 6 less compared to last month. 
4. The system is performing poorly due to reduced load. No power outage, no comms loss, no PV production loss. </t>
  </si>
  <si>
    <t xml:space="preserve">1. Production is 28% of the expected energy.
2. Production is 18% less compared to Sep 2024.
3. Production is 24% less compared to last month. 
4. The system is performing poorly due to reduced load. No power outage, no comms loss, no PV production loss. </t>
  </si>
  <si>
    <t xml:space="preserve">1. Production is 7% of the expected energy.
2. Production is 81% less compared to Oct 2024.
3. Production is 21% less compared to last month. 
4. System has been decommissioned and removed </t>
  </si>
  <si>
    <t xml:space="preserve">Decomissioned </t>
  </si>
  <si>
    <t>Low Demand, Panels Theft, 2x Inverter damage</t>
  </si>
  <si>
    <t>Rain, Power Outages, Inconsistent loads, IoT siom</t>
  </si>
  <si>
    <t>1. System underperformed  due to reduced load demand,
2. One inverter is offline</t>
  </si>
  <si>
    <t>1. System underperformed  due to reduced load demand,
2. One inverter comms are offline
3. Requires a technician onsite to install a compatible data logger with the newly installed inverter 
4. Cliet should sort out unstable grid problem with power supplier</t>
  </si>
  <si>
    <t>1. Production is 58% of the expected energy.
2. Production is 12% less compared to May 2024.
3. Production is 19% more compared to last month. 
4. The system is performing poorly, due to reduced load. Comms are offline for 31 due existing comms device being incompatible with the new replacement inverter.</t>
  </si>
  <si>
    <t>1. Production is 53% of the expected energy.
2. Production is 14% less compared to May 2024.
3. Production is 5% less compared to last month. 
4. The system is performing poorly, due to reduced load. Comms are offline for 31 due existing comms device being incompatible with the new replacement inverter.</t>
  </si>
  <si>
    <t>1. Production is 47% of the expected energy.
2. Production is 6% less compared to Jul 2024.
3. Production is 5% less compared to last month. 
4. The system is performing poorly, due to reduced load. Comms are offline for 31 due existing comms device being incompatible with the new replacement inverter.</t>
  </si>
  <si>
    <t xml:space="preserve">1. Production is 68% of the expected energy.
2. Production is 23% more compared to Aug 2024.
3. Production is 21% more compared to last month. 
4. The system is performing poorly, due to reduced load. </t>
  </si>
  <si>
    <t xml:space="preserve">1. Production is 66% of the expected energy.
2. Production is 15% more compared to Sep 2024.
3. Production is 22% less compared to last month. 
4. The system is performing poorly, due to reduced load. </t>
  </si>
  <si>
    <t xml:space="preserve">1. Production is 78% of the expected energy.
2. Production is 63% more compared to Oct 2024.
3. Production is 12% more compared to last month. 
4. The system performed moderately due to reduced load. </t>
  </si>
  <si>
    <t xml:space="preserve">1. Production is 65% of the expected energy.
2. Production is 146% less compared to Nov 2024.
3. Production is 13% less compared to last month. 
4. The system performed moderately due to reduced load. </t>
  </si>
  <si>
    <t>System performed poorly. System was isolated due to maitenance from 15 - 22st</t>
  </si>
  <si>
    <t>System performed poorly, due to demand</t>
  </si>
  <si>
    <t>Low Demand, Panels Theft</t>
  </si>
  <si>
    <t>1. Load reduced load</t>
  </si>
  <si>
    <t>1. Production is 20% of the expected energy.
2. Production is 32% less compared to last year.
3. Production is 3% less compared to last month.
4. The system is performing poorly due to reduced loads.</t>
  </si>
  <si>
    <t>1. Production is 17% of the expected energy.
2. Production is 59% less compared to last year.
3. Production is 3% less compared to last month.
4. The system is performing poorly due to reduced loads.</t>
  </si>
  <si>
    <t>1. Production is 20% of the expected energy.
2. Production is 53% less compared to 2024 Jul year.
3. Production is 3% less compared to last month.
4. The system is performing poorly due to reduced loads.</t>
  </si>
  <si>
    <t>1. Production is 43% of the expected energy.
2. Production is 43% more compared to 2024 Aug last year.
3. Production is 21% more compared to last month.
4. The system is performing poorly due to reduced loads.</t>
  </si>
  <si>
    <t>1. Production is 39% of the expected energy.
2. Production is 3% more compared to 2024 Sep last year.
3. Production is 4% less compared to last month.
4. The system is performing poorly due to reduced loads.</t>
  </si>
  <si>
    <t>1. Production is 51% of the expected energy.
2. Production is 16% more compared to 2024 Oct last year.
3. Production is 11% less compared to last month.
4. The system is performing poorly due to reduced loads.</t>
  </si>
  <si>
    <t>1. Production is 46% of the expected energy.
2. Production is 15% less compared to 2024 Nov last year.
3. Production is 5% less compared to last month.
4. The system is performing poorly due to reduced loads.</t>
  </si>
  <si>
    <t xml:space="preserve"> The system is performing poorly due to reduced loads.</t>
  </si>
  <si>
    <t>Insufficient Information from Monitoring platform to identify</t>
  </si>
  <si>
    <t xml:space="preserve">No Monitoring Platform </t>
  </si>
  <si>
    <t xml:space="preserve">1. System performing well, no monitoring
2. Production is 79% of expected energy 
3. Production is 3% more compared to April 2024
4. Production is 4% more compared to last month </t>
  </si>
  <si>
    <t>1. Production is 100% of the expected energy.
2. Production is 13% more compared to last year.
3. Production is 21% more compared to last month.
4. There is no monitoring onsite, the system is performing well.</t>
  </si>
  <si>
    <t>1. Production is 104% of the expected energy.
2. Production is 35% more compared to last year.
3. Production is 4% more compared to last month.
4. There is no monitoring onsite, the system is performing well.</t>
  </si>
  <si>
    <t>1. Production is 101% of the expected energy.
2. Production is 13% more compared to Jul 2024.
3. Production is 3% less compared to last month.
4. There is no monitoring onsite, the system is performing well.</t>
  </si>
  <si>
    <t xml:space="preserve">1. Production is 62% of the expected energy.
2. Production is 22% less compared to Aug 2024.
3. Production is 37% less compared to last month.
4. There is no monitoring onsite, the billing meter was offline from 2025/08/21 - 2025/08/31 </t>
  </si>
  <si>
    <t xml:space="preserve">1. Production is 76% of the expected energy.
2. Production is 29% more compared to Sep 2024.
3. Production is 18% less compared to last month.
4. The system performed mordaratly </t>
  </si>
  <si>
    <t>1. Production is 90% of the expected energy.
2. Production is 21% more compared to Oct 2024.
3. Production is 14% more compared to last month.
4. The system performed well</t>
  </si>
  <si>
    <t>1. Production is 99% of the expected energy.
2. Production is 42% more compared to Nov 2024.
3. Production is 9% more compared to last month.
4. The system performed well</t>
  </si>
  <si>
    <t xml:space="preserve">Monitoring Platform offline - Rain </t>
  </si>
  <si>
    <t>1. Monitoring Platform offline 
2. System performing well</t>
  </si>
  <si>
    <t>1. Production is 86% of the expected energy.
2. Production is 6% more compared to May 2024.
3. Production is 16% more compared to last month. 
4. The system is performing well, The remote monitoring platform is offline for 31 days.</t>
  </si>
  <si>
    <t>1. Production is 84% of the expected energy.
2. Production is 6% more compared to May 2024.
3. Production is 2% less compared to last month. 
4. The system is performing well, The remote monitoring platform is offline for 31 days.</t>
  </si>
  <si>
    <t>1. Production is 89% of the expected energy.
2. Production is 10% less compared to Jul 2024.
3. Production is 5% more compared to last month. 
4. The system is performing well, The remote monitoring platform is offline for 31 days.</t>
  </si>
  <si>
    <t>1. Production is 87% of the expected energy.
2. Production is 6% less compared to Aug 2024.
3. Production is 6% less compared to last month. 
4. The system is performing well.</t>
  </si>
  <si>
    <t>1. Production is 71% of the expected energy.
2. Production is 9% less compared to Sep 2024.
3. Production is 16% less compared to last month. 
4. The system is performing moderately.</t>
  </si>
  <si>
    <t>1. Production is 88% of the expected energy.
2. Production is 10% less compared to Oct 2024.
3. Production is 17% more compared to last month. 
4. The system is performing well.</t>
  </si>
  <si>
    <t>1. Production is 87% of the expected energy.
2. Production is 3% more compared to Nov 2024.
3. Production is 1% less compared to last month. 
4. The system is performing well.</t>
  </si>
  <si>
    <t>The syetem had controls malfunction, sofware updated and working well</t>
  </si>
  <si>
    <t>System performed moderately; new controls installed, system performance should increase</t>
  </si>
  <si>
    <t>The system performed moderately due to the load demand</t>
  </si>
  <si>
    <t>System is performing well</t>
  </si>
  <si>
    <t xml:space="preserve">1. Production is 100% of the expected energy.
2. Production is 4% less compared to May 2024.
3. Production is 6% more compared to last month. 
4. The system is performing well, Client experienced power outage for 2 days. </t>
  </si>
  <si>
    <t>1. Production is 95% of the expected energy.
2. Production is 1% less compared to May 2024.
3. Production is 5% more compared to last month. 
4. The system is performing well.</t>
  </si>
  <si>
    <t>1. Production is 90% of the expected energy.
2. Production is 14% less compared to Jul 2024.
3. Production is 5% more compared to last month. 
4. The system is performing well.</t>
  </si>
  <si>
    <t>1. Production is 95% of the expected energy.
2. Production is 1% less compared to Aug 2024.
3. Production is 5% more compared to last month. 
4. The system is performing well.</t>
  </si>
  <si>
    <t>1. Production is 95% of the expected energy.
2. Production is 8% more compared to Sep 2024.
3. Production is same compared to last month. 
4. The system is performing well.</t>
  </si>
  <si>
    <t>1. Production is 107% of the expected energy.
2. Production is 34% more compared to Oct 2024.
3. Production 12% more compared to last month. 
4. The system performed more that expected.</t>
  </si>
  <si>
    <t>1. Production is 87% of the expected energy.
2. Production is 20% less compared to Nov 2024.
3. Production 20% more compared to last month. 
4. The system performed well.</t>
  </si>
  <si>
    <t xml:space="preserve">There was no PV production from the 9 - 31 due to business closure </t>
  </si>
  <si>
    <t>Performed poorly due to reduced demand</t>
  </si>
  <si>
    <t>Load demand Low, at 80kW or slightly low</t>
  </si>
  <si>
    <t>Reduced Load, Rain</t>
  </si>
  <si>
    <t>1. Load reduced load
2. System is underperforming but in line with hestoric production</t>
  </si>
  <si>
    <t xml:space="preserve">1. Production is 65% of the expected energy.
2. Production is 3% less compared to May 2024.
3. Production is 5% more compared to last month. 
4. The system is performing poorly due to reduced loads (Inline with historical data). The client experienced a power outage for 2 days during the day. </t>
  </si>
  <si>
    <t xml:space="preserve">1. Production is 62% of the expected energy.
2. Production is 1% less compared to May 2024.
3. Production is 3% less compared to last month. 
4. The system is performing poorly due to reduced loads (Inline with historical data). </t>
  </si>
  <si>
    <t xml:space="preserve">1. Production is 56% of the expected energy.
2. Production is 17% less compared to July 2024.
3. Production is 6% less compared to last month. 
4. The system is performing poorly due to reduced loads (Inline with historical data). </t>
  </si>
  <si>
    <t>1. Production is 48% of the expected energy.
2. Production is 44% less compared to Aug 2024.
3. Production is 8% less compared to last month. 
4. The system is performing poorly due to reduced loads.</t>
  </si>
  <si>
    <t>1. Production is 42% of the expected energy.
2. Production is 25% less compared to Sep 2024.
3. Production is 6% less compared to last month. 
4. The system is performing poorly due to reduced loads.</t>
  </si>
  <si>
    <t>1. Production is 48% of the expected energy.
2. Production is 32% less compared to Oct 2024.
3. Production is 8% more compared to last month. 
4. The system is performing poorly due to reduced loads.</t>
  </si>
  <si>
    <t>1. Production is 48% of the expected energy.
2. Production is 37% less compared to Nov 2024.
3. Production is 1% less compared to last month. 
4. The system is performing poorly due to reduced loads.</t>
  </si>
  <si>
    <t xml:space="preserve">There was no PV production from the 6 - 31 due to business closure </t>
  </si>
  <si>
    <t>The shop has been shut down, no load demand</t>
  </si>
  <si>
    <t xml:space="preserve">The client is running on generator, that is no genset, the PV is not producing </t>
  </si>
  <si>
    <t>The system system was offline for 4 days due to power outage, Rain</t>
  </si>
  <si>
    <t>1. System underperformed due to inefficient controls</t>
  </si>
  <si>
    <t>1. Production is 67% of the expected energy.
2. Production is 11% more compared to last month. 
3. The system is performing poorly. The is a huge possibility of the stringing done wrong to be checked. The was power outage for one day.</t>
  </si>
  <si>
    <t xml:space="preserve">1. Production is 85% of the expected energy.
2. Production is 18% more compared to last month. 
3. The system is performing well. Comms went offline for 2 days </t>
  </si>
  <si>
    <t>1. Production is 98% of the expected energy.
2. Production is 13% more compared to last month. 
3. The system is performing well. Monitoring was offline from the  27th - 31st , due to internet connectivity. Incorrect readings data should be accounted for for next month billing</t>
  </si>
  <si>
    <t>1. Production is 94% of the expected energy.
2. Production is 4% more compared to last month. 
3. The system is performing well. Monitoring was offline from the  1st August.</t>
  </si>
  <si>
    <t>1. Production is 86% of the expected energy.
2. Production is 8% less compared to last month. 
3. The system is performing well.</t>
  </si>
  <si>
    <t>1. Production is 98% of the expected energy.
2. Production is 12% more compared to last month. 
3. The system is performing well.</t>
  </si>
  <si>
    <t>1. Production is 85% of the expected energy.
2. Production is 13% less compared to last month. 
3. The system is performing well.</t>
  </si>
  <si>
    <t xml:space="preserve">1. Production is 63% of the expected energy.
2. Production is 2% more  to last month.
4. The system ispporly due to shadding by nearby buildings. </t>
  </si>
  <si>
    <t xml:space="preserve">1. Production is 69% of the expected energy.
2. Production is 6% more to last month.
4. The system is performing poorly due to shading; the system is expected to improve during the summer season </t>
  </si>
  <si>
    <t>1. Production is 68% of the expected energy.
2. Production is 1% less to last month.
4. The system is performing poorly due to shading.</t>
  </si>
  <si>
    <t>1. Production is 92% of the expected energy.
2. Production is 24% less than last month.
3. The system is performing well.</t>
  </si>
  <si>
    <t xml:space="preserve">1. Production is 75% of the expected energy.
2. Production is 24% less compared to Nov 2024.
3. Production is 17% less compared to last month.
4. The system is performing moderately, due to rainy weather and shading. </t>
  </si>
  <si>
    <t>The system is performing well</t>
  </si>
  <si>
    <t>The system performed poorly due to modules mismatch from shading</t>
  </si>
  <si>
    <t>Customer Load demand sometime lower that usual, 
2 under performing MPPTs need to be checked</t>
  </si>
  <si>
    <t>Rain, Load demand reduced on other days</t>
  </si>
  <si>
    <t>System performing well</t>
  </si>
  <si>
    <t>1. System performing well</t>
  </si>
  <si>
    <t xml:space="preserve">1. Production is 102% of the expected energy.
2. Production is 26% more compared to last month. 
3. The system is performing well.No power outage, no comms loss, no PV production loss. </t>
  </si>
  <si>
    <t xml:space="preserve">1. Production is 97% of the expected energy.
2. Production is 4% less compared to last month. 
3. The system is performing well.No power outage, no comms loss, no PV production loss. </t>
  </si>
  <si>
    <t xml:space="preserve">1. Production is 89% of the expected energy.
2. Production is 8% less compared to last month. 
3. The system is performing well. Monitoring was offline from the 16-29 due to internet connectivity </t>
  </si>
  <si>
    <t xml:space="preserve">1. Production is 86% of the expected energy.
2. Production is 3% less compared to last month. 
3. The system is performing well.  </t>
  </si>
  <si>
    <t>1. Production is 73% of the expected energy.
2. Production is 13% less compared to last month. 
3. The system is performing moderately.  System is affected by the weather</t>
  </si>
  <si>
    <t>1. Production is 85% of the expected energy.
2. Production is 7% less compared to Oct 2024.
3. Production is 12% more compared to last month. 
4. The system is performing well.</t>
  </si>
  <si>
    <t>1. Production is 73% of the expected energy.
2. Production is 16% less compared to Nov 2024.
3. Production is 12% less compared to last month. 
4. The system is performing moderately, reduced demand and affected by rainy weather .</t>
  </si>
  <si>
    <t>System performed moderately due to load demand, one string is disconnected</t>
  </si>
  <si>
    <t xml:space="preserve">System performance will increase, damaged strings were repaired </t>
  </si>
  <si>
    <t xml:space="preserve">System performance moderately  </t>
  </si>
  <si>
    <t xml:space="preserve">Load demand is low at 150kW   </t>
  </si>
  <si>
    <t>1. Production is 86% of the expected energy.
2. Production is 15% more compared to last month. 
3. The system is performing well.  The was power outage and PV loss for 2 days .</t>
  </si>
  <si>
    <t xml:space="preserve">1. Production is 94% of the expected energy.
2. Production is 8% more compared to last month. 
3. The system is performing well.  </t>
  </si>
  <si>
    <t xml:space="preserve">1. Production is 86% of the expected energy.
2. Production is 8% less compared to last month. 
3. The system is performing well.  </t>
  </si>
  <si>
    <t xml:space="preserve">1. Production is 82% of the expected energy.
2. Production is 4% less compared to last month. 
3. The system is performing well.  </t>
  </si>
  <si>
    <t>1. Production is 80% of the expected energy.
2. Production is 5% more compared to Sep 2024.
3. Production is 2% less compared to last month. 
4. The system is performing well.</t>
  </si>
  <si>
    <t xml:space="preserve">1. Production is 77% of the expected energy.
2. Production is 12% less compared to Oct 2024.
3. Production is 3% less compared to last month. 
4. The system is performing moderately. Load demand reduced. </t>
  </si>
  <si>
    <t>1. Production is 74% of the expected energy.
2. Production is 12% less compared to Nov 2024.
3. Production is 3% less compared to last month. 
4. The system is performing moderately. Load demand reduced, affected by weather.</t>
  </si>
  <si>
    <t>Power cuts, slightly low demand on some other days</t>
  </si>
  <si>
    <t xml:space="preserve">1. System perfoming modarate, system is slightly oversized </t>
  </si>
  <si>
    <t>1. Production is 114% of the expected energy.
2. Production is 40% more compared to last month. 
3. The system is performing well.  Client load demand increased. No power outage, no comms loss, no PV production loss.</t>
  </si>
  <si>
    <t>1. Production is 113% of the expected energy.
2. Production is 1% less compared to last month. 
3. The system is performing well.  Client load demand increased. No power outage, no comms loss, no PV production loss.</t>
  </si>
  <si>
    <t xml:space="preserve">1. Production is 109% of the expected energy.
2. Production is 4% less compared to last month. 
3. The system is performing well.  The system was offline on the 6th </t>
  </si>
  <si>
    <t xml:space="preserve">1. Production is 102% of the expected energy.
2. Production is 7% less compared to last month. 
3. The system is performing well.  </t>
  </si>
  <si>
    <t>1. Production is 90% of the expected energy.
2. Production is 56% more compared to Sep 2024.
3. Production is 12% less compared to last month. 
4. The system is performing well.</t>
  </si>
  <si>
    <t>1. Production is 102% of the expected energy.
2. Production is 13% more compared to Oct 2024.
3. Production is 12% more compared to last month. 
4. The system performed more than expected.</t>
  </si>
  <si>
    <t>1. Production is 87% of the expected energy.
2. Production is 5% less compared to Nov 2024.
3. Production is 11% less compared to last month. 
4. The system performed as expected</t>
  </si>
  <si>
    <t>1. Production is 57% of the expected energy.
2. Production is 21% less compared to last month.
4. The system performed poorly. Recorded readings are incorrect should be accounted for next month billing. The system was offline from 10-17th</t>
  </si>
  <si>
    <t>1. Production is 71% of the expected energy.
2. Production is 14% more compared to last month.
4. The system performed moderately. Solar panels to be tilted to improve performance.</t>
  </si>
  <si>
    <t>1. Production is 70% of the expected energy.
2. Production is 1% less compared to last month.
4. The system performed moderately.</t>
  </si>
  <si>
    <t>1. Production is 90% of the expected energy.
2. Production is 20% more compared to last month.
3. The system performed moderately.</t>
  </si>
  <si>
    <t>1. Production is 83% of the expected energy.
2. Production is 7% less compared to last month.
3. The system performed well.</t>
  </si>
  <si>
    <t>The system produced poorly due to business closure from 16-31</t>
  </si>
  <si>
    <t xml:space="preserve">load reduction, inconsistant load </t>
  </si>
  <si>
    <t xml:space="preserve">Rain, Load demand reduced to half the installed capacity </t>
  </si>
  <si>
    <t xml:space="preserve">Load demand reduced to half the installed capacity </t>
  </si>
  <si>
    <t>1. Production is 81% of the expected energy.
2. Production is 3% more compared to May 2024.
3. Production is 23% more compared to last month.
4. The system performed well, client load increased. No power outage, no comms loss, no PV production loss.</t>
  </si>
  <si>
    <t>1. Production is 91% of the expected energy.
2. Production is 3% more compared to May 2024.
3. Production is 10% more compared to last month.
4. The system performed well, client load increased. No power outage, no comms loss, no PV production loss.</t>
  </si>
  <si>
    <t>1. Production is 76% of the expected energy.
2. Production is 8% less compared to Jul 2024.
3. Production is 16% less compared to last month.
4. The system performed modarately, client load reduced. No power outage, there was no comms on the 6th.</t>
  </si>
  <si>
    <t>1. Production is 68% of the expected energy.
2. Production is 2% less compared to Aug 2024.
3. Production is 8% less compared to last month.
4. The system performed poorly, client load reduced. No power outage, there was no comms on the 24th and 25th.</t>
  </si>
  <si>
    <t>1. Production is 70% of the expected energy.
2. Production is 22% less compared to Sep 2024.
3. Production is 2% more compared to last month.
4. The system performed moderately, and client load was reduced. No power outage, there was no comms on the 24th and 25th.</t>
  </si>
  <si>
    <t>1. Production is 59% of the expected energy.
2. Production is 3% less compared to Oct 2024.
3. Production is 11% less compared to last month.
4. The system performed poorely, and client load was reduced.</t>
  </si>
  <si>
    <t>1. Production is 53% of the expected energy.
2. Production is 8% less compared to Nov 2024.
3. Production is 6% less compared to last month.
4. The system performed poorely, and client load was reduced. System affected by rainy weather</t>
  </si>
  <si>
    <t>The system performed poorely, and client load was reduced. System affected by rainy weather</t>
  </si>
  <si>
    <t xml:space="preserve">The system performed poorely, and client load was reduced. </t>
  </si>
  <si>
    <t>The system is performed well in January
February performance reduced due rainy weather</t>
  </si>
  <si>
    <t xml:space="preserve">System modaratly perfomed, load reduced slignificantly on some days </t>
  </si>
  <si>
    <t>1. Production is 102% of the expected energy.
2. Production is 1% more compared to May 2024.
3. Production is 29% more compared to last month.
4. The system is performing well. Client load slightly increased.</t>
  </si>
  <si>
    <t>1. Production is 94% of the expected energy.
2. Production is 2% more compared to Jun 2024.
3. Production is 8% less compared to last month.
4. The system is performing well. Client load slightly increased.</t>
  </si>
  <si>
    <t>1. Production is 92% of the expected energy.
2. Production is 8% less compared to Jul 2024.
3. Production is 2% less compared to last month.
4. The system is performing well. Client load slightly increased.</t>
  </si>
  <si>
    <t>1. Production is 91% of the expected energy.
2. Production is 7% more compared to Aug 2024.
3. Production is 1% less compared to last month.
4. The system is performing well.</t>
  </si>
  <si>
    <t>1. Production is 83% of the expected energy.
2. Production is 3% more compared to Aug 2024.
3. Production is 8% more compared to last month.
4. The system is performing well.</t>
  </si>
  <si>
    <t>1. Production is 92% of the expected energy.
2. Production is 11% less compared to Oct 2024.
3. Production is 9% more compared to last month.
4. The system is performing well.</t>
  </si>
  <si>
    <t xml:space="preserve">1. Production is 74% of the expected energy.
2. Production is 31% less compared to Nov 2024.
3. Production is 18% less compared to last month.
4. The system is performing moderately, load reduced, system affected by weather. </t>
  </si>
  <si>
    <t xml:space="preserve">The system performed moderately due to reduced load </t>
  </si>
  <si>
    <t>Rain, Power outages, Inconsistent Load demand, Increase Ramp rate</t>
  </si>
  <si>
    <t>System performance is &gt;65% expected production
System performance increased by 0,4% compared to last month
System performance decreased by 27% compared to march 2024
 Inconsistent Load demand, Increase Ramp rate to improve perfomance</t>
  </si>
  <si>
    <t>1. System affected by weather, Fuctuating loads
2. Production is 62% of expected energy 
3. Production is 29% less compared to April 2024
4. Production is 6% less compared to last month</t>
  </si>
  <si>
    <t xml:space="preserve">1. Production is 67% of the expected energy.
2. Production is 10% less compared to May 2024.
3. Production is 5% more compared to last month.
4. They experienced grid outages 3 times and caused loss of PV three times, Load are not consistently higher that install PV. </t>
  </si>
  <si>
    <t>1. Production is 60% of the expected energy.
2. Production is 5% less compared to May 2024.
3. Production is 7% less compared to last month.
4.System poorely due to inconsistant load reduction. The experience loss of Comma and PV 4 days (days: 7,8,14,15)</t>
  </si>
  <si>
    <t>Rain, Power Outage, Inconsistent Loads</t>
  </si>
  <si>
    <t>System performance is &gt;65% expected production
System performance increased by 3% compared to last month
System performance decreased by 22% compared to march 2024
 Inconsistent Load demand, Increase Ramp rate to improve perfomances</t>
  </si>
  <si>
    <t>1. The system is performing well
2. Production is 92% of expected production 
3. Production is 24% more compared to last month</t>
  </si>
  <si>
    <t>1. Production is 111% of the expected energy.
2. Production is 18% more compared to May 2024.
3. Production is 19% more compared to last month.
4. The system is performing well, Billing meter comms to be rebooted and restored</t>
  </si>
  <si>
    <t>1. Production is 101% of the expected energy.
2. Production is 16% more compared to Jul 2024.
3. Production is 10% less compared to last month.
4. The system is performing well.</t>
  </si>
  <si>
    <t>1. Production is 105% of the expected energy.
2. Production is 7% less compared to May 2024.
3. Production is 4% more compared to last month.
4. The system is performing well.</t>
  </si>
  <si>
    <t>1. Production is 108% of the expected energy.
2. Production is 78% more compared to Aug 2024.
3. Production is 3% more compared to last month.
4. The system is performing well.</t>
  </si>
  <si>
    <t>1. Production is 104% of the expected energy.
2. Production is 33% more compared to Sep 2024.
3. Production is 4% less compared to last month.
4. The system is performing well.</t>
  </si>
  <si>
    <t xml:space="preserve">1. Production is 109% of the expected energy.
2. Production is 30% more compared to Oct 2024.
3. Production is 5% more compared to last month.
4. The system performed more than expected. </t>
  </si>
  <si>
    <t xml:space="preserve">1. Production is 99% of the expected energy.
2. Production is 55% more compared to Nov 2024.
3. Production is 10% less compared to last month.
4. The system performed well. </t>
  </si>
  <si>
    <t>The system performance is affected by rainy weather 
System affected by inconsistent load demand</t>
  </si>
  <si>
    <t>System modaratly perfomed,  Monitoring plartform is offline</t>
  </si>
  <si>
    <t>1. Production is 51% of the expected energy.
2. Production is 20% less compared to last month. 
3. The system is performed poorly due to the Wattmon controls kit repair. The system monitoring, PV  was offline for 14 days.</t>
  </si>
  <si>
    <t>1. Production is 39% of the expected energy.
2. Production is 12% less compared to last month. 
3. The system is performed poorly . The system monitoring, PV  was offline 19 days (1-11,16-17,19-20,24-26,28-30)</t>
  </si>
  <si>
    <t>1. Production is 58% of the expected energy.
2. Production is 19% more compared to last month. 
3. The system is performed poorly . The system monitoring, PV  was offline 11 days (01st - 11th) , the issuse is of swapped CTs's is resolved and th e performance is recovering</t>
  </si>
  <si>
    <t xml:space="preserve">1. Production is 84% of the expected energy.
2. Production is 4% more compared to Aug 2024.
3. Production is 26% more compared to last month. 
4. The system is performing well, issues resolved, and system performance is expected to improve more </t>
  </si>
  <si>
    <t>1. Production is 74% of the expected energy.
2. Production is 1% less compared to Sep 2024.
3. Production is 10% less compared to last month. 
4. The system is performing moderately.</t>
  </si>
  <si>
    <t>1. Production is 95% of the expected energy.
2. Production is 2% more compared to Oct 2024.
3. Production is 21% more compared to last month. 
4. The system is performing well.</t>
  </si>
  <si>
    <t>1. Production is 77% of the expected energy.
2. Production is 8% less compared to Nov 2024.
3. Production is 18% less compared to last month. 
4. The system performed moderately, system affected by rainy weather.</t>
  </si>
  <si>
    <t xml:space="preserve">4. The system performed moderately, system affected by busined closure </t>
  </si>
  <si>
    <t xml:space="preserve">The system performed moderately due to bad weather </t>
  </si>
  <si>
    <t>1. Production is 81% of the expected energy.
2. Production is 1% less than last month.
4. The system is performing well. Load demand is low.</t>
  </si>
  <si>
    <t>1. Production is 81% of the expected energy.
2. Production is the same as last month.
3. The system is performing well. Load demand is low.</t>
  </si>
  <si>
    <t>1. Production is 73% of the expected energy.
2. Production is 8% less compared to last month.
3. The system is performed moderate.</t>
  </si>
  <si>
    <t>No PV production on the 17th due to power outage</t>
  </si>
  <si>
    <t xml:space="preserve">The is missing data fron 22-30 on the monitoring platform, data will be retrieved </t>
  </si>
  <si>
    <t>The system is affected by the  rainy weather
Load demand is fluctuating on some days
Power outages affected performance 
The system performance for Jan and Much is better than last year</t>
  </si>
  <si>
    <t>System performance is &gt;70% expected production
System performance decreased by 7% compared to last month
System performance decreased by 0,48% compared to march 2024
Load demand is fluctuating on some days
Power outages affected performance 
The system performance for Jan and Feb production was better than 2024</t>
  </si>
  <si>
    <t xml:space="preserve">1. The system is performing well
2. Production is 83% of the expected energy 
3. Production is 28% more compared to April 2024
4. Production is 7% more compared to last month </t>
  </si>
  <si>
    <t>1. Production is 103% of the expected energy.
2. Production is 11% more compared to May 2024.
3. Production is 20% more compared to last month.
4. The system is perfoming well.</t>
  </si>
  <si>
    <t>1. Production is 98% of the expected energy.
2. Production is 14% more compared to May 2024.
3. Production is 5% less compared to last month.
4. The system is perfoming well.</t>
  </si>
  <si>
    <t xml:space="preserve">Comms offline, No Billing meter </t>
  </si>
  <si>
    <t>Algeria</t>
  </si>
  <si>
    <t>Angola</t>
  </si>
  <si>
    <t>Benin</t>
  </si>
  <si>
    <t>Botswana</t>
  </si>
  <si>
    <t>Burkina Faso</t>
  </si>
  <si>
    <t>Burundi</t>
  </si>
  <si>
    <t>Cabo Verde</t>
  </si>
  <si>
    <t>Cameroon</t>
  </si>
  <si>
    <t>Central African Republic</t>
  </si>
  <si>
    <t>Chad</t>
  </si>
  <si>
    <t>Comoros</t>
  </si>
  <si>
    <t>Democratic Republic of the Congo</t>
  </si>
  <si>
    <t>Republic of the Congo</t>
  </si>
  <si>
    <t>Djibouti</t>
  </si>
  <si>
    <t>Egypt</t>
  </si>
  <si>
    <t>Equatorial Guinea</t>
  </si>
  <si>
    <t>Eritrea</t>
  </si>
  <si>
    <t>Eswatini</t>
  </si>
  <si>
    <t>Ethiopia</t>
  </si>
  <si>
    <t>Gabon</t>
  </si>
  <si>
    <t>Gambia</t>
  </si>
  <si>
    <t>Ghana</t>
  </si>
  <si>
    <t>Guinea</t>
  </si>
  <si>
    <t>Guinea-Bissau</t>
  </si>
  <si>
    <t>Ivory Coast</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</si>
  <si>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</si>
  <si>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</si>
  <si>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</si>
  <si>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</si>
  <si>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</si>
  <si>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</si>
  <si>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</si>
  <si>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</si>
  <si>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</si>
  <si>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</si>
  <si>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</si>
  <si>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</si>
  <si>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</si>
  <si>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</si>
  <si>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</si>
  <si>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</si>
  <si>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</si>
  <si>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</si>
  <si>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</si>
  <si>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</si>
  <si>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Sudan</t>
  </si>
  <si>
    <t>Sudan</t>
  </si>
  <si>
    <t>Tanzania</t>
  </si>
  <si>
    <t>Togo</t>
  </si>
  <si>
    <t>Tunisia</t>
  </si>
  <si>
    <t>Uganda</t>
  </si>
  <si>
    <t>Zimbabwe</t>
  </si>
  <si>
    <t>Performend poorly due to load demand</t>
  </si>
  <si>
    <t>No Monitoring onsite</t>
  </si>
  <si>
    <t>Monitoring system is not working properly</t>
  </si>
  <si>
    <t xml:space="preserve">The system is broken, the inverter to be replaced </t>
  </si>
  <si>
    <t>The system monitoring is offline</t>
  </si>
  <si>
    <t xml:space="preserve">The system is decommisioned </t>
  </si>
  <si>
    <t xml:space="preserve">There is no monitoring </t>
  </si>
  <si>
    <t xml:space="preserve">System is decommissioned </t>
  </si>
  <si>
    <t xml:space="preserve">There is no grid on-site, the system is not producing </t>
  </si>
  <si>
    <t xml:space="preserve">System perfomed poorly due to winter shading </t>
  </si>
  <si>
    <t xml:space="preserve">No monitoring onsite </t>
  </si>
  <si>
    <t xml:space="preserve">The system monitoring is offline </t>
  </si>
  <si>
    <t xml:space="preserve">The shop has shutdown, the system is not producing </t>
  </si>
  <si>
    <t xml:space="preserve">The system perfomance is affected by load shedding </t>
  </si>
  <si>
    <t xml:space="preserve">The system performed poorly due to 8 strings being offline. The issue is resolved  </t>
  </si>
  <si>
    <t>Performing poorly due to slightly reduced load demand</t>
  </si>
  <si>
    <t xml:space="preserve">There is no monitoring onsite </t>
  </si>
  <si>
    <t>PV Capacity (W)</t>
  </si>
  <si>
    <t>Battery Size (Wh)</t>
  </si>
  <si>
    <t>Solar Synergy</t>
  </si>
  <si>
    <t>SA Energy</t>
  </si>
  <si>
    <t>Offtake Guarantee</t>
  </si>
  <si>
    <t>NO</t>
  </si>
  <si>
    <t>YES</t>
  </si>
  <si>
    <t>As-Built kWh</t>
  </si>
  <si>
    <t>Notes</t>
  </si>
  <si>
    <t>Age</t>
  </si>
  <si>
    <t>Unavailability kWh</t>
  </si>
  <si>
    <t xml:space="preserve">Testing </t>
  </si>
  <si>
    <t>Correct kWh</t>
  </si>
  <si>
    <t>Guaranteed Generation (kWh)</t>
  </si>
  <si>
    <t>Actual Generation (kWh)</t>
  </si>
  <si>
    <t>Shortfall (kWh)</t>
  </si>
  <si>
    <t>Performance Rate</t>
  </si>
  <si>
    <t xml:space="preserve">Availability </t>
  </si>
  <si>
    <t>Downtime (days)</t>
  </si>
  <si>
    <t xml:space="preserve">Cause of downtime </t>
  </si>
  <si>
    <t xml:space="preserve">Technical Events </t>
  </si>
  <si>
    <t>Energy Impact</t>
  </si>
  <si>
    <t>Other Comments</t>
  </si>
  <si>
    <t xml:space="preserve">31 days </t>
  </si>
  <si>
    <t xml:space="preserve">Internet connectivity issues </t>
  </si>
  <si>
    <t xml:space="preserve">Low energy demand reduced production </t>
  </si>
  <si>
    <t>28 days</t>
  </si>
  <si>
    <t xml:space="preserve">30 days </t>
  </si>
  <si>
    <t xml:space="preserve">Inverter was offline </t>
  </si>
  <si>
    <t>26 days</t>
  </si>
  <si>
    <t xml:space="preserve">0 days </t>
  </si>
  <si>
    <t>19-27, 9 days</t>
  </si>
  <si>
    <t>22 days</t>
  </si>
  <si>
    <t>27 days</t>
  </si>
  <si>
    <t xml:space="preserve">28 days </t>
  </si>
  <si>
    <t>21-31, 10 days</t>
  </si>
  <si>
    <t xml:space="preserve">21 days </t>
  </si>
  <si>
    <t>01-18, 18 days</t>
  </si>
  <si>
    <t>28-30, 3 days</t>
  </si>
  <si>
    <t xml:space="preserve">PV Breaker tripped </t>
  </si>
  <si>
    <t>System isolated for maintenance</t>
  </si>
  <si>
    <t xml:space="preserve">Faulty DC breakers </t>
  </si>
  <si>
    <t>31 days</t>
  </si>
  <si>
    <t xml:space="preserve">None </t>
  </si>
  <si>
    <t xml:space="preserve">System shutdown </t>
  </si>
  <si>
    <t xml:space="preserve">produced as expected </t>
  </si>
  <si>
    <t xml:space="preserve">Faulty AC breakers </t>
  </si>
  <si>
    <t xml:space="preserve">system not commissioned </t>
  </si>
  <si>
    <t>8 days</t>
  </si>
  <si>
    <t>1-23, 23 days</t>
  </si>
  <si>
    <t>30 days</t>
  </si>
  <si>
    <t xml:space="preserve">System not commissioned </t>
  </si>
  <si>
    <t>5 days</t>
  </si>
  <si>
    <t xml:space="preserve">1-25, 25 days </t>
  </si>
  <si>
    <t xml:space="preserve">System not commisssioned </t>
  </si>
  <si>
    <t>24-29, 6 days</t>
  </si>
  <si>
    <t xml:space="preserve">25 days </t>
  </si>
  <si>
    <t xml:space="preserve">Reduced production </t>
  </si>
  <si>
    <t xml:space="preserve">Power outage </t>
  </si>
  <si>
    <t xml:space="preserve">Produced as expected </t>
  </si>
  <si>
    <t>The system is performing moderately, reduced demand and affected by rainy weather.</t>
  </si>
  <si>
    <t>10 days</t>
  </si>
  <si>
    <t>29 days</t>
  </si>
  <si>
    <t>Energy production was limited by reduced load demand</t>
  </si>
  <si>
    <t xml:space="preserve">Energy production was limited by reduced load demand, cloudy and rainy weather. </t>
  </si>
  <si>
    <t>13 - 31, 13 days</t>
  </si>
  <si>
    <t>18 days</t>
  </si>
  <si>
    <t>Company closure</t>
  </si>
  <si>
    <t>Power outages &amp; low load demand</t>
  </si>
  <si>
    <t>Energy production was limited due to load demand</t>
  </si>
  <si>
    <t xml:space="preserve">grid failure on low demand </t>
  </si>
  <si>
    <t>3 days</t>
  </si>
  <si>
    <t>1-3, 3 days</t>
  </si>
  <si>
    <t>3-31, 3 days</t>
  </si>
  <si>
    <t xml:space="preserve">There system produced as expected </t>
  </si>
  <si>
    <t>Internet connectivity issues</t>
  </si>
  <si>
    <t>17-31, 14 days</t>
  </si>
  <si>
    <t>17 days</t>
  </si>
  <si>
    <t>01-04, 4 days</t>
  </si>
  <si>
    <t xml:space="preserve">26-31, 6 days </t>
  </si>
  <si>
    <t>25 days</t>
  </si>
  <si>
    <t>Inverter is offline</t>
  </si>
  <si>
    <t xml:space="preserve">internert connection </t>
  </si>
  <si>
    <t>01-05, 5 days</t>
  </si>
  <si>
    <t xml:space="preserve">03-19, 16 days </t>
  </si>
  <si>
    <t>15 days</t>
  </si>
  <si>
    <t>1 day</t>
  </si>
  <si>
    <t>01-23, 23 days</t>
  </si>
  <si>
    <t>0 days</t>
  </si>
  <si>
    <t>01-31, 31 days</t>
  </si>
  <si>
    <t xml:space="preserve">The system performed as expected </t>
  </si>
  <si>
    <t>05-31 days</t>
  </si>
  <si>
    <t>There is no energy production for ofline days</t>
  </si>
  <si>
    <t>01-28, 28 days</t>
  </si>
  <si>
    <t>2 days</t>
  </si>
  <si>
    <t>16-31, 15 days</t>
  </si>
  <si>
    <t>16 days</t>
  </si>
  <si>
    <t>01-014, 4 days</t>
  </si>
  <si>
    <t xml:space="preserve">The system is not commissioned </t>
  </si>
  <si>
    <t>11 days</t>
  </si>
  <si>
    <t xml:space="preserve">01-20, 20 days </t>
  </si>
  <si>
    <t>The system was not commissioned</t>
  </si>
  <si>
    <t>The  System is performed as expected</t>
  </si>
  <si>
    <t>Energy production was limited by reduced load demand due to business closure</t>
  </si>
  <si>
    <t>The system performned as expected</t>
  </si>
  <si>
    <t>Internet connectivity</t>
  </si>
  <si>
    <t>01-03, 3 days</t>
  </si>
  <si>
    <t xml:space="preserve">Business closure </t>
  </si>
  <si>
    <t>The system production was limited by business closure</t>
  </si>
  <si>
    <t xml:space="preserve">4 strings disconnected </t>
  </si>
  <si>
    <t xml:space="preserve">System underperformed due to technical fault experienced onsite. Expected February production corrected due to technical fault. </t>
  </si>
  <si>
    <t>The system performed as expected. A few technical issues were experienced during Feb 2026, the expected system production was corrected and system restored to normal production.</t>
  </si>
  <si>
    <t>The system performed as expected. As previously experienced, the site demand is low and the system was not fully utilized.</t>
  </si>
  <si>
    <t>Technical Fault. Inverter offline due to repairs</t>
  </si>
  <si>
    <t>The system performed moderately. A few technical issues were experienced , the expected system production was corrected and system restored to normal production.</t>
  </si>
  <si>
    <t>The system performed as expected. System produced 96% of expected production due to 20 days of closure during December-Jan.</t>
  </si>
  <si>
    <t>Technical Fault on one inverter</t>
  </si>
  <si>
    <t>Inverter breaker tripped</t>
  </si>
  <si>
    <t>50% of the production reduced due to offline inverter</t>
  </si>
  <si>
    <t>The system performed as expected. A few technical issues were experienced during July - Aug 2025, the expected system production was corrected and system restored to normal production.</t>
  </si>
  <si>
    <t>The system performed as expected. A few technical issues were experienced during July - Aug 2025 and Jan 2026 which limited inverter production during repairs, the expected system production was corrected and system restored to normal production.</t>
  </si>
  <si>
    <t>Energy production was limited by reduced load demand &amp; technical event</t>
  </si>
  <si>
    <t>Energy production was limited by technical event</t>
  </si>
  <si>
    <t xml:space="preserve">No solar production due to technical fault </t>
  </si>
  <si>
    <t>The energy production was limited by load demand</t>
  </si>
  <si>
    <t>n/</t>
  </si>
  <si>
    <t>The system performe well</t>
  </si>
  <si>
    <t>The energy production was limited by load demand &amp; bad weather</t>
  </si>
  <si>
    <t>The energy production was limited by load demand &amp; rainy  weather</t>
  </si>
  <si>
    <t>Ineternet connectivity</t>
  </si>
  <si>
    <t>Soiling Intensity</t>
  </si>
  <si>
    <t>Low</t>
  </si>
  <si>
    <t>High</t>
  </si>
  <si>
    <t>Shoprite SRH Bizana</t>
  </si>
  <si>
    <t>Shoprite Mayfair</t>
  </si>
  <si>
    <t>Usave Naboomspruit</t>
  </si>
  <si>
    <t>4VR3+G6F Mbizana</t>
  </si>
  <si>
    <t>1804 Albertina Sisulu Rd, Mayfair, Johannesburg, 2092</t>
  </si>
  <si>
    <t>76 Thabo Mbeki St, Mookgophong, 0560</t>
  </si>
  <si>
    <t>Unknown</t>
  </si>
  <si>
    <t>Medium</t>
  </si>
  <si>
    <t>Shading</t>
  </si>
  <si>
    <t>Eastern Cape</t>
  </si>
  <si>
    <t xml:space="preserve"> </t>
  </si>
  <si>
    <t>Tlou Integrated Tech</t>
  </si>
  <si>
    <t>The  System performed as expected</t>
  </si>
  <si>
    <t xml:space="preserve">Energy production was limited by reduced load demand and weather </t>
  </si>
  <si>
    <t xml:space="preserve">Energy production was limited by reduced load demand </t>
  </si>
  <si>
    <t xml:space="preserve">client contractor tempered with the system </t>
  </si>
  <si>
    <t xml:space="preserve">Zero export CT were swapped in the wrong direction </t>
  </si>
  <si>
    <t>1 day, 14th</t>
  </si>
  <si>
    <t>Energy production was limited by technical downtime, and heavily soiled panels</t>
  </si>
  <si>
    <t>Discussion</t>
  </si>
  <si>
    <t>13 days,8-21st</t>
  </si>
  <si>
    <t>7 days, 24-31st</t>
  </si>
  <si>
    <t xml:space="preserve">Inverter software </t>
  </si>
  <si>
    <t>Energy production is limited by system unavailability and soiling</t>
  </si>
  <si>
    <t>Inverter Internet connectivity</t>
  </si>
  <si>
    <t xml:space="preserve">Daytime load demand reduced further </t>
  </si>
  <si>
    <t>14 days, 8-10,15-17,21-31st</t>
  </si>
  <si>
    <t>System switched off</t>
  </si>
  <si>
    <t xml:space="preserve">Energy production was limited by system beign switched off. </t>
  </si>
  <si>
    <t>Client system switched off as per their requirements</t>
  </si>
  <si>
    <t>Energy production was limited by none operational strings</t>
  </si>
  <si>
    <t xml:space="preserve">2 strings were off due to damaged fuses, No inverter monitoring </t>
  </si>
  <si>
    <t xml:space="preserve">Installing new monitoring </t>
  </si>
  <si>
    <t xml:space="preserve">Unknown </t>
  </si>
  <si>
    <t xml:space="preserve">There is no inverter monitoring </t>
  </si>
  <si>
    <t xml:space="preserve">The system production was limited by soiling </t>
  </si>
  <si>
    <t xml:space="preserve">possible heavy soiling to confirm during O&amp;M on the 27th august </t>
  </si>
  <si>
    <t>The system performance was limited by fluctuating load demand</t>
  </si>
  <si>
    <t xml:space="preserve">Business shutdown </t>
  </si>
  <si>
    <t xml:space="preserve">Business Shutdown </t>
  </si>
  <si>
    <t xml:space="preserve">Offline inverter comms </t>
  </si>
  <si>
    <t xml:space="preserve">Business grid supply disconnected  </t>
  </si>
  <si>
    <t>No production from the solar system</t>
  </si>
  <si>
    <t xml:space="preserve">Client running on generator </t>
  </si>
  <si>
    <t>Energy production was possibly limited by heavy soiling, to be confirmed during site visit</t>
  </si>
  <si>
    <t>The Energy production was limited by due O&amp;M to be made by the end of August</t>
  </si>
  <si>
    <t xml:space="preserve">The system production was limited by heavy shading </t>
  </si>
  <si>
    <t xml:space="preserve">Inverter comms offline </t>
  </si>
  <si>
    <t>The energy production was affected by heavy soiling</t>
  </si>
  <si>
    <t>11 days, 16-27th</t>
  </si>
  <si>
    <t xml:space="preserve">Client Transformer was getting serviced </t>
  </si>
  <si>
    <t>The energy production was affected by system unavailability and heavy soiling</t>
  </si>
  <si>
    <t xml:space="preserve">CT has been swapped around after transformer maintenance </t>
  </si>
  <si>
    <t>The system comms are offline</t>
  </si>
  <si>
    <t>3 days; 8th, 23rd,28th</t>
  </si>
  <si>
    <t xml:space="preserve">Grid power outage </t>
  </si>
  <si>
    <t>The system energy production has been affected by grid unavailability and reduced load demand</t>
  </si>
  <si>
    <t>8 days;5-9th,27-31st</t>
  </si>
  <si>
    <t xml:space="preserve">Energy production was limited by system unavailability </t>
  </si>
  <si>
    <t>Offline inverter comms</t>
  </si>
  <si>
    <t>Inverter comms currently offline</t>
  </si>
  <si>
    <t>Energy production was limited by soiling</t>
  </si>
  <si>
    <t xml:space="preserve">Unreliable monitoring platform </t>
  </si>
  <si>
    <t>SAWA</t>
  </si>
  <si>
    <t>2022/16/12</t>
  </si>
  <si>
    <t>2025/02/29</t>
  </si>
  <si>
    <t>Molapo Crossing Mall</t>
  </si>
  <si>
    <t>Sigenergy</t>
  </si>
  <si>
    <t>9V4P+P5J, Gaborone, Botswana</t>
  </si>
  <si>
    <t>Gaborone</t>
  </si>
  <si>
    <t>Alensys Solar</t>
  </si>
  <si>
    <t>Energy production was limited by load demand</t>
  </si>
  <si>
    <t xml:space="preserve">4 days, 8-10, 26th </t>
  </si>
  <si>
    <t xml:space="preserve">Grid over frequency </t>
  </si>
  <si>
    <t>The inverter went to safe mode</t>
  </si>
  <si>
    <t xml:space="preserve">Energy production was limited by load demand and downtimes </t>
  </si>
  <si>
    <t>Battery cell imbalance</t>
  </si>
  <si>
    <t xml:space="preserve">4 days, 1-4th </t>
  </si>
  <si>
    <t>The system is switched off as per client request</t>
  </si>
  <si>
    <t>2 days, 14-15th</t>
  </si>
  <si>
    <t>Energy production was limited by reduced load demand and unavailability du to power outage</t>
  </si>
  <si>
    <t>Business has shut down</t>
  </si>
  <si>
    <t xml:space="preserve">19 days, 1-19th </t>
  </si>
  <si>
    <t xml:space="preserve">11 days </t>
  </si>
  <si>
    <t>Energy production was limited by unavailability due to power outage due to transformer repairs</t>
  </si>
  <si>
    <t>2 days, 11-12th</t>
  </si>
  <si>
    <t xml:space="preserve">transfomer repairs </t>
  </si>
  <si>
    <t xml:space="preserve">Energy production was limited by reduced load demand and grid unavailability </t>
  </si>
  <si>
    <t>Grid unavailable</t>
  </si>
  <si>
    <t>Power Limit</t>
  </si>
  <si>
    <t>Zero Export</t>
  </si>
  <si>
    <t xml:space="preserve">Exporting </t>
  </si>
  <si>
    <t>Comms issue</t>
  </si>
  <si>
    <t>Atess</t>
  </si>
  <si>
    <t>ATESS PCS250</t>
  </si>
  <si>
    <t>Missing data from 19th - 27th due to offline comms (per Sep kWh registration)</t>
  </si>
  <si>
    <t>System switched off - client requested the system to be shut down (per Sep kWh registration)</t>
  </si>
  <si>
    <t>kWh based on inverter readings (per Sep kWh registration)</t>
  </si>
  <si>
    <t>System off due to business closure (per Sep kWh registration)</t>
  </si>
  <si>
    <t>System off due to grid unavailability (per Sep kWh registration)</t>
  </si>
  <si>
    <t>PV system isolated from the 2nd - 30th due to client roof leakage maintenance; energy production estimated from Sep 2025 readings (per Sep kWh registration)</t>
  </si>
  <si>
    <t>Base Expected (kWh)</t>
  </si>
  <si>
    <t>Commissioned Date</t>
  </si>
  <si>
    <t>Age (yrs)</t>
  </si>
  <si>
    <t>Degradation Factor</t>
  </si>
  <si>
    <t>Annual degradation rate</t>
  </si>
  <si>
    <t xml:space="preserve">The system performed poorly due to morning shading from the 1st to the 19th </t>
  </si>
  <si>
    <t xml:space="preserve">The system performed poorly due to the load demand reduction </t>
  </si>
  <si>
    <t>8 days,19th-27th</t>
  </si>
  <si>
    <t>The system performed poorly due to the load demand reduction, rainy and cloudy weather</t>
  </si>
  <si>
    <t>The system performed poorly due to rainy and cloudy weather</t>
  </si>
  <si>
    <t>monitoring comms offline</t>
  </si>
  <si>
    <t>The system performed poorly due to the load demand reduction</t>
  </si>
  <si>
    <t>2 day, 29-30th</t>
  </si>
  <si>
    <t xml:space="preserve">Internet connectivity </t>
  </si>
  <si>
    <t>The system performed poorly due to the load demand reduction, offline days, rainy and cloudy weather</t>
  </si>
  <si>
    <t>client roof maintanance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</si>
</sst>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_(\R* #,##0.00_);_(\R* \(#,##0.00\);_(\R* \-??_);_(@_)"/>
    <numFmt numFmtId="166" formatCode="dd/mm/yyyy"/>
    <numFmt numFmtId="167" formatCode="0.0"/>
    <numFmt numFmtId="168" formatCode="_(* #,##0_);_(* \(#,##0\);_(* &quot;-&quot;??_);_(@_)"/>
    <numFmt numFmtId="169" formatCode="_-* #,##0_-;\-* #,##0_-;_-* &quot;-&quot;??_-;_-@_-"/>
    <numFmt numFmtId="170" formatCode="0.0000"/>
    <numFmt numFmtId="171" formatCode="#,##0.0"/>
  </numFmts>
  <fonts count="12" x14ac:knownFonts="1">
    <font>
      <sz val="11"/>
      <color theme="1"/>
      <name val="Calibri"/>
      <family val="2"/>
      <charset val="1"/>
    </font>
    <font>
      <sz val="12"/>
      <color theme="1"/>
      <name val="Calibri"/>
      <family val="2"/>
      <charset val="1"/>
    </font>
    <font>
      <sz val="11"/>
      <color rgb="FF000000"/>
      <name val="Calibri"/>
      <family val="2"/>
      <charset val="1"/>
    </font>
    <font>
      <sz val="11"/>
      <name val="Calibri"/>
      <family val="2"/>
      <charset val="1"/>
    </font>
    <font>
      <sz val="8"/>
      <name val="Calibri"/>
      <family val="2"/>
      <charset val="1"/>
    </font>
    <font>
      <b/>
      <sz val="11"/>
      <color theme="1"/>
      <name val="Calibri"/>
      <family val="2"/>
    </font>
    <font>
      <sz val="11"/>
      <color theme="1"/>
      <name val="Calibri"/>
      <family val="2"/>
      <charset val="1"/>
    </font>
    <font>
      <sz val="12"/>
      <color rgb="FF000000"/>
      <name val="Calibri"/>
      <family val="2"/>
    </font>
    <font>
      <sz val="9"/>
      <color indexed="81"/>
      <name val="Tahoma"/>
      <family val="2"/>
    </font>
    <font>
      <b/>
      <sz val="9"/>
      <color indexed="81"/>
      <name val="Tahoma"/>
      <family val="2"/>
    </font>
    <font>
      <sz val="11"/>
      <color rgb="FF0000FF"/>
      <name val="Calibri"/>
      <family val="2"/>
      <charset val="1"/>
    </font>
    <font>
      <b/>
      <sz val="11"/>
      <color theme="1"/>
      <name val="Calibri"/>
      <family val="2"/>
      <charset val="1"/>
    </font>
  </fonts>
  <fills count="9">
    <fill>
      <patternFill patternType="none"/>
    </fill>
    <fill>
      <patternFill patternType="gray125"/>
    </fill>
    <fill>
      <patternFill patternType="solid">
        <fgColor rgb="FFFF0000"/>
        <bgColor rgb="FFFA4C06"/>
      </patternFill>
    </fill>
    <fill>
      <patternFill patternType="solid">
        <fgColor rgb="FFFA4C06"/>
        <bgColor rgb="FF993300"/>
      </patternFill>
    </fill>
    <fill>
      <patternFill patternType="solid">
        <fgColor rgb="FFFFFF00"/>
        <bgColor indexed="64"/>
      </patternFill>
    </fill>
    <fill>
      <patternFill patternType="solid">
        <fgColor theme="4" tint="0.59999389629810485"/>
        <bgColor theme="4" tint="0.59999389629810485"/>
      </patternFill>
    </fill>
    <fill>
      <patternFill patternType="solid">
        <fgColor rgb="FFFF0000"/>
        <bgColor indexed="64"/>
      </patternFill>
    </fill>
    <fill>
      <patternFill patternType="solid">
        <fgColor theme="9" tint="0.59999389629810485"/>
        <bgColor indexed="64"/>
      </patternFill>
    </fill>
    <fill>
      <patternFill patternType="solid">
        <fgColor rgb="FF92D050"/>
        <bgColor indexed="64"/>
      </patternFill>
    </fill>
  </fills>
  <borders count="4">
    <border>
      <left/>
      <right/>
      <top/>
      <bottom/>
      <diagonal/>
    </border>
    <border>
      <left/>
      <right style="thin">
        <color auto="1"/>
      </right>
      <top/>
      <bottom/>
      <diagonal/>
    </border>
    <border>
      <left style="thin">
        <color theme="0"/>
      </left>
      <right style="thin">
        <color theme="0"/>
      </right>
      <top style="thin">
        <color theme="0"/>
      </top>
      <bottom style="thin">
        <color theme="0"/>
      </bottom>
      <diagonal/>
    </border>
    <border>
      <left/>
      <right/>
      <top style="dotted">
        <color auto="1"/>
      </top>
      <bottom style="dotted">
        <color auto="1"/>
      </bottom>
      <diagonal/>
    </border>
  </borders>
  <cellStyleXfs count="3">
    <xf numFmtId="0" fontId="0" fillId="0" borderId="0"/>
    <xf numFmtId="165" fontId="1" fillId="0" borderId="0"/>
    <xf numFmtId="43" fontId="6" fillId="0" borderId="0" applyFont="0" applyFill="0" applyBorder="0" applyAlignment="0" applyProtection="0"/>
  </cellStyleXfs>
  <cellXfs count="53">
    <xf numFmtId="0" fontId="0" fillId="0" borderId="0" xfId="0"/>
    <xf numFmtId="0" fontId="2" fillId="0" borderId="0" xfId="0" applyFont="1"/>
    <xf numFmtId="17" fontId="0" fillId="0" borderId="0" xfId="0" applyNumberFormat="1"/>
    <xf numFmtId="0" fontId="0" fillId="0" borderId="1" xfId="0" applyBorder="1"/>
    <xf numFmtId="10" fontId="0" fillId="0" borderId="0" xfId="0" applyNumberFormat="1"/>
    <xf numFmtId="1" fontId="0" fillId="0" borderId="0" xfId="0" applyNumberFormat="1"/>
    <xf numFmtId="0" fontId="0" fillId="3" borderId="0" xfId="0" applyFill="1"/>
    <xf numFmtId="1" fontId="0" fillId="3" borderId="0" xfId="0" applyNumberFormat="1" applyFill="1"/>
    <xf numFmtId="1" fontId="0" fillId="2" borderId="0" xfId="0" applyNumberFormat="1" applyFill="1"/>
    <xf numFmtId="164" fontId="0" fillId="0" borderId="0" xfId="0" applyNumberFormat="1"/>
    <xf numFmtId="0" fontId="0" fillId="0" borderId="0" xfId="0" applyAlignment="1">
      <alignment vertical="top" wrapText="1"/>
    </xf>
    <xf numFmtId="0" fontId="3" fillId="0" borderId="0" xfId="0" applyFont="1" applyAlignment="1">
      <alignment wrapText="1"/>
    </xf>
    <xf numFmtId="0" fontId="0" fillId="4" borderId="0" xfId="0" applyFill="1"/>
    <xf numFmtId="0" fontId="2" fillId="4" borderId="0" xfId="0" applyFont="1" applyFill="1"/>
    <xf numFmtId="3" fontId="0" fillId="0" borderId="0" xfId="0" applyNumberFormat="1"/>
    <xf numFmtId="0" fontId="5" fillId="0" borderId="0" xfId="0" applyFont="1"/>
    <xf numFmtId="0" fontId="2" fillId="0" borderId="0" xfId="0" applyFont="1" applyAlignment="1">
      <alignment horizontal="left"/>
    </xf>
    <xf numFmtId="0" fontId="0" fillId="0" borderId="0" xfId="0" applyAlignment="1">
      <alignment horizontal="left"/>
    </xf>
    <xf numFmtId="166" fontId="2" fillId="0" borderId="0" xfId="0" applyNumberFormat="1" applyFont="1" applyAlignment="1">
      <alignment horizontal="left"/>
    </xf>
    <xf numFmtId="166" fontId="0" fillId="0" borderId="0" xfId="0" applyNumberFormat="1" applyAlignment="1">
      <alignment horizontal="left"/>
    </xf>
    <xf numFmtId="167" fontId="0" fillId="0" borderId="0" xfId="0" applyNumberFormat="1"/>
    <xf numFmtId="0" fontId="0" fillId="6" borderId="0" xfId="0" applyFill="1"/>
    <xf numFmtId="164" fontId="0" fillId="6" borderId="0" xfId="0" applyNumberFormat="1" applyFill="1"/>
    <xf numFmtId="167" fontId="0" fillId="6" borderId="0" xfId="0" applyNumberFormat="1" applyFill="1"/>
    <xf numFmtId="3" fontId="0" fillId="6" borderId="0" xfId="0" applyNumberFormat="1" applyFill="1"/>
    <xf numFmtId="1" fontId="0" fillId="6" borderId="0" xfId="0" applyNumberFormat="1" applyFill="1"/>
    <xf numFmtId="0" fontId="2" fillId="7" borderId="0" xfId="0" applyFont="1" applyFill="1"/>
    <xf numFmtId="0" fontId="0" fillId="7" borderId="0" xfId="0" applyFill="1"/>
    <xf numFmtId="164" fontId="0" fillId="7" borderId="0" xfId="0" applyNumberFormat="1" applyFill="1"/>
    <xf numFmtId="167" fontId="0" fillId="7" borderId="0" xfId="0" applyNumberFormat="1" applyFill="1"/>
    <xf numFmtId="3" fontId="0" fillId="7" borderId="0" xfId="0" applyNumberFormat="1" applyFill="1"/>
    <xf numFmtId="1" fontId="0" fillId="7" borderId="0" xfId="0" applyNumberFormat="1" applyFill="1"/>
    <xf numFmtId="0" fontId="0" fillId="0" borderId="0" xfId="0" applyAlignment="1">
      <alignment wrapText="1"/>
    </xf>
    <xf numFmtId="168" fontId="7" fillId="0" borderId="3" xfId="2" applyNumberFormat="1" applyFont="1" applyFill="1" applyBorder="1"/>
    <xf numFmtId="43" fontId="0" fillId="0" borderId="0" xfId="2" applyFont="1" applyFill="1"/>
    <xf numFmtId="0" fontId="2" fillId="8" borderId="0" xfId="0" applyFont="1" applyFill="1"/>
    <xf numFmtId="0" fontId="0" fillId="8" borderId="0" xfId="0" applyFill="1"/>
    <xf numFmtId="164" fontId="0" fillId="8" borderId="0" xfId="0" applyNumberFormat="1" applyFill="1"/>
    <xf numFmtId="167" fontId="0" fillId="8" borderId="0" xfId="0" applyNumberFormat="1" applyFill="1"/>
    <xf numFmtId="3" fontId="0" fillId="8" borderId="0" xfId="0" applyNumberFormat="1" applyFill="1"/>
    <xf numFmtId="1" fontId="0" fillId="8" borderId="0" xfId="0" applyNumberFormat="1" applyFill="1"/>
    <xf numFmtId="16" fontId="0" fillId="0" borderId="0" xfId="0" applyNumberFormat="1"/>
    <xf numFmtId="17" fontId="0" fillId="4" borderId="0" xfId="0" applyNumberFormat="1" applyFill="1"/>
    <xf numFmtId="164" fontId="0" fillId="4" borderId="0" xfId="0" applyNumberFormat="1" applyFill="1"/>
    <xf numFmtId="0" fontId="0" fillId="5" borderId="0" xfId="0" applyFill="1" applyAlignment="1">
      <alignment vertical="top" wrapText="1"/>
    </xf>
    <xf numFmtId="0" fontId="0" fillId="0" borderId="2" xfId="0" applyBorder="1"/>
    <xf numFmtId="169" fontId="0" fillId="0" borderId="0" xfId="2" applyNumberFormat="1" applyFont="1"/>
    <xf numFmtId="2" fontId="0" fillId="0" borderId="0" xfId="0" applyNumberFormat="1"/>
    <xf numFmtId="15" fontId="0" fillId="0" borderId="0" xfId="0" applyNumberFormat="1"/>
    <xf numFmtId="170" fontId="0" fillId="0" borderId="0" xfId="0" applyNumberFormat="1"/>
    <xf numFmtId="164" fontId="10" fillId="0" borderId="0" xfId="0" applyNumberFormat="1" applyFont="1"/>
    <xf numFmtId="0" fontId="11" fillId="0" borderId="0" xfId="0" applyFont="1"/>
    <xf numFmtId="171" fontId="0" fillId="0" borderId="0" xfId="0" applyNumberFormat="1"/>
  </cellXfs>
  <cellStyles count="3">
    <cellStyle name="Comma" xfId="2" builtinId="3"/>
    <cellStyle name="Normal" xfId="0" builtinId="0"/>
    <cellStyle name="Valuta 2" xfId="1" xr:uid="{00000000-0005-0000-0000-000001000000}"/>
  </cellStyles>
  <dxfs count="16">
    <dxf>
      <numFmt numFmtId="22" formatCode="mmm\-yy"/>
    </dxf>
    <dxf>
      <numFmt numFmtId="22" formatCode="mmm\-yy"/>
    </dxf>
    <dxf>
      <numFmt numFmtId="22" formatCode="mmm\-yy"/>
    </dxf>
    <dxf>
      <numFmt numFmtId="22" formatCode="mmm\-yy"/>
    </dxf>
    <dxf>
      <numFmt numFmtId="3" formatCode="#,##0"/>
    </dxf>
    <dxf>
      <numFmt numFmtId="3" formatCode="#,##0"/>
    </dxf>
    <dxf>
      <numFmt numFmtId="3" formatCode="#,##0"/>
    </dxf>
    <dxf>
      <numFmt numFmtId="3" formatCode="#,##0"/>
    </dxf>
    <dxf>
      <numFmt numFmtId="1" formatCode="0"/>
    </dxf>
    <dxf>
      <numFmt numFmtId="1" formatCode="0"/>
    </dxf>
    <dxf>
      <numFmt numFmtId="3" formatCode="#,##0"/>
    </dxf>
    <dxf>
      <numFmt numFmtId="167" formatCode="0.0"/>
    </dxf>
    <dxf>
      <numFmt numFmtId="164" formatCode="0.0%"/>
    </dxf>
    <dxf>
      <font>
        <b/>
        <i val="0"/>
        <strike val="0"/>
        <condense val="0"/>
        <extend val="0"/>
        <outline val="0"/>
        <shadow val="0"/>
        <u val="none"/>
        <vertAlign val="baseline"/>
        <sz val="11"/>
        <color theme="1"/>
        <name val="Calibri"/>
        <family val="2"/>
        <scheme val="none"/>
      </font>
    </dxf>
    <dxf>
      <numFmt numFmtId="0" formatCode="General"/>
    </dxf>
    <dxf>
      <alignment horizontal="left"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A4C06"/>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83" totalsRowShown="0">
  <autoFilter ref="A1:Z83" xr:uid="{00000000-000C-0000-FFFF-FFFF00000000}"/>
  <sortState xmlns:xlrd2="http://schemas.microsoft.com/office/spreadsheetml/2017/richdata2" ref="A2:Y82">
    <sortCondition ref="A1:A82"/>
  </sortState>
  <tableColumns count="26">
    <tableColumn id="1" xr3:uid="{00000000-0010-0000-0000-000001000000}" name="Site Name "/>
    <tableColumn id="2" xr3:uid="{00000000-0010-0000-0000-000002000000}" name="PV Capacity (W)"/>
    <tableColumn id="3" xr3:uid="{00000000-0010-0000-0000-000003000000}" name="PV Inverter Size (kW)"/>
    <tableColumn id="4" xr3:uid="{00000000-0010-0000-0000-000004000000}" name="Battery Size (Wh)"/>
    <tableColumn id="5" xr3:uid="{00000000-0010-0000-0000-000005000000}" name="Battery Name "/>
    <tableColumn id="6" xr3:uid="{00000000-0010-0000-0000-000006000000}" name="Battery Inverter/Hybrid Size"/>
    <tableColumn id="7" xr3:uid="{00000000-0010-0000-0000-000007000000}" name="Generator  Size"/>
    <tableColumn id="8" xr3:uid="{00000000-0010-0000-0000-000008000000}" name="Genset/Grid set point kit"/>
    <tableColumn id="22" xr3:uid="{00000000-0010-0000-0000-000016000000}" name="Country "/>
    <tableColumn id="9" xr3:uid="{00000000-0010-0000-0000-000009000000}" name="Province"/>
    <tableColumn id="10" xr3:uid="{00000000-0010-0000-0000-00000A000000}" name="Location "/>
    <tableColumn id="11" xr3:uid="{00000000-0010-0000-0000-00000B000000}" name="Meter"/>
    <tableColumn id="12" xr3:uid="{00000000-0010-0000-0000-00000C000000}" name="Contract Type"/>
    <tableColumn id="13" xr3:uid="{00000000-0010-0000-0000-00000D000000}" name="Business Type"/>
    <tableColumn id="14" xr3:uid="{00000000-0010-0000-0000-00000E000000}" name="Operational Satus"/>
    <tableColumn id="15" xr3:uid="{00000000-0010-0000-0000-00000F000000}" name="Sales Type "/>
    <tableColumn id="16" xr3:uid="{00000000-0010-0000-0000-000010000000}" name="Investment Party"/>
    <tableColumn id="17" xr3:uid="{00000000-0010-0000-0000-000011000000}" name="Project Number"/>
    <tableColumn id="18" xr3:uid="{00000000-0010-0000-0000-000012000000}" name="Commisioned Date" dataDxfId="15"/>
    <tableColumn id="19" xr3:uid="{00000000-0010-0000-0000-000013000000}" name="Installer Name "/>
    <tableColumn id="20" xr3:uid="{00000000-0010-0000-0000-000014000000}" name="Platform"/>
    <tableColumn id="21" xr3:uid="{33A964E8-4591-44FC-81F0-22247DFE6782}" name="Offtake Guarantee"/>
    <tableColumn id="23" xr3:uid="{178183E1-2E8D-4626-95E4-D5064E0AD5F0}" name="Age" dataDxfId="14">
      <calculatedColumnFormula>IF(ISNUMBER(S2),(TODAY()-S2)/365.25,"")</calculatedColumnFormula>
    </tableColumn>
    <tableColumn id="24" xr3:uid="{84D960D5-BA58-48E6-953B-EC2032022D73}" name="Soiling Intensity"/>
    <tableColumn id="25" xr3:uid="{C9261493-CB3A-4FCD-8445-AB87B9440EC1}" name="Shading"/>
    <tableColumn id="26" xr3:uid="{608B2AA4-3FB3-4D63-9397-AB21B6AA17EF}" name="Power Limi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M79" totalsRowShown="0">
  <autoFilter ref="A1:M79" xr:uid="{00000000-0009-0000-0100-000003000000}"/>
  <tableColumns count="13">
    <tableColumn id="1" xr3:uid="{00000000-0010-0000-0200-000001000000}" name="Site Name "/>
    <tableColumn id="2" xr3:uid="{00000000-0010-0000-0200-000002000000}" name="Jan"/>
    <tableColumn id="3" xr3:uid="{00000000-0010-0000-0200-000003000000}" name="Feb"/>
    <tableColumn id="4" xr3:uid="{00000000-0010-0000-0200-000004000000}" name="Mar"/>
    <tableColumn id="5" xr3:uid="{00000000-0010-0000-0200-000005000000}" name="Apr"/>
    <tableColumn id="6" xr3:uid="{00000000-0010-0000-0200-000006000000}" name="May"/>
    <tableColumn id="7" xr3:uid="{00000000-0010-0000-0200-000007000000}" name="Jun"/>
    <tableColumn id="8" xr3:uid="{00000000-0010-0000-0200-000008000000}" name="Jul"/>
    <tableColumn id="9" xr3:uid="{00000000-0010-0000-0200-000009000000}" name="Aug"/>
    <tableColumn id="10" xr3:uid="{00000000-0010-0000-0200-00000A000000}" name="Sep"/>
    <tableColumn id="11" xr3:uid="{00000000-0010-0000-0200-00000B000000}" name="Oct"/>
    <tableColumn id="12" xr3:uid="{00000000-0010-0000-0200-00000C000000}" name="Nov"/>
    <tableColumn id="13" xr3:uid="{00000000-0010-0000-0200-00000D000000}" name="Dec"/>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EEF87-A1EC-45C3-B7B6-FC940DBD1B9E}" name="Table2" displayName="Table2" ref="A1:L24" totalsRowShown="0" headerRowDxfId="13">
  <autoFilter ref="A1:L24" xr:uid="{FFDEEF87-A1EC-45C3-B7B6-FC940DBD1B9E}"/>
  <tableColumns count="12">
    <tableColumn id="1" xr3:uid="{BA77AA4E-9DE9-4B39-9A66-985E8DC66078}" name="Site Name"/>
    <tableColumn id="2" xr3:uid="{078C9B39-2DBE-4E00-AA4B-6FEE33737354}" name="Offtake Guarantee"/>
    <tableColumn id="3" xr3:uid="{12002FA2-F79A-46C4-A001-A041D4269216}" name="Expected Utilisation%" dataDxfId="12">
      <calculatedColumnFormula array="1">IFERROR(INDEX('Expected Production'!$B$2:$B$79,MATCH(TRIM($A2),INDEX(TRIM('Expected Production'!$A$2:$A$79),0),0)),"Not found")</calculatedColumnFormula>
    </tableColumn>
    <tableColumn id="13" xr3:uid="{8104C470-3726-4704-8062-56A3F77C5887}" name="Age" dataDxfId="11">
      <calculatedColumnFormula array="1">_xlfn.IFNA(_xlfn.XLOOKUP(TRIM(A2),TRIM(site_tech_info!$A$2:$A$79),site_tech_info!$W$2:$W$79),"")</calculatedColumnFormula>
    </tableColumn>
    <tableColumn id="5" xr3:uid="{5CDB8975-4633-444F-A2A3-86921149ABC6}" name="As-Built kWh" dataDxfId="10">
      <calculatedColumnFormula array="1">IFERROR(SUM(INDEX('Simulated Production'!$B$2:$M$79,MATCH(TRIM($A2),INDEX(TRIM('Simulated Production'!$A$2:$A$79),0),0),0)),"Not found")</calculatedColumnFormula>
    </tableColumn>
    <tableColumn id="6" xr3:uid="{9411D1CF-D195-4EB2-B5CC-6A6DDABFDFBF}" name="Guaranteed Generation (kWh)" dataDxfId="9">
      <calculatedColumnFormula>(Table2[[#This Row],[As-Built kWh]]*Table2[[#This Row],[Expected Utilisation%]])*(1-0.007)^(Table2[[#This Row],[Age]])</calculatedColumnFormula>
    </tableColumn>
    <tableColumn id="7" xr3:uid="{E5EE1C6E-29BD-4B62-A08A-2B20A22AB1CE}" name="Unavailability kWh" dataDxfId="8"/>
    <tableColumn id="8" xr3:uid="{669A1871-958D-42FB-84C1-6EF903BC020E}" name="Correct kWh" dataDxfId="7">
      <calculatedColumnFormula>F2-G2</calculatedColumnFormula>
    </tableColumn>
    <tableColumn id="9" xr3:uid="{1B81CD85-F3BF-495A-AE3C-95AF0C51FA3B}" name="Actual Generation (kWh)" dataDxfId="6">
      <calculatedColumnFormula array="1">SUMPRODUCT((TRIM(measured[Site Name])=TRIM($A2))*(measured[Date]&gt;=DATE(2025,7,1))*(measured[Date]&lt;=DATE(2026,6,30))*measured[Measured Value (kWh)])</calculatedColumnFormula>
    </tableColumn>
    <tableColumn id="10" xr3:uid="{6A7719DF-ACA5-460E-82C4-665ED3FB49E3}" name="Shortfall (kWh)" dataDxfId="5">
      <calculatedColumnFormula>I2-H2</calculatedColumnFormula>
    </tableColumn>
    <tableColumn id="12" xr3:uid="{9328A0B8-C03E-4D3E-8642-11E7F2830AAA}" name="Performance Rate" dataDxfId="4">
      <calculatedColumnFormula>(Table2[[#This Row],[Actual Generation (kWh)]]/Table2[[#This Row],[Correct kWh]])*100</calculatedColumnFormula>
    </tableColumn>
    <tableColumn id="11" xr3:uid="{C2AEA9A5-D33D-4B22-BC5A-02775FAEE2B1}"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asured" displayName="measured" ref="A1:C2722" totalsRowShown="0">
  <autoFilter ref="A1:C2722" xr:uid="{00000000-0009-0000-0100-000006000000}">
    <filterColumn colId="1">
      <filters>
        <dateGroupItem year="2026" month="9" dateTimeGrouping="month"/>
      </filters>
    </filterColumn>
  </autoFilter>
  <sortState xmlns:xlrd2="http://schemas.microsoft.com/office/spreadsheetml/2017/richdata2" ref="A32:C2708">
    <sortCondition ref="A1:A2708"/>
  </sortState>
  <tableColumns count="3">
    <tableColumn id="1" xr3:uid="{00000000-0010-0000-0500-000001000000}" name="Site Name"/>
    <tableColumn id="2" xr3:uid="{00000000-0010-0000-0500-000002000000}" name="Date"/>
    <tableColumn id="3" xr3:uid="{00000000-0010-0000-0500-000003000000}" name="Measured Value (kWh)"/>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N79" totalsRowShown="0">
  <autoFilter ref="A1:N79" xr:uid="{00000000-0009-0000-0100-000004000000}"/>
  <tableColumns count="14">
    <tableColumn id="1" xr3:uid="{00000000-0010-0000-0300-000001000000}" name="Site Name "/>
    <tableColumn id="2" xr3:uid="{00000000-0010-0000-0300-000002000000}" name="Expected Utilisation%"/>
    <tableColumn id="3" xr3:uid="{00000000-0010-0000-0300-000003000000}" name="Jan"/>
    <tableColumn id="4" xr3:uid="{00000000-0010-0000-0300-000004000000}" name="Feb"/>
    <tableColumn id="5" xr3:uid="{00000000-0010-0000-0300-000005000000}" name="Mar"/>
    <tableColumn id="6" xr3:uid="{00000000-0010-0000-0300-000006000000}" name="Apr"/>
    <tableColumn id="7" xr3:uid="{00000000-0010-0000-0300-000007000000}" name="May"/>
    <tableColumn id="8" xr3:uid="{00000000-0010-0000-0300-000008000000}" name="Jun"/>
    <tableColumn id="9" xr3:uid="{00000000-0010-0000-0300-000009000000}" name="Jul"/>
    <tableColumn id="10" xr3:uid="{00000000-0010-0000-0300-00000A000000}" name="Aug"/>
    <tableColumn id="11" xr3:uid="{00000000-0010-0000-0300-00000B000000}" name="Sep"/>
    <tableColumn id="12" xr3:uid="{00000000-0010-0000-0300-00000C000000}" name="Oct"/>
    <tableColumn id="13" xr3:uid="{00000000-0010-0000-0300-00000D000000}" name="Nov"/>
    <tableColumn id="14" xr3:uid="{00000000-0010-0000-0300-00000E000000}" name="Dec"/>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cted_production" displayName="expected_production" ref="A1:G2780" totalsRowShown="0">
  <autoFilter ref="A1:G2780" xr:uid="{00000000-0009-0000-0100-000005000000}">
    <filterColumn colId="0">
      <filters>
        <filter val="Beyerskloof"/>
      </filters>
    </filterColumn>
    <filterColumn colId="1">
      <filters>
        <dateGroupItem year="2026" month="9" dateTimeGrouping="month"/>
      </filters>
    </filterColumn>
  </autoFilter>
  <tableColumns count="7">
    <tableColumn id="1" xr3:uid="{00000000-0010-0000-0400-000001000000}" name="Site Name"/>
    <tableColumn id="2" xr3:uid="{00000000-0010-0000-0400-000002000000}" name="Date"/>
    <tableColumn id="4" xr3:uid="{008CA2A7-302C-4F22-86BD-4C901A176512}" name="Base Expected (kWh)" dataDxfId="3"/>
    <tableColumn id="5" xr3:uid="{E08F9DF0-6959-4867-8607-919871937B17}" name="Commissioned Date" dataDxfId="2">
      <calculatedColumnFormula>_xlfn.XLOOKUP(expected_production[[#This Row],[Site Name]],Table1[[Site Name ]],Table1[Commisioned Date],"")</calculatedColumnFormula>
    </tableColumn>
    <tableColumn id="6" xr3:uid="{C7DB44FF-2B04-4F1C-A223-C767C8B337DE}" name="Age (yrs)" dataDxfId="1">
      <calculatedColumnFormula>IF(ISNUMBER(expected_production[[#This Row],[Commissioned Date]]),MAX(0,(expected_production[[#This Row],[Date]]-expected_production[[#This Row],[Commissioned Date]])/365.25),"")</calculatedColumnFormula>
    </tableColumn>
    <tableColumn id="7" xr3:uid="{9507671A-983A-469F-AD24-86B77C234BC2}" name="Degradation Factor" dataDxfId="0">
      <calculatedColumnFormula>IF(expected_production[[#This Row],[Age (yrs)]]="",1,(1-DegradationRate)^expected_production[[#This Row],[Age (yrs)]])</calculatedColumnFormula>
    </tableColumn>
    <tableColumn id="3" xr3:uid="{00000000-0010-0000-0400-000003000000}" name="Expected Production (kWh)"/>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erformance_long" displayName="Performance_long" ref="A1:G2779" totalsRowShown="0">
  <autoFilter ref="A1:G2779" xr:uid="{00000000-0009-0000-0100-000007000000}">
    <filterColumn colId="1">
      <filters>
        <dateGroupItem year="2026" month="9" dateTimeGrouping="month"/>
      </filters>
    </filterColumn>
  </autoFilter>
  <sortState xmlns:xlrd2="http://schemas.microsoft.com/office/spreadsheetml/2017/richdata2" ref="A214:G2776">
    <sortCondition ref="E1:E2779"/>
  </sortState>
  <tableColumns count="7">
    <tableColumn id="1" xr3:uid="{00000000-0010-0000-0600-000001000000}" name="Site Name"/>
    <tableColumn id="2" xr3:uid="{00000000-0010-0000-0600-000002000000}" name="Date"/>
    <tableColumn id="3" xr3:uid="{00000000-0010-0000-0600-000003000000}" name="Measured (kWh)"/>
    <tableColumn id="4" xr3:uid="{00000000-0010-0000-0600-000004000000}" name="Expected (kWh)"/>
    <tableColumn id="5" xr3:uid="{00000000-0010-0000-0600-000005000000}" name="Performance"/>
    <tableColumn id="6" xr3:uid="{00000000-0010-0000-0600-000006000000}" name="PF Band"/>
    <tableColumn id="7" xr3:uid="{D13B0B49-7130-49DC-8E64-229A5D6D829A}" name="Discussio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ments" displayName="Comments" ref="A1:H1890">
  <autoFilter ref="A1:H1890" xr:uid="{00000000-0009-0000-0100-000008000000}">
    <filterColumn colId="1">
      <filters>
        <dateGroupItem year="2026" month="9" dateTimeGrouping="month"/>
      </filters>
    </filterColumn>
  </autoFilter>
  <sortState xmlns:xlrd2="http://schemas.microsoft.com/office/spreadsheetml/2017/richdata2" ref="A246:H1890">
    <sortCondition ref="A1:A1890"/>
  </sortState>
  <tableColumns count="8">
    <tableColumn id="1" xr3:uid="{00000000-0010-0000-0700-000001000000}" name="Site Name"/>
    <tableColumn id="2" xr3:uid="{00000000-0010-0000-0700-000002000000}" name="Date"/>
    <tableColumn id="3" xr3:uid="{00000000-0010-0000-0700-000003000000}" name="Availability "/>
    <tableColumn id="4" xr3:uid="{56B313B3-8A2F-4C3B-8E61-4EB9229C4132}" name="Downtime (days)"/>
    <tableColumn id="5" xr3:uid="{393B8D49-D766-4413-BC8F-A9F5854A174D}" name="Cause of downtime "/>
    <tableColumn id="6" xr3:uid="{29E50DE0-04C6-4672-A810-5E08F39A4395}" name="Technical Events "/>
    <tableColumn id="7" xr3:uid="{7A229147-D5E3-44E7-BD9C-37FD19F6C444}" name="Energy Impact"/>
    <tableColumn id="8" xr3:uid="{90F918EA-BDAF-4B83-A251-43A179A62785}" name="Other 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BC9AEFD-C863-4FA1-A2EF-139103AFBB03}">
  <we:reference id="WA200000095" version="2.1.1.0" store="Omex" storeType="OMEX"/>
  <we:alternateReferences>
    <we:reference id="WA200000095" version="2.1.1.0" store="WA20000009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_xldudf_SCOTT_DESC</we:customFunctionIds>
        <we:customFunctionIds>_xldudf_SCOTT_GL</we:customFunctionIds>
        <we:customFunctionIds>_xldudf_SCOTT_NGL</we:customFunctionIds>
        <we:customFunctionIds>_xldudf_SCOTT_COMRANGE</we:customFunctionIds>
        <we:customFunctionIds>_xldudf_SCOTT_CHART</we:customFunctionIds>
        <we:customFunctionIds>_xldudf_SCOTT_LIST</we:customFunctionIds>
        <we:customFunctionIds>_xldudf_SCOTT_GLMULTI</we:customFunctionIds>
        <we:customFunctionIds>_xldudf_SCOTT_BUDGET</we:customFunctionIds>
        <we:customFunctionIds>_xldudf_SCOTT_BUDGETR</we:customFunctionIds>
        <we:customFunctionIds>_xldudf_SCOTT_BUDGETMULTI</we:customFunctionIds>
        <we:customFunctionIds>_xldudf_SCOTT_QUERY</we:customFunctionIds>
        <we:customFunctionIds>_xldudf_SCOTT_TRACK</we:customFunctionIds>
        <we:customFunctionIds>_xldudf_SCOTT_TRACKR</we:customFunctionIds>
        <we:customFunctionIds>_xldudf_SCOTT_TRACKM</we:customFunctionIds>
        <we:customFunctionIds>_xldudf_SCOTT_GLMULTITRACK</we:customFunctionIds>
        <we:customFunctionIds>_xldudf_SCOTT_XNI</we:customFunctionIds>
        <we:customFunctionIds>_xldudf_SCOTT_XINVOICE</we:customFunctionIds>
        <we:customFunctionIds>_xldudf_SCOTT_XINVOICE_HEADER</we:customFunctionIds>
        <we:customFunctionIds>_xldudf_SCOTT_XINVOICE_SUM</we:customFunctionIds>
        <we:customFunctionIds>_xldudf_SCOTT_XBILL</we:customFunctionIds>
        <we:customFunctionIds>_xldudf_SCOTT_XBILL_HEADER</we:customFunctionIds>
        <we:customFunctionIds>_xldudf_SCOTT_XBILL_SUM</we:customFunctionIds>
        <we:customFunctionIds>_xldudf_SCOTT_XPAYMENT</we:customFunctionIds>
        <we:customFunctionIds>_xldudf_SCOTT_XGLTRX</we:customFunctionIds>
        <we:customFunctionIds>_xldudf_SCOTT_QCLASS</we:customFunctionIds>
        <we:customFunctionIds>_xldudf_SCOTT_QCLASSR</we:customFunctionIds>
        <we:customFunctionIds>_xldudf_SCOTT_QDEPT</we:customFunctionIds>
        <we:customFunctionIds>_xldudf_SCOTT_QDEPTR</we:customFunctionIds>
        <we:customFunctionIds>_xldudf_SCOTT_QCLASS_DEPT</we:customFunctionIds>
        <we:customFunctionIds>_xldudf_SCOTT_QCUSTOMER</we:customFunctionIds>
        <we:customFunctionIds>_xldudf_SCOTT_QVENDOR</we:customFunctionIds>
        <we:customFunctionIds>_xldudf_SCOTT_QBUDGETALL</we:customFunctionIds>
        <we:customFunctionIds>_xldudf_SCOTT_QBUDGETALLR</we:customFunctionIds>
        <we:customFunctionIds>_xldudf_SCOTT_QBUDGETALLMULTI</we:customFunctionIds>
        <we:customFunctionIds>_xldudf_SCOTT_QALL</we:customFunctionIds>
        <we:customFunctionIds>_xldudf_SCOTT_QALLR</we:customFunctionIds>
        <we:customFunctionIds>_xldudf_SCOTT_QALLMULTI</we:customFunctionIds>
        <we:customFunctionIds>_xldudf_SCOTT_QNI</we:customFunctionIds>
      </we:customFunctionIdList>
    </a:ext>
  </we:extLst>
</we:webextension>
</file>

<file path=xl/webextensions/webextension2.xml><?xml version="1.0" encoding="utf-8"?>
<we:webextension xmlns:we="http://schemas.microsoft.com/office/webextensions/webextension/2010/11" id="{F0120BF1-C934-4248-B710-8219B3FAFD0D}">
  <we:reference id="wa200010725" version="1.0.0.1" store="en-US" storeType="OMEX"/>
  <we:alternateReferences>
    <we:reference id="WA200010725" version="1.0.0.1" store="WA200010725" storeType="OMEX"/>
  </we:alternateReferences>
  <we:properties>
    <we:property name="claude.fileId" value="&quot;af138e28-074d-4dd7-a68d-d5fed946a9d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8"/>
  <sheetViews>
    <sheetView tabSelected="1" zoomScale="98" zoomScaleNormal="98" workbookViewId="0">
      <pane xSplit="1" ySplit="1" topLeftCell="B64" activePane="bottomRight" state="frozen"/>
      <selection pane="topRight" activeCell="B1" sqref="B1"/>
      <selection pane="bottomLeft" activeCell="A2" sqref="A2"/>
      <selection pane="bottomRight" activeCell="B87" sqref="B87"/>
    </sheetView>
  </sheetViews>
  <sheetFormatPr defaultColWidth="8.6640625" defaultRowHeight="14.4" x14ac:dyDescent="0.3"/>
  <cols>
    <col min="1" max="1" width="28.5546875" customWidth="1"/>
    <col min="2" max="2" width="17.44140625" bestFit="1" customWidth="1"/>
    <col min="3" max="3" width="20.6640625" bestFit="1" customWidth="1"/>
    <col min="4" max="4" width="18.44140625" bestFit="1" customWidth="1"/>
    <col min="5" max="5" width="15.33203125" bestFit="1" customWidth="1"/>
    <col min="6" max="6" width="26.5546875" bestFit="1" customWidth="1"/>
    <col min="7" max="7" width="16" bestFit="1" customWidth="1"/>
    <col min="8" max="8" width="23.6640625" bestFit="1" customWidth="1"/>
    <col min="9" max="9" width="23.33203125" customWidth="1"/>
    <col min="10" max="10" width="13.109375" customWidth="1"/>
    <col min="11" max="11" width="73.6640625" customWidth="1"/>
    <col min="12" max="12" width="12.6640625" customWidth="1"/>
    <col min="13" max="14" width="15" customWidth="1"/>
    <col min="15" max="15" width="21.6640625" customWidth="1"/>
    <col min="16" max="16" width="15" customWidth="1"/>
    <col min="17" max="17" width="17.88671875" customWidth="1"/>
    <col min="18" max="18" width="16.44140625" customWidth="1"/>
    <col min="19" max="19" width="19.109375" style="17" customWidth="1"/>
    <col min="20" max="20" width="16" customWidth="1"/>
    <col min="21" max="21" width="22" customWidth="1"/>
    <col min="22" max="22" width="24.6640625" customWidth="1"/>
    <col min="23" max="23" width="13.44140625" customWidth="1"/>
    <col min="24" max="24" width="16.33203125" bestFit="1" customWidth="1"/>
    <col min="25" max="25" width="16.44140625" customWidth="1"/>
    <col min="26" max="26" width="12.88671875" bestFit="1" customWidth="1"/>
  </cols>
  <sheetData>
    <row r="1" spans="1:26" x14ac:dyDescent="0.3">
      <c r="A1" s="1" t="s">
        <v>0</v>
      </c>
      <c r="B1" s="1" t="s">
        <v>869</v>
      </c>
      <c r="C1" s="1" t="s">
        <v>1</v>
      </c>
      <c r="D1" s="1" t="s">
        <v>870</v>
      </c>
      <c r="E1" s="1" t="s">
        <v>2</v>
      </c>
      <c r="F1" s="1" t="s">
        <v>3</v>
      </c>
      <c r="G1" s="1" t="s">
        <v>4</v>
      </c>
      <c r="H1" s="1" t="s">
        <v>5</v>
      </c>
      <c r="I1" s="1" t="s">
        <v>6</v>
      </c>
      <c r="J1" s="1" t="s">
        <v>7</v>
      </c>
      <c r="K1" s="1" t="s">
        <v>8</v>
      </c>
      <c r="L1" s="1" t="s">
        <v>9</v>
      </c>
      <c r="M1" s="1" t="s">
        <v>10</v>
      </c>
      <c r="N1" s="1" t="s">
        <v>11</v>
      </c>
      <c r="O1" s="1" t="s">
        <v>12</v>
      </c>
      <c r="P1" s="1" t="s">
        <v>13</v>
      </c>
      <c r="Q1" s="1" t="s">
        <v>14</v>
      </c>
      <c r="R1" s="1" t="s">
        <v>15</v>
      </c>
      <c r="S1" s="16" t="s">
        <v>16</v>
      </c>
      <c r="T1" s="1" t="s">
        <v>17</v>
      </c>
      <c r="U1" s="1" t="s">
        <v>18</v>
      </c>
      <c r="V1" t="s">
        <v>873</v>
      </c>
      <c r="W1" t="s">
        <v>878</v>
      </c>
      <c r="X1" t="s">
        <v>999</v>
      </c>
      <c r="Y1" t="s">
        <v>1010</v>
      </c>
      <c r="Z1" t="s">
        <v>1091</v>
      </c>
    </row>
    <row r="2" spans="1:26" ht="14.25" customHeight="1" x14ac:dyDescent="0.3">
      <c r="A2" s="1" t="s">
        <v>31</v>
      </c>
      <c r="B2" s="1">
        <v>14000</v>
      </c>
      <c r="C2" s="1">
        <v>36</v>
      </c>
      <c r="D2" s="1">
        <v>35808</v>
      </c>
      <c r="E2" s="1" t="s">
        <v>21</v>
      </c>
      <c r="F2" s="1" t="s">
        <v>32</v>
      </c>
      <c r="G2" s="1" t="s">
        <v>33</v>
      </c>
      <c r="H2" s="1" t="s">
        <v>33</v>
      </c>
      <c r="I2" s="1" t="s">
        <v>23</v>
      </c>
      <c r="J2" s="1" t="s">
        <v>34</v>
      </c>
      <c r="K2" s="1" t="s">
        <v>35</v>
      </c>
      <c r="L2" s="1" t="s">
        <v>36</v>
      </c>
      <c r="M2" s="1" t="s">
        <v>37</v>
      </c>
      <c r="N2" s="1" t="s">
        <v>38</v>
      </c>
      <c r="O2" s="1" t="s">
        <v>39</v>
      </c>
      <c r="P2" s="1"/>
      <c r="Q2" s="1" t="s">
        <v>40</v>
      </c>
      <c r="R2" s="1" t="s">
        <v>41</v>
      </c>
      <c r="S2" s="18">
        <v>44963</v>
      </c>
      <c r="T2" s="1" t="s">
        <v>42</v>
      </c>
      <c r="U2" s="1" t="s">
        <v>21</v>
      </c>
      <c r="V2" t="s">
        <v>874</v>
      </c>
      <c r="W2" s="20">
        <f t="shared" ref="W2:W33" ca="1" si="0">IF(ISNUMBER(S2),(TODAY()-S2)/365.25,"")</f>
        <v>3.7207392197125255</v>
      </c>
      <c r="X2" t="s">
        <v>1000</v>
      </c>
      <c r="Y2" t="s">
        <v>1000</v>
      </c>
      <c r="Z2" t="s">
        <v>1092</v>
      </c>
    </row>
    <row r="3" spans="1:26" ht="14.25" customHeight="1" x14ac:dyDescent="0.3">
      <c r="A3" s="1" t="s">
        <v>43</v>
      </c>
      <c r="B3" s="1">
        <v>178000</v>
      </c>
      <c r="C3" s="1">
        <f>2*80</f>
        <v>160</v>
      </c>
      <c r="D3" s="1">
        <v>0</v>
      </c>
      <c r="E3" s="1" t="s">
        <v>36</v>
      </c>
      <c r="F3" s="1" t="s">
        <v>36</v>
      </c>
      <c r="G3" s="1" t="s">
        <v>33</v>
      </c>
      <c r="H3" s="1" t="s">
        <v>33</v>
      </c>
      <c r="I3" s="1" t="s">
        <v>23</v>
      </c>
      <c r="J3" s="1" t="s">
        <v>34</v>
      </c>
      <c r="K3" s="1" t="s">
        <v>44</v>
      </c>
      <c r="L3" s="1" t="s">
        <v>45</v>
      </c>
      <c r="M3" s="1" t="s">
        <v>26</v>
      </c>
      <c r="N3" s="1" t="s">
        <v>46</v>
      </c>
      <c r="O3" s="1" t="s">
        <v>243</v>
      </c>
      <c r="P3" s="1"/>
      <c r="Q3" s="1" t="s">
        <v>29</v>
      </c>
      <c r="R3" s="1" t="s">
        <v>47</v>
      </c>
      <c r="S3" s="18">
        <v>45196</v>
      </c>
      <c r="T3" s="1" t="s">
        <v>42</v>
      </c>
      <c r="U3" s="1" t="s">
        <v>48</v>
      </c>
      <c r="V3" t="s">
        <v>874</v>
      </c>
      <c r="W3" s="20">
        <f t="shared" ca="1" si="0"/>
        <v>3.0828199863107462</v>
      </c>
      <c r="X3" t="s">
        <v>1009</v>
      </c>
      <c r="Y3" t="s">
        <v>1000</v>
      </c>
      <c r="Z3" t="s">
        <v>1092</v>
      </c>
    </row>
    <row r="4" spans="1:26" ht="14.25" customHeight="1" x14ac:dyDescent="0.3">
      <c r="A4" s="1" t="s">
        <v>49</v>
      </c>
      <c r="B4" s="1">
        <v>36000</v>
      </c>
      <c r="C4" s="1">
        <f>1*33</f>
        <v>33</v>
      </c>
      <c r="D4" s="1">
        <v>0</v>
      </c>
      <c r="E4" s="1" t="s">
        <v>36</v>
      </c>
      <c r="F4" s="1" t="s">
        <v>36</v>
      </c>
      <c r="G4" s="1" t="s">
        <v>33</v>
      </c>
      <c r="H4" s="1" t="s">
        <v>33</v>
      </c>
      <c r="I4" s="1" t="s">
        <v>23</v>
      </c>
      <c r="J4" s="1" t="s">
        <v>50</v>
      </c>
      <c r="K4" s="1" t="s">
        <v>51</v>
      </c>
      <c r="L4" s="1" t="s">
        <v>52</v>
      </c>
      <c r="M4" s="1" t="s">
        <v>26</v>
      </c>
      <c r="N4" s="1" t="s">
        <v>38</v>
      </c>
      <c r="O4" s="1" t="s">
        <v>39</v>
      </c>
      <c r="P4" s="1"/>
      <c r="Q4" s="1" t="s">
        <v>53</v>
      </c>
      <c r="R4" s="1" t="s">
        <v>22</v>
      </c>
      <c r="S4" s="18">
        <v>45658</v>
      </c>
      <c r="T4" s="1" t="s">
        <v>42</v>
      </c>
      <c r="U4" s="1" t="s">
        <v>54</v>
      </c>
      <c r="V4" t="s">
        <v>875</v>
      </c>
      <c r="W4" s="20">
        <f t="shared" ca="1" si="0"/>
        <v>1.8179329226557153</v>
      </c>
      <c r="X4" t="s">
        <v>1000</v>
      </c>
      <c r="Y4" t="s">
        <v>1000</v>
      </c>
      <c r="Z4" t="s">
        <v>1092</v>
      </c>
    </row>
    <row r="5" spans="1:26" ht="14.25" customHeight="1" x14ac:dyDescent="0.3">
      <c r="A5" t="s">
        <v>250</v>
      </c>
      <c r="B5">
        <v>217000</v>
      </c>
      <c r="C5">
        <f>2*110</f>
        <v>220</v>
      </c>
      <c r="D5">
        <v>0</v>
      </c>
      <c r="E5" t="s">
        <v>36</v>
      </c>
      <c r="F5" t="s">
        <v>36</v>
      </c>
      <c r="G5" s="1" t="s">
        <v>36</v>
      </c>
      <c r="H5" s="1" t="s">
        <v>36</v>
      </c>
      <c r="I5" s="1" t="s">
        <v>23</v>
      </c>
      <c r="J5" t="s">
        <v>50</v>
      </c>
      <c r="K5" s="1" t="s">
        <v>51</v>
      </c>
      <c r="L5" t="s">
        <v>52</v>
      </c>
      <c r="M5" t="s">
        <v>26</v>
      </c>
      <c r="N5" t="s">
        <v>38</v>
      </c>
      <c r="O5" s="1" t="s">
        <v>243</v>
      </c>
      <c r="Q5" t="s">
        <v>53</v>
      </c>
      <c r="R5" s="1" t="s">
        <v>22</v>
      </c>
      <c r="S5" s="19">
        <v>46140</v>
      </c>
      <c r="T5" t="s">
        <v>42</v>
      </c>
      <c r="U5" s="1" t="s">
        <v>210</v>
      </c>
      <c r="V5" t="s">
        <v>875</v>
      </c>
      <c r="W5" s="20">
        <f t="shared" ca="1" si="0"/>
        <v>0.49828884325804246</v>
      </c>
      <c r="X5" t="s">
        <v>1000</v>
      </c>
      <c r="Y5" t="s">
        <v>1000</v>
      </c>
      <c r="Z5" t="s">
        <v>1092</v>
      </c>
    </row>
    <row r="6" spans="1:26" ht="14.25" customHeight="1" x14ac:dyDescent="0.3">
      <c r="A6" s="1" t="s">
        <v>55</v>
      </c>
      <c r="B6" s="1">
        <v>110000</v>
      </c>
      <c r="C6" s="1">
        <f>1*110</f>
        <v>110</v>
      </c>
      <c r="D6" s="1">
        <v>0</v>
      </c>
      <c r="E6" s="1" t="s">
        <v>36</v>
      </c>
      <c r="F6" s="1" t="s">
        <v>36</v>
      </c>
      <c r="G6" s="1" t="s">
        <v>36</v>
      </c>
      <c r="H6" s="1" t="s">
        <v>36</v>
      </c>
      <c r="I6" s="1" t="s">
        <v>23</v>
      </c>
      <c r="J6" s="1" t="s">
        <v>56</v>
      </c>
      <c r="K6" s="1" t="s">
        <v>57</v>
      </c>
      <c r="L6" s="1" t="s">
        <v>22</v>
      </c>
      <c r="M6" s="1" t="s">
        <v>26</v>
      </c>
      <c r="N6" s="1" t="s">
        <v>58</v>
      </c>
      <c r="O6" s="1" t="s">
        <v>39</v>
      </c>
      <c r="P6" s="1"/>
      <c r="Q6" s="1" t="s">
        <v>40</v>
      </c>
      <c r="R6" s="1" t="s">
        <v>59</v>
      </c>
      <c r="S6" s="18">
        <v>44908</v>
      </c>
      <c r="T6" s="1" t="s">
        <v>42</v>
      </c>
      <c r="U6" s="1" t="s">
        <v>22</v>
      </c>
      <c r="V6" t="s">
        <v>874</v>
      </c>
      <c r="W6" s="20">
        <f t="shared" ca="1" si="0"/>
        <v>3.871321013004791</v>
      </c>
      <c r="X6" t="s">
        <v>1000</v>
      </c>
      <c r="Y6" t="s">
        <v>1008</v>
      </c>
      <c r="Z6" t="s">
        <v>1092</v>
      </c>
    </row>
    <row r="7" spans="1:26" ht="14.25" customHeight="1" x14ac:dyDescent="0.3">
      <c r="A7" s="1" t="s">
        <v>60</v>
      </c>
      <c r="B7" s="1">
        <v>400000</v>
      </c>
      <c r="C7" s="1" t="s">
        <v>22</v>
      </c>
      <c r="D7" s="1">
        <v>0</v>
      </c>
      <c r="E7" s="1" t="s">
        <v>36</v>
      </c>
      <c r="F7" s="1" t="s">
        <v>36</v>
      </c>
      <c r="G7" s="1" t="s">
        <v>22</v>
      </c>
      <c r="H7" s="1" t="s">
        <v>22</v>
      </c>
      <c r="I7" s="1" t="s">
        <v>23</v>
      </c>
      <c r="J7" s="1" t="s">
        <v>56</v>
      </c>
      <c r="K7" s="1" t="s">
        <v>22</v>
      </c>
      <c r="L7" s="1" t="s">
        <v>22</v>
      </c>
      <c r="M7" s="1" t="s">
        <v>26</v>
      </c>
      <c r="N7" s="1" t="s">
        <v>58</v>
      </c>
      <c r="O7" s="1" t="s">
        <v>243</v>
      </c>
      <c r="P7" s="1"/>
      <c r="Q7" s="1" t="s">
        <v>40</v>
      </c>
      <c r="R7" s="1" t="s">
        <v>22</v>
      </c>
      <c r="S7" s="18">
        <v>45272</v>
      </c>
      <c r="T7" s="1" t="s">
        <v>42</v>
      </c>
      <c r="U7" s="1" t="s">
        <v>22</v>
      </c>
      <c r="V7" t="s">
        <v>874</v>
      </c>
      <c r="W7" s="20">
        <f t="shared" ca="1" si="0"/>
        <v>2.8747433264887063</v>
      </c>
      <c r="X7" t="s">
        <v>1000</v>
      </c>
      <c r="Y7" t="s">
        <v>1008</v>
      </c>
      <c r="Z7" t="s">
        <v>1092</v>
      </c>
    </row>
    <row r="8" spans="1:26" ht="14.25" customHeight="1" x14ac:dyDescent="0.3">
      <c r="A8" s="1" t="s">
        <v>61</v>
      </c>
      <c r="B8" s="1">
        <v>78000</v>
      </c>
      <c r="C8" s="1" t="s">
        <v>22</v>
      </c>
      <c r="D8" s="1">
        <v>0</v>
      </c>
      <c r="E8" s="1" t="s">
        <v>36</v>
      </c>
      <c r="F8" s="1" t="s">
        <v>36</v>
      </c>
      <c r="G8" s="1" t="s">
        <v>22</v>
      </c>
      <c r="H8" s="1" t="s">
        <v>22</v>
      </c>
      <c r="I8" s="1" t="s">
        <v>23</v>
      </c>
      <c r="J8" s="1" t="s">
        <v>62</v>
      </c>
      <c r="K8" s="1" t="s">
        <v>63</v>
      </c>
      <c r="L8" s="1" t="s">
        <v>22</v>
      </c>
      <c r="M8" s="1" t="s">
        <v>26</v>
      </c>
      <c r="N8" s="1" t="s">
        <v>46</v>
      </c>
      <c r="O8" s="1" t="s">
        <v>39</v>
      </c>
      <c r="P8" s="1"/>
      <c r="Q8" s="1" t="s">
        <v>29</v>
      </c>
      <c r="R8" s="1" t="s">
        <v>22</v>
      </c>
      <c r="S8" s="18">
        <v>45272</v>
      </c>
      <c r="T8" s="1" t="s">
        <v>871</v>
      </c>
      <c r="U8" s="1" t="s">
        <v>22</v>
      </c>
      <c r="V8" t="s">
        <v>874</v>
      </c>
      <c r="W8" s="20">
        <f t="shared" ca="1" si="0"/>
        <v>2.8747433264887063</v>
      </c>
      <c r="X8" t="s">
        <v>1000</v>
      </c>
      <c r="Y8" t="s">
        <v>1000</v>
      </c>
      <c r="Z8" t="s">
        <v>1092</v>
      </c>
    </row>
    <row r="9" spans="1:26" ht="14.25" customHeight="1" x14ac:dyDescent="0.3">
      <c r="A9" s="1" t="s">
        <v>64</v>
      </c>
      <c r="B9" s="1">
        <v>544000</v>
      </c>
      <c r="C9" s="1">
        <v>50</v>
      </c>
      <c r="D9" s="1">
        <v>0</v>
      </c>
      <c r="E9" s="1" t="s">
        <v>36</v>
      </c>
      <c r="F9" s="1" t="s">
        <v>36</v>
      </c>
      <c r="G9" s="1" t="s">
        <v>36</v>
      </c>
      <c r="H9" s="1" t="s">
        <v>36</v>
      </c>
      <c r="I9" s="1" t="s">
        <v>23</v>
      </c>
      <c r="J9" s="1" t="s">
        <v>24</v>
      </c>
      <c r="K9" s="1" t="s">
        <v>65</v>
      </c>
      <c r="L9" s="1" t="s">
        <v>52</v>
      </c>
      <c r="M9" s="1" t="s">
        <v>37</v>
      </c>
      <c r="N9" s="1" t="s">
        <v>58</v>
      </c>
      <c r="O9" s="1" t="s">
        <v>39</v>
      </c>
      <c r="P9" s="1"/>
      <c r="Q9" s="1" t="s">
        <v>29</v>
      </c>
      <c r="R9" s="1" t="s">
        <v>22</v>
      </c>
      <c r="S9" s="18">
        <v>45610</v>
      </c>
      <c r="T9" s="1" t="s">
        <v>42</v>
      </c>
      <c r="U9" s="1" t="s">
        <v>22</v>
      </c>
      <c r="V9" t="s">
        <v>874</v>
      </c>
      <c r="W9" s="20">
        <f t="shared" ca="1" si="0"/>
        <v>1.9493497604380561</v>
      </c>
      <c r="X9" t="s">
        <v>1000</v>
      </c>
      <c r="Y9" t="s">
        <v>1008</v>
      </c>
      <c r="Z9" t="s">
        <v>1092</v>
      </c>
    </row>
    <row r="10" spans="1:26" ht="14.25" customHeight="1" x14ac:dyDescent="0.3">
      <c r="A10" s="1" t="s">
        <v>66</v>
      </c>
      <c r="B10" s="1">
        <v>15000</v>
      </c>
      <c r="C10" s="1" t="s">
        <v>36</v>
      </c>
      <c r="D10" s="13">
        <v>57200</v>
      </c>
      <c r="E10" s="1" t="s">
        <v>22</v>
      </c>
      <c r="F10" s="1" t="s">
        <v>67</v>
      </c>
      <c r="G10" s="1" t="s">
        <v>36</v>
      </c>
      <c r="H10" s="1" t="s">
        <v>36</v>
      </c>
      <c r="I10" s="1" t="s">
        <v>23</v>
      </c>
      <c r="J10" s="1" t="s">
        <v>68</v>
      </c>
      <c r="K10" s="1" t="s">
        <v>69</v>
      </c>
      <c r="L10" s="1" t="s">
        <v>22</v>
      </c>
      <c r="M10" s="1" t="s">
        <v>37</v>
      </c>
      <c r="N10" s="1" t="s">
        <v>38</v>
      </c>
      <c r="O10" s="1" t="s">
        <v>39</v>
      </c>
      <c r="P10" s="1"/>
      <c r="Q10" s="1" t="s">
        <v>29</v>
      </c>
      <c r="R10" s="1" t="s">
        <v>70</v>
      </c>
      <c r="S10" s="18">
        <v>45183</v>
      </c>
      <c r="T10" s="1" t="s">
        <v>42</v>
      </c>
      <c r="U10" s="1" t="s">
        <v>21</v>
      </c>
      <c r="V10" t="s">
        <v>874</v>
      </c>
      <c r="W10" s="20">
        <f t="shared" ca="1" si="0"/>
        <v>3.1184120465434635</v>
      </c>
      <c r="X10" t="s">
        <v>1000</v>
      </c>
      <c r="Y10" t="s">
        <v>1008</v>
      </c>
      <c r="Z10" t="s">
        <v>1092</v>
      </c>
    </row>
    <row r="11" spans="1:26" ht="14.25" customHeight="1" x14ac:dyDescent="0.3">
      <c r="A11" s="1" t="s">
        <v>71</v>
      </c>
      <c r="B11" s="1">
        <v>154000</v>
      </c>
      <c r="C11" s="1">
        <v>125</v>
      </c>
      <c r="D11" s="1">
        <v>0</v>
      </c>
      <c r="E11" s="1" t="s">
        <v>36</v>
      </c>
      <c r="F11" s="1" t="s">
        <v>36</v>
      </c>
      <c r="G11" s="1" t="s">
        <v>36</v>
      </c>
      <c r="H11" s="1" t="s">
        <v>72</v>
      </c>
      <c r="I11" s="1" t="s">
        <v>23</v>
      </c>
      <c r="J11" s="1" t="s">
        <v>73</v>
      </c>
      <c r="K11" s="1" t="s">
        <v>74</v>
      </c>
      <c r="L11" s="1"/>
      <c r="M11" s="1" t="s">
        <v>26</v>
      </c>
      <c r="N11" s="1" t="s">
        <v>58</v>
      </c>
      <c r="O11" s="1" t="s">
        <v>243</v>
      </c>
      <c r="P11" s="1"/>
      <c r="Q11" s="1" t="s">
        <v>53</v>
      </c>
      <c r="R11" s="1" t="s">
        <v>75</v>
      </c>
      <c r="S11" s="18">
        <v>45449</v>
      </c>
      <c r="T11" s="1" t="s">
        <v>42</v>
      </c>
      <c r="U11" s="1" t="s">
        <v>76</v>
      </c>
      <c r="V11" t="s">
        <v>874</v>
      </c>
      <c r="W11" s="20">
        <f t="shared" ca="1" si="0"/>
        <v>2.3901437371663246</v>
      </c>
      <c r="X11" t="s">
        <v>1000</v>
      </c>
      <c r="Y11" t="s">
        <v>1000</v>
      </c>
      <c r="Z11" t="s">
        <v>1092</v>
      </c>
    </row>
    <row r="12" spans="1:26" ht="14.25" customHeight="1" x14ac:dyDescent="0.3">
      <c r="A12" t="s">
        <v>251</v>
      </c>
      <c r="B12">
        <v>161000</v>
      </c>
      <c r="C12">
        <v>150</v>
      </c>
      <c r="D12">
        <v>0</v>
      </c>
      <c r="E12" t="s">
        <v>36</v>
      </c>
      <c r="F12" t="s">
        <v>36</v>
      </c>
      <c r="G12" s="1" t="s">
        <v>36</v>
      </c>
      <c r="H12" s="1" t="s">
        <v>36</v>
      </c>
      <c r="I12" t="s">
        <v>23</v>
      </c>
      <c r="J12" t="s">
        <v>153</v>
      </c>
      <c r="K12" t="s">
        <v>252</v>
      </c>
      <c r="L12" t="s">
        <v>52</v>
      </c>
      <c r="M12" t="s">
        <v>26</v>
      </c>
      <c r="N12" t="s">
        <v>58</v>
      </c>
      <c r="O12" s="1" t="s">
        <v>243</v>
      </c>
      <c r="Q12" t="s">
        <v>29</v>
      </c>
      <c r="R12" s="1" t="s">
        <v>22</v>
      </c>
      <c r="S12" s="19">
        <v>46129</v>
      </c>
      <c r="T12" t="s">
        <v>872</v>
      </c>
      <c r="U12" s="1" t="s">
        <v>210</v>
      </c>
      <c r="V12" t="s">
        <v>874</v>
      </c>
      <c r="W12" s="20">
        <f t="shared" ca="1" si="0"/>
        <v>0.52840520191649554</v>
      </c>
      <c r="X12" t="s">
        <v>1008</v>
      </c>
      <c r="Y12" t="s">
        <v>1000</v>
      </c>
      <c r="Z12" t="s">
        <v>1092</v>
      </c>
    </row>
    <row r="13" spans="1:26" ht="14.25" customHeight="1" x14ac:dyDescent="0.3">
      <c r="A13" s="1" t="s">
        <v>77</v>
      </c>
      <c r="B13" s="1">
        <v>152000</v>
      </c>
      <c r="C13" s="1">
        <v>125</v>
      </c>
      <c r="D13" s="1">
        <v>0</v>
      </c>
      <c r="E13" s="1" t="s">
        <v>36</v>
      </c>
      <c r="F13" s="1" t="s">
        <v>36</v>
      </c>
      <c r="G13" s="1">
        <v>500</v>
      </c>
      <c r="H13" s="1" t="s">
        <v>78</v>
      </c>
      <c r="I13" s="1" t="s">
        <v>23</v>
      </c>
      <c r="J13" s="1" t="s">
        <v>34</v>
      </c>
      <c r="K13" s="1" t="s">
        <v>79</v>
      </c>
      <c r="L13" s="1" t="s">
        <v>52</v>
      </c>
      <c r="M13" s="1" t="s">
        <v>26</v>
      </c>
      <c r="N13" s="1" t="s">
        <v>58</v>
      </c>
      <c r="O13" s="1" t="s">
        <v>243</v>
      </c>
      <c r="P13" s="1"/>
      <c r="Q13" s="1" t="s">
        <v>53</v>
      </c>
      <c r="R13" s="1" t="s">
        <v>22</v>
      </c>
      <c r="S13" s="18" t="s">
        <v>1067</v>
      </c>
      <c r="T13" s="1" t="s">
        <v>42</v>
      </c>
      <c r="U13" s="1" t="s">
        <v>54</v>
      </c>
      <c r="V13" t="s">
        <v>874</v>
      </c>
      <c r="W13" s="20" t="str">
        <f t="shared" ca="1" si="0"/>
        <v/>
      </c>
      <c r="X13" t="s">
        <v>1000</v>
      </c>
      <c r="Y13" t="s">
        <v>1000</v>
      </c>
      <c r="Z13" t="s">
        <v>1092</v>
      </c>
    </row>
    <row r="14" spans="1:26" ht="14.25" customHeight="1" x14ac:dyDescent="0.3">
      <c r="A14" s="1" t="s">
        <v>80</v>
      </c>
      <c r="B14" s="1">
        <v>142000</v>
      </c>
      <c r="C14" s="1">
        <v>125</v>
      </c>
      <c r="D14" s="1">
        <v>0</v>
      </c>
      <c r="E14" s="1" t="s">
        <v>36</v>
      </c>
      <c r="F14" s="1" t="s">
        <v>36</v>
      </c>
      <c r="G14" s="1" t="s">
        <v>36</v>
      </c>
      <c r="H14" s="1" t="s">
        <v>36</v>
      </c>
      <c r="I14" s="1" t="s">
        <v>23</v>
      </c>
      <c r="J14" s="1" t="s">
        <v>34</v>
      </c>
      <c r="K14" s="1" t="s">
        <v>79</v>
      </c>
      <c r="L14" s="1" t="s">
        <v>52</v>
      </c>
      <c r="M14" s="1" t="s">
        <v>26</v>
      </c>
      <c r="N14" s="1" t="s">
        <v>58</v>
      </c>
      <c r="O14" s="1" t="s">
        <v>243</v>
      </c>
      <c r="P14" s="1"/>
      <c r="Q14" s="1" t="s">
        <v>53</v>
      </c>
      <c r="R14" s="1" t="s">
        <v>22</v>
      </c>
      <c r="S14" s="18" t="s">
        <v>1067</v>
      </c>
      <c r="T14" s="1" t="s">
        <v>42</v>
      </c>
      <c r="U14" s="1" t="s">
        <v>54</v>
      </c>
      <c r="V14" t="s">
        <v>874</v>
      </c>
      <c r="W14" s="20" t="str">
        <f t="shared" ca="1" si="0"/>
        <v/>
      </c>
      <c r="X14" t="s">
        <v>1000</v>
      </c>
      <c r="Y14" t="s">
        <v>1000</v>
      </c>
      <c r="Z14" t="s">
        <v>1092</v>
      </c>
    </row>
    <row r="15" spans="1:26" ht="14.25" customHeight="1" x14ac:dyDescent="0.3">
      <c r="A15" s="1" t="s">
        <v>81</v>
      </c>
      <c r="B15" s="1">
        <v>70000</v>
      </c>
      <c r="C15" s="1">
        <f>2*33</f>
        <v>66</v>
      </c>
      <c r="D15" s="1">
        <v>0</v>
      </c>
      <c r="E15" s="1" t="s">
        <v>36</v>
      </c>
      <c r="F15" s="1" t="s">
        <v>36</v>
      </c>
      <c r="G15" s="1" t="s">
        <v>36</v>
      </c>
      <c r="H15" s="1" t="s">
        <v>36</v>
      </c>
      <c r="I15" s="1" t="s">
        <v>23</v>
      </c>
      <c r="J15" s="1" t="s">
        <v>34</v>
      </c>
      <c r="K15" s="1" t="s">
        <v>82</v>
      </c>
      <c r="L15" s="1" t="s">
        <v>22</v>
      </c>
      <c r="M15" s="1" t="s">
        <v>26</v>
      </c>
      <c r="N15" s="1" t="s">
        <v>58</v>
      </c>
      <c r="O15" s="1" t="s">
        <v>243</v>
      </c>
      <c r="P15" s="1"/>
      <c r="Q15" s="1" t="s">
        <v>53</v>
      </c>
      <c r="R15" s="1" t="s">
        <v>83</v>
      </c>
      <c r="S15" s="18">
        <v>45471</v>
      </c>
      <c r="T15" s="1" t="s">
        <v>42</v>
      </c>
      <c r="U15" s="1" t="s">
        <v>84</v>
      </c>
      <c r="V15" t="s">
        <v>875</v>
      </c>
      <c r="W15" s="20">
        <f t="shared" ca="1" si="0"/>
        <v>2.3299110198494182</v>
      </c>
      <c r="X15" t="s">
        <v>1000</v>
      </c>
      <c r="Y15" t="s">
        <v>1000</v>
      </c>
      <c r="Z15" t="s">
        <v>1092</v>
      </c>
    </row>
    <row r="16" spans="1:26" ht="14.25" customHeight="1" x14ac:dyDescent="0.3">
      <c r="A16" s="1" t="s">
        <v>85</v>
      </c>
      <c r="B16" s="1">
        <v>60000</v>
      </c>
      <c r="C16" s="1" t="s">
        <v>36</v>
      </c>
      <c r="D16" s="1">
        <v>84000</v>
      </c>
      <c r="E16" s="1" t="s">
        <v>36</v>
      </c>
      <c r="F16" s="1" t="s">
        <v>86</v>
      </c>
      <c r="G16" s="1" t="s">
        <v>36</v>
      </c>
      <c r="H16" s="1" t="s">
        <v>22</v>
      </c>
      <c r="I16" s="1" t="s">
        <v>23</v>
      </c>
      <c r="J16" s="1" t="s">
        <v>34</v>
      </c>
      <c r="K16" s="1" t="s">
        <v>87</v>
      </c>
      <c r="L16" s="1" t="s">
        <v>36</v>
      </c>
      <c r="M16" s="1" t="s">
        <v>26</v>
      </c>
      <c r="N16" s="1" t="s">
        <v>38</v>
      </c>
      <c r="O16" t="s">
        <v>39</v>
      </c>
      <c r="P16" s="1"/>
      <c r="Q16" s="1" t="s">
        <v>40</v>
      </c>
      <c r="R16" s="1" t="s">
        <v>88</v>
      </c>
      <c r="S16" s="18">
        <v>44665</v>
      </c>
      <c r="T16" s="1" t="s">
        <v>42</v>
      </c>
      <c r="U16" s="1" t="s">
        <v>89</v>
      </c>
      <c r="V16" t="s">
        <v>874</v>
      </c>
      <c r="W16" s="20">
        <f t="shared" ca="1" si="0"/>
        <v>4.5366187542778915</v>
      </c>
      <c r="X16" t="s">
        <v>1000</v>
      </c>
      <c r="Y16" t="s">
        <v>1000</v>
      </c>
      <c r="Z16" t="s">
        <v>1092</v>
      </c>
    </row>
    <row r="17" spans="1:26" ht="14.25" customHeight="1" x14ac:dyDescent="0.3">
      <c r="A17" s="1" t="s">
        <v>90</v>
      </c>
      <c r="B17" s="1">
        <v>41000</v>
      </c>
      <c r="C17" s="1">
        <v>36</v>
      </c>
      <c r="D17" s="1">
        <v>0</v>
      </c>
      <c r="E17" s="1" t="s">
        <v>36</v>
      </c>
      <c r="F17" s="1" t="s">
        <v>36</v>
      </c>
      <c r="G17" s="1" t="s">
        <v>36</v>
      </c>
      <c r="H17" s="1" t="s">
        <v>36</v>
      </c>
      <c r="I17" s="1" t="s">
        <v>23</v>
      </c>
      <c r="J17" s="1" t="s">
        <v>50</v>
      </c>
      <c r="K17" s="1" t="s">
        <v>91</v>
      </c>
      <c r="L17" s="1" t="s">
        <v>36</v>
      </c>
      <c r="M17" s="1" t="s">
        <v>26</v>
      </c>
      <c r="N17" s="1" t="s">
        <v>27</v>
      </c>
      <c r="O17" t="s">
        <v>39</v>
      </c>
      <c r="P17" s="1"/>
      <c r="Q17" s="1" t="s">
        <v>40</v>
      </c>
      <c r="R17" s="1" t="s">
        <v>92</v>
      </c>
      <c r="S17" s="18">
        <v>44643</v>
      </c>
      <c r="T17" s="1" t="s">
        <v>42</v>
      </c>
      <c r="U17" s="1" t="s">
        <v>84</v>
      </c>
      <c r="V17" t="s">
        <v>874</v>
      </c>
      <c r="W17" s="20">
        <f t="shared" ca="1" si="0"/>
        <v>4.5968514715947979</v>
      </c>
      <c r="X17" t="s">
        <v>1000</v>
      </c>
      <c r="Y17" t="s">
        <v>1000</v>
      </c>
      <c r="Z17" t="s">
        <v>1093</v>
      </c>
    </row>
    <row r="18" spans="1:26" ht="14.25" customHeight="1" x14ac:dyDescent="0.3">
      <c r="A18" s="1" t="s">
        <v>93</v>
      </c>
      <c r="B18" s="1">
        <v>65000</v>
      </c>
      <c r="C18" s="1">
        <v>110</v>
      </c>
      <c r="D18" s="1">
        <v>171600</v>
      </c>
      <c r="E18" s="1" t="s">
        <v>1095</v>
      </c>
      <c r="F18" s="1" t="s">
        <v>1096</v>
      </c>
      <c r="G18" s="1" t="s">
        <v>36</v>
      </c>
      <c r="H18" s="1" t="s">
        <v>22</v>
      </c>
      <c r="I18" s="1" t="s">
        <v>23</v>
      </c>
      <c r="J18" s="1" t="s">
        <v>62</v>
      </c>
      <c r="K18" s="1" t="s">
        <v>22</v>
      </c>
      <c r="L18" s="1" t="s">
        <v>22</v>
      </c>
      <c r="M18" s="1" t="s">
        <v>26</v>
      </c>
      <c r="N18" s="1" t="s">
        <v>94</v>
      </c>
      <c r="O18" s="1" t="s">
        <v>39</v>
      </c>
      <c r="P18" s="1"/>
      <c r="Q18" s="1" t="s">
        <v>53</v>
      </c>
      <c r="R18" s="1" t="s">
        <v>22</v>
      </c>
      <c r="S18" s="18">
        <v>45509</v>
      </c>
      <c r="T18" s="1" t="s">
        <v>871</v>
      </c>
      <c r="U18" s="1" t="s">
        <v>22</v>
      </c>
      <c r="V18" t="s">
        <v>874</v>
      </c>
      <c r="W18" s="20">
        <f t="shared" ca="1" si="0"/>
        <v>2.2258726899383983</v>
      </c>
      <c r="X18" t="s">
        <v>1000</v>
      </c>
      <c r="Y18" t="s">
        <v>1000</v>
      </c>
      <c r="Z18" t="s">
        <v>1092</v>
      </c>
    </row>
    <row r="19" spans="1:26" ht="14.25" customHeight="1" x14ac:dyDescent="0.3">
      <c r="A19" s="1" t="s">
        <v>95</v>
      </c>
      <c r="B19" s="1">
        <v>235000</v>
      </c>
      <c r="C19" s="1">
        <f>2*110</f>
        <v>220</v>
      </c>
      <c r="D19" s="1">
        <v>0</v>
      </c>
      <c r="E19" s="1" t="s">
        <v>36</v>
      </c>
      <c r="F19" s="1" t="s">
        <v>36</v>
      </c>
      <c r="G19" s="1" t="s">
        <v>36</v>
      </c>
      <c r="H19" s="1" t="s">
        <v>36</v>
      </c>
      <c r="I19" s="1" t="s">
        <v>23</v>
      </c>
      <c r="J19" s="1" t="s">
        <v>34</v>
      </c>
      <c r="K19" s="1" t="s">
        <v>96</v>
      </c>
      <c r="L19" s="1" t="s">
        <v>45</v>
      </c>
      <c r="M19" s="1" t="s">
        <v>26</v>
      </c>
      <c r="N19" s="1" t="s">
        <v>46</v>
      </c>
      <c r="O19" s="1" t="s">
        <v>39</v>
      </c>
      <c r="P19" s="1"/>
      <c r="Q19" s="1" t="s">
        <v>53</v>
      </c>
      <c r="R19" s="1" t="s">
        <v>97</v>
      </c>
      <c r="S19" s="18">
        <v>45460</v>
      </c>
      <c r="T19" s="1" t="s">
        <v>42</v>
      </c>
      <c r="U19" s="1" t="s">
        <v>84</v>
      </c>
      <c r="V19" t="s">
        <v>875</v>
      </c>
      <c r="W19" s="20">
        <f t="shared" ca="1" si="0"/>
        <v>2.3600273785078714</v>
      </c>
      <c r="X19" t="s">
        <v>1000</v>
      </c>
      <c r="Y19" t="s">
        <v>1000</v>
      </c>
      <c r="Z19" t="s">
        <v>1092</v>
      </c>
    </row>
    <row r="20" spans="1:26" ht="14.25" customHeight="1" x14ac:dyDescent="0.3">
      <c r="A20" t="s">
        <v>271</v>
      </c>
      <c r="B20">
        <v>114070</v>
      </c>
      <c r="C20">
        <v>125</v>
      </c>
      <c r="D20">
        <v>0</v>
      </c>
      <c r="E20" t="s">
        <v>36</v>
      </c>
      <c r="F20" t="s">
        <v>36</v>
      </c>
      <c r="G20" s="1" t="s">
        <v>36</v>
      </c>
      <c r="H20" s="1" t="s">
        <v>36</v>
      </c>
      <c r="I20" s="1" t="s">
        <v>23</v>
      </c>
      <c r="J20" t="s">
        <v>34</v>
      </c>
      <c r="K20" t="s">
        <v>249</v>
      </c>
      <c r="L20" t="s">
        <v>52</v>
      </c>
      <c r="M20" t="s">
        <v>26</v>
      </c>
      <c r="N20" t="s">
        <v>58</v>
      </c>
      <c r="O20" s="1" t="s">
        <v>243</v>
      </c>
      <c r="Q20" t="s">
        <v>29</v>
      </c>
      <c r="R20" s="1" t="s">
        <v>22</v>
      </c>
      <c r="S20" s="19">
        <v>46162</v>
      </c>
      <c r="T20" t="s">
        <v>42</v>
      </c>
      <c r="U20" s="1" t="s">
        <v>210</v>
      </c>
      <c r="V20" t="s">
        <v>875</v>
      </c>
      <c r="W20" s="20">
        <f t="shared" ca="1" si="0"/>
        <v>0.43805612594113619</v>
      </c>
      <c r="X20" t="s">
        <v>1001</v>
      </c>
      <c r="Y20" t="s">
        <v>1000</v>
      </c>
      <c r="Z20" t="s">
        <v>1092</v>
      </c>
    </row>
    <row r="21" spans="1:26" ht="14.25" customHeight="1" x14ac:dyDescent="0.3">
      <c r="A21" t="s">
        <v>239</v>
      </c>
      <c r="B21">
        <v>23010</v>
      </c>
      <c r="D21">
        <v>0</v>
      </c>
      <c r="E21" s="1" t="s">
        <v>36</v>
      </c>
      <c r="F21" s="1" t="s">
        <v>36</v>
      </c>
      <c r="G21" s="1" t="s">
        <v>36</v>
      </c>
      <c r="H21" s="1" t="s">
        <v>36</v>
      </c>
      <c r="I21" s="1" t="s">
        <v>23</v>
      </c>
      <c r="J21" t="s">
        <v>34</v>
      </c>
      <c r="K21" t="s">
        <v>240</v>
      </c>
      <c r="L21" t="s">
        <v>52</v>
      </c>
      <c r="M21" t="s">
        <v>26</v>
      </c>
      <c r="N21" s="1" t="s">
        <v>58</v>
      </c>
      <c r="O21" s="1" t="s">
        <v>243</v>
      </c>
      <c r="P21" s="1"/>
      <c r="Q21" s="1" t="s">
        <v>29</v>
      </c>
      <c r="R21" s="1" t="s">
        <v>22</v>
      </c>
      <c r="S21" s="19">
        <v>45951</v>
      </c>
      <c r="T21" s="1" t="s">
        <v>42</v>
      </c>
      <c r="U21" s="1" t="s">
        <v>210</v>
      </c>
      <c r="V21" t="s">
        <v>875</v>
      </c>
      <c r="W21" s="20">
        <f t="shared" ca="1" si="0"/>
        <v>1.0157426420260096</v>
      </c>
      <c r="X21" t="s">
        <v>1000</v>
      </c>
      <c r="Y21" t="s">
        <v>1000</v>
      </c>
      <c r="Z21" t="s">
        <v>1092</v>
      </c>
    </row>
    <row r="22" spans="1:26" ht="14.25" customHeight="1" x14ac:dyDescent="0.3">
      <c r="A22" s="1" t="s">
        <v>98</v>
      </c>
      <c r="B22" s="1">
        <v>123360</v>
      </c>
      <c r="C22" s="1">
        <v>160</v>
      </c>
      <c r="D22" s="1">
        <v>0</v>
      </c>
      <c r="E22" s="1" t="s">
        <v>36</v>
      </c>
      <c r="F22" s="1" t="s">
        <v>36</v>
      </c>
      <c r="G22" s="1" t="s">
        <v>36</v>
      </c>
      <c r="H22" s="1" t="s">
        <v>36</v>
      </c>
      <c r="I22" s="1" t="s">
        <v>23</v>
      </c>
      <c r="J22" s="1" t="s">
        <v>50</v>
      </c>
      <c r="K22" s="1" t="s">
        <v>99</v>
      </c>
      <c r="L22" s="1" t="s">
        <v>45</v>
      </c>
      <c r="M22" s="1" t="s">
        <v>26</v>
      </c>
      <c r="N22" s="1" t="s">
        <v>46</v>
      </c>
      <c r="O22" s="1" t="s">
        <v>39</v>
      </c>
      <c r="P22" s="1"/>
      <c r="Q22" s="1" t="s">
        <v>29</v>
      </c>
      <c r="R22" s="1" t="s">
        <v>100</v>
      </c>
      <c r="S22" s="18">
        <v>44479</v>
      </c>
      <c r="T22" s="1" t="s">
        <v>42</v>
      </c>
      <c r="U22" s="1" t="s">
        <v>101</v>
      </c>
      <c r="V22" t="s">
        <v>874</v>
      </c>
      <c r="W22" s="20">
        <f t="shared" ca="1" si="0"/>
        <v>5.0458590006844624</v>
      </c>
      <c r="X22" t="s">
        <v>1000</v>
      </c>
      <c r="Y22" t="s">
        <v>1000</v>
      </c>
      <c r="Z22" t="s">
        <v>1092</v>
      </c>
    </row>
    <row r="23" spans="1:26" ht="14.25" customHeight="1" x14ac:dyDescent="0.3">
      <c r="A23" s="1" t="s">
        <v>102</v>
      </c>
      <c r="B23" s="1">
        <v>106000</v>
      </c>
      <c r="C23" s="1" t="s">
        <v>22</v>
      </c>
      <c r="D23" s="1">
        <v>0</v>
      </c>
      <c r="E23" s="1" t="s">
        <v>36</v>
      </c>
      <c r="F23" s="1" t="s">
        <v>36</v>
      </c>
      <c r="G23" s="1" t="s">
        <v>36</v>
      </c>
      <c r="H23" s="1" t="s">
        <v>22</v>
      </c>
      <c r="I23" s="1" t="s">
        <v>23</v>
      </c>
      <c r="J23" s="1" t="s">
        <v>50</v>
      </c>
      <c r="K23" s="1" t="s">
        <v>99</v>
      </c>
      <c r="L23" s="1" t="s">
        <v>45</v>
      </c>
      <c r="M23" s="1" t="s">
        <v>26</v>
      </c>
      <c r="N23" s="1" t="s">
        <v>27</v>
      </c>
      <c r="O23" s="1" t="s">
        <v>39</v>
      </c>
      <c r="P23" s="1"/>
      <c r="Q23" s="1" t="s">
        <v>29</v>
      </c>
      <c r="R23" s="1" t="s">
        <v>22</v>
      </c>
      <c r="S23" s="18">
        <v>44479</v>
      </c>
      <c r="T23" s="1" t="s">
        <v>42</v>
      </c>
      <c r="U23" s="1" t="s">
        <v>103</v>
      </c>
      <c r="V23" t="s">
        <v>874</v>
      </c>
      <c r="W23" s="20">
        <f t="shared" ca="1" si="0"/>
        <v>5.0458590006844624</v>
      </c>
      <c r="X23" t="s">
        <v>1000</v>
      </c>
      <c r="Y23" t="s">
        <v>1000</v>
      </c>
      <c r="Z23" t="s">
        <v>1092</v>
      </c>
    </row>
    <row r="24" spans="1:26" ht="14.25" customHeight="1" x14ac:dyDescent="0.3">
      <c r="A24" s="1" t="s">
        <v>104</v>
      </c>
      <c r="B24" s="1">
        <v>30000</v>
      </c>
      <c r="C24" s="1">
        <v>33</v>
      </c>
      <c r="D24" s="1">
        <v>0</v>
      </c>
      <c r="E24" s="1" t="s">
        <v>36</v>
      </c>
      <c r="F24" s="1" t="s">
        <v>36</v>
      </c>
      <c r="G24" s="1" t="s">
        <v>36</v>
      </c>
      <c r="H24" s="1" t="s">
        <v>36</v>
      </c>
      <c r="I24" s="1" t="s">
        <v>23</v>
      </c>
      <c r="J24" s="1" t="s">
        <v>68</v>
      </c>
      <c r="K24" s="1" t="s">
        <v>105</v>
      </c>
      <c r="L24" s="1" t="s">
        <v>22</v>
      </c>
      <c r="M24" s="1" t="s">
        <v>26</v>
      </c>
      <c r="N24" s="1" t="s">
        <v>38</v>
      </c>
      <c r="O24" s="1" t="s">
        <v>39</v>
      </c>
      <c r="P24" s="1"/>
      <c r="Q24" s="1" t="s">
        <v>29</v>
      </c>
      <c r="R24" s="1" t="s">
        <v>106</v>
      </c>
      <c r="S24" s="18">
        <v>45073</v>
      </c>
      <c r="T24" s="1" t="s">
        <v>42</v>
      </c>
      <c r="U24" s="1" t="s">
        <v>84</v>
      </c>
      <c r="V24" t="s">
        <v>875</v>
      </c>
      <c r="W24" s="20">
        <f t="shared" ca="1" si="0"/>
        <v>3.4195756331279945</v>
      </c>
      <c r="X24" t="s">
        <v>1000</v>
      </c>
      <c r="Y24" t="s">
        <v>1000</v>
      </c>
      <c r="Z24" t="s">
        <v>1092</v>
      </c>
    </row>
    <row r="25" spans="1:26" ht="14.25" customHeight="1" x14ac:dyDescent="0.3">
      <c r="A25" s="1" t="s">
        <v>107</v>
      </c>
      <c r="B25" s="1">
        <v>30000</v>
      </c>
      <c r="C25" s="1">
        <v>33</v>
      </c>
      <c r="D25" s="1">
        <v>0</v>
      </c>
      <c r="E25" s="1" t="s">
        <v>36</v>
      </c>
      <c r="F25" s="1" t="s">
        <v>36</v>
      </c>
      <c r="G25" s="1" t="s">
        <v>36</v>
      </c>
      <c r="H25" s="1" t="s">
        <v>36</v>
      </c>
      <c r="I25" s="1" t="s">
        <v>23</v>
      </c>
      <c r="J25" s="1" t="s">
        <v>68</v>
      </c>
      <c r="K25" s="1" t="s">
        <v>105</v>
      </c>
      <c r="L25" s="1" t="s">
        <v>22</v>
      </c>
      <c r="M25" s="1" t="s">
        <v>26</v>
      </c>
      <c r="N25" s="1" t="s">
        <v>58</v>
      </c>
      <c r="O25" s="1" t="s">
        <v>243</v>
      </c>
      <c r="P25" s="1"/>
      <c r="Q25" s="1" t="s">
        <v>29</v>
      </c>
      <c r="R25" s="1" t="s">
        <v>108</v>
      </c>
      <c r="S25" s="18">
        <v>45072</v>
      </c>
      <c r="T25" s="1" t="s">
        <v>42</v>
      </c>
      <c r="U25" s="1" t="s">
        <v>84</v>
      </c>
      <c r="V25" t="s">
        <v>875</v>
      </c>
      <c r="W25" s="20">
        <f t="shared" ca="1" si="0"/>
        <v>3.4223134839151266</v>
      </c>
      <c r="X25" t="s">
        <v>1000</v>
      </c>
      <c r="Y25" t="s">
        <v>1000</v>
      </c>
      <c r="Z25" t="s">
        <v>1092</v>
      </c>
    </row>
    <row r="26" spans="1:26" ht="14.25" customHeight="1" x14ac:dyDescent="0.3">
      <c r="A26" s="1" t="s">
        <v>228</v>
      </c>
      <c r="B26" s="1">
        <v>170000</v>
      </c>
      <c r="C26" s="1">
        <f>4*50</f>
        <v>200</v>
      </c>
      <c r="D26" s="1">
        <v>491520</v>
      </c>
      <c r="E26" s="1" t="s">
        <v>229</v>
      </c>
      <c r="F26" s="1" t="s">
        <v>230</v>
      </c>
      <c r="G26" s="1" t="s">
        <v>36</v>
      </c>
      <c r="H26" s="1" t="s">
        <v>36</v>
      </c>
      <c r="I26" s="1" t="s">
        <v>23</v>
      </c>
      <c r="J26" s="1" t="s">
        <v>153</v>
      </c>
      <c r="K26" s="1" t="s">
        <v>231</v>
      </c>
      <c r="L26" s="1" t="s">
        <v>36</v>
      </c>
      <c r="M26" s="1" t="s">
        <v>37</v>
      </c>
      <c r="N26" s="1" t="s">
        <v>94</v>
      </c>
      <c r="O26" s="1" t="s">
        <v>39</v>
      </c>
      <c r="P26" s="1"/>
      <c r="Q26" s="1" t="s">
        <v>29</v>
      </c>
      <c r="R26" s="1" t="s">
        <v>22</v>
      </c>
      <c r="S26" s="18">
        <v>46086</v>
      </c>
      <c r="T26" s="1" t="s">
        <v>232</v>
      </c>
      <c r="U26" s="1" t="s">
        <v>233</v>
      </c>
      <c r="V26" t="s">
        <v>874</v>
      </c>
      <c r="W26" s="20">
        <f t="shared" ca="1" si="0"/>
        <v>0.6461327857631759</v>
      </c>
      <c r="X26" t="s">
        <v>1000</v>
      </c>
      <c r="Y26" t="s">
        <v>1000</v>
      </c>
      <c r="Z26" t="s">
        <v>1092</v>
      </c>
    </row>
    <row r="27" spans="1:26" ht="14.25" customHeight="1" x14ac:dyDescent="0.3">
      <c r="A27" s="1" t="s">
        <v>109</v>
      </c>
      <c r="B27" s="1">
        <v>24000</v>
      </c>
      <c r="C27" s="1" t="s">
        <v>36</v>
      </c>
      <c r="D27" s="1">
        <v>127400</v>
      </c>
      <c r="E27" s="1" t="s">
        <v>36</v>
      </c>
      <c r="F27" s="1" t="s">
        <v>110</v>
      </c>
      <c r="G27" s="1" t="s">
        <v>36</v>
      </c>
      <c r="H27" s="1" t="s">
        <v>36</v>
      </c>
      <c r="I27" s="1" t="s">
        <v>23</v>
      </c>
      <c r="J27" s="1" t="s">
        <v>68</v>
      </c>
      <c r="K27" s="1" t="s">
        <v>111</v>
      </c>
      <c r="L27" s="1" t="s">
        <v>22</v>
      </c>
      <c r="M27" s="1" t="s">
        <v>37</v>
      </c>
      <c r="N27" s="1" t="s">
        <v>38</v>
      </c>
      <c r="O27" s="1" t="s">
        <v>39</v>
      </c>
      <c r="P27" s="1"/>
      <c r="Q27" s="1" t="s">
        <v>29</v>
      </c>
      <c r="R27" s="1" t="s">
        <v>112</v>
      </c>
      <c r="S27" s="18">
        <v>45407</v>
      </c>
      <c r="T27" s="1" t="s">
        <v>42</v>
      </c>
      <c r="U27" s="1" t="s">
        <v>21</v>
      </c>
      <c r="V27" t="s">
        <v>874</v>
      </c>
      <c r="W27" s="20">
        <f t="shared" ca="1" si="0"/>
        <v>2.5051334702258727</v>
      </c>
      <c r="X27" t="s">
        <v>1000</v>
      </c>
      <c r="Y27" t="s">
        <v>1000</v>
      </c>
      <c r="Z27" t="s">
        <v>1092</v>
      </c>
    </row>
    <row r="28" spans="1:26" ht="14.25" customHeight="1" x14ac:dyDescent="0.3">
      <c r="A28" s="1" t="s">
        <v>113</v>
      </c>
      <c r="B28" s="1">
        <v>223000</v>
      </c>
      <c r="C28" s="1" t="s">
        <v>22</v>
      </c>
      <c r="D28" s="1">
        <v>0</v>
      </c>
      <c r="E28" s="1" t="s">
        <v>36</v>
      </c>
      <c r="F28" s="1" t="s">
        <v>36</v>
      </c>
      <c r="G28" s="1" t="s">
        <v>36</v>
      </c>
      <c r="H28" s="1" t="s">
        <v>22</v>
      </c>
      <c r="I28" s="1" t="s">
        <v>23</v>
      </c>
      <c r="J28" s="1" t="s">
        <v>62</v>
      </c>
      <c r="K28" s="1" t="s">
        <v>22</v>
      </c>
      <c r="L28" s="1" t="s">
        <v>22</v>
      </c>
      <c r="M28" s="1" t="s">
        <v>26</v>
      </c>
      <c r="N28" s="1" t="s">
        <v>38</v>
      </c>
      <c r="O28" s="1" t="s">
        <v>243</v>
      </c>
      <c r="P28" s="1"/>
      <c r="Q28" s="1" t="s">
        <v>29</v>
      </c>
      <c r="R28" s="1" t="s">
        <v>22</v>
      </c>
      <c r="S28" s="18">
        <v>43700</v>
      </c>
      <c r="T28" s="1" t="s">
        <v>42</v>
      </c>
      <c r="U28" s="1" t="s">
        <v>22</v>
      </c>
      <c r="V28" t="s">
        <v>874</v>
      </c>
      <c r="W28" s="20">
        <f t="shared" ca="1" si="0"/>
        <v>7.1786447638603699</v>
      </c>
      <c r="X28" t="s">
        <v>1000</v>
      </c>
      <c r="Y28" t="s">
        <v>1000</v>
      </c>
      <c r="Z28" t="s">
        <v>1092</v>
      </c>
    </row>
    <row r="29" spans="1:26" ht="14.25" customHeight="1" x14ac:dyDescent="0.3">
      <c r="A29" s="1" t="s">
        <v>114</v>
      </c>
      <c r="B29" s="1">
        <v>240000</v>
      </c>
      <c r="C29" s="1">
        <v>240</v>
      </c>
      <c r="D29" s="1">
        <v>0</v>
      </c>
      <c r="E29" s="1" t="s">
        <v>36</v>
      </c>
      <c r="F29" s="1" t="s">
        <v>36</v>
      </c>
      <c r="G29" s="1" t="s">
        <v>36</v>
      </c>
      <c r="H29" s="1" t="s">
        <v>36</v>
      </c>
      <c r="I29" s="1" t="s">
        <v>23</v>
      </c>
      <c r="J29" s="1" t="s">
        <v>34</v>
      </c>
      <c r="K29" s="1" t="s">
        <v>115</v>
      </c>
      <c r="L29" s="1" t="s">
        <v>22</v>
      </c>
      <c r="M29" s="1" t="s">
        <v>26</v>
      </c>
      <c r="N29" s="1" t="s">
        <v>38</v>
      </c>
      <c r="O29" s="1" t="s">
        <v>243</v>
      </c>
      <c r="P29" s="1"/>
      <c r="Q29" s="1" t="s">
        <v>40</v>
      </c>
      <c r="R29" s="1" t="s">
        <v>116</v>
      </c>
      <c r="S29" s="18">
        <v>45056</v>
      </c>
      <c r="T29" s="1" t="s">
        <v>42</v>
      </c>
      <c r="U29" s="1" t="s">
        <v>54</v>
      </c>
      <c r="V29" t="s">
        <v>875</v>
      </c>
      <c r="W29" s="20">
        <f t="shared" ca="1" si="0"/>
        <v>3.4661190965092401</v>
      </c>
      <c r="X29" t="s">
        <v>1000</v>
      </c>
      <c r="Y29" t="s">
        <v>1000</v>
      </c>
      <c r="Z29" t="s">
        <v>1092</v>
      </c>
    </row>
    <row r="30" spans="1:26" ht="14.25" customHeight="1" x14ac:dyDescent="0.3">
      <c r="A30" s="1" t="s">
        <v>117</v>
      </c>
      <c r="B30" s="1">
        <v>215000</v>
      </c>
      <c r="C30" s="1">
        <f>2*110</f>
        <v>220</v>
      </c>
      <c r="D30" s="1">
        <v>0</v>
      </c>
      <c r="E30" s="1" t="s">
        <v>36</v>
      </c>
      <c r="F30" s="1" t="s">
        <v>36</v>
      </c>
      <c r="G30" s="1" t="s">
        <v>36</v>
      </c>
      <c r="H30" s="1" t="s">
        <v>36</v>
      </c>
      <c r="I30" s="1" t="s">
        <v>23</v>
      </c>
      <c r="J30" s="1" t="s">
        <v>34</v>
      </c>
      <c r="K30" s="1" t="s">
        <v>118</v>
      </c>
      <c r="L30" s="1" t="s">
        <v>52</v>
      </c>
      <c r="M30" s="1" t="s">
        <v>26</v>
      </c>
      <c r="N30" s="1" t="s">
        <v>27</v>
      </c>
      <c r="O30" s="1" t="s">
        <v>243</v>
      </c>
      <c r="P30" s="1"/>
      <c r="Q30" s="1" t="s">
        <v>53</v>
      </c>
      <c r="R30" s="1" t="s">
        <v>119</v>
      </c>
      <c r="S30" s="18">
        <v>45463</v>
      </c>
      <c r="T30" s="1" t="s">
        <v>42</v>
      </c>
      <c r="U30" s="1" t="s">
        <v>84</v>
      </c>
      <c r="V30" t="s">
        <v>875</v>
      </c>
      <c r="W30" s="20">
        <f t="shared" ca="1" si="0"/>
        <v>2.3518138261464752</v>
      </c>
      <c r="X30" t="s">
        <v>1000</v>
      </c>
      <c r="Y30" t="s">
        <v>1000</v>
      </c>
      <c r="Z30" t="s">
        <v>1092</v>
      </c>
    </row>
    <row r="31" spans="1:26" ht="14.25" customHeight="1" x14ac:dyDescent="0.3">
      <c r="A31" s="1" t="s">
        <v>225</v>
      </c>
      <c r="B31" s="1">
        <v>54740</v>
      </c>
      <c r="C31" s="1" t="s">
        <v>22</v>
      </c>
      <c r="D31" s="1">
        <v>0</v>
      </c>
      <c r="E31" s="1" t="s">
        <v>36</v>
      </c>
      <c r="F31" s="1" t="s">
        <v>36</v>
      </c>
      <c r="G31" s="1" t="s">
        <v>36</v>
      </c>
      <c r="H31" s="1" t="s">
        <v>36</v>
      </c>
      <c r="I31" s="1" t="s">
        <v>23</v>
      </c>
      <c r="J31" s="1" t="s">
        <v>34</v>
      </c>
      <c r="K31" s="1" t="s">
        <v>224</v>
      </c>
      <c r="L31" s="1" t="s">
        <v>52</v>
      </c>
      <c r="M31" s="1" t="s">
        <v>26</v>
      </c>
      <c r="N31" s="1" t="s">
        <v>27</v>
      </c>
      <c r="O31" s="1" t="s">
        <v>243</v>
      </c>
      <c r="P31" s="1"/>
      <c r="Q31" s="1" t="s">
        <v>29</v>
      </c>
      <c r="R31" s="1" t="s">
        <v>22</v>
      </c>
      <c r="S31" s="18">
        <v>45934</v>
      </c>
      <c r="T31" s="1" t="s">
        <v>42</v>
      </c>
      <c r="U31" s="1" t="s">
        <v>210</v>
      </c>
      <c r="V31" t="s">
        <v>875</v>
      </c>
      <c r="W31" s="20">
        <f t="shared" ca="1" si="0"/>
        <v>1.0622861054072552</v>
      </c>
      <c r="X31" t="s">
        <v>1000</v>
      </c>
      <c r="Y31" t="s">
        <v>1000</v>
      </c>
      <c r="Z31" t="s">
        <v>1092</v>
      </c>
    </row>
    <row r="32" spans="1:26" ht="14.25" customHeight="1" x14ac:dyDescent="0.3">
      <c r="A32" s="1" t="s">
        <v>223</v>
      </c>
      <c r="B32" s="1">
        <v>47600</v>
      </c>
      <c r="C32" s="1" t="s">
        <v>22</v>
      </c>
      <c r="D32" s="1">
        <v>0</v>
      </c>
      <c r="E32" s="1" t="s">
        <v>36</v>
      </c>
      <c r="F32" s="1" t="s">
        <v>36</v>
      </c>
      <c r="G32" s="1" t="s">
        <v>36</v>
      </c>
      <c r="H32" s="1" t="s">
        <v>36</v>
      </c>
      <c r="I32" s="1" t="s">
        <v>23</v>
      </c>
      <c r="J32" s="1" t="s">
        <v>34</v>
      </c>
      <c r="K32" s="1" t="s">
        <v>224</v>
      </c>
      <c r="L32" s="1" t="s">
        <v>52</v>
      </c>
      <c r="M32" s="1" t="s">
        <v>26</v>
      </c>
      <c r="N32" s="1" t="s">
        <v>27</v>
      </c>
      <c r="O32" s="1" t="s">
        <v>243</v>
      </c>
      <c r="P32" s="1"/>
      <c r="Q32" s="1" t="s">
        <v>29</v>
      </c>
      <c r="R32" s="1" t="s">
        <v>22</v>
      </c>
      <c r="S32" s="18">
        <v>45934</v>
      </c>
      <c r="T32" s="1" t="s">
        <v>42</v>
      </c>
      <c r="U32" s="1" t="s">
        <v>210</v>
      </c>
      <c r="V32" t="s">
        <v>875</v>
      </c>
      <c r="W32" s="20">
        <f t="shared" ca="1" si="0"/>
        <v>1.0622861054072552</v>
      </c>
      <c r="X32" t="s">
        <v>1000</v>
      </c>
      <c r="Y32" t="s">
        <v>1000</v>
      </c>
      <c r="Z32" t="s">
        <v>1092</v>
      </c>
    </row>
    <row r="33" spans="1:26" ht="14.25" customHeight="1" x14ac:dyDescent="0.3">
      <c r="A33" s="1" t="s">
        <v>120</v>
      </c>
      <c r="B33" s="1">
        <v>79000</v>
      </c>
      <c r="C33" s="1" t="s">
        <v>22</v>
      </c>
      <c r="D33" s="1">
        <v>0</v>
      </c>
      <c r="E33" s="1" t="s">
        <v>36</v>
      </c>
      <c r="F33" s="1" t="s">
        <v>36</v>
      </c>
      <c r="G33" s="1" t="s">
        <v>36</v>
      </c>
      <c r="H33" s="1" t="s">
        <v>22</v>
      </c>
      <c r="I33" s="1" t="s">
        <v>23</v>
      </c>
      <c r="J33" s="1" t="s">
        <v>73</v>
      </c>
      <c r="K33" s="1" t="s">
        <v>121</v>
      </c>
      <c r="L33" s="1" t="s">
        <v>22</v>
      </c>
      <c r="M33" s="1" t="s">
        <v>22</v>
      </c>
      <c r="N33" s="1" t="s">
        <v>27</v>
      </c>
      <c r="O33" s="1" t="s">
        <v>243</v>
      </c>
      <c r="P33" s="1"/>
      <c r="Q33" s="1" t="s">
        <v>40</v>
      </c>
      <c r="R33" s="1" t="s">
        <v>22</v>
      </c>
      <c r="S33" s="18" t="s">
        <v>1066</v>
      </c>
      <c r="T33" s="1" t="s">
        <v>42</v>
      </c>
      <c r="U33" s="1" t="s">
        <v>22</v>
      </c>
      <c r="V33" t="s">
        <v>874</v>
      </c>
      <c r="W33" s="20" t="str">
        <f t="shared" ca="1" si="0"/>
        <v/>
      </c>
      <c r="X33" t="s">
        <v>1000</v>
      </c>
      <c r="Y33" t="s">
        <v>1000</v>
      </c>
      <c r="Z33" t="s">
        <v>1092</v>
      </c>
    </row>
    <row r="34" spans="1:26" ht="14.25" customHeight="1" x14ac:dyDescent="0.3">
      <c r="A34" t="s">
        <v>236</v>
      </c>
      <c r="B34">
        <v>120000</v>
      </c>
      <c r="C34" t="s">
        <v>22</v>
      </c>
      <c r="D34">
        <v>171600</v>
      </c>
      <c r="E34" s="1" t="s">
        <v>36</v>
      </c>
      <c r="F34" s="1">
        <v>250</v>
      </c>
      <c r="G34" s="1" t="s">
        <v>36</v>
      </c>
      <c r="H34" s="1" t="s">
        <v>36</v>
      </c>
      <c r="I34" s="1" t="s">
        <v>23</v>
      </c>
      <c r="J34" t="s">
        <v>56</v>
      </c>
      <c r="K34" t="s">
        <v>237</v>
      </c>
      <c r="N34" s="1" t="s">
        <v>238</v>
      </c>
      <c r="O34" s="1" t="s">
        <v>39</v>
      </c>
      <c r="P34" s="1"/>
      <c r="Q34" s="1" t="s">
        <v>29</v>
      </c>
      <c r="R34" s="1" t="s">
        <v>22</v>
      </c>
      <c r="S34" s="18">
        <v>45050</v>
      </c>
      <c r="T34" s="1" t="s">
        <v>42</v>
      </c>
      <c r="W34" s="20">
        <f t="shared" ref="W34:W65" ca="1" si="1">IF(ISNUMBER(S34),(TODAY()-S34)/365.25,"")</f>
        <v>3.482546201232033</v>
      </c>
      <c r="X34" t="s">
        <v>1000</v>
      </c>
      <c r="Y34" t="s">
        <v>1000</v>
      </c>
      <c r="Z34" t="s">
        <v>1092</v>
      </c>
    </row>
    <row r="35" spans="1:26" ht="15" customHeight="1" x14ac:dyDescent="0.3">
      <c r="A35" s="1" t="s">
        <v>122</v>
      </c>
      <c r="B35" s="1">
        <v>184000</v>
      </c>
      <c r="C35" s="1" t="s">
        <v>22</v>
      </c>
      <c r="D35" s="1">
        <v>0</v>
      </c>
      <c r="E35" s="1" t="s">
        <v>36</v>
      </c>
      <c r="F35" s="1" t="s">
        <v>36</v>
      </c>
      <c r="G35" s="1" t="s">
        <v>36</v>
      </c>
      <c r="H35" s="1" t="s">
        <v>22</v>
      </c>
      <c r="I35" s="1" t="s">
        <v>23</v>
      </c>
      <c r="J35" s="1" t="s">
        <v>50</v>
      </c>
      <c r="K35" s="1" t="s">
        <v>22</v>
      </c>
      <c r="L35" s="1" t="s">
        <v>22</v>
      </c>
      <c r="M35" s="1" t="s">
        <v>26</v>
      </c>
      <c r="N35" s="1" t="s">
        <v>58</v>
      </c>
      <c r="O35" s="1" t="s">
        <v>243</v>
      </c>
      <c r="P35" s="1"/>
      <c r="Q35" s="1" t="s">
        <v>40</v>
      </c>
      <c r="R35" s="1" t="s">
        <v>123</v>
      </c>
      <c r="S35" s="18">
        <v>44879</v>
      </c>
      <c r="T35" s="1" t="s">
        <v>42</v>
      </c>
      <c r="U35" s="1" t="s">
        <v>48</v>
      </c>
      <c r="V35" t="s">
        <v>874</v>
      </c>
      <c r="W35" s="20">
        <f t="shared" ca="1" si="1"/>
        <v>3.9507186858316223</v>
      </c>
      <c r="X35" t="s">
        <v>1001</v>
      </c>
      <c r="Y35" t="s">
        <v>1000</v>
      </c>
      <c r="Z35" t="s">
        <v>1092</v>
      </c>
    </row>
    <row r="36" spans="1:26" ht="14.25" customHeight="1" x14ac:dyDescent="0.3">
      <c r="A36" s="1" t="s">
        <v>124</v>
      </c>
      <c r="B36" s="1">
        <v>518000</v>
      </c>
      <c r="C36" s="1">
        <f>4*110</f>
        <v>440</v>
      </c>
      <c r="D36" s="1">
        <v>0</v>
      </c>
      <c r="E36" s="1" t="s">
        <v>36</v>
      </c>
      <c r="F36" s="1" t="s">
        <v>36</v>
      </c>
      <c r="G36" s="1" t="s">
        <v>36</v>
      </c>
      <c r="H36" s="1" t="s">
        <v>36</v>
      </c>
      <c r="I36" s="1" t="s">
        <v>23</v>
      </c>
      <c r="J36" s="1" t="s">
        <v>50</v>
      </c>
      <c r="K36" s="1" t="s">
        <v>125</v>
      </c>
      <c r="L36" s="1" t="s">
        <v>22</v>
      </c>
      <c r="M36" s="1" t="s">
        <v>26</v>
      </c>
      <c r="N36" s="1" t="s">
        <v>46</v>
      </c>
      <c r="O36" s="1" t="s">
        <v>243</v>
      </c>
      <c r="P36" s="1"/>
      <c r="Q36" s="1" t="s">
        <v>40</v>
      </c>
      <c r="R36" s="1" t="s">
        <v>126</v>
      </c>
      <c r="S36" s="18">
        <v>44692</v>
      </c>
      <c r="T36" s="1" t="s">
        <v>42</v>
      </c>
      <c r="U36" s="1" t="s">
        <v>84</v>
      </c>
      <c r="V36" s="12"/>
      <c r="W36" s="20">
        <f t="shared" ca="1" si="1"/>
        <v>4.4626967830253248</v>
      </c>
      <c r="X36" t="s">
        <v>1000</v>
      </c>
      <c r="Y36" t="s">
        <v>1000</v>
      </c>
      <c r="Z36" t="s">
        <v>1092</v>
      </c>
    </row>
    <row r="37" spans="1:26" ht="14.25" customHeight="1" x14ac:dyDescent="0.3">
      <c r="A37" s="1" t="s">
        <v>127</v>
      </c>
      <c r="B37" s="1">
        <v>114000</v>
      </c>
      <c r="C37" s="1" t="s">
        <v>22</v>
      </c>
      <c r="D37" s="1">
        <f>228800*2</f>
        <v>457600</v>
      </c>
      <c r="E37" s="1" t="s">
        <v>36</v>
      </c>
      <c r="F37" s="1" t="s">
        <v>36</v>
      </c>
      <c r="G37" s="1" t="s">
        <v>36</v>
      </c>
      <c r="H37" s="1" t="s">
        <v>22</v>
      </c>
      <c r="I37" s="1" t="s">
        <v>23</v>
      </c>
      <c r="J37" s="1" t="s">
        <v>68</v>
      </c>
      <c r="K37" s="1" t="s">
        <v>128</v>
      </c>
      <c r="L37" s="1" t="s">
        <v>22</v>
      </c>
      <c r="M37" s="1" t="s">
        <v>26</v>
      </c>
      <c r="N37" s="1" t="s">
        <v>38</v>
      </c>
      <c r="O37" s="1" t="s">
        <v>39</v>
      </c>
      <c r="P37" s="1"/>
      <c r="Q37" s="1" t="s">
        <v>53</v>
      </c>
      <c r="R37" s="1" t="s">
        <v>129</v>
      </c>
      <c r="S37" s="18">
        <v>45399</v>
      </c>
      <c r="T37" s="1" t="s">
        <v>42</v>
      </c>
      <c r="U37" s="1" t="s">
        <v>130</v>
      </c>
      <c r="V37" t="s">
        <v>875</v>
      </c>
      <c r="W37" s="20">
        <f t="shared" ca="1" si="1"/>
        <v>2.5270362765229293</v>
      </c>
      <c r="X37" t="s">
        <v>1000</v>
      </c>
      <c r="Y37" t="s">
        <v>1000</v>
      </c>
      <c r="Z37" t="s">
        <v>1092</v>
      </c>
    </row>
    <row r="38" spans="1:26" ht="14.25" customHeight="1" x14ac:dyDescent="0.3">
      <c r="A38" s="1" t="s">
        <v>234</v>
      </c>
      <c r="B38" s="1">
        <v>330000</v>
      </c>
      <c r="C38" s="1" t="s">
        <v>22</v>
      </c>
      <c r="D38" s="1">
        <v>0</v>
      </c>
      <c r="E38" s="1" t="s">
        <v>36</v>
      </c>
      <c r="F38" s="1" t="s">
        <v>36</v>
      </c>
      <c r="G38" s="1" t="s">
        <v>36</v>
      </c>
      <c r="H38" s="1" t="s">
        <v>36</v>
      </c>
      <c r="I38" s="1" t="s">
        <v>23</v>
      </c>
      <c r="J38" s="1" t="s">
        <v>62</v>
      </c>
      <c r="K38" s="1" t="s">
        <v>235</v>
      </c>
      <c r="L38" s="1" t="s">
        <v>52</v>
      </c>
      <c r="M38" s="1" t="s">
        <v>26</v>
      </c>
      <c r="N38" s="1" t="s">
        <v>27</v>
      </c>
      <c r="O38" s="1" t="s">
        <v>243</v>
      </c>
      <c r="P38" s="1"/>
      <c r="Q38" s="1" t="s">
        <v>53</v>
      </c>
      <c r="R38" s="1" t="s">
        <v>22</v>
      </c>
      <c r="S38" s="18">
        <v>45713</v>
      </c>
      <c r="T38" s="1" t="s">
        <v>42</v>
      </c>
      <c r="U38" s="1" t="s">
        <v>22</v>
      </c>
      <c r="V38" s="12"/>
      <c r="W38" s="20">
        <f t="shared" ca="1" si="1"/>
        <v>1.6673511293634498</v>
      </c>
      <c r="X38" t="s">
        <v>1000</v>
      </c>
      <c r="Y38" t="s">
        <v>1000</v>
      </c>
      <c r="Z38" t="s">
        <v>1092</v>
      </c>
    </row>
    <row r="39" spans="1:26" ht="14.25" customHeight="1" x14ac:dyDescent="0.3">
      <c r="A39" s="1" t="s">
        <v>131</v>
      </c>
      <c r="B39" s="1">
        <v>33000</v>
      </c>
      <c r="C39" s="1">
        <f>1*33</f>
        <v>33</v>
      </c>
      <c r="D39" s="1">
        <v>0</v>
      </c>
      <c r="E39" s="1" t="s">
        <v>36</v>
      </c>
      <c r="F39" s="1" t="s">
        <v>36</v>
      </c>
      <c r="G39" s="1" t="s">
        <v>36</v>
      </c>
      <c r="H39" s="1" t="s">
        <v>36</v>
      </c>
      <c r="I39" s="1" t="s">
        <v>23</v>
      </c>
      <c r="J39" s="1" t="s">
        <v>34</v>
      </c>
      <c r="K39" s="1" t="s">
        <v>132</v>
      </c>
      <c r="L39" s="1" t="s">
        <v>22</v>
      </c>
      <c r="M39" s="1" t="s">
        <v>26</v>
      </c>
      <c r="N39" s="1" t="s">
        <v>38</v>
      </c>
      <c r="O39" s="1" t="s">
        <v>243</v>
      </c>
      <c r="P39" s="1"/>
      <c r="Q39" s="1" t="s">
        <v>40</v>
      </c>
      <c r="R39" s="1" t="s">
        <v>133</v>
      </c>
      <c r="S39" s="18">
        <v>45248</v>
      </c>
      <c r="T39" s="1" t="s">
        <v>42</v>
      </c>
      <c r="U39" s="1" t="s">
        <v>84</v>
      </c>
      <c r="V39" t="s">
        <v>875</v>
      </c>
      <c r="W39" s="20">
        <f t="shared" ca="1" si="1"/>
        <v>2.9404517453798769</v>
      </c>
      <c r="X39" t="s">
        <v>1000</v>
      </c>
      <c r="Y39" t="s">
        <v>1000</v>
      </c>
      <c r="Z39" t="s">
        <v>1092</v>
      </c>
    </row>
    <row r="40" spans="1:26" ht="14.25" customHeight="1" x14ac:dyDescent="0.3">
      <c r="A40" s="1" t="s">
        <v>134</v>
      </c>
      <c r="B40" s="1">
        <v>281000</v>
      </c>
      <c r="C40" s="1">
        <f>2*125</f>
        <v>250</v>
      </c>
      <c r="D40" s="1">
        <v>0</v>
      </c>
      <c r="E40" s="1" t="s">
        <v>36</v>
      </c>
      <c r="F40" s="1" t="s">
        <v>36</v>
      </c>
      <c r="G40" s="1" t="s">
        <v>36</v>
      </c>
      <c r="H40" s="1" t="s">
        <v>72</v>
      </c>
      <c r="I40" s="1" t="s">
        <v>23</v>
      </c>
      <c r="J40" s="1" t="s">
        <v>34</v>
      </c>
      <c r="K40" s="1" t="s">
        <v>135</v>
      </c>
      <c r="L40" s="1" t="s">
        <v>22</v>
      </c>
      <c r="M40" s="1" t="s">
        <v>26</v>
      </c>
      <c r="N40" s="1" t="s">
        <v>58</v>
      </c>
      <c r="O40" s="1" t="s">
        <v>243</v>
      </c>
      <c r="P40" s="1"/>
      <c r="Q40" s="1" t="s">
        <v>40</v>
      </c>
      <c r="R40" s="1" t="s">
        <v>136</v>
      </c>
      <c r="S40" s="18">
        <v>45351</v>
      </c>
      <c r="T40" s="1" t="s">
        <v>42</v>
      </c>
      <c r="U40" s="1" t="s">
        <v>137</v>
      </c>
      <c r="V40" t="s">
        <v>874</v>
      </c>
      <c r="W40" s="20">
        <f t="shared" ca="1" si="1"/>
        <v>2.6584531143052703</v>
      </c>
      <c r="X40" t="s">
        <v>1000</v>
      </c>
      <c r="Y40" t="s">
        <v>1000</v>
      </c>
      <c r="Z40" t="s">
        <v>1092</v>
      </c>
    </row>
    <row r="41" spans="1:26" ht="14.25" customHeight="1" x14ac:dyDescent="0.3">
      <c r="A41" s="1" t="s">
        <v>138</v>
      </c>
      <c r="B41" s="1">
        <v>158400</v>
      </c>
      <c r="C41" s="1">
        <v>125</v>
      </c>
      <c r="D41" s="1">
        <v>0</v>
      </c>
      <c r="E41" s="1" t="s">
        <v>20</v>
      </c>
      <c r="F41" s="1" t="s">
        <v>139</v>
      </c>
      <c r="G41" s="1" t="s">
        <v>36</v>
      </c>
      <c r="H41" s="1" t="s">
        <v>22</v>
      </c>
      <c r="I41" s="1" t="s">
        <v>23</v>
      </c>
      <c r="J41" s="1" t="s">
        <v>68</v>
      </c>
      <c r="K41" s="1" t="s">
        <v>140</v>
      </c>
      <c r="L41" s="1" t="s">
        <v>22</v>
      </c>
      <c r="M41" s="1" t="s">
        <v>37</v>
      </c>
      <c r="N41" s="1" t="s">
        <v>38</v>
      </c>
      <c r="O41" s="1" t="s">
        <v>39</v>
      </c>
      <c r="P41" s="1"/>
      <c r="Q41" s="1" t="s">
        <v>29</v>
      </c>
      <c r="R41" s="1" t="s">
        <v>141</v>
      </c>
      <c r="S41" s="18">
        <v>45182</v>
      </c>
      <c r="T41" s="1" t="s">
        <v>42</v>
      </c>
      <c r="U41" s="1" t="s">
        <v>22</v>
      </c>
      <c r="V41" t="s">
        <v>874</v>
      </c>
      <c r="W41" s="20">
        <f t="shared" ca="1" si="1"/>
        <v>3.1211498973305956</v>
      </c>
      <c r="X41" t="s">
        <v>1000</v>
      </c>
      <c r="Y41" t="s">
        <v>1000</v>
      </c>
      <c r="Z41" t="s">
        <v>1092</v>
      </c>
    </row>
    <row r="42" spans="1:26" ht="14.25" customHeight="1" x14ac:dyDescent="0.3">
      <c r="A42" s="1" t="s">
        <v>220</v>
      </c>
      <c r="B42" s="1">
        <v>300000</v>
      </c>
      <c r="C42" s="1" t="s">
        <v>22</v>
      </c>
      <c r="D42" s="1">
        <v>0</v>
      </c>
      <c r="E42" s="1" t="s">
        <v>36</v>
      </c>
      <c r="F42" s="1" t="s">
        <v>36</v>
      </c>
      <c r="G42" s="1" t="s">
        <v>36</v>
      </c>
      <c r="H42" s="1" t="s">
        <v>36</v>
      </c>
      <c r="I42" s="1" t="s">
        <v>23</v>
      </c>
      <c r="J42" s="1" t="s">
        <v>34</v>
      </c>
      <c r="K42" s="1" t="s">
        <v>221</v>
      </c>
      <c r="L42" s="1" t="s">
        <v>52</v>
      </c>
      <c r="M42" s="1" t="s">
        <v>26</v>
      </c>
      <c r="N42" s="1" t="s">
        <v>58</v>
      </c>
      <c r="O42" s="1" t="s">
        <v>243</v>
      </c>
      <c r="P42" s="1"/>
      <c r="Q42" s="1" t="s">
        <v>29</v>
      </c>
      <c r="R42" s="1" t="s">
        <v>22</v>
      </c>
      <c r="S42" s="18">
        <v>45924</v>
      </c>
      <c r="T42" s="1" t="s">
        <v>42</v>
      </c>
      <c r="U42" s="1" t="s">
        <v>210</v>
      </c>
      <c r="V42" t="s">
        <v>875</v>
      </c>
      <c r="W42" s="20">
        <f t="shared" ca="1" si="1"/>
        <v>1.0896646132785763</v>
      </c>
      <c r="X42" t="s">
        <v>1001</v>
      </c>
      <c r="Y42" t="s">
        <v>1000</v>
      </c>
      <c r="Z42" t="s">
        <v>1092</v>
      </c>
    </row>
    <row r="43" spans="1:26" ht="14.25" customHeight="1" x14ac:dyDescent="0.3">
      <c r="A43" s="1" t="s">
        <v>222</v>
      </c>
      <c r="B43" s="1">
        <v>70000</v>
      </c>
      <c r="C43" s="1" t="s">
        <v>22</v>
      </c>
      <c r="D43" s="1">
        <v>0</v>
      </c>
      <c r="E43" s="1" t="s">
        <v>36</v>
      </c>
      <c r="F43" s="1" t="s">
        <v>36</v>
      </c>
      <c r="G43" s="1" t="s">
        <v>36</v>
      </c>
      <c r="H43" s="1" t="s">
        <v>36</v>
      </c>
      <c r="I43" s="1" t="s">
        <v>23</v>
      </c>
      <c r="J43" s="1" t="s">
        <v>34</v>
      </c>
      <c r="K43" s="1" t="s">
        <v>221</v>
      </c>
      <c r="L43" s="1" t="s">
        <v>52</v>
      </c>
      <c r="M43" s="1" t="s">
        <v>26</v>
      </c>
      <c r="N43" s="1" t="s">
        <v>58</v>
      </c>
      <c r="O43" s="1" t="s">
        <v>243</v>
      </c>
      <c r="P43" s="1"/>
      <c r="Q43" s="1" t="s">
        <v>29</v>
      </c>
      <c r="R43" s="1" t="s">
        <v>22</v>
      </c>
      <c r="S43" s="18">
        <v>45924</v>
      </c>
      <c r="T43" s="1" t="s">
        <v>42</v>
      </c>
      <c r="U43" s="1" t="s">
        <v>210</v>
      </c>
      <c r="V43" t="s">
        <v>875</v>
      </c>
      <c r="W43" s="20">
        <f t="shared" ca="1" si="1"/>
        <v>1.0896646132785763</v>
      </c>
      <c r="X43" t="s">
        <v>1001</v>
      </c>
      <c r="Y43" t="s">
        <v>1000</v>
      </c>
      <c r="Z43" t="s">
        <v>1092</v>
      </c>
    </row>
    <row r="44" spans="1:26" ht="14.25" customHeight="1" x14ac:dyDescent="0.3">
      <c r="A44" s="1" t="s">
        <v>142</v>
      </c>
      <c r="B44" s="1">
        <v>35000</v>
      </c>
      <c r="C44" s="1">
        <f>1*33</f>
        <v>33</v>
      </c>
      <c r="D44" s="1">
        <v>0</v>
      </c>
      <c r="E44" s="1" t="s">
        <v>36</v>
      </c>
      <c r="F44" s="1" t="s">
        <v>36</v>
      </c>
      <c r="G44" s="1" t="s">
        <v>36</v>
      </c>
      <c r="H44" s="1" t="s">
        <v>36</v>
      </c>
      <c r="I44" s="1" t="s">
        <v>23</v>
      </c>
      <c r="J44" s="1" t="s">
        <v>34</v>
      </c>
      <c r="K44" s="1" t="s">
        <v>143</v>
      </c>
      <c r="L44" s="1" t="s">
        <v>22</v>
      </c>
      <c r="M44" s="1" t="s">
        <v>37</v>
      </c>
      <c r="N44" s="1" t="s">
        <v>58</v>
      </c>
      <c r="O44" s="1" t="s">
        <v>243</v>
      </c>
      <c r="P44" s="1"/>
      <c r="Q44" s="1" t="s">
        <v>40</v>
      </c>
      <c r="R44" s="1" t="s">
        <v>144</v>
      </c>
      <c r="S44" s="18">
        <v>45174</v>
      </c>
      <c r="T44" s="1" t="s">
        <v>42</v>
      </c>
      <c r="U44" s="1" t="s">
        <v>84</v>
      </c>
      <c r="V44" t="s">
        <v>875</v>
      </c>
      <c r="W44" s="20">
        <f t="shared" ca="1" si="1"/>
        <v>3.1430527036276521</v>
      </c>
      <c r="X44" t="s">
        <v>1000</v>
      </c>
      <c r="Y44" t="s">
        <v>1000</v>
      </c>
      <c r="Z44" t="s">
        <v>1092</v>
      </c>
    </row>
    <row r="45" spans="1:26" ht="14.25" customHeight="1" x14ac:dyDescent="0.3">
      <c r="A45" s="1" t="s">
        <v>145</v>
      </c>
      <c r="B45" s="1">
        <v>220000</v>
      </c>
      <c r="C45" s="1" t="s">
        <v>22</v>
      </c>
      <c r="D45" s="1">
        <v>0</v>
      </c>
      <c r="E45" s="1" t="s">
        <v>36</v>
      </c>
      <c r="F45" s="1" t="s">
        <v>36</v>
      </c>
      <c r="G45" s="1" t="s">
        <v>36</v>
      </c>
      <c r="H45" s="1" t="s">
        <v>22</v>
      </c>
      <c r="I45" s="1" t="s">
        <v>23</v>
      </c>
      <c r="J45" s="1" t="s">
        <v>24</v>
      </c>
      <c r="K45" s="1" t="s">
        <v>146</v>
      </c>
      <c r="L45" s="1" t="s">
        <v>22</v>
      </c>
      <c r="M45" s="1" t="s">
        <v>26</v>
      </c>
      <c r="N45" s="1" t="s">
        <v>46</v>
      </c>
      <c r="O45" s="1" t="s">
        <v>243</v>
      </c>
      <c r="P45" s="1"/>
      <c r="Q45" s="1" t="s">
        <v>29</v>
      </c>
      <c r="R45" s="1" t="s">
        <v>147</v>
      </c>
      <c r="S45" s="18">
        <v>45101</v>
      </c>
      <c r="T45" s="1" t="s">
        <v>42</v>
      </c>
      <c r="U45" s="1" t="s">
        <v>148</v>
      </c>
      <c r="V45" t="s">
        <v>874</v>
      </c>
      <c r="W45" s="20">
        <f t="shared" ca="1" si="1"/>
        <v>3.3429158110882957</v>
      </c>
      <c r="X45" s="21" t="s">
        <v>1000</v>
      </c>
      <c r="Y45" t="s">
        <v>1000</v>
      </c>
      <c r="Z45" t="s">
        <v>1092</v>
      </c>
    </row>
    <row r="46" spans="1:26" ht="14.25" customHeight="1" x14ac:dyDescent="0.3">
      <c r="A46" s="1" t="s">
        <v>149</v>
      </c>
      <c r="B46" s="1">
        <v>66000</v>
      </c>
      <c r="C46" s="1">
        <f>2*33</f>
        <v>66</v>
      </c>
      <c r="D46" s="1">
        <v>0</v>
      </c>
      <c r="E46" s="1" t="s">
        <v>36</v>
      </c>
      <c r="F46" s="1" t="s">
        <v>36</v>
      </c>
      <c r="G46" s="1" t="s">
        <v>36</v>
      </c>
      <c r="H46" s="1" t="s">
        <v>36</v>
      </c>
      <c r="I46" s="1" t="s">
        <v>23</v>
      </c>
      <c r="J46" s="1" t="s">
        <v>34</v>
      </c>
      <c r="K46" s="1" t="s">
        <v>150</v>
      </c>
      <c r="L46" s="1" t="s">
        <v>22</v>
      </c>
      <c r="M46" s="1" t="s">
        <v>26</v>
      </c>
      <c r="N46" s="1" t="s">
        <v>46</v>
      </c>
      <c r="O46" s="1" t="s">
        <v>243</v>
      </c>
      <c r="P46" s="1"/>
      <c r="Q46" s="1" t="s">
        <v>40</v>
      </c>
      <c r="R46" s="1" t="s">
        <v>151</v>
      </c>
      <c r="S46" s="18">
        <v>44688</v>
      </c>
      <c r="T46" s="1" t="s">
        <v>42</v>
      </c>
      <c r="U46" s="1" t="s">
        <v>84</v>
      </c>
      <c r="V46" t="s">
        <v>875</v>
      </c>
      <c r="W46" s="20">
        <f t="shared" ca="1" si="1"/>
        <v>4.473648186173854</v>
      </c>
      <c r="X46" t="s">
        <v>1000</v>
      </c>
      <c r="Y46" t="s">
        <v>1000</v>
      </c>
      <c r="Z46" t="s">
        <v>1092</v>
      </c>
    </row>
    <row r="47" spans="1:26" ht="14.25" customHeight="1" x14ac:dyDescent="0.3">
      <c r="A47" s="1" t="s">
        <v>152</v>
      </c>
      <c r="B47" s="1">
        <v>95000</v>
      </c>
      <c r="C47" s="1" t="s">
        <v>22</v>
      </c>
      <c r="D47" s="1">
        <v>0</v>
      </c>
      <c r="E47" s="1" t="s">
        <v>36</v>
      </c>
      <c r="F47" s="1" t="s">
        <v>36</v>
      </c>
      <c r="G47" s="1" t="s">
        <v>36</v>
      </c>
      <c r="H47" s="1" t="s">
        <v>22</v>
      </c>
      <c r="I47" s="1" t="s">
        <v>23</v>
      </c>
      <c r="J47" s="1" t="s">
        <v>153</v>
      </c>
      <c r="K47" s="1" t="s">
        <v>154</v>
      </c>
      <c r="L47" s="1" t="s">
        <v>22</v>
      </c>
      <c r="M47" s="1" t="s">
        <v>26</v>
      </c>
      <c r="N47" s="1" t="s">
        <v>27</v>
      </c>
      <c r="O47" s="1" t="s">
        <v>243</v>
      </c>
      <c r="P47" s="1"/>
      <c r="Q47" s="1" t="s">
        <v>29</v>
      </c>
      <c r="R47" s="1" t="s">
        <v>22</v>
      </c>
      <c r="S47" s="18">
        <v>44161</v>
      </c>
      <c r="T47" s="1" t="s">
        <v>42</v>
      </c>
      <c r="U47" s="1" t="s">
        <v>22</v>
      </c>
      <c r="V47" t="s">
        <v>874</v>
      </c>
      <c r="W47" s="20">
        <f t="shared" ca="1" si="1"/>
        <v>5.9164955509924706</v>
      </c>
      <c r="X47" t="s">
        <v>1000</v>
      </c>
      <c r="Y47" t="s">
        <v>1000</v>
      </c>
      <c r="Z47" t="s">
        <v>1092</v>
      </c>
    </row>
    <row r="48" spans="1:26" ht="14.25" customHeight="1" x14ac:dyDescent="0.3">
      <c r="A48" s="1" t="s">
        <v>155</v>
      </c>
      <c r="B48" s="1">
        <v>35000</v>
      </c>
      <c r="C48" s="1">
        <v>30</v>
      </c>
      <c r="D48" s="1">
        <v>0</v>
      </c>
      <c r="E48" s="1" t="s">
        <v>36</v>
      </c>
      <c r="F48" s="1" t="s">
        <v>36</v>
      </c>
      <c r="G48" s="1" t="s">
        <v>36</v>
      </c>
      <c r="H48" s="1" t="s">
        <v>72</v>
      </c>
      <c r="I48" s="1" t="s">
        <v>23</v>
      </c>
      <c r="J48" s="1" t="s">
        <v>34</v>
      </c>
      <c r="K48" s="1" t="s">
        <v>22</v>
      </c>
      <c r="L48" s="1" t="s">
        <v>22</v>
      </c>
      <c r="M48" s="1" t="s">
        <v>26</v>
      </c>
      <c r="N48" s="1" t="s">
        <v>58</v>
      </c>
      <c r="O48" s="1" t="s">
        <v>243</v>
      </c>
      <c r="P48" s="1"/>
      <c r="Q48" s="1" t="s">
        <v>29</v>
      </c>
      <c r="R48" s="1" t="s">
        <v>156</v>
      </c>
      <c r="S48" s="18">
        <v>45092</v>
      </c>
      <c r="T48" s="1" t="s">
        <v>42</v>
      </c>
      <c r="U48" s="1" t="s">
        <v>137</v>
      </c>
      <c r="V48" t="s">
        <v>874</v>
      </c>
      <c r="W48" s="20">
        <f t="shared" ca="1" si="1"/>
        <v>3.3675564681724848</v>
      </c>
      <c r="X48" t="s">
        <v>1000</v>
      </c>
      <c r="Y48" t="s">
        <v>1000</v>
      </c>
      <c r="Z48" t="s">
        <v>1092</v>
      </c>
    </row>
    <row r="49" spans="1:26" ht="14.25" customHeight="1" x14ac:dyDescent="0.3">
      <c r="A49" s="1" t="s">
        <v>157</v>
      </c>
      <c r="B49" s="1">
        <v>40000</v>
      </c>
      <c r="C49" s="1">
        <v>33</v>
      </c>
      <c r="D49" s="1">
        <v>0</v>
      </c>
      <c r="E49" s="1" t="s">
        <v>36</v>
      </c>
      <c r="F49" s="1" t="s">
        <v>36</v>
      </c>
      <c r="G49" s="1" t="s">
        <v>36</v>
      </c>
      <c r="H49" s="1" t="s">
        <v>36</v>
      </c>
      <c r="I49" s="1" t="s">
        <v>23</v>
      </c>
      <c r="J49" s="1" t="s">
        <v>34</v>
      </c>
      <c r="K49" s="1" t="s">
        <v>158</v>
      </c>
      <c r="L49" s="1" t="s">
        <v>22</v>
      </c>
      <c r="M49" s="1" t="s">
        <v>26</v>
      </c>
      <c r="N49" s="1" t="s">
        <v>38</v>
      </c>
      <c r="O49" s="1" t="s">
        <v>39</v>
      </c>
      <c r="P49" s="1"/>
      <c r="Q49" s="1" t="s">
        <v>29</v>
      </c>
      <c r="R49" s="1" t="s">
        <v>159</v>
      </c>
      <c r="S49" s="18">
        <v>44663</v>
      </c>
      <c r="T49" s="1" t="s">
        <v>42</v>
      </c>
      <c r="U49" s="1" t="s">
        <v>22</v>
      </c>
      <c r="V49" t="s">
        <v>874</v>
      </c>
      <c r="W49" s="20">
        <f t="shared" ca="1" si="1"/>
        <v>4.5420944558521557</v>
      </c>
      <c r="X49" t="s">
        <v>1000</v>
      </c>
      <c r="Y49" t="s">
        <v>1000</v>
      </c>
      <c r="Z49" t="s">
        <v>1092</v>
      </c>
    </row>
    <row r="50" spans="1:26" ht="14.25" customHeight="1" x14ac:dyDescent="0.3">
      <c r="A50" s="1" t="s">
        <v>160</v>
      </c>
      <c r="B50" s="1">
        <v>110000</v>
      </c>
      <c r="C50" s="1">
        <f>2*50</f>
        <v>100</v>
      </c>
      <c r="D50" s="1">
        <v>0</v>
      </c>
      <c r="E50" s="1" t="s">
        <v>36</v>
      </c>
      <c r="F50" s="1" t="s">
        <v>36</v>
      </c>
      <c r="G50" s="1" t="s">
        <v>36</v>
      </c>
      <c r="H50" s="1" t="s">
        <v>36</v>
      </c>
      <c r="I50" s="1" t="s">
        <v>23</v>
      </c>
      <c r="J50" s="1" t="s">
        <v>153</v>
      </c>
      <c r="K50" s="1" t="s">
        <v>161</v>
      </c>
      <c r="L50" s="1" t="s">
        <v>22</v>
      </c>
      <c r="M50" s="1" t="s">
        <v>26</v>
      </c>
      <c r="N50" s="1" t="s">
        <v>38</v>
      </c>
      <c r="O50" s="1" t="s">
        <v>243</v>
      </c>
      <c r="P50" s="1"/>
      <c r="Q50" s="1" t="s">
        <v>40</v>
      </c>
      <c r="R50" s="1" t="s">
        <v>162</v>
      </c>
      <c r="S50" s="18">
        <v>45058</v>
      </c>
      <c r="T50" s="1" t="s">
        <v>42</v>
      </c>
      <c r="U50" s="1" t="s">
        <v>84</v>
      </c>
      <c r="V50" t="s">
        <v>875</v>
      </c>
      <c r="W50" s="20">
        <f t="shared" ca="1" si="1"/>
        <v>3.460643394934976</v>
      </c>
      <c r="X50" t="s">
        <v>1000</v>
      </c>
      <c r="Y50" t="s">
        <v>1000</v>
      </c>
      <c r="Z50" t="s">
        <v>1092</v>
      </c>
    </row>
    <row r="51" spans="1:26" ht="14.25" customHeight="1" x14ac:dyDescent="0.3">
      <c r="A51" t="s">
        <v>244</v>
      </c>
      <c r="B51">
        <v>127440</v>
      </c>
      <c r="C51">
        <v>100</v>
      </c>
      <c r="D51">
        <v>246000</v>
      </c>
      <c r="E51" t="s">
        <v>229</v>
      </c>
      <c r="F51" t="s">
        <v>229</v>
      </c>
      <c r="G51" s="1" t="s">
        <v>36</v>
      </c>
      <c r="H51" s="1" t="s">
        <v>36</v>
      </c>
      <c r="I51" s="1" t="s">
        <v>245</v>
      </c>
      <c r="J51" t="s">
        <v>246</v>
      </c>
      <c r="K51" t="s">
        <v>247</v>
      </c>
      <c r="L51" t="s">
        <v>36</v>
      </c>
      <c r="M51" t="s">
        <v>37</v>
      </c>
      <c r="N51" s="1" t="s">
        <v>58</v>
      </c>
      <c r="O51" s="1" t="s">
        <v>243</v>
      </c>
      <c r="P51" s="1"/>
      <c r="Q51" s="1" t="s">
        <v>1065</v>
      </c>
      <c r="R51" s="1" t="s">
        <v>22</v>
      </c>
      <c r="S51" s="19">
        <v>46114</v>
      </c>
      <c r="T51" t="s">
        <v>248</v>
      </c>
      <c r="U51" t="s">
        <v>233</v>
      </c>
      <c r="V51" t="s">
        <v>874</v>
      </c>
      <c r="W51" s="20">
        <f t="shared" ca="1" si="1"/>
        <v>0.56947296372347711</v>
      </c>
      <c r="X51" t="s">
        <v>1008</v>
      </c>
      <c r="Y51" t="s">
        <v>1000</v>
      </c>
      <c r="Z51" t="s">
        <v>1092</v>
      </c>
    </row>
    <row r="52" spans="1:26" ht="14.25" customHeight="1" x14ac:dyDescent="0.3">
      <c r="A52" s="1" t="s">
        <v>163</v>
      </c>
      <c r="B52" s="1">
        <v>38000</v>
      </c>
      <c r="C52" s="1">
        <v>30</v>
      </c>
      <c r="D52" s="1">
        <v>0</v>
      </c>
      <c r="E52" s="1" t="s">
        <v>36</v>
      </c>
      <c r="F52" s="1" t="s">
        <v>36</v>
      </c>
      <c r="G52" s="1" t="s">
        <v>36</v>
      </c>
      <c r="H52" s="1" t="s">
        <v>36</v>
      </c>
      <c r="I52" s="1" t="s">
        <v>23</v>
      </c>
      <c r="J52" s="1" t="s">
        <v>34</v>
      </c>
      <c r="K52" s="1" t="s">
        <v>164</v>
      </c>
      <c r="L52" s="1" t="s">
        <v>22</v>
      </c>
      <c r="M52" s="1" t="s">
        <v>26</v>
      </c>
      <c r="N52" s="1" t="s">
        <v>27</v>
      </c>
      <c r="O52" s="1" t="s">
        <v>28</v>
      </c>
      <c r="P52" s="1"/>
      <c r="Q52" s="1" t="s">
        <v>29</v>
      </c>
      <c r="R52" s="1" t="s">
        <v>165</v>
      </c>
      <c r="S52" s="18" t="s">
        <v>22</v>
      </c>
      <c r="T52" s="1" t="s">
        <v>42</v>
      </c>
      <c r="U52" s="1" t="s">
        <v>22</v>
      </c>
      <c r="V52" t="s">
        <v>874</v>
      </c>
      <c r="W52" s="20" t="str">
        <f t="shared" ca="1" si="1"/>
        <v/>
      </c>
      <c r="X52" t="s">
        <v>1000</v>
      </c>
      <c r="Y52" t="s">
        <v>1000</v>
      </c>
      <c r="Z52" t="s">
        <v>1092</v>
      </c>
    </row>
    <row r="53" spans="1:26" ht="14.25" customHeight="1" x14ac:dyDescent="0.3">
      <c r="A53" s="1" t="s">
        <v>166</v>
      </c>
      <c r="B53" s="1">
        <v>180000</v>
      </c>
      <c r="C53" s="1">
        <v>100</v>
      </c>
      <c r="D53" s="1">
        <v>0</v>
      </c>
      <c r="E53" s="1" t="s">
        <v>36</v>
      </c>
      <c r="F53" s="1" t="s">
        <v>36</v>
      </c>
      <c r="G53" s="1" t="s">
        <v>36</v>
      </c>
      <c r="H53" s="1" t="s">
        <v>36</v>
      </c>
      <c r="I53" s="1" t="s">
        <v>23</v>
      </c>
      <c r="J53" s="1" t="s">
        <v>56</v>
      </c>
      <c r="K53" s="1" t="s">
        <v>167</v>
      </c>
      <c r="L53" s="1" t="s">
        <v>22</v>
      </c>
      <c r="M53" s="1" t="s">
        <v>26</v>
      </c>
      <c r="N53" s="1" t="s">
        <v>58</v>
      </c>
      <c r="O53" s="1" t="s">
        <v>39</v>
      </c>
      <c r="P53" s="1"/>
      <c r="Q53" s="1" t="s">
        <v>29</v>
      </c>
      <c r="R53" s="1" t="s">
        <v>168</v>
      </c>
      <c r="S53" s="18">
        <v>45110</v>
      </c>
      <c r="T53" s="1" t="s">
        <v>42</v>
      </c>
      <c r="U53" s="1" t="s">
        <v>101</v>
      </c>
      <c r="V53" t="s">
        <v>874</v>
      </c>
      <c r="W53" s="20">
        <f t="shared" ca="1" si="1"/>
        <v>3.3182751540041067</v>
      </c>
      <c r="X53" t="s">
        <v>1000</v>
      </c>
      <c r="Y53" t="s">
        <v>1000</v>
      </c>
      <c r="Z53" t="s">
        <v>1092</v>
      </c>
    </row>
    <row r="54" spans="1:26" ht="14.25" customHeight="1" x14ac:dyDescent="0.3">
      <c r="A54" s="1" t="s">
        <v>169</v>
      </c>
      <c r="B54" s="1">
        <v>27300</v>
      </c>
      <c r="C54" s="1">
        <v>30</v>
      </c>
      <c r="D54" s="1">
        <v>0</v>
      </c>
      <c r="E54" s="1" t="s">
        <v>36</v>
      </c>
      <c r="F54" s="1" t="s">
        <v>36</v>
      </c>
      <c r="G54" s="1" t="s">
        <v>36</v>
      </c>
      <c r="H54" s="1" t="s">
        <v>36</v>
      </c>
      <c r="I54" s="1" t="s">
        <v>23</v>
      </c>
      <c r="J54" s="1" t="s">
        <v>56</v>
      </c>
      <c r="K54" s="1" t="s">
        <v>170</v>
      </c>
      <c r="L54" s="1" t="s">
        <v>22</v>
      </c>
      <c r="M54" s="1" t="s">
        <v>26</v>
      </c>
      <c r="N54" s="1" t="s">
        <v>58</v>
      </c>
      <c r="O54" s="1" t="s">
        <v>39</v>
      </c>
      <c r="P54" s="1"/>
      <c r="Q54" s="1" t="s">
        <v>29</v>
      </c>
      <c r="R54" s="1" t="s">
        <v>22</v>
      </c>
      <c r="S54" s="18">
        <v>45111</v>
      </c>
      <c r="T54" s="1" t="s">
        <v>42</v>
      </c>
      <c r="U54" s="1" t="s">
        <v>101</v>
      </c>
      <c r="V54" t="s">
        <v>874</v>
      </c>
      <c r="W54" s="20">
        <f t="shared" ca="1" si="1"/>
        <v>3.3155373032169746</v>
      </c>
      <c r="X54" t="s">
        <v>1000</v>
      </c>
      <c r="Y54" t="s">
        <v>1000</v>
      </c>
      <c r="Z54" t="s">
        <v>1092</v>
      </c>
    </row>
    <row r="55" spans="1:26" ht="14.25" customHeight="1" x14ac:dyDescent="0.3">
      <c r="A55" s="1" t="s">
        <v>171</v>
      </c>
      <c r="B55" s="1">
        <v>95000</v>
      </c>
      <c r="C55" s="1" t="s">
        <v>22</v>
      </c>
      <c r="D55" s="1">
        <v>0</v>
      </c>
      <c r="E55" s="1" t="s">
        <v>36</v>
      </c>
      <c r="F55" s="1" t="s">
        <v>36</v>
      </c>
      <c r="G55" s="1" t="s">
        <v>36</v>
      </c>
      <c r="H55" s="1" t="s">
        <v>22</v>
      </c>
      <c r="I55" s="1" t="s">
        <v>23</v>
      </c>
      <c r="J55" s="1" t="s">
        <v>50</v>
      </c>
      <c r="K55" s="1" t="s">
        <v>22</v>
      </c>
      <c r="L55" s="1" t="s">
        <v>22</v>
      </c>
      <c r="M55" s="1" t="s">
        <v>26</v>
      </c>
      <c r="N55" s="1" t="s">
        <v>58</v>
      </c>
      <c r="O55" s="1" t="s">
        <v>243</v>
      </c>
      <c r="P55" s="1"/>
      <c r="Q55" s="1" t="s">
        <v>40</v>
      </c>
      <c r="R55" s="1" t="s">
        <v>22</v>
      </c>
      <c r="S55" s="18">
        <v>45111</v>
      </c>
      <c r="T55" s="1" t="s">
        <v>42</v>
      </c>
      <c r="U55" s="1" t="s">
        <v>22</v>
      </c>
      <c r="V55" t="s">
        <v>874</v>
      </c>
      <c r="W55" s="20">
        <f t="shared" ca="1" si="1"/>
        <v>3.3155373032169746</v>
      </c>
      <c r="X55" t="s">
        <v>1000</v>
      </c>
      <c r="Y55" t="s">
        <v>1000</v>
      </c>
      <c r="Z55" t="s">
        <v>1092</v>
      </c>
    </row>
    <row r="56" spans="1:26" ht="14.25" customHeight="1" x14ac:dyDescent="0.3">
      <c r="A56" s="1" t="s">
        <v>172</v>
      </c>
      <c r="B56" s="1">
        <v>96000</v>
      </c>
      <c r="C56" s="1" t="s">
        <v>22</v>
      </c>
      <c r="D56" s="1">
        <v>0</v>
      </c>
      <c r="E56" s="1" t="s">
        <v>36</v>
      </c>
      <c r="F56" s="1" t="s">
        <v>36</v>
      </c>
      <c r="G56" s="1" t="s">
        <v>36</v>
      </c>
      <c r="H56" s="1" t="s">
        <v>22</v>
      </c>
      <c r="I56" s="1" t="s">
        <v>23</v>
      </c>
      <c r="J56" s="1" t="s">
        <v>50</v>
      </c>
      <c r="K56" s="1" t="s">
        <v>173</v>
      </c>
      <c r="L56" s="1" t="s">
        <v>22</v>
      </c>
      <c r="M56" s="1" t="s">
        <v>26</v>
      </c>
      <c r="N56" s="1" t="s">
        <v>58</v>
      </c>
      <c r="O56" s="1" t="s">
        <v>243</v>
      </c>
      <c r="P56" s="1"/>
      <c r="Q56" s="1" t="s">
        <v>29</v>
      </c>
      <c r="R56" s="1" t="s">
        <v>22</v>
      </c>
      <c r="S56" s="18">
        <v>44159</v>
      </c>
      <c r="T56" s="1" t="s">
        <v>42</v>
      </c>
      <c r="U56" s="1" t="s">
        <v>22</v>
      </c>
      <c r="V56" t="s">
        <v>874</v>
      </c>
      <c r="W56" s="20">
        <f t="shared" ca="1" si="1"/>
        <v>5.9219712525667347</v>
      </c>
      <c r="X56" t="s">
        <v>1000</v>
      </c>
      <c r="Y56" t="s">
        <v>1000</v>
      </c>
      <c r="Z56" t="s">
        <v>1092</v>
      </c>
    </row>
    <row r="57" spans="1:26" ht="14.25" customHeight="1" x14ac:dyDescent="0.3">
      <c r="A57" s="1" t="s">
        <v>174</v>
      </c>
      <c r="B57" s="1">
        <v>121000</v>
      </c>
      <c r="C57" s="1">
        <v>110</v>
      </c>
      <c r="D57" s="1">
        <v>0</v>
      </c>
      <c r="E57" s="1" t="s">
        <v>36</v>
      </c>
      <c r="F57" s="1" t="s">
        <v>36</v>
      </c>
      <c r="G57" s="1" t="s">
        <v>36</v>
      </c>
      <c r="H57" s="1" t="s">
        <v>36</v>
      </c>
      <c r="I57" s="1" t="s">
        <v>23</v>
      </c>
      <c r="J57" s="1" t="s">
        <v>68</v>
      </c>
      <c r="K57" s="1" t="s">
        <v>175</v>
      </c>
      <c r="L57" s="1" t="s">
        <v>22</v>
      </c>
      <c r="M57" s="1" t="s">
        <v>26</v>
      </c>
      <c r="N57" s="1" t="s">
        <v>58</v>
      </c>
      <c r="O57" s="1" t="s">
        <v>39</v>
      </c>
      <c r="P57" s="1"/>
      <c r="Q57" s="1" t="s">
        <v>29</v>
      </c>
      <c r="R57" s="1" t="s">
        <v>176</v>
      </c>
      <c r="S57" s="18">
        <v>44770</v>
      </c>
      <c r="T57" s="1" t="s">
        <v>42</v>
      </c>
      <c r="U57" s="1" t="s">
        <v>84</v>
      </c>
      <c r="V57" t="s">
        <v>874</v>
      </c>
      <c r="W57" s="20">
        <f t="shared" ca="1" si="1"/>
        <v>4.2491444216290208</v>
      </c>
      <c r="X57" t="s">
        <v>1000</v>
      </c>
      <c r="Y57" t="s">
        <v>1000</v>
      </c>
      <c r="Z57" t="s">
        <v>1092</v>
      </c>
    </row>
    <row r="58" spans="1:26" ht="14.25" customHeight="1" x14ac:dyDescent="0.3">
      <c r="A58" s="1" t="s">
        <v>177</v>
      </c>
      <c r="B58" s="1">
        <v>35000</v>
      </c>
      <c r="C58" s="1">
        <v>33</v>
      </c>
      <c r="D58" s="1">
        <v>0</v>
      </c>
      <c r="E58" s="1" t="s">
        <v>36</v>
      </c>
      <c r="F58" s="1" t="s">
        <v>36</v>
      </c>
      <c r="G58" s="1" t="s">
        <v>36</v>
      </c>
      <c r="H58" s="1" t="s">
        <v>36</v>
      </c>
      <c r="I58" s="1" t="s">
        <v>23</v>
      </c>
      <c r="J58" s="1" t="s">
        <v>68</v>
      </c>
      <c r="K58" s="1" t="s">
        <v>178</v>
      </c>
      <c r="L58" s="1" t="s">
        <v>22</v>
      </c>
      <c r="M58" s="1" t="s">
        <v>26</v>
      </c>
      <c r="N58" s="1" t="s">
        <v>58</v>
      </c>
      <c r="O58" s="1" t="s">
        <v>39</v>
      </c>
      <c r="P58" s="1"/>
      <c r="Q58" s="1" t="s">
        <v>29</v>
      </c>
      <c r="R58" s="1" t="s">
        <v>179</v>
      </c>
      <c r="S58" s="18">
        <v>44770</v>
      </c>
      <c r="T58" s="1" t="s">
        <v>42</v>
      </c>
      <c r="U58" s="1" t="s">
        <v>84</v>
      </c>
      <c r="V58" t="s">
        <v>874</v>
      </c>
      <c r="W58" s="20">
        <f t="shared" ca="1" si="1"/>
        <v>4.2491444216290208</v>
      </c>
      <c r="X58" t="s">
        <v>1000</v>
      </c>
      <c r="Y58" t="s">
        <v>1000</v>
      </c>
      <c r="Z58" t="s">
        <v>1092</v>
      </c>
    </row>
    <row r="59" spans="1:26" ht="14.25" customHeight="1" x14ac:dyDescent="0.3">
      <c r="A59" s="1" t="s">
        <v>180</v>
      </c>
      <c r="B59" s="1">
        <v>153000</v>
      </c>
      <c r="C59" s="1">
        <v>125</v>
      </c>
      <c r="D59" s="1">
        <v>0</v>
      </c>
      <c r="E59" s="1" t="s">
        <v>36</v>
      </c>
      <c r="F59" s="1" t="s">
        <v>36</v>
      </c>
      <c r="G59" s="1" t="s">
        <v>36</v>
      </c>
      <c r="H59" s="1" t="s">
        <v>36</v>
      </c>
      <c r="I59" s="1" t="s">
        <v>23</v>
      </c>
      <c r="J59" s="1" t="s">
        <v>34</v>
      </c>
      <c r="K59" s="1" t="s">
        <v>181</v>
      </c>
      <c r="L59" s="1" t="s">
        <v>52</v>
      </c>
      <c r="M59" s="1" t="s">
        <v>26</v>
      </c>
      <c r="N59" s="1" t="s">
        <v>58</v>
      </c>
      <c r="O59" s="1" t="s">
        <v>243</v>
      </c>
      <c r="P59" s="1"/>
      <c r="Q59" s="1" t="s">
        <v>53</v>
      </c>
      <c r="R59" s="1" t="s">
        <v>22</v>
      </c>
      <c r="S59" s="18">
        <v>45666</v>
      </c>
      <c r="T59" s="1" t="s">
        <v>42</v>
      </c>
      <c r="U59" s="1" t="s">
        <v>54</v>
      </c>
      <c r="V59" t="s">
        <v>874</v>
      </c>
      <c r="W59" s="20">
        <f t="shared" ca="1" si="1"/>
        <v>1.7960301163586585</v>
      </c>
      <c r="X59" t="s">
        <v>1000</v>
      </c>
      <c r="Y59" t="s">
        <v>1000</v>
      </c>
      <c r="Z59" t="s">
        <v>1092</v>
      </c>
    </row>
    <row r="60" spans="1:26" ht="14.25" customHeight="1" x14ac:dyDescent="0.3">
      <c r="A60" t="s">
        <v>241</v>
      </c>
      <c r="B60">
        <v>175680</v>
      </c>
      <c r="C60">
        <v>150</v>
      </c>
      <c r="D60">
        <v>0</v>
      </c>
      <c r="E60" s="1" t="s">
        <v>36</v>
      </c>
      <c r="F60" t="s">
        <v>36</v>
      </c>
      <c r="G60" s="1" t="s">
        <v>36</v>
      </c>
      <c r="H60" s="1" t="s">
        <v>36</v>
      </c>
      <c r="I60" s="1" t="s">
        <v>23</v>
      </c>
      <c r="J60" t="s">
        <v>68</v>
      </c>
      <c r="K60" t="s">
        <v>242</v>
      </c>
      <c r="L60" t="s">
        <v>52</v>
      </c>
      <c r="M60" t="s">
        <v>26</v>
      </c>
      <c r="N60" s="1" t="s">
        <v>58</v>
      </c>
      <c r="O60" s="1" t="s">
        <v>243</v>
      </c>
      <c r="P60" s="1"/>
      <c r="Q60" s="1" t="s">
        <v>29</v>
      </c>
      <c r="R60" s="1" t="s">
        <v>22</v>
      </c>
      <c r="S60" s="19">
        <v>46068</v>
      </c>
      <c r="T60" t="s">
        <v>42</v>
      </c>
      <c r="U60" t="s">
        <v>210</v>
      </c>
      <c r="V60" t="s">
        <v>874</v>
      </c>
      <c r="W60" s="20">
        <f t="shared" ca="1" si="1"/>
        <v>0.69541409993155368</v>
      </c>
      <c r="X60" t="s">
        <v>1008</v>
      </c>
      <c r="Y60" t="s">
        <v>1000</v>
      </c>
      <c r="Z60" t="s">
        <v>1092</v>
      </c>
    </row>
    <row r="61" spans="1:26" ht="14.25" customHeight="1" x14ac:dyDescent="0.3">
      <c r="A61" s="1" t="s">
        <v>182</v>
      </c>
      <c r="B61" s="1">
        <v>126000</v>
      </c>
      <c r="C61" s="1" t="s">
        <v>22</v>
      </c>
      <c r="D61" s="1">
        <v>0</v>
      </c>
      <c r="E61" s="1" t="s">
        <v>36</v>
      </c>
      <c r="F61" s="1" t="s">
        <v>36</v>
      </c>
      <c r="G61" s="1" t="s">
        <v>183</v>
      </c>
      <c r="H61" s="1" t="s">
        <v>72</v>
      </c>
      <c r="I61" s="1" t="s">
        <v>23</v>
      </c>
      <c r="J61" s="1" t="s">
        <v>34</v>
      </c>
      <c r="K61" s="1" t="s">
        <v>22</v>
      </c>
      <c r="L61" s="1" t="s">
        <v>52</v>
      </c>
      <c r="M61" s="1" t="s">
        <v>26</v>
      </c>
      <c r="N61" s="1" t="s">
        <v>58</v>
      </c>
      <c r="O61" s="1" t="s">
        <v>243</v>
      </c>
      <c r="P61" s="1"/>
      <c r="Q61" s="1" t="s">
        <v>53</v>
      </c>
      <c r="R61" s="1" t="s">
        <v>22</v>
      </c>
      <c r="S61" s="18">
        <v>45590</v>
      </c>
      <c r="T61" s="1" t="s">
        <v>42</v>
      </c>
      <c r="U61" s="1" t="s">
        <v>22</v>
      </c>
      <c r="V61" t="s">
        <v>874</v>
      </c>
      <c r="W61" s="20">
        <f t="shared" ca="1" si="1"/>
        <v>2.0041067761806981</v>
      </c>
      <c r="X61" t="s">
        <v>1000</v>
      </c>
      <c r="Y61" t="s">
        <v>1001</v>
      </c>
      <c r="Z61" t="s">
        <v>1092</v>
      </c>
    </row>
    <row r="62" spans="1:26" ht="14.25" customHeight="1" x14ac:dyDescent="0.3">
      <c r="A62" s="1" t="s">
        <v>184</v>
      </c>
      <c r="B62" s="1">
        <v>250000</v>
      </c>
      <c r="C62" s="1">
        <v>110</v>
      </c>
      <c r="D62" s="1">
        <v>0</v>
      </c>
      <c r="E62" s="1" t="s">
        <v>36</v>
      </c>
      <c r="F62" s="1" t="s">
        <v>36</v>
      </c>
      <c r="G62" s="1" t="s">
        <v>36</v>
      </c>
      <c r="H62" s="1" t="s">
        <v>36</v>
      </c>
      <c r="I62" s="1" t="s">
        <v>23</v>
      </c>
      <c r="J62" s="1" t="s">
        <v>24</v>
      </c>
      <c r="K62" s="1" t="s">
        <v>185</v>
      </c>
      <c r="L62" s="1" t="s">
        <v>52</v>
      </c>
      <c r="M62" s="1" t="s">
        <v>26</v>
      </c>
      <c r="N62" s="1" t="s">
        <v>58</v>
      </c>
      <c r="O62" s="1" t="s">
        <v>243</v>
      </c>
      <c r="P62" s="1"/>
      <c r="Q62" s="1" t="s">
        <v>53</v>
      </c>
      <c r="R62" s="1" t="s">
        <v>22</v>
      </c>
      <c r="S62" s="18">
        <v>45558</v>
      </c>
      <c r="T62" s="1" t="s">
        <v>42</v>
      </c>
      <c r="U62" s="1" t="s">
        <v>22</v>
      </c>
      <c r="V62" t="s">
        <v>874</v>
      </c>
      <c r="W62" s="20">
        <f t="shared" ca="1" si="1"/>
        <v>2.0917180013689256</v>
      </c>
      <c r="X62" t="s">
        <v>1000</v>
      </c>
      <c r="Y62" t="s">
        <v>1000</v>
      </c>
      <c r="Z62" t="s">
        <v>1092</v>
      </c>
    </row>
    <row r="63" spans="1:26" ht="14.25" customHeight="1" x14ac:dyDescent="0.3">
      <c r="A63" t="s">
        <v>1003</v>
      </c>
      <c r="B63">
        <v>132680</v>
      </c>
      <c r="C63">
        <v>125</v>
      </c>
      <c r="D63">
        <v>0</v>
      </c>
      <c r="E63" t="s">
        <v>36</v>
      </c>
      <c r="F63" t="s">
        <v>36</v>
      </c>
      <c r="G63" s="1" t="s">
        <v>36</v>
      </c>
      <c r="H63" s="1" t="s">
        <v>36</v>
      </c>
      <c r="I63" t="s">
        <v>23</v>
      </c>
      <c r="J63" t="s">
        <v>34</v>
      </c>
      <c r="K63" t="s">
        <v>1006</v>
      </c>
      <c r="L63" t="s">
        <v>52</v>
      </c>
      <c r="M63" t="s">
        <v>26</v>
      </c>
      <c r="N63" t="s">
        <v>58</v>
      </c>
      <c r="Q63" t="s">
        <v>29</v>
      </c>
      <c r="R63" s="1" t="s">
        <v>22</v>
      </c>
      <c r="S63" s="19">
        <v>46251</v>
      </c>
      <c r="T63" t="s">
        <v>872</v>
      </c>
      <c r="U63" s="1" t="s">
        <v>210</v>
      </c>
      <c r="V63" t="s">
        <v>874</v>
      </c>
      <c r="W63">
        <f t="shared" ca="1" si="1"/>
        <v>0.19438740588637921</v>
      </c>
      <c r="X63" t="s">
        <v>1008</v>
      </c>
      <c r="Y63" t="s">
        <v>1000</v>
      </c>
      <c r="Z63" t="s">
        <v>1092</v>
      </c>
    </row>
    <row r="64" spans="1:26" ht="14.25" customHeight="1" x14ac:dyDescent="0.3">
      <c r="A64" s="1" t="s">
        <v>186</v>
      </c>
      <c r="B64" s="1">
        <v>240000</v>
      </c>
      <c r="C64" s="1">
        <v>110</v>
      </c>
      <c r="D64" s="1">
        <v>0</v>
      </c>
      <c r="E64" s="1" t="s">
        <v>36</v>
      </c>
      <c r="F64" s="1" t="s">
        <v>36</v>
      </c>
      <c r="G64" s="1" t="s">
        <v>36</v>
      </c>
      <c r="H64" s="1" t="s">
        <v>72</v>
      </c>
      <c r="I64" s="1" t="s">
        <v>23</v>
      </c>
      <c r="J64" s="1" t="s">
        <v>153</v>
      </c>
      <c r="K64" s="1" t="s">
        <v>161</v>
      </c>
      <c r="L64" s="1" t="s">
        <v>52</v>
      </c>
      <c r="M64" s="1" t="s">
        <v>26</v>
      </c>
      <c r="N64" s="1" t="s">
        <v>58</v>
      </c>
      <c r="O64" s="1" t="s">
        <v>243</v>
      </c>
      <c r="P64" s="1"/>
      <c r="Q64" s="1" t="s">
        <v>53</v>
      </c>
      <c r="R64" s="1" t="s">
        <v>187</v>
      </c>
      <c r="S64" s="18">
        <v>45531</v>
      </c>
      <c r="T64" s="1" t="s">
        <v>42</v>
      </c>
      <c r="U64" s="1" t="s">
        <v>137</v>
      </c>
      <c r="V64" t="s">
        <v>874</v>
      </c>
      <c r="W64" s="20">
        <f t="shared" ca="1" si="1"/>
        <v>2.1656399726214923</v>
      </c>
      <c r="X64" t="s">
        <v>1000</v>
      </c>
      <c r="Y64" t="s">
        <v>1000</v>
      </c>
      <c r="Z64" t="s">
        <v>1092</v>
      </c>
    </row>
    <row r="65" spans="1:26" ht="14.25" customHeight="1" x14ac:dyDescent="0.3">
      <c r="A65" s="1" t="s">
        <v>188</v>
      </c>
      <c r="B65" s="1">
        <v>125000</v>
      </c>
      <c r="C65" s="1">
        <v>125</v>
      </c>
      <c r="D65" s="1">
        <v>0</v>
      </c>
      <c r="E65" s="1" t="s">
        <v>36</v>
      </c>
      <c r="F65" s="1" t="s">
        <v>36</v>
      </c>
      <c r="G65" s="1">
        <v>500</v>
      </c>
      <c r="H65" s="1" t="s">
        <v>72</v>
      </c>
      <c r="I65" s="1" t="s">
        <v>23</v>
      </c>
      <c r="J65" s="1" t="s">
        <v>34</v>
      </c>
      <c r="K65" s="1" t="s">
        <v>189</v>
      </c>
      <c r="L65" s="1" t="s">
        <v>52</v>
      </c>
      <c r="M65" s="1" t="s">
        <v>26</v>
      </c>
      <c r="N65" s="1" t="s">
        <v>58</v>
      </c>
      <c r="O65" s="1" t="s">
        <v>243</v>
      </c>
      <c r="P65" s="1"/>
      <c r="Q65" s="1" t="s">
        <v>53</v>
      </c>
      <c r="R65" s="1" t="s">
        <v>22</v>
      </c>
      <c r="S65" s="18">
        <v>45540</v>
      </c>
      <c r="T65" s="1" t="s">
        <v>42</v>
      </c>
      <c r="U65" s="1" t="s">
        <v>21</v>
      </c>
      <c r="V65" t="s">
        <v>874</v>
      </c>
      <c r="W65" s="20">
        <f t="shared" ca="1" si="1"/>
        <v>2.1409993155373033</v>
      </c>
      <c r="X65" t="s">
        <v>1001</v>
      </c>
      <c r="Y65" t="s">
        <v>1000</v>
      </c>
      <c r="Z65" t="s">
        <v>1092</v>
      </c>
    </row>
    <row r="66" spans="1:26" ht="14.25" customHeight="1" x14ac:dyDescent="0.3">
      <c r="A66" s="1" t="s">
        <v>226</v>
      </c>
      <c r="B66" s="1">
        <v>200000</v>
      </c>
      <c r="C66" s="1" t="s">
        <v>22</v>
      </c>
      <c r="D66" s="1">
        <v>0</v>
      </c>
      <c r="E66" s="1" t="s">
        <v>36</v>
      </c>
      <c r="F66" s="1" t="s">
        <v>36</v>
      </c>
      <c r="G66" s="1" t="s">
        <v>36</v>
      </c>
      <c r="H66" s="1" t="s">
        <v>36</v>
      </c>
      <c r="I66" s="1" t="s">
        <v>23</v>
      </c>
      <c r="J66" s="1" t="s">
        <v>50</v>
      </c>
      <c r="K66" s="1" t="s">
        <v>227</v>
      </c>
      <c r="L66" s="1" t="s">
        <v>52</v>
      </c>
      <c r="M66" s="1" t="s">
        <v>26</v>
      </c>
      <c r="N66" s="1" t="s">
        <v>38</v>
      </c>
      <c r="O66" s="1" t="s">
        <v>243</v>
      </c>
      <c r="P66" s="1"/>
      <c r="Q66" s="1" t="s">
        <v>29</v>
      </c>
      <c r="R66" s="1" t="s">
        <v>22</v>
      </c>
      <c r="S66" s="18">
        <v>45992</v>
      </c>
      <c r="T66" s="1" t="s">
        <v>42</v>
      </c>
      <c r="U66" s="1" t="s">
        <v>22</v>
      </c>
      <c r="V66" t="s">
        <v>874</v>
      </c>
      <c r="W66" s="20">
        <f t="shared" ref="W66:W82" ca="1" si="2">IF(ISNUMBER(S66),(TODAY()-S66)/365.25,"")</f>
        <v>0.90349075975359339</v>
      </c>
      <c r="X66" t="s">
        <v>1000</v>
      </c>
      <c r="Y66" t="s">
        <v>1000</v>
      </c>
      <c r="Z66" t="s">
        <v>1092</v>
      </c>
    </row>
    <row r="67" spans="1:26" ht="14.25" customHeight="1" x14ac:dyDescent="0.3">
      <c r="A67" t="s">
        <v>1002</v>
      </c>
      <c r="B67">
        <v>148800</v>
      </c>
      <c r="C67">
        <v>150</v>
      </c>
      <c r="D67">
        <v>0</v>
      </c>
      <c r="E67" t="s">
        <v>36</v>
      </c>
      <c r="F67" t="s">
        <v>36</v>
      </c>
      <c r="G67" s="1" t="s">
        <v>36</v>
      </c>
      <c r="H67" s="1" t="s">
        <v>36</v>
      </c>
      <c r="I67" t="s">
        <v>23</v>
      </c>
      <c r="J67" t="s">
        <v>1011</v>
      </c>
      <c r="K67" t="s">
        <v>1005</v>
      </c>
      <c r="L67" t="s">
        <v>52</v>
      </c>
      <c r="M67" t="s">
        <v>26</v>
      </c>
      <c r="N67" t="s">
        <v>58</v>
      </c>
      <c r="O67" s="1" t="s">
        <v>243</v>
      </c>
      <c r="Q67" t="s">
        <v>29</v>
      </c>
      <c r="R67" s="1" t="s">
        <v>22</v>
      </c>
      <c r="S67" s="19">
        <v>46220</v>
      </c>
      <c r="T67" t="s">
        <v>872</v>
      </c>
      <c r="U67" s="1" t="s">
        <v>210</v>
      </c>
      <c r="V67" t="s">
        <v>874</v>
      </c>
      <c r="W67">
        <f t="shared" ca="1" si="2"/>
        <v>0.27926078028747431</v>
      </c>
      <c r="X67" t="s">
        <v>1008</v>
      </c>
      <c r="Y67" t="s">
        <v>1000</v>
      </c>
      <c r="Z67" t="s">
        <v>1092</v>
      </c>
    </row>
    <row r="68" spans="1:26" ht="14.25" customHeight="1" x14ac:dyDescent="0.3">
      <c r="A68" s="1" t="s">
        <v>208</v>
      </c>
      <c r="B68" s="1">
        <v>115000</v>
      </c>
      <c r="C68" s="1">
        <v>125</v>
      </c>
      <c r="D68" s="1">
        <v>0</v>
      </c>
      <c r="E68" s="1" t="s">
        <v>36</v>
      </c>
      <c r="F68" s="1" t="s">
        <v>36</v>
      </c>
      <c r="G68" s="1" t="s">
        <v>36</v>
      </c>
      <c r="H68" s="1" t="s">
        <v>36</v>
      </c>
      <c r="I68" s="1" t="s">
        <v>23</v>
      </c>
      <c r="J68" s="1" t="s">
        <v>34</v>
      </c>
      <c r="K68" s="1" t="s">
        <v>209</v>
      </c>
      <c r="L68" s="1" t="s">
        <v>52</v>
      </c>
      <c r="M68" s="1" t="s">
        <v>26</v>
      </c>
      <c r="N68" s="1" t="s">
        <v>58</v>
      </c>
      <c r="O68" s="1" t="s">
        <v>243</v>
      </c>
      <c r="P68" s="1"/>
      <c r="Q68" s="1" t="s">
        <v>53</v>
      </c>
      <c r="R68" s="1" t="s">
        <v>22</v>
      </c>
      <c r="S68" s="18">
        <v>45748</v>
      </c>
      <c r="T68" s="1" t="s">
        <v>42</v>
      </c>
      <c r="U68" s="1" t="s">
        <v>210</v>
      </c>
      <c r="V68" t="s">
        <v>874</v>
      </c>
      <c r="W68" s="20">
        <f t="shared" ca="1" si="2"/>
        <v>1.5715263518138261</v>
      </c>
      <c r="X68" t="s">
        <v>1001</v>
      </c>
      <c r="Y68" t="s">
        <v>1000</v>
      </c>
      <c r="Z68" t="s">
        <v>1092</v>
      </c>
    </row>
    <row r="69" spans="1:26" ht="14.25" customHeight="1" x14ac:dyDescent="0.3">
      <c r="A69" s="1" t="s">
        <v>190</v>
      </c>
      <c r="B69" s="1">
        <v>116000</v>
      </c>
      <c r="C69" s="1">
        <v>110</v>
      </c>
      <c r="D69" s="1">
        <v>0</v>
      </c>
      <c r="E69" s="1" t="s">
        <v>36</v>
      </c>
      <c r="F69" s="1" t="s">
        <v>36</v>
      </c>
      <c r="G69" s="1" t="s">
        <v>36</v>
      </c>
      <c r="H69" s="1" t="s">
        <v>36</v>
      </c>
      <c r="I69" s="1" t="s">
        <v>23</v>
      </c>
      <c r="J69" s="1" t="s">
        <v>34</v>
      </c>
      <c r="K69" s="1" t="s">
        <v>191</v>
      </c>
      <c r="L69" s="1" t="s">
        <v>45</v>
      </c>
      <c r="M69" s="1" t="s">
        <v>26</v>
      </c>
      <c r="N69" s="1" t="s">
        <v>38</v>
      </c>
      <c r="O69" s="1" t="s">
        <v>39</v>
      </c>
      <c r="P69" s="1"/>
      <c r="Q69" s="1" t="s">
        <v>29</v>
      </c>
      <c r="R69" s="1" t="s">
        <v>22</v>
      </c>
      <c r="S69" s="18">
        <v>44532</v>
      </c>
      <c r="T69" s="1" t="s">
        <v>42</v>
      </c>
      <c r="U69" s="1" t="s">
        <v>103</v>
      </c>
      <c r="V69" t="s">
        <v>874</v>
      </c>
      <c r="W69" s="20">
        <f t="shared" ca="1" si="2"/>
        <v>4.900752908966461</v>
      </c>
      <c r="X69" t="s">
        <v>1000</v>
      </c>
      <c r="Y69" t="s">
        <v>1000</v>
      </c>
      <c r="Z69" t="s">
        <v>1092</v>
      </c>
    </row>
    <row r="70" spans="1:26" ht="14.25" customHeight="1" x14ac:dyDescent="0.3">
      <c r="A70" s="1" t="s">
        <v>213</v>
      </c>
      <c r="B70" s="1">
        <v>57000</v>
      </c>
      <c r="C70" s="1">
        <v>50</v>
      </c>
      <c r="D70" s="1">
        <v>0</v>
      </c>
      <c r="E70" s="1" t="s">
        <v>36</v>
      </c>
      <c r="F70" s="1" t="s">
        <v>36</v>
      </c>
      <c r="G70" s="1" t="s">
        <v>36</v>
      </c>
      <c r="H70" s="1" t="s">
        <v>36</v>
      </c>
      <c r="I70" s="1" t="s">
        <v>23</v>
      </c>
      <c r="J70" s="1" t="s">
        <v>34</v>
      </c>
      <c r="K70" s="1" t="s">
        <v>214</v>
      </c>
      <c r="L70" s="1" t="s">
        <v>52</v>
      </c>
      <c r="M70" s="1" t="s">
        <v>26</v>
      </c>
      <c r="N70" s="1" t="s">
        <v>58</v>
      </c>
      <c r="O70" s="1" t="s">
        <v>243</v>
      </c>
      <c r="P70" s="1"/>
      <c r="Q70" s="1" t="s">
        <v>29</v>
      </c>
      <c r="R70" s="1" t="s">
        <v>215</v>
      </c>
      <c r="S70" s="18">
        <v>45889</v>
      </c>
      <c r="T70" s="1" t="s">
        <v>42</v>
      </c>
      <c r="U70" s="1" t="s">
        <v>210</v>
      </c>
      <c r="V70" t="s">
        <v>875</v>
      </c>
      <c r="W70" s="20">
        <f t="shared" ca="1" si="2"/>
        <v>1.1854893908281998</v>
      </c>
      <c r="X70" t="s">
        <v>1001</v>
      </c>
      <c r="Y70" t="s">
        <v>1000</v>
      </c>
      <c r="Z70" t="s">
        <v>1092</v>
      </c>
    </row>
    <row r="71" spans="1:26" ht="14.25" customHeight="1" x14ac:dyDescent="0.3">
      <c r="A71" s="1" t="s">
        <v>216</v>
      </c>
      <c r="B71" s="1">
        <v>177000</v>
      </c>
      <c r="C71" s="1">
        <v>125</v>
      </c>
      <c r="D71" s="1">
        <v>0</v>
      </c>
      <c r="E71" s="1" t="s">
        <v>36</v>
      </c>
      <c r="F71" s="1" t="s">
        <v>36</v>
      </c>
      <c r="G71" s="1" t="s">
        <v>36</v>
      </c>
      <c r="H71" s="1" t="s">
        <v>36</v>
      </c>
      <c r="I71" s="1" t="s">
        <v>23</v>
      </c>
      <c r="J71" s="1" t="s">
        <v>34</v>
      </c>
      <c r="K71" s="1" t="s">
        <v>217</v>
      </c>
      <c r="L71" s="1" t="s">
        <v>52</v>
      </c>
      <c r="M71" s="1" t="s">
        <v>26</v>
      </c>
      <c r="N71" s="1" t="s">
        <v>58</v>
      </c>
      <c r="O71" s="1" t="s">
        <v>243</v>
      </c>
      <c r="P71" s="1"/>
      <c r="Q71" s="1" t="s">
        <v>53</v>
      </c>
      <c r="R71" s="1" t="s">
        <v>215</v>
      </c>
      <c r="S71" s="18">
        <v>45889</v>
      </c>
      <c r="T71" s="1" t="s">
        <v>42</v>
      </c>
      <c r="U71" s="1" t="s">
        <v>210</v>
      </c>
      <c r="V71" t="s">
        <v>874</v>
      </c>
      <c r="W71" s="20">
        <f t="shared" ca="1" si="2"/>
        <v>1.1854893908281998</v>
      </c>
      <c r="X71" t="s">
        <v>1001</v>
      </c>
      <c r="Y71" t="s">
        <v>1000</v>
      </c>
      <c r="Z71" t="s">
        <v>1092</v>
      </c>
    </row>
    <row r="72" spans="1:26" ht="14.25" customHeight="1" x14ac:dyDescent="0.3">
      <c r="A72" s="1" t="s">
        <v>218</v>
      </c>
      <c r="B72" s="1">
        <v>57000</v>
      </c>
      <c r="C72" s="1">
        <v>50</v>
      </c>
      <c r="D72" s="1">
        <v>0</v>
      </c>
      <c r="E72" s="1" t="s">
        <v>36</v>
      </c>
      <c r="F72" s="1" t="s">
        <v>36</v>
      </c>
      <c r="G72" s="1" t="s">
        <v>36</v>
      </c>
      <c r="H72" s="1" t="s">
        <v>36</v>
      </c>
      <c r="I72" s="1" t="s">
        <v>23</v>
      </c>
      <c r="J72" s="1" t="s">
        <v>34</v>
      </c>
      <c r="K72" s="1" t="s">
        <v>219</v>
      </c>
      <c r="L72" s="1" t="s">
        <v>52</v>
      </c>
      <c r="M72" s="1" t="s">
        <v>26</v>
      </c>
      <c r="N72" s="1" t="s">
        <v>58</v>
      </c>
      <c r="O72" s="1" t="s">
        <v>243</v>
      </c>
      <c r="P72" s="1"/>
      <c r="Q72" s="1" t="s">
        <v>53</v>
      </c>
      <c r="R72" s="1" t="s">
        <v>215</v>
      </c>
      <c r="S72" s="18">
        <v>45889</v>
      </c>
      <c r="T72" s="1" t="s">
        <v>42</v>
      </c>
      <c r="U72" s="1" t="s">
        <v>210</v>
      </c>
      <c r="V72" t="s">
        <v>875</v>
      </c>
      <c r="W72" s="20">
        <f t="shared" ca="1" si="2"/>
        <v>1.1854893908281998</v>
      </c>
      <c r="X72" t="s">
        <v>1001</v>
      </c>
      <c r="Y72" t="s">
        <v>1000</v>
      </c>
      <c r="Z72" t="s">
        <v>1092</v>
      </c>
    </row>
    <row r="73" spans="1:26" ht="14.25" customHeight="1" x14ac:dyDescent="0.3">
      <c r="A73" s="1" t="s">
        <v>192</v>
      </c>
      <c r="B73" s="1">
        <v>61600</v>
      </c>
      <c r="C73" s="1" t="s">
        <v>22</v>
      </c>
      <c r="D73" s="1">
        <v>289000</v>
      </c>
      <c r="E73" s="1" t="s">
        <v>36</v>
      </c>
      <c r="F73" s="1" t="s">
        <v>36</v>
      </c>
      <c r="G73" s="1" t="s">
        <v>36</v>
      </c>
      <c r="H73" s="1" t="s">
        <v>22</v>
      </c>
      <c r="I73" s="1" t="s">
        <v>23</v>
      </c>
      <c r="J73" s="1" t="s">
        <v>153</v>
      </c>
      <c r="K73" s="1" t="s">
        <v>193</v>
      </c>
      <c r="L73" s="1" t="s">
        <v>22</v>
      </c>
      <c r="M73" s="1" t="s">
        <v>26</v>
      </c>
      <c r="N73" s="1" t="s">
        <v>38</v>
      </c>
      <c r="O73" s="1" t="s">
        <v>39</v>
      </c>
      <c r="P73" s="1"/>
      <c r="Q73" s="1" t="s">
        <v>29</v>
      </c>
      <c r="R73" s="1" t="s">
        <v>22</v>
      </c>
      <c r="S73" s="18">
        <v>45247</v>
      </c>
      <c r="T73" s="1" t="s">
        <v>42</v>
      </c>
      <c r="U73" s="1" t="s">
        <v>22</v>
      </c>
      <c r="V73" t="s">
        <v>874</v>
      </c>
      <c r="W73" s="20">
        <f t="shared" ca="1" si="2"/>
        <v>2.9431895961670089</v>
      </c>
      <c r="X73" t="s">
        <v>1000</v>
      </c>
      <c r="Y73" t="s">
        <v>1000</v>
      </c>
      <c r="Z73" t="s">
        <v>1092</v>
      </c>
    </row>
    <row r="74" spans="1:26" ht="14.25" customHeight="1" x14ac:dyDescent="0.3">
      <c r="A74" s="1" t="s">
        <v>194</v>
      </c>
      <c r="B74" s="1">
        <v>55000</v>
      </c>
      <c r="C74" s="1">
        <v>50</v>
      </c>
      <c r="D74" s="1">
        <v>0</v>
      </c>
      <c r="E74" s="1" t="s">
        <v>36</v>
      </c>
      <c r="F74" s="1" t="s">
        <v>36</v>
      </c>
      <c r="G74" s="1" t="s">
        <v>36</v>
      </c>
      <c r="H74" s="1" t="s">
        <v>72</v>
      </c>
      <c r="I74" s="1" t="s">
        <v>23</v>
      </c>
      <c r="J74" s="1" t="s">
        <v>34</v>
      </c>
      <c r="K74" s="1" t="s">
        <v>195</v>
      </c>
      <c r="L74" s="1" t="s">
        <v>22</v>
      </c>
      <c r="M74" s="1" t="s">
        <v>26</v>
      </c>
      <c r="N74" s="1" t="s">
        <v>38</v>
      </c>
      <c r="O74" s="1" t="s">
        <v>39</v>
      </c>
      <c r="P74" s="1"/>
      <c r="Q74" s="1" t="s">
        <v>40</v>
      </c>
      <c r="R74" s="1" t="s">
        <v>22</v>
      </c>
      <c r="S74" s="18">
        <v>45068</v>
      </c>
      <c r="T74" s="1" t="s">
        <v>42</v>
      </c>
      <c r="U74" s="1" t="s">
        <v>54</v>
      </c>
      <c r="V74" t="s">
        <v>875</v>
      </c>
      <c r="W74" s="20">
        <f t="shared" ca="1" si="2"/>
        <v>3.4332648870636548</v>
      </c>
      <c r="X74" t="s">
        <v>1000</v>
      </c>
      <c r="Y74" t="s">
        <v>1000</v>
      </c>
      <c r="Z74" t="s">
        <v>1092</v>
      </c>
    </row>
    <row r="75" spans="1:26" ht="14.25" customHeight="1" x14ac:dyDescent="0.3">
      <c r="A75" s="1" t="s">
        <v>196</v>
      </c>
      <c r="B75" s="1">
        <v>40000</v>
      </c>
      <c r="C75" s="1">
        <f>1*33</f>
        <v>33</v>
      </c>
      <c r="D75" s="1">
        <v>0</v>
      </c>
      <c r="E75" s="1" t="s">
        <v>36</v>
      </c>
      <c r="F75" s="1" t="s">
        <v>36</v>
      </c>
      <c r="G75" s="1" t="s">
        <v>36</v>
      </c>
      <c r="H75" s="1" t="s">
        <v>36</v>
      </c>
      <c r="I75" s="1" t="s">
        <v>23</v>
      </c>
      <c r="J75" s="1" t="s">
        <v>50</v>
      </c>
      <c r="K75" s="1" t="s">
        <v>197</v>
      </c>
      <c r="L75" s="1"/>
      <c r="M75" s="1" t="s">
        <v>26</v>
      </c>
      <c r="N75" s="1" t="s">
        <v>38</v>
      </c>
      <c r="O75" s="1" t="s">
        <v>39</v>
      </c>
      <c r="P75" s="1"/>
      <c r="Q75" s="1" t="s">
        <v>40</v>
      </c>
      <c r="R75" s="1" t="s">
        <v>198</v>
      </c>
      <c r="S75" s="18">
        <v>44617</v>
      </c>
      <c r="T75" s="1" t="s">
        <v>42</v>
      </c>
      <c r="U75" s="1" t="s">
        <v>84</v>
      </c>
      <c r="V75" t="s">
        <v>874</v>
      </c>
      <c r="W75" s="20">
        <f t="shared" ca="1" si="2"/>
        <v>4.6680355920602326</v>
      </c>
      <c r="X75" t="s">
        <v>1000</v>
      </c>
      <c r="Y75" t="s">
        <v>1000</v>
      </c>
      <c r="Z75" t="s">
        <v>1093</v>
      </c>
    </row>
    <row r="76" spans="1:26" ht="14.25" customHeight="1" x14ac:dyDescent="0.3">
      <c r="A76" s="1" t="s">
        <v>199</v>
      </c>
      <c r="B76" s="1">
        <v>34000</v>
      </c>
      <c r="C76" s="1">
        <v>30</v>
      </c>
      <c r="D76" s="1">
        <v>0</v>
      </c>
      <c r="E76" s="1" t="s">
        <v>36</v>
      </c>
      <c r="F76" s="1" t="s">
        <v>36</v>
      </c>
      <c r="G76" s="1" t="s">
        <v>36</v>
      </c>
      <c r="H76" s="1" t="s">
        <v>22</v>
      </c>
      <c r="I76" s="1" t="s">
        <v>23</v>
      </c>
      <c r="J76" s="1" t="s">
        <v>56</v>
      </c>
      <c r="K76" s="1" t="s">
        <v>200</v>
      </c>
      <c r="L76" s="1" t="s">
        <v>45</v>
      </c>
      <c r="M76" s="1" t="s">
        <v>26</v>
      </c>
      <c r="N76" s="1" t="s">
        <v>58</v>
      </c>
      <c r="O76" s="1" t="s">
        <v>39</v>
      </c>
      <c r="P76" s="1"/>
      <c r="Q76" s="1" t="s">
        <v>29</v>
      </c>
      <c r="R76" s="1" t="s">
        <v>22</v>
      </c>
      <c r="S76" s="18">
        <v>44351</v>
      </c>
      <c r="T76" s="1" t="s">
        <v>42</v>
      </c>
      <c r="U76" s="1" t="s">
        <v>22</v>
      </c>
      <c r="V76" t="s">
        <v>874</v>
      </c>
      <c r="W76" s="20">
        <f t="shared" ca="1" si="2"/>
        <v>5.3963039014373715</v>
      </c>
      <c r="X76" t="s">
        <v>1000</v>
      </c>
      <c r="Y76" t="s">
        <v>1000</v>
      </c>
      <c r="Z76" t="s">
        <v>1092</v>
      </c>
    </row>
    <row r="77" spans="1:26" ht="14.25" customHeight="1" x14ac:dyDescent="0.3">
      <c r="A77" s="1" t="s">
        <v>201</v>
      </c>
      <c r="B77" s="1">
        <v>103000</v>
      </c>
      <c r="C77" s="1" t="s">
        <v>22</v>
      </c>
      <c r="D77" s="1">
        <v>0</v>
      </c>
      <c r="E77" s="1" t="s">
        <v>36</v>
      </c>
      <c r="F77" s="1" t="s">
        <v>36</v>
      </c>
      <c r="G77" s="1" t="s">
        <v>36</v>
      </c>
      <c r="H77" s="1" t="s">
        <v>22</v>
      </c>
      <c r="I77" s="1" t="s">
        <v>23</v>
      </c>
      <c r="J77" s="1" t="s">
        <v>34</v>
      </c>
      <c r="K77" s="1" t="s">
        <v>22</v>
      </c>
      <c r="L77" s="1" t="s">
        <v>45</v>
      </c>
      <c r="M77" s="1" t="s">
        <v>26</v>
      </c>
      <c r="N77" s="1" t="s">
        <v>46</v>
      </c>
      <c r="O77" s="1" t="s">
        <v>243</v>
      </c>
      <c r="P77" s="1"/>
      <c r="Q77" s="1" t="s">
        <v>29</v>
      </c>
      <c r="R77" s="1" t="s">
        <v>22</v>
      </c>
      <c r="S77" s="18">
        <v>44504</v>
      </c>
      <c r="T77" s="1" t="s">
        <v>42</v>
      </c>
      <c r="U77" s="1" t="s">
        <v>22</v>
      </c>
      <c r="V77" t="s">
        <v>874</v>
      </c>
      <c r="W77" s="20">
        <f t="shared" ca="1" si="2"/>
        <v>4.9774127310061598</v>
      </c>
      <c r="X77" t="s">
        <v>1000</v>
      </c>
      <c r="Y77" t="s">
        <v>1000</v>
      </c>
      <c r="Z77" t="s">
        <v>1092</v>
      </c>
    </row>
    <row r="78" spans="1:26" ht="14.25" customHeight="1" x14ac:dyDescent="0.3">
      <c r="A78" s="1" t="s">
        <v>211</v>
      </c>
      <c r="B78" s="1">
        <v>33000</v>
      </c>
      <c r="C78" s="1">
        <v>30</v>
      </c>
      <c r="D78" s="1">
        <v>0</v>
      </c>
      <c r="E78" s="1" t="s">
        <v>36</v>
      </c>
      <c r="F78" s="1" t="s">
        <v>36</v>
      </c>
      <c r="G78" s="1" t="s">
        <v>36</v>
      </c>
      <c r="H78" s="1" t="s">
        <v>36</v>
      </c>
      <c r="I78" s="1" t="s">
        <v>23</v>
      </c>
      <c r="J78" s="1" t="s">
        <v>62</v>
      </c>
      <c r="K78" s="1" t="s">
        <v>212</v>
      </c>
      <c r="L78" s="1" t="s">
        <v>52</v>
      </c>
      <c r="M78" s="1" t="s">
        <v>26</v>
      </c>
      <c r="N78" s="1" t="s">
        <v>58</v>
      </c>
      <c r="O78" s="1" t="s">
        <v>39</v>
      </c>
      <c r="P78" s="1"/>
      <c r="Q78" s="1" t="s">
        <v>29</v>
      </c>
      <c r="R78" s="1" t="s">
        <v>22</v>
      </c>
      <c r="S78" s="18">
        <v>45861</v>
      </c>
      <c r="T78" s="1" t="s">
        <v>42</v>
      </c>
      <c r="U78" s="1" t="s">
        <v>210</v>
      </c>
      <c r="V78" t="s">
        <v>874</v>
      </c>
      <c r="W78" s="20">
        <f t="shared" ca="1" si="2"/>
        <v>1.2621492128678986</v>
      </c>
      <c r="X78" t="s">
        <v>1000</v>
      </c>
      <c r="Y78" t="s">
        <v>1000</v>
      </c>
      <c r="Z78" t="s">
        <v>1092</v>
      </c>
    </row>
    <row r="79" spans="1:26" ht="14.25" customHeight="1" x14ac:dyDescent="0.3">
      <c r="A79" t="s">
        <v>1004</v>
      </c>
      <c r="B79">
        <v>29760</v>
      </c>
      <c r="C79">
        <v>30</v>
      </c>
      <c r="D79">
        <v>0</v>
      </c>
      <c r="E79" t="s">
        <v>36</v>
      </c>
      <c r="F79" t="s">
        <v>36</v>
      </c>
      <c r="G79" s="1" t="s">
        <v>36</v>
      </c>
      <c r="H79" s="1" t="s">
        <v>36</v>
      </c>
      <c r="I79" t="s">
        <v>23</v>
      </c>
      <c r="J79" t="s">
        <v>56</v>
      </c>
      <c r="K79" t="s">
        <v>1007</v>
      </c>
      <c r="L79" t="s">
        <v>52</v>
      </c>
      <c r="M79" t="s">
        <v>26</v>
      </c>
      <c r="N79" t="s">
        <v>58</v>
      </c>
      <c r="Q79" t="s">
        <v>29</v>
      </c>
      <c r="R79" s="1" t="s">
        <v>22</v>
      </c>
      <c r="S79" s="19">
        <v>46185</v>
      </c>
      <c r="T79" t="s">
        <v>872</v>
      </c>
      <c r="U79" s="1" t="s">
        <v>210</v>
      </c>
      <c r="V79" t="s">
        <v>874</v>
      </c>
      <c r="W79">
        <f t="shared" ca="1" si="2"/>
        <v>0.3750855578370979</v>
      </c>
      <c r="X79" t="s">
        <v>1008</v>
      </c>
      <c r="Y79" t="s">
        <v>1000</v>
      </c>
      <c r="Z79" t="s">
        <v>1092</v>
      </c>
    </row>
    <row r="80" spans="1:26" ht="14.25" customHeight="1" x14ac:dyDescent="0.3">
      <c r="A80" s="11" t="s">
        <v>19</v>
      </c>
      <c r="B80" s="1">
        <v>40000</v>
      </c>
      <c r="C80" s="1"/>
      <c r="D80" s="1">
        <v>0</v>
      </c>
      <c r="E80" s="1" t="s">
        <v>20</v>
      </c>
      <c r="F80" s="1" t="s">
        <v>21</v>
      </c>
      <c r="G80" s="1" t="s">
        <v>22</v>
      </c>
      <c r="H80" s="1" t="s">
        <v>22</v>
      </c>
      <c r="I80" s="1" t="s">
        <v>23</v>
      </c>
      <c r="J80" s="1" t="s">
        <v>24</v>
      </c>
      <c r="K80" s="1" t="s">
        <v>25</v>
      </c>
      <c r="L80" s="1" t="s">
        <v>22</v>
      </c>
      <c r="M80" s="1" t="s">
        <v>26</v>
      </c>
      <c r="N80" s="1" t="s">
        <v>27</v>
      </c>
      <c r="O80" s="1" t="s">
        <v>28</v>
      </c>
      <c r="P80" s="1"/>
      <c r="Q80" s="1" t="s">
        <v>29</v>
      </c>
      <c r="R80" s="1" t="s">
        <v>30</v>
      </c>
      <c r="S80" s="18" t="s">
        <v>22</v>
      </c>
      <c r="T80" s="1" t="s">
        <v>42</v>
      </c>
      <c r="U80" s="1" t="s">
        <v>22</v>
      </c>
      <c r="V80" t="s">
        <v>874</v>
      </c>
      <c r="W80" s="20" t="str">
        <f t="shared" ca="1" si="2"/>
        <v/>
      </c>
      <c r="X80" t="s">
        <v>1008</v>
      </c>
      <c r="Y80" t="s">
        <v>1008</v>
      </c>
      <c r="Z80" t="s">
        <v>1092</v>
      </c>
    </row>
    <row r="81" spans="1:26" ht="14.25" customHeight="1" x14ac:dyDescent="0.3">
      <c r="A81" s="1" t="s">
        <v>202</v>
      </c>
      <c r="B81" s="1">
        <v>197000</v>
      </c>
      <c r="C81" s="1">
        <f>2*110</f>
        <v>220</v>
      </c>
      <c r="D81" s="1">
        <v>0</v>
      </c>
      <c r="E81" s="1" t="s">
        <v>36</v>
      </c>
      <c r="F81" s="1" t="s">
        <v>36</v>
      </c>
      <c r="G81" s="1" t="s">
        <v>36</v>
      </c>
      <c r="H81" s="1" t="s">
        <v>72</v>
      </c>
      <c r="I81" s="1" t="s">
        <v>23</v>
      </c>
      <c r="J81" s="1" t="s">
        <v>34</v>
      </c>
      <c r="K81" s="1" t="s">
        <v>203</v>
      </c>
      <c r="L81" s="1" t="s">
        <v>22</v>
      </c>
      <c r="M81" s="1" t="s">
        <v>26</v>
      </c>
      <c r="N81" s="1" t="s">
        <v>46</v>
      </c>
      <c r="O81" s="1" t="s">
        <v>243</v>
      </c>
      <c r="P81" s="1"/>
      <c r="Q81" s="1" t="s">
        <v>40</v>
      </c>
      <c r="R81" s="1" t="s">
        <v>204</v>
      </c>
      <c r="S81" s="18">
        <v>45059</v>
      </c>
      <c r="T81" s="1" t="s">
        <v>42</v>
      </c>
      <c r="U81" s="1" t="s">
        <v>205</v>
      </c>
      <c r="V81" t="s">
        <v>875</v>
      </c>
      <c r="W81" s="20">
        <f t="shared" ca="1" si="2"/>
        <v>3.4579055441478439</v>
      </c>
      <c r="X81" t="s">
        <v>1000</v>
      </c>
      <c r="Y81" t="s">
        <v>1000</v>
      </c>
      <c r="Z81" t="s">
        <v>1092</v>
      </c>
    </row>
    <row r="82" spans="1:26" ht="14.25" customHeight="1" x14ac:dyDescent="0.3">
      <c r="A82" s="1" t="s">
        <v>206</v>
      </c>
      <c r="B82" s="1">
        <v>27000</v>
      </c>
      <c r="C82" s="1">
        <f>1*33</f>
        <v>33</v>
      </c>
      <c r="D82" s="1">
        <v>0</v>
      </c>
      <c r="E82" s="1" t="s">
        <v>36</v>
      </c>
      <c r="F82" s="1" t="s">
        <v>36</v>
      </c>
      <c r="G82" s="1" t="s">
        <v>36</v>
      </c>
      <c r="H82" s="1" t="s">
        <v>22</v>
      </c>
      <c r="I82" s="1" t="s">
        <v>23</v>
      </c>
      <c r="J82" s="1" t="s">
        <v>34</v>
      </c>
      <c r="K82" s="1" t="s">
        <v>207</v>
      </c>
      <c r="L82" s="1" t="s">
        <v>22</v>
      </c>
      <c r="M82" s="1" t="s">
        <v>37</v>
      </c>
      <c r="N82" s="1" t="s">
        <v>38</v>
      </c>
      <c r="O82" s="1" t="s">
        <v>39</v>
      </c>
      <c r="P82" s="1"/>
      <c r="Q82" s="1" t="s">
        <v>29</v>
      </c>
      <c r="R82" s="1" t="s">
        <v>22</v>
      </c>
      <c r="S82" s="18">
        <v>45188</v>
      </c>
      <c r="T82" s="1" t="s">
        <v>42</v>
      </c>
      <c r="U82" s="1" t="s">
        <v>22</v>
      </c>
      <c r="V82" t="s">
        <v>874</v>
      </c>
      <c r="W82" s="20">
        <f t="shared" ca="1" si="2"/>
        <v>3.1047227926078027</v>
      </c>
      <c r="X82" t="s">
        <v>1000</v>
      </c>
      <c r="Y82" t="s">
        <v>1000</v>
      </c>
      <c r="Z82" t="s">
        <v>1092</v>
      </c>
    </row>
    <row r="83" spans="1:26" ht="14.25" customHeight="1" x14ac:dyDescent="0.3">
      <c r="A83" t="s">
        <v>1068</v>
      </c>
      <c r="B83">
        <v>1113000</v>
      </c>
      <c r="C83">
        <v>785</v>
      </c>
      <c r="D83">
        <v>480000</v>
      </c>
      <c r="E83" t="s">
        <v>1069</v>
      </c>
      <c r="F83" t="s">
        <v>1069</v>
      </c>
      <c r="G83" t="s">
        <v>36</v>
      </c>
      <c r="H83" t="s">
        <v>36</v>
      </c>
      <c r="I83" t="s">
        <v>803</v>
      </c>
      <c r="J83" t="s">
        <v>1071</v>
      </c>
      <c r="K83" t="s">
        <v>1070</v>
      </c>
      <c r="L83" t="s">
        <v>22</v>
      </c>
      <c r="M83" t="s">
        <v>26</v>
      </c>
      <c r="N83" s="1" t="s">
        <v>27</v>
      </c>
      <c r="Q83" s="1" t="s">
        <v>29</v>
      </c>
      <c r="R83" t="s">
        <v>22</v>
      </c>
      <c r="T83" t="s">
        <v>1072</v>
      </c>
      <c r="W83" t="str">
        <f ca="1">IF(ISNUMBER(S83),(TODAY()-S83)/365.25,"")</f>
        <v/>
      </c>
      <c r="X83" t="s">
        <v>1008</v>
      </c>
      <c r="Y83" t="s">
        <v>1008</v>
      </c>
      <c r="Z83" t="s">
        <v>1092</v>
      </c>
    </row>
    <row r="84" spans="1:26" ht="14.25" customHeight="1" x14ac:dyDescent="0.3"/>
    <row r="85" spans="1:26" ht="14.25" customHeight="1" x14ac:dyDescent="0.3"/>
    <row r="86" spans="1:26" ht="14.25" customHeight="1" x14ac:dyDescent="0.3"/>
    <row r="87" spans="1:26" ht="14.25" customHeight="1" x14ac:dyDescent="0.3"/>
    <row r="88" spans="1:26" ht="14.25" customHeight="1" x14ac:dyDescent="0.3"/>
    <row r="89" spans="1:26" ht="14.25" customHeight="1" x14ac:dyDescent="0.3"/>
    <row r="90" spans="1:26" ht="14.25" customHeight="1" x14ac:dyDescent="0.3"/>
    <row r="91" spans="1:26" ht="14.25" customHeight="1" x14ac:dyDescent="0.3"/>
    <row r="92" spans="1:26" ht="14.25" customHeight="1" x14ac:dyDescent="0.3"/>
    <row r="93" spans="1:26" ht="14.25" customHeight="1" x14ac:dyDescent="0.3"/>
    <row r="94" spans="1:26" ht="14.25" customHeight="1" x14ac:dyDescent="0.3"/>
    <row r="95" spans="1:26" ht="14.25" customHeight="1" x14ac:dyDescent="0.3"/>
    <row r="96" spans="1:2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sheetData>
  <phoneticPr fontId="4" type="noConversion"/>
  <dataValidations count="9">
    <dataValidation type="list" allowBlank="1" showInputMessage="1" showErrorMessage="1" sqref="J73:J75 J77:J82 J84:J229" xr:uid="{00000000-0002-0000-0000-000000000000}">
      <formula1>"Gauteng,KZN,Western Cape,Northern Cape,Mpumalanga,Limpopo,North West,Free state,Eastern Cape"</formula1>
      <formula2>0</formula2>
    </dataValidation>
    <dataValidation type="list" allowBlank="1" showInputMessage="1" showErrorMessage="1" sqref="N2:N16 N18:N70 N72:N83" xr:uid="{00000000-0002-0000-0000-000001000000}">
      <formula1>"Retail,Agriculural,Residential,Manufacture,Commercial,Industrial"</formula1>
      <formula2>0</formula2>
    </dataValidation>
    <dataValidation type="list" allowBlank="1" showErrorMessage="1" errorTitle="Invalid Country" error="Please select a country from the list." sqref="I2:I83" xr:uid="{00000000-0002-0000-0000-000003000000}">
      <formula1>AfricaCountries</formula1>
    </dataValidation>
    <dataValidation type="list" allowBlank="1" showInputMessage="1" showErrorMessage="1" sqref="J76" xr:uid="{2F9A3115-4773-49D2-B0B0-BF31054E866D}">
      <formula1>"Gauteng,KZN,Western Cape,Northern Cape,Mpumalanga,Limpopo,North West,Free state,Eastern Cape,Lusaka"</formula1>
    </dataValidation>
    <dataValidation type="list" allowBlank="1" showInputMessage="1" showErrorMessage="1" sqref="N17 N71" xr:uid="{93B88269-E1E9-45A7-9AFF-2B9C0FED4C59}">
      <formula1>"Retail,Agricultural,Residential,Manufacture,Commercial,Industrial"</formula1>
    </dataValidation>
    <dataValidation type="list" allowBlank="1" showInputMessage="1" showErrorMessage="1" sqref="O2:O83" xr:uid="{00000000-0002-0000-0000-000002000000}">
      <formula1>"Decommissioned,Producing,Reduced Demand"</formula1>
      <formula2>0</formula2>
    </dataValidation>
    <dataValidation type="list" allowBlank="1" showInputMessage="1" showErrorMessage="1" sqref="V2:V83" xr:uid="{2A54AE45-3D04-43F7-B880-1BB329B234AF}">
      <formula1>"YES,NO"</formula1>
    </dataValidation>
    <dataValidation type="list" allowBlank="1" showInputMessage="1" showErrorMessage="1" sqref="X2:Y83" xr:uid="{44973B9A-327E-4911-A79C-D3F0049038B9}">
      <formula1>"High,Medium,Low,Unknown"</formula1>
    </dataValidation>
    <dataValidation type="list" allowBlank="1" showInputMessage="1" showErrorMessage="1" sqref="J83" xr:uid="{09263046-B6D4-4214-A4A0-2C35155748DA}">
      <formula1>"Gauteng,KZN,Western Cape,Northern Cape,Gaborone,Mpumalanga,Limpopo,North West,Free state,Eastern Cape"</formula1>
    </dataValidation>
  </dataValidations>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79"/>
  <sheetViews>
    <sheetView zoomScaleNormal="100" workbookViewId="0">
      <pane xSplit="1" ySplit="1" topLeftCell="B2" activePane="bottomRight" state="frozen"/>
      <selection pane="topRight" activeCell="B1" sqref="B1"/>
      <selection pane="bottomLeft" activeCell="A2" sqref="A2"/>
      <selection pane="bottomRight" activeCell="M81" sqref="M81"/>
    </sheetView>
  </sheetViews>
  <sheetFormatPr defaultColWidth="8.6640625" defaultRowHeight="14.4" outlineLevelCol="1" x14ac:dyDescent="0.3"/>
  <cols>
    <col min="1" max="1" width="26.6640625" customWidth="1"/>
    <col min="2" max="8" width="11.109375" customWidth="1" outlineLevel="1"/>
    <col min="9" max="10" width="12.109375" customWidth="1" outlineLevel="1"/>
    <col min="11" max="11" width="11.44140625" customWidth="1" outlineLevel="1"/>
    <col min="12" max="13" width="12.109375" customWidth="1" outlineLevel="1"/>
    <col min="14" max="23" width="8.6640625" customWidth="1" outlineLevel="1"/>
    <col min="24" max="24" width="8.6640625" style="3" customWidth="1" outlineLevel="1"/>
    <col min="26" max="36" width="8.6640625" customWidth="1" outlineLevel="1"/>
    <col min="37" max="48" width="8.6640625" style="4" customWidth="1"/>
  </cols>
  <sheetData>
    <row r="1" spans="1:13" ht="14.25" customHeight="1" x14ac:dyDescent="0.3">
      <c r="A1" t="s">
        <v>0</v>
      </c>
      <c r="B1" t="s">
        <v>253</v>
      </c>
      <c r="C1" t="s">
        <v>254</v>
      </c>
      <c r="D1" t="s">
        <v>255</v>
      </c>
      <c r="E1" t="s">
        <v>256</v>
      </c>
      <c r="F1" t="s">
        <v>257</v>
      </c>
      <c r="G1" t="s">
        <v>258</v>
      </c>
      <c r="H1" t="s">
        <v>259</v>
      </c>
      <c r="I1" t="s">
        <v>260</v>
      </c>
      <c r="J1" t="s">
        <v>261</v>
      </c>
      <c r="K1" t="s">
        <v>262</v>
      </c>
      <c r="L1" t="s">
        <v>263</v>
      </c>
      <c r="M1" t="s">
        <v>264</v>
      </c>
    </row>
    <row r="2" spans="1:13" ht="14.25" customHeight="1" x14ac:dyDescent="0.3">
      <c r="A2" t="s">
        <v>31</v>
      </c>
      <c r="B2" s="5">
        <v>2634</v>
      </c>
      <c r="C2" s="5">
        <v>2978</v>
      </c>
      <c r="D2" s="5">
        <v>2426</v>
      </c>
      <c r="E2" s="5">
        <v>2082</v>
      </c>
      <c r="F2" s="5">
        <v>2025</v>
      </c>
      <c r="G2" s="5">
        <v>1810</v>
      </c>
      <c r="H2" s="5">
        <v>2016</v>
      </c>
      <c r="I2" s="5">
        <v>2352</v>
      </c>
      <c r="J2" s="5">
        <v>2528</v>
      </c>
      <c r="K2" s="5">
        <v>2675</v>
      </c>
      <c r="L2" s="5">
        <v>2618</v>
      </c>
      <c r="M2" s="5">
        <v>2758</v>
      </c>
    </row>
    <row r="3" spans="1:13" ht="14.25" customHeight="1" x14ac:dyDescent="0.3">
      <c r="A3" t="s">
        <v>43</v>
      </c>
      <c r="B3" s="5">
        <v>26489.3</v>
      </c>
      <c r="C3" s="5">
        <v>23277.8</v>
      </c>
      <c r="D3" s="5">
        <v>23704</v>
      </c>
      <c r="E3" s="5">
        <v>19723.400000000001</v>
      </c>
      <c r="F3" s="5">
        <v>18790.7</v>
      </c>
      <c r="G3" s="5">
        <v>16902.599999999999</v>
      </c>
      <c r="H3" s="5">
        <v>18714.900000000001</v>
      </c>
      <c r="I3" s="5">
        <v>21796.9</v>
      </c>
      <c r="J3" s="5">
        <v>24005.1</v>
      </c>
      <c r="K3" s="5">
        <v>26259.599999999999</v>
      </c>
      <c r="L3" s="5">
        <v>26494.9</v>
      </c>
      <c r="M3" s="5">
        <v>27974.1</v>
      </c>
    </row>
    <row r="4" spans="1:13" ht="14.25" customHeight="1" x14ac:dyDescent="0.3">
      <c r="A4" t="s">
        <v>49</v>
      </c>
      <c r="B4" s="5">
        <v>5335</v>
      </c>
      <c r="C4" s="5">
        <v>4782</v>
      </c>
      <c r="D4" s="5">
        <v>5051</v>
      </c>
      <c r="E4" s="5">
        <v>5133</v>
      </c>
      <c r="F4" s="5">
        <v>5545</v>
      </c>
      <c r="G4" s="5">
        <v>5291</v>
      </c>
      <c r="H4" s="5">
        <v>5201</v>
      </c>
      <c r="I4" s="5">
        <v>5833</v>
      </c>
      <c r="J4" s="5">
        <v>5216</v>
      </c>
      <c r="K4" s="5">
        <v>5258</v>
      </c>
      <c r="L4" s="5">
        <v>5358</v>
      </c>
      <c r="M4" s="5">
        <v>5339</v>
      </c>
    </row>
    <row r="5" spans="1:13" ht="14.25" customHeight="1" x14ac:dyDescent="0.3">
      <c r="A5" t="s">
        <v>55</v>
      </c>
      <c r="B5" s="5">
        <v>19132</v>
      </c>
      <c r="C5" s="5">
        <v>16455</v>
      </c>
      <c r="D5" s="5">
        <v>18192</v>
      </c>
      <c r="E5" s="5">
        <v>17513</v>
      </c>
      <c r="F5" s="5">
        <v>16955</v>
      </c>
      <c r="G5" s="5">
        <v>15353</v>
      </c>
      <c r="H5" s="5">
        <v>16159</v>
      </c>
      <c r="I5" s="5">
        <v>18059</v>
      </c>
      <c r="J5" s="5">
        <v>18155</v>
      </c>
      <c r="K5" s="5">
        <v>17437</v>
      </c>
      <c r="L5" s="5">
        <v>17289</v>
      </c>
      <c r="M5" s="5">
        <v>19005</v>
      </c>
    </row>
    <row r="6" spans="1:13" ht="14.25" customHeight="1" x14ac:dyDescent="0.3">
      <c r="A6" t="s">
        <v>60</v>
      </c>
      <c r="B6" s="5">
        <v>57016.371899999998</v>
      </c>
      <c r="C6" s="5">
        <v>49003.656300000002</v>
      </c>
      <c r="D6" s="5">
        <v>54154.744500000001</v>
      </c>
      <c r="E6" s="5">
        <v>52055.443200000002</v>
      </c>
      <c r="F6" s="5">
        <v>50303.592600000004</v>
      </c>
      <c r="G6" s="5">
        <v>45493.302000000003</v>
      </c>
      <c r="H6" s="5">
        <v>47903.114399999999</v>
      </c>
      <c r="I6" s="5">
        <v>53629.447500000002</v>
      </c>
      <c r="J6" s="5">
        <v>54003.212699999996</v>
      </c>
      <c r="K6" s="5">
        <v>51943.234199999999</v>
      </c>
      <c r="L6" s="5">
        <v>51542.757299999997</v>
      </c>
      <c r="M6" s="5">
        <v>56267.012691900003</v>
      </c>
    </row>
    <row r="7" spans="1:13" ht="14.25" customHeight="1" x14ac:dyDescent="0.3">
      <c r="A7" t="s">
        <v>61</v>
      </c>
      <c r="B7" s="5">
        <v>15319</v>
      </c>
      <c r="C7" s="5">
        <v>12622</v>
      </c>
      <c r="D7" s="5">
        <v>12090</v>
      </c>
      <c r="E7" s="5">
        <v>8698</v>
      </c>
      <c r="F7" s="5">
        <v>6615</v>
      </c>
      <c r="G7" s="5">
        <v>5740</v>
      </c>
      <c r="H7" s="5">
        <v>6183</v>
      </c>
      <c r="I7" s="5">
        <v>7734</v>
      </c>
      <c r="J7" s="5">
        <v>9940</v>
      </c>
      <c r="K7" s="5">
        <v>12572</v>
      </c>
      <c r="L7" s="5">
        <v>14126</v>
      </c>
      <c r="M7" s="5">
        <v>15421</v>
      </c>
    </row>
    <row r="8" spans="1:13" ht="14.25" customHeight="1" x14ac:dyDescent="0.3">
      <c r="A8" t="s">
        <v>64</v>
      </c>
      <c r="B8" s="5">
        <v>9057</v>
      </c>
      <c r="C8" s="5">
        <v>8039</v>
      </c>
      <c r="D8" s="5">
        <v>7862</v>
      </c>
      <c r="E8" s="5">
        <v>6394</v>
      </c>
      <c r="F8" s="5">
        <v>6027</v>
      </c>
      <c r="G8" s="5">
        <v>5319</v>
      </c>
      <c r="H8" s="5">
        <v>5956</v>
      </c>
      <c r="I8" s="5">
        <v>7070</v>
      </c>
      <c r="J8" s="5">
        <v>8021</v>
      </c>
      <c r="K8" s="5">
        <v>8710</v>
      </c>
      <c r="L8" s="5">
        <f>9102</f>
        <v>9102</v>
      </c>
      <c r="M8" s="5">
        <v>9142</v>
      </c>
    </row>
    <row r="9" spans="1:13" ht="14.25" customHeight="1" x14ac:dyDescent="0.3">
      <c r="A9" t="s">
        <v>66</v>
      </c>
      <c r="B9" s="5">
        <v>2447</v>
      </c>
      <c r="C9" s="5">
        <v>2204</v>
      </c>
      <c r="D9" s="5">
        <v>2364</v>
      </c>
      <c r="E9" s="5">
        <v>1964</v>
      </c>
      <c r="F9" s="5">
        <v>1813</v>
      </c>
      <c r="G9" s="5">
        <v>1645</v>
      </c>
      <c r="H9" s="5">
        <v>1792</v>
      </c>
      <c r="I9" s="5">
        <v>1960</v>
      </c>
      <c r="J9" s="5">
        <v>2076</v>
      </c>
      <c r="K9" s="5">
        <v>2112</v>
      </c>
      <c r="L9" s="5">
        <v>2039</v>
      </c>
      <c r="M9" s="5">
        <v>2207</v>
      </c>
    </row>
    <row r="10" spans="1:13" ht="14.25" customHeight="1" x14ac:dyDescent="0.3">
      <c r="A10" t="s">
        <v>71</v>
      </c>
      <c r="B10" s="5">
        <v>29655</v>
      </c>
      <c r="C10" s="5">
        <v>22972</v>
      </c>
      <c r="D10" s="5">
        <v>22328</v>
      </c>
      <c r="E10" s="5">
        <v>18096</v>
      </c>
      <c r="F10" s="5">
        <v>15021</v>
      </c>
      <c r="G10" s="5">
        <v>13183</v>
      </c>
      <c r="H10" s="5">
        <v>15099</v>
      </c>
      <c r="I10" s="5">
        <v>19010</v>
      </c>
      <c r="J10" s="5">
        <v>21674</v>
      </c>
      <c r="K10" s="5">
        <v>26757</v>
      </c>
      <c r="L10" s="5">
        <v>28766</v>
      </c>
      <c r="M10" s="5">
        <v>31103</v>
      </c>
    </row>
    <row r="11" spans="1:13" ht="14.25" customHeight="1" x14ac:dyDescent="0.3">
      <c r="A11" t="s">
        <v>77</v>
      </c>
      <c r="B11" s="5">
        <v>23450</v>
      </c>
      <c r="C11" s="5">
        <v>20245</v>
      </c>
      <c r="D11" s="5">
        <v>20409</v>
      </c>
      <c r="E11" s="5">
        <v>16782</v>
      </c>
      <c r="F11" s="5">
        <v>15700</v>
      </c>
      <c r="G11" s="5">
        <v>14022</v>
      </c>
      <c r="H11" s="5">
        <v>15558</v>
      </c>
      <c r="I11" s="5">
        <v>18491</v>
      </c>
      <c r="J11" s="5">
        <v>20696</v>
      </c>
      <c r="K11" s="5">
        <v>22782</v>
      </c>
      <c r="L11" s="5">
        <v>22890</v>
      </c>
      <c r="M11" s="5">
        <v>24472</v>
      </c>
    </row>
    <row r="12" spans="1:13" ht="14.25" customHeight="1" x14ac:dyDescent="0.3">
      <c r="A12" t="s">
        <v>80</v>
      </c>
      <c r="B12" s="5">
        <v>23450</v>
      </c>
      <c r="C12" s="5">
        <v>20245</v>
      </c>
      <c r="D12" s="5">
        <v>20409</v>
      </c>
      <c r="E12" s="5">
        <v>16782</v>
      </c>
      <c r="F12" s="5">
        <v>15700</v>
      </c>
      <c r="G12" s="5">
        <v>14022</v>
      </c>
      <c r="H12" s="5">
        <v>15558</v>
      </c>
      <c r="I12" s="5">
        <v>18491</v>
      </c>
      <c r="J12" s="5">
        <v>20696</v>
      </c>
      <c r="K12" s="5">
        <v>22782</v>
      </c>
      <c r="L12" s="5">
        <v>22890</v>
      </c>
      <c r="M12" s="5">
        <v>24472</v>
      </c>
    </row>
    <row r="13" spans="1:13" ht="14.25" customHeight="1" x14ac:dyDescent="0.3">
      <c r="A13" t="s">
        <v>81</v>
      </c>
      <c r="B13" s="5">
        <v>9627</v>
      </c>
      <c r="C13" s="5">
        <v>9000</v>
      </c>
      <c r="D13" s="5">
        <v>8673</v>
      </c>
      <c r="E13" s="5">
        <v>7260</v>
      </c>
      <c r="F13" s="5">
        <v>6214</v>
      </c>
      <c r="G13" s="5">
        <v>5622</v>
      </c>
      <c r="H13" s="5">
        <v>5969</v>
      </c>
      <c r="I13" s="5">
        <v>7206</v>
      </c>
      <c r="J13" s="5">
        <v>7683</v>
      </c>
      <c r="K13" s="5">
        <v>8926</v>
      </c>
      <c r="L13" s="5">
        <v>8903</v>
      </c>
      <c r="M13" s="5">
        <v>9497</v>
      </c>
    </row>
    <row r="14" spans="1:13" ht="14.25" customHeight="1" x14ac:dyDescent="0.3">
      <c r="A14" t="s">
        <v>85</v>
      </c>
      <c r="B14" s="5">
        <v>6408</v>
      </c>
      <c r="C14" s="5">
        <v>5365</v>
      </c>
      <c r="D14" s="5">
        <v>5459</v>
      </c>
      <c r="E14" s="5">
        <v>4611</v>
      </c>
      <c r="F14" s="5">
        <v>4375</v>
      </c>
      <c r="G14" s="5">
        <v>3848</v>
      </c>
      <c r="H14" s="5">
        <v>4305</v>
      </c>
      <c r="I14" s="5">
        <v>5067</v>
      </c>
      <c r="J14" s="5">
        <v>5593</v>
      </c>
      <c r="K14" s="5">
        <v>6237</v>
      </c>
      <c r="L14" s="5">
        <v>6347</v>
      </c>
      <c r="M14" s="5">
        <v>6697</v>
      </c>
    </row>
    <row r="15" spans="1:13" ht="14.25" customHeight="1" x14ac:dyDescent="0.3">
      <c r="A15" t="s">
        <v>90</v>
      </c>
      <c r="B15" s="5">
        <v>5761.2</v>
      </c>
      <c r="C15" s="5">
        <v>5289.7</v>
      </c>
      <c r="D15" s="5">
        <v>5351.3</v>
      </c>
      <c r="E15" s="5">
        <v>4476.7</v>
      </c>
      <c r="F15" s="5">
        <v>4144.2</v>
      </c>
      <c r="G15" s="5">
        <v>3750.5</v>
      </c>
      <c r="H15" s="5">
        <v>4019</v>
      </c>
      <c r="I15" s="5">
        <v>4537.7</v>
      </c>
      <c r="J15" s="5">
        <v>4477.3</v>
      </c>
      <c r="K15" s="5">
        <v>4986.7</v>
      </c>
      <c r="L15" s="5">
        <v>5100.3999999999996</v>
      </c>
      <c r="M15" s="5">
        <v>5950.6</v>
      </c>
    </row>
    <row r="16" spans="1:13" ht="14.25" customHeight="1" x14ac:dyDescent="0.3">
      <c r="A16" t="s">
        <v>93</v>
      </c>
      <c r="B16" s="5">
        <v>13109</v>
      </c>
      <c r="C16" s="5">
        <v>11411</v>
      </c>
      <c r="D16" s="5">
        <v>11746</v>
      </c>
      <c r="E16" s="5">
        <v>9262</v>
      </c>
      <c r="F16" s="5">
        <v>7471</v>
      </c>
      <c r="G16" s="5">
        <v>6511</v>
      </c>
      <c r="H16" s="5">
        <v>7170</v>
      </c>
      <c r="I16" s="5">
        <v>8324</v>
      </c>
      <c r="J16" s="5">
        <v>9849</v>
      </c>
      <c r="K16" s="5">
        <v>11513</v>
      </c>
      <c r="L16" s="5">
        <v>12192</v>
      </c>
      <c r="M16" s="5">
        <v>12923</v>
      </c>
    </row>
    <row r="17" spans="1:13" ht="14.25" customHeight="1" x14ac:dyDescent="0.3">
      <c r="A17" t="s">
        <v>95</v>
      </c>
      <c r="B17" s="5">
        <v>41895</v>
      </c>
      <c r="C17" s="5">
        <v>35971</v>
      </c>
      <c r="D17" s="5">
        <v>36483</v>
      </c>
      <c r="E17" s="5">
        <v>30848</v>
      </c>
      <c r="F17" s="5">
        <v>29226</v>
      </c>
      <c r="G17" s="5">
        <v>26233</v>
      </c>
      <c r="H17" s="5">
        <v>29069</v>
      </c>
      <c r="I17" s="5">
        <v>34133</v>
      </c>
      <c r="J17" s="5">
        <v>37890</v>
      </c>
      <c r="K17" s="5">
        <v>41280</v>
      </c>
      <c r="L17" s="5">
        <v>41518</v>
      </c>
      <c r="M17" s="5">
        <v>43833</v>
      </c>
    </row>
    <row r="18" spans="1:13" ht="14.25" customHeight="1" x14ac:dyDescent="0.3">
      <c r="A18" t="s">
        <v>239</v>
      </c>
      <c r="B18">
        <v>2735</v>
      </c>
      <c r="C18">
        <v>2556</v>
      </c>
      <c r="D18">
        <v>2535</v>
      </c>
      <c r="E18">
        <v>2442</v>
      </c>
      <c r="F18">
        <v>2474</v>
      </c>
      <c r="G18">
        <v>2756</v>
      </c>
      <c r="H18">
        <v>2611</v>
      </c>
      <c r="I18">
        <v>2800</v>
      </c>
      <c r="J18">
        <v>2707</v>
      </c>
      <c r="K18">
        <v>2695</v>
      </c>
      <c r="L18">
        <v>2618</v>
      </c>
      <c r="M18">
        <v>2708</v>
      </c>
    </row>
    <row r="19" spans="1:13" ht="14.25" customHeight="1" x14ac:dyDescent="0.3">
      <c r="A19" t="s">
        <v>98</v>
      </c>
      <c r="B19" s="5">
        <v>16980</v>
      </c>
      <c r="C19" s="5">
        <v>15556.6</v>
      </c>
      <c r="D19" s="5">
        <v>15927.6</v>
      </c>
      <c r="E19" s="5">
        <v>13677.3</v>
      </c>
      <c r="F19" s="5">
        <v>12351.6</v>
      </c>
      <c r="G19" s="5">
        <v>11543.6</v>
      </c>
      <c r="H19" s="5">
        <v>12195.1</v>
      </c>
      <c r="I19" s="5">
        <v>13528</v>
      </c>
      <c r="J19" s="5">
        <v>13644.6</v>
      </c>
      <c r="K19" s="5">
        <v>15166.4</v>
      </c>
      <c r="L19" s="5">
        <v>15407.487300000001</v>
      </c>
      <c r="M19" s="5">
        <v>16842.372299999999</v>
      </c>
    </row>
    <row r="20" spans="1:13" ht="14.25" customHeight="1" x14ac:dyDescent="0.3">
      <c r="A20" t="s">
        <v>102</v>
      </c>
      <c r="B20" s="5">
        <v>15179.5</v>
      </c>
      <c r="C20" s="5">
        <v>13524.8</v>
      </c>
      <c r="D20" s="5">
        <v>13861.9</v>
      </c>
      <c r="E20" s="5">
        <v>11789.7</v>
      </c>
      <c r="F20" s="5">
        <v>10618.3</v>
      </c>
      <c r="G20" s="5">
        <v>9819.1</v>
      </c>
      <c r="H20" s="5">
        <v>10486.9</v>
      </c>
      <c r="I20" s="5">
        <v>11678.3</v>
      </c>
      <c r="J20" s="5">
        <v>11941.8</v>
      </c>
      <c r="K20" s="5">
        <v>13277</v>
      </c>
      <c r="L20" s="5">
        <v>13346.2179</v>
      </c>
      <c r="M20" s="5">
        <v>14828.667600000001</v>
      </c>
    </row>
    <row r="21" spans="1:13" ht="14.25" customHeight="1" x14ac:dyDescent="0.3">
      <c r="A21" s="6" t="s">
        <v>104</v>
      </c>
      <c r="B21" s="7">
        <v>4492</v>
      </c>
      <c r="C21" s="7">
        <v>4056</v>
      </c>
      <c r="D21" s="7">
        <v>4397</v>
      </c>
      <c r="E21" s="7">
        <v>3644</v>
      </c>
      <c r="F21" s="7">
        <v>3389</v>
      </c>
      <c r="G21" s="7">
        <v>3100</v>
      </c>
      <c r="H21" s="7">
        <v>3383</v>
      </c>
      <c r="I21" s="7">
        <v>3665</v>
      </c>
      <c r="J21" s="7">
        <v>3881</v>
      </c>
      <c r="K21" s="7">
        <v>3899</v>
      </c>
      <c r="L21" s="7">
        <v>3720</v>
      </c>
      <c r="M21" s="7">
        <v>3991</v>
      </c>
    </row>
    <row r="22" spans="1:13" ht="14.25" customHeight="1" x14ac:dyDescent="0.3">
      <c r="A22" t="s">
        <v>107</v>
      </c>
      <c r="B22" s="5">
        <v>4020</v>
      </c>
      <c r="C22" s="5">
        <v>3616</v>
      </c>
      <c r="D22" s="5">
        <v>4009</v>
      </c>
      <c r="E22" s="5">
        <v>3292</v>
      </c>
      <c r="F22" s="5">
        <v>3026</v>
      </c>
      <c r="G22" s="5">
        <v>2735</v>
      </c>
      <c r="H22" s="5">
        <v>3002</v>
      </c>
      <c r="I22" s="5">
        <v>3304</v>
      </c>
      <c r="J22" s="5">
        <v>3497</v>
      </c>
      <c r="K22" s="5">
        <v>3533</v>
      </c>
      <c r="L22" s="5">
        <v>3348</v>
      </c>
      <c r="M22" s="5">
        <v>3560</v>
      </c>
    </row>
    <row r="23" spans="1:13" ht="14.25" customHeight="1" x14ac:dyDescent="0.3">
      <c r="A23" t="s">
        <v>109</v>
      </c>
      <c r="B23" s="5">
        <v>4706</v>
      </c>
      <c r="C23" s="5">
        <v>4110</v>
      </c>
      <c r="D23" s="5">
        <v>4209</v>
      </c>
      <c r="E23" s="5">
        <v>3538</v>
      </c>
      <c r="F23" s="5">
        <v>3392</v>
      </c>
      <c r="G23" s="5">
        <v>3058</v>
      </c>
      <c r="H23" s="5">
        <v>3366</v>
      </c>
      <c r="I23" s="5">
        <v>3941</v>
      </c>
      <c r="J23" s="5">
        <v>4346</v>
      </c>
      <c r="K23" s="5">
        <v>4559</v>
      </c>
      <c r="L23" s="5">
        <v>4578</v>
      </c>
      <c r="M23" s="5">
        <v>4864</v>
      </c>
    </row>
    <row r="24" spans="1:13" ht="14.25" customHeight="1" x14ac:dyDescent="0.3">
      <c r="A24" t="s">
        <v>113</v>
      </c>
      <c r="B24" s="5">
        <v>44000.9</v>
      </c>
      <c r="C24" s="5">
        <v>36738.800000000003</v>
      </c>
      <c r="D24" s="5">
        <v>35799.5</v>
      </c>
      <c r="E24" s="5">
        <v>26238.2</v>
      </c>
      <c r="F24" s="5">
        <v>19947.3</v>
      </c>
      <c r="G24" s="5">
        <v>16584</v>
      </c>
      <c r="H24" s="5">
        <v>18638.7</v>
      </c>
      <c r="I24" s="5">
        <v>23207.5</v>
      </c>
      <c r="J24" s="5">
        <v>29655.5</v>
      </c>
      <c r="K24" s="5">
        <v>36694.1</v>
      </c>
      <c r="L24" s="5">
        <v>41235.300000000003</v>
      </c>
      <c r="M24" s="5">
        <v>44584.1</v>
      </c>
    </row>
    <row r="25" spans="1:13" ht="14.25" customHeight="1" x14ac:dyDescent="0.3">
      <c r="A25" t="s">
        <v>114</v>
      </c>
      <c r="B25" s="5">
        <v>32657</v>
      </c>
      <c r="C25" s="5">
        <v>28530</v>
      </c>
      <c r="D25" s="5">
        <v>26894</v>
      </c>
      <c r="E25" s="5">
        <v>23945</v>
      </c>
      <c r="F25" s="5">
        <v>21446</v>
      </c>
      <c r="G25" s="5">
        <v>18974</v>
      </c>
      <c r="H25" s="5">
        <v>21123</v>
      </c>
      <c r="I25" s="5">
        <v>24633</v>
      </c>
      <c r="J25" s="5">
        <v>27402</v>
      </c>
      <c r="K25" s="5">
        <v>30501</v>
      </c>
      <c r="L25" s="5">
        <v>32028</v>
      </c>
      <c r="M25" s="5">
        <v>31475</v>
      </c>
    </row>
    <row r="26" spans="1:13" ht="14.25" customHeight="1" x14ac:dyDescent="0.3">
      <c r="A26" t="s">
        <v>117</v>
      </c>
      <c r="B26" s="5">
        <v>33572</v>
      </c>
      <c r="C26" s="5">
        <v>29313</v>
      </c>
      <c r="D26" s="5">
        <v>30629</v>
      </c>
      <c r="E26" s="5">
        <v>26386</v>
      </c>
      <c r="F26" s="5">
        <v>25077</v>
      </c>
      <c r="G26" s="5">
        <v>22476</v>
      </c>
      <c r="H26" s="5">
        <v>24838</v>
      </c>
      <c r="I26" s="5">
        <v>29965</v>
      </c>
      <c r="J26" s="5">
        <v>32045</v>
      </c>
      <c r="K26" s="5">
        <v>33620</v>
      </c>
      <c r="L26" s="5">
        <v>32645</v>
      </c>
      <c r="M26" s="5">
        <v>34688</v>
      </c>
    </row>
    <row r="27" spans="1:13" ht="14.25" customHeight="1" x14ac:dyDescent="0.3">
      <c r="A27" t="s">
        <v>225</v>
      </c>
      <c r="B27">
        <v>8415</v>
      </c>
      <c r="C27">
        <v>7237.5</v>
      </c>
      <c r="D27">
        <v>7601.5</v>
      </c>
      <c r="E27">
        <v>6870</v>
      </c>
      <c r="F27">
        <v>6583</v>
      </c>
      <c r="G27">
        <v>5884</v>
      </c>
      <c r="H27">
        <v>6428</v>
      </c>
      <c r="I27">
        <v>7317</v>
      </c>
      <c r="J27">
        <v>7798.5</v>
      </c>
      <c r="K27">
        <v>8310.5</v>
      </c>
      <c r="L27">
        <v>8392</v>
      </c>
      <c r="M27">
        <v>8239</v>
      </c>
    </row>
    <row r="28" spans="1:13" ht="14.25" customHeight="1" x14ac:dyDescent="0.3">
      <c r="A28" t="s">
        <v>223</v>
      </c>
      <c r="B28">
        <v>8415</v>
      </c>
      <c r="C28">
        <v>7237.5</v>
      </c>
      <c r="D28">
        <v>7601.5</v>
      </c>
      <c r="E28">
        <v>6870</v>
      </c>
      <c r="F28">
        <v>6583</v>
      </c>
      <c r="G28">
        <v>5884</v>
      </c>
      <c r="H28">
        <v>6428</v>
      </c>
      <c r="I28">
        <v>7317</v>
      </c>
      <c r="J28">
        <v>7798.5</v>
      </c>
      <c r="K28">
        <v>8310.5</v>
      </c>
      <c r="L28">
        <v>8392</v>
      </c>
      <c r="M28">
        <v>8239</v>
      </c>
    </row>
    <row r="29" spans="1:13" ht="14.25" customHeight="1" x14ac:dyDescent="0.3">
      <c r="A29" t="s">
        <v>120</v>
      </c>
      <c r="B29" s="5">
        <v>13570</v>
      </c>
      <c r="C29" s="5">
        <v>11745</v>
      </c>
      <c r="D29" s="5">
        <v>11799</v>
      </c>
      <c r="E29" s="5">
        <v>10155</v>
      </c>
      <c r="F29" s="5">
        <v>9548</v>
      </c>
      <c r="G29" s="5">
        <v>8534</v>
      </c>
      <c r="H29" s="5">
        <v>9501</v>
      </c>
      <c r="I29" s="5">
        <v>11108</v>
      </c>
      <c r="J29" s="5">
        <v>11891</v>
      </c>
      <c r="K29" s="5">
        <v>13149</v>
      </c>
      <c r="L29" s="5">
        <v>13477</v>
      </c>
      <c r="M29" s="5">
        <v>14443</v>
      </c>
    </row>
    <row r="30" spans="1:13" ht="14.25" customHeight="1" x14ac:dyDescent="0.3">
      <c r="A30" t="s">
        <v>236</v>
      </c>
      <c r="B30" s="46">
        <v>18447.710505874198</v>
      </c>
      <c r="C30" s="46">
        <v>16628.945590496696</v>
      </c>
      <c r="D30" s="46">
        <v>18150.539495474699</v>
      </c>
      <c r="E30" s="46">
        <v>16778.1675410235</v>
      </c>
      <c r="F30" s="46">
        <v>16967.828248484399</v>
      </c>
      <c r="G30" s="46">
        <v>15742.2303779175</v>
      </c>
      <c r="H30" s="46">
        <v>16856.988846912001</v>
      </c>
      <c r="I30" s="46">
        <v>18183.8304818127</v>
      </c>
      <c r="J30" s="46">
        <v>18093.2594160402</v>
      </c>
      <c r="K30" s="46">
        <v>17656.755836349599</v>
      </c>
      <c r="L30" s="46">
        <v>17048.020359692695</v>
      </c>
      <c r="M30" s="46">
        <v>18068.487005618099</v>
      </c>
    </row>
    <row r="31" spans="1:13" ht="14.25" customHeight="1" x14ac:dyDescent="0.3">
      <c r="A31" t="s">
        <v>122</v>
      </c>
      <c r="B31" s="5">
        <v>24713</v>
      </c>
      <c r="C31" s="5">
        <v>21612</v>
      </c>
      <c r="D31" s="5">
        <v>21750</v>
      </c>
      <c r="E31" s="5">
        <v>17547</v>
      </c>
      <c r="F31" s="5">
        <v>14975</v>
      </c>
      <c r="G31" s="5">
        <v>13472</v>
      </c>
      <c r="H31" s="5">
        <v>14555</v>
      </c>
      <c r="I31" s="5">
        <v>17167</v>
      </c>
      <c r="J31" s="5">
        <v>18426</v>
      </c>
      <c r="K31" s="5">
        <v>21592</v>
      </c>
      <c r="L31" s="5">
        <v>22234</v>
      </c>
      <c r="M31" s="5">
        <v>24984</v>
      </c>
    </row>
    <row r="32" spans="1:13" ht="14.25" customHeight="1" x14ac:dyDescent="0.3">
      <c r="A32" t="s">
        <v>124</v>
      </c>
      <c r="B32" s="5">
        <v>72121</v>
      </c>
      <c r="C32" s="5">
        <v>65458</v>
      </c>
      <c r="D32" s="5">
        <v>68264</v>
      </c>
      <c r="E32" s="5">
        <v>57584</v>
      </c>
      <c r="F32" s="5">
        <v>52130</v>
      </c>
      <c r="G32" s="5">
        <v>48157</v>
      </c>
      <c r="H32" s="5">
        <v>51738</v>
      </c>
      <c r="I32" s="5">
        <v>57201</v>
      </c>
      <c r="J32" s="5">
        <v>59213</v>
      </c>
      <c r="K32" s="5">
        <v>64977</v>
      </c>
      <c r="L32" s="5">
        <v>66569</v>
      </c>
      <c r="M32" s="5">
        <v>71854</v>
      </c>
    </row>
    <row r="33" spans="1:13" ht="14.25" customHeight="1" x14ac:dyDescent="0.3">
      <c r="A33" t="s">
        <v>127</v>
      </c>
      <c r="B33" s="5">
        <v>17634</v>
      </c>
      <c r="C33" s="5">
        <v>16473</v>
      </c>
      <c r="D33" s="5">
        <v>19238</v>
      </c>
      <c r="E33" s="5">
        <v>17065</v>
      </c>
      <c r="F33" s="5">
        <v>16886</v>
      </c>
      <c r="G33" s="5">
        <v>16099</v>
      </c>
      <c r="H33" s="5">
        <v>17101</v>
      </c>
      <c r="I33" s="5">
        <v>17348</v>
      </c>
      <c r="J33" s="5">
        <v>16879</v>
      </c>
      <c r="K33" s="5">
        <v>15944</v>
      </c>
      <c r="L33" s="5">
        <v>14731</v>
      </c>
      <c r="M33" s="5">
        <v>15377</v>
      </c>
    </row>
    <row r="34" spans="1:13" ht="14.25" customHeight="1" x14ac:dyDescent="0.3">
      <c r="A34" t="s">
        <v>234</v>
      </c>
      <c r="B34">
        <v>59291</v>
      </c>
      <c r="C34">
        <v>48612</v>
      </c>
      <c r="D34">
        <v>45479</v>
      </c>
      <c r="E34">
        <v>32312</v>
      </c>
      <c r="F34">
        <v>23816</v>
      </c>
      <c r="G34">
        <v>19426</v>
      </c>
      <c r="H34">
        <v>21982</v>
      </c>
      <c r="I34">
        <v>28360</v>
      </c>
      <c r="J34">
        <v>37091</v>
      </c>
      <c r="K34">
        <v>47820</v>
      </c>
      <c r="L34">
        <v>55073</v>
      </c>
      <c r="M34">
        <v>60151</v>
      </c>
    </row>
    <row r="35" spans="1:13" ht="14.25" customHeight="1" x14ac:dyDescent="0.3">
      <c r="A35" t="s">
        <v>131</v>
      </c>
      <c r="B35" s="5">
        <v>5957</v>
      </c>
      <c r="C35" s="5">
        <v>5410</v>
      </c>
      <c r="D35" s="5">
        <v>5967</v>
      </c>
      <c r="E35" s="5">
        <v>5723</v>
      </c>
      <c r="F35" s="5">
        <v>6086</v>
      </c>
      <c r="G35" s="5">
        <v>5885</v>
      </c>
      <c r="H35" s="5">
        <v>6334</v>
      </c>
      <c r="I35" s="5">
        <v>6633</v>
      </c>
      <c r="J35" s="5">
        <v>6573</v>
      </c>
      <c r="K35" s="5">
        <v>6461</v>
      </c>
      <c r="L35" s="5">
        <v>6012</v>
      </c>
      <c r="M35" s="5">
        <v>6145</v>
      </c>
    </row>
    <row r="36" spans="1:13" ht="14.25" customHeight="1" x14ac:dyDescent="0.3">
      <c r="A36" t="s">
        <v>134</v>
      </c>
      <c r="B36" s="5">
        <v>44907</v>
      </c>
      <c r="C36" s="5">
        <v>37765</v>
      </c>
      <c r="D36" s="5">
        <v>39036</v>
      </c>
      <c r="E36" s="5">
        <v>33226</v>
      </c>
      <c r="F36" s="5">
        <v>31537</v>
      </c>
      <c r="G36" s="5">
        <v>28491</v>
      </c>
      <c r="H36" s="5">
        <v>31513</v>
      </c>
      <c r="I36" s="5">
        <v>36674</v>
      </c>
      <c r="J36" s="5">
        <v>40579</v>
      </c>
      <c r="K36" s="5">
        <v>44092</v>
      </c>
      <c r="L36" s="5">
        <v>44165</v>
      </c>
      <c r="M36" s="5">
        <v>47244</v>
      </c>
    </row>
    <row r="37" spans="1:13" ht="14.25" customHeight="1" x14ac:dyDescent="0.3">
      <c r="A37" t="s">
        <v>138</v>
      </c>
      <c r="B37" s="5">
        <v>23544</v>
      </c>
      <c r="C37" s="5">
        <v>21677</v>
      </c>
      <c r="D37" s="5">
        <v>24212</v>
      </c>
      <c r="E37" s="5">
        <v>20861</v>
      </c>
      <c r="F37" s="5">
        <v>20012</v>
      </c>
      <c r="G37" s="5">
        <v>18485</v>
      </c>
      <c r="H37" s="5">
        <v>20016</v>
      </c>
      <c r="I37" s="5">
        <v>21052</v>
      </c>
      <c r="J37" s="5">
        <v>21403</v>
      </c>
      <c r="K37" s="5">
        <v>20962</v>
      </c>
      <c r="L37" s="5">
        <v>19856</v>
      </c>
      <c r="M37" s="5">
        <v>21184</v>
      </c>
    </row>
    <row r="38" spans="1:13" ht="14.25" customHeight="1" x14ac:dyDescent="0.3">
      <c r="A38" t="s">
        <v>220</v>
      </c>
      <c r="B38" s="5">
        <v>52080</v>
      </c>
      <c r="C38" s="5">
        <v>45544</v>
      </c>
      <c r="D38" s="5">
        <v>44433</v>
      </c>
      <c r="E38" s="5">
        <v>38648</v>
      </c>
      <c r="F38" s="5">
        <v>35710</v>
      </c>
      <c r="G38" s="5">
        <v>31508</v>
      </c>
      <c r="H38" s="5">
        <v>34699</v>
      </c>
      <c r="I38" s="5">
        <v>40906</v>
      </c>
      <c r="J38" s="5">
        <v>45309</v>
      </c>
      <c r="K38" s="5">
        <v>51347</v>
      </c>
      <c r="L38" s="5">
        <v>51837</v>
      </c>
      <c r="M38" s="5">
        <v>52952</v>
      </c>
    </row>
    <row r="39" spans="1:13" ht="14.25" customHeight="1" x14ac:dyDescent="0.3">
      <c r="A39" t="s">
        <v>222</v>
      </c>
      <c r="B39" s="5">
        <v>13744</v>
      </c>
      <c r="C39" s="5">
        <v>12002</v>
      </c>
      <c r="D39" s="5">
        <v>11708</v>
      </c>
      <c r="E39" s="5">
        <v>10193</v>
      </c>
      <c r="F39" s="5">
        <v>9448</v>
      </c>
      <c r="G39" s="5">
        <v>8384</v>
      </c>
      <c r="H39" s="5">
        <v>9230</v>
      </c>
      <c r="I39" s="5">
        <v>10801</v>
      </c>
      <c r="J39" s="5">
        <v>11951</v>
      </c>
      <c r="K39" s="5">
        <v>13545</v>
      </c>
      <c r="L39" s="5">
        <v>13626</v>
      </c>
      <c r="M39" s="5">
        <v>13933</v>
      </c>
    </row>
    <row r="40" spans="1:13" ht="14.25" customHeight="1" x14ac:dyDescent="0.3">
      <c r="A40" t="s">
        <v>142</v>
      </c>
      <c r="B40" s="5">
        <v>6317</v>
      </c>
      <c r="C40" s="5">
        <v>5312</v>
      </c>
      <c r="D40" s="5">
        <v>5484</v>
      </c>
      <c r="E40" s="5">
        <v>4844</v>
      </c>
      <c r="F40" s="5">
        <v>4660</v>
      </c>
      <c r="G40" s="5">
        <v>4243</v>
      </c>
      <c r="H40" s="5">
        <v>4686</v>
      </c>
      <c r="I40" s="5">
        <v>5383</v>
      </c>
      <c r="J40" s="5">
        <v>5889</v>
      </c>
      <c r="K40" s="5">
        <v>6297</v>
      </c>
      <c r="L40" s="5">
        <v>6249</v>
      </c>
      <c r="M40" s="5">
        <v>6662</v>
      </c>
    </row>
    <row r="41" spans="1:13" ht="14.25" customHeight="1" x14ac:dyDescent="0.3">
      <c r="A41" t="s">
        <v>145</v>
      </c>
      <c r="B41" s="5">
        <v>45787.199999999997</v>
      </c>
      <c r="C41" s="5">
        <v>39973.5</v>
      </c>
      <c r="D41" s="5">
        <v>40622.199999999997</v>
      </c>
      <c r="E41" s="5">
        <v>37337.9</v>
      </c>
      <c r="F41" s="5">
        <v>36620.699999999997</v>
      </c>
      <c r="G41" s="5">
        <v>33353.579100000003</v>
      </c>
      <c r="H41" s="5">
        <v>36066.455099999999</v>
      </c>
      <c r="I41" s="5">
        <v>40562.361900000004</v>
      </c>
      <c r="J41" s="5">
        <v>41523.188699999999</v>
      </c>
      <c r="K41" s="5">
        <v>44647.762499999997</v>
      </c>
      <c r="L41" s="5">
        <v>44811.7068</v>
      </c>
      <c r="M41" s="5">
        <v>47334.919800000003</v>
      </c>
    </row>
    <row r="42" spans="1:13" ht="14.25" customHeight="1" x14ac:dyDescent="0.3">
      <c r="A42" t="s">
        <v>149</v>
      </c>
      <c r="B42" s="5">
        <v>11454.7</v>
      </c>
      <c r="C42" s="5">
        <v>9955.2999999999993</v>
      </c>
      <c r="D42" s="5">
        <v>10575.8</v>
      </c>
      <c r="E42" s="5">
        <v>9316.2000000000007</v>
      </c>
      <c r="F42" s="5">
        <v>9144.7000000000007</v>
      </c>
      <c r="G42" s="5">
        <v>8500.6</v>
      </c>
      <c r="H42" s="5">
        <v>9262.2999999999993</v>
      </c>
      <c r="I42" s="5">
        <v>10470.200000000001</v>
      </c>
      <c r="J42" s="5">
        <v>11129.4</v>
      </c>
      <c r="K42" s="5">
        <v>11715.5</v>
      </c>
      <c r="L42" s="5">
        <v>11402.4</v>
      </c>
      <c r="M42" s="5">
        <v>12145.4</v>
      </c>
    </row>
    <row r="43" spans="1:13" ht="14.25" customHeight="1" x14ac:dyDescent="0.3">
      <c r="A43" t="s">
        <v>152</v>
      </c>
      <c r="B43" s="5">
        <v>14426.2</v>
      </c>
      <c r="C43" s="5">
        <v>12327.9</v>
      </c>
      <c r="D43" s="5">
        <v>12931.8</v>
      </c>
      <c r="E43" s="5">
        <v>11024.4</v>
      </c>
      <c r="F43" s="5">
        <v>10672.6</v>
      </c>
      <c r="G43" s="5">
        <v>9625</v>
      </c>
      <c r="H43" s="5">
        <v>10609</v>
      </c>
      <c r="I43" s="5">
        <v>12263.1</v>
      </c>
      <c r="J43" s="5">
        <v>13383.1</v>
      </c>
      <c r="K43" s="5">
        <v>14263</v>
      </c>
      <c r="L43" s="5">
        <v>14175.5</v>
      </c>
      <c r="M43" s="5">
        <v>15128.2</v>
      </c>
    </row>
    <row r="44" spans="1:13" ht="14.25" customHeight="1" x14ac:dyDescent="0.3">
      <c r="A44" t="s">
        <v>155</v>
      </c>
      <c r="B44" s="5">
        <v>5438.1</v>
      </c>
      <c r="C44" s="5">
        <v>5030.5</v>
      </c>
      <c r="D44" s="5">
        <v>5282.5</v>
      </c>
      <c r="E44" s="5">
        <v>4635.1000000000004</v>
      </c>
      <c r="F44" s="5">
        <v>4575</v>
      </c>
      <c r="G44" s="5">
        <v>4143.3999999999996</v>
      </c>
      <c r="H44" s="5">
        <v>4561.7</v>
      </c>
      <c r="I44" s="5">
        <v>5138.7</v>
      </c>
      <c r="J44" s="5">
        <v>5330</v>
      </c>
      <c r="K44" s="5">
        <v>5632.2</v>
      </c>
      <c r="L44" s="5">
        <v>5403.2</v>
      </c>
      <c r="M44" s="5">
        <v>5647.1</v>
      </c>
    </row>
    <row r="45" spans="1:13" ht="14.25" customHeight="1" x14ac:dyDescent="0.3">
      <c r="A45" t="s">
        <v>157</v>
      </c>
      <c r="B45" s="5">
        <v>6558.3</v>
      </c>
      <c r="C45" s="5">
        <v>5888</v>
      </c>
      <c r="D45" s="5">
        <v>6335.4</v>
      </c>
      <c r="E45" s="5">
        <v>5651</v>
      </c>
      <c r="F45" s="5">
        <v>5782.9</v>
      </c>
      <c r="G45" s="5">
        <v>5360.4</v>
      </c>
      <c r="H45" s="5">
        <v>5892.4</v>
      </c>
      <c r="I45" s="5">
        <v>6481.2</v>
      </c>
      <c r="J45" s="5">
        <v>6690.9</v>
      </c>
      <c r="K45" s="5">
        <v>6809.9</v>
      </c>
      <c r="L45" s="5">
        <v>6587.3</v>
      </c>
      <c r="M45" s="5">
        <v>6874.1</v>
      </c>
    </row>
    <row r="46" spans="1:13" ht="14.25" customHeight="1" x14ac:dyDescent="0.3">
      <c r="A46" t="s">
        <v>160</v>
      </c>
      <c r="B46" s="5">
        <v>20117</v>
      </c>
      <c r="C46" s="5">
        <v>17684</v>
      </c>
      <c r="D46" s="5">
        <v>19164</v>
      </c>
      <c r="E46" s="5">
        <v>16765</v>
      </c>
      <c r="F46" s="5">
        <v>17392</v>
      </c>
      <c r="G46" s="5">
        <v>16319</v>
      </c>
      <c r="H46" s="5">
        <v>17777</v>
      </c>
      <c r="I46" s="5">
        <v>19722</v>
      </c>
      <c r="J46" s="5">
        <v>19924</v>
      </c>
      <c r="K46" s="5">
        <v>20687</v>
      </c>
      <c r="L46" s="5">
        <v>19526</v>
      </c>
      <c r="M46" s="5">
        <v>20860</v>
      </c>
    </row>
    <row r="47" spans="1:13" ht="14.25" customHeight="1" x14ac:dyDescent="0.3">
      <c r="A47" t="s">
        <v>163</v>
      </c>
      <c r="B47" s="5">
        <v>6141.4</v>
      </c>
      <c r="C47" s="5">
        <v>5508.6</v>
      </c>
      <c r="D47" s="5">
        <v>5936.5</v>
      </c>
      <c r="E47" s="5">
        <v>5321.7</v>
      </c>
      <c r="F47" s="5">
        <v>5446.5</v>
      </c>
      <c r="G47" s="5">
        <v>5045.8999999999996</v>
      </c>
      <c r="H47" s="5">
        <v>5553.9</v>
      </c>
      <c r="I47" s="5">
        <v>6085.5</v>
      </c>
      <c r="J47" s="5">
        <v>6263.9</v>
      </c>
      <c r="K47" s="5">
        <v>6378</v>
      </c>
      <c r="L47" s="5">
        <v>6164.1</v>
      </c>
      <c r="M47" s="5">
        <v>6435</v>
      </c>
    </row>
    <row r="48" spans="1:13" ht="14.25" customHeight="1" x14ac:dyDescent="0.3">
      <c r="A48" t="s">
        <v>166</v>
      </c>
      <c r="B48" s="5">
        <v>25562</v>
      </c>
      <c r="C48" s="5">
        <v>22098</v>
      </c>
      <c r="D48" s="5">
        <v>24392</v>
      </c>
      <c r="E48" s="5">
        <v>23827</v>
      </c>
      <c r="F48" s="5">
        <v>22987</v>
      </c>
      <c r="G48" s="5">
        <v>20718</v>
      </c>
      <c r="H48" s="5">
        <v>21811</v>
      </c>
      <c r="I48" s="5">
        <v>25554</v>
      </c>
      <c r="J48" s="5">
        <v>25189</v>
      </c>
      <c r="K48" s="5">
        <v>24495</v>
      </c>
      <c r="L48" s="5">
        <v>24514</v>
      </c>
      <c r="M48" s="5">
        <v>25926</v>
      </c>
    </row>
    <row r="49" spans="1:13" ht="14.25" customHeight="1" x14ac:dyDescent="0.3">
      <c r="A49" t="s">
        <v>169</v>
      </c>
      <c r="B49" s="5">
        <v>3892.3</v>
      </c>
      <c r="C49" s="5">
        <v>3360.7</v>
      </c>
      <c r="D49" s="5">
        <v>3712.5</v>
      </c>
      <c r="E49" s="5">
        <v>3625.7</v>
      </c>
      <c r="F49" s="5">
        <v>3497.5</v>
      </c>
      <c r="G49" s="5">
        <v>3151.4</v>
      </c>
      <c r="H49" s="5">
        <v>3316.5</v>
      </c>
      <c r="I49" s="5">
        <v>3887.5</v>
      </c>
      <c r="J49" s="5">
        <v>3830.3</v>
      </c>
      <c r="K49" s="5">
        <v>3729.7</v>
      </c>
      <c r="L49" s="5">
        <v>3733.1</v>
      </c>
      <c r="M49" s="5">
        <v>3946.1</v>
      </c>
    </row>
    <row r="50" spans="1:13" ht="14.25" customHeight="1" x14ac:dyDescent="0.3">
      <c r="A50" t="s">
        <v>171</v>
      </c>
      <c r="B50" s="5">
        <v>13146.9</v>
      </c>
      <c r="C50" s="5">
        <v>11450.2</v>
      </c>
      <c r="D50" s="5">
        <v>11470.9</v>
      </c>
      <c r="E50" s="5">
        <v>9218.9</v>
      </c>
      <c r="F50" s="5">
        <v>7841.5</v>
      </c>
      <c r="G50" s="5">
        <v>7108.1</v>
      </c>
      <c r="H50" s="5">
        <v>7657.1</v>
      </c>
      <c r="I50" s="5">
        <v>9019.7000000000007</v>
      </c>
      <c r="J50" s="5">
        <v>9680</v>
      </c>
      <c r="K50" s="5">
        <v>11319.5</v>
      </c>
      <c r="L50" s="5">
        <v>11746.6</v>
      </c>
      <c r="M50" s="5">
        <v>13355.6</v>
      </c>
    </row>
    <row r="51" spans="1:13" ht="14.25" customHeight="1" x14ac:dyDescent="0.3">
      <c r="A51" t="s">
        <v>172</v>
      </c>
      <c r="B51" s="5">
        <v>13913.7</v>
      </c>
      <c r="C51" s="5">
        <v>11543.3</v>
      </c>
      <c r="D51" s="5">
        <v>12043.3</v>
      </c>
      <c r="E51" s="5">
        <v>10530.6</v>
      </c>
      <c r="F51" s="5">
        <v>9452.2000000000007</v>
      </c>
      <c r="G51" s="5">
        <v>8210.7999999999993</v>
      </c>
      <c r="H51" s="5">
        <v>9090.2000000000007</v>
      </c>
      <c r="I51" s="5">
        <v>10347.299999999999</v>
      </c>
      <c r="J51" s="5">
        <v>11125.2</v>
      </c>
      <c r="K51" s="5">
        <v>12217.2</v>
      </c>
      <c r="L51" s="5">
        <v>13140.3</v>
      </c>
      <c r="M51" s="5">
        <v>14098.5</v>
      </c>
    </row>
    <row r="52" spans="1:13" ht="14.25" customHeight="1" x14ac:dyDescent="0.3">
      <c r="A52" t="s">
        <v>265</v>
      </c>
      <c r="B52" s="5">
        <v>25627.8</v>
      </c>
      <c r="C52" s="5">
        <v>22616.5</v>
      </c>
      <c r="D52" s="5">
        <v>24129.3</v>
      </c>
      <c r="E52" s="5">
        <v>20942.099999999999</v>
      </c>
      <c r="F52" s="5">
        <v>20778.8</v>
      </c>
      <c r="G52" s="5">
        <v>19071.599999999999</v>
      </c>
      <c r="H52" s="5">
        <v>20913.3</v>
      </c>
      <c r="I52" s="5">
        <v>23886.3</v>
      </c>
      <c r="J52" s="5">
        <v>25209.3</v>
      </c>
      <c r="K52" s="5">
        <v>25379.5</v>
      </c>
      <c r="L52" s="5">
        <v>25008.799999999999</v>
      </c>
      <c r="M52" s="5">
        <v>26105.1</v>
      </c>
    </row>
    <row r="53" spans="1:13" ht="14.25" customHeight="1" x14ac:dyDescent="0.3">
      <c r="A53" t="s">
        <v>177</v>
      </c>
      <c r="B53" s="5">
        <v>4844</v>
      </c>
      <c r="C53" s="5">
        <v>4251</v>
      </c>
      <c r="D53" s="5">
        <v>4530</v>
      </c>
      <c r="E53" s="5">
        <v>3971</v>
      </c>
      <c r="F53" s="5">
        <v>4026</v>
      </c>
      <c r="G53" s="5">
        <v>3734</v>
      </c>
      <c r="H53" s="5">
        <v>4073</v>
      </c>
      <c r="I53" s="5">
        <v>4560</v>
      </c>
      <c r="J53" s="5">
        <v>4749</v>
      </c>
      <c r="K53" s="5">
        <v>4766</v>
      </c>
      <c r="L53" s="5">
        <v>4722</v>
      </c>
      <c r="M53" s="5">
        <v>4940</v>
      </c>
    </row>
    <row r="54" spans="1:13" ht="14.25" customHeight="1" x14ac:dyDescent="0.3">
      <c r="A54" t="s">
        <v>180</v>
      </c>
      <c r="B54" s="5">
        <v>26360</v>
      </c>
      <c r="C54" s="5">
        <v>22720</v>
      </c>
      <c r="D54" s="5">
        <v>22207</v>
      </c>
      <c r="E54" s="5">
        <v>19091</v>
      </c>
      <c r="F54" s="5">
        <v>17077</v>
      </c>
      <c r="G54" s="5">
        <v>14868</v>
      </c>
      <c r="H54" s="5">
        <v>16693</v>
      </c>
      <c r="I54" s="5">
        <v>20079</v>
      </c>
      <c r="J54" s="5">
        <v>22828</v>
      </c>
      <c r="K54" s="5">
        <v>26013</v>
      </c>
      <c r="L54" s="5">
        <v>26204</v>
      </c>
      <c r="M54" s="5">
        <v>26697</v>
      </c>
    </row>
    <row r="55" spans="1:13" ht="14.25" customHeight="1" x14ac:dyDescent="0.3">
      <c r="A55" t="s">
        <v>182</v>
      </c>
      <c r="B55" s="5">
        <v>21647</v>
      </c>
      <c r="C55" s="5">
        <v>18412</v>
      </c>
      <c r="D55" s="5">
        <v>19207</v>
      </c>
      <c r="E55" s="5">
        <v>16103</v>
      </c>
      <c r="F55" s="5">
        <v>15740</v>
      </c>
      <c r="G55" s="5">
        <v>13974</v>
      </c>
      <c r="H55" s="5">
        <v>15451</v>
      </c>
      <c r="I55" s="5">
        <v>17961</v>
      </c>
      <c r="J55" s="5">
        <v>19934</v>
      </c>
      <c r="K55" s="5">
        <v>21559</v>
      </c>
      <c r="L55" s="5">
        <v>21438</v>
      </c>
      <c r="M55" s="5">
        <v>23043</v>
      </c>
    </row>
    <row r="56" spans="1:13" ht="14.25" customHeight="1" x14ac:dyDescent="0.3">
      <c r="A56" t="s">
        <v>184</v>
      </c>
      <c r="B56" s="5">
        <v>39488</v>
      </c>
      <c r="C56" s="5">
        <v>32855</v>
      </c>
      <c r="D56" s="5">
        <v>31263.3</v>
      </c>
      <c r="E56" s="5">
        <v>26209</v>
      </c>
      <c r="F56" s="5">
        <v>23138</v>
      </c>
      <c r="G56" s="5">
        <v>19982</v>
      </c>
      <c r="H56" s="5">
        <v>22686</v>
      </c>
      <c r="I56" s="5">
        <v>27412</v>
      </c>
      <c r="J56" s="5">
        <v>31462</v>
      </c>
      <c r="K56" s="5">
        <v>36532</v>
      </c>
      <c r="L56" s="5">
        <v>38823</v>
      </c>
      <c r="M56" s="5">
        <v>42222</v>
      </c>
    </row>
    <row r="57" spans="1:13" ht="14.25" customHeight="1" x14ac:dyDescent="0.3">
      <c r="A57" t="s">
        <v>186</v>
      </c>
      <c r="B57" s="5">
        <v>37861</v>
      </c>
      <c r="C57" s="5">
        <v>31552</v>
      </c>
      <c r="D57" s="5">
        <v>31851</v>
      </c>
      <c r="E57" s="5">
        <v>27124</v>
      </c>
      <c r="F57" s="5">
        <v>24741</v>
      </c>
      <c r="G57" s="5">
        <v>21991</v>
      </c>
      <c r="H57" s="5">
        <v>24194</v>
      </c>
      <c r="I57" s="5">
        <v>28859</v>
      </c>
      <c r="J57" s="5">
        <v>32205</v>
      </c>
      <c r="K57" s="5">
        <v>36732</v>
      </c>
      <c r="L57" s="5">
        <v>38185</v>
      </c>
      <c r="M57" s="5">
        <v>40356</v>
      </c>
    </row>
    <row r="58" spans="1:13" ht="14.25" customHeight="1" x14ac:dyDescent="0.3">
      <c r="A58" t="s">
        <v>188</v>
      </c>
      <c r="B58" s="5">
        <v>22876</v>
      </c>
      <c r="C58" s="5">
        <v>19487</v>
      </c>
      <c r="D58" s="5">
        <v>19886</v>
      </c>
      <c r="E58" s="5">
        <v>16305</v>
      </c>
      <c r="F58" s="5">
        <v>14747</v>
      </c>
      <c r="G58" s="5">
        <v>12857</v>
      </c>
      <c r="H58" s="5">
        <v>14434</v>
      </c>
      <c r="I58" s="5">
        <v>17635</v>
      </c>
      <c r="J58" s="5">
        <v>20353</v>
      </c>
      <c r="K58" s="5">
        <v>22357</v>
      </c>
      <c r="L58" s="5">
        <v>22859</v>
      </c>
      <c r="M58" s="5">
        <v>24367</v>
      </c>
    </row>
    <row r="59" spans="1:13" ht="14.25" customHeight="1" x14ac:dyDescent="0.3">
      <c r="A59" t="s">
        <v>226</v>
      </c>
      <c r="B59">
        <v>34135</v>
      </c>
      <c r="C59">
        <v>26981</v>
      </c>
      <c r="D59">
        <v>26829</v>
      </c>
      <c r="E59">
        <v>20433</v>
      </c>
      <c r="F59">
        <v>21068</v>
      </c>
      <c r="G59">
        <v>16978</v>
      </c>
      <c r="H59">
        <v>19291</v>
      </c>
      <c r="I59">
        <v>21448</v>
      </c>
      <c r="J59">
        <v>20157</v>
      </c>
      <c r="K59">
        <v>25054</v>
      </c>
      <c r="L59">
        <v>25471</v>
      </c>
      <c r="M59">
        <v>31547</v>
      </c>
    </row>
    <row r="60" spans="1:13" ht="14.25" customHeight="1" x14ac:dyDescent="0.3">
      <c r="A60" t="s">
        <v>208</v>
      </c>
      <c r="B60" s="5">
        <v>20649</v>
      </c>
      <c r="C60" s="5">
        <v>17891</v>
      </c>
      <c r="D60" s="5">
        <v>17668</v>
      </c>
      <c r="E60" s="8">
        <f>15178</f>
        <v>15178</v>
      </c>
      <c r="F60" s="5">
        <v>14023</v>
      </c>
      <c r="G60" s="5">
        <v>12327</v>
      </c>
      <c r="H60" s="5">
        <v>13742</v>
      </c>
      <c r="I60" s="5">
        <v>16094</v>
      </c>
      <c r="J60" s="5">
        <v>17988</v>
      </c>
      <c r="K60" s="5">
        <v>20737</v>
      </c>
      <c r="L60" s="5">
        <v>20655</v>
      </c>
      <c r="M60" s="5">
        <v>21136</v>
      </c>
    </row>
    <row r="61" spans="1:13" ht="14.25" customHeight="1" x14ac:dyDescent="0.3">
      <c r="A61" t="s">
        <v>190</v>
      </c>
      <c r="B61" s="5">
        <v>19574.900000000001</v>
      </c>
      <c r="C61" s="5">
        <v>16723.599999999999</v>
      </c>
      <c r="D61" s="5">
        <v>17808.599999999999</v>
      </c>
      <c r="E61" s="5">
        <v>15502.2</v>
      </c>
      <c r="F61" s="5">
        <v>15075</v>
      </c>
      <c r="G61" s="5">
        <v>13622.2</v>
      </c>
      <c r="H61" s="5">
        <v>15167.7</v>
      </c>
      <c r="I61" s="5">
        <v>17455.2</v>
      </c>
      <c r="J61" s="5">
        <v>18819</v>
      </c>
      <c r="K61" s="5">
        <v>19760.2</v>
      </c>
      <c r="L61" s="5">
        <v>19368.5</v>
      </c>
      <c r="M61" s="5">
        <v>20469.3</v>
      </c>
    </row>
    <row r="62" spans="1:13" ht="14.25" customHeight="1" x14ac:dyDescent="0.3">
      <c r="A62" t="s">
        <v>213</v>
      </c>
      <c r="B62" s="5">
        <v>10342</v>
      </c>
      <c r="C62" s="5">
        <v>8891</v>
      </c>
      <c r="D62" s="5">
        <v>8671</v>
      </c>
      <c r="E62" s="5">
        <v>7539</v>
      </c>
      <c r="F62" s="5">
        <v>6938</v>
      </c>
      <c r="G62" s="5">
        <v>6138</v>
      </c>
      <c r="H62" s="5">
        <v>6763</v>
      </c>
      <c r="I62" s="8">
        <f>7916</f>
        <v>7916</v>
      </c>
      <c r="J62" s="5">
        <v>8738</v>
      </c>
      <c r="K62" s="5">
        <v>10008</v>
      </c>
      <c r="L62" s="5">
        <v>9999</v>
      </c>
      <c r="M62" s="5">
        <v>10268</v>
      </c>
    </row>
    <row r="63" spans="1:13" ht="14.25" customHeight="1" x14ac:dyDescent="0.3">
      <c r="A63" t="s">
        <v>216</v>
      </c>
      <c r="B63" s="5">
        <v>31888.400000000001</v>
      </c>
      <c r="C63" s="5">
        <v>27677</v>
      </c>
      <c r="D63" s="5">
        <v>27300</v>
      </c>
      <c r="E63" s="5">
        <v>23765</v>
      </c>
      <c r="F63" s="5">
        <v>21915</v>
      </c>
      <c r="G63" s="5">
        <v>19368</v>
      </c>
      <c r="H63" s="5">
        <v>21313</v>
      </c>
      <c r="I63" s="8">
        <f>24908</f>
        <v>24908</v>
      </c>
      <c r="J63" s="5">
        <v>27534</v>
      </c>
      <c r="K63" s="5">
        <v>31253</v>
      </c>
      <c r="L63" s="5">
        <v>31179</v>
      </c>
      <c r="M63" s="5">
        <v>31893</v>
      </c>
    </row>
    <row r="64" spans="1:13" ht="14.25" customHeight="1" x14ac:dyDescent="0.3">
      <c r="A64" t="s">
        <v>218</v>
      </c>
      <c r="B64" s="5">
        <v>10668.8</v>
      </c>
      <c r="C64" s="5">
        <v>9218.6</v>
      </c>
      <c r="D64" s="5">
        <v>9045</v>
      </c>
      <c r="E64" s="5">
        <v>7797</v>
      </c>
      <c r="F64" s="5">
        <v>7144.8</v>
      </c>
      <c r="G64" s="5">
        <v>6299.2</v>
      </c>
      <c r="H64" s="5">
        <v>6941.6</v>
      </c>
      <c r="I64" s="8">
        <f>8155.7</f>
        <v>8155.7</v>
      </c>
      <c r="J64" s="5">
        <v>9060</v>
      </c>
      <c r="K64" s="5">
        <v>10392</v>
      </c>
      <c r="L64" s="5">
        <v>10393</v>
      </c>
      <c r="M64" s="5">
        <v>10647</v>
      </c>
    </row>
    <row r="65" spans="1:13" ht="14.25" customHeight="1" x14ac:dyDescent="0.3">
      <c r="A65" t="s">
        <v>192</v>
      </c>
      <c r="B65" s="5"/>
      <c r="C65" s="5"/>
      <c r="D65" s="5"/>
      <c r="E65" s="5"/>
      <c r="F65" s="5"/>
      <c r="G65" s="5"/>
      <c r="H65" s="5"/>
      <c r="I65" s="5"/>
      <c r="J65" s="5"/>
      <c r="K65" s="5"/>
      <c r="L65" s="5"/>
      <c r="M65" s="5"/>
    </row>
    <row r="66" spans="1:13" ht="14.25" customHeight="1" x14ac:dyDescent="0.3">
      <c r="A66" t="s">
        <v>194</v>
      </c>
      <c r="B66" s="5">
        <v>8222</v>
      </c>
      <c r="C66" s="5">
        <v>6998</v>
      </c>
      <c r="D66" s="5">
        <v>7059</v>
      </c>
      <c r="E66" s="5">
        <v>5574</v>
      </c>
      <c r="F66" s="5">
        <v>5282</v>
      </c>
      <c r="G66" s="5">
        <v>4730</v>
      </c>
      <c r="H66" s="5">
        <v>5256</v>
      </c>
      <c r="I66" s="5">
        <v>6045</v>
      </c>
      <c r="J66" s="5">
        <v>7051</v>
      </c>
      <c r="K66" s="5">
        <v>8056</v>
      </c>
      <c r="L66" s="5">
        <v>8145</v>
      </c>
      <c r="M66" s="5">
        <v>8740</v>
      </c>
    </row>
    <row r="67" spans="1:13" ht="14.25" customHeight="1" x14ac:dyDescent="0.3">
      <c r="A67" t="s">
        <v>196</v>
      </c>
      <c r="B67" s="5">
        <v>5698.8</v>
      </c>
      <c r="C67" s="5">
        <v>5080.8</v>
      </c>
      <c r="D67" s="5">
        <v>5209.7</v>
      </c>
      <c r="E67" s="5">
        <v>4357.5</v>
      </c>
      <c r="F67" s="5">
        <v>3906.6</v>
      </c>
      <c r="G67" s="5">
        <v>3553</v>
      </c>
      <c r="H67" s="5">
        <v>3801.5</v>
      </c>
      <c r="I67" s="5">
        <v>4316</v>
      </c>
      <c r="J67" s="5">
        <v>4437</v>
      </c>
      <c r="K67" s="5">
        <v>5034.3</v>
      </c>
      <c r="L67" s="5">
        <v>5106.1000000000004</v>
      </c>
      <c r="M67" s="5">
        <v>5754.2</v>
      </c>
    </row>
    <row r="68" spans="1:13" ht="14.25" customHeight="1" x14ac:dyDescent="0.3">
      <c r="A68" t="s">
        <v>199</v>
      </c>
      <c r="B68" s="5">
        <v>5045.8999999999996</v>
      </c>
      <c r="C68" s="5">
        <v>4360.2</v>
      </c>
      <c r="D68" s="5">
        <v>4711.1000000000004</v>
      </c>
      <c r="E68" s="5">
        <v>4084.1</v>
      </c>
      <c r="F68" s="5">
        <v>4125.1000000000004</v>
      </c>
      <c r="G68" s="5">
        <v>3778.7</v>
      </c>
      <c r="H68" s="5">
        <v>4137.8</v>
      </c>
      <c r="I68" s="5">
        <v>4655.3999999999996</v>
      </c>
      <c r="J68" s="5">
        <v>4964.6000000000004</v>
      </c>
      <c r="K68" s="5">
        <v>5199.2</v>
      </c>
      <c r="L68" s="5">
        <v>4977</v>
      </c>
      <c r="M68" s="5">
        <v>5354.9</v>
      </c>
    </row>
    <row r="69" spans="1:13" ht="14.25" customHeight="1" x14ac:dyDescent="0.3">
      <c r="A69" t="s">
        <v>201</v>
      </c>
      <c r="B69" s="5">
        <v>15814.1</v>
      </c>
      <c r="C69" s="5">
        <v>14182.5</v>
      </c>
      <c r="D69" s="5">
        <v>15127.6</v>
      </c>
      <c r="E69" s="5">
        <v>13566.2</v>
      </c>
      <c r="F69" s="5">
        <v>13865.8</v>
      </c>
      <c r="G69" s="5">
        <v>12963.1</v>
      </c>
      <c r="H69" s="5">
        <v>14146.2</v>
      </c>
      <c r="I69" s="5">
        <v>15603.1</v>
      </c>
      <c r="J69" s="5">
        <v>15929.8</v>
      </c>
      <c r="K69" s="5">
        <v>16382.7</v>
      </c>
      <c r="L69" s="5">
        <v>15892.2</v>
      </c>
      <c r="M69" s="5">
        <v>16746.5</v>
      </c>
    </row>
    <row r="70" spans="1:13" ht="14.25" customHeight="1" x14ac:dyDescent="0.3">
      <c r="A70" t="s">
        <v>211</v>
      </c>
      <c r="B70" s="5">
        <v>8111</v>
      </c>
      <c r="C70" s="5">
        <v>6915</v>
      </c>
      <c r="D70" s="5">
        <v>6721</v>
      </c>
      <c r="E70" s="5">
        <v>5701</v>
      </c>
      <c r="F70" s="5">
        <v>5135</v>
      </c>
      <c r="G70" s="5">
        <v>4368</v>
      </c>
      <c r="H70" s="5">
        <v>4517</v>
      </c>
      <c r="I70" s="5">
        <v>5248</v>
      </c>
      <c r="J70" s="5">
        <v>5835</v>
      </c>
      <c r="K70" s="5">
        <v>7211</v>
      </c>
      <c r="L70" s="5">
        <v>7571</v>
      </c>
      <c r="M70" s="5">
        <v>8107</v>
      </c>
    </row>
    <row r="71" spans="1:13" ht="14.25" customHeight="1" x14ac:dyDescent="0.3">
      <c r="A71" t="s">
        <v>202</v>
      </c>
      <c r="B71" s="5">
        <v>31142</v>
      </c>
      <c r="C71" s="5">
        <v>26504</v>
      </c>
      <c r="D71" s="5">
        <v>26827</v>
      </c>
      <c r="E71" s="5">
        <v>22270</v>
      </c>
      <c r="F71" s="5">
        <v>21135</v>
      </c>
      <c r="G71" s="5">
        <v>18949</v>
      </c>
      <c r="H71" s="5">
        <v>21000</v>
      </c>
      <c r="I71" s="5">
        <v>24518</v>
      </c>
      <c r="J71" s="5">
        <v>27252</v>
      </c>
      <c r="K71" s="5">
        <v>30285</v>
      </c>
      <c r="L71" s="5">
        <v>29971</v>
      </c>
      <c r="M71" s="5">
        <v>32254</v>
      </c>
    </row>
    <row r="72" spans="1:13" ht="14.25" customHeight="1" x14ac:dyDescent="0.3">
      <c r="A72" t="s">
        <v>206</v>
      </c>
      <c r="B72" s="5" t="s">
        <v>36</v>
      </c>
      <c r="C72" s="5" t="s">
        <v>36</v>
      </c>
      <c r="D72" s="5" t="s">
        <v>36</v>
      </c>
      <c r="E72" s="5" t="s">
        <v>36</v>
      </c>
      <c r="F72" s="5" t="s">
        <v>36</v>
      </c>
      <c r="G72" s="5" t="s">
        <v>36</v>
      </c>
      <c r="H72" s="5" t="s">
        <v>36</v>
      </c>
      <c r="I72" s="5" t="s">
        <v>36</v>
      </c>
      <c r="J72" s="5" t="s">
        <v>36</v>
      </c>
      <c r="K72" s="5" t="s">
        <v>36</v>
      </c>
      <c r="L72" s="5" t="s">
        <v>36</v>
      </c>
      <c r="M72" s="5" t="s">
        <v>36</v>
      </c>
    </row>
    <row r="73" spans="1:13" ht="14.25" customHeight="1" x14ac:dyDescent="0.3">
      <c r="A73" t="s">
        <v>241</v>
      </c>
      <c r="B73">
        <v>31534</v>
      </c>
      <c r="C73">
        <v>27088</v>
      </c>
      <c r="D73">
        <v>25946</v>
      </c>
      <c r="E73">
        <v>22097</v>
      </c>
      <c r="F73">
        <v>19717</v>
      </c>
      <c r="G73">
        <v>17225</v>
      </c>
      <c r="H73">
        <v>19287</v>
      </c>
      <c r="I73">
        <v>23158</v>
      </c>
      <c r="J73">
        <v>26490</v>
      </c>
      <c r="K73">
        <v>30317</v>
      </c>
      <c r="L73">
        <v>30935</v>
      </c>
      <c r="M73">
        <v>31977</v>
      </c>
    </row>
    <row r="74" spans="1:13" ht="14.25" customHeight="1" x14ac:dyDescent="0.3">
      <c r="A74" t="s">
        <v>228</v>
      </c>
      <c r="B74">
        <v>32305</v>
      </c>
      <c r="C74">
        <v>29685</v>
      </c>
      <c r="D74">
        <v>31046</v>
      </c>
      <c r="E74">
        <v>28456</v>
      </c>
      <c r="F74">
        <v>28669</v>
      </c>
      <c r="G74">
        <v>26032</v>
      </c>
      <c r="H74">
        <v>28480</v>
      </c>
      <c r="I74">
        <v>31722</v>
      </c>
      <c r="J74">
        <v>32846</v>
      </c>
      <c r="K74">
        <v>34908</v>
      </c>
      <c r="L74">
        <v>33468</v>
      </c>
      <c r="M74">
        <v>32717</v>
      </c>
    </row>
    <row r="75" spans="1:13" ht="14.25" customHeight="1" x14ac:dyDescent="0.3">
      <c r="A75" t="s">
        <v>244</v>
      </c>
      <c r="B75">
        <v>20178</v>
      </c>
      <c r="C75">
        <v>17954</v>
      </c>
      <c r="D75">
        <v>19150</v>
      </c>
      <c r="E75">
        <v>18060</v>
      </c>
      <c r="F75">
        <v>18124</v>
      </c>
      <c r="G75">
        <v>15908</v>
      </c>
      <c r="H75">
        <v>16827</v>
      </c>
      <c r="I75">
        <v>19405</v>
      </c>
      <c r="J75">
        <v>19981</v>
      </c>
      <c r="K75">
        <v>22401</v>
      </c>
      <c r="L75">
        <v>20125</v>
      </c>
      <c r="M75">
        <v>20771</v>
      </c>
    </row>
    <row r="76" spans="1:13" x14ac:dyDescent="0.3">
      <c r="A76" t="s">
        <v>271</v>
      </c>
      <c r="B76">
        <v>19301</v>
      </c>
      <c r="C76">
        <v>16753</v>
      </c>
      <c r="D76">
        <v>16260</v>
      </c>
      <c r="E76">
        <v>13800</v>
      </c>
      <c r="F76">
        <v>12669</v>
      </c>
      <c r="G76">
        <v>11099</v>
      </c>
      <c r="H76">
        <v>12207</v>
      </c>
      <c r="I76">
        <v>14565.3</v>
      </c>
      <c r="J76">
        <v>16481.3</v>
      </c>
      <c r="K76">
        <v>18948</v>
      </c>
      <c r="L76">
        <v>19155</v>
      </c>
      <c r="M76">
        <v>19406</v>
      </c>
    </row>
    <row r="77" spans="1:13" x14ac:dyDescent="0.3">
      <c r="A77" t="s">
        <v>251</v>
      </c>
      <c r="B77">
        <v>29390</v>
      </c>
      <c r="C77">
        <v>25795</v>
      </c>
      <c r="D77">
        <v>25594</v>
      </c>
      <c r="E77">
        <v>22145</v>
      </c>
      <c r="F77">
        <v>20838</v>
      </c>
      <c r="G77">
        <v>18631</v>
      </c>
      <c r="H77">
        <v>20290</v>
      </c>
      <c r="I77">
        <v>23679</v>
      </c>
      <c r="J77">
        <v>26288</v>
      </c>
      <c r="K77">
        <v>29851</v>
      </c>
      <c r="L77">
        <v>30171</v>
      </c>
      <c r="M77">
        <v>30447</v>
      </c>
    </row>
    <row r="78" spans="1:13" x14ac:dyDescent="0.3">
      <c r="A78" t="s">
        <v>250</v>
      </c>
      <c r="B78">
        <v>32086</v>
      </c>
      <c r="C78">
        <v>28761</v>
      </c>
      <c r="D78">
        <v>30379</v>
      </c>
      <c r="E78">
        <v>30915</v>
      </c>
      <c r="F78">
        <v>33245</v>
      </c>
      <c r="G78">
        <v>31827</v>
      </c>
      <c r="H78">
        <v>31168</v>
      </c>
      <c r="I78">
        <v>35166</v>
      </c>
      <c r="J78">
        <v>31389</v>
      </c>
      <c r="K78">
        <v>31629</v>
      </c>
      <c r="L78">
        <v>32213</v>
      </c>
      <c r="M78">
        <v>32115</v>
      </c>
    </row>
    <row r="79" spans="1:13" x14ac:dyDescent="0.3">
      <c r="A79" t="s">
        <v>1004</v>
      </c>
      <c r="B79">
        <v>6637</v>
      </c>
      <c r="C79">
        <v>5857</v>
      </c>
      <c r="D79">
        <v>5923</v>
      </c>
      <c r="E79">
        <v>5363</v>
      </c>
      <c r="F79">
        <v>5166</v>
      </c>
      <c r="G79">
        <v>4726</v>
      </c>
      <c r="H79">
        <v>5161</v>
      </c>
      <c r="I79">
        <v>5838</v>
      </c>
      <c r="J79">
        <v>6186</v>
      </c>
      <c r="K79">
        <v>6701</v>
      </c>
      <c r="L79">
        <v>6553</v>
      </c>
      <c r="M79">
        <v>6655</v>
      </c>
    </row>
  </sheetData>
  <phoneticPr fontId="4" type="noConversion"/>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46616-ABF3-43DD-9ECA-F938666F94BF}">
  <dimension ref="A1:L24"/>
  <sheetViews>
    <sheetView workbookViewId="0">
      <pane xSplit="1" ySplit="1" topLeftCell="B2" activePane="bottomRight" state="frozen"/>
      <selection pane="topRight" activeCell="B1" sqref="B1"/>
      <selection pane="bottomLeft" activeCell="A2" sqref="A2"/>
      <selection pane="bottomRight" activeCell="F4" sqref="F4"/>
    </sheetView>
  </sheetViews>
  <sheetFormatPr defaultRowHeight="14.4" x14ac:dyDescent="0.3"/>
  <cols>
    <col min="1" max="1" width="23.33203125" bestFit="1" customWidth="1"/>
    <col min="2" max="2" width="18.44140625" customWidth="1"/>
    <col min="3" max="3" width="22.33203125" bestFit="1" customWidth="1"/>
    <col min="4" max="4" width="22.33203125" customWidth="1"/>
    <col min="5" max="5" width="14.44140625" bestFit="1" customWidth="1"/>
    <col min="6" max="6" width="30.109375" bestFit="1" customWidth="1"/>
    <col min="7" max="7" width="19.88671875" bestFit="1" customWidth="1"/>
    <col min="8" max="8" width="15.88671875" customWidth="1"/>
    <col min="9" max="9" width="25.109375" bestFit="1" customWidth="1"/>
    <col min="10" max="11" width="21" customWidth="1"/>
    <col min="12" max="12" width="210" bestFit="1" customWidth="1"/>
  </cols>
  <sheetData>
    <row r="1" spans="1:12" x14ac:dyDescent="0.3">
      <c r="A1" s="15" t="s">
        <v>268</v>
      </c>
      <c r="B1" s="15" t="s">
        <v>873</v>
      </c>
      <c r="C1" s="15" t="s">
        <v>267</v>
      </c>
      <c r="D1" s="15" t="s">
        <v>878</v>
      </c>
      <c r="E1" s="15" t="s">
        <v>876</v>
      </c>
      <c r="F1" s="15" t="s">
        <v>882</v>
      </c>
      <c r="G1" s="15" t="s">
        <v>879</v>
      </c>
      <c r="H1" s="15" t="s">
        <v>881</v>
      </c>
      <c r="I1" s="15" t="s">
        <v>883</v>
      </c>
      <c r="J1" s="15" t="s">
        <v>884</v>
      </c>
      <c r="K1" s="15" t="s">
        <v>885</v>
      </c>
      <c r="L1" s="15" t="s">
        <v>877</v>
      </c>
    </row>
    <row r="2" spans="1:12" x14ac:dyDescent="0.3">
      <c r="A2" s="26" t="s">
        <v>49</v>
      </c>
      <c r="B2" s="27" t="s">
        <v>875</v>
      </c>
      <c r="C2" s="28" cm="1">
        <f t="array" ref="C2">IFERROR(INDEX('Expected Production'!$B$2:$B$79,MATCH(TRIM($A2),INDEX(TRIM('Expected Production'!$A$2:$A$79),0),0)),"Not found")</f>
        <v>0.9</v>
      </c>
      <c r="D2" s="29" cm="1">
        <f t="array" aca="1" ref="D2" ca="1">_xlfn.IFNA(_xlfn.XLOOKUP(TRIM(A2),TRIM(site_tech_info!$A$2:$A$79),site_tech_info!$W$2:$W$79),"")</f>
        <v>1.8179329226557153</v>
      </c>
      <c r="E2" s="30" cm="1">
        <f t="array" ref="E2">IFERROR(SUM(INDEX('Simulated Production'!$B$2:$M$79,MATCH(TRIM($A2),INDEX(TRIM('Simulated Production'!$A$2:$A$79),0),0),0)),"Not found")</f>
        <v>63342</v>
      </c>
      <c r="F2" s="31">
        <f ca="1">(Table2[[#This Row],[As-Built kWh]]*Table2[[#This Row],[Expected Utilisation%]])*(1-0.007)^(Table2[[#This Row],[Age]])</f>
        <v>56284.423194733288</v>
      </c>
      <c r="G2" s="31">
        <f ca="1">(4681+4732*(9/31)+4546*(10/31)+4620*(3/30)+4991+4762)*(1-0.007)^(Table2[[#This Row],[Age]])</f>
        <v>17511.20118289474</v>
      </c>
      <c r="H2" s="30">
        <f ca="1">F2-G2</f>
        <v>38773.222011838545</v>
      </c>
      <c r="I2" s="30" cm="1">
        <f t="array" ref="I2">SUMPRODUCT((TRIM(measured[Site Name])=TRIM($A2))*(measured[Date]&gt;=DATE(2025,7,1))*(measured[Date]&lt;=DATE(2026,6,30))*measured[Measured Value (kWh)])</f>
        <v>34917.199999999997</v>
      </c>
      <c r="J2" s="30">
        <f ca="1">I2-H2</f>
        <v>-3856.0220118385478</v>
      </c>
      <c r="K2" s="30">
        <f ca="1">(Table2[[#This Row],[Actual Generation (kWh)]]/Table2[[#This Row],[Correct kWh]])*100</f>
        <v>90.054935309061506</v>
      </c>
      <c r="L2" s="27" t="s">
        <v>983</v>
      </c>
    </row>
    <row r="3" spans="1:12" x14ac:dyDescent="0.3">
      <c r="A3" s="26" t="s">
        <v>81</v>
      </c>
      <c r="B3" s="27" t="s">
        <v>875</v>
      </c>
      <c r="C3" s="28" cm="1">
        <f t="array" ref="C3">IFERROR(INDEX('Expected Production'!$B$2:$B$79,MATCH(TRIM($A3),INDEX(TRIM('Expected Production'!$A$2:$A$79),0),0)),"Not found")</f>
        <v>0.9</v>
      </c>
      <c r="D3" s="29" cm="1">
        <f t="array" aca="1" ref="D3" ca="1">_xlfn.IFNA(_xlfn.XLOOKUP(TRIM(A3),TRIM(site_tech_info!$A$2:$A$79),site_tech_info!$W$2:$W$79),"")</f>
        <v>2.3299110198494182</v>
      </c>
      <c r="E3" s="30" cm="1">
        <f t="array" ref="E3">IFERROR(SUM(INDEX('Simulated Production'!$B$2:$M$79,MATCH(TRIM($A3),INDEX(TRIM('Simulated Production'!$A$2:$A$79),0),0),0)),"Not found")</f>
        <v>94580</v>
      </c>
      <c r="F3" s="31">
        <f ca="1">(Table2[[#This Row],[As-Built kWh]]*Table2[[#This Row],[Expected Utilisation%]])*(1-0.007)^(Table2[[#This Row],[Age]])</f>
        <v>83740.170261603373</v>
      </c>
      <c r="G3" s="31">
        <f ca="1">(8100*(1/2)+7806*(1/2))*(1-0.007)^(Table2[[#This Row],[Age]])</f>
        <v>7823.8948108659524</v>
      </c>
      <c r="H3" s="30">
        <f t="shared" ref="H3:H24" ca="1" si="0">F3-G3</f>
        <v>75916.275450737419</v>
      </c>
      <c r="I3" s="30" cm="1">
        <f t="array" ref="I3">SUMPRODUCT((TRIM(measured[Site Name])=TRIM($A3))*(measured[Date]&gt;=DATE(2025,7,1))*(measured[Date]&lt;=DATE(2026,6,30))*measured[Measured Value (kWh)])</f>
        <v>76046.755900000004</v>
      </c>
      <c r="J3" s="30">
        <f t="shared" ref="J3:J23" ca="1" si="1">I3-H3</f>
        <v>130.48044926258444</v>
      </c>
      <c r="K3" s="30">
        <f ca="1">(Table2[[#This Row],[Actual Generation (kWh)]]/Table2[[#This Row],[Correct kWh]])*100</f>
        <v>100.17187414488906</v>
      </c>
      <c r="L3" s="27" t="s">
        <v>980</v>
      </c>
    </row>
    <row r="4" spans="1:12" x14ac:dyDescent="0.3">
      <c r="A4" s="26" t="s">
        <v>95</v>
      </c>
      <c r="B4" s="27" t="s">
        <v>875</v>
      </c>
      <c r="C4" s="28" cm="1">
        <f t="array" ref="C4">IFERROR(INDEX('Expected Production'!$B$2:$B$79,MATCH(TRIM($A4),INDEX(TRIM('Expected Production'!$A$2:$A$79),0),0)),"Not found")</f>
        <v>0.8</v>
      </c>
      <c r="D4" s="29" cm="1">
        <f t="array" aca="1" ref="D4" ca="1">_xlfn.IFNA(_xlfn.XLOOKUP(TRIM(A4),TRIM(site_tech_info!$A$2:$A$79),site_tech_info!$W$2:$W$79),"")</f>
        <v>2.3600273785078714</v>
      </c>
      <c r="E4" s="30" cm="1">
        <f t="array" ref="E4">IFERROR(SUM(INDEX('Simulated Production'!$B$2:$M$79,MATCH(TRIM($A4),INDEX(TRIM('Simulated Production'!$A$2:$A$79),0),0),0)),"Not found")</f>
        <v>428379</v>
      </c>
      <c r="F4" s="31">
        <f ca="1">(Table2[[#This Row],[As-Built kWh]]*Table2[[#This Row],[Expected Utilisation%]])*(1-0.007)^(Table2[[#This Row],[Age]])</f>
        <v>337068.60418228031</v>
      </c>
      <c r="G4" s="31">
        <f ca="1">(23255*(7/30)+35066*(2/30))*(1-0.007)^(Table2[[#This Row],[Age]])</f>
        <v>7636.2489057902176</v>
      </c>
      <c r="H4" s="30">
        <f t="shared" ca="1" si="0"/>
        <v>329432.3552764901</v>
      </c>
      <c r="I4" s="30" cm="1">
        <f t="array" ref="I4">SUMPRODUCT((TRIM(measured[Site Name])=TRIM($A4))*(measured[Date]&gt;=DATE(2025,7,1))*(measured[Date]&lt;=DATE(2026,6,30))*measured[Measured Value (kWh)])</f>
        <v>166060.42000000001</v>
      </c>
      <c r="J4" s="30">
        <f t="shared" ca="1" si="1"/>
        <v>-163371.93527649008</v>
      </c>
      <c r="K4" s="30">
        <f ca="1">(Table2[[#This Row],[Actual Generation (kWh)]]/Table2[[#This Row],[Correct kWh]])*100</f>
        <v>50.408048068207137</v>
      </c>
      <c r="L4" s="27" t="s">
        <v>981</v>
      </c>
    </row>
    <row r="5" spans="1:12" x14ac:dyDescent="0.3">
      <c r="A5" s="35" t="s">
        <v>104</v>
      </c>
      <c r="B5" s="36" t="s">
        <v>875</v>
      </c>
      <c r="C5" s="37" cm="1">
        <f t="array" ref="C5">IFERROR(INDEX('Expected Production'!$B$2:$B$79,MATCH(TRIM($A5),INDEX(TRIM('Expected Production'!$A$2:$A$79),0),0)),"Not found")</f>
        <v>0.9</v>
      </c>
      <c r="D5" s="38" cm="1">
        <f t="array" aca="1" ref="D5" ca="1">_xlfn.IFNA(_xlfn.XLOOKUP(TRIM(A5),TRIM(site_tech_info!$A$2:$A$79),site_tech_info!$W$2:$W$79),"")</f>
        <v>3.4195756331279945</v>
      </c>
      <c r="E5" s="39" cm="1">
        <f t="array" ref="E5">IFERROR(SUM(INDEX('Simulated Production'!$B$2:$M$79,MATCH(TRIM($A5),INDEX(TRIM('Simulated Production'!$A$2:$A$79),0),0),0)),"Not found")</f>
        <v>45617</v>
      </c>
      <c r="F5" s="40">
        <f ca="1">(Table2[[#This Row],[As-Built kWh]]*Table2[[#This Row],[Expected Utilisation%]])*(1-0.007)^(Table2[[#This Row],[Age]])</f>
        <v>40080.852893744319</v>
      </c>
      <c r="G5" s="40">
        <f ca="1">(4681+3499*(9/31)+2081*(10/31)+4317*(3/30)+4991*(18/31))*(1-0.007)^(Table2[[#This Row],[Age]])</f>
        <v>9467.6511639329965</v>
      </c>
      <c r="H5" s="39">
        <f t="shared" ca="1" si="0"/>
        <v>30613.201729811321</v>
      </c>
      <c r="I5" s="39" cm="1">
        <f t="array" ref="I5">SUMPRODUCT((TRIM(measured[Site Name])=TRIM($A5))*(measured[Date]&gt;=DATE(2025,7,1))*(measured[Date]&lt;=DATE(2026,6,30))*measured[Measured Value (kWh)])</f>
        <v>24341.599999999999</v>
      </c>
      <c r="J5" s="39">
        <f t="shared" ca="1" si="1"/>
        <v>-6271.601729811322</v>
      </c>
      <c r="K5" s="39">
        <f ca="1">(Table2[[#This Row],[Actual Generation (kWh)]]/Table2[[#This Row],[Correct kWh]])*100</f>
        <v>79.513408021925386</v>
      </c>
    </row>
    <row r="6" spans="1:12" x14ac:dyDescent="0.3">
      <c r="A6" s="1" t="s">
        <v>107</v>
      </c>
      <c r="B6" t="s">
        <v>875</v>
      </c>
      <c r="C6" s="9" cm="1">
        <f t="array" ref="C6">IFERROR(INDEX('Expected Production'!$B$2:$B$79,MATCH(TRIM($A6),INDEX(TRIM('Expected Production'!$A$2:$A$79),0),0)),"Not found")</f>
        <v>0.9</v>
      </c>
      <c r="D6" s="20" cm="1">
        <f t="array" aca="1" ref="D6" ca="1">_xlfn.IFNA(_xlfn.XLOOKUP(TRIM(A6),TRIM(site_tech_info!$A$2:$A$79),site_tech_info!$W$2:$W$79),"")</f>
        <v>3.4223134839151266</v>
      </c>
      <c r="E6" s="14" cm="1">
        <f t="array" ref="E6">IFERROR(SUM(INDEX('Simulated Production'!$B$2:$M$79,MATCH(TRIM($A6),INDEX(TRIM('Simulated Production'!$A$2:$A$79),0),0),0)),"Not found")</f>
        <v>40942</v>
      </c>
      <c r="F6" s="5">
        <f ca="1">(Table2[[#This Row],[As-Built kWh]]*Table2[[#This Row],[Expected Utilisation%]])*(1-0.007)^(Table2[[#This Row],[Age]])</f>
        <v>35972.526018453987</v>
      </c>
      <c r="G6" s="5">
        <f ca="1">(2974*(24/31)+3147*(2/30))*(1-0.007)^(Table2[[#This Row],[Age]])</f>
        <v>2452.5761784981546</v>
      </c>
      <c r="H6" s="14">
        <f t="shared" ca="1" si="0"/>
        <v>33519.949839955836</v>
      </c>
      <c r="I6" s="14" cm="1">
        <f t="array" ref="I6">SUMPRODUCT((TRIM(measured[Site Name])=TRIM($A6))*(measured[Date]&gt;=DATE(2025,7,1))*(measured[Date]&lt;=DATE(2026,6,30))*measured[Measured Value (kWh)])</f>
        <v>32105.499999999996</v>
      </c>
      <c r="J6" s="14">
        <f t="shared" ca="1" si="1"/>
        <v>-1414.4498399558397</v>
      </c>
      <c r="K6" s="14">
        <f ca="1">(Table2[[#This Row],[Actual Generation (kWh)]]/Table2[[#This Row],[Correct kWh]])*100</f>
        <v>95.780274592565732</v>
      </c>
      <c r="L6" t="s">
        <v>880</v>
      </c>
    </row>
    <row r="7" spans="1:12" x14ac:dyDescent="0.3">
      <c r="A7" s="26" t="s">
        <v>114</v>
      </c>
      <c r="B7" s="27" t="s">
        <v>875</v>
      </c>
      <c r="C7" s="28" cm="1">
        <f t="array" ref="C7">IFERROR(INDEX('Expected Production'!$B$2:$B$79,MATCH(TRIM($A7),INDEX(TRIM('Expected Production'!$A$2:$A$79),0),0)),"Not found")</f>
        <v>0.85</v>
      </c>
      <c r="D7" s="29" cm="1">
        <f t="array" aca="1" ref="D7" ca="1">_xlfn.IFNA(_xlfn.XLOOKUP(TRIM(A7),TRIM(site_tech_info!$A$2:$A$79),site_tech_info!$W$2:$W$79),"")</f>
        <v>3.4661190965092401</v>
      </c>
      <c r="E7" s="30" cm="1">
        <f t="array" ref="E7">IFERROR(SUM(INDEX('Simulated Production'!$B$2:$M$79,MATCH(TRIM($A7),INDEX(TRIM('Simulated Production'!$A$2:$A$79),0),0),0)),"Not found")</f>
        <v>319608</v>
      </c>
      <c r="F7" s="31">
        <f ca="1">(Table2[[#This Row],[As-Built kWh]]*Table2[[#This Row],[Expected Utilisation%]])*(1-0.007)^(Table2[[#This Row],[Age]])</f>
        <v>265132.0923229488</v>
      </c>
      <c r="G7" s="31">
        <v>0</v>
      </c>
      <c r="H7" s="30">
        <f t="shared" ca="1" si="0"/>
        <v>265132.0923229488</v>
      </c>
      <c r="I7" s="30" cm="1">
        <f t="array" ref="I7">SUMPRODUCT((TRIM(measured[Site Name])=TRIM($A7))*(measured[Date]&gt;=DATE(2025,7,1))*(measured[Date]&lt;=DATE(2026,6,30))*measured[Measured Value (kWh)])</f>
        <v>254905.02</v>
      </c>
      <c r="J7" s="30">
        <f t="shared" ca="1" si="1"/>
        <v>-10227.072322948807</v>
      </c>
      <c r="K7" s="30">
        <f ca="1">(Table2[[#This Row],[Actual Generation (kWh)]]/Table2[[#This Row],[Correct kWh]])*100</f>
        <v>96.142650166057024</v>
      </c>
      <c r="L7" s="27" t="s">
        <v>984</v>
      </c>
    </row>
    <row r="8" spans="1:12" x14ac:dyDescent="0.3">
      <c r="A8" s="26" t="s">
        <v>117</v>
      </c>
      <c r="B8" s="27" t="s">
        <v>875</v>
      </c>
      <c r="C8" s="28" cm="1">
        <f t="array" ref="C8">IFERROR(INDEX('Expected Production'!$B$2:$B$79,MATCH(TRIM($A8),INDEX(TRIM('Expected Production'!$A$2:$A$79),0),0)),"Not found")</f>
        <v>0.9</v>
      </c>
      <c r="D8" s="29" cm="1">
        <f t="array" aca="1" ref="D8" ca="1">_xlfn.IFNA(_xlfn.XLOOKUP(TRIM(A8),TRIM(site_tech_info!$A$2:$A$79),site_tech_info!$W$2:$W$79),"")</f>
        <v>2.3518138261464752</v>
      </c>
      <c r="E8" s="30" cm="1">
        <f t="array" ref="E8">IFERROR(SUM(INDEX('Simulated Production'!$B$2:$M$79,MATCH(TRIM($A8),INDEX(TRIM('Simulated Production'!$A$2:$A$79),0),0),0)),"Not found")</f>
        <v>355254</v>
      </c>
      <c r="F8" s="31">
        <f ca="1">(Table2[[#This Row],[As-Built kWh]]*Table2[[#This Row],[Expected Utilisation%]])*(1-0.007)^(Table2[[#This Row],[Age]])</f>
        <v>314489.88844022085</v>
      </c>
      <c r="G8" s="31">
        <f ca="1">((22354*(0.5)+26969*(7/31))*(1-0.007)^(Table2[[#This Row],[Age]]))*(1-0.007)^(Table2[[#This Row],[Age]])</f>
        <v>16705.581997814486</v>
      </c>
      <c r="H8" s="30">
        <f t="shared" ca="1" si="0"/>
        <v>297784.30644240638</v>
      </c>
      <c r="I8" s="30" cm="1">
        <f t="array" ref="I8">SUMPRODUCT((TRIM(measured[Site Name])=TRIM($A8))*(measured[Date]&gt;=DATE(2025,7,1))*(measured[Date]&lt;=DATE(2026,6,30))*measured[Measured Value (kWh)])</f>
        <v>271722.179</v>
      </c>
      <c r="J8" s="30">
        <f t="shared" ca="1" si="1"/>
        <v>-26062.127442406374</v>
      </c>
      <c r="K8" s="30">
        <f ca="1">(Table2[[#This Row],[Actual Generation (kWh)]]/Table2[[#This Row],[Correct kWh]])*100</f>
        <v>91.247984907677804</v>
      </c>
      <c r="L8" s="27" t="s">
        <v>988</v>
      </c>
    </row>
    <row r="9" spans="1:12" s="27" customFormat="1" x14ac:dyDescent="0.3">
      <c r="A9" s="26" t="s">
        <v>127</v>
      </c>
      <c r="B9" s="27" t="s">
        <v>875</v>
      </c>
      <c r="C9" s="28" cm="1">
        <f t="array" ref="C9">IFERROR(INDEX('Expected Production'!$B$2:$B$79,MATCH(TRIM($A9),INDEX(TRIM('Expected Production'!$A$2:$A$79),0),0)),"Not found")</f>
        <v>0.8</v>
      </c>
      <c r="D9" s="29" cm="1">
        <f t="array" aca="1" ref="D9" ca="1">_xlfn.IFNA(_xlfn.XLOOKUP(TRIM(A9),TRIM(site_tech_info!$A$2:$A$79),site_tech_info!$W$2:$W$79),"")</f>
        <v>2.5270362765229293</v>
      </c>
      <c r="E9" s="30" cm="1">
        <f t="array" ref="E9">IFERROR(SUM(INDEX('Simulated Production'!$B$2:$M$79,MATCH(TRIM($A9),INDEX(TRIM('Simulated Production'!$A$2:$A$79),0),0),0)),"Not found")</f>
        <v>200775</v>
      </c>
      <c r="F9" s="31">
        <f ca="1">(Table2[[#This Row],[As-Built kWh]]*Table2[[#This Row],[Expected Utilisation%]])*(1-0.007)^(Table2[[#This Row],[Age]])</f>
        <v>157793.9187535948</v>
      </c>
      <c r="G9" s="31">
        <f ca="1">('Expected Production'!I33*0.5+'Expected Production'!C33*0.8)*(1-0.007)^(Table2[[#This Row],[Age]])</f>
        <v>17807.233335541405</v>
      </c>
      <c r="H9" s="30">
        <f t="shared" ca="1" si="0"/>
        <v>139986.68541805338</v>
      </c>
      <c r="I9" s="30" cm="1">
        <f t="array" ref="I9">SUMPRODUCT((TRIM(measured[Site Name])=TRIM($A9))*(measured[Date]&gt;=DATE(2025,7,1))*(measured[Date]&lt;=DATE(2026,6,30))*measured[Measured Value (kWh)])</f>
        <v>147166.31</v>
      </c>
      <c r="J9" s="30">
        <f t="shared" ca="1" si="1"/>
        <v>7179.624581946613</v>
      </c>
      <c r="K9" s="30">
        <f ca="1">(Table2[[#This Row],[Actual Generation (kWh)]]/Table2[[#This Row],[Correct kWh]])*100</f>
        <v>105.12879104216628</v>
      </c>
      <c r="L9" s="27" t="s">
        <v>989</v>
      </c>
    </row>
    <row r="10" spans="1:12" s="27" customFormat="1" x14ac:dyDescent="0.3">
      <c r="A10" s="26" t="s">
        <v>131</v>
      </c>
      <c r="B10" s="27" t="s">
        <v>875</v>
      </c>
      <c r="C10" s="28" cm="1">
        <f t="array" ref="C10">IFERROR(INDEX('Expected Production'!$B$2:$B$79,MATCH(TRIM($A10),INDEX(TRIM('Expected Production'!$A$2:$A$79),0),0)),"Not found")</f>
        <v>0.9</v>
      </c>
      <c r="D10" s="29" cm="1">
        <f t="array" aca="1" ref="D10" ca="1">_xlfn.IFNA(_xlfn.XLOOKUP(TRIM(A10),TRIM(site_tech_info!$A$2:$A$79),site_tech_info!$W$2:$W$79),"")</f>
        <v>2.9404517453798769</v>
      </c>
      <c r="E10" s="30" cm="1">
        <f t="array" ref="E10">IFERROR(SUM(INDEX('Simulated Production'!$B$2:$M$79,MATCH(TRIM($A10),INDEX(TRIM('Simulated Production'!$A$2:$A$79),0),0),0)),"Not found")</f>
        <v>73186</v>
      </c>
      <c r="F10" s="31">
        <f ca="1">(Table2[[#This Row],[As-Built kWh]]*Table2[[#This Row],[Expected Utilisation%]])*(1-0.007)^(Table2[[#This Row],[Age]])</f>
        <v>64520.82816325259</v>
      </c>
      <c r="G10" s="31">
        <v>0</v>
      </c>
      <c r="H10" s="30">
        <f t="shared" ca="1" si="0"/>
        <v>64520.82816325259</v>
      </c>
      <c r="I10" s="30" cm="1">
        <f t="array" ref="I10">SUMPRODUCT((TRIM(measured[Site Name])=TRIM($A10))*(measured[Date]&gt;=DATE(2025,7,1))*(measured[Date]&lt;=DATE(2026,6,30))*measured[Measured Value (kWh)])</f>
        <v>61467.39</v>
      </c>
      <c r="J10" s="30">
        <f t="shared" ca="1" si="1"/>
        <v>-3053.438163252591</v>
      </c>
      <c r="K10" s="30">
        <f ca="1">(Table2[[#This Row],[Actual Generation (kWh)]]/Table2[[#This Row],[Correct kWh]])*100</f>
        <v>95.267515544706455</v>
      </c>
      <c r="L10" s="27" t="s">
        <v>981</v>
      </c>
    </row>
    <row r="11" spans="1:12" x14ac:dyDescent="0.3">
      <c r="A11" s="1" t="s">
        <v>142</v>
      </c>
      <c r="B11" t="s">
        <v>875</v>
      </c>
      <c r="C11" s="9" cm="1">
        <f t="array" ref="C11">IFERROR(INDEX('Expected Production'!$B$2:$B$79,MATCH(TRIM($A11),INDEX(TRIM('Expected Production'!$A$2:$A$79),0),0)),"Not found")</f>
        <v>0.9</v>
      </c>
      <c r="D11" s="20" cm="1">
        <f t="array" aca="1" ref="D11" ca="1">_xlfn.IFNA(_xlfn.XLOOKUP(TRIM(A11),TRIM(site_tech_info!$A$2:$A$79),site_tech_info!$W$2:$W$79),"")</f>
        <v>3.1430527036276521</v>
      </c>
      <c r="E11" s="14" cm="1">
        <f t="array" ref="E11">IFERROR(SUM(INDEX('Simulated Production'!$B$2:$M$79,MATCH(TRIM($A11),INDEX(TRIM('Simulated Production'!$A$2:$A$79),0),0),0)),"Not found")</f>
        <v>66026</v>
      </c>
      <c r="F11" s="5">
        <f ca="1">(Table2[[#This Row],[As-Built kWh]]*Table2[[#This Row],[Expected Utilisation%]])*(1-0.007)^(Table2[[#This Row],[Age]])</f>
        <v>58125.784071530732</v>
      </c>
      <c r="G11" s="5">
        <v>0</v>
      </c>
      <c r="H11" s="14">
        <f t="shared" ca="1" si="0"/>
        <v>58125.784071530732</v>
      </c>
      <c r="I11" s="14" cm="1">
        <f t="array" ref="I11">SUMPRODUCT((TRIM(measured[Site Name])=TRIM($A11))*(measured[Date]&gt;=DATE(2025,7,1))*(measured[Date]&lt;=DATE(2026,6,30))*measured[Measured Value (kWh)])</f>
        <v>46668.700000000004</v>
      </c>
      <c r="J11" s="14">
        <f t="shared" ca="1" si="1"/>
        <v>-11457.084071530728</v>
      </c>
      <c r="K11" s="14">
        <f ca="1">(Table2[[#This Row],[Actual Generation (kWh)]]/Table2[[#This Row],[Correct kWh]])*100</f>
        <v>80.289153506417364</v>
      </c>
      <c r="L11" t="s">
        <v>880</v>
      </c>
    </row>
    <row r="12" spans="1:12" x14ac:dyDescent="0.3">
      <c r="A12" s="1" t="s">
        <v>149</v>
      </c>
      <c r="B12" t="s">
        <v>875</v>
      </c>
      <c r="C12" s="9" cm="1">
        <f t="array" ref="C12">IFERROR(INDEX('Expected Production'!$B$2:$B$79,MATCH(TRIM($A12),INDEX(TRIM('Expected Production'!$A$2:$A$79),0),0)),"Not found")</f>
        <v>0.75</v>
      </c>
      <c r="D12" s="20" cm="1">
        <f t="array" aca="1" ref="D12" ca="1">_xlfn.IFNA(_xlfn.XLOOKUP(TRIM(A12),TRIM(site_tech_info!$A$2:$A$79),site_tech_info!$W$2:$W$79),"")</f>
        <v>4.473648186173854</v>
      </c>
      <c r="E12" s="14" cm="1">
        <f t="array" ref="E12">IFERROR(SUM(INDEX('Simulated Production'!$B$2:$M$79,MATCH(TRIM($A12),INDEX(TRIM('Simulated Production'!$A$2:$A$79),0),0),0)),"Not found")</f>
        <v>125072.49999999997</v>
      </c>
      <c r="F12" s="5">
        <f ca="1">(Table2[[#This Row],[As-Built kWh]]*Table2[[#This Row],[Expected Utilisation%]])*(1-0.007)^(Table2[[#This Row],[Age]])</f>
        <v>90902.348855511125</v>
      </c>
      <c r="G12" s="5">
        <f ca="1">(5691*0.3*(1-0.007)^(Table2[[#This Row],[Age]]))*(1-0.007)^(Table2[[#This Row],[Age]])</f>
        <v>1603.2965662798053</v>
      </c>
      <c r="H12" s="14">
        <f t="shared" ca="1" si="0"/>
        <v>89299.052289231317</v>
      </c>
      <c r="I12" s="14" cm="1">
        <f t="array" ref="I12">SUMPRODUCT((TRIM(measured[Site Name])=TRIM($A12))*(measured[Date]&gt;=DATE(2025,7,1))*(measured[Date]&lt;=DATE(2026,6,30))*measured[Measured Value (kWh)])</f>
        <v>72438</v>
      </c>
      <c r="J12" s="14">
        <f t="shared" ca="1" si="1"/>
        <v>-16861.052289231317</v>
      </c>
      <c r="K12" s="14">
        <f ca="1">(Table2[[#This Row],[Actual Generation (kWh)]]/Table2[[#This Row],[Correct kWh]])*100</f>
        <v>81.118442069665036</v>
      </c>
      <c r="L12" t="s">
        <v>880</v>
      </c>
    </row>
    <row r="13" spans="1:12" x14ac:dyDescent="0.3">
      <c r="A13" s="1" t="s">
        <v>160</v>
      </c>
      <c r="B13" t="s">
        <v>875</v>
      </c>
      <c r="C13" s="9" cm="1">
        <f t="array" ref="C13">IFERROR(INDEX('Expected Production'!$B$2:$B$79,MATCH(TRIM($A13),INDEX(TRIM('Expected Production'!$A$2:$A$79),0),0)),"Not found")</f>
        <v>0.85</v>
      </c>
      <c r="D13" s="20" cm="1">
        <f t="array" aca="1" ref="D13" ca="1">_xlfn.IFNA(_xlfn.XLOOKUP(TRIM(A13),TRIM(site_tech_info!$A$2:$A$79),site_tech_info!$W$2:$W$79),"")</f>
        <v>3.460643394934976</v>
      </c>
      <c r="E13" s="14" cm="1">
        <f t="array" ref="E13">IFERROR(SUM(INDEX('Simulated Production'!$B$2:$M$79,MATCH(TRIM($A13),INDEX(TRIM('Simulated Production'!$A$2:$A$79),0),0),0)),"Not found")</f>
        <v>225937</v>
      </c>
      <c r="F13" s="5">
        <f ca="1">(Table2[[#This Row],[As-Built kWh]]*Table2[[#This Row],[Expected Utilisation%]])*(1-0.007)^(Table2[[#This Row],[Age]])</f>
        <v>187434.14978306499</v>
      </c>
      <c r="G13" s="5">
        <v>0</v>
      </c>
      <c r="H13" s="14">
        <f t="shared" ca="1" si="0"/>
        <v>187434.14978306499</v>
      </c>
      <c r="I13" s="14" cm="1">
        <f t="array" ref="I13">SUMPRODUCT((TRIM(measured[Site Name])=TRIM($A13))*(measured[Date]&gt;=DATE(2025,7,1))*(measured[Date]&lt;=DATE(2026,6,30))*measured[Measured Value (kWh)])</f>
        <v>176720.45</v>
      </c>
      <c r="J13" s="14">
        <f t="shared" ca="1" si="1"/>
        <v>-10713.699783064978</v>
      </c>
      <c r="K13" s="14">
        <f ca="1">(Table2[[#This Row],[Actual Generation (kWh)]]/Table2[[#This Row],[Correct kWh]])*100</f>
        <v>94.284019323338384</v>
      </c>
      <c r="L13" t="s">
        <v>880</v>
      </c>
    </row>
    <row r="14" spans="1:12" x14ac:dyDescent="0.3">
      <c r="A14" s="1" t="s">
        <v>194</v>
      </c>
      <c r="B14" t="s">
        <v>875</v>
      </c>
      <c r="C14" s="9" cm="1">
        <f t="array" ref="C14">IFERROR(INDEX('Expected Production'!$B$2:$B$79,MATCH(TRIM($A14),INDEX(TRIM('Expected Production'!$A$2:$A$79),0),0)),"Not found")</f>
        <v>0.92500000000000004</v>
      </c>
      <c r="D14" s="20" cm="1">
        <f t="array" aca="1" ref="D14" ca="1">_xlfn.IFNA(_xlfn.XLOOKUP(TRIM(A14),TRIM(site_tech_info!$A$2:$A$79),site_tech_info!$W$2:$W$79),"")</f>
        <v>3.4332648870636548</v>
      </c>
      <c r="E14" s="14" cm="1">
        <f t="array" ref="E14">IFERROR(SUM(INDEX('Simulated Production'!$B$2:$M$79,MATCH(TRIM($A14),INDEX(TRIM('Simulated Production'!$A$2:$A$79),0),0),0)),"Not found")</f>
        <v>81158</v>
      </c>
      <c r="F14" s="5">
        <f ca="1">(Table2[[#This Row],[As-Built kWh]]*Table2[[#This Row],[Expected Utilisation%]])*(1-0.007)^(Table2[[#This Row],[Age]])</f>
        <v>73282.289766765622</v>
      </c>
      <c r="G14" s="5">
        <v>0</v>
      </c>
      <c r="H14" s="14">
        <f t="shared" ca="1" si="0"/>
        <v>73282.289766765622</v>
      </c>
      <c r="I14" s="14" cm="1">
        <f t="array" ref="I14">SUMPRODUCT((TRIM(measured[Site Name])=TRIM($A14))*(measured[Date]&gt;=DATE(2025,7,1))*(measured[Date]&lt;=DATE(2026,6,30))*measured[Measured Value (kWh)])</f>
        <v>56043.3</v>
      </c>
      <c r="J14" s="14">
        <f t="shared" ca="1" si="1"/>
        <v>-17238.989766765619</v>
      </c>
      <c r="K14" s="14">
        <f ca="1">(Table2[[#This Row],[Actual Generation (kWh)]]/Table2[[#This Row],[Correct kWh]])*100</f>
        <v>76.475912772878857</v>
      </c>
      <c r="L14" t="s">
        <v>880</v>
      </c>
    </row>
    <row r="15" spans="1:12" x14ac:dyDescent="0.3">
      <c r="A15" s="1" t="s">
        <v>202</v>
      </c>
      <c r="B15" t="s">
        <v>875</v>
      </c>
      <c r="C15" s="9" cm="1">
        <f t="array" ref="C15">IFERROR(INDEX('Expected Production'!$B$2:$B$79,MATCH(TRIM($A15),INDEX(TRIM('Expected Production'!$A$2:$A$79),0),0)),"Not found")</f>
        <v>0.9</v>
      </c>
      <c r="D15" s="20" t="str" cm="1">
        <f t="array" ref="D15">_xlfn.IFNA(_xlfn.XLOOKUP(TRIM(A15),TRIM(site_tech_info!$A$2:$A$79),site_tech_info!$W$2:$W$79),"")</f>
        <v/>
      </c>
      <c r="E15" s="14" cm="1">
        <f t="array" ref="E15">IFERROR(SUM(INDEX('Simulated Production'!$B$2:$M$79,MATCH(TRIM($A15),INDEX(TRIM('Simulated Production'!$A$2:$A$79),0),0),0)),"Not found")</f>
        <v>312107</v>
      </c>
      <c r="F15" s="5" t="e">
        <f>(Table2[[#This Row],[As-Built kWh]]*Table2[[#This Row],[Expected Utilisation%]])*(1-0.007)^(Table2[[#This Row],[Age]])</f>
        <v>#VALUE!</v>
      </c>
      <c r="G15" s="5">
        <v>0</v>
      </c>
      <c r="H15" s="14" t="e">
        <f t="shared" si="0"/>
        <v>#VALUE!</v>
      </c>
      <c r="I15" s="14" cm="1">
        <f t="array" ref="I15">SUMPRODUCT((TRIM(measured[Site Name])=TRIM($A15))*(measured[Date]&gt;=DATE(2025,7,1))*(measured[Date]&lt;=DATE(2026,6,30))*measured[Measured Value (kWh)])</f>
        <v>237169.27</v>
      </c>
      <c r="J15" s="14" t="e">
        <f t="shared" si="1"/>
        <v>#VALUE!</v>
      </c>
      <c r="K15" s="14" t="e">
        <f>(Table2[[#This Row],[Actual Generation (kWh)]]/Table2[[#This Row],[Correct kWh]])*100</f>
        <v>#VALUE!</v>
      </c>
      <c r="L15" t="s">
        <v>880</v>
      </c>
    </row>
    <row r="16" spans="1:12" x14ac:dyDescent="0.3">
      <c r="A16" s="1" t="s">
        <v>213</v>
      </c>
      <c r="B16" t="s">
        <v>875</v>
      </c>
      <c r="C16" s="9" cm="1">
        <f t="array" ref="C16">IFERROR(INDEX('Expected Production'!$B$2:$B$79,MATCH(TRIM($A16),INDEX(TRIM('Expected Production'!$A$2:$A$79),0),0)),"Not found")</f>
        <v>0.9</v>
      </c>
      <c r="D16" s="20" cm="1">
        <f t="array" aca="1" ref="D16" ca="1">_xlfn.IFNA(_xlfn.XLOOKUP(TRIM(A16),TRIM(site_tech_info!$A$2:$A$79),site_tech_info!$W$2:$W$79),"")</f>
        <v>1.1854893908281998</v>
      </c>
      <c r="E16" s="14" cm="1">
        <f t="array" ref="E16">IFERROR(SUM(INDEX('Simulated Production'!$B$2:$M$79,MATCH(TRIM($A16),INDEX(TRIM('Simulated Production'!$A$2:$A$79),0),0),0)),"Not found")</f>
        <v>102211</v>
      </c>
      <c r="F16" s="5">
        <f ca="1">(Table2[[#This Row],[As-Built kWh]]*Table2[[#This Row],[Expected Utilisation%]])*(1-0.007)^(Table2[[#This Row],[Age]])</f>
        <v>91227.025181797027</v>
      </c>
      <c r="G16" s="5">
        <f ca="1">(6087*(1-0.007)^(Table2[[#This Row],[Age]]))*(1-0.007)^(Table2[[#This Row],[Age]])</f>
        <v>5986.459306139348</v>
      </c>
      <c r="H16" s="14">
        <f t="shared" ca="1" si="0"/>
        <v>85240.565875657674</v>
      </c>
      <c r="I16" s="14" cm="1">
        <f t="array" ref="I16">SUMPRODUCT((TRIM(measured[Site Name])=TRIM($A16))*(measured[Date]&gt;=DATE(2025,7,1))*(measured[Date]&lt;=DATE(2026,6,30))*measured[Measured Value (kWh)])</f>
        <v>77775.48</v>
      </c>
      <c r="J16" s="14">
        <f t="shared" ca="1" si="1"/>
        <v>-7465.0858756576781</v>
      </c>
      <c r="K16" s="14">
        <f ca="1">(Table2[[#This Row],[Actual Generation (kWh)]]/Table2[[#This Row],[Correct kWh]])*100</f>
        <v>91.242331865150732</v>
      </c>
      <c r="L16" t="s">
        <v>880</v>
      </c>
    </row>
    <row r="17" spans="1:12" x14ac:dyDescent="0.3">
      <c r="A17" s="1" t="s">
        <v>218</v>
      </c>
      <c r="B17" t="s">
        <v>875</v>
      </c>
      <c r="C17" s="9" cm="1">
        <f t="array" ref="C17">IFERROR(INDEX('Expected Production'!$B$2:$B$79,MATCH(TRIM($A17),INDEX(TRIM('Expected Production'!$A$2:$A$79),0),0)),"Not found")</f>
        <v>0.9</v>
      </c>
      <c r="D17" s="20" cm="1">
        <f t="array" aca="1" ref="D17" ca="1">_xlfn.IFNA(_xlfn.XLOOKUP(TRIM(A17),TRIM(site_tech_info!$A$2:$A$79),site_tech_info!$W$2:$W$79),"")</f>
        <v>1.1854893908281998</v>
      </c>
      <c r="E17" s="14" cm="1">
        <f t="array" ref="E17">IFERROR(SUM(INDEX('Simulated Production'!$B$2:$M$79,MATCH(TRIM($A17),INDEX(TRIM('Simulated Production'!$A$2:$A$79),0),0),0)),"Not found")</f>
        <v>105762.7</v>
      </c>
      <c r="F17" s="5">
        <f ca="1">(Table2[[#This Row],[As-Built kWh]]*Table2[[#This Row],[Expected Utilisation%]])*(1-0.007)^(Table2[[#This Row],[Age]])</f>
        <v>94397.046268942126</v>
      </c>
      <c r="G17" s="5">
        <f ca="1">(6247*(1-0.007)^(Table2[[#This Row],[Age]]))*(1-0.007)^(Table2[[#This Row],[Age]])</f>
        <v>6143.8165410633328</v>
      </c>
      <c r="H17" s="14">
        <f t="shared" ca="1" si="0"/>
        <v>88253.229727878788</v>
      </c>
      <c r="I17" s="14" cm="1">
        <f t="array" ref="I17">SUMPRODUCT((TRIM(measured[Site Name])=TRIM($A17))*(measured[Date]&gt;=DATE(2025,7,1))*(measured[Date]&lt;=DATE(2026,6,30))*measured[Measured Value (kWh)])</f>
        <v>78264.639999999999</v>
      </c>
      <c r="J17" s="14">
        <f t="shared" ca="1" si="1"/>
        <v>-9988.5897278787888</v>
      </c>
      <c r="K17" s="14">
        <f ca="1">(Table2[[#This Row],[Actual Generation (kWh)]]/Table2[[#This Row],[Correct kWh]])*100</f>
        <v>88.681898941627708</v>
      </c>
      <c r="L17" t="s">
        <v>880</v>
      </c>
    </row>
    <row r="18" spans="1:12" x14ac:dyDescent="0.3">
      <c r="A18" s="1" t="s">
        <v>220</v>
      </c>
      <c r="B18" t="s">
        <v>875</v>
      </c>
      <c r="C18" s="9" cm="1">
        <f t="array" ref="C18">IFERROR(INDEX('Expected Production'!$B$2:$B$79,MATCH(TRIM($A18),INDEX(TRIM('Expected Production'!$A$2:$A$79),0),0)),"Not found")</f>
        <v>0.9</v>
      </c>
      <c r="D18" s="20" cm="1">
        <f t="array" aca="1" ref="D18" ca="1">_xlfn.IFNA(_xlfn.XLOOKUP(TRIM(A18),TRIM(site_tech_info!$A$2:$A$79),site_tech_info!$W$2:$W$79),"")</f>
        <v>1.0896646132785763</v>
      </c>
      <c r="E18" s="14" cm="1">
        <f t="array" ref="E18">IFERROR(SUM(INDEX('Simulated Production'!$B$2:$M$79,MATCH(TRIM($A18),INDEX(TRIM('Simulated Production'!$A$2:$A$79),0),0),0)),"Not found")</f>
        <v>524973</v>
      </c>
      <c r="F18" s="5">
        <f ca="1">(Table2[[#This Row],[As-Built kWh]]*Table2[[#This Row],[Expected Utilisation%]])*(1-0.007)^(Table2[[#This Row],[Age]])</f>
        <v>468872.95304583845</v>
      </c>
      <c r="G18" s="5">
        <f ca="1">(31229+36815+40778+47657*(5/30))*(1-0.007)^(Table2[[#This Row],[Age]])</f>
        <v>115874.47188692488</v>
      </c>
      <c r="H18" s="14">
        <f t="shared" ca="1" si="0"/>
        <v>352998.48115891358</v>
      </c>
      <c r="I18" s="14" cm="1">
        <f t="array" ref="I18">SUMPRODUCT((TRIM(measured[Site Name])=TRIM($A18))*(measured[Date]&gt;=DATE(2025,7,1))*(measured[Date]&lt;=DATE(2026,6,30))*measured[Measured Value (kWh)])</f>
        <v>300497.95500000002</v>
      </c>
      <c r="J18" s="14">
        <f t="shared" ca="1" si="1"/>
        <v>-52500.526158913563</v>
      </c>
      <c r="K18" s="14">
        <f ca="1">(Table2[[#This Row],[Actual Generation (kWh)]]/Table2[[#This Row],[Correct kWh]])*100</f>
        <v>85.1272657076168</v>
      </c>
      <c r="L18" t="s">
        <v>880</v>
      </c>
    </row>
    <row r="19" spans="1:12" x14ac:dyDescent="0.3">
      <c r="A19" s="1" t="s">
        <v>222</v>
      </c>
      <c r="B19" t="s">
        <v>875</v>
      </c>
      <c r="C19" s="9" cm="1">
        <f t="array" ref="C19">IFERROR(INDEX('Expected Production'!$B$2:$B$79,MATCH(TRIM($A19),INDEX(TRIM('Expected Production'!$A$2:$A$79),0),0)),"Not found")</f>
        <v>0.9</v>
      </c>
      <c r="D19" s="20" cm="1">
        <f t="array" aca="1" ref="D19" ca="1">_xlfn.IFNA(_xlfn.XLOOKUP(TRIM(A19),TRIM(site_tech_info!$A$2:$A$79),site_tech_info!$W$2:$W$79),"")</f>
        <v>1.0896646132785763</v>
      </c>
      <c r="E19" s="14" cm="1">
        <f t="array" ref="E19">IFERROR(SUM(INDEX('Simulated Production'!$B$2:$M$79,MATCH(TRIM($A19),INDEX(TRIM('Simulated Production'!$A$2:$A$79),0),0),0)),"Not found")</f>
        <v>138565</v>
      </c>
      <c r="F19" s="5">
        <f ca="1">(Table2[[#This Row],[As-Built kWh]]*Table2[[#This Row],[Expected Utilisation%]])*(1-0.007)^(Table2[[#This Row],[Age]])</f>
        <v>123757.56608205871</v>
      </c>
      <c r="G19" s="5">
        <f ca="1">(8307+9721+10756+12191*(5/30))*(1-0.007)^(Table2[[#This Row],[Age]])</f>
        <v>30580.854794370131</v>
      </c>
      <c r="H19" s="14">
        <f t="shared" ca="1" si="0"/>
        <v>93176.71128768858</v>
      </c>
      <c r="I19" s="14" cm="1">
        <f t="array" ref="I19">SUMPRODUCT((TRIM(measured[Site Name])=TRIM($A19))*(measured[Date]&gt;=DATE(2025,7,1))*(measured[Date]&lt;=DATE(2026,6,30))*measured[Measured Value (kWh)])</f>
        <v>81974.632769999997</v>
      </c>
      <c r="J19" s="14">
        <f t="shared" ca="1" si="1"/>
        <v>-11202.078517688584</v>
      </c>
      <c r="K19" s="14">
        <f ca="1">(Table2[[#This Row],[Actual Generation (kWh)]]/Table2[[#This Row],[Correct kWh]])*100</f>
        <v>87.977598304471698</v>
      </c>
      <c r="L19" t="s">
        <v>880</v>
      </c>
    </row>
    <row r="20" spans="1:12" x14ac:dyDescent="0.3">
      <c r="A20" s="1" t="s">
        <v>223</v>
      </c>
      <c r="B20" t="s">
        <v>875</v>
      </c>
      <c r="C20" s="9" cm="1">
        <f t="array" ref="C20">IFERROR(INDEX('Expected Production'!$B$2:$B$79,MATCH(TRIM($A20),INDEX(TRIM('Expected Production'!$A$2:$A$79),0),0)),"Not found")</f>
        <v>0.9</v>
      </c>
      <c r="D20" s="20" cm="1">
        <f t="array" aca="1" ref="D20" ca="1">_xlfn.IFNA(_xlfn.XLOOKUP(TRIM(A20),TRIM(site_tech_info!$A$2:$A$79),site_tech_info!$W$2:$W$79),"")</f>
        <v>1.0622861054072552</v>
      </c>
      <c r="E20" s="14" cm="1">
        <f t="array" ref="E20">IFERROR(SUM(INDEX('Simulated Production'!$B$2:$M$79,MATCH(TRIM($A20),INDEX(TRIM('Simulated Production'!$A$2:$A$79),0),0),0)),"Not found")</f>
        <v>89076</v>
      </c>
      <c r="F20" s="5">
        <f ca="1">(Table2[[#This Row],[As-Built kWh]]*Table2[[#This Row],[Expected Utilisation%]])*(1-0.007)^(Table2[[#This Row],[Age]])</f>
        <v>79572.397801114785</v>
      </c>
      <c r="G20" s="5">
        <f ca="1">(5785+6585+7019+7479+7553+7553*(3/30))*(1-0.007)^(Table2[[#This Row],[Age]])</f>
        <v>34914.786084933141</v>
      </c>
      <c r="H20" s="14">
        <f t="shared" ca="1" si="0"/>
        <v>44657.611716181644</v>
      </c>
      <c r="I20" s="14" cm="1">
        <f t="array" ref="I20">SUMPRODUCT((TRIM(measured[Site Name])=TRIM($A20))*(measured[Date]&gt;=DATE(2025,7,1))*(measured[Date]&lt;=DATE(2026,6,30))*measured[Measured Value (kWh)])</f>
        <v>33061.699999999997</v>
      </c>
      <c r="J20" s="14">
        <f t="shared" ca="1" si="1"/>
        <v>-11595.911716181647</v>
      </c>
      <c r="K20" s="14">
        <f ca="1">(Table2[[#This Row],[Actual Generation (kWh)]]/Table2[[#This Row],[Correct kWh]])*100</f>
        <v>74.033739668214551</v>
      </c>
      <c r="L20" t="s">
        <v>880</v>
      </c>
    </row>
    <row r="21" spans="1:12" x14ac:dyDescent="0.3">
      <c r="A21" s="1" t="s">
        <v>225</v>
      </c>
      <c r="B21" t="s">
        <v>875</v>
      </c>
      <c r="C21" s="9" cm="1">
        <f t="array" ref="C21">IFERROR(INDEX('Expected Production'!$B$2:$B$79,MATCH(TRIM($A21),INDEX(TRIM('Expected Production'!$A$2:$A$79),0),0)),"Not found")</f>
        <v>0.9</v>
      </c>
      <c r="D21" s="20" cm="1">
        <f t="array" aca="1" ref="D21" ca="1">_xlfn.IFNA(_xlfn.XLOOKUP(TRIM(A21),TRIM(site_tech_info!$A$2:$A$79),site_tech_info!$W$2:$W$79),"")</f>
        <v>1.0622861054072552</v>
      </c>
      <c r="E21" s="14" cm="1">
        <f t="array" ref="E21">IFERROR(SUM(INDEX('Simulated Production'!$B$2:$M$79,MATCH(TRIM($A21),INDEX(TRIM('Simulated Production'!$A$2:$A$79),0),0),0)),"Not found")</f>
        <v>89076</v>
      </c>
      <c r="F21" s="5">
        <f ca="1">(Table2[[#This Row],[As-Built kWh]]*Table2[[#This Row],[Expected Utilisation%]])*(1-0.007)^(Table2[[#This Row],[Age]])</f>
        <v>79572.397801114785</v>
      </c>
      <c r="G21" s="5">
        <f ca="1">(5785+6585+7019+7479+7553+7553*(3/30))*(1-0.007)^(Table2[[#This Row],[Age]])</f>
        <v>34914.786084933141</v>
      </c>
      <c r="H21" s="14">
        <f t="shared" ca="1" si="0"/>
        <v>44657.611716181644</v>
      </c>
      <c r="I21" s="14" cm="1">
        <f t="array" ref="I21">SUMPRODUCT((TRIM(measured[Site Name])=TRIM($A21))*(measured[Date]&gt;=DATE(2025,7,1))*(measured[Date]&lt;=DATE(2026,6,30))*measured[Measured Value (kWh)])</f>
        <v>47460.299999999996</v>
      </c>
      <c r="J21" s="14">
        <f t="shared" ca="1" si="1"/>
        <v>2802.6882838183519</v>
      </c>
      <c r="K21" s="14">
        <f ca="1">(Table2[[#This Row],[Actual Generation (kWh)]]/Table2[[#This Row],[Correct kWh]])*100</f>
        <v>106.27594753976241</v>
      </c>
      <c r="L21" t="s">
        <v>880</v>
      </c>
    </row>
    <row r="22" spans="1:12" x14ac:dyDescent="0.3">
      <c r="A22" t="s">
        <v>239</v>
      </c>
      <c r="B22" t="s">
        <v>875</v>
      </c>
      <c r="C22" s="9" cm="1">
        <f t="array" ref="C22">IFERROR(INDEX('Expected Production'!$B$2:$B$79,MATCH(TRIM($A22),INDEX(TRIM('Expected Production'!$A$2:$A$79),0),0)),"Not found")</f>
        <v>0.9</v>
      </c>
      <c r="D22" s="20" cm="1">
        <f t="array" aca="1" ref="D22" ca="1">_xlfn.IFNA(_xlfn.XLOOKUP(TRIM(A22),TRIM(site_tech_info!$A$2:$A$79),site_tech_info!$W$2:$W$79),"")</f>
        <v>1.0157426420260096</v>
      </c>
      <c r="E22" s="14" cm="1">
        <f t="array" ref="E22">IFERROR(SUM(INDEX('Simulated Production'!$B$2:$M$79,MATCH(TRIM($A22),INDEX(TRIM('Simulated Production'!$A$2:$A$79),0),0),0)),"Not found")</f>
        <v>31637</v>
      </c>
      <c r="F22" s="5">
        <f ca="1">(Table2[[#This Row],[As-Built kWh]]*Table2[[#This Row],[Expected Utilisation%]])*(1-0.007)^(Table2[[#This Row],[Age]])</f>
        <v>28270.860365810724</v>
      </c>
      <c r="G22" s="5">
        <f ca="1">(2350+2520+2436+2426+2356+2437)*(1-0.007)^(Table2[[#This Row],[Age]])</f>
        <v>14421.730070395803</v>
      </c>
      <c r="H22" s="14">
        <f t="shared" ca="1" si="0"/>
        <v>13849.130295414921</v>
      </c>
      <c r="I22" s="14" cm="1">
        <f t="array" ref="I22">SUMPRODUCT((TRIM(measured[Site Name])=TRIM($A22))*(measured[Date]&gt;=DATE(2025,7,1))*(measured[Date]&lt;=DATE(2026,6,30))*measured[Measured Value (kWh)])</f>
        <v>17882.440000000002</v>
      </c>
      <c r="J22" s="14">
        <f t="shared" ca="1" si="1"/>
        <v>4033.3097045850809</v>
      </c>
      <c r="K22" s="14">
        <f ca="1">(Table2[[#This Row],[Actual Generation (kWh)]]/Table2[[#This Row],[Correct kWh]])*100</f>
        <v>129.12319848648116</v>
      </c>
      <c r="L22" t="s">
        <v>880</v>
      </c>
    </row>
    <row r="23" spans="1:12" s="21" customFormat="1" x14ac:dyDescent="0.3">
      <c r="A23" s="21" t="s">
        <v>271</v>
      </c>
      <c r="B23" s="21" t="s">
        <v>875</v>
      </c>
      <c r="C23" s="22" cm="1">
        <f t="array" ref="C23">IFERROR(INDEX('Expected Production'!$B$2:$B$79,MATCH(TRIM($A23),INDEX(TRIM('Expected Production'!$A$2:$A$79),0),0)),"Not found")</f>
        <v>0.9</v>
      </c>
      <c r="D23" s="23" cm="1">
        <f t="array" aca="1" ref="D23" ca="1">_xlfn.IFNA(_xlfn.XLOOKUP(TRIM(A23),TRIM(site_tech_info!$A$2:$A$79),site_tech_info!$W$2:$W$79),"")</f>
        <v>0.43805612594113619</v>
      </c>
      <c r="E23" s="24" cm="1">
        <f t="array" ref="E23">IFERROR(SUM(INDEX('Simulated Production'!$B$2:$M$79,MATCH(TRIM($A23),INDEX(TRIM('Simulated Production'!$A$2:$A$79),0),0),0)),"Not found")</f>
        <v>190644.6</v>
      </c>
      <c r="F23" s="25">
        <f ca="1">(Table2[[#This Row],[As-Built kWh]]*Table2[[#This Row],[Expected Utilisation%]])*(1-0.007)^(Table2[[#This Row],[Age]])</f>
        <v>171052.96929320262</v>
      </c>
      <c r="G23" s="25">
        <v>171487.7679849522</v>
      </c>
      <c r="H23" s="24">
        <f t="shared" ca="1" si="0"/>
        <v>-434.79869174957275</v>
      </c>
      <c r="I23" s="24" cm="1">
        <f t="array" ref="I23">SUMPRODUCT((TRIM(measured[Site Name])=TRIM($A23))*(measured[Date]&gt;=DATE(2025,7,1))*(measured[Date]&lt;=DATE(2026,6,30))*measured[Measured Value (kWh)])</f>
        <v>10169</v>
      </c>
      <c r="J23" s="24">
        <f t="shared" ca="1" si="1"/>
        <v>10603.798691749573</v>
      </c>
      <c r="K23" s="24">
        <f ca="1">(Table2[[#This Row],[Actual Generation (kWh)]]/Table2[[#This Row],[Correct kWh]])*100</f>
        <v>-2338.7834860038979</v>
      </c>
      <c r="L23" s="21" t="s">
        <v>880</v>
      </c>
    </row>
    <row r="24" spans="1:12" s="21" customFormat="1" x14ac:dyDescent="0.3">
      <c r="A24" s="21" t="s">
        <v>250</v>
      </c>
      <c r="B24" s="21" t="s">
        <v>875</v>
      </c>
      <c r="C24" s="22" cm="1">
        <f t="array" ref="C24">IFERROR(INDEX('Expected Production'!$B$2:$B$79,MATCH(TRIM($A24),INDEX(TRIM('Expected Production'!$A$2:$A$79),0),0)),"Not found")</f>
        <v>0.9</v>
      </c>
      <c r="D24" s="23" cm="1">
        <f t="array" aca="1" ref="D24" ca="1">_xlfn.IFNA(_xlfn.XLOOKUP(TRIM(A24),TRIM(site_tech_info!$A$2:$A$79),site_tech_info!$W$2:$W$79),"")</f>
        <v>0.49828884325804246</v>
      </c>
      <c r="E24" s="24" cm="1">
        <f t="array" ref="E24">IFERROR(SUM(INDEX('Simulated Production'!$B$2:$M$79,MATCH(TRIM($A24),INDEX(TRIM('Simulated Production'!$A$2:$A$79),0),0),0)),"Not found")</f>
        <v>380893</v>
      </c>
      <c r="F24" s="25">
        <f ca="1">(Table2[[#This Row],[As-Built kWh]]*Table2[[#This Row],[Expected Utilisation%]])*(1-0.007)^(Table2[[#This Row],[Age]])</f>
        <v>341605.88614844653</v>
      </c>
      <c r="G24" s="25">
        <f ca="1">(28051+31649+28250+28466+28992+28904+28877+25885+27341+27824*(28/30))*(1-0.007)^(Table2[[#This Row],[Age]])</f>
        <v>281397.36918787239</v>
      </c>
      <c r="H24" s="24">
        <f t="shared" ca="1" si="0"/>
        <v>60208.516960574139</v>
      </c>
      <c r="I24" s="24" cm="1">
        <f t="array" ref="I24">SUMPRODUCT((TRIM(measured[Site Name])=TRIM($A24))*(measured[Date]&gt;=DATE(2025,7,1))*(measured[Date]&lt;=DATE(2026,6,30))*measured[Measured Value (kWh)])</f>
        <v>53212.2</v>
      </c>
      <c r="J24" s="24">
        <f ca="1">I24-H24</f>
        <v>-6996.3169605741423</v>
      </c>
      <c r="K24" s="24">
        <f ca="1">(Table2[[#This Row],[Actual Generation (kWh)]]/Table2[[#This Row],[Correct kWh]])*100</f>
        <v>88.379855020917589</v>
      </c>
      <c r="L24" s="21" t="s">
        <v>880</v>
      </c>
    </row>
  </sheetData>
  <dataValidations disablePrompts="1" count="1">
    <dataValidation type="list" allowBlank="1" showInputMessage="1" showErrorMessage="1" sqref="B2:B24" xr:uid="{99291F48-14E2-47A9-843A-C71D5E7C6DA1}">
      <formula1>"YES,NO"</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22"/>
  <sheetViews>
    <sheetView topLeftCell="A70" zoomScaleNormal="100" workbookViewId="0">
      <selection activeCell="H538" sqref="H538"/>
    </sheetView>
  </sheetViews>
  <sheetFormatPr defaultColWidth="8.6640625" defaultRowHeight="14.4" x14ac:dyDescent="0.3"/>
  <cols>
    <col min="1" max="1" width="30" customWidth="1"/>
    <col min="2" max="2" width="12" customWidth="1"/>
    <col min="3" max="3" width="22" customWidth="1"/>
  </cols>
  <sheetData>
    <row r="1" spans="1:3" ht="15" customHeight="1" x14ac:dyDescent="0.3">
      <c r="A1" t="s">
        <v>268</v>
      </c>
      <c r="B1" t="s">
        <v>266</v>
      </c>
      <c r="C1" t="s">
        <v>270</v>
      </c>
    </row>
    <row r="2" spans="1:3" ht="15" hidden="1" customHeight="1" x14ac:dyDescent="0.3">
      <c r="A2" t="s">
        <v>31</v>
      </c>
      <c r="B2" s="2">
        <v>45292</v>
      </c>
      <c r="C2">
        <v>1815</v>
      </c>
    </row>
    <row r="3" spans="1:3" ht="15" hidden="1" customHeight="1" x14ac:dyDescent="0.3">
      <c r="A3" t="s">
        <v>31</v>
      </c>
      <c r="B3" s="2">
        <v>45323</v>
      </c>
      <c r="C3">
        <v>2295</v>
      </c>
    </row>
    <row r="4" spans="1:3" ht="15" hidden="1" customHeight="1" x14ac:dyDescent="0.3">
      <c r="A4" t="s">
        <v>31</v>
      </c>
      <c r="B4" s="2">
        <v>45352</v>
      </c>
      <c r="C4">
        <v>2474</v>
      </c>
    </row>
    <row r="5" spans="1:3" ht="15" hidden="1" customHeight="1" x14ac:dyDescent="0.3">
      <c r="A5" t="s">
        <v>31</v>
      </c>
      <c r="B5" s="2">
        <v>45383</v>
      </c>
      <c r="C5">
        <v>2136</v>
      </c>
    </row>
    <row r="6" spans="1:3" ht="15" hidden="1" customHeight="1" x14ac:dyDescent="0.3">
      <c r="A6" t="s">
        <v>31</v>
      </c>
      <c r="B6" s="2">
        <v>45413</v>
      </c>
      <c r="C6">
        <v>2212</v>
      </c>
    </row>
    <row r="7" spans="1:3" ht="15" hidden="1" customHeight="1" x14ac:dyDescent="0.3">
      <c r="A7" t="s">
        <v>31</v>
      </c>
      <c r="B7" s="2">
        <v>45444</v>
      </c>
      <c r="C7">
        <v>1863</v>
      </c>
    </row>
    <row r="8" spans="1:3" ht="15" hidden="1" customHeight="1" x14ac:dyDescent="0.3">
      <c r="A8" t="s">
        <v>31</v>
      </c>
      <c r="B8" s="2">
        <v>45474</v>
      </c>
      <c r="C8">
        <v>1943</v>
      </c>
    </row>
    <row r="9" spans="1:3" ht="15" hidden="1" customHeight="1" x14ac:dyDescent="0.3">
      <c r="A9" t="s">
        <v>31</v>
      </c>
      <c r="B9" s="2">
        <v>45505</v>
      </c>
      <c r="C9">
        <v>1710</v>
      </c>
    </row>
    <row r="10" spans="1:3" ht="15" hidden="1" customHeight="1" x14ac:dyDescent="0.3">
      <c r="A10" t="s">
        <v>31</v>
      </c>
      <c r="B10" s="2">
        <v>45536</v>
      </c>
      <c r="C10">
        <v>1579</v>
      </c>
    </row>
    <row r="11" spans="1:3" ht="15" hidden="1" customHeight="1" x14ac:dyDescent="0.3">
      <c r="A11" t="s">
        <v>31</v>
      </c>
      <c r="B11" s="2">
        <v>45566</v>
      </c>
      <c r="C11">
        <v>1593</v>
      </c>
    </row>
    <row r="12" spans="1:3" ht="15" hidden="1" customHeight="1" x14ac:dyDescent="0.3">
      <c r="A12" t="s">
        <v>31</v>
      </c>
      <c r="B12" s="2">
        <v>45597</v>
      </c>
      <c r="C12">
        <v>1794</v>
      </c>
    </row>
    <row r="13" spans="1:3" ht="15" hidden="1" customHeight="1" x14ac:dyDescent="0.3">
      <c r="A13" t="s">
        <v>31</v>
      </c>
      <c r="B13" s="2">
        <v>45627</v>
      </c>
      <c r="C13">
        <v>1794</v>
      </c>
    </row>
    <row r="14" spans="1:3" ht="15" hidden="1" customHeight="1" x14ac:dyDescent="0.3">
      <c r="A14" t="s">
        <v>31</v>
      </c>
      <c r="B14" s="2">
        <v>45658</v>
      </c>
      <c r="C14">
        <v>1992</v>
      </c>
    </row>
    <row r="15" spans="1:3" ht="15" hidden="1" customHeight="1" x14ac:dyDescent="0.3">
      <c r="A15" t="s">
        <v>31</v>
      </c>
      <c r="B15" s="2">
        <v>45689</v>
      </c>
      <c r="C15">
        <v>1458</v>
      </c>
    </row>
    <row r="16" spans="1:3" ht="15" hidden="1" customHeight="1" x14ac:dyDescent="0.3">
      <c r="A16" t="s">
        <v>31</v>
      </c>
      <c r="B16" s="2">
        <v>45717</v>
      </c>
      <c r="C16">
        <v>1382</v>
      </c>
    </row>
    <row r="17" spans="1:3" ht="15" hidden="1" customHeight="1" x14ac:dyDescent="0.3">
      <c r="A17" t="s">
        <v>31</v>
      </c>
      <c r="B17" s="2">
        <v>45748</v>
      </c>
      <c r="C17">
        <v>1183</v>
      </c>
    </row>
    <row r="18" spans="1:3" ht="15" hidden="1" customHeight="1" x14ac:dyDescent="0.3">
      <c r="A18" t="s">
        <v>31</v>
      </c>
      <c r="B18" s="2">
        <v>45778</v>
      </c>
      <c r="C18">
        <v>1860</v>
      </c>
    </row>
    <row r="19" spans="1:3" ht="15" hidden="1" customHeight="1" x14ac:dyDescent="0.3">
      <c r="A19" t="s">
        <v>31</v>
      </c>
      <c r="B19" s="2">
        <v>45809</v>
      </c>
      <c r="C19">
        <v>1756.6</v>
      </c>
    </row>
    <row r="20" spans="1:3" ht="15" hidden="1" customHeight="1" x14ac:dyDescent="0.3">
      <c r="A20" t="s">
        <v>31</v>
      </c>
      <c r="B20" s="2">
        <v>45839</v>
      </c>
      <c r="C20">
        <v>1742</v>
      </c>
    </row>
    <row r="21" spans="1:3" ht="15" hidden="1" customHeight="1" x14ac:dyDescent="0.3">
      <c r="A21" t="s">
        <v>31</v>
      </c>
      <c r="B21" s="2">
        <v>45870</v>
      </c>
      <c r="C21">
        <v>1613</v>
      </c>
    </row>
    <row r="22" spans="1:3" ht="15" hidden="1" customHeight="1" x14ac:dyDescent="0.3">
      <c r="A22" t="s">
        <v>31</v>
      </c>
      <c r="B22" s="2">
        <v>45901</v>
      </c>
      <c r="C22">
        <v>1358.7</v>
      </c>
    </row>
    <row r="23" spans="1:3" ht="15" hidden="1" customHeight="1" x14ac:dyDescent="0.3">
      <c r="A23" t="s">
        <v>31</v>
      </c>
      <c r="B23" s="2">
        <v>45931</v>
      </c>
      <c r="C23">
        <v>1601</v>
      </c>
    </row>
    <row r="24" spans="1:3" ht="15" hidden="1" customHeight="1" x14ac:dyDescent="0.3">
      <c r="A24" t="s">
        <v>31</v>
      </c>
      <c r="B24" s="2">
        <v>45962</v>
      </c>
      <c r="C24">
        <v>1444</v>
      </c>
    </row>
    <row r="25" spans="1:3" ht="15" hidden="1" customHeight="1" x14ac:dyDescent="0.3">
      <c r="A25" t="s">
        <v>31</v>
      </c>
      <c r="B25" s="2">
        <v>45992</v>
      </c>
      <c r="C25">
        <v>1375</v>
      </c>
    </row>
    <row r="26" spans="1:3" ht="15" hidden="1" customHeight="1" x14ac:dyDescent="0.3">
      <c r="A26" t="s">
        <v>31</v>
      </c>
      <c r="B26" s="2">
        <v>46023</v>
      </c>
      <c r="C26">
        <v>1549</v>
      </c>
    </row>
    <row r="27" spans="1:3" ht="15" hidden="1" customHeight="1" x14ac:dyDescent="0.3">
      <c r="A27" t="s">
        <v>31</v>
      </c>
      <c r="B27" s="2">
        <v>46054</v>
      </c>
      <c r="C27">
        <v>1362</v>
      </c>
    </row>
    <row r="28" spans="1:3" ht="15" hidden="1" customHeight="1" x14ac:dyDescent="0.3">
      <c r="A28" t="s">
        <v>31</v>
      </c>
      <c r="B28" s="2">
        <v>46082</v>
      </c>
      <c r="C28">
        <v>1237</v>
      </c>
    </row>
    <row r="29" spans="1:3" ht="15" hidden="1" customHeight="1" x14ac:dyDescent="0.3">
      <c r="A29" t="s">
        <v>31</v>
      </c>
      <c r="B29" s="2">
        <v>46113</v>
      </c>
      <c r="C29">
        <v>830</v>
      </c>
    </row>
    <row r="30" spans="1:3" ht="15" hidden="1" customHeight="1" x14ac:dyDescent="0.3">
      <c r="A30" t="s">
        <v>31</v>
      </c>
      <c r="B30" s="2">
        <v>46143</v>
      </c>
      <c r="C30" s="12">
        <v>1169.9000000000001</v>
      </c>
    </row>
    <row r="31" spans="1:3" ht="15" hidden="1" customHeight="1" x14ac:dyDescent="0.3">
      <c r="A31" t="s">
        <v>31</v>
      </c>
      <c r="B31" s="2">
        <v>46174</v>
      </c>
      <c r="C31">
        <v>1287</v>
      </c>
    </row>
    <row r="32" spans="1:3" ht="15" hidden="1" customHeight="1" x14ac:dyDescent="0.3">
      <c r="A32" t="s">
        <v>31</v>
      </c>
      <c r="B32" s="2">
        <v>46204</v>
      </c>
      <c r="C32">
        <v>1638</v>
      </c>
    </row>
    <row r="33" spans="1:3" ht="15" hidden="1" customHeight="1" x14ac:dyDescent="0.3">
      <c r="A33" t="s">
        <v>31</v>
      </c>
      <c r="B33" s="2">
        <v>46235</v>
      </c>
      <c r="C33">
        <v>1374</v>
      </c>
    </row>
    <row r="34" spans="1:3" ht="15" customHeight="1" x14ac:dyDescent="0.3">
      <c r="A34" t="s">
        <v>31</v>
      </c>
      <c r="B34" s="2">
        <v>46266</v>
      </c>
      <c r="C34">
        <v>1161.5999999999999</v>
      </c>
    </row>
    <row r="35" spans="1:3" ht="15" hidden="1" customHeight="1" x14ac:dyDescent="0.3">
      <c r="A35" t="s">
        <v>31</v>
      </c>
      <c r="B35" s="2">
        <v>46296</v>
      </c>
    </row>
    <row r="36" spans="1:3" ht="15" hidden="1" customHeight="1" x14ac:dyDescent="0.3">
      <c r="A36" t="s">
        <v>31</v>
      </c>
      <c r="B36" s="2">
        <v>46327</v>
      </c>
    </row>
    <row r="37" spans="1:3" ht="15" hidden="1" customHeight="1" x14ac:dyDescent="0.3">
      <c r="A37" t="s">
        <v>31</v>
      </c>
      <c r="B37" s="2">
        <v>46357</v>
      </c>
    </row>
    <row r="38" spans="1:3" ht="15" hidden="1" customHeight="1" x14ac:dyDescent="0.3">
      <c r="A38" t="s">
        <v>43</v>
      </c>
      <c r="B38" s="2">
        <v>45292</v>
      </c>
      <c r="C38">
        <v>23024</v>
      </c>
    </row>
    <row r="39" spans="1:3" ht="15" hidden="1" customHeight="1" x14ac:dyDescent="0.3">
      <c r="A39" t="s">
        <v>43</v>
      </c>
      <c r="B39" s="2">
        <v>45323</v>
      </c>
      <c r="C39">
        <v>23235</v>
      </c>
    </row>
    <row r="40" spans="1:3" ht="15" hidden="1" customHeight="1" x14ac:dyDescent="0.3">
      <c r="A40" t="s">
        <v>43</v>
      </c>
      <c r="B40" s="2">
        <v>45352</v>
      </c>
      <c r="C40">
        <v>23235</v>
      </c>
    </row>
    <row r="41" spans="1:3" ht="15" hidden="1" customHeight="1" x14ac:dyDescent="0.3">
      <c r="A41" t="s">
        <v>43</v>
      </c>
      <c r="B41" s="2">
        <v>45383</v>
      </c>
      <c r="C41">
        <v>19307</v>
      </c>
    </row>
    <row r="42" spans="1:3" ht="15" hidden="1" customHeight="1" x14ac:dyDescent="0.3">
      <c r="A42" t="s">
        <v>43</v>
      </c>
      <c r="B42" s="2">
        <v>45413</v>
      </c>
      <c r="C42">
        <v>18418</v>
      </c>
    </row>
    <row r="43" spans="1:3" ht="15" hidden="1" customHeight="1" x14ac:dyDescent="0.3">
      <c r="A43" t="s">
        <v>43</v>
      </c>
      <c r="B43" s="2">
        <v>45444</v>
      </c>
      <c r="C43">
        <v>15949</v>
      </c>
    </row>
    <row r="44" spans="1:3" ht="15" hidden="1" customHeight="1" x14ac:dyDescent="0.3">
      <c r="A44" t="s">
        <v>43</v>
      </c>
      <c r="B44" s="2">
        <v>45474</v>
      </c>
      <c r="C44">
        <v>17174</v>
      </c>
    </row>
    <row r="45" spans="1:3" ht="15" hidden="1" customHeight="1" x14ac:dyDescent="0.3">
      <c r="A45" t="s">
        <v>43</v>
      </c>
      <c r="B45" s="2">
        <v>45505</v>
      </c>
      <c r="C45">
        <v>13588</v>
      </c>
    </row>
    <row r="46" spans="1:3" ht="15" hidden="1" customHeight="1" x14ac:dyDescent="0.3">
      <c r="A46" t="s">
        <v>43</v>
      </c>
      <c r="B46" s="2">
        <v>45536</v>
      </c>
      <c r="C46">
        <v>20254</v>
      </c>
    </row>
    <row r="47" spans="1:3" ht="15" hidden="1" customHeight="1" x14ac:dyDescent="0.3">
      <c r="A47" t="s">
        <v>43</v>
      </c>
      <c r="B47" s="2">
        <v>45566</v>
      </c>
      <c r="C47">
        <v>27693</v>
      </c>
    </row>
    <row r="48" spans="1:3" ht="15" hidden="1" customHeight="1" x14ac:dyDescent="0.3">
      <c r="A48" t="s">
        <v>43</v>
      </c>
      <c r="B48" s="2">
        <v>45597</v>
      </c>
      <c r="C48">
        <v>24041</v>
      </c>
    </row>
    <row r="49" spans="1:3" ht="15" hidden="1" customHeight="1" x14ac:dyDescent="0.3">
      <c r="A49" t="s">
        <v>43</v>
      </c>
      <c r="B49" s="2">
        <v>45627</v>
      </c>
      <c r="C49">
        <v>25076</v>
      </c>
    </row>
    <row r="50" spans="1:3" ht="15" hidden="1" customHeight="1" x14ac:dyDescent="0.3">
      <c r="A50" t="s">
        <v>43</v>
      </c>
      <c r="B50" s="2">
        <v>45658</v>
      </c>
      <c r="C50">
        <v>22439</v>
      </c>
    </row>
    <row r="51" spans="1:3" ht="15" hidden="1" customHeight="1" x14ac:dyDescent="0.3">
      <c r="A51" t="s">
        <v>43</v>
      </c>
      <c r="B51" s="2">
        <v>45689</v>
      </c>
      <c r="C51">
        <v>14790</v>
      </c>
    </row>
    <row r="52" spans="1:3" ht="15" hidden="1" customHeight="1" x14ac:dyDescent="0.3">
      <c r="A52" t="s">
        <v>43</v>
      </c>
      <c r="B52" s="2">
        <v>45717</v>
      </c>
      <c r="C52">
        <v>15371</v>
      </c>
    </row>
    <row r="53" spans="1:3" ht="15" hidden="1" customHeight="1" x14ac:dyDescent="0.3">
      <c r="A53" t="s">
        <v>43</v>
      </c>
      <c r="B53" s="2">
        <v>45748</v>
      </c>
      <c r="C53">
        <v>13930</v>
      </c>
    </row>
    <row r="54" spans="1:3" ht="15" hidden="1" customHeight="1" x14ac:dyDescent="0.3">
      <c r="A54" t="s">
        <v>43</v>
      </c>
      <c r="B54" s="2">
        <v>45778</v>
      </c>
      <c r="C54">
        <v>15263</v>
      </c>
    </row>
    <row r="55" spans="1:3" ht="15" hidden="1" customHeight="1" x14ac:dyDescent="0.3">
      <c r="A55" t="s">
        <v>43</v>
      </c>
      <c r="B55" s="2">
        <v>45809</v>
      </c>
      <c r="C55">
        <v>11722.16</v>
      </c>
    </row>
    <row r="56" spans="1:3" ht="15" hidden="1" customHeight="1" x14ac:dyDescent="0.3">
      <c r="A56" t="s">
        <v>43</v>
      </c>
      <c r="B56" s="2">
        <v>45839</v>
      </c>
      <c r="C56">
        <v>3209</v>
      </c>
    </row>
    <row r="57" spans="1:3" ht="15" hidden="1" customHeight="1" x14ac:dyDescent="0.3">
      <c r="A57" t="s">
        <v>43</v>
      </c>
      <c r="B57" s="2">
        <v>45870</v>
      </c>
      <c r="C57">
        <v>11143</v>
      </c>
    </row>
    <row r="58" spans="1:3" ht="15" hidden="1" customHeight="1" x14ac:dyDescent="0.3">
      <c r="A58" t="s">
        <v>43</v>
      </c>
      <c r="B58" s="2">
        <v>45901</v>
      </c>
      <c r="C58">
        <v>11503</v>
      </c>
    </row>
    <row r="59" spans="1:3" ht="15" hidden="1" customHeight="1" x14ac:dyDescent="0.3">
      <c r="A59" t="s">
        <v>43</v>
      </c>
      <c r="B59" s="2">
        <v>45931</v>
      </c>
      <c r="C59">
        <v>12856</v>
      </c>
    </row>
    <row r="60" spans="1:3" ht="15" hidden="1" customHeight="1" x14ac:dyDescent="0.3">
      <c r="A60" t="s">
        <v>43</v>
      </c>
      <c r="B60" s="2">
        <v>45962</v>
      </c>
      <c r="C60">
        <v>11518</v>
      </c>
    </row>
    <row r="61" spans="1:3" ht="15" hidden="1" customHeight="1" x14ac:dyDescent="0.3">
      <c r="A61" t="s">
        <v>43</v>
      </c>
      <c r="B61" s="2">
        <v>45992</v>
      </c>
      <c r="C61">
        <v>12208</v>
      </c>
    </row>
    <row r="62" spans="1:3" ht="15" hidden="1" customHeight="1" x14ac:dyDescent="0.3">
      <c r="A62" t="s">
        <v>43</v>
      </c>
      <c r="B62" s="2">
        <v>46023</v>
      </c>
      <c r="C62">
        <v>14027</v>
      </c>
    </row>
    <row r="63" spans="1:3" ht="15" hidden="1" customHeight="1" x14ac:dyDescent="0.3">
      <c r="A63" t="s">
        <v>43</v>
      </c>
      <c r="B63" s="2">
        <v>46054</v>
      </c>
      <c r="C63">
        <v>12261</v>
      </c>
    </row>
    <row r="64" spans="1:3" ht="15" hidden="1" customHeight="1" x14ac:dyDescent="0.3">
      <c r="A64" t="s">
        <v>43</v>
      </c>
      <c r="B64" s="2">
        <v>46082</v>
      </c>
      <c r="C64">
        <v>10788</v>
      </c>
    </row>
    <row r="65" spans="1:3" ht="15" hidden="1" customHeight="1" x14ac:dyDescent="0.3">
      <c r="A65" t="s">
        <v>43</v>
      </c>
      <c r="B65" s="2">
        <v>46113</v>
      </c>
      <c r="C65">
        <v>9392.09</v>
      </c>
    </row>
    <row r="66" spans="1:3" ht="15" hidden="1" customHeight="1" x14ac:dyDescent="0.3">
      <c r="A66" t="s">
        <v>43</v>
      </c>
      <c r="B66" s="2">
        <v>46143</v>
      </c>
      <c r="C66" s="12">
        <v>11425.9</v>
      </c>
    </row>
    <row r="67" spans="1:3" ht="15" hidden="1" customHeight="1" x14ac:dyDescent="0.3">
      <c r="A67" t="s">
        <v>43</v>
      </c>
      <c r="B67" s="2">
        <v>46174</v>
      </c>
      <c r="C67">
        <v>10184.42</v>
      </c>
    </row>
    <row r="68" spans="1:3" ht="15" hidden="1" customHeight="1" x14ac:dyDescent="0.3">
      <c r="A68" t="s">
        <v>43</v>
      </c>
      <c r="B68" s="2">
        <v>46204</v>
      </c>
      <c r="C68">
        <v>13136.5304</v>
      </c>
    </row>
    <row r="69" spans="1:3" ht="15" hidden="1" customHeight="1" x14ac:dyDescent="0.3">
      <c r="A69" t="s">
        <v>43</v>
      </c>
      <c r="B69" s="2">
        <v>46235</v>
      </c>
      <c r="C69">
        <v>13435.047</v>
      </c>
    </row>
    <row r="70" spans="1:3" ht="15" customHeight="1" x14ac:dyDescent="0.3">
      <c r="A70" t="s">
        <v>43</v>
      </c>
      <c r="B70" s="2">
        <v>46266</v>
      </c>
      <c r="C70" s="47">
        <v>12622.0164</v>
      </c>
    </row>
    <row r="71" spans="1:3" ht="15" hidden="1" customHeight="1" x14ac:dyDescent="0.3">
      <c r="A71" t="s">
        <v>43</v>
      </c>
      <c r="B71" s="2">
        <v>46296</v>
      </c>
    </row>
    <row r="72" spans="1:3" ht="15" hidden="1" customHeight="1" x14ac:dyDescent="0.3">
      <c r="A72" t="s">
        <v>43</v>
      </c>
      <c r="B72" s="2">
        <v>46327</v>
      </c>
    </row>
    <row r="73" spans="1:3" ht="15" hidden="1" customHeight="1" x14ac:dyDescent="0.3">
      <c r="A73" t="s">
        <v>43</v>
      </c>
      <c r="B73" s="2">
        <v>46357</v>
      </c>
    </row>
    <row r="74" spans="1:3" ht="15" hidden="1" customHeight="1" x14ac:dyDescent="0.3">
      <c r="A74" t="s">
        <v>49</v>
      </c>
      <c r="B74" s="2">
        <v>45292</v>
      </c>
    </row>
    <row r="75" spans="1:3" ht="15" hidden="1" customHeight="1" x14ac:dyDescent="0.3">
      <c r="A75" t="s">
        <v>49</v>
      </c>
      <c r="B75" s="2">
        <v>45323</v>
      </c>
    </row>
    <row r="76" spans="1:3" ht="15" hidden="1" customHeight="1" x14ac:dyDescent="0.3">
      <c r="A76" t="s">
        <v>49</v>
      </c>
      <c r="B76" s="2">
        <v>45352</v>
      </c>
    </row>
    <row r="77" spans="1:3" ht="15" hidden="1" customHeight="1" x14ac:dyDescent="0.3">
      <c r="A77" t="s">
        <v>49</v>
      </c>
      <c r="B77" s="2">
        <v>45383</v>
      </c>
    </row>
    <row r="78" spans="1:3" ht="15" hidden="1" customHeight="1" x14ac:dyDescent="0.3">
      <c r="A78" t="s">
        <v>49</v>
      </c>
      <c r="B78" s="2">
        <v>45413</v>
      </c>
    </row>
    <row r="79" spans="1:3" ht="15" hidden="1" customHeight="1" x14ac:dyDescent="0.3">
      <c r="A79" t="s">
        <v>49</v>
      </c>
      <c r="B79" s="2">
        <v>45444</v>
      </c>
    </row>
    <row r="80" spans="1:3" ht="15" hidden="1" customHeight="1" x14ac:dyDescent="0.3">
      <c r="A80" t="s">
        <v>49</v>
      </c>
      <c r="B80" s="2">
        <v>45474</v>
      </c>
    </row>
    <row r="81" spans="1:3" ht="15" hidden="1" customHeight="1" x14ac:dyDescent="0.3">
      <c r="A81" t="s">
        <v>49</v>
      </c>
      <c r="B81" s="2">
        <v>45505</v>
      </c>
    </row>
    <row r="82" spans="1:3" ht="15" hidden="1" customHeight="1" x14ac:dyDescent="0.3">
      <c r="A82" t="s">
        <v>49</v>
      </c>
      <c r="B82" s="2">
        <v>45536</v>
      </c>
    </row>
    <row r="83" spans="1:3" ht="15" hidden="1" customHeight="1" x14ac:dyDescent="0.3">
      <c r="A83" t="s">
        <v>49</v>
      </c>
      <c r="B83" s="2">
        <v>45566</v>
      </c>
    </row>
    <row r="84" spans="1:3" ht="15" hidden="1" customHeight="1" x14ac:dyDescent="0.3">
      <c r="A84" t="s">
        <v>49</v>
      </c>
      <c r="B84" s="2">
        <v>45597</v>
      </c>
    </row>
    <row r="85" spans="1:3" ht="15" hidden="1" customHeight="1" x14ac:dyDescent="0.3">
      <c r="A85" t="s">
        <v>49</v>
      </c>
      <c r="B85" s="2">
        <v>45627</v>
      </c>
    </row>
    <row r="86" spans="1:3" ht="15" hidden="1" customHeight="1" x14ac:dyDescent="0.3">
      <c r="A86" t="s">
        <v>49</v>
      </c>
      <c r="B86" s="2">
        <v>45658</v>
      </c>
      <c r="C86">
        <v>2400</v>
      </c>
    </row>
    <row r="87" spans="1:3" ht="15" hidden="1" customHeight="1" x14ac:dyDescent="0.3">
      <c r="A87" t="s">
        <v>49</v>
      </c>
      <c r="B87" s="2">
        <v>45689</v>
      </c>
      <c r="C87">
        <v>3000</v>
      </c>
    </row>
    <row r="88" spans="1:3" ht="15" hidden="1" customHeight="1" x14ac:dyDescent="0.3">
      <c r="A88" t="s">
        <v>49</v>
      </c>
      <c r="B88" s="2">
        <v>45717</v>
      </c>
      <c r="C88">
        <v>3144</v>
      </c>
    </row>
    <row r="89" spans="1:3" ht="15" hidden="1" customHeight="1" x14ac:dyDescent="0.3">
      <c r="A89" t="s">
        <v>49</v>
      </c>
      <c r="B89" s="2">
        <v>45748</v>
      </c>
      <c r="C89">
        <v>2310</v>
      </c>
    </row>
    <row r="90" spans="1:3" ht="15" hidden="1" customHeight="1" x14ac:dyDescent="0.3">
      <c r="A90" t="s">
        <v>49</v>
      </c>
      <c r="B90" s="2">
        <v>45778</v>
      </c>
      <c r="C90">
        <v>3866</v>
      </c>
    </row>
    <row r="91" spans="1:3" ht="15" hidden="1" customHeight="1" x14ac:dyDescent="0.3">
      <c r="A91" t="s">
        <v>49</v>
      </c>
      <c r="B91" s="2">
        <v>45809</v>
      </c>
      <c r="C91">
        <v>3102</v>
      </c>
    </row>
    <row r="92" spans="1:3" ht="15" hidden="1" customHeight="1" x14ac:dyDescent="0.3">
      <c r="A92" t="s">
        <v>49</v>
      </c>
      <c r="B92" s="2">
        <v>45839</v>
      </c>
    </row>
    <row r="93" spans="1:3" ht="15" hidden="1" customHeight="1" x14ac:dyDescent="0.3">
      <c r="A93" t="s">
        <v>49</v>
      </c>
      <c r="B93" s="2">
        <v>45870</v>
      </c>
      <c r="C93">
        <v>4721</v>
      </c>
    </row>
    <row r="94" spans="1:3" ht="15" hidden="1" customHeight="1" x14ac:dyDescent="0.3">
      <c r="A94" t="s">
        <v>49</v>
      </c>
      <c r="B94" s="2">
        <v>45901</v>
      </c>
      <c r="C94">
        <v>4200</v>
      </c>
    </row>
    <row r="95" spans="1:3" ht="15" hidden="1" customHeight="1" x14ac:dyDescent="0.3">
      <c r="A95" t="s">
        <v>49</v>
      </c>
      <c r="B95" s="2">
        <v>45931</v>
      </c>
      <c r="C95">
        <v>3499</v>
      </c>
    </row>
    <row r="96" spans="1:3" ht="15" hidden="1" customHeight="1" x14ac:dyDescent="0.3">
      <c r="A96" t="s">
        <v>49</v>
      </c>
      <c r="B96" s="2">
        <v>45962</v>
      </c>
      <c r="C96">
        <v>4045</v>
      </c>
    </row>
    <row r="97" spans="1:3" ht="15" hidden="1" customHeight="1" x14ac:dyDescent="0.3">
      <c r="A97" t="s">
        <v>49</v>
      </c>
      <c r="B97" s="2">
        <v>45992</v>
      </c>
      <c r="C97">
        <v>4277</v>
      </c>
    </row>
    <row r="98" spans="1:3" ht="15" hidden="1" customHeight="1" x14ac:dyDescent="0.3">
      <c r="A98" t="s">
        <v>49</v>
      </c>
      <c r="B98" s="2">
        <v>46023</v>
      </c>
      <c r="C98">
        <v>3071</v>
      </c>
    </row>
    <row r="99" spans="1:3" ht="15" hidden="1" customHeight="1" x14ac:dyDescent="0.3">
      <c r="A99" t="s">
        <v>49</v>
      </c>
      <c r="B99" s="2">
        <v>46054</v>
      </c>
      <c r="C99">
        <v>3013</v>
      </c>
    </row>
    <row r="100" spans="1:3" ht="15" hidden="1" customHeight="1" x14ac:dyDescent="0.3">
      <c r="A100" t="s">
        <v>49</v>
      </c>
      <c r="B100" s="2">
        <v>46082</v>
      </c>
      <c r="C100">
        <v>2340.8000000000002</v>
      </c>
    </row>
    <row r="101" spans="1:3" ht="15" hidden="1" customHeight="1" x14ac:dyDescent="0.3">
      <c r="A101" t="s">
        <v>49</v>
      </c>
      <c r="B101" s="2">
        <v>46113</v>
      </c>
      <c r="C101">
        <v>1505.4</v>
      </c>
    </row>
    <row r="102" spans="1:3" ht="15" hidden="1" customHeight="1" x14ac:dyDescent="0.3">
      <c r="A102" t="s">
        <v>49</v>
      </c>
      <c r="B102" s="2">
        <v>46143</v>
      </c>
      <c r="C102" s="12">
        <v>1467</v>
      </c>
    </row>
    <row r="103" spans="1:3" ht="15" hidden="1" customHeight="1" x14ac:dyDescent="0.3">
      <c r="A103" t="s">
        <v>49</v>
      </c>
      <c r="B103" s="2">
        <v>46174</v>
      </c>
      <c r="C103">
        <v>2778</v>
      </c>
    </row>
    <row r="104" spans="1:3" ht="15" hidden="1" customHeight="1" x14ac:dyDescent="0.3">
      <c r="A104" t="s">
        <v>49</v>
      </c>
      <c r="B104" s="2">
        <v>46204</v>
      </c>
      <c r="C104">
        <v>2644</v>
      </c>
    </row>
    <row r="105" spans="1:3" ht="15" hidden="1" customHeight="1" x14ac:dyDescent="0.3">
      <c r="A105" t="s">
        <v>49</v>
      </c>
      <c r="B105" s="2">
        <v>46235</v>
      </c>
      <c r="C105">
        <v>2758</v>
      </c>
    </row>
    <row r="106" spans="1:3" ht="15" customHeight="1" x14ac:dyDescent="0.3">
      <c r="A106" t="s">
        <v>49</v>
      </c>
      <c r="B106" s="2">
        <v>46266</v>
      </c>
      <c r="C106" s="47">
        <v>2338</v>
      </c>
    </row>
    <row r="107" spans="1:3" ht="15" hidden="1" customHeight="1" x14ac:dyDescent="0.3">
      <c r="A107" t="s">
        <v>49</v>
      </c>
      <c r="B107" s="2">
        <v>46296</v>
      </c>
    </row>
    <row r="108" spans="1:3" ht="15" hidden="1" customHeight="1" x14ac:dyDescent="0.3">
      <c r="A108" t="s">
        <v>49</v>
      </c>
      <c r="B108" s="2">
        <v>46327</v>
      </c>
    </row>
    <row r="109" spans="1:3" ht="15" hidden="1" customHeight="1" x14ac:dyDescent="0.3">
      <c r="A109" t="s">
        <v>49</v>
      </c>
      <c r="B109" s="2">
        <v>46357</v>
      </c>
    </row>
    <row r="110" spans="1:3" ht="15" hidden="1" customHeight="1" x14ac:dyDescent="0.3">
      <c r="A110" t="s">
        <v>64</v>
      </c>
      <c r="B110" s="2">
        <v>45292</v>
      </c>
    </row>
    <row r="111" spans="1:3" ht="15" hidden="1" customHeight="1" x14ac:dyDescent="0.3">
      <c r="A111" t="s">
        <v>64</v>
      </c>
      <c r="B111" s="2">
        <v>45323</v>
      </c>
    </row>
    <row r="112" spans="1:3" ht="15" hidden="1" customHeight="1" x14ac:dyDescent="0.3">
      <c r="A112" t="s">
        <v>64</v>
      </c>
      <c r="B112" s="2">
        <v>45352</v>
      </c>
    </row>
    <row r="113" spans="1:3" ht="15" hidden="1" customHeight="1" x14ac:dyDescent="0.3">
      <c r="A113" t="s">
        <v>64</v>
      </c>
      <c r="B113" s="2">
        <v>45383</v>
      </c>
    </row>
    <row r="114" spans="1:3" ht="15" hidden="1" customHeight="1" x14ac:dyDescent="0.3">
      <c r="A114" t="s">
        <v>64</v>
      </c>
      <c r="B114" s="2">
        <v>45413</v>
      </c>
    </row>
    <row r="115" spans="1:3" ht="15" hidden="1" customHeight="1" x14ac:dyDescent="0.3">
      <c r="A115" t="s">
        <v>64</v>
      </c>
      <c r="B115" s="2">
        <v>45444</v>
      </c>
    </row>
    <row r="116" spans="1:3" ht="15" hidden="1" customHeight="1" x14ac:dyDescent="0.3">
      <c r="A116" t="s">
        <v>64</v>
      </c>
      <c r="B116" s="2">
        <v>45474</v>
      </c>
    </row>
    <row r="117" spans="1:3" ht="15" hidden="1" customHeight="1" x14ac:dyDescent="0.3">
      <c r="A117" t="s">
        <v>64</v>
      </c>
      <c r="B117" s="2">
        <v>45505</v>
      </c>
    </row>
    <row r="118" spans="1:3" ht="15" hidden="1" customHeight="1" x14ac:dyDescent="0.3">
      <c r="A118" t="s">
        <v>64</v>
      </c>
      <c r="B118" s="2">
        <v>45536</v>
      </c>
    </row>
    <row r="119" spans="1:3" ht="15" hidden="1" customHeight="1" x14ac:dyDescent="0.3">
      <c r="A119" t="s">
        <v>64</v>
      </c>
      <c r="B119" s="2">
        <v>45566</v>
      </c>
    </row>
    <row r="120" spans="1:3" ht="15" hidden="1" customHeight="1" x14ac:dyDescent="0.3">
      <c r="A120" t="s">
        <v>64</v>
      </c>
      <c r="B120" s="2">
        <v>45597</v>
      </c>
    </row>
    <row r="121" spans="1:3" ht="15" hidden="1" customHeight="1" x14ac:dyDescent="0.3">
      <c r="A121" t="s">
        <v>64</v>
      </c>
      <c r="B121" s="2">
        <v>45627</v>
      </c>
    </row>
    <row r="122" spans="1:3" ht="15" hidden="1" customHeight="1" x14ac:dyDescent="0.3">
      <c r="A122" t="s">
        <v>64</v>
      </c>
      <c r="B122" s="2">
        <v>45658</v>
      </c>
      <c r="C122">
        <v>5900</v>
      </c>
    </row>
    <row r="123" spans="1:3" ht="15" hidden="1" customHeight="1" x14ac:dyDescent="0.3">
      <c r="A123" t="s">
        <v>64</v>
      </c>
      <c r="B123" s="2">
        <v>45689</v>
      </c>
      <c r="C123">
        <v>4277</v>
      </c>
    </row>
    <row r="124" spans="1:3" ht="15" hidden="1" customHeight="1" x14ac:dyDescent="0.3">
      <c r="A124" t="s">
        <v>64</v>
      </c>
      <c r="B124" s="2">
        <v>45717</v>
      </c>
      <c r="C124">
        <v>4770</v>
      </c>
    </row>
    <row r="125" spans="1:3" ht="15" hidden="1" customHeight="1" x14ac:dyDescent="0.3">
      <c r="A125" t="s">
        <v>64</v>
      </c>
      <c r="B125" s="2">
        <v>45748</v>
      </c>
      <c r="C125">
        <v>3375</v>
      </c>
    </row>
    <row r="126" spans="1:3" ht="15" hidden="1" customHeight="1" x14ac:dyDescent="0.3">
      <c r="A126" t="s">
        <v>64</v>
      </c>
      <c r="B126" s="2">
        <v>45778</v>
      </c>
      <c r="C126">
        <v>3507</v>
      </c>
    </row>
    <row r="127" spans="1:3" ht="15" hidden="1" customHeight="1" x14ac:dyDescent="0.3">
      <c r="A127" t="s">
        <v>64</v>
      </c>
      <c r="B127" s="2">
        <v>45809</v>
      </c>
      <c r="C127">
        <v>2400</v>
      </c>
    </row>
    <row r="128" spans="1:3" ht="15" hidden="1" customHeight="1" x14ac:dyDescent="0.3">
      <c r="A128" t="s">
        <v>64</v>
      </c>
      <c r="B128" s="2">
        <v>45839</v>
      </c>
      <c r="C128">
        <v>2169</v>
      </c>
    </row>
    <row r="129" spans="1:3" ht="15" hidden="1" customHeight="1" x14ac:dyDescent="0.3">
      <c r="A129" t="s">
        <v>64</v>
      </c>
      <c r="B129" s="2">
        <v>45870</v>
      </c>
      <c r="C129">
        <v>968.6</v>
      </c>
    </row>
    <row r="130" spans="1:3" ht="15" hidden="1" customHeight="1" x14ac:dyDescent="0.3">
      <c r="A130" t="s">
        <v>64</v>
      </c>
      <c r="B130" s="2">
        <v>45901</v>
      </c>
      <c r="C130">
        <v>2001.5</v>
      </c>
    </row>
    <row r="131" spans="1:3" ht="15" hidden="1" customHeight="1" x14ac:dyDescent="0.3">
      <c r="A131" t="s">
        <v>64</v>
      </c>
      <c r="B131" s="2">
        <v>45931</v>
      </c>
      <c r="C131">
        <v>3111</v>
      </c>
    </row>
    <row r="132" spans="1:3" ht="15" hidden="1" customHeight="1" x14ac:dyDescent="0.3">
      <c r="A132" t="s">
        <v>64</v>
      </c>
      <c r="B132" s="2">
        <v>45962</v>
      </c>
      <c r="C132">
        <v>1605</v>
      </c>
    </row>
    <row r="133" spans="1:3" ht="15" hidden="1" customHeight="1" x14ac:dyDescent="0.3">
      <c r="A133" t="s">
        <v>64</v>
      </c>
      <c r="B133" s="2">
        <v>45992</v>
      </c>
    </row>
    <row r="134" spans="1:3" ht="15" hidden="1" customHeight="1" x14ac:dyDescent="0.3">
      <c r="A134" t="s">
        <v>64</v>
      </c>
      <c r="B134" s="2">
        <v>46023</v>
      </c>
    </row>
    <row r="135" spans="1:3" ht="15" hidden="1" customHeight="1" x14ac:dyDescent="0.3">
      <c r="A135" t="s">
        <v>64</v>
      </c>
      <c r="B135" s="2">
        <v>46054</v>
      </c>
      <c r="C135">
        <v>6068</v>
      </c>
    </row>
    <row r="136" spans="1:3" ht="15" hidden="1" customHeight="1" x14ac:dyDescent="0.3">
      <c r="A136" t="s">
        <v>64</v>
      </c>
      <c r="B136" s="2">
        <v>46082</v>
      </c>
      <c r="C136">
        <v>4800</v>
      </c>
    </row>
    <row r="137" spans="1:3" ht="15" hidden="1" customHeight="1" x14ac:dyDescent="0.3">
      <c r="A137" t="s">
        <v>64</v>
      </c>
      <c r="B137" s="2">
        <v>46113</v>
      </c>
      <c r="C137">
        <v>4318</v>
      </c>
    </row>
    <row r="138" spans="1:3" ht="15" hidden="1" customHeight="1" x14ac:dyDescent="0.3">
      <c r="A138" t="s">
        <v>64</v>
      </c>
      <c r="B138" s="2">
        <v>46143</v>
      </c>
      <c r="C138" s="12">
        <v>3727.7</v>
      </c>
    </row>
    <row r="139" spans="1:3" ht="15" hidden="1" customHeight="1" x14ac:dyDescent="0.3">
      <c r="A139" t="s">
        <v>64</v>
      </c>
      <c r="B139" s="2">
        <v>46174</v>
      </c>
      <c r="C139">
        <v>3149</v>
      </c>
    </row>
    <row r="140" spans="1:3" ht="15" hidden="1" customHeight="1" x14ac:dyDescent="0.3">
      <c r="A140" t="s">
        <v>250</v>
      </c>
      <c r="B140" s="2">
        <v>46204</v>
      </c>
      <c r="C140">
        <v>27942</v>
      </c>
    </row>
    <row r="141" spans="1:3" ht="15" hidden="1" customHeight="1" x14ac:dyDescent="0.3">
      <c r="A141" t="s">
        <v>64</v>
      </c>
      <c r="B141" s="2">
        <v>46235</v>
      </c>
      <c r="C141">
        <v>3313</v>
      </c>
    </row>
    <row r="142" spans="1:3" ht="15" customHeight="1" x14ac:dyDescent="0.3">
      <c r="A142" t="s">
        <v>64</v>
      </c>
      <c r="B142" s="2">
        <v>46266</v>
      </c>
      <c r="C142" s="47">
        <v>4204.16</v>
      </c>
    </row>
    <row r="143" spans="1:3" ht="15" hidden="1" customHeight="1" x14ac:dyDescent="0.3">
      <c r="A143" t="s">
        <v>64</v>
      </c>
      <c r="B143" s="2">
        <v>46296</v>
      </c>
    </row>
    <row r="144" spans="1:3" ht="15" hidden="1" customHeight="1" x14ac:dyDescent="0.3">
      <c r="A144" t="s">
        <v>64</v>
      </c>
      <c r="B144" s="2">
        <v>46327</v>
      </c>
    </row>
    <row r="145" spans="1:3" ht="15" hidden="1" customHeight="1" x14ac:dyDescent="0.3">
      <c r="A145" t="s">
        <v>64</v>
      </c>
      <c r="B145" s="2">
        <v>46357</v>
      </c>
    </row>
    <row r="146" spans="1:3" ht="15" hidden="1" customHeight="1" x14ac:dyDescent="0.3">
      <c r="A146" t="s">
        <v>55</v>
      </c>
      <c r="B146" s="2">
        <v>45292</v>
      </c>
      <c r="C146">
        <v>7453</v>
      </c>
    </row>
    <row r="147" spans="1:3" ht="15" hidden="1" customHeight="1" x14ac:dyDescent="0.3">
      <c r="A147" t="s">
        <v>55</v>
      </c>
      <c r="B147" s="2">
        <v>45323</v>
      </c>
      <c r="C147">
        <v>10174</v>
      </c>
    </row>
    <row r="148" spans="1:3" ht="15" hidden="1" customHeight="1" x14ac:dyDescent="0.3">
      <c r="A148" t="s">
        <v>55</v>
      </c>
      <c r="B148" s="2">
        <v>45352</v>
      </c>
      <c r="C148">
        <v>12197</v>
      </c>
    </row>
    <row r="149" spans="1:3" ht="15" hidden="1" customHeight="1" x14ac:dyDescent="0.3">
      <c r="A149" t="s">
        <v>55</v>
      </c>
      <c r="B149" s="2">
        <v>45383</v>
      </c>
      <c r="C149">
        <v>9850</v>
      </c>
    </row>
    <row r="150" spans="1:3" ht="15" hidden="1" customHeight="1" x14ac:dyDescent="0.3">
      <c r="A150" t="s">
        <v>55</v>
      </c>
      <c r="B150" s="2">
        <v>45413</v>
      </c>
      <c r="C150">
        <v>10329</v>
      </c>
    </row>
    <row r="151" spans="1:3" ht="15" hidden="1" customHeight="1" x14ac:dyDescent="0.3">
      <c r="A151" t="s">
        <v>55</v>
      </c>
      <c r="B151" s="2">
        <v>45444</v>
      </c>
      <c r="C151">
        <v>9684</v>
      </c>
    </row>
    <row r="152" spans="1:3" ht="15" hidden="1" customHeight="1" x14ac:dyDescent="0.3">
      <c r="A152" t="s">
        <v>55</v>
      </c>
      <c r="B152" s="2">
        <v>45474</v>
      </c>
      <c r="C152">
        <v>10193</v>
      </c>
    </row>
    <row r="153" spans="1:3" ht="15" hidden="1" customHeight="1" x14ac:dyDescent="0.3">
      <c r="A153" t="s">
        <v>55</v>
      </c>
      <c r="B153" s="2">
        <v>45505</v>
      </c>
      <c r="C153">
        <v>9840</v>
      </c>
    </row>
    <row r="154" spans="1:3" ht="15" hidden="1" customHeight="1" x14ac:dyDescent="0.3">
      <c r="A154" t="s">
        <v>55</v>
      </c>
      <c r="B154" s="2">
        <v>45536</v>
      </c>
      <c r="C154">
        <v>3277</v>
      </c>
    </row>
    <row r="155" spans="1:3" ht="15" hidden="1" customHeight="1" x14ac:dyDescent="0.3">
      <c r="A155" t="s">
        <v>55</v>
      </c>
      <c r="B155" s="2">
        <v>45566</v>
      </c>
      <c r="C155">
        <v>12496</v>
      </c>
    </row>
    <row r="156" spans="1:3" ht="15" hidden="1" customHeight="1" x14ac:dyDescent="0.3">
      <c r="A156" t="s">
        <v>55</v>
      </c>
      <c r="B156" s="2">
        <v>45597</v>
      </c>
      <c r="C156">
        <v>12909</v>
      </c>
    </row>
    <row r="157" spans="1:3" ht="15" hidden="1" customHeight="1" x14ac:dyDescent="0.3">
      <c r="A157" t="s">
        <v>55</v>
      </c>
      <c r="B157" s="2">
        <v>45627</v>
      </c>
      <c r="C157">
        <v>12587</v>
      </c>
    </row>
    <row r="158" spans="1:3" ht="15" hidden="1" customHeight="1" x14ac:dyDescent="0.3">
      <c r="A158" t="s">
        <v>55</v>
      </c>
      <c r="B158" s="2">
        <v>45658</v>
      </c>
      <c r="C158">
        <v>13816</v>
      </c>
    </row>
    <row r="159" spans="1:3" ht="15" hidden="1" customHeight="1" x14ac:dyDescent="0.3">
      <c r="A159" t="s">
        <v>55</v>
      </c>
      <c r="B159" s="2">
        <v>45689</v>
      </c>
      <c r="C159">
        <v>11397</v>
      </c>
    </row>
    <row r="160" spans="1:3" ht="15" hidden="1" customHeight="1" x14ac:dyDescent="0.3">
      <c r="A160" t="s">
        <v>55</v>
      </c>
      <c r="B160" s="2">
        <v>45717</v>
      </c>
      <c r="C160">
        <v>12740</v>
      </c>
    </row>
    <row r="161" spans="1:3" ht="15" hidden="1" customHeight="1" x14ac:dyDescent="0.3">
      <c r="A161" t="s">
        <v>55</v>
      </c>
      <c r="B161" s="2">
        <v>45748</v>
      </c>
      <c r="C161">
        <v>9167</v>
      </c>
    </row>
    <row r="162" spans="1:3" ht="15" hidden="1" customHeight="1" x14ac:dyDescent="0.3">
      <c r="A162" t="s">
        <v>55</v>
      </c>
      <c r="B162" s="2">
        <v>45778</v>
      </c>
      <c r="C162">
        <v>9630</v>
      </c>
    </row>
    <row r="163" spans="1:3" ht="15" hidden="1" customHeight="1" x14ac:dyDescent="0.3">
      <c r="A163" t="s">
        <v>55</v>
      </c>
      <c r="B163" s="2">
        <v>45809</v>
      </c>
      <c r="C163">
        <v>9081.44</v>
      </c>
    </row>
    <row r="164" spans="1:3" ht="15" hidden="1" customHeight="1" x14ac:dyDescent="0.3">
      <c r="A164" t="s">
        <v>55</v>
      </c>
      <c r="B164" s="2">
        <v>45839</v>
      </c>
      <c r="C164">
        <v>9450</v>
      </c>
    </row>
    <row r="165" spans="1:3" ht="15" hidden="1" customHeight="1" x14ac:dyDescent="0.3">
      <c r="A165" t="s">
        <v>55</v>
      </c>
      <c r="B165" s="2">
        <v>45870</v>
      </c>
      <c r="C165">
        <v>10695</v>
      </c>
    </row>
    <row r="166" spans="1:3" ht="15" hidden="1" customHeight="1" x14ac:dyDescent="0.3">
      <c r="A166" t="s">
        <v>55</v>
      </c>
      <c r="B166" s="2">
        <v>45901</v>
      </c>
      <c r="C166">
        <v>8585</v>
      </c>
    </row>
    <row r="167" spans="1:3" ht="15" hidden="1" customHeight="1" x14ac:dyDescent="0.3">
      <c r="A167" t="s">
        <v>55</v>
      </c>
      <c r="B167" s="2">
        <v>45931</v>
      </c>
      <c r="C167">
        <v>9077.9</v>
      </c>
    </row>
    <row r="168" spans="1:3" ht="15" hidden="1" customHeight="1" x14ac:dyDescent="0.3">
      <c r="A168" t="s">
        <v>55</v>
      </c>
      <c r="B168" s="2">
        <v>45962</v>
      </c>
      <c r="C168">
        <v>10382</v>
      </c>
    </row>
    <row r="169" spans="1:3" ht="15" hidden="1" customHeight="1" x14ac:dyDescent="0.3">
      <c r="A169" t="s">
        <v>55</v>
      </c>
      <c r="B169" s="2">
        <v>45992</v>
      </c>
      <c r="C169">
        <v>13631</v>
      </c>
    </row>
    <row r="170" spans="1:3" ht="15" hidden="1" customHeight="1" x14ac:dyDescent="0.3">
      <c r="A170" t="s">
        <v>55</v>
      </c>
      <c r="B170" s="2">
        <v>46023</v>
      </c>
      <c r="C170">
        <v>11296</v>
      </c>
    </row>
    <row r="171" spans="1:3" ht="15" hidden="1" customHeight="1" x14ac:dyDescent="0.3">
      <c r="A171" t="s">
        <v>55</v>
      </c>
      <c r="B171" s="2">
        <v>46054</v>
      </c>
      <c r="C171">
        <v>11241.78046</v>
      </c>
    </row>
    <row r="172" spans="1:3" ht="15" hidden="1" customHeight="1" x14ac:dyDescent="0.3">
      <c r="A172" t="s">
        <v>55</v>
      </c>
      <c r="B172" s="2">
        <v>46082</v>
      </c>
      <c r="C172">
        <v>10628</v>
      </c>
    </row>
    <row r="173" spans="1:3" ht="15" hidden="1" customHeight="1" x14ac:dyDescent="0.3">
      <c r="A173" t="s">
        <v>55</v>
      </c>
      <c r="B173" s="2">
        <v>46113</v>
      </c>
      <c r="C173">
        <v>8541.19</v>
      </c>
    </row>
    <row r="174" spans="1:3" ht="15" hidden="1" customHeight="1" x14ac:dyDescent="0.3">
      <c r="A174" t="s">
        <v>55</v>
      </c>
      <c r="B174" s="2">
        <v>46143</v>
      </c>
      <c r="C174" s="12">
        <v>9563.61</v>
      </c>
    </row>
    <row r="175" spans="1:3" ht="15" hidden="1" customHeight="1" x14ac:dyDescent="0.3">
      <c r="A175" t="s">
        <v>55</v>
      </c>
      <c r="B175" s="2">
        <v>46174</v>
      </c>
      <c r="C175">
        <v>7968.17</v>
      </c>
    </row>
    <row r="176" spans="1:3" ht="15" hidden="1" customHeight="1" x14ac:dyDescent="0.3">
      <c r="A176" t="s">
        <v>55</v>
      </c>
      <c r="B176" s="2">
        <v>46204</v>
      </c>
      <c r="C176">
        <v>10351.41</v>
      </c>
    </row>
    <row r="177" spans="1:3" ht="15" hidden="1" customHeight="1" x14ac:dyDescent="0.3">
      <c r="A177" t="s">
        <v>55</v>
      </c>
      <c r="B177" s="2">
        <v>46235</v>
      </c>
      <c r="C177">
        <v>11244.861000000001</v>
      </c>
    </row>
    <row r="178" spans="1:3" ht="15" customHeight="1" x14ac:dyDescent="0.3">
      <c r="A178" t="s">
        <v>55</v>
      </c>
      <c r="B178" s="2">
        <v>46266</v>
      </c>
      <c r="C178" s="47">
        <v>8314.17</v>
      </c>
    </row>
    <row r="179" spans="1:3" ht="15" hidden="1" customHeight="1" x14ac:dyDescent="0.3">
      <c r="A179" t="s">
        <v>55</v>
      </c>
      <c r="B179" s="2">
        <v>46296</v>
      </c>
    </row>
    <row r="180" spans="1:3" ht="15" hidden="1" customHeight="1" x14ac:dyDescent="0.3">
      <c r="A180" t="s">
        <v>55</v>
      </c>
      <c r="B180" s="2">
        <v>46327</v>
      </c>
    </row>
    <row r="181" spans="1:3" ht="15" hidden="1" customHeight="1" x14ac:dyDescent="0.3">
      <c r="A181" t="s">
        <v>55</v>
      </c>
      <c r="B181" s="2">
        <v>46357</v>
      </c>
    </row>
    <row r="182" spans="1:3" ht="15" hidden="1" customHeight="1" x14ac:dyDescent="0.3">
      <c r="A182" t="s">
        <v>60</v>
      </c>
      <c r="B182" s="2">
        <v>45292</v>
      </c>
      <c r="C182">
        <v>55000</v>
      </c>
    </row>
    <row r="183" spans="1:3" ht="15" hidden="1" customHeight="1" x14ac:dyDescent="0.3">
      <c r="A183" t="s">
        <v>60</v>
      </c>
      <c r="B183" s="2">
        <v>45323</v>
      </c>
      <c r="C183">
        <v>46799</v>
      </c>
    </row>
    <row r="184" spans="1:3" ht="15" hidden="1" customHeight="1" x14ac:dyDescent="0.3">
      <c r="A184" t="s">
        <v>60</v>
      </c>
      <c r="B184" s="2">
        <v>45352</v>
      </c>
      <c r="C184">
        <v>40582</v>
      </c>
    </row>
    <row r="185" spans="1:3" ht="15" hidden="1" customHeight="1" x14ac:dyDescent="0.3">
      <c r="A185" t="s">
        <v>60</v>
      </c>
      <c r="B185" s="2">
        <v>45383</v>
      </c>
      <c r="C185">
        <v>39615</v>
      </c>
    </row>
    <row r="186" spans="1:3" ht="15" hidden="1" customHeight="1" x14ac:dyDescent="0.3">
      <c r="A186" t="s">
        <v>60</v>
      </c>
      <c r="B186" s="2">
        <v>45413</v>
      </c>
      <c r="C186">
        <v>39494</v>
      </c>
    </row>
    <row r="187" spans="1:3" ht="15" hidden="1" customHeight="1" x14ac:dyDescent="0.3">
      <c r="A187" t="s">
        <v>60</v>
      </c>
      <c r="B187" s="2">
        <v>45444</v>
      </c>
      <c r="C187">
        <v>35378</v>
      </c>
    </row>
    <row r="188" spans="1:3" ht="15" hidden="1" customHeight="1" x14ac:dyDescent="0.3">
      <c r="A188" t="s">
        <v>60</v>
      </c>
      <c r="B188" s="2">
        <v>45474</v>
      </c>
      <c r="C188">
        <v>38293</v>
      </c>
    </row>
    <row r="189" spans="1:3" ht="15" hidden="1" customHeight="1" x14ac:dyDescent="0.3">
      <c r="A189" t="s">
        <v>60</v>
      </c>
      <c r="B189" s="2">
        <v>45505</v>
      </c>
      <c r="C189">
        <v>38554</v>
      </c>
    </row>
    <row r="190" spans="1:3" ht="15" hidden="1" customHeight="1" x14ac:dyDescent="0.3">
      <c r="A190" t="s">
        <v>60</v>
      </c>
      <c r="B190" s="2">
        <v>45536</v>
      </c>
      <c r="C190">
        <v>37782</v>
      </c>
    </row>
    <row r="191" spans="1:3" ht="15" hidden="1" customHeight="1" x14ac:dyDescent="0.3">
      <c r="A191" t="s">
        <v>60</v>
      </c>
      <c r="B191" s="2">
        <v>45566</v>
      </c>
      <c r="C191">
        <v>47662</v>
      </c>
    </row>
    <row r="192" spans="1:3" ht="15" hidden="1" customHeight="1" x14ac:dyDescent="0.3">
      <c r="A192" t="s">
        <v>60</v>
      </c>
      <c r="B192" s="2">
        <v>45597</v>
      </c>
      <c r="C192">
        <v>48184</v>
      </c>
    </row>
    <row r="193" spans="1:3" ht="15" hidden="1" customHeight="1" x14ac:dyDescent="0.3">
      <c r="A193" t="s">
        <v>60</v>
      </c>
      <c r="B193" s="2">
        <v>45627</v>
      </c>
      <c r="C193">
        <v>44138</v>
      </c>
    </row>
    <row r="194" spans="1:3" ht="15" hidden="1" customHeight="1" x14ac:dyDescent="0.3">
      <c r="A194" t="s">
        <v>60</v>
      </c>
      <c r="B194" s="2">
        <v>45658</v>
      </c>
      <c r="C194">
        <v>52262</v>
      </c>
    </row>
    <row r="195" spans="1:3" ht="15" hidden="1" customHeight="1" x14ac:dyDescent="0.3">
      <c r="A195" t="s">
        <v>60</v>
      </c>
      <c r="B195" s="2">
        <v>45689</v>
      </c>
      <c r="C195">
        <v>40904</v>
      </c>
    </row>
    <row r="196" spans="1:3" ht="15" hidden="1" customHeight="1" x14ac:dyDescent="0.3">
      <c r="A196" t="s">
        <v>60</v>
      </c>
      <c r="B196" s="2">
        <v>45717</v>
      </c>
      <c r="C196">
        <v>45751</v>
      </c>
    </row>
    <row r="197" spans="1:3" ht="15" hidden="1" customHeight="1" x14ac:dyDescent="0.3">
      <c r="A197" t="s">
        <v>60</v>
      </c>
      <c r="B197" s="2">
        <v>45748</v>
      </c>
      <c r="C197">
        <v>30758</v>
      </c>
    </row>
    <row r="198" spans="1:3" ht="15" hidden="1" customHeight="1" x14ac:dyDescent="0.3">
      <c r="A198" t="s">
        <v>60</v>
      </c>
      <c r="B198" s="2">
        <v>45778</v>
      </c>
      <c r="C198">
        <v>34925</v>
      </c>
    </row>
    <row r="199" spans="1:3" ht="15" hidden="1" customHeight="1" x14ac:dyDescent="0.3">
      <c r="A199" t="s">
        <v>60</v>
      </c>
      <c r="B199" s="2">
        <v>45809</v>
      </c>
      <c r="C199">
        <v>29716.71</v>
      </c>
    </row>
    <row r="200" spans="1:3" ht="15" hidden="1" customHeight="1" x14ac:dyDescent="0.3">
      <c r="A200" t="s">
        <v>60</v>
      </c>
      <c r="B200" s="2">
        <v>45839</v>
      </c>
      <c r="C200">
        <v>27958</v>
      </c>
    </row>
    <row r="201" spans="1:3" ht="15" hidden="1" customHeight="1" x14ac:dyDescent="0.3">
      <c r="A201" t="s">
        <v>60</v>
      </c>
      <c r="B201" s="2">
        <v>45870</v>
      </c>
      <c r="C201">
        <v>30682</v>
      </c>
    </row>
    <row r="202" spans="1:3" ht="15" hidden="1" customHeight="1" x14ac:dyDescent="0.3">
      <c r="A202" t="s">
        <v>60</v>
      </c>
      <c r="B202" s="2">
        <v>45901</v>
      </c>
      <c r="C202">
        <v>44171</v>
      </c>
    </row>
    <row r="203" spans="1:3" ht="15" hidden="1" customHeight="1" x14ac:dyDescent="0.3">
      <c r="A203" t="s">
        <v>60</v>
      </c>
      <c r="B203" s="2">
        <v>45931</v>
      </c>
      <c r="C203">
        <v>53279</v>
      </c>
    </row>
    <row r="204" spans="1:3" ht="15" hidden="1" customHeight="1" x14ac:dyDescent="0.3">
      <c r="A204" t="s">
        <v>60</v>
      </c>
      <c r="B204" s="2">
        <v>45962</v>
      </c>
      <c r="C204">
        <v>44434</v>
      </c>
    </row>
    <row r="205" spans="1:3" ht="15" hidden="1" customHeight="1" x14ac:dyDescent="0.3">
      <c r="A205" t="s">
        <v>60</v>
      </c>
      <c r="B205" s="2">
        <v>45992</v>
      </c>
      <c r="C205">
        <v>54661</v>
      </c>
    </row>
    <row r="206" spans="1:3" ht="15" hidden="1" customHeight="1" x14ac:dyDescent="0.3">
      <c r="A206" t="s">
        <v>60</v>
      </c>
      <c r="B206" s="2">
        <v>46023</v>
      </c>
      <c r="C206">
        <v>47457</v>
      </c>
    </row>
    <row r="207" spans="1:3" ht="15" hidden="1" customHeight="1" x14ac:dyDescent="0.3">
      <c r="A207" t="s">
        <v>60</v>
      </c>
      <c r="B207" s="2">
        <v>46054</v>
      </c>
      <c r="C207">
        <v>49608.853320000002</v>
      </c>
    </row>
    <row r="208" spans="1:3" ht="15" hidden="1" customHeight="1" x14ac:dyDescent="0.3">
      <c r="A208" t="s">
        <v>60</v>
      </c>
      <c r="B208" s="2">
        <v>46082</v>
      </c>
      <c r="C208">
        <v>41208</v>
      </c>
    </row>
    <row r="209" spans="1:3" ht="15" hidden="1" customHeight="1" x14ac:dyDescent="0.3">
      <c r="A209" t="s">
        <v>60</v>
      </c>
      <c r="B209" s="2">
        <v>46113</v>
      </c>
      <c r="C209">
        <v>36936.35</v>
      </c>
    </row>
    <row r="210" spans="1:3" ht="15" hidden="1" customHeight="1" x14ac:dyDescent="0.3">
      <c r="A210" t="s">
        <v>60</v>
      </c>
      <c r="B210" s="2">
        <v>46143</v>
      </c>
      <c r="C210" s="12">
        <v>38743.019999999997</v>
      </c>
    </row>
    <row r="211" spans="1:3" ht="15" hidden="1" customHeight="1" x14ac:dyDescent="0.3">
      <c r="A211" t="s">
        <v>60</v>
      </c>
      <c r="B211" s="2">
        <v>46174</v>
      </c>
      <c r="C211">
        <v>31578.49</v>
      </c>
    </row>
    <row r="212" spans="1:3" ht="15" hidden="1" customHeight="1" x14ac:dyDescent="0.3">
      <c r="A212" t="s">
        <v>60</v>
      </c>
      <c r="B212" s="2">
        <v>46204</v>
      </c>
      <c r="C212">
        <v>39160</v>
      </c>
    </row>
    <row r="213" spans="1:3" ht="15" hidden="1" customHeight="1" x14ac:dyDescent="0.3">
      <c r="A213" t="s">
        <v>60</v>
      </c>
      <c r="B213" s="2">
        <v>46235</v>
      </c>
      <c r="C213">
        <v>44122.439100000003</v>
      </c>
    </row>
    <row r="214" spans="1:3" ht="15" customHeight="1" x14ac:dyDescent="0.3">
      <c r="A214" t="s">
        <v>60</v>
      </c>
      <c r="B214" s="2">
        <v>46266</v>
      </c>
      <c r="C214" s="47">
        <v>36563.599999999999</v>
      </c>
    </row>
    <row r="215" spans="1:3" ht="15" hidden="1" customHeight="1" x14ac:dyDescent="0.3">
      <c r="A215" t="s">
        <v>60</v>
      </c>
      <c r="B215" s="2">
        <v>46296</v>
      </c>
    </row>
    <row r="216" spans="1:3" ht="15" hidden="1" customHeight="1" x14ac:dyDescent="0.3">
      <c r="A216" t="s">
        <v>60</v>
      </c>
      <c r="B216" s="2">
        <v>46327</v>
      </c>
    </row>
    <row r="217" spans="1:3" ht="15" hidden="1" customHeight="1" x14ac:dyDescent="0.3">
      <c r="A217" t="s">
        <v>60</v>
      </c>
      <c r="B217" s="2">
        <v>46357</v>
      </c>
    </row>
    <row r="218" spans="1:3" ht="15" hidden="1" customHeight="1" x14ac:dyDescent="0.3">
      <c r="A218" t="s">
        <v>61</v>
      </c>
      <c r="B218" s="2">
        <v>45292</v>
      </c>
      <c r="C218">
        <v>8244</v>
      </c>
    </row>
    <row r="219" spans="1:3" ht="15" hidden="1" customHeight="1" x14ac:dyDescent="0.3">
      <c r="A219" t="s">
        <v>61</v>
      </c>
      <c r="B219" s="2">
        <v>45323</v>
      </c>
      <c r="C219">
        <v>7277</v>
      </c>
    </row>
    <row r="220" spans="1:3" ht="15" hidden="1" customHeight="1" x14ac:dyDescent="0.3">
      <c r="A220" t="s">
        <v>61</v>
      </c>
      <c r="B220" s="2">
        <v>45352</v>
      </c>
      <c r="C220">
        <v>6614</v>
      </c>
    </row>
    <row r="221" spans="1:3" ht="15" hidden="1" customHeight="1" x14ac:dyDescent="0.3">
      <c r="A221" t="s">
        <v>61</v>
      </c>
      <c r="B221" s="2">
        <v>45383</v>
      </c>
      <c r="C221">
        <v>4053</v>
      </c>
    </row>
    <row r="222" spans="1:3" ht="15" hidden="1" customHeight="1" x14ac:dyDescent="0.3">
      <c r="A222" t="s">
        <v>61</v>
      </c>
      <c r="B222" s="2">
        <v>45413</v>
      </c>
      <c r="C222">
        <v>3743</v>
      </c>
    </row>
    <row r="223" spans="1:3" ht="15" hidden="1" customHeight="1" x14ac:dyDescent="0.3">
      <c r="A223" t="s">
        <v>61</v>
      </c>
      <c r="B223" s="2">
        <v>45444</v>
      </c>
      <c r="C223">
        <v>3473</v>
      </c>
    </row>
    <row r="224" spans="1:3" ht="15" hidden="1" customHeight="1" x14ac:dyDescent="0.3">
      <c r="A224" t="s">
        <v>61</v>
      </c>
      <c r="B224" s="2">
        <v>45474</v>
      </c>
      <c r="C224">
        <v>4260</v>
      </c>
    </row>
    <row r="225" spans="1:3" ht="15" hidden="1" customHeight="1" x14ac:dyDescent="0.3">
      <c r="A225" t="s">
        <v>61</v>
      </c>
      <c r="B225" s="2">
        <v>45505</v>
      </c>
      <c r="C225">
        <v>5497</v>
      </c>
    </row>
    <row r="226" spans="1:3" ht="15" hidden="1" customHeight="1" x14ac:dyDescent="0.3">
      <c r="A226" t="s">
        <v>61</v>
      </c>
      <c r="B226" s="2">
        <v>45536</v>
      </c>
      <c r="C226">
        <v>2600</v>
      </c>
    </row>
    <row r="227" spans="1:3" ht="15" hidden="1" customHeight="1" x14ac:dyDescent="0.3">
      <c r="A227" t="s">
        <v>61</v>
      </c>
      <c r="B227" s="2">
        <v>45566</v>
      </c>
      <c r="C227">
        <v>8200</v>
      </c>
    </row>
    <row r="228" spans="1:3" ht="15" hidden="1" customHeight="1" x14ac:dyDescent="0.3">
      <c r="A228" t="s">
        <v>61</v>
      </c>
      <c r="B228" s="2">
        <v>45597</v>
      </c>
      <c r="C228">
        <v>6700</v>
      </c>
    </row>
    <row r="229" spans="1:3" ht="15" hidden="1" customHeight="1" x14ac:dyDescent="0.3">
      <c r="A229" t="s">
        <v>61</v>
      </c>
      <c r="B229" s="2">
        <v>45627</v>
      </c>
      <c r="C229">
        <v>8100</v>
      </c>
    </row>
    <row r="230" spans="1:3" ht="15" hidden="1" customHeight="1" x14ac:dyDescent="0.3">
      <c r="A230" t="s">
        <v>61</v>
      </c>
      <c r="B230" s="2">
        <v>45658</v>
      </c>
      <c r="C230">
        <v>9900</v>
      </c>
    </row>
    <row r="231" spans="1:3" ht="15" hidden="1" customHeight="1" x14ac:dyDescent="0.3">
      <c r="A231" t="s">
        <v>61</v>
      </c>
      <c r="B231" s="2">
        <v>45689</v>
      </c>
      <c r="C231">
        <v>9200</v>
      </c>
    </row>
    <row r="232" spans="1:3" ht="15" hidden="1" customHeight="1" x14ac:dyDescent="0.3">
      <c r="A232" t="s">
        <v>61</v>
      </c>
      <c r="B232" s="2">
        <v>45717</v>
      </c>
      <c r="C232">
        <v>4480</v>
      </c>
    </row>
    <row r="233" spans="1:3" ht="15" hidden="1" customHeight="1" x14ac:dyDescent="0.3">
      <c r="A233" t="s">
        <v>61</v>
      </c>
      <c r="B233" s="2">
        <v>45748</v>
      </c>
      <c r="C233">
        <v>4096</v>
      </c>
    </row>
    <row r="234" spans="1:3" ht="15" hidden="1" customHeight="1" x14ac:dyDescent="0.3">
      <c r="A234" t="s">
        <v>61</v>
      </c>
      <c r="B234" s="2">
        <v>45778</v>
      </c>
      <c r="C234">
        <v>3388</v>
      </c>
    </row>
    <row r="235" spans="1:3" ht="15" hidden="1" customHeight="1" x14ac:dyDescent="0.3">
      <c r="A235" t="s">
        <v>61</v>
      </c>
      <c r="B235" s="2">
        <v>45809</v>
      </c>
      <c r="C235">
        <v>2306.13</v>
      </c>
    </row>
    <row r="236" spans="1:3" ht="15" hidden="1" customHeight="1" x14ac:dyDescent="0.3">
      <c r="A236" t="s">
        <v>61</v>
      </c>
      <c r="B236" s="2">
        <v>45839</v>
      </c>
      <c r="C236">
        <v>2919</v>
      </c>
    </row>
    <row r="237" spans="1:3" ht="15" hidden="1" customHeight="1" x14ac:dyDescent="0.3">
      <c r="A237" t="s">
        <v>61</v>
      </c>
      <c r="B237" s="2">
        <v>45870</v>
      </c>
      <c r="C237">
        <v>5355</v>
      </c>
    </row>
    <row r="238" spans="1:3" ht="15" hidden="1" customHeight="1" x14ac:dyDescent="0.3">
      <c r="A238" t="s">
        <v>61</v>
      </c>
      <c r="B238" s="2">
        <v>45901</v>
      </c>
      <c r="C238">
        <v>8600</v>
      </c>
    </row>
    <row r="239" spans="1:3" ht="15" hidden="1" customHeight="1" x14ac:dyDescent="0.3">
      <c r="A239" t="s">
        <v>61</v>
      </c>
      <c r="B239" s="2">
        <v>45931</v>
      </c>
      <c r="C239">
        <v>10599</v>
      </c>
    </row>
    <row r="240" spans="1:3" ht="15" hidden="1" customHeight="1" x14ac:dyDescent="0.3">
      <c r="A240" t="s">
        <v>61</v>
      </c>
      <c r="B240" s="2">
        <v>45962</v>
      </c>
      <c r="C240">
        <v>12569</v>
      </c>
    </row>
    <row r="241" spans="1:3" ht="15" hidden="1" customHeight="1" x14ac:dyDescent="0.3">
      <c r="A241" t="s">
        <v>61</v>
      </c>
      <c r="B241" s="2">
        <v>45992</v>
      </c>
      <c r="C241">
        <v>13572</v>
      </c>
    </row>
    <row r="242" spans="1:3" ht="15" hidden="1" customHeight="1" x14ac:dyDescent="0.3">
      <c r="A242" t="s">
        <v>61</v>
      </c>
      <c r="B242" s="2">
        <v>46023</v>
      </c>
      <c r="C242">
        <v>13416</v>
      </c>
    </row>
    <row r="243" spans="1:3" ht="15" hidden="1" customHeight="1" x14ac:dyDescent="0.3">
      <c r="A243" t="s">
        <v>61</v>
      </c>
      <c r="B243" s="2">
        <v>46054</v>
      </c>
      <c r="C243">
        <v>10034.177</v>
      </c>
    </row>
    <row r="244" spans="1:3" ht="15" hidden="1" customHeight="1" x14ac:dyDescent="0.3">
      <c r="A244" t="s">
        <v>61</v>
      </c>
      <c r="B244" s="2">
        <v>46082</v>
      </c>
      <c r="C244">
        <v>10400</v>
      </c>
    </row>
    <row r="245" spans="1:3" ht="15" hidden="1" customHeight="1" x14ac:dyDescent="0.3">
      <c r="A245" t="s">
        <v>61</v>
      </c>
      <c r="B245" s="2">
        <v>46113</v>
      </c>
      <c r="C245">
        <v>7344.6</v>
      </c>
    </row>
    <row r="246" spans="1:3" ht="15" hidden="1" customHeight="1" x14ac:dyDescent="0.3">
      <c r="A246" t="s">
        <v>61</v>
      </c>
      <c r="B246" s="2">
        <v>46143</v>
      </c>
      <c r="C246" s="12">
        <v>5508.9</v>
      </c>
    </row>
    <row r="247" spans="1:3" ht="15" hidden="1" customHeight="1" x14ac:dyDescent="0.3">
      <c r="A247" t="s">
        <v>61</v>
      </c>
      <c r="B247" s="2">
        <v>46174</v>
      </c>
      <c r="C247">
        <v>5030.25</v>
      </c>
    </row>
    <row r="248" spans="1:3" ht="15" hidden="1" customHeight="1" x14ac:dyDescent="0.3">
      <c r="A248" t="s">
        <v>61</v>
      </c>
      <c r="B248" s="2">
        <v>46204</v>
      </c>
      <c r="C248">
        <v>5251.38</v>
      </c>
    </row>
    <row r="249" spans="1:3" ht="15" hidden="1" customHeight="1" x14ac:dyDescent="0.3">
      <c r="A249" t="s">
        <v>61</v>
      </c>
      <c r="B249" s="2">
        <v>46235</v>
      </c>
      <c r="C249">
        <v>6385.91</v>
      </c>
    </row>
    <row r="250" spans="1:3" ht="15" customHeight="1" x14ac:dyDescent="0.3">
      <c r="A250" t="s">
        <v>61</v>
      </c>
      <c r="B250" s="2">
        <v>46266</v>
      </c>
      <c r="C250" s="47">
        <v>8881.77</v>
      </c>
    </row>
    <row r="251" spans="1:3" ht="15" hidden="1" customHeight="1" x14ac:dyDescent="0.3">
      <c r="A251" t="s">
        <v>61</v>
      </c>
      <c r="B251" s="2">
        <v>46296</v>
      </c>
    </row>
    <row r="252" spans="1:3" ht="15" hidden="1" customHeight="1" x14ac:dyDescent="0.3">
      <c r="A252" t="s">
        <v>61</v>
      </c>
      <c r="B252" s="2">
        <v>46327</v>
      </c>
    </row>
    <row r="253" spans="1:3" ht="15" hidden="1" customHeight="1" x14ac:dyDescent="0.3">
      <c r="A253" t="s">
        <v>61</v>
      </c>
      <c r="B253" s="2">
        <v>46357</v>
      </c>
    </row>
    <row r="254" spans="1:3" ht="15" hidden="1" customHeight="1" x14ac:dyDescent="0.3">
      <c r="A254" t="s">
        <v>66</v>
      </c>
      <c r="B254" s="2">
        <v>45292</v>
      </c>
    </row>
    <row r="255" spans="1:3" ht="15" hidden="1" customHeight="1" x14ac:dyDescent="0.3">
      <c r="A255" t="s">
        <v>66</v>
      </c>
      <c r="B255" s="2">
        <v>45323</v>
      </c>
    </row>
    <row r="256" spans="1:3" ht="15" hidden="1" customHeight="1" x14ac:dyDescent="0.3">
      <c r="A256" t="s">
        <v>66</v>
      </c>
      <c r="B256" s="2">
        <v>45352</v>
      </c>
    </row>
    <row r="257" spans="1:2" ht="15" hidden="1" customHeight="1" x14ac:dyDescent="0.3">
      <c r="A257" t="s">
        <v>66</v>
      </c>
      <c r="B257" s="2">
        <v>45383</v>
      </c>
    </row>
    <row r="258" spans="1:2" ht="15" hidden="1" customHeight="1" x14ac:dyDescent="0.3">
      <c r="A258" t="s">
        <v>66</v>
      </c>
      <c r="B258" s="2">
        <v>45413</v>
      </c>
    </row>
    <row r="259" spans="1:2" ht="15" hidden="1" customHeight="1" x14ac:dyDescent="0.3">
      <c r="A259" t="s">
        <v>66</v>
      </c>
      <c r="B259" s="2">
        <v>45444</v>
      </c>
    </row>
    <row r="260" spans="1:2" ht="15" hidden="1" customHeight="1" x14ac:dyDescent="0.3">
      <c r="A260" t="s">
        <v>66</v>
      </c>
      <c r="B260" s="2">
        <v>45474</v>
      </c>
    </row>
    <row r="261" spans="1:2" ht="15" hidden="1" customHeight="1" x14ac:dyDescent="0.3">
      <c r="A261" t="s">
        <v>66</v>
      </c>
      <c r="B261" s="2">
        <v>45505</v>
      </c>
    </row>
    <row r="262" spans="1:2" ht="15" hidden="1" customHeight="1" x14ac:dyDescent="0.3">
      <c r="A262" t="s">
        <v>66</v>
      </c>
      <c r="B262" s="2">
        <v>45536</v>
      </c>
    </row>
    <row r="263" spans="1:2" ht="15" hidden="1" customHeight="1" x14ac:dyDescent="0.3">
      <c r="A263" t="s">
        <v>66</v>
      </c>
      <c r="B263" s="2">
        <v>45566</v>
      </c>
    </row>
    <row r="264" spans="1:2" ht="15" hidden="1" customHeight="1" x14ac:dyDescent="0.3">
      <c r="A264" t="s">
        <v>66</v>
      </c>
      <c r="B264" s="2">
        <v>45597</v>
      </c>
    </row>
    <row r="265" spans="1:2" ht="15" hidden="1" customHeight="1" x14ac:dyDescent="0.3">
      <c r="A265" t="s">
        <v>66</v>
      </c>
      <c r="B265" s="2">
        <v>45627</v>
      </c>
    </row>
    <row r="266" spans="1:2" ht="15" hidden="1" customHeight="1" x14ac:dyDescent="0.3">
      <c r="A266" t="s">
        <v>66</v>
      </c>
      <c r="B266" s="2">
        <v>45658</v>
      </c>
    </row>
    <row r="267" spans="1:2" ht="15" hidden="1" customHeight="1" x14ac:dyDescent="0.3">
      <c r="A267" t="s">
        <v>66</v>
      </c>
      <c r="B267" s="2">
        <v>45689</v>
      </c>
    </row>
    <row r="268" spans="1:2" ht="15" hidden="1" customHeight="1" x14ac:dyDescent="0.3">
      <c r="A268" t="s">
        <v>66</v>
      </c>
      <c r="B268" s="2">
        <v>45717</v>
      </c>
    </row>
    <row r="269" spans="1:2" ht="15" hidden="1" customHeight="1" x14ac:dyDescent="0.3">
      <c r="A269" t="s">
        <v>66</v>
      </c>
      <c r="B269" s="2">
        <v>45748</v>
      </c>
    </row>
    <row r="270" spans="1:2" ht="15" hidden="1" customHeight="1" x14ac:dyDescent="0.3">
      <c r="A270" t="s">
        <v>66</v>
      </c>
      <c r="B270" s="2">
        <v>45778</v>
      </c>
    </row>
    <row r="271" spans="1:2" ht="15" hidden="1" customHeight="1" x14ac:dyDescent="0.3">
      <c r="A271" t="s">
        <v>66</v>
      </c>
      <c r="B271" s="2">
        <v>45809</v>
      </c>
    </row>
    <row r="272" spans="1:2" ht="15" hidden="1" customHeight="1" x14ac:dyDescent="0.3">
      <c r="A272" t="s">
        <v>66</v>
      </c>
      <c r="B272" s="2">
        <v>45839</v>
      </c>
    </row>
    <row r="273" spans="1:3" ht="15" hidden="1" customHeight="1" x14ac:dyDescent="0.3">
      <c r="A273" t="s">
        <v>66</v>
      </c>
      <c r="B273" s="2">
        <v>45870</v>
      </c>
    </row>
    <row r="274" spans="1:3" ht="15" hidden="1" customHeight="1" x14ac:dyDescent="0.3">
      <c r="A274" t="s">
        <v>66</v>
      </c>
      <c r="B274" s="2">
        <v>45901</v>
      </c>
    </row>
    <row r="275" spans="1:3" ht="15" hidden="1" customHeight="1" x14ac:dyDescent="0.3">
      <c r="A275" t="s">
        <v>66</v>
      </c>
      <c r="B275" s="2">
        <v>45931</v>
      </c>
      <c r="C275">
        <v>1109</v>
      </c>
    </row>
    <row r="276" spans="1:3" ht="15" hidden="1" customHeight="1" x14ac:dyDescent="0.3">
      <c r="A276" t="s">
        <v>66</v>
      </c>
      <c r="B276" s="2">
        <v>45962</v>
      </c>
    </row>
    <row r="277" spans="1:3" ht="15" hidden="1" customHeight="1" x14ac:dyDescent="0.3">
      <c r="A277" t="s">
        <v>66</v>
      </c>
      <c r="B277" s="2">
        <v>45992</v>
      </c>
    </row>
    <row r="278" spans="1:3" ht="15" hidden="1" customHeight="1" x14ac:dyDescent="0.3">
      <c r="A278" t="s">
        <v>66</v>
      </c>
      <c r="B278" s="2">
        <v>46023</v>
      </c>
    </row>
    <row r="279" spans="1:3" ht="15" hidden="1" customHeight="1" x14ac:dyDescent="0.3">
      <c r="A279" t="s">
        <v>66</v>
      </c>
      <c r="B279" s="2">
        <v>46054</v>
      </c>
    </row>
    <row r="280" spans="1:3" ht="15" hidden="1" customHeight="1" x14ac:dyDescent="0.3">
      <c r="A280" t="s">
        <v>66</v>
      </c>
      <c r="B280" s="2">
        <v>46082</v>
      </c>
    </row>
    <row r="281" spans="1:3" ht="15" hidden="1" customHeight="1" x14ac:dyDescent="0.3">
      <c r="A281" t="s">
        <v>66</v>
      </c>
      <c r="B281" s="2">
        <v>46113</v>
      </c>
    </row>
    <row r="282" spans="1:3" ht="15" hidden="1" customHeight="1" x14ac:dyDescent="0.3">
      <c r="A282" t="s">
        <v>66</v>
      </c>
      <c r="B282" s="2">
        <v>46143</v>
      </c>
      <c r="C282" s="12"/>
    </row>
    <row r="283" spans="1:3" ht="15" hidden="1" customHeight="1" x14ac:dyDescent="0.3">
      <c r="A283" t="s">
        <v>66</v>
      </c>
      <c r="B283" s="2">
        <v>46174</v>
      </c>
    </row>
    <row r="284" spans="1:3" ht="15" hidden="1" customHeight="1" x14ac:dyDescent="0.3">
      <c r="A284" t="s">
        <v>64</v>
      </c>
      <c r="B284" s="2">
        <v>46204</v>
      </c>
      <c r="C284">
        <v>3615</v>
      </c>
    </row>
    <row r="285" spans="1:3" ht="15" hidden="1" customHeight="1" x14ac:dyDescent="0.3">
      <c r="A285" t="s">
        <v>66</v>
      </c>
      <c r="B285" s="2">
        <v>46235</v>
      </c>
      <c r="C285">
        <v>926</v>
      </c>
    </row>
    <row r="286" spans="1:3" ht="15" customHeight="1" x14ac:dyDescent="0.3">
      <c r="A286" t="s">
        <v>66</v>
      </c>
      <c r="B286" s="2">
        <v>46266</v>
      </c>
      <c r="C286" s="47">
        <v>668.4</v>
      </c>
    </row>
    <row r="287" spans="1:3" ht="15" hidden="1" customHeight="1" x14ac:dyDescent="0.3">
      <c r="A287" t="s">
        <v>66</v>
      </c>
      <c r="B287" s="2">
        <v>46296</v>
      </c>
    </row>
    <row r="288" spans="1:3" ht="15" hidden="1" customHeight="1" x14ac:dyDescent="0.3">
      <c r="A288" t="s">
        <v>66</v>
      </c>
      <c r="B288" s="2">
        <v>46327</v>
      </c>
    </row>
    <row r="289" spans="1:3" ht="15" hidden="1" customHeight="1" x14ac:dyDescent="0.3">
      <c r="A289" t="s">
        <v>66</v>
      </c>
      <c r="B289" s="2">
        <v>46357</v>
      </c>
    </row>
    <row r="290" spans="1:3" ht="15" hidden="1" customHeight="1" x14ac:dyDescent="0.3">
      <c r="A290" t="s">
        <v>71</v>
      </c>
      <c r="B290" s="2">
        <v>45292</v>
      </c>
    </row>
    <row r="291" spans="1:3" ht="15" hidden="1" customHeight="1" x14ac:dyDescent="0.3">
      <c r="A291" t="s">
        <v>71</v>
      </c>
      <c r="B291" s="2">
        <v>45323</v>
      </c>
    </row>
    <row r="292" spans="1:3" ht="15" hidden="1" customHeight="1" x14ac:dyDescent="0.3">
      <c r="A292" t="s">
        <v>71</v>
      </c>
      <c r="B292" s="2">
        <v>45352</v>
      </c>
    </row>
    <row r="293" spans="1:3" ht="15" hidden="1" customHeight="1" x14ac:dyDescent="0.3">
      <c r="A293" t="s">
        <v>71</v>
      </c>
      <c r="B293" s="2">
        <v>45383</v>
      </c>
    </row>
    <row r="294" spans="1:3" ht="15" hidden="1" customHeight="1" x14ac:dyDescent="0.3">
      <c r="A294" t="s">
        <v>71</v>
      </c>
      <c r="B294" s="2">
        <v>45413</v>
      </c>
    </row>
    <row r="295" spans="1:3" ht="15" hidden="1" customHeight="1" x14ac:dyDescent="0.3">
      <c r="A295" t="s">
        <v>71</v>
      </c>
      <c r="B295" s="2">
        <v>45444</v>
      </c>
    </row>
    <row r="296" spans="1:3" ht="15" hidden="1" customHeight="1" x14ac:dyDescent="0.3">
      <c r="A296" t="s">
        <v>71</v>
      </c>
      <c r="B296" s="2">
        <v>45474</v>
      </c>
    </row>
    <row r="297" spans="1:3" ht="15" hidden="1" customHeight="1" x14ac:dyDescent="0.3">
      <c r="A297" t="s">
        <v>71</v>
      </c>
      <c r="B297" s="2">
        <v>45505</v>
      </c>
    </row>
    <row r="298" spans="1:3" ht="15" hidden="1" customHeight="1" x14ac:dyDescent="0.3">
      <c r="A298" t="s">
        <v>71</v>
      </c>
      <c r="B298" s="2">
        <v>45536</v>
      </c>
    </row>
    <row r="299" spans="1:3" ht="15" hidden="1" customHeight="1" x14ac:dyDescent="0.3">
      <c r="A299" t="s">
        <v>71</v>
      </c>
      <c r="B299" s="2">
        <v>45566</v>
      </c>
    </row>
    <row r="300" spans="1:3" ht="15" hidden="1" customHeight="1" x14ac:dyDescent="0.3">
      <c r="A300" t="s">
        <v>71</v>
      </c>
      <c r="B300" s="2">
        <v>45597</v>
      </c>
    </row>
    <row r="301" spans="1:3" ht="15" hidden="1" customHeight="1" x14ac:dyDescent="0.3">
      <c r="A301" t="s">
        <v>71</v>
      </c>
      <c r="B301" s="2">
        <v>45627</v>
      </c>
    </row>
    <row r="302" spans="1:3" ht="15" hidden="1" customHeight="1" x14ac:dyDescent="0.3">
      <c r="A302" t="s">
        <v>71</v>
      </c>
      <c r="B302" s="2">
        <v>45658</v>
      </c>
      <c r="C302">
        <v>31100</v>
      </c>
    </row>
    <row r="303" spans="1:3" ht="15" hidden="1" customHeight="1" x14ac:dyDescent="0.3">
      <c r="A303" t="s">
        <v>71</v>
      </c>
      <c r="B303" s="2">
        <v>45689</v>
      </c>
      <c r="C303">
        <v>23180</v>
      </c>
    </row>
    <row r="304" spans="1:3" ht="15" hidden="1" customHeight="1" x14ac:dyDescent="0.3">
      <c r="A304" t="s">
        <v>71</v>
      </c>
      <c r="B304" s="2">
        <v>45717</v>
      </c>
      <c r="C304">
        <v>20838</v>
      </c>
    </row>
    <row r="305" spans="1:3" ht="15" hidden="1" customHeight="1" x14ac:dyDescent="0.3">
      <c r="A305" t="s">
        <v>71</v>
      </c>
      <c r="B305" s="2">
        <v>45748</v>
      </c>
      <c r="C305">
        <v>16626</v>
      </c>
    </row>
    <row r="306" spans="1:3" ht="15" hidden="1" customHeight="1" x14ac:dyDescent="0.3">
      <c r="A306" t="s">
        <v>71</v>
      </c>
      <c r="B306" s="2">
        <v>45778</v>
      </c>
      <c r="C306">
        <v>15218</v>
      </c>
    </row>
    <row r="307" spans="1:3" ht="15" hidden="1" customHeight="1" x14ac:dyDescent="0.3">
      <c r="A307" t="s">
        <v>71</v>
      </c>
      <c r="B307" s="2">
        <v>45809</v>
      </c>
      <c r="C307">
        <v>12425.8</v>
      </c>
    </row>
    <row r="308" spans="1:3" ht="15" hidden="1" customHeight="1" x14ac:dyDescent="0.3">
      <c r="A308" t="s">
        <v>71</v>
      </c>
      <c r="B308" s="2">
        <v>45839</v>
      </c>
      <c r="C308">
        <v>13246</v>
      </c>
    </row>
    <row r="309" spans="1:3" ht="15" hidden="1" customHeight="1" x14ac:dyDescent="0.3">
      <c r="A309" t="s">
        <v>71</v>
      </c>
      <c r="B309" s="2">
        <v>45870</v>
      </c>
      <c r="C309">
        <v>16953</v>
      </c>
    </row>
    <row r="310" spans="1:3" ht="15" hidden="1" customHeight="1" x14ac:dyDescent="0.3">
      <c r="A310" t="s">
        <v>71</v>
      </c>
      <c r="B310" s="2">
        <v>45901</v>
      </c>
      <c r="C310">
        <v>19367</v>
      </c>
    </row>
    <row r="311" spans="1:3" ht="15" hidden="1" customHeight="1" x14ac:dyDescent="0.3">
      <c r="A311" t="s">
        <v>71</v>
      </c>
      <c r="B311" s="2">
        <v>45931</v>
      </c>
      <c r="C311">
        <v>25648.18</v>
      </c>
    </row>
    <row r="312" spans="1:3" ht="15" hidden="1" customHeight="1" x14ac:dyDescent="0.3">
      <c r="A312" t="s">
        <v>71</v>
      </c>
      <c r="B312" s="2">
        <v>45962</v>
      </c>
      <c r="C312">
        <v>26677</v>
      </c>
    </row>
    <row r="313" spans="1:3" ht="15" hidden="1" customHeight="1" x14ac:dyDescent="0.3">
      <c r="A313" t="s">
        <v>71</v>
      </c>
      <c r="B313" s="2">
        <v>45992</v>
      </c>
      <c r="C313">
        <v>30286</v>
      </c>
    </row>
    <row r="314" spans="1:3" ht="15" hidden="1" customHeight="1" x14ac:dyDescent="0.3">
      <c r="A314" t="s">
        <v>71</v>
      </c>
      <c r="B314" s="2">
        <v>46023</v>
      </c>
      <c r="C314">
        <v>30117</v>
      </c>
    </row>
    <row r="315" spans="1:3" ht="15" hidden="1" customHeight="1" x14ac:dyDescent="0.3">
      <c r="A315" t="s">
        <v>71</v>
      </c>
      <c r="B315" s="2">
        <v>46054</v>
      </c>
      <c r="C315">
        <v>22084</v>
      </c>
    </row>
    <row r="316" spans="1:3" ht="15" hidden="1" customHeight="1" x14ac:dyDescent="0.3">
      <c r="A316" t="s">
        <v>71</v>
      </c>
      <c r="B316" s="2">
        <v>46082</v>
      </c>
      <c r="C316">
        <v>22201</v>
      </c>
    </row>
    <row r="317" spans="1:3" ht="15" hidden="1" customHeight="1" x14ac:dyDescent="0.3">
      <c r="A317" t="s">
        <v>71</v>
      </c>
      <c r="B317" s="2">
        <v>46113</v>
      </c>
      <c r="C317">
        <v>16660.7</v>
      </c>
    </row>
    <row r="318" spans="1:3" ht="15" hidden="1" customHeight="1" x14ac:dyDescent="0.3">
      <c r="A318" t="s">
        <v>71</v>
      </c>
      <c r="B318" s="2">
        <v>46143</v>
      </c>
      <c r="C318" s="12">
        <v>13372.29</v>
      </c>
    </row>
    <row r="319" spans="1:3" ht="15" hidden="1" customHeight="1" x14ac:dyDescent="0.3">
      <c r="A319" t="s">
        <v>71</v>
      </c>
      <c r="B319" s="2">
        <v>46174</v>
      </c>
      <c r="C319">
        <v>9763.7000000000007</v>
      </c>
    </row>
    <row r="320" spans="1:3" ht="15" hidden="1" customHeight="1" x14ac:dyDescent="0.3">
      <c r="A320" t="s">
        <v>66</v>
      </c>
      <c r="B320" s="2">
        <v>46204</v>
      </c>
      <c r="C320">
        <v>719</v>
      </c>
    </row>
    <row r="321" spans="1:3" ht="15" hidden="1" customHeight="1" x14ac:dyDescent="0.3">
      <c r="A321" t="s">
        <v>71</v>
      </c>
      <c r="B321" s="2">
        <v>46235</v>
      </c>
      <c r="C321">
        <v>12651.55</v>
      </c>
    </row>
    <row r="322" spans="1:3" ht="15" customHeight="1" x14ac:dyDescent="0.3">
      <c r="A322" t="s">
        <v>71</v>
      </c>
      <c r="B322" s="2">
        <v>46266</v>
      </c>
      <c r="C322" s="47">
        <v>15296.73</v>
      </c>
    </row>
    <row r="323" spans="1:3" ht="15" hidden="1" customHeight="1" x14ac:dyDescent="0.3">
      <c r="A323" t="s">
        <v>71</v>
      </c>
      <c r="B323" s="2">
        <v>46296</v>
      </c>
    </row>
    <row r="324" spans="1:3" ht="15" hidden="1" customHeight="1" x14ac:dyDescent="0.3">
      <c r="A324" t="s">
        <v>71</v>
      </c>
      <c r="B324" s="2">
        <v>46327</v>
      </c>
    </row>
    <row r="325" spans="1:3" ht="15" hidden="1" customHeight="1" x14ac:dyDescent="0.3">
      <c r="A325" t="s">
        <v>71</v>
      </c>
      <c r="B325" s="2">
        <v>46357</v>
      </c>
    </row>
    <row r="326" spans="1:3" ht="15" hidden="1" customHeight="1" x14ac:dyDescent="0.3">
      <c r="A326" t="s">
        <v>77</v>
      </c>
      <c r="B326" s="2">
        <v>45292</v>
      </c>
    </row>
    <row r="327" spans="1:3" ht="15" hidden="1" customHeight="1" x14ac:dyDescent="0.3">
      <c r="A327" t="s">
        <v>77</v>
      </c>
      <c r="B327" s="2">
        <v>45323</v>
      </c>
    </row>
    <row r="328" spans="1:3" ht="15" hidden="1" customHeight="1" x14ac:dyDescent="0.3">
      <c r="A328" t="s">
        <v>77</v>
      </c>
      <c r="B328" s="2">
        <v>45352</v>
      </c>
    </row>
    <row r="329" spans="1:3" ht="15" hidden="1" customHeight="1" x14ac:dyDescent="0.3">
      <c r="A329" t="s">
        <v>77</v>
      </c>
      <c r="B329" s="2">
        <v>45383</v>
      </c>
    </row>
    <row r="330" spans="1:3" ht="15" hidden="1" customHeight="1" x14ac:dyDescent="0.3">
      <c r="A330" t="s">
        <v>77</v>
      </c>
      <c r="B330" s="2">
        <v>45413</v>
      </c>
    </row>
    <row r="331" spans="1:3" ht="15" hidden="1" customHeight="1" x14ac:dyDescent="0.3">
      <c r="A331" t="s">
        <v>77</v>
      </c>
      <c r="B331" s="2">
        <v>45444</v>
      </c>
    </row>
    <row r="332" spans="1:3" ht="15" hidden="1" customHeight="1" x14ac:dyDescent="0.3">
      <c r="A332" t="s">
        <v>77</v>
      </c>
      <c r="B332" s="2">
        <v>45474</v>
      </c>
    </row>
    <row r="333" spans="1:3" ht="15" hidden="1" customHeight="1" x14ac:dyDescent="0.3">
      <c r="A333" t="s">
        <v>77</v>
      </c>
      <c r="B333" s="2">
        <v>45505</v>
      </c>
    </row>
    <row r="334" spans="1:3" ht="15" hidden="1" customHeight="1" x14ac:dyDescent="0.3">
      <c r="A334" t="s">
        <v>77</v>
      </c>
      <c r="B334" s="2">
        <v>45536</v>
      </c>
    </row>
    <row r="335" spans="1:3" ht="15" hidden="1" customHeight="1" x14ac:dyDescent="0.3">
      <c r="A335" t="s">
        <v>77</v>
      </c>
      <c r="B335" s="2">
        <v>45566</v>
      </c>
    </row>
    <row r="336" spans="1:3" ht="15" hidden="1" customHeight="1" x14ac:dyDescent="0.3">
      <c r="A336" t="s">
        <v>77</v>
      </c>
      <c r="B336" s="2">
        <v>45597</v>
      </c>
    </row>
    <row r="337" spans="1:3" ht="15" hidden="1" customHeight="1" x14ac:dyDescent="0.3">
      <c r="A337" t="s">
        <v>77</v>
      </c>
      <c r="B337" s="2">
        <v>45627</v>
      </c>
    </row>
    <row r="338" spans="1:3" ht="15" hidden="1" customHeight="1" x14ac:dyDescent="0.3">
      <c r="A338" t="s">
        <v>77</v>
      </c>
      <c r="B338" s="2">
        <v>45658</v>
      </c>
    </row>
    <row r="339" spans="1:3" ht="15" hidden="1" customHeight="1" x14ac:dyDescent="0.3">
      <c r="A339" t="s">
        <v>77</v>
      </c>
      <c r="B339" s="2">
        <v>45689</v>
      </c>
    </row>
    <row r="340" spans="1:3" ht="15" hidden="1" customHeight="1" x14ac:dyDescent="0.3">
      <c r="A340" t="s">
        <v>77</v>
      </c>
      <c r="B340" s="2">
        <v>45717</v>
      </c>
      <c r="C340">
        <v>17913</v>
      </c>
    </row>
    <row r="341" spans="1:3" ht="15" hidden="1" customHeight="1" x14ac:dyDescent="0.3">
      <c r="A341" t="s">
        <v>77</v>
      </c>
      <c r="B341" s="2">
        <v>45748</v>
      </c>
      <c r="C341">
        <v>14938</v>
      </c>
    </row>
    <row r="342" spans="1:3" ht="15" hidden="1" customHeight="1" x14ac:dyDescent="0.3">
      <c r="A342" t="s">
        <v>77</v>
      </c>
      <c r="B342" s="2">
        <v>45778</v>
      </c>
      <c r="C342">
        <v>18066</v>
      </c>
    </row>
    <row r="343" spans="1:3" ht="15" hidden="1" customHeight="1" x14ac:dyDescent="0.3">
      <c r="A343" t="s">
        <v>77</v>
      </c>
      <c r="B343" s="2">
        <v>45809</v>
      </c>
      <c r="C343">
        <v>12974.1</v>
      </c>
    </row>
    <row r="344" spans="1:3" ht="15" hidden="1" customHeight="1" x14ac:dyDescent="0.3">
      <c r="A344" t="s">
        <v>77</v>
      </c>
      <c r="B344" s="2">
        <v>45839</v>
      </c>
      <c r="C344">
        <v>13938</v>
      </c>
    </row>
    <row r="345" spans="1:3" ht="15" hidden="1" customHeight="1" x14ac:dyDescent="0.3">
      <c r="A345" t="s">
        <v>77</v>
      </c>
      <c r="B345" s="2">
        <v>45870</v>
      </c>
      <c r="C345">
        <v>18460</v>
      </c>
    </row>
    <row r="346" spans="1:3" ht="15" hidden="1" customHeight="1" x14ac:dyDescent="0.3">
      <c r="A346" t="s">
        <v>77</v>
      </c>
      <c r="B346" s="2">
        <v>45901</v>
      </c>
      <c r="C346">
        <v>17970</v>
      </c>
    </row>
    <row r="347" spans="1:3" ht="15" hidden="1" customHeight="1" x14ac:dyDescent="0.3">
      <c r="A347" t="s">
        <v>77</v>
      </c>
      <c r="B347" s="2">
        <v>45931</v>
      </c>
      <c r="C347">
        <v>22232</v>
      </c>
    </row>
    <row r="348" spans="1:3" ht="15" hidden="1" customHeight="1" x14ac:dyDescent="0.3">
      <c r="A348" t="s">
        <v>77</v>
      </c>
      <c r="B348" s="2">
        <v>45962</v>
      </c>
      <c r="C348">
        <v>17351</v>
      </c>
    </row>
    <row r="349" spans="1:3" ht="15" hidden="1" customHeight="1" x14ac:dyDescent="0.3">
      <c r="A349" t="s">
        <v>77</v>
      </c>
      <c r="B349" s="2">
        <v>45992</v>
      </c>
      <c r="C349">
        <v>21073</v>
      </c>
    </row>
    <row r="350" spans="1:3" ht="15" hidden="1" customHeight="1" x14ac:dyDescent="0.3">
      <c r="A350" t="s">
        <v>77</v>
      </c>
      <c r="B350" s="2">
        <v>46023</v>
      </c>
      <c r="C350">
        <v>22123</v>
      </c>
    </row>
    <row r="351" spans="1:3" ht="15" hidden="1" customHeight="1" x14ac:dyDescent="0.3">
      <c r="A351" t="s">
        <v>77</v>
      </c>
      <c r="B351" s="2">
        <v>46054</v>
      </c>
      <c r="C351">
        <v>16600</v>
      </c>
    </row>
    <row r="352" spans="1:3" ht="15" hidden="1" customHeight="1" x14ac:dyDescent="0.3">
      <c r="A352" t="s">
        <v>77</v>
      </c>
      <c r="B352" s="2">
        <v>46082</v>
      </c>
      <c r="C352">
        <v>17500</v>
      </c>
    </row>
    <row r="353" spans="1:3" ht="15" hidden="1" customHeight="1" x14ac:dyDescent="0.3">
      <c r="A353" t="s">
        <v>77</v>
      </c>
      <c r="B353" s="2">
        <v>46113</v>
      </c>
      <c r="C353">
        <v>15400</v>
      </c>
    </row>
    <row r="354" spans="1:3" ht="15" hidden="1" customHeight="1" x14ac:dyDescent="0.3">
      <c r="A354" t="s">
        <v>77</v>
      </c>
      <c r="B354" s="2">
        <v>46143</v>
      </c>
      <c r="C354">
        <v>15615</v>
      </c>
    </row>
    <row r="355" spans="1:3" ht="15" hidden="1" customHeight="1" x14ac:dyDescent="0.3">
      <c r="A355" t="s">
        <v>77</v>
      </c>
      <c r="B355" s="2">
        <v>46174</v>
      </c>
      <c r="C355">
        <v>12373.57</v>
      </c>
    </row>
    <row r="356" spans="1:3" ht="15" hidden="1" customHeight="1" x14ac:dyDescent="0.3">
      <c r="A356" t="s">
        <v>71</v>
      </c>
      <c r="B356" s="2">
        <v>46204</v>
      </c>
      <c r="C356">
        <v>8756.0499999999993</v>
      </c>
    </row>
    <row r="357" spans="1:3" ht="15" hidden="1" customHeight="1" x14ac:dyDescent="0.3">
      <c r="A357" t="s">
        <v>77</v>
      </c>
      <c r="B357" s="2">
        <v>46235</v>
      </c>
      <c r="C357">
        <v>15825</v>
      </c>
    </row>
    <row r="358" spans="1:3" ht="15" customHeight="1" x14ac:dyDescent="0.3">
      <c r="A358" t="s">
        <v>77</v>
      </c>
      <c r="B358" s="2">
        <v>46266</v>
      </c>
      <c r="C358" s="47">
        <v>18200</v>
      </c>
    </row>
    <row r="359" spans="1:3" ht="15" hidden="1" customHeight="1" x14ac:dyDescent="0.3">
      <c r="A359" t="s">
        <v>77</v>
      </c>
      <c r="B359" s="2">
        <v>46296</v>
      </c>
    </row>
    <row r="360" spans="1:3" ht="15" hidden="1" customHeight="1" x14ac:dyDescent="0.3">
      <c r="A360" t="s">
        <v>77</v>
      </c>
      <c r="B360" s="2">
        <v>46327</v>
      </c>
    </row>
    <row r="361" spans="1:3" ht="15" hidden="1" customHeight="1" x14ac:dyDescent="0.3">
      <c r="A361" t="s">
        <v>77</v>
      </c>
      <c r="B361" s="2">
        <v>46357</v>
      </c>
    </row>
    <row r="362" spans="1:3" ht="15" hidden="1" customHeight="1" x14ac:dyDescent="0.3">
      <c r="A362" t="s">
        <v>80</v>
      </c>
      <c r="B362" s="2">
        <v>45292</v>
      </c>
    </row>
    <row r="363" spans="1:3" ht="15" hidden="1" customHeight="1" x14ac:dyDescent="0.3">
      <c r="A363" t="s">
        <v>80</v>
      </c>
      <c r="B363" s="2">
        <v>45323</v>
      </c>
    </row>
    <row r="364" spans="1:3" ht="15" hidden="1" customHeight="1" x14ac:dyDescent="0.3">
      <c r="A364" t="s">
        <v>80</v>
      </c>
      <c r="B364" s="2">
        <v>45352</v>
      </c>
    </row>
    <row r="365" spans="1:3" ht="15" hidden="1" customHeight="1" x14ac:dyDescent="0.3">
      <c r="A365" t="s">
        <v>80</v>
      </c>
      <c r="B365" s="2">
        <v>45383</v>
      </c>
    </row>
    <row r="366" spans="1:3" ht="15" hidden="1" customHeight="1" x14ac:dyDescent="0.3">
      <c r="A366" t="s">
        <v>80</v>
      </c>
      <c r="B366" s="2">
        <v>45413</v>
      </c>
    </row>
    <row r="367" spans="1:3" ht="15" hidden="1" customHeight="1" x14ac:dyDescent="0.3">
      <c r="A367" t="s">
        <v>80</v>
      </c>
      <c r="B367" s="2">
        <v>45444</v>
      </c>
    </row>
    <row r="368" spans="1:3" ht="15" hidden="1" customHeight="1" x14ac:dyDescent="0.3">
      <c r="A368" t="s">
        <v>80</v>
      </c>
      <c r="B368" s="2">
        <v>45474</v>
      </c>
    </row>
    <row r="369" spans="1:3" ht="15" hidden="1" customHeight="1" x14ac:dyDescent="0.3">
      <c r="A369" t="s">
        <v>80</v>
      </c>
      <c r="B369" s="2">
        <v>45505</v>
      </c>
    </row>
    <row r="370" spans="1:3" ht="15" hidden="1" customHeight="1" x14ac:dyDescent="0.3">
      <c r="A370" t="s">
        <v>80</v>
      </c>
      <c r="B370" s="2">
        <v>45536</v>
      </c>
    </row>
    <row r="371" spans="1:3" ht="15" hidden="1" customHeight="1" x14ac:dyDescent="0.3">
      <c r="A371" t="s">
        <v>80</v>
      </c>
      <c r="B371" s="2">
        <v>45566</v>
      </c>
    </row>
    <row r="372" spans="1:3" ht="15" hidden="1" customHeight="1" x14ac:dyDescent="0.3">
      <c r="A372" t="s">
        <v>80</v>
      </c>
      <c r="B372" s="2">
        <v>45597</v>
      </c>
    </row>
    <row r="373" spans="1:3" ht="15" hidden="1" customHeight="1" x14ac:dyDescent="0.3">
      <c r="A373" t="s">
        <v>80</v>
      </c>
      <c r="B373" s="2">
        <v>45627</v>
      </c>
    </row>
    <row r="374" spans="1:3" ht="15" hidden="1" customHeight="1" x14ac:dyDescent="0.3">
      <c r="A374" t="s">
        <v>80</v>
      </c>
      <c r="B374" s="2">
        <v>45658</v>
      </c>
    </row>
    <row r="375" spans="1:3" ht="15" hidden="1" customHeight="1" x14ac:dyDescent="0.3">
      <c r="A375" t="s">
        <v>80</v>
      </c>
      <c r="B375" s="2">
        <v>45689</v>
      </c>
    </row>
    <row r="376" spans="1:3" ht="15" hidden="1" customHeight="1" x14ac:dyDescent="0.3">
      <c r="A376" t="s">
        <v>80</v>
      </c>
      <c r="B376" s="2">
        <v>45717</v>
      </c>
      <c r="C376">
        <v>16558</v>
      </c>
    </row>
    <row r="377" spans="1:3" ht="15" hidden="1" customHeight="1" x14ac:dyDescent="0.3">
      <c r="A377" t="s">
        <v>80</v>
      </c>
      <c r="B377" s="2">
        <v>45748</v>
      </c>
      <c r="C377">
        <v>13087</v>
      </c>
    </row>
    <row r="378" spans="1:3" ht="15" hidden="1" customHeight="1" x14ac:dyDescent="0.3">
      <c r="A378" t="s">
        <v>80</v>
      </c>
      <c r="B378" s="2">
        <v>45778</v>
      </c>
      <c r="C378">
        <v>15171</v>
      </c>
    </row>
    <row r="379" spans="1:3" ht="15" hidden="1" customHeight="1" x14ac:dyDescent="0.3">
      <c r="A379" t="s">
        <v>80</v>
      </c>
      <c r="B379" s="2">
        <v>45809</v>
      </c>
      <c r="C379">
        <v>9655.7000000000007</v>
      </c>
    </row>
    <row r="380" spans="1:3" ht="15" hidden="1" customHeight="1" x14ac:dyDescent="0.3">
      <c r="A380" t="s">
        <v>80</v>
      </c>
      <c r="B380" s="2">
        <v>45839</v>
      </c>
      <c r="C380">
        <v>10531.6</v>
      </c>
    </row>
    <row r="381" spans="1:3" ht="15" hidden="1" customHeight="1" x14ac:dyDescent="0.3">
      <c r="A381" t="s">
        <v>80</v>
      </c>
      <c r="B381" s="2">
        <v>45870</v>
      </c>
      <c r="C381">
        <v>14730</v>
      </c>
    </row>
    <row r="382" spans="1:3" ht="15" hidden="1" customHeight="1" x14ac:dyDescent="0.3">
      <c r="A382" t="s">
        <v>80</v>
      </c>
      <c r="B382" s="2">
        <v>45901</v>
      </c>
      <c r="C382">
        <v>12165</v>
      </c>
    </row>
    <row r="383" spans="1:3" ht="15" hidden="1" customHeight="1" x14ac:dyDescent="0.3">
      <c r="A383" t="s">
        <v>80</v>
      </c>
      <c r="B383" s="2">
        <v>45931</v>
      </c>
      <c r="C383">
        <v>20277</v>
      </c>
    </row>
    <row r="384" spans="1:3" ht="15" hidden="1" customHeight="1" x14ac:dyDescent="0.3">
      <c r="A384" t="s">
        <v>80</v>
      </c>
      <c r="B384" s="2">
        <v>45962</v>
      </c>
      <c r="C384">
        <v>15371</v>
      </c>
    </row>
    <row r="385" spans="1:3" ht="15" hidden="1" customHeight="1" x14ac:dyDescent="0.3">
      <c r="A385" t="s">
        <v>80</v>
      </c>
      <c r="B385" s="2">
        <v>45992</v>
      </c>
      <c r="C385">
        <v>13568</v>
      </c>
    </row>
    <row r="386" spans="1:3" ht="15" hidden="1" customHeight="1" x14ac:dyDescent="0.3">
      <c r="A386" t="s">
        <v>80</v>
      </c>
      <c r="B386" s="2">
        <v>46023</v>
      </c>
      <c r="C386">
        <v>21287</v>
      </c>
    </row>
    <row r="387" spans="1:3" ht="15" hidden="1" customHeight="1" x14ac:dyDescent="0.3">
      <c r="A387" t="s">
        <v>80</v>
      </c>
      <c r="B387" s="2">
        <v>46054</v>
      </c>
      <c r="C387">
        <v>19200</v>
      </c>
    </row>
    <row r="388" spans="1:3" ht="15" hidden="1" customHeight="1" x14ac:dyDescent="0.3">
      <c r="A388" t="s">
        <v>80</v>
      </c>
      <c r="B388" s="2">
        <v>46082</v>
      </c>
      <c r="C388">
        <v>16030</v>
      </c>
    </row>
    <row r="389" spans="1:3" ht="15" hidden="1" customHeight="1" x14ac:dyDescent="0.3">
      <c r="A389" t="s">
        <v>80</v>
      </c>
      <c r="B389" s="2">
        <v>46113</v>
      </c>
      <c r="C389">
        <v>13700</v>
      </c>
    </row>
    <row r="390" spans="1:3" ht="15" hidden="1" customHeight="1" x14ac:dyDescent="0.3">
      <c r="A390" t="s">
        <v>80</v>
      </c>
      <c r="B390" s="2">
        <v>46143</v>
      </c>
      <c r="C390">
        <v>13287</v>
      </c>
    </row>
    <row r="391" spans="1:3" ht="15" hidden="1" customHeight="1" x14ac:dyDescent="0.3">
      <c r="A391" t="s">
        <v>80</v>
      </c>
      <c r="B391" s="2">
        <v>46174</v>
      </c>
      <c r="C391">
        <v>10602.24</v>
      </c>
    </row>
    <row r="392" spans="1:3" ht="15" hidden="1" customHeight="1" x14ac:dyDescent="0.3">
      <c r="A392" t="s">
        <v>251</v>
      </c>
      <c r="B392" s="2">
        <v>46204</v>
      </c>
      <c r="C392">
        <v>16617.160800000001</v>
      </c>
    </row>
    <row r="393" spans="1:3" ht="15" hidden="1" customHeight="1" x14ac:dyDescent="0.3">
      <c r="A393" t="s">
        <v>80</v>
      </c>
      <c r="B393" s="2">
        <v>46235</v>
      </c>
      <c r="C393">
        <v>18200</v>
      </c>
    </row>
    <row r="394" spans="1:3" ht="15" customHeight="1" x14ac:dyDescent="0.3">
      <c r="A394" t="s">
        <v>80</v>
      </c>
      <c r="B394" s="2">
        <v>46266</v>
      </c>
      <c r="C394" s="47">
        <v>16232</v>
      </c>
    </row>
    <row r="395" spans="1:3" ht="15" hidden="1" customHeight="1" x14ac:dyDescent="0.3">
      <c r="A395" t="s">
        <v>80</v>
      </c>
      <c r="B395" s="2">
        <v>46296</v>
      </c>
    </row>
    <row r="396" spans="1:3" ht="15" hidden="1" customHeight="1" x14ac:dyDescent="0.3">
      <c r="A396" t="s">
        <v>80</v>
      </c>
      <c r="B396" s="2">
        <v>46327</v>
      </c>
    </row>
    <row r="397" spans="1:3" ht="15" hidden="1" customHeight="1" x14ac:dyDescent="0.3">
      <c r="A397" t="s">
        <v>80</v>
      </c>
      <c r="B397" s="2">
        <v>46357</v>
      </c>
    </row>
    <row r="398" spans="1:3" ht="15" hidden="1" customHeight="1" x14ac:dyDescent="0.3">
      <c r="A398" t="s">
        <v>81</v>
      </c>
      <c r="B398" s="2">
        <v>45292</v>
      </c>
    </row>
    <row r="399" spans="1:3" ht="15" hidden="1" customHeight="1" x14ac:dyDescent="0.3">
      <c r="A399" t="s">
        <v>81</v>
      </c>
      <c r="B399" s="2">
        <v>45323</v>
      </c>
    </row>
    <row r="400" spans="1:3" ht="15" hidden="1" customHeight="1" x14ac:dyDescent="0.3">
      <c r="A400" t="s">
        <v>81</v>
      </c>
      <c r="B400" s="2">
        <v>45352</v>
      </c>
    </row>
    <row r="401" spans="1:3" ht="15" hidden="1" customHeight="1" x14ac:dyDescent="0.3">
      <c r="A401" t="s">
        <v>81</v>
      </c>
      <c r="B401" s="2">
        <v>45383</v>
      </c>
    </row>
    <row r="402" spans="1:3" ht="15" hidden="1" customHeight="1" x14ac:dyDescent="0.3">
      <c r="A402" t="s">
        <v>81</v>
      </c>
      <c r="B402" s="2">
        <v>45413</v>
      </c>
    </row>
    <row r="403" spans="1:3" ht="15" hidden="1" customHeight="1" x14ac:dyDescent="0.3">
      <c r="A403" t="s">
        <v>81</v>
      </c>
      <c r="B403" s="2">
        <v>45444</v>
      </c>
    </row>
    <row r="404" spans="1:3" ht="15" hidden="1" customHeight="1" x14ac:dyDescent="0.3">
      <c r="A404" t="s">
        <v>81</v>
      </c>
      <c r="B404" s="2">
        <v>45474</v>
      </c>
    </row>
    <row r="405" spans="1:3" ht="15" hidden="1" customHeight="1" x14ac:dyDescent="0.3">
      <c r="A405" t="s">
        <v>81</v>
      </c>
      <c r="B405" s="2">
        <v>45505</v>
      </c>
    </row>
    <row r="406" spans="1:3" ht="15" hidden="1" customHeight="1" x14ac:dyDescent="0.3">
      <c r="A406" t="s">
        <v>81</v>
      </c>
      <c r="B406" s="2">
        <v>45536</v>
      </c>
    </row>
    <row r="407" spans="1:3" ht="15" hidden="1" customHeight="1" x14ac:dyDescent="0.3">
      <c r="A407" t="s">
        <v>81</v>
      </c>
      <c r="B407" s="2">
        <v>45566</v>
      </c>
    </row>
    <row r="408" spans="1:3" ht="15" hidden="1" customHeight="1" x14ac:dyDescent="0.3">
      <c r="A408" t="s">
        <v>81</v>
      </c>
      <c r="B408" s="2">
        <v>45597</v>
      </c>
    </row>
    <row r="409" spans="1:3" ht="15" hidden="1" customHeight="1" x14ac:dyDescent="0.3">
      <c r="A409" t="s">
        <v>81</v>
      </c>
      <c r="B409" s="2">
        <v>45627</v>
      </c>
    </row>
    <row r="410" spans="1:3" ht="15" hidden="1" customHeight="1" x14ac:dyDescent="0.3">
      <c r="A410" t="s">
        <v>81</v>
      </c>
      <c r="B410" s="2">
        <v>45658</v>
      </c>
      <c r="C410">
        <v>8900</v>
      </c>
    </row>
    <row r="411" spans="1:3" ht="15" hidden="1" customHeight="1" x14ac:dyDescent="0.3">
      <c r="A411" t="s">
        <v>81</v>
      </c>
      <c r="B411" s="2">
        <v>45689</v>
      </c>
      <c r="C411">
        <v>5390</v>
      </c>
    </row>
    <row r="412" spans="1:3" ht="15" hidden="1" customHeight="1" x14ac:dyDescent="0.3">
      <c r="A412" t="s">
        <v>81</v>
      </c>
      <c r="B412" s="2">
        <v>45717</v>
      </c>
      <c r="C412">
        <v>5378</v>
      </c>
    </row>
    <row r="413" spans="1:3" ht="15" hidden="1" customHeight="1" x14ac:dyDescent="0.3">
      <c r="A413" t="s">
        <v>81</v>
      </c>
      <c r="B413" s="2">
        <v>45748</v>
      </c>
      <c r="C413">
        <v>3410</v>
      </c>
    </row>
    <row r="414" spans="1:3" ht="15" hidden="1" customHeight="1" x14ac:dyDescent="0.3">
      <c r="A414" t="s">
        <v>81</v>
      </c>
      <c r="B414" s="2">
        <v>45778</v>
      </c>
      <c r="C414">
        <v>3628</v>
      </c>
    </row>
    <row r="415" spans="1:3" ht="15" hidden="1" customHeight="1" x14ac:dyDescent="0.3">
      <c r="A415" t="s">
        <v>81</v>
      </c>
      <c r="B415" s="2">
        <v>45809</v>
      </c>
      <c r="C415">
        <v>5836</v>
      </c>
    </row>
    <row r="416" spans="1:3" ht="15" hidden="1" customHeight="1" x14ac:dyDescent="0.3">
      <c r="A416" t="s">
        <v>81</v>
      </c>
      <c r="B416" s="2">
        <v>45839</v>
      </c>
      <c r="C416">
        <v>6830</v>
      </c>
    </row>
    <row r="417" spans="1:3" ht="15" hidden="1" customHeight="1" x14ac:dyDescent="0.3">
      <c r="A417" t="s">
        <v>81</v>
      </c>
      <c r="B417" s="2">
        <v>45870</v>
      </c>
      <c r="C417">
        <v>7659</v>
      </c>
    </row>
    <row r="418" spans="1:3" ht="15" hidden="1" customHeight="1" x14ac:dyDescent="0.3">
      <c r="A418" t="s">
        <v>81</v>
      </c>
      <c r="B418" s="2">
        <v>45901</v>
      </c>
      <c r="C418">
        <v>5799</v>
      </c>
    </row>
    <row r="419" spans="1:3" ht="15" hidden="1" customHeight="1" x14ac:dyDescent="0.3">
      <c r="A419" t="s">
        <v>81</v>
      </c>
      <c r="B419" s="2">
        <v>45931</v>
      </c>
      <c r="C419">
        <v>6484.6</v>
      </c>
    </row>
    <row r="420" spans="1:3" ht="15" hidden="1" customHeight="1" x14ac:dyDescent="0.3">
      <c r="A420" t="s">
        <v>81</v>
      </c>
      <c r="B420" s="2">
        <v>45962</v>
      </c>
      <c r="C420">
        <v>7636</v>
      </c>
    </row>
    <row r="421" spans="1:3" ht="15" hidden="1" customHeight="1" x14ac:dyDescent="0.3">
      <c r="A421" t="s">
        <v>81</v>
      </c>
      <c r="B421" s="2">
        <v>45992</v>
      </c>
      <c r="C421">
        <v>7000</v>
      </c>
    </row>
    <row r="422" spans="1:3" ht="15" hidden="1" customHeight="1" x14ac:dyDescent="0.3">
      <c r="A422" t="s">
        <v>81</v>
      </c>
      <c r="B422" s="2">
        <v>46023</v>
      </c>
      <c r="C422">
        <v>6305</v>
      </c>
    </row>
    <row r="423" spans="1:3" ht="15" hidden="1" customHeight="1" x14ac:dyDescent="0.3">
      <c r="A423" t="s">
        <v>81</v>
      </c>
      <c r="B423" s="2">
        <v>46054</v>
      </c>
      <c r="C423">
        <v>4373.4359000000004</v>
      </c>
    </row>
    <row r="424" spans="1:3" ht="15" hidden="1" customHeight="1" x14ac:dyDescent="0.3">
      <c r="A424" t="s">
        <v>81</v>
      </c>
      <c r="B424" s="2">
        <v>46082</v>
      </c>
      <c r="C424">
        <v>4958</v>
      </c>
    </row>
    <row r="425" spans="1:3" ht="15" hidden="1" customHeight="1" x14ac:dyDescent="0.3">
      <c r="A425" t="s">
        <v>81</v>
      </c>
      <c r="B425" s="2">
        <v>46113</v>
      </c>
      <c r="C425">
        <v>6980.52</v>
      </c>
    </row>
    <row r="426" spans="1:3" ht="15" hidden="1" customHeight="1" x14ac:dyDescent="0.3">
      <c r="A426" t="s">
        <v>81</v>
      </c>
      <c r="B426" s="2">
        <v>46143</v>
      </c>
      <c r="C426" s="12">
        <v>6633.98</v>
      </c>
    </row>
    <row r="427" spans="1:3" ht="15" hidden="1" customHeight="1" x14ac:dyDescent="0.3">
      <c r="A427" t="s">
        <v>250</v>
      </c>
      <c r="B427" s="2">
        <v>46174</v>
      </c>
      <c r="C427" s="33">
        <v>25295</v>
      </c>
    </row>
    <row r="428" spans="1:3" ht="15" hidden="1" customHeight="1" x14ac:dyDescent="0.3">
      <c r="A428" t="s">
        <v>77</v>
      </c>
      <c r="B428" s="2">
        <v>46204</v>
      </c>
      <c r="C428">
        <v>16600</v>
      </c>
    </row>
    <row r="429" spans="1:3" ht="15" hidden="1" customHeight="1" x14ac:dyDescent="0.3">
      <c r="A429" t="s">
        <v>81</v>
      </c>
      <c r="B429" s="2">
        <v>46235</v>
      </c>
      <c r="C429">
        <v>6595.107</v>
      </c>
    </row>
    <row r="430" spans="1:3" ht="15" customHeight="1" x14ac:dyDescent="0.3">
      <c r="A430" t="s">
        <v>81</v>
      </c>
      <c r="B430" s="2">
        <v>46266</v>
      </c>
      <c r="C430" s="47">
        <v>5791.73</v>
      </c>
    </row>
    <row r="431" spans="1:3" ht="15" hidden="1" customHeight="1" x14ac:dyDescent="0.3">
      <c r="A431" t="s">
        <v>81</v>
      </c>
      <c r="B431" s="2">
        <v>46296</v>
      </c>
    </row>
    <row r="432" spans="1:3" ht="15" hidden="1" customHeight="1" x14ac:dyDescent="0.3">
      <c r="A432" t="s">
        <v>81</v>
      </c>
      <c r="B432" s="2">
        <v>46327</v>
      </c>
    </row>
    <row r="433" spans="1:3" ht="15" hidden="1" customHeight="1" x14ac:dyDescent="0.3">
      <c r="A433" t="s">
        <v>81</v>
      </c>
      <c r="B433" s="2">
        <v>46357</v>
      </c>
    </row>
    <row r="434" spans="1:3" ht="15" hidden="1" customHeight="1" x14ac:dyDescent="0.3">
      <c r="A434" t="s">
        <v>85</v>
      </c>
      <c r="B434" s="2">
        <v>45292</v>
      </c>
      <c r="C434">
        <v>3578</v>
      </c>
    </row>
    <row r="435" spans="1:3" ht="15" hidden="1" customHeight="1" x14ac:dyDescent="0.3">
      <c r="A435" t="s">
        <v>85</v>
      </c>
      <c r="B435" s="2">
        <v>45323</v>
      </c>
      <c r="C435">
        <v>3594</v>
      </c>
    </row>
    <row r="436" spans="1:3" ht="15" hidden="1" customHeight="1" x14ac:dyDescent="0.3">
      <c r="A436" t="s">
        <v>85</v>
      </c>
      <c r="B436" s="2">
        <v>45352</v>
      </c>
      <c r="C436">
        <v>3674</v>
      </c>
    </row>
    <row r="437" spans="1:3" ht="15" hidden="1" customHeight="1" x14ac:dyDescent="0.3">
      <c r="A437" t="s">
        <v>85</v>
      </c>
      <c r="B437" s="2">
        <v>45383</v>
      </c>
      <c r="C437">
        <v>3533</v>
      </c>
    </row>
    <row r="438" spans="1:3" ht="15" hidden="1" customHeight="1" x14ac:dyDescent="0.3">
      <c r="A438" t="s">
        <v>85</v>
      </c>
      <c r="B438" s="2">
        <v>45413</v>
      </c>
      <c r="C438">
        <v>3191</v>
      </c>
    </row>
    <row r="439" spans="1:3" ht="15" hidden="1" customHeight="1" x14ac:dyDescent="0.3">
      <c r="A439" t="s">
        <v>85</v>
      </c>
      <c r="B439" s="2">
        <v>45444</v>
      </c>
      <c r="C439">
        <v>2884</v>
      </c>
    </row>
    <row r="440" spans="1:3" ht="15" hidden="1" customHeight="1" x14ac:dyDescent="0.3">
      <c r="A440" t="s">
        <v>85</v>
      </c>
      <c r="B440" s="2">
        <v>45474</v>
      </c>
      <c r="C440">
        <v>3894</v>
      </c>
    </row>
    <row r="441" spans="1:3" ht="15" hidden="1" customHeight="1" x14ac:dyDescent="0.3">
      <c r="A441" t="s">
        <v>85</v>
      </c>
      <c r="B441" s="2">
        <v>45505</v>
      </c>
      <c r="C441">
        <v>4058</v>
      </c>
    </row>
    <row r="442" spans="1:3" ht="15" hidden="1" customHeight="1" x14ac:dyDescent="0.3">
      <c r="A442" t="s">
        <v>85</v>
      </c>
      <c r="B442" s="2">
        <v>45536</v>
      </c>
      <c r="C442">
        <v>3726</v>
      </c>
    </row>
    <row r="443" spans="1:3" ht="15" hidden="1" customHeight="1" x14ac:dyDescent="0.3">
      <c r="A443" t="s">
        <v>85</v>
      </c>
      <c r="B443" s="2">
        <v>45566</v>
      </c>
      <c r="C443">
        <v>4063</v>
      </c>
    </row>
    <row r="444" spans="1:3" ht="15" hidden="1" customHeight="1" x14ac:dyDescent="0.3">
      <c r="A444" t="s">
        <v>85</v>
      </c>
      <c r="B444" s="2">
        <v>45597</v>
      </c>
      <c r="C444">
        <v>3998</v>
      </c>
    </row>
    <row r="445" spans="1:3" ht="15" hidden="1" customHeight="1" x14ac:dyDescent="0.3">
      <c r="A445" t="s">
        <v>85</v>
      </c>
      <c r="B445" s="2">
        <v>45627</v>
      </c>
      <c r="C445">
        <v>3593</v>
      </c>
    </row>
    <row r="446" spans="1:3" ht="15" hidden="1" customHeight="1" x14ac:dyDescent="0.3">
      <c r="A446" t="s">
        <v>85</v>
      </c>
      <c r="B446" s="2">
        <v>45658</v>
      </c>
      <c r="C446">
        <v>3726</v>
      </c>
    </row>
    <row r="447" spans="1:3" ht="15" hidden="1" customHeight="1" x14ac:dyDescent="0.3">
      <c r="A447" t="s">
        <v>85</v>
      </c>
      <c r="B447" s="2">
        <v>45689</v>
      </c>
      <c r="C447">
        <v>3060</v>
      </c>
    </row>
    <row r="448" spans="1:3" ht="15" hidden="1" customHeight="1" x14ac:dyDescent="0.3">
      <c r="A448" t="s">
        <v>85</v>
      </c>
      <c r="B448" s="2">
        <v>45717</v>
      </c>
      <c r="C448">
        <v>3350</v>
      </c>
    </row>
    <row r="449" spans="1:3" ht="15" hidden="1" customHeight="1" x14ac:dyDescent="0.3">
      <c r="A449" t="s">
        <v>85</v>
      </c>
      <c r="B449" s="2">
        <v>45748</v>
      </c>
      <c r="C449">
        <v>2383</v>
      </c>
    </row>
    <row r="450" spans="1:3" ht="15" hidden="1" customHeight="1" x14ac:dyDescent="0.3">
      <c r="A450" t="s">
        <v>85</v>
      </c>
      <c r="B450" s="2">
        <v>45778</v>
      </c>
      <c r="C450">
        <v>3026</v>
      </c>
    </row>
    <row r="451" spans="1:3" ht="15" hidden="1" customHeight="1" x14ac:dyDescent="0.3">
      <c r="A451" t="s">
        <v>85</v>
      </c>
      <c r="B451" s="2">
        <v>45809</v>
      </c>
      <c r="C451">
        <v>2637.9</v>
      </c>
    </row>
    <row r="452" spans="1:3" ht="15" hidden="1" customHeight="1" x14ac:dyDescent="0.3">
      <c r="A452" t="s">
        <v>85</v>
      </c>
      <c r="B452" s="2">
        <v>45839</v>
      </c>
      <c r="C452">
        <v>2506</v>
      </c>
    </row>
    <row r="453" spans="1:3" ht="15" hidden="1" customHeight="1" x14ac:dyDescent="0.3">
      <c r="A453" t="s">
        <v>85</v>
      </c>
      <c r="B453" s="2">
        <v>45870</v>
      </c>
      <c r="C453">
        <v>2144</v>
      </c>
    </row>
    <row r="454" spans="1:3" ht="15" hidden="1" customHeight="1" x14ac:dyDescent="0.3">
      <c r="A454" t="s">
        <v>85</v>
      </c>
      <c r="B454" s="2">
        <v>45901</v>
      </c>
      <c r="C454">
        <v>2520</v>
      </c>
    </row>
    <row r="455" spans="1:3" ht="15" hidden="1" customHeight="1" x14ac:dyDescent="0.3">
      <c r="A455" t="s">
        <v>85</v>
      </c>
      <c r="B455" s="2">
        <v>45931</v>
      </c>
      <c r="C455">
        <v>2989</v>
      </c>
    </row>
    <row r="456" spans="1:3" ht="15" hidden="1" customHeight="1" x14ac:dyDescent="0.3">
      <c r="A456" t="s">
        <v>85</v>
      </c>
      <c r="B456" s="2">
        <v>45962</v>
      </c>
      <c r="C456">
        <v>2384</v>
      </c>
    </row>
    <row r="457" spans="1:3" ht="15" hidden="1" customHeight="1" x14ac:dyDescent="0.3">
      <c r="A457" t="s">
        <v>85</v>
      </c>
      <c r="B457" s="2">
        <v>45992</v>
      </c>
      <c r="C457">
        <v>2166</v>
      </c>
    </row>
    <row r="458" spans="1:3" ht="15" hidden="1" customHeight="1" x14ac:dyDescent="0.3">
      <c r="A458" t="s">
        <v>85</v>
      </c>
      <c r="B458" s="2">
        <v>46023</v>
      </c>
      <c r="C458">
        <v>2756</v>
      </c>
    </row>
    <row r="459" spans="1:3" ht="15" hidden="1" customHeight="1" x14ac:dyDescent="0.3">
      <c r="A459" t="s">
        <v>85</v>
      </c>
      <c r="B459" s="2">
        <v>46054</v>
      </c>
      <c r="C459">
        <v>1526</v>
      </c>
    </row>
    <row r="460" spans="1:3" ht="15" hidden="1" customHeight="1" x14ac:dyDescent="0.3">
      <c r="A460" t="s">
        <v>85</v>
      </c>
      <c r="B460" s="2">
        <v>46082</v>
      </c>
      <c r="C460">
        <v>1909</v>
      </c>
    </row>
    <row r="461" spans="1:3" ht="15" hidden="1" customHeight="1" x14ac:dyDescent="0.3">
      <c r="A461" t="s">
        <v>85</v>
      </c>
      <c r="B461" s="2">
        <v>46113</v>
      </c>
      <c r="C461">
        <v>2190.9</v>
      </c>
    </row>
    <row r="462" spans="1:3" ht="15" hidden="1" customHeight="1" x14ac:dyDescent="0.3">
      <c r="A462" t="s">
        <v>85</v>
      </c>
      <c r="B462" s="2">
        <v>46143</v>
      </c>
      <c r="C462" s="12">
        <v>2313.3000000000002</v>
      </c>
    </row>
    <row r="463" spans="1:3" ht="15" hidden="1" customHeight="1" x14ac:dyDescent="0.3">
      <c r="A463" t="s">
        <v>85</v>
      </c>
      <c r="B463" s="2">
        <v>46174</v>
      </c>
      <c r="C463">
        <v>1184</v>
      </c>
    </row>
    <row r="464" spans="1:3" ht="15" hidden="1" customHeight="1" x14ac:dyDescent="0.3">
      <c r="A464" t="s">
        <v>80</v>
      </c>
      <c r="B464" s="2">
        <v>46204</v>
      </c>
      <c r="C464">
        <v>14345</v>
      </c>
    </row>
    <row r="465" spans="1:3" ht="15" hidden="1" customHeight="1" x14ac:dyDescent="0.3">
      <c r="A465" t="s">
        <v>85</v>
      </c>
      <c r="B465" s="2">
        <v>46235</v>
      </c>
      <c r="C465">
        <v>4021</v>
      </c>
    </row>
    <row r="466" spans="1:3" ht="15" customHeight="1" x14ac:dyDescent="0.3">
      <c r="A466" t="s">
        <v>85</v>
      </c>
      <c r="B466" s="2">
        <v>46266</v>
      </c>
      <c r="C466" s="47">
        <v>3663</v>
      </c>
    </row>
    <row r="467" spans="1:3" ht="15" hidden="1" customHeight="1" x14ac:dyDescent="0.3">
      <c r="A467" t="s">
        <v>85</v>
      </c>
      <c r="B467" s="2">
        <v>46296</v>
      </c>
    </row>
    <row r="468" spans="1:3" ht="15" hidden="1" customHeight="1" x14ac:dyDescent="0.3">
      <c r="A468" t="s">
        <v>85</v>
      </c>
      <c r="B468" s="2">
        <v>46327</v>
      </c>
    </row>
    <row r="469" spans="1:3" ht="15" hidden="1" customHeight="1" x14ac:dyDescent="0.3">
      <c r="A469" t="s">
        <v>85</v>
      </c>
      <c r="B469" s="2">
        <v>46357</v>
      </c>
    </row>
    <row r="470" spans="1:3" ht="15" hidden="1" customHeight="1" x14ac:dyDescent="0.3">
      <c r="A470" t="s">
        <v>90</v>
      </c>
      <c r="B470" s="2">
        <v>45292</v>
      </c>
      <c r="C470">
        <v>5665</v>
      </c>
    </row>
    <row r="471" spans="1:3" ht="15" hidden="1" customHeight="1" x14ac:dyDescent="0.3">
      <c r="A471" t="s">
        <v>90</v>
      </c>
      <c r="B471" s="2">
        <v>45323</v>
      </c>
      <c r="C471">
        <v>3554</v>
      </c>
    </row>
    <row r="472" spans="1:3" ht="15" hidden="1" customHeight="1" x14ac:dyDescent="0.3">
      <c r="A472" t="s">
        <v>90</v>
      </c>
      <c r="B472" s="2">
        <v>45352</v>
      </c>
      <c r="C472">
        <v>1</v>
      </c>
    </row>
    <row r="473" spans="1:3" ht="15" hidden="1" customHeight="1" x14ac:dyDescent="0.3">
      <c r="A473" t="s">
        <v>90</v>
      </c>
      <c r="B473" s="2">
        <v>45383</v>
      </c>
      <c r="C473">
        <v>1</v>
      </c>
    </row>
    <row r="474" spans="1:3" ht="15" hidden="1" customHeight="1" x14ac:dyDescent="0.3">
      <c r="A474" t="s">
        <v>90</v>
      </c>
      <c r="B474" s="2">
        <v>45413</v>
      </c>
      <c r="C474">
        <v>1</v>
      </c>
    </row>
    <row r="475" spans="1:3" ht="15" hidden="1" customHeight="1" x14ac:dyDescent="0.3">
      <c r="A475" t="s">
        <v>90</v>
      </c>
      <c r="B475" s="2">
        <v>45444</v>
      </c>
      <c r="C475">
        <v>3309</v>
      </c>
    </row>
    <row r="476" spans="1:3" ht="15" hidden="1" customHeight="1" x14ac:dyDescent="0.3">
      <c r="A476" t="s">
        <v>90</v>
      </c>
      <c r="B476" s="2">
        <v>45474</v>
      </c>
      <c r="C476">
        <v>2293</v>
      </c>
    </row>
    <row r="477" spans="1:3" ht="15" hidden="1" customHeight="1" x14ac:dyDescent="0.3">
      <c r="A477" t="s">
        <v>90</v>
      </c>
      <c r="B477" s="2">
        <v>45505</v>
      </c>
      <c r="C477">
        <v>1967</v>
      </c>
    </row>
    <row r="478" spans="1:3" ht="15" hidden="1" customHeight="1" x14ac:dyDescent="0.3">
      <c r="A478" t="s">
        <v>90</v>
      </c>
      <c r="B478" s="2">
        <v>45536</v>
      </c>
      <c r="C478">
        <v>3009</v>
      </c>
    </row>
    <row r="479" spans="1:3" ht="15" hidden="1" customHeight="1" x14ac:dyDescent="0.3">
      <c r="A479" t="s">
        <v>90</v>
      </c>
      <c r="B479" s="2">
        <v>45566</v>
      </c>
      <c r="C479">
        <v>4500</v>
      </c>
    </row>
    <row r="480" spans="1:3" ht="15" hidden="1" customHeight="1" x14ac:dyDescent="0.3">
      <c r="A480" t="s">
        <v>90</v>
      </c>
      <c r="B480" s="2">
        <v>45597</v>
      </c>
      <c r="C480">
        <v>3918</v>
      </c>
    </row>
    <row r="481" spans="1:3" ht="15" hidden="1" customHeight="1" x14ac:dyDescent="0.3">
      <c r="A481" t="s">
        <v>90</v>
      </c>
      <c r="B481" s="2">
        <v>45627</v>
      </c>
      <c r="C481">
        <v>2583</v>
      </c>
    </row>
    <row r="482" spans="1:3" ht="15" hidden="1" customHeight="1" x14ac:dyDescent="0.3">
      <c r="A482" t="s">
        <v>90</v>
      </c>
      <c r="B482" s="2">
        <v>45658</v>
      </c>
      <c r="C482">
        <v>3426</v>
      </c>
    </row>
    <row r="483" spans="1:3" ht="15" hidden="1" customHeight="1" x14ac:dyDescent="0.3">
      <c r="A483" t="s">
        <v>90</v>
      </c>
      <c r="B483" s="2">
        <v>45689</v>
      </c>
      <c r="C483">
        <v>3380.46</v>
      </c>
    </row>
    <row r="484" spans="1:3" ht="15" hidden="1" customHeight="1" x14ac:dyDescent="0.3">
      <c r="A484" t="s">
        <v>90</v>
      </c>
      <c r="B484" s="2">
        <v>45717</v>
      </c>
      <c r="C484">
        <v>3717</v>
      </c>
    </row>
    <row r="485" spans="1:3" ht="15" hidden="1" customHeight="1" x14ac:dyDescent="0.3">
      <c r="A485" t="s">
        <v>90</v>
      </c>
      <c r="B485" s="2">
        <v>45748</v>
      </c>
      <c r="C485">
        <v>2027</v>
      </c>
    </row>
    <row r="486" spans="1:3" ht="15" hidden="1" customHeight="1" x14ac:dyDescent="0.3">
      <c r="A486" t="s">
        <v>90</v>
      </c>
      <c r="B486" s="2">
        <v>45778</v>
      </c>
      <c r="C486">
        <v>3199</v>
      </c>
    </row>
    <row r="487" spans="1:3" ht="15" hidden="1" customHeight="1" x14ac:dyDescent="0.3">
      <c r="A487" t="s">
        <v>90</v>
      </c>
      <c r="B487" s="2">
        <v>45809</v>
      </c>
      <c r="C487">
        <v>2899.41</v>
      </c>
    </row>
    <row r="488" spans="1:3" ht="15" hidden="1" customHeight="1" x14ac:dyDescent="0.3">
      <c r="A488" t="s">
        <v>90</v>
      </c>
      <c r="B488" s="2">
        <v>45839</v>
      </c>
      <c r="C488">
        <v>3705</v>
      </c>
    </row>
    <row r="489" spans="1:3" ht="15" hidden="1" customHeight="1" x14ac:dyDescent="0.3">
      <c r="A489" t="s">
        <v>90</v>
      </c>
      <c r="B489" s="2">
        <v>45870</v>
      </c>
      <c r="C489">
        <v>4242</v>
      </c>
    </row>
    <row r="490" spans="1:3" ht="15" hidden="1" customHeight="1" x14ac:dyDescent="0.3">
      <c r="A490" t="s">
        <v>90</v>
      </c>
      <c r="B490" s="2">
        <v>45901</v>
      </c>
      <c r="C490">
        <v>3928</v>
      </c>
    </row>
    <row r="491" spans="1:3" ht="15" hidden="1" customHeight="1" x14ac:dyDescent="0.3">
      <c r="A491" t="s">
        <v>90</v>
      </c>
      <c r="B491" s="2">
        <v>45931</v>
      </c>
      <c r="C491">
        <v>4810</v>
      </c>
    </row>
    <row r="492" spans="1:3" ht="15" hidden="1" customHeight="1" x14ac:dyDescent="0.3">
      <c r="A492" t="s">
        <v>90</v>
      </c>
      <c r="B492" s="2">
        <v>45962</v>
      </c>
      <c r="C492">
        <v>5556</v>
      </c>
    </row>
    <row r="493" spans="1:3" ht="15" hidden="1" customHeight="1" x14ac:dyDescent="0.3">
      <c r="A493" t="s">
        <v>90</v>
      </c>
      <c r="B493" s="2">
        <v>45992</v>
      </c>
      <c r="C493">
        <v>5696</v>
      </c>
    </row>
    <row r="494" spans="1:3" ht="15" hidden="1" customHeight="1" x14ac:dyDescent="0.3">
      <c r="A494" t="s">
        <v>90</v>
      </c>
      <c r="B494" s="2">
        <v>46023</v>
      </c>
      <c r="C494">
        <v>5960</v>
      </c>
    </row>
    <row r="495" spans="1:3" ht="15" hidden="1" customHeight="1" x14ac:dyDescent="0.3">
      <c r="A495" t="s">
        <v>90</v>
      </c>
      <c r="B495" s="2">
        <v>46054</v>
      </c>
      <c r="C495">
        <v>5548</v>
      </c>
    </row>
    <row r="496" spans="1:3" ht="15" hidden="1" customHeight="1" x14ac:dyDescent="0.3">
      <c r="A496" t="s">
        <v>90</v>
      </c>
      <c r="B496" s="2">
        <v>46082</v>
      </c>
      <c r="C496">
        <v>5036</v>
      </c>
    </row>
    <row r="497" spans="1:3" ht="15" hidden="1" customHeight="1" x14ac:dyDescent="0.3">
      <c r="A497" t="s">
        <v>90</v>
      </c>
      <c r="B497" s="2">
        <v>46113</v>
      </c>
      <c r="C497">
        <v>4183.2700000000004</v>
      </c>
    </row>
    <row r="498" spans="1:3" ht="15" hidden="1" customHeight="1" x14ac:dyDescent="0.3">
      <c r="A498" t="s">
        <v>90</v>
      </c>
      <c r="B498" s="2">
        <v>46143</v>
      </c>
      <c r="C498" s="12">
        <v>4320</v>
      </c>
    </row>
    <row r="499" spans="1:3" ht="15" hidden="1" customHeight="1" x14ac:dyDescent="0.3">
      <c r="A499" t="s">
        <v>90</v>
      </c>
      <c r="B499" s="2">
        <v>46174</v>
      </c>
      <c r="C499">
        <v>3510</v>
      </c>
    </row>
    <row r="500" spans="1:3" ht="15" hidden="1" customHeight="1" x14ac:dyDescent="0.3">
      <c r="A500" t="s">
        <v>81</v>
      </c>
      <c r="B500" s="2">
        <v>46204</v>
      </c>
      <c r="C500">
        <v>5573.8</v>
      </c>
    </row>
    <row r="501" spans="1:3" ht="15" hidden="1" customHeight="1" x14ac:dyDescent="0.3">
      <c r="A501" t="s">
        <v>90</v>
      </c>
      <c r="B501" s="2">
        <v>46235</v>
      </c>
      <c r="C501">
        <v>4690</v>
      </c>
    </row>
    <row r="502" spans="1:3" ht="15" customHeight="1" x14ac:dyDescent="0.3">
      <c r="A502" t="s">
        <v>90</v>
      </c>
      <c r="B502" s="2">
        <v>46266</v>
      </c>
      <c r="C502" s="47">
        <v>3950.63</v>
      </c>
    </row>
    <row r="503" spans="1:3" ht="15" hidden="1" customHeight="1" x14ac:dyDescent="0.3">
      <c r="A503" t="s">
        <v>90</v>
      </c>
      <c r="B503" s="2">
        <v>46296</v>
      </c>
    </row>
    <row r="504" spans="1:3" ht="15" hidden="1" customHeight="1" x14ac:dyDescent="0.3">
      <c r="A504" t="s">
        <v>90</v>
      </c>
      <c r="B504" s="2">
        <v>46327</v>
      </c>
    </row>
    <row r="505" spans="1:3" ht="15" hidden="1" customHeight="1" x14ac:dyDescent="0.3">
      <c r="A505" t="s">
        <v>90</v>
      </c>
      <c r="B505" s="2">
        <v>46357</v>
      </c>
    </row>
    <row r="506" spans="1:3" ht="15" hidden="1" customHeight="1" x14ac:dyDescent="0.3">
      <c r="A506" t="s">
        <v>93</v>
      </c>
      <c r="B506" s="2">
        <v>45292</v>
      </c>
    </row>
    <row r="507" spans="1:3" ht="15" hidden="1" customHeight="1" x14ac:dyDescent="0.3">
      <c r="A507" t="s">
        <v>93</v>
      </c>
      <c r="B507" s="2">
        <v>45323</v>
      </c>
    </row>
    <row r="508" spans="1:3" ht="15" hidden="1" customHeight="1" x14ac:dyDescent="0.3">
      <c r="A508" t="s">
        <v>93</v>
      </c>
      <c r="B508" s="2">
        <v>45352</v>
      </c>
    </row>
    <row r="509" spans="1:3" ht="15" hidden="1" customHeight="1" x14ac:dyDescent="0.3">
      <c r="A509" t="s">
        <v>93</v>
      </c>
      <c r="B509" s="2">
        <v>45383</v>
      </c>
    </row>
    <row r="510" spans="1:3" ht="15" hidden="1" customHeight="1" x14ac:dyDescent="0.3">
      <c r="A510" t="s">
        <v>93</v>
      </c>
      <c r="B510" s="2">
        <v>45413</v>
      </c>
    </row>
    <row r="511" spans="1:3" ht="15" hidden="1" customHeight="1" x14ac:dyDescent="0.3">
      <c r="A511" t="s">
        <v>93</v>
      </c>
      <c r="B511" s="2">
        <v>45444</v>
      </c>
    </row>
    <row r="512" spans="1:3" ht="15" hidden="1" customHeight="1" x14ac:dyDescent="0.3">
      <c r="A512" t="s">
        <v>93</v>
      </c>
      <c r="B512" s="2">
        <v>45474</v>
      </c>
    </row>
    <row r="513" spans="1:3" ht="15" hidden="1" customHeight="1" x14ac:dyDescent="0.3">
      <c r="A513" t="s">
        <v>93</v>
      </c>
      <c r="B513" s="2">
        <v>45505</v>
      </c>
    </row>
    <row r="514" spans="1:3" ht="15" hidden="1" customHeight="1" x14ac:dyDescent="0.3">
      <c r="A514" t="s">
        <v>93</v>
      </c>
      <c r="B514" s="2">
        <v>45536</v>
      </c>
    </row>
    <row r="515" spans="1:3" ht="15" hidden="1" customHeight="1" x14ac:dyDescent="0.3">
      <c r="A515" t="s">
        <v>93</v>
      </c>
      <c r="B515" s="2">
        <v>45566</v>
      </c>
    </row>
    <row r="516" spans="1:3" ht="15" hidden="1" customHeight="1" x14ac:dyDescent="0.3">
      <c r="A516" t="s">
        <v>93</v>
      </c>
      <c r="B516" s="2">
        <v>45597</v>
      </c>
    </row>
    <row r="517" spans="1:3" ht="15" hidden="1" customHeight="1" x14ac:dyDescent="0.3">
      <c r="A517" t="s">
        <v>93</v>
      </c>
      <c r="B517" s="2">
        <v>45627</v>
      </c>
    </row>
    <row r="518" spans="1:3" ht="15" hidden="1" customHeight="1" x14ac:dyDescent="0.3">
      <c r="A518" t="s">
        <v>93</v>
      </c>
      <c r="B518" s="2">
        <v>45658</v>
      </c>
    </row>
    <row r="519" spans="1:3" ht="15" hidden="1" customHeight="1" x14ac:dyDescent="0.3">
      <c r="A519" t="s">
        <v>93</v>
      </c>
      <c r="B519" s="2">
        <v>45689</v>
      </c>
    </row>
    <row r="520" spans="1:3" ht="15" hidden="1" customHeight="1" x14ac:dyDescent="0.3">
      <c r="A520" t="s">
        <v>93</v>
      </c>
      <c r="B520" s="2">
        <v>45717</v>
      </c>
    </row>
    <row r="521" spans="1:3" ht="15" hidden="1" customHeight="1" x14ac:dyDescent="0.3">
      <c r="A521" t="s">
        <v>93</v>
      </c>
      <c r="B521" s="2">
        <v>45748</v>
      </c>
    </row>
    <row r="522" spans="1:3" ht="15" hidden="1" customHeight="1" x14ac:dyDescent="0.3">
      <c r="A522" t="s">
        <v>93</v>
      </c>
      <c r="B522" s="2">
        <v>45778</v>
      </c>
    </row>
    <row r="523" spans="1:3" ht="15" hidden="1" customHeight="1" x14ac:dyDescent="0.3">
      <c r="A523" t="s">
        <v>93</v>
      </c>
      <c r="B523" s="2">
        <v>45809</v>
      </c>
    </row>
    <row r="524" spans="1:3" ht="15" hidden="1" customHeight="1" x14ac:dyDescent="0.3">
      <c r="A524" t="s">
        <v>93</v>
      </c>
      <c r="B524" s="2">
        <v>45839</v>
      </c>
    </row>
    <row r="525" spans="1:3" ht="15" hidden="1" customHeight="1" x14ac:dyDescent="0.3">
      <c r="A525" t="s">
        <v>93</v>
      </c>
      <c r="B525" s="2">
        <v>45870</v>
      </c>
    </row>
    <row r="526" spans="1:3" ht="15" hidden="1" customHeight="1" x14ac:dyDescent="0.3">
      <c r="A526" t="s">
        <v>93</v>
      </c>
      <c r="B526" s="2">
        <v>45901</v>
      </c>
      <c r="C526">
        <v>8715</v>
      </c>
    </row>
    <row r="527" spans="1:3" ht="15" hidden="1" customHeight="1" x14ac:dyDescent="0.3">
      <c r="A527" t="s">
        <v>93</v>
      </c>
      <c r="B527" s="2">
        <v>45931</v>
      </c>
      <c r="C527">
        <v>11487.6</v>
      </c>
    </row>
    <row r="528" spans="1:3" ht="15" hidden="1" customHeight="1" x14ac:dyDescent="0.3">
      <c r="A528" t="s">
        <v>93</v>
      </c>
      <c r="B528" s="2">
        <v>45962</v>
      </c>
      <c r="C528">
        <v>11643</v>
      </c>
    </row>
    <row r="529" spans="1:3" ht="15" hidden="1" customHeight="1" x14ac:dyDescent="0.3">
      <c r="A529" t="s">
        <v>93</v>
      </c>
      <c r="B529" s="2">
        <v>45992</v>
      </c>
      <c r="C529">
        <v>11559</v>
      </c>
    </row>
    <row r="530" spans="1:3" ht="15" hidden="1" customHeight="1" x14ac:dyDescent="0.3">
      <c r="A530" t="s">
        <v>93</v>
      </c>
      <c r="B530" s="2">
        <v>46023</v>
      </c>
      <c r="C530">
        <v>12880</v>
      </c>
    </row>
    <row r="531" spans="1:3" ht="15" hidden="1" customHeight="1" x14ac:dyDescent="0.3">
      <c r="A531" t="s">
        <v>93</v>
      </c>
      <c r="B531" s="2">
        <v>46054</v>
      </c>
      <c r="C531">
        <v>9660</v>
      </c>
    </row>
    <row r="532" spans="1:3" ht="15" hidden="1" customHeight="1" x14ac:dyDescent="0.3">
      <c r="A532" t="s">
        <v>93</v>
      </c>
      <c r="B532" s="2">
        <v>46082</v>
      </c>
      <c r="C532">
        <v>9967</v>
      </c>
    </row>
    <row r="533" spans="1:3" ht="15" hidden="1" customHeight="1" x14ac:dyDescent="0.3">
      <c r="A533" t="s">
        <v>93</v>
      </c>
      <c r="B533" s="2">
        <v>46113</v>
      </c>
      <c r="C533">
        <v>4183</v>
      </c>
    </row>
    <row r="534" spans="1:3" ht="15" hidden="1" customHeight="1" x14ac:dyDescent="0.3">
      <c r="A534" t="s">
        <v>93</v>
      </c>
      <c r="B534" s="2">
        <v>46143</v>
      </c>
      <c r="C534" s="12"/>
    </row>
    <row r="535" spans="1:3" ht="15" hidden="1" customHeight="1" x14ac:dyDescent="0.3">
      <c r="A535" t="s">
        <v>93</v>
      </c>
      <c r="B535" s="2">
        <v>46174</v>
      </c>
    </row>
    <row r="536" spans="1:3" ht="15" hidden="1" customHeight="1" x14ac:dyDescent="0.3">
      <c r="A536" t="s">
        <v>85</v>
      </c>
      <c r="B536" s="2">
        <v>46204</v>
      </c>
      <c r="C536">
        <v>3646</v>
      </c>
    </row>
    <row r="537" spans="1:3" ht="15" hidden="1" customHeight="1" x14ac:dyDescent="0.3">
      <c r="A537" t="s">
        <v>93</v>
      </c>
      <c r="B537" s="2">
        <v>46235</v>
      </c>
    </row>
    <row r="538" spans="1:3" ht="15" customHeight="1" x14ac:dyDescent="0.3">
      <c r="A538" t="s">
        <v>93</v>
      </c>
      <c r="B538" s="2">
        <v>46266</v>
      </c>
      <c r="C538" s="47"/>
    </row>
    <row r="539" spans="1:3" ht="15" hidden="1" customHeight="1" x14ac:dyDescent="0.3">
      <c r="A539" t="s">
        <v>93</v>
      </c>
      <c r="B539" s="2">
        <v>46296</v>
      </c>
    </row>
    <row r="540" spans="1:3" ht="15" hidden="1" customHeight="1" x14ac:dyDescent="0.3">
      <c r="A540" t="s">
        <v>93</v>
      </c>
      <c r="B540" s="2">
        <v>46327</v>
      </c>
    </row>
    <row r="541" spans="1:3" ht="15" hidden="1" customHeight="1" x14ac:dyDescent="0.3">
      <c r="A541" t="s">
        <v>93</v>
      </c>
      <c r="B541" s="2">
        <v>46357</v>
      </c>
    </row>
    <row r="542" spans="1:3" ht="15" hidden="1" customHeight="1" x14ac:dyDescent="0.3">
      <c r="A542" t="s">
        <v>95</v>
      </c>
      <c r="B542" s="2">
        <v>45292</v>
      </c>
    </row>
    <row r="543" spans="1:3" ht="15" hidden="1" customHeight="1" x14ac:dyDescent="0.3">
      <c r="A543" t="s">
        <v>95</v>
      </c>
      <c r="B543" s="2">
        <v>45323</v>
      </c>
    </row>
    <row r="544" spans="1:3" ht="15" hidden="1" customHeight="1" x14ac:dyDescent="0.3">
      <c r="A544" t="s">
        <v>95</v>
      </c>
      <c r="B544" s="2">
        <v>45352</v>
      </c>
    </row>
    <row r="545" spans="1:3" ht="15" hidden="1" customHeight="1" x14ac:dyDescent="0.3">
      <c r="A545" t="s">
        <v>95</v>
      </c>
      <c r="B545" s="2">
        <v>45383</v>
      </c>
    </row>
    <row r="546" spans="1:3" ht="15" hidden="1" customHeight="1" x14ac:dyDescent="0.3">
      <c r="A546" t="s">
        <v>95</v>
      </c>
      <c r="B546" s="2">
        <v>45413</v>
      </c>
    </row>
    <row r="547" spans="1:3" ht="15" hidden="1" customHeight="1" x14ac:dyDescent="0.3">
      <c r="A547" t="s">
        <v>95</v>
      </c>
      <c r="B547" s="2">
        <v>45444</v>
      </c>
    </row>
    <row r="548" spans="1:3" ht="15" hidden="1" customHeight="1" x14ac:dyDescent="0.3">
      <c r="A548" t="s">
        <v>95</v>
      </c>
      <c r="B548" s="2">
        <v>45474</v>
      </c>
    </row>
    <row r="549" spans="1:3" ht="15" hidden="1" customHeight="1" x14ac:dyDescent="0.3">
      <c r="A549" t="s">
        <v>95</v>
      </c>
      <c r="B549" s="2">
        <v>45505</v>
      </c>
    </row>
    <row r="550" spans="1:3" ht="15" hidden="1" customHeight="1" x14ac:dyDescent="0.3">
      <c r="A550" t="s">
        <v>95</v>
      </c>
      <c r="B550" s="2">
        <v>45536</v>
      </c>
    </row>
    <row r="551" spans="1:3" ht="15" hidden="1" customHeight="1" x14ac:dyDescent="0.3">
      <c r="A551" t="s">
        <v>95</v>
      </c>
      <c r="B551" s="2">
        <v>45566</v>
      </c>
    </row>
    <row r="552" spans="1:3" ht="15" hidden="1" customHeight="1" x14ac:dyDescent="0.3">
      <c r="A552" t="s">
        <v>95</v>
      </c>
      <c r="B552" s="2">
        <v>45597</v>
      </c>
    </row>
    <row r="553" spans="1:3" ht="15" hidden="1" customHeight="1" x14ac:dyDescent="0.3">
      <c r="A553" t="s">
        <v>95</v>
      </c>
      <c r="B553" s="2">
        <v>45627</v>
      </c>
    </row>
    <row r="554" spans="1:3" ht="15" hidden="1" customHeight="1" x14ac:dyDescent="0.3">
      <c r="A554" t="s">
        <v>95</v>
      </c>
      <c r="B554" s="2">
        <v>45658</v>
      </c>
      <c r="C554">
        <v>17200</v>
      </c>
    </row>
    <row r="555" spans="1:3" ht="15" hidden="1" customHeight="1" x14ac:dyDescent="0.3">
      <c r="A555" t="s">
        <v>95</v>
      </c>
      <c r="B555" s="2">
        <v>45689</v>
      </c>
      <c r="C555">
        <v>15760</v>
      </c>
    </row>
    <row r="556" spans="1:3" ht="15" hidden="1" customHeight="1" x14ac:dyDescent="0.3">
      <c r="A556" t="s">
        <v>95</v>
      </c>
      <c r="B556" s="2">
        <v>45717</v>
      </c>
      <c r="C556">
        <v>15700</v>
      </c>
    </row>
    <row r="557" spans="1:3" ht="15" hidden="1" customHeight="1" x14ac:dyDescent="0.3">
      <c r="A557" t="s">
        <v>95</v>
      </c>
      <c r="B557" s="2">
        <v>45748</v>
      </c>
      <c r="C557">
        <v>10223</v>
      </c>
    </row>
    <row r="558" spans="1:3" ht="15" hidden="1" customHeight="1" x14ac:dyDescent="0.3">
      <c r="A558" t="s">
        <v>95</v>
      </c>
      <c r="B558" s="2">
        <v>45778</v>
      </c>
      <c r="C558">
        <v>14225</v>
      </c>
    </row>
    <row r="559" spans="1:3" ht="15" hidden="1" customHeight="1" x14ac:dyDescent="0.3">
      <c r="A559" t="s">
        <v>95</v>
      </c>
      <c r="B559" s="2">
        <v>45809</v>
      </c>
      <c r="C559">
        <v>14376.5</v>
      </c>
    </row>
    <row r="560" spans="1:3" ht="15" hidden="1" customHeight="1" x14ac:dyDescent="0.3">
      <c r="A560" t="s">
        <v>95</v>
      </c>
      <c r="B560" s="2">
        <v>45839</v>
      </c>
      <c r="C560">
        <v>15177.99</v>
      </c>
    </row>
    <row r="561" spans="1:3" ht="15" hidden="1" customHeight="1" x14ac:dyDescent="0.3">
      <c r="A561" t="s">
        <v>95</v>
      </c>
      <c r="B561" s="2">
        <v>45870</v>
      </c>
      <c r="C561">
        <v>16924</v>
      </c>
    </row>
    <row r="562" spans="1:3" ht="15" hidden="1" customHeight="1" x14ac:dyDescent="0.3">
      <c r="A562" t="s">
        <v>95</v>
      </c>
      <c r="B562" s="2">
        <v>45901</v>
      </c>
      <c r="C562">
        <v>16705</v>
      </c>
    </row>
    <row r="563" spans="1:3" ht="15" hidden="1" customHeight="1" x14ac:dyDescent="0.3">
      <c r="A563" t="s">
        <v>95</v>
      </c>
      <c r="B563" s="2">
        <v>45931</v>
      </c>
      <c r="C563">
        <v>21308.400000000001</v>
      </c>
    </row>
    <row r="564" spans="1:3" ht="15" hidden="1" customHeight="1" x14ac:dyDescent="0.3">
      <c r="A564" t="s">
        <v>95</v>
      </c>
      <c r="B564" s="2">
        <v>45962</v>
      </c>
      <c r="C564">
        <v>12744</v>
      </c>
    </row>
    <row r="565" spans="1:3" ht="15" hidden="1" customHeight="1" x14ac:dyDescent="0.3">
      <c r="A565" t="s">
        <v>95</v>
      </c>
      <c r="B565" s="2">
        <v>45992</v>
      </c>
      <c r="C565">
        <v>7631</v>
      </c>
    </row>
    <row r="566" spans="1:3" ht="15" hidden="1" customHeight="1" x14ac:dyDescent="0.3">
      <c r="A566" t="s">
        <v>95</v>
      </c>
      <c r="B566" s="2">
        <v>46023</v>
      </c>
      <c r="C566">
        <v>7744.97</v>
      </c>
    </row>
    <row r="567" spans="1:3" ht="15" hidden="1" customHeight="1" x14ac:dyDescent="0.3">
      <c r="A567" t="s">
        <v>95</v>
      </c>
      <c r="B567" s="2">
        <v>46054</v>
      </c>
      <c r="C567">
        <v>13221</v>
      </c>
    </row>
    <row r="568" spans="1:3" ht="15" hidden="1" customHeight="1" x14ac:dyDescent="0.3">
      <c r="A568" t="s">
        <v>95</v>
      </c>
      <c r="B568" s="2">
        <v>46082</v>
      </c>
      <c r="C568">
        <v>14695</v>
      </c>
    </row>
    <row r="569" spans="1:3" ht="15" hidden="1" customHeight="1" x14ac:dyDescent="0.3">
      <c r="A569" t="s">
        <v>95</v>
      </c>
      <c r="B569" s="2">
        <v>46113</v>
      </c>
      <c r="C569">
        <v>14798.11</v>
      </c>
    </row>
    <row r="570" spans="1:3" ht="15" hidden="1" customHeight="1" x14ac:dyDescent="0.3">
      <c r="A570" t="s">
        <v>95</v>
      </c>
      <c r="B570" s="2">
        <v>46143</v>
      </c>
      <c r="C570" s="12">
        <v>13154.32</v>
      </c>
    </row>
    <row r="571" spans="1:3" ht="15" hidden="1" customHeight="1" x14ac:dyDescent="0.3">
      <c r="A571" t="s">
        <v>81</v>
      </c>
      <c r="B571" s="2">
        <v>46174</v>
      </c>
      <c r="C571">
        <v>5387.22</v>
      </c>
    </row>
    <row r="572" spans="1:3" ht="15" hidden="1" customHeight="1" x14ac:dyDescent="0.3">
      <c r="A572" t="s">
        <v>90</v>
      </c>
      <c r="B572" s="2">
        <v>46204</v>
      </c>
      <c r="C572">
        <v>3547</v>
      </c>
    </row>
    <row r="573" spans="1:3" ht="15" hidden="1" customHeight="1" x14ac:dyDescent="0.3">
      <c r="A573" t="s">
        <v>95</v>
      </c>
      <c r="B573" s="2">
        <v>46235</v>
      </c>
      <c r="C573">
        <v>14955</v>
      </c>
    </row>
    <row r="574" spans="1:3" ht="15" customHeight="1" x14ac:dyDescent="0.3">
      <c r="A574" t="s">
        <v>95</v>
      </c>
      <c r="B574" s="2">
        <v>46266</v>
      </c>
      <c r="C574" s="47">
        <v>18244.509999999998</v>
      </c>
    </row>
    <row r="575" spans="1:3" ht="15" hidden="1" customHeight="1" x14ac:dyDescent="0.3">
      <c r="A575" t="s">
        <v>95</v>
      </c>
      <c r="B575" s="2">
        <v>46296</v>
      </c>
    </row>
    <row r="576" spans="1:3" ht="15" hidden="1" customHeight="1" x14ac:dyDescent="0.3">
      <c r="A576" t="s">
        <v>95</v>
      </c>
      <c r="B576" s="2">
        <v>46327</v>
      </c>
    </row>
    <row r="577" spans="1:2" ht="15" hidden="1" customHeight="1" x14ac:dyDescent="0.3">
      <c r="A577" t="s">
        <v>95</v>
      </c>
      <c r="B577" s="2">
        <v>46357</v>
      </c>
    </row>
    <row r="578" spans="1:2" ht="15" hidden="1" customHeight="1" x14ac:dyDescent="0.3">
      <c r="A578" t="s">
        <v>239</v>
      </c>
      <c r="B578" s="2">
        <v>45292</v>
      </c>
    </row>
    <row r="579" spans="1:2" ht="15" hidden="1" customHeight="1" x14ac:dyDescent="0.3">
      <c r="A579" t="s">
        <v>239</v>
      </c>
      <c r="B579" s="2">
        <v>45323</v>
      </c>
    </row>
    <row r="580" spans="1:2" ht="15" hidden="1" customHeight="1" x14ac:dyDescent="0.3">
      <c r="A580" t="s">
        <v>239</v>
      </c>
      <c r="B580" s="2">
        <v>45352</v>
      </c>
    </row>
    <row r="581" spans="1:2" ht="15" hidden="1" customHeight="1" x14ac:dyDescent="0.3">
      <c r="A581" t="s">
        <v>239</v>
      </c>
      <c r="B581" s="2">
        <v>45383</v>
      </c>
    </row>
    <row r="582" spans="1:2" ht="15" hidden="1" customHeight="1" x14ac:dyDescent="0.3">
      <c r="A582" t="s">
        <v>239</v>
      </c>
      <c r="B582" s="2">
        <v>45413</v>
      </c>
    </row>
    <row r="583" spans="1:2" ht="15" hidden="1" customHeight="1" x14ac:dyDescent="0.3">
      <c r="A583" t="s">
        <v>239</v>
      </c>
      <c r="B583" s="2">
        <v>45444</v>
      </c>
    </row>
    <row r="584" spans="1:2" ht="15" hidden="1" customHeight="1" x14ac:dyDescent="0.3">
      <c r="A584" t="s">
        <v>239</v>
      </c>
      <c r="B584" s="2">
        <v>45474</v>
      </c>
    </row>
    <row r="585" spans="1:2" ht="15" hidden="1" customHeight="1" x14ac:dyDescent="0.3">
      <c r="A585" t="s">
        <v>239</v>
      </c>
      <c r="B585" s="2">
        <v>45505</v>
      </c>
    </row>
    <row r="586" spans="1:2" ht="15" hidden="1" customHeight="1" x14ac:dyDescent="0.3">
      <c r="A586" t="s">
        <v>239</v>
      </c>
      <c r="B586" s="2">
        <v>45536</v>
      </c>
    </row>
    <row r="587" spans="1:2" ht="15" hidden="1" customHeight="1" x14ac:dyDescent="0.3">
      <c r="A587" t="s">
        <v>239</v>
      </c>
      <c r="B587" s="2">
        <v>45566</v>
      </c>
    </row>
    <row r="588" spans="1:2" ht="15" hidden="1" customHeight="1" x14ac:dyDescent="0.3">
      <c r="A588" t="s">
        <v>239</v>
      </c>
      <c r="B588" s="2">
        <v>45597</v>
      </c>
    </row>
    <row r="589" spans="1:2" ht="15" hidden="1" customHeight="1" x14ac:dyDescent="0.3">
      <c r="A589" t="s">
        <v>239</v>
      </c>
      <c r="B589" s="2">
        <v>45627</v>
      </c>
    </row>
    <row r="590" spans="1:2" ht="15" hidden="1" customHeight="1" x14ac:dyDescent="0.3">
      <c r="A590" t="s">
        <v>239</v>
      </c>
      <c r="B590" s="2">
        <v>45658</v>
      </c>
    </row>
    <row r="591" spans="1:2" ht="15" hidden="1" customHeight="1" x14ac:dyDescent="0.3">
      <c r="A591" t="s">
        <v>239</v>
      </c>
      <c r="B591" s="2">
        <v>45689</v>
      </c>
    </row>
    <row r="592" spans="1:2" ht="15" hidden="1" customHeight="1" x14ac:dyDescent="0.3">
      <c r="A592" t="s">
        <v>239</v>
      </c>
      <c r="B592" s="2">
        <v>45717</v>
      </c>
    </row>
    <row r="593" spans="1:7" ht="15" hidden="1" customHeight="1" x14ac:dyDescent="0.3">
      <c r="A593" t="s">
        <v>239</v>
      </c>
      <c r="B593" s="2">
        <v>45748</v>
      </c>
    </row>
    <row r="594" spans="1:7" ht="15" hidden="1" customHeight="1" x14ac:dyDescent="0.3">
      <c r="A594" t="s">
        <v>239</v>
      </c>
      <c r="B594" s="2">
        <v>45778</v>
      </c>
    </row>
    <row r="595" spans="1:7" ht="15" hidden="1" customHeight="1" x14ac:dyDescent="0.3">
      <c r="A595" t="s">
        <v>239</v>
      </c>
      <c r="B595" s="2">
        <v>45809</v>
      </c>
    </row>
    <row r="596" spans="1:7" ht="15" hidden="1" customHeight="1" x14ac:dyDescent="0.3">
      <c r="A596" t="s">
        <v>239</v>
      </c>
      <c r="B596" s="2">
        <v>45839</v>
      </c>
    </row>
    <row r="597" spans="1:7" ht="15" hidden="1" customHeight="1" x14ac:dyDescent="0.3">
      <c r="A597" t="s">
        <v>239</v>
      </c>
      <c r="B597" s="2">
        <v>45870</v>
      </c>
    </row>
    <row r="598" spans="1:7" ht="15" hidden="1" customHeight="1" x14ac:dyDescent="0.3">
      <c r="A598" t="s">
        <v>239</v>
      </c>
      <c r="B598" s="2">
        <v>45901</v>
      </c>
    </row>
    <row r="599" spans="1:7" ht="15" hidden="1" customHeight="1" x14ac:dyDescent="0.3">
      <c r="A599" t="s">
        <v>239</v>
      </c>
      <c r="B599" s="2">
        <v>45931</v>
      </c>
    </row>
    <row r="600" spans="1:7" ht="15" hidden="1" customHeight="1" x14ac:dyDescent="0.3">
      <c r="A600" t="s">
        <v>239</v>
      </c>
      <c r="B600" s="2">
        <v>45962</v>
      </c>
    </row>
    <row r="601" spans="1:7" ht="15" hidden="1" customHeight="1" x14ac:dyDescent="0.3">
      <c r="A601" t="s">
        <v>239</v>
      </c>
      <c r="B601" s="2">
        <v>45992</v>
      </c>
    </row>
    <row r="602" spans="1:7" ht="15" hidden="1" customHeight="1" x14ac:dyDescent="0.3">
      <c r="A602" t="s">
        <v>239</v>
      </c>
      <c r="B602" s="2">
        <v>46023</v>
      </c>
      <c r="C602">
        <v>3245</v>
      </c>
    </row>
    <row r="603" spans="1:7" ht="15" hidden="1" customHeight="1" x14ac:dyDescent="0.3">
      <c r="A603" t="s">
        <v>239</v>
      </c>
      <c r="B603" s="2">
        <v>46054</v>
      </c>
      <c r="C603">
        <v>3122</v>
      </c>
    </row>
    <row r="604" spans="1:7" ht="15" hidden="1" customHeight="1" x14ac:dyDescent="0.3">
      <c r="A604" t="s">
        <v>239</v>
      </c>
      <c r="B604" s="2">
        <v>46082</v>
      </c>
      <c r="C604">
        <v>2817</v>
      </c>
    </row>
    <row r="605" spans="1:7" ht="15" hidden="1" customHeight="1" x14ac:dyDescent="0.3">
      <c r="A605" t="s">
        <v>239</v>
      </c>
      <c r="B605" s="2">
        <v>46113</v>
      </c>
      <c r="C605">
        <v>2735.53</v>
      </c>
    </row>
    <row r="606" spans="1:7" ht="15" hidden="1" customHeight="1" x14ac:dyDescent="0.3">
      <c r="A606" t="s">
        <v>239</v>
      </c>
      <c r="B606" s="2">
        <v>46143</v>
      </c>
      <c r="C606" s="12">
        <v>3239.91</v>
      </c>
    </row>
    <row r="607" spans="1:7" ht="15" hidden="1" customHeight="1" x14ac:dyDescent="0.3">
      <c r="A607" t="s">
        <v>95</v>
      </c>
      <c r="B607" s="2">
        <v>46174</v>
      </c>
      <c r="C607">
        <v>11956.63</v>
      </c>
    </row>
    <row r="608" spans="1:7" ht="15" hidden="1" customHeight="1" x14ac:dyDescent="0.3">
      <c r="A608" t="s">
        <v>93</v>
      </c>
      <c r="B608" s="2">
        <v>46204</v>
      </c>
      <c r="C608">
        <v>0</v>
      </c>
      <c r="G608" t="s">
        <v>1012</v>
      </c>
    </row>
    <row r="609" spans="1:3" ht="15" hidden="1" customHeight="1" x14ac:dyDescent="0.3">
      <c r="A609" t="s">
        <v>239</v>
      </c>
      <c r="B609" s="2">
        <v>46235</v>
      </c>
      <c r="C609">
        <v>3368.28</v>
      </c>
    </row>
    <row r="610" spans="1:3" ht="15" customHeight="1" x14ac:dyDescent="0.3">
      <c r="A610" t="s">
        <v>239</v>
      </c>
      <c r="B610" s="2">
        <v>46266</v>
      </c>
      <c r="C610" s="47">
        <v>2640.395</v>
      </c>
    </row>
    <row r="611" spans="1:3" ht="15" hidden="1" customHeight="1" x14ac:dyDescent="0.3">
      <c r="A611" t="s">
        <v>239</v>
      </c>
      <c r="B611" s="2">
        <v>46296</v>
      </c>
    </row>
    <row r="612" spans="1:3" ht="15" hidden="1" customHeight="1" x14ac:dyDescent="0.3">
      <c r="A612" t="s">
        <v>239</v>
      </c>
      <c r="B612" s="2">
        <v>46327</v>
      </c>
    </row>
    <row r="613" spans="1:3" ht="15" hidden="1" customHeight="1" x14ac:dyDescent="0.3">
      <c r="A613" t="s">
        <v>239</v>
      </c>
      <c r="B613" s="2">
        <v>46357</v>
      </c>
    </row>
    <row r="614" spans="1:3" ht="15" hidden="1" customHeight="1" x14ac:dyDescent="0.3">
      <c r="A614" t="s">
        <v>98</v>
      </c>
      <c r="B614" s="2">
        <v>45292</v>
      </c>
      <c r="C614">
        <v>9736</v>
      </c>
    </row>
    <row r="615" spans="1:3" ht="15" hidden="1" customHeight="1" x14ac:dyDescent="0.3">
      <c r="A615" t="s">
        <v>98</v>
      </c>
      <c r="B615" s="2">
        <v>45323</v>
      </c>
      <c r="C615">
        <v>8912</v>
      </c>
    </row>
    <row r="616" spans="1:3" ht="15" hidden="1" customHeight="1" x14ac:dyDescent="0.3">
      <c r="A616" t="s">
        <v>98</v>
      </c>
      <c r="B616" s="2">
        <v>45352</v>
      </c>
      <c r="C616">
        <v>9597</v>
      </c>
    </row>
    <row r="617" spans="1:3" ht="15" hidden="1" customHeight="1" x14ac:dyDescent="0.3">
      <c r="A617" t="s">
        <v>98</v>
      </c>
      <c r="B617" s="2">
        <v>45383</v>
      </c>
      <c r="C617">
        <v>7950</v>
      </c>
    </row>
    <row r="618" spans="1:3" ht="15" hidden="1" customHeight="1" x14ac:dyDescent="0.3">
      <c r="A618" t="s">
        <v>98</v>
      </c>
      <c r="B618" s="2">
        <v>45413</v>
      </c>
      <c r="C618">
        <v>7482</v>
      </c>
    </row>
    <row r="619" spans="1:3" ht="15" hidden="1" customHeight="1" x14ac:dyDescent="0.3">
      <c r="A619" t="s">
        <v>98</v>
      </c>
      <c r="B619" s="2">
        <v>45444</v>
      </c>
      <c r="C619">
        <v>6656</v>
      </c>
    </row>
    <row r="620" spans="1:3" ht="15" hidden="1" customHeight="1" x14ac:dyDescent="0.3">
      <c r="A620" t="s">
        <v>98</v>
      </c>
      <c r="B620" s="2">
        <v>45474</v>
      </c>
      <c r="C620">
        <v>11170</v>
      </c>
    </row>
    <row r="621" spans="1:3" ht="15" hidden="1" customHeight="1" x14ac:dyDescent="0.3">
      <c r="A621" t="s">
        <v>98</v>
      </c>
      <c r="B621" s="2">
        <v>45505</v>
      </c>
      <c r="C621">
        <v>11290</v>
      </c>
    </row>
    <row r="622" spans="1:3" ht="15" hidden="1" customHeight="1" x14ac:dyDescent="0.3">
      <c r="A622" t="s">
        <v>98</v>
      </c>
      <c r="B622" s="2">
        <v>45536</v>
      </c>
      <c r="C622">
        <v>8578</v>
      </c>
    </row>
    <row r="623" spans="1:3" ht="15" hidden="1" customHeight="1" x14ac:dyDescent="0.3">
      <c r="A623" t="s">
        <v>98</v>
      </c>
      <c r="B623" s="2">
        <v>45566</v>
      </c>
      <c r="C623">
        <v>12704</v>
      </c>
    </row>
    <row r="624" spans="1:3" ht="15" hidden="1" customHeight="1" x14ac:dyDescent="0.3">
      <c r="A624" t="s">
        <v>98</v>
      </c>
      <c r="B624" s="2">
        <v>45597</v>
      </c>
      <c r="C624">
        <v>5700</v>
      </c>
    </row>
    <row r="625" spans="1:3" ht="15" hidden="1" customHeight="1" x14ac:dyDescent="0.3">
      <c r="A625" t="s">
        <v>98</v>
      </c>
      <c r="B625" s="2">
        <v>45627</v>
      </c>
    </row>
    <row r="626" spans="1:3" ht="15" hidden="1" customHeight="1" x14ac:dyDescent="0.3">
      <c r="A626" t="s">
        <v>98</v>
      </c>
      <c r="B626" s="2">
        <v>45658</v>
      </c>
    </row>
    <row r="627" spans="1:3" ht="15" hidden="1" customHeight="1" x14ac:dyDescent="0.3">
      <c r="A627" t="s">
        <v>98</v>
      </c>
      <c r="B627" s="2">
        <v>45689</v>
      </c>
    </row>
    <row r="628" spans="1:3" ht="15" hidden="1" customHeight="1" x14ac:dyDescent="0.3">
      <c r="A628" t="s">
        <v>98</v>
      </c>
      <c r="B628" s="2">
        <v>45717</v>
      </c>
      <c r="C628">
        <v>6684</v>
      </c>
    </row>
    <row r="629" spans="1:3" ht="15" hidden="1" customHeight="1" x14ac:dyDescent="0.3">
      <c r="A629" t="s">
        <v>98</v>
      </c>
      <c r="B629" s="2">
        <v>45748</v>
      </c>
      <c r="C629">
        <v>3992</v>
      </c>
    </row>
    <row r="630" spans="1:3" ht="15" hidden="1" customHeight="1" x14ac:dyDescent="0.3">
      <c r="A630" t="s">
        <v>98</v>
      </c>
      <c r="B630" s="2">
        <v>45778</v>
      </c>
      <c r="C630">
        <v>6009</v>
      </c>
    </row>
    <row r="631" spans="1:3" ht="15" hidden="1" customHeight="1" x14ac:dyDescent="0.3">
      <c r="A631" t="s">
        <v>98</v>
      </c>
      <c r="B631" s="2">
        <v>45809</v>
      </c>
      <c r="C631">
        <v>5530.9</v>
      </c>
    </row>
    <row r="632" spans="1:3" ht="15" hidden="1" customHeight="1" x14ac:dyDescent="0.3">
      <c r="A632" t="s">
        <v>98</v>
      </c>
      <c r="B632" s="2">
        <v>45839</v>
      </c>
      <c r="C632">
        <v>6694</v>
      </c>
    </row>
    <row r="633" spans="1:3" ht="15" hidden="1" customHeight="1" x14ac:dyDescent="0.3">
      <c r="A633" t="s">
        <v>98</v>
      </c>
      <c r="B633" s="2">
        <v>45870</v>
      </c>
      <c r="C633">
        <v>7750</v>
      </c>
    </row>
    <row r="634" spans="1:3" ht="15" hidden="1" customHeight="1" x14ac:dyDescent="0.3">
      <c r="A634" t="s">
        <v>98</v>
      </c>
      <c r="B634" s="2">
        <v>45901</v>
      </c>
      <c r="C634">
        <v>7031</v>
      </c>
    </row>
    <row r="635" spans="1:3" ht="15" hidden="1" customHeight="1" x14ac:dyDescent="0.3">
      <c r="A635" t="s">
        <v>98</v>
      </c>
      <c r="B635" s="2">
        <v>45931</v>
      </c>
      <c r="C635">
        <v>9805</v>
      </c>
    </row>
    <row r="636" spans="1:3" ht="15" hidden="1" customHeight="1" x14ac:dyDescent="0.3">
      <c r="A636" t="s">
        <v>98</v>
      </c>
      <c r="B636" s="2">
        <v>45962</v>
      </c>
      <c r="C636">
        <v>9365</v>
      </c>
    </row>
    <row r="637" spans="1:3" ht="15" hidden="1" customHeight="1" x14ac:dyDescent="0.3">
      <c r="A637" t="s">
        <v>98</v>
      </c>
      <c r="B637" s="2">
        <v>45992</v>
      </c>
      <c r="C637">
        <v>5379</v>
      </c>
    </row>
    <row r="638" spans="1:3" ht="15" hidden="1" customHeight="1" x14ac:dyDescent="0.3">
      <c r="A638" t="s">
        <v>98</v>
      </c>
      <c r="B638" s="2">
        <v>46023</v>
      </c>
      <c r="C638">
        <v>4979.16</v>
      </c>
    </row>
    <row r="639" spans="1:3" ht="15" hidden="1" customHeight="1" x14ac:dyDescent="0.3">
      <c r="A639" t="s">
        <v>98</v>
      </c>
      <c r="B639" s="2">
        <v>46054</v>
      </c>
      <c r="C639">
        <v>2172.67</v>
      </c>
    </row>
    <row r="640" spans="1:3" ht="15" hidden="1" customHeight="1" x14ac:dyDescent="0.3">
      <c r="A640" t="s">
        <v>98</v>
      </c>
      <c r="B640" s="2">
        <v>46082</v>
      </c>
      <c r="C640">
        <v>350</v>
      </c>
    </row>
    <row r="641" spans="1:3" ht="15" hidden="1" customHeight="1" x14ac:dyDescent="0.3">
      <c r="A641" t="s">
        <v>98</v>
      </c>
      <c r="B641" s="2">
        <v>46113</v>
      </c>
      <c r="C641">
        <v>194.99</v>
      </c>
    </row>
    <row r="642" spans="1:3" ht="15" hidden="1" customHeight="1" x14ac:dyDescent="0.3">
      <c r="A642" t="s">
        <v>98</v>
      </c>
      <c r="B642" s="2">
        <v>46143</v>
      </c>
    </row>
    <row r="643" spans="1:3" ht="15" hidden="1" customHeight="1" x14ac:dyDescent="0.3">
      <c r="A643" t="s">
        <v>98</v>
      </c>
      <c r="B643" s="2">
        <v>46174</v>
      </c>
      <c r="C643">
        <v>3521</v>
      </c>
    </row>
    <row r="644" spans="1:3" ht="15" hidden="1" customHeight="1" x14ac:dyDescent="0.3">
      <c r="A644" t="s">
        <v>95</v>
      </c>
      <c r="B644" s="2">
        <v>46204</v>
      </c>
      <c r="C644">
        <v>12633</v>
      </c>
    </row>
    <row r="645" spans="1:3" ht="15" hidden="1" customHeight="1" x14ac:dyDescent="0.3">
      <c r="A645" t="s">
        <v>98</v>
      </c>
      <c r="B645" s="2">
        <v>46235</v>
      </c>
      <c r="C645">
        <v>4981</v>
      </c>
    </row>
    <row r="646" spans="1:3" ht="15" customHeight="1" x14ac:dyDescent="0.3">
      <c r="A646" t="s">
        <v>98</v>
      </c>
      <c r="B646" s="2">
        <v>46266</v>
      </c>
      <c r="C646" s="47">
        <v>5324.6800499999999</v>
      </c>
    </row>
    <row r="647" spans="1:3" ht="15" hidden="1" customHeight="1" x14ac:dyDescent="0.3">
      <c r="A647" t="s">
        <v>98</v>
      </c>
      <c r="B647" s="2">
        <v>46296</v>
      </c>
    </row>
    <row r="648" spans="1:3" ht="15" hidden="1" customHeight="1" x14ac:dyDescent="0.3">
      <c r="A648" t="s">
        <v>98</v>
      </c>
      <c r="B648" s="2">
        <v>46327</v>
      </c>
    </row>
    <row r="649" spans="1:3" ht="15" hidden="1" customHeight="1" x14ac:dyDescent="0.3">
      <c r="A649" t="s">
        <v>98</v>
      </c>
      <c r="B649" s="2">
        <v>46357</v>
      </c>
    </row>
    <row r="650" spans="1:3" ht="15" hidden="1" customHeight="1" x14ac:dyDescent="0.3">
      <c r="A650" t="s">
        <v>102</v>
      </c>
      <c r="B650" s="2">
        <v>45292</v>
      </c>
      <c r="C650">
        <v>4830</v>
      </c>
    </row>
    <row r="651" spans="1:3" ht="15" hidden="1" customHeight="1" x14ac:dyDescent="0.3">
      <c r="A651" t="s">
        <v>102</v>
      </c>
      <c r="B651" s="2">
        <v>45323</v>
      </c>
      <c r="C651">
        <v>7231</v>
      </c>
    </row>
    <row r="652" spans="1:3" ht="15" hidden="1" customHeight="1" x14ac:dyDescent="0.3">
      <c r="A652" t="s">
        <v>102</v>
      </c>
      <c r="B652" s="2">
        <v>45352</v>
      </c>
      <c r="C652">
        <v>5436</v>
      </c>
    </row>
    <row r="653" spans="1:3" ht="15" hidden="1" customHeight="1" x14ac:dyDescent="0.3">
      <c r="A653" t="s">
        <v>102</v>
      </c>
      <c r="B653" s="2">
        <v>45383</v>
      </c>
      <c r="C653">
        <v>5158</v>
      </c>
    </row>
    <row r="654" spans="1:3" ht="15" hidden="1" customHeight="1" x14ac:dyDescent="0.3">
      <c r="A654" t="s">
        <v>102</v>
      </c>
      <c r="B654" s="2">
        <v>45413</v>
      </c>
      <c r="C654">
        <v>3827</v>
      </c>
    </row>
    <row r="655" spans="1:3" ht="15" hidden="1" customHeight="1" x14ac:dyDescent="0.3">
      <c r="A655" t="s">
        <v>102</v>
      </c>
      <c r="B655" s="2">
        <v>45444</v>
      </c>
      <c r="C655">
        <v>3220</v>
      </c>
    </row>
    <row r="656" spans="1:3" ht="15" hidden="1" customHeight="1" x14ac:dyDescent="0.3">
      <c r="A656" t="s">
        <v>102</v>
      </c>
      <c r="B656" s="2">
        <v>45474</v>
      </c>
      <c r="C656">
        <v>5497</v>
      </c>
    </row>
    <row r="657" spans="1:3" ht="15" hidden="1" customHeight="1" x14ac:dyDescent="0.3">
      <c r="A657" t="s">
        <v>102</v>
      </c>
      <c r="B657" s="2">
        <v>45505</v>
      </c>
      <c r="C657">
        <v>4475</v>
      </c>
    </row>
    <row r="658" spans="1:3" ht="15" hidden="1" customHeight="1" x14ac:dyDescent="0.3">
      <c r="A658" t="s">
        <v>102</v>
      </c>
      <c r="B658" s="2">
        <v>45536</v>
      </c>
      <c r="C658">
        <v>1847</v>
      </c>
    </row>
    <row r="659" spans="1:3" ht="15" hidden="1" customHeight="1" x14ac:dyDescent="0.3">
      <c r="A659" t="s">
        <v>102</v>
      </c>
      <c r="B659" s="2">
        <v>45566</v>
      </c>
      <c r="C659">
        <v>1575</v>
      </c>
    </row>
    <row r="660" spans="1:3" ht="15" hidden="1" customHeight="1" x14ac:dyDescent="0.3">
      <c r="A660" t="s">
        <v>102</v>
      </c>
      <c r="B660" s="2">
        <v>45597</v>
      </c>
      <c r="C660">
        <v>5700</v>
      </c>
    </row>
    <row r="661" spans="1:3" ht="15" hidden="1" customHeight="1" x14ac:dyDescent="0.3">
      <c r="A661" t="s">
        <v>102</v>
      </c>
      <c r="B661" s="2">
        <v>45627</v>
      </c>
      <c r="C661">
        <v>1938</v>
      </c>
    </row>
    <row r="662" spans="1:3" ht="15" hidden="1" customHeight="1" x14ac:dyDescent="0.3">
      <c r="A662" t="s">
        <v>102</v>
      </c>
      <c r="B662" s="2">
        <v>45658</v>
      </c>
      <c r="C662">
        <v>5227</v>
      </c>
    </row>
    <row r="663" spans="1:3" ht="15" hidden="1" customHeight="1" x14ac:dyDescent="0.3">
      <c r="A663" t="s">
        <v>102</v>
      </c>
      <c r="B663" s="2">
        <v>45689</v>
      </c>
      <c r="C663">
        <v>5137</v>
      </c>
    </row>
    <row r="664" spans="1:3" ht="15" hidden="1" customHeight="1" x14ac:dyDescent="0.3">
      <c r="A664" t="s">
        <v>102</v>
      </c>
      <c r="B664" s="2">
        <v>45717</v>
      </c>
      <c r="C664">
        <v>5031</v>
      </c>
    </row>
    <row r="665" spans="1:3" ht="15" hidden="1" customHeight="1" x14ac:dyDescent="0.3">
      <c r="A665" t="s">
        <v>102</v>
      </c>
      <c r="B665" s="2">
        <v>45748</v>
      </c>
      <c r="C665">
        <v>3147</v>
      </c>
    </row>
    <row r="666" spans="1:3" ht="15" hidden="1" customHeight="1" x14ac:dyDescent="0.3">
      <c r="A666" t="s">
        <v>102</v>
      </c>
      <c r="B666" s="2">
        <v>45778</v>
      </c>
      <c r="C666">
        <v>4797</v>
      </c>
    </row>
    <row r="667" spans="1:3" ht="15" hidden="1" customHeight="1" x14ac:dyDescent="0.3">
      <c r="A667" t="s">
        <v>102</v>
      </c>
      <c r="B667" s="2">
        <v>45809</v>
      </c>
      <c r="C667">
        <v>3255.49</v>
      </c>
    </row>
    <row r="668" spans="1:3" ht="15" hidden="1" customHeight="1" x14ac:dyDescent="0.3">
      <c r="A668" t="s">
        <v>102</v>
      </c>
      <c r="B668" s="2">
        <v>45839</v>
      </c>
      <c r="C668">
        <v>5212</v>
      </c>
    </row>
    <row r="669" spans="1:3" ht="15" hidden="1" customHeight="1" x14ac:dyDescent="0.3">
      <c r="A669" t="s">
        <v>102</v>
      </c>
      <c r="B669" s="2">
        <v>45870</v>
      </c>
      <c r="C669">
        <v>1743.88</v>
      </c>
    </row>
    <row r="670" spans="1:3" ht="15" hidden="1" customHeight="1" x14ac:dyDescent="0.3">
      <c r="A670" t="s">
        <v>102</v>
      </c>
      <c r="B670" s="2">
        <v>45901</v>
      </c>
      <c r="C670">
        <v>4503</v>
      </c>
    </row>
    <row r="671" spans="1:3" ht="15" hidden="1" customHeight="1" x14ac:dyDescent="0.3">
      <c r="A671" t="s">
        <v>102</v>
      </c>
      <c r="B671" s="2">
        <v>45931</v>
      </c>
      <c r="C671">
        <v>6159</v>
      </c>
    </row>
    <row r="672" spans="1:3" ht="15" hidden="1" customHeight="1" x14ac:dyDescent="0.3">
      <c r="A672" t="s">
        <v>102</v>
      </c>
      <c r="B672" s="2">
        <v>45962</v>
      </c>
      <c r="C672">
        <v>6232</v>
      </c>
    </row>
    <row r="673" spans="1:3" ht="15" hidden="1" customHeight="1" x14ac:dyDescent="0.3">
      <c r="A673" t="s">
        <v>102</v>
      </c>
      <c r="B673" s="2">
        <v>45992</v>
      </c>
      <c r="C673">
        <v>5380</v>
      </c>
    </row>
    <row r="674" spans="1:3" ht="15" hidden="1" customHeight="1" x14ac:dyDescent="0.3">
      <c r="A674" t="s">
        <v>102</v>
      </c>
      <c r="B674" s="2">
        <v>46023</v>
      </c>
      <c r="C674">
        <v>7601.5</v>
      </c>
    </row>
    <row r="675" spans="1:3" ht="15" hidden="1" customHeight="1" x14ac:dyDescent="0.3">
      <c r="A675" t="s">
        <v>102</v>
      </c>
      <c r="B675" s="2">
        <v>46054</v>
      </c>
      <c r="C675">
        <v>6347.07</v>
      </c>
    </row>
    <row r="676" spans="1:3" ht="15" hidden="1" customHeight="1" x14ac:dyDescent="0.3">
      <c r="A676" t="s">
        <v>102</v>
      </c>
      <c r="B676" s="2">
        <v>46082</v>
      </c>
      <c r="C676">
        <v>7063</v>
      </c>
    </row>
    <row r="677" spans="1:3" ht="15" hidden="1" customHeight="1" x14ac:dyDescent="0.3">
      <c r="A677" t="s">
        <v>102</v>
      </c>
      <c r="B677" s="2">
        <v>46113</v>
      </c>
      <c r="C677">
        <v>4736.87</v>
      </c>
    </row>
    <row r="678" spans="1:3" ht="15" hidden="1" customHeight="1" x14ac:dyDescent="0.3">
      <c r="A678" t="s">
        <v>102</v>
      </c>
      <c r="B678" s="2">
        <v>46143</v>
      </c>
      <c r="C678" s="12">
        <v>4375.54</v>
      </c>
    </row>
    <row r="679" spans="1:3" ht="15" hidden="1" customHeight="1" x14ac:dyDescent="0.3">
      <c r="A679" t="s">
        <v>102</v>
      </c>
      <c r="B679" s="2">
        <v>46174</v>
      </c>
      <c r="C679">
        <v>3483</v>
      </c>
    </row>
    <row r="680" spans="1:3" ht="15" hidden="1" customHeight="1" x14ac:dyDescent="0.3">
      <c r="A680" t="s">
        <v>271</v>
      </c>
      <c r="B680" s="2">
        <v>46204</v>
      </c>
      <c r="C680">
        <v>6140</v>
      </c>
    </row>
    <row r="681" spans="1:3" ht="15" hidden="1" customHeight="1" x14ac:dyDescent="0.3">
      <c r="A681" t="s">
        <v>102</v>
      </c>
      <c r="B681" s="2">
        <v>46235</v>
      </c>
      <c r="C681">
        <v>5110</v>
      </c>
    </row>
    <row r="682" spans="1:3" ht="15" customHeight="1" x14ac:dyDescent="0.3">
      <c r="A682" t="s">
        <v>102</v>
      </c>
      <c r="B682" s="2">
        <v>46266</v>
      </c>
      <c r="C682" s="47">
        <v>5755.15</v>
      </c>
    </row>
    <row r="683" spans="1:3" ht="15" hidden="1" customHeight="1" x14ac:dyDescent="0.3">
      <c r="A683" t="s">
        <v>102</v>
      </c>
      <c r="B683" s="2">
        <v>46296</v>
      </c>
    </row>
    <row r="684" spans="1:3" ht="15" hidden="1" customHeight="1" x14ac:dyDescent="0.3">
      <c r="A684" t="s">
        <v>102</v>
      </c>
      <c r="B684" s="2">
        <v>46327</v>
      </c>
    </row>
    <row r="685" spans="1:3" ht="15" hidden="1" customHeight="1" x14ac:dyDescent="0.3">
      <c r="A685" t="s">
        <v>102</v>
      </c>
      <c r="B685" s="2">
        <v>46357</v>
      </c>
    </row>
    <row r="686" spans="1:3" ht="15" hidden="1" customHeight="1" x14ac:dyDescent="0.3">
      <c r="A686" t="s">
        <v>104</v>
      </c>
      <c r="B686" s="2">
        <v>45292</v>
      </c>
      <c r="C686">
        <v>961</v>
      </c>
    </row>
    <row r="687" spans="1:3" ht="15" hidden="1" customHeight="1" x14ac:dyDescent="0.3">
      <c r="A687" t="s">
        <v>104</v>
      </c>
      <c r="B687" s="2">
        <v>45323</v>
      </c>
      <c r="C687">
        <v>798</v>
      </c>
    </row>
    <row r="688" spans="1:3" ht="15" hidden="1" customHeight="1" x14ac:dyDescent="0.3">
      <c r="A688" t="s">
        <v>104</v>
      </c>
      <c r="B688" s="2">
        <v>45352</v>
      </c>
      <c r="C688">
        <v>398</v>
      </c>
    </row>
    <row r="689" spans="1:3" ht="15" hidden="1" customHeight="1" x14ac:dyDescent="0.3">
      <c r="A689" t="s">
        <v>104</v>
      </c>
      <c r="B689" s="2">
        <v>45383</v>
      </c>
      <c r="C689">
        <v>1334</v>
      </c>
    </row>
    <row r="690" spans="1:3" ht="15" hidden="1" customHeight="1" x14ac:dyDescent="0.3">
      <c r="A690" t="s">
        <v>104</v>
      </c>
      <c r="B690" s="2">
        <v>45413</v>
      </c>
      <c r="C690">
        <v>1953</v>
      </c>
    </row>
    <row r="691" spans="1:3" ht="15" hidden="1" customHeight="1" x14ac:dyDescent="0.3">
      <c r="A691" t="s">
        <v>104</v>
      </c>
      <c r="B691" s="2">
        <v>45444</v>
      </c>
      <c r="C691">
        <v>1657</v>
      </c>
    </row>
    <row r="692" spans="1:3" ht="15" hidden="1" customHeight="1" x14ac:dyDescent="0.3">
      <c r="A692" t="s">
        <v>104</v>
      </c>
      <c r="B692" s="2">
        <v>45474</v>
      </c>
      <c r="C692">
        <v>1845</v>
      </c>
    </row>
    <row r="693" spans="1:3" ht="15" hidden="1" customHeight="1" x14ac:dyDescent="0.3">
      <c r="A693" t="s">
        <v>104</v>
      </c>
      <c r="B693" s="2">
        <v>45505</v>
      </c>
      <c r="C693">
        <v>2034</v>
      </c>
    </row>
    <row r="694" spans="1:3" ht="15" hidden="1" customHeight="1" x14ac:dyDescent="0.3">
      <c r="A694" t="s">
        <v>104</v>
      </c>
      <c r="B694" s="2">
        <v>45536</v>
      </c>
      <c r="C694">
        <v>1982</v>
      </c>
    </row>
    <row r="695" spans="1:3" ht="15" hidden="1" customHeight="1" x14ac:dyDescent="0.3">
      <c r="A695" t="s">
        <v>104</v>
      </c>
      <c r="B695" s="2">
        <v>45566</v>
      </c>
      <c r="C695">
        <v>2181</v>
      </c>
    </row>
    <row r="696" spans="1:3" ht="15" hidden="1" customHeight="1" x14ac:dyDescent="0.3">
      <c r="A696" t="s">
        <v>104</v>
      </c>
      <c r="B696" s="2">
        <v>45597</v>
      </c>
      <c r="C696">
        <v>1783</v>
      </c>
    </row>
    <row r="697" spans="1:3" ht="15" hidden="1" customHeight="1" x14ac:dyDescent="0.3">
      <c r="A697" t="s">
        <v>104</v>
      </c>
      <c r="B697" s="2">
        <v>45627</v>
      </c>
      <c r="C697">
        <v>2366</v>
      </c>
    </row>
    <row r="698" spans="1:3" ht="15" hidden="1" customHeight="1" x14ac:dyDescent="0.3">
      <c r="A698" t="s">
        <v>104</v>
      </c>
      <c r="B698" s="2">
        <v>45658</v>
      </c>
      <c r="C698">
        <v>2514</v>
      </c>
    </row>
    <row r="699" spans="1:3" ht="15" hidden="1" customHeight="1" x14ac:dyDescent="0.3">
      <c r="A699" t="s">
        <v>104</v>
      </c>
      <c r="B699" s="2">
        <v>45689</v>
      </c>
      <c r="C699">
        <v>2930</v>
      </c>
    </row>
    <row r="700" spans="1:3" ht="15" hidden="1" customHeight="1" x14ac:dyDescent="0.3">
      <c r="A700" t="s">
        <v>104</v>
      </c>
      <c r="B700" s="2">
        <v>45717</v>
      </c>
      <c r="C700">
        <v>1758</v>
      </c>
    </row>
    <row r="701" spans="1:3" ht="15" hidden="1" customHeight="1" x14ac:dyDescent="0.3">
      <c r="A701" t="s">
        <v>104</v>
      </c>
      <c r="B701" s="2">
        <v>45748</v>
      </c>
      <c r="C701">
        <v>1646</v>
      </c>
    </row>
    <row r="702" spans="1:3" ht="15" hidden="1" customHeight="1" x14ac:dyDescent="0.3">
      <c r="A702" t="s">
        <v>104</v>
      </c>
      <c r="B702" s="2">
        <v>45778</v>
      </c>
      <c r="C702">
        <v>2386</v>
      </c>
    </row>
    <row r="703" spans="1:3" ht="15" hidden="1" customHeight="1" x14ac:dyDescent="0.3">
      <c r="A703" t="s">
        <v>104</v>
      </c>
      <c r="B703" s="2">
        <v>45809</v>
      </c>
      <c r="C703">
        <v>1228</v>
      </c>
    </row>
    <row r="704" spans="1:3" ht="15" hidden="1" customHeight="1" x14ac:dyDescent="0.3">
      <c r="A704" t="s">
        <v>104</v>
      </c>
      <c r="B704" s="2">
        <v>45839</v>
      </c>
      <c r="C704">
        <v>1684</v>
      </c>
    </row>
    <row r="705" spans="1:3" ht="15" hidden="1" customHeight="1" x14ac:dyDescent="0.3">
      <c r="A705" t="s">
        <v>104</v>
      </c>
      <c r="B705" s="2">
        <v>45870</v>
      </c>
      <c r="C705">
        <v>1766.1</v>
      </c>
    </row>
    <row r="706" spans="1:3" ht="15" hidden="1" customHeight="1" x14ac:dyDescent="0.3">
      <c r="A706" t="s">
        <v>104</v>
      </c>
      <c r="B706" s="2">
        <v>45901</v>
      </c>
      <c r="C706">
        <v>1960</v>
      </c>
    </row>
    <row r="707" spans="1:3" ht="15" hidden="1" customHeight="1" x14ac:dyDescent="0.3">
      <c r="A707" t="s">
        <v>104</v>
      </c>
      <c r="B707" s="2">
        <v>45931</v>
      </c>
      <c r="C707">
        <v>2119</v>
      </c>
    </row>
    <row r="708" spans="1:3" ht="15" hidden="1" customHeight="1" x14ac:dyDescent="0.3">
      <c r="A708" t="s">
        <v>104</v>
      </c>
      <c r="B708" s="2">
        <v>45962</v>
      </c>
      <c r="C708">
        <v>1774</v>
      </c>
    </row>
    <row r="709" spans="1:3" ht="15" hidden="1" customHeight="1" x14ac:dyDescent="0.3">
      <c r="A709" t="s">
        <v>104</v>
      </c>
      <c r="B709" s="2">
        <v>45992</v>
      </c>
      <c r="C709">
        <v>2120</v>
      </c>
    </row>
    <row r="710" spans="1:3" ht="15" hidden="1" customHeight="1" x14ac:dyDescent="0.3">
      <c r="A710" t="s">
        <v>104</v>
      </c>
      <c r="B710" s="2">
        <v>46023</v>
      </c>
      <c r="C710">
        <v>647</v>
      </c>
    </row>
    <row r="711" spans="1:3" ht="15" hidden="1" customHeight="1" x14ac:dyDescent="0.3">
      <c r="A711" t="s">
        <v>104</v>
      </c>
      <c r="B711" s="2">
        <v>46054</v>
      </c>
      <c r="C711">
        <v>1429</v>
      </c>
    </row>
    <row r="712" spans="1:3" ht="15" hidden="1" customHeight="1" x14ac:dyDescent="0.3">
      <c r="A712" t="s">
        <v>104</v>
      </c>
      <c r="B712" s="2">
        <v>46082</v>
      </c>
      <c r="C712">
        <v>1816</v>
      </c>
    </row>
    <row r="713" spans="1:3" ht="15" hidden="1" customHeight="1" x14ac:dyDescent="0.3">
      <c r="A713" t="s">
        <v>104</v>
      </c>
      <c r="B713" s="2">
        <v>46113</v>
      </c>
      <c r="C713">
        <v>3513.5</v>
      </c>
    </row>
    <row r="714" spans="1:3" ht="15" hidden="1" customHeight="1" x14ac:dyDescent="0.3">
      <c r="A714" t="s">
        <v>104</v>
      </c>
      <c r="B714" s="2">
        <v>46143</v>
      </c>
      <c r="C714">
        <v>3029</v>
      </c>
    </row>
    <row r="715" spans="1:3" ht="15" hidden="1" customHeight="1" x14ac:dyDescent="0.3">
      <c r="A715" t="s">
        <v>271</v>
      </c>
      <c r="B715" s="2">
        <v>46174</v>
      </c>
      <c r="C715">
        <v>10169</v>
      </c>
    </row>
    <row r="716" spans="1:3" ht="15" hidden="1" customHeight="1" x14ac:dyDescent="0.3">
      <c r="A716" t="s">
        <v>104</v>
      </c>
      <c r="B716" s="2">
        <v>46174</v>
      </c>
      <c r="C716">
        <v>2484</v>
      </c>
    </row>
    <row r="717" spans="1:3" ht="15" hidden="1" customHeight="1" x14ac:dyDescent="0.3">
      <c r="A717" t="s">
        <v>239</v>
      </c>
      <c r="B717" s="2">
        <v>46204</v>
      </c>
      <c r="C717">
        <v>3388.4247999999998</v>
      </c>
    </row>
    <row r="718" spans="1:3" ht="15" hidden="1" customHeight="1" x14ac:dyDescent="0.3">
      <c r="A718" t="s">
        <v>104</v>
      </c>
      <c r="B718" s="2">
        <v>46235</v>
      </c>
      <c r="C718">
        <v>1628</v>
      </c>
    </row>
    <row r="719" spans="1:3" ht="15" customHeight="1" x14ac:dyDescent="0.3">
      <c r="A719" t="s">
        <v>104</v>
      </c>
      <c r="B719" s="2">
        <v>46266</v>
      </c>
      <c r="C719" s="47">
        <v>747.8</v>
      </c>
    </row>
    <row r="720" spans="1:3" ht="15" hidden="1" customHeight="1" x14ac:dyDescent="0.3">
      <c r="A720" t="s">
        <v>104</v>
      </c>
      <c r="B720" s="2">
        <v>46296</v>
      </c>
    </row>
    <row r="721" spans="1:3" ht="15" hidden="1" customHeight="1" x14ac:dyDescent="0.3">
      <c r="A721" t="s">
        <v>104</v>
      </c>
      <c r="B721" s="2">
        <v>46327</v>
      </c>
    </row>
    <row r="722" spans="1:3" ht="15" hidden="1" customHeight="1" x14ac:dyDescent="0.3">
      <c r="A722" t="s">
        <v>104</v>
      </c>
      <c r="B722" s="2">
        <v>46357</v>
      </c>
    </row>
    <row r="723" spans="1:3" ht="15" hidden="1" customHeight="1" x14ac:dyDescent="0.3">
      <c r="A723" t="s">
        <v>107</v>
      </c>
      <c r="B723" s="2">
        <v>45292</v>
      </c>
      <c r="C723">
        <v>1880</v>
      </c>
    </row>
    <row r="724" spans="1:3" ht="15" hidden="1" customHeight="1" x14ac:dyDescent="0.3">
      <c r="A724" t="s">
        <v>107</v>
      </c>
      <c r="B724" s="2">
        <v>45323</v>
      </c>
      <c r="C724">
        <v>1559</v>
      </c>
    </row>
    <row r="725" spans="1:3" ht="15" hidden="1" customHeight="1" x14ac:dyDescent="0.3">
      <c r="A725" t="s">
        <v>107</v>
      </c>
      <c r="B725" s="2">
        <v>45352</v>
      </c>
      <c r="C725">
        <v>1596</v>
      </c>
    </row>
    <row r="726" spans="1:3" ht="15" hidden="1" customHeight="1" x14ac:dyDescent="0.3">
      <c r="A726" t="s">
        <v>107</v>
      </c>
      <c r="B726" s="2">
        <v>45383</v>
      </c>
      <c r="C726">
        <v>2170</v>
      </c>
    </row>
    <row r="727" spans="1:3" ht="15" hidden="1" customHeight="1" x14ac:dyDescent="0.3">
      <c r="A727" t="s">
        <v>107</v>
      </c>
      <c r="B727" s="2">
        <v>45413</v>
      </c>
      <c r="C727">
        <v>2876</v>
      </c>
    </row>
    <row r="728" spans="1:3" ht="15" hidden="1" customHeight="1" x14ac:dyDescent="0.3">
      <c r="A728" t="s">
        <v>107</v>
      </c>
      <c r="B728" s="2">
        <v>45444</v>
      </c>
      <c r="C728">
        <v>2499</v>
      </c>
    </row>
    <row r="729" spans="1:3" ht="15" hidden="1" customHeight="1" x14ac:dyDescent="0.3">
      <c r="A729" t="s">
        <v>107</v>
      </c>
      <c r="B729" s="2">
        <v>45474</v>
      </c>
      <c r="C729">
        <v>2895</v>
      </c>
    </row>
    <row r="730" spans="1:3" ht="15" hidden="1" customHeight="1" x14ac:dyDescent="0.3">
      <c r="A730" t="s">
        <v>107</v>
      </c>
      <c r="B730" s="2">
        <v>45505</v>
      </c>
      <c r="C730">
        <v>3177</v>
      </c>
    </row>
    <row r="731" spans="1:3" ht="15" hidden="1" customHeight="1" x14ac:dyDescent="0.3">
      <c r="A731" t="s">
        <v>107</v>
      </c>
      <c r="B731" s="2">
        <v>45536</v>
      </c>
      <c r="C731">
        <v>3048</v>
      </c>
    </row>
    <row r="732" spans="1:3" ht="15" hidden="1" customHeight="1" x14ac:dyDescent="0.3">
      <c r="A732" t="s">
        <v>107</v>
      </c>
      <c r="B732" s="2">
        <v>45566</v>
      </c>
      <c r="C732">
        <v>3449</v>
      </c>
    </row>
    <row r="733" spans="1:3" ht="15" hidden="1" customHeight="1" x14ac:dyDescent="0.3">
      <c r="A733" t="s">
        <v>107</v>
      </c>
      <c r="B733" s="2">
        <v>45597</v>
      </c>
      <c r="C733">
        <v>3441</v>
      </c>
    </row>
    <row r="734" spans="1:3" ht="15" hidden="1" customHeight="1" x14ac:dyDescent="0.3">
      <c r="A734" t="s">
        <v>107</v>
      </c>
      <c r="B734" s="2">
        <v>45627</v>
      </c>
      <c r="C734">
        <v>3537</v>
      </c>
    </row>
    <row r="735" spans="1:3" ht="15" hidden="1" customHeight="1" x14ac:dyDescent="0.3">
      <c r="A735" t="s">
        <v>107</v>
      </c>
      <c r="B735" s="2">
        <v>45658</v>
      </c>
      <c r="C735">
        <v>3700</v>
      </c>
    </row>
    <row r="736" spans="1:3" ht="15" hidden="1" customHeight="1" x14ac:dyDescent="0.3">
      <c r="A736" t="s">
        <v>107</v>
      </c>
      <c r="B736" s="2">
        <v>45689</v>
      </c>
      <c r="C736">
        <v>2900</v>
      </c>
    </row>
    <row r="737" spans="1:3" ht="15" hidden="1" customHeight="1" x14ac:dyDescent="0.3">
      <c r="A737" t="s">
        <v>107</v>
      </c>
      <c r="B737" s="2">
        <v>45717</v>
      </c>
      <c r="C737">
        <v>3471</v>
      </c>
    </row>
    <row r="738" spans="1:3" ht="15" hidden="1" customHeight="1" x14ac:dyDescent="0.3">
      <c r="A738" t="s">
        <v>107</v>
      </c>
      <c r="B738" s="2">
        <v>45748</v>
      </c>
      <c r="C738">
        <v>2668</v>
      </c>
    </row>
    <row r="739" spans="1:3" ht="15" hidden="1" customHeight="1" x14ac:dyDescent="0.3">
      <c r="A739" t="s">
        <v>107</v>
      </c>
      <c r="B739" s="2">
        <v>45778</v>
      </c>
      <c r="C739">
        <v>3127</v>
      </c>
    </row>
    <row r="740" spans="1:3" ht="15" hidden="1" customHeight="1" x14ac:dyDescent="0.3">
      <c r="A740" t="s">
        <v>107</v>
      </c>
      <c r="B740" s="2">
        <v>45809</v>
      </c>
      <c r="C740">
        <v>2748.4</v>
      </c>
    </row>
    <row r="741" spans="1:3" ht="15" hidden="1" customHeight="1" x14ac:dyDescent="0.3">
      <c r="A741" t="s">
        <v>107</v>
      </c>
      <c r="B741" s="2">
        <v>45839</v>
      </c>
      <c r="C741">
        <v>2501</v>
      </c>
    </row>
    <row r="742" spans="1:3" ht="15" hidden="1" customHeight="1" x14ac:dyDescent="0.3">
      <c r="A742" t="s">
        <v>107</v>
      </c>
      <c r="B742" s="2">
        <v>45870</v>
      </c>
      <c r="C742">
        <v>299.8</v>
      </c>
    </row>
    <row r="743" spans="1:3" ht="15" hidden="1" customHeight="1" x14ac:dyDescent="0.3">
      <c r="A743" t="s">
        <v>107</v>
      </c>
      <c r="B743" s="2">
        <v>45901</v>
      </c>
      <c r="C743">
        <v>2705</v>
      </c>
    </row>
    <row r="744" spans="1:3" ht="15" hidden="1" customHeight="1" x14ac:dyDescent="0.3">
      <c r="A744" t="s">
        <v>107</v>
      </c>
      <c r="B744" s="2">
        <v>45931</v>
      </c>
      <c r="C744">
        <v>2939</v>
      </c>
    </row>
    <row r="745" spans="1:3" ht="15" hidden="1" customHeight="1" x14ac:dyDescent="0.3">
      <c r="A745" t="s">
        <v>107</v>
      </c>
      <c r="B745" s="2">
        <v>45962</v>
      </c>
      <c r="C745">
        <v>2609</v>
      </c>
    </row>
    <row r="746" spans="1:3" ht="15" hidden="1" customHeight="1" x14ac:dyDescent="0.3">
      <c r="A746" t="s">
        <v>107</v>
      </c>
      <c r="B746" s="2">
        <v>45992</v>
      </c>
      <c r="C746">
        <v>3364</v>
      </c>
    </row>
    <row r="747" spans="1:3" ht="15" hidden="1" customHeight="1" x14ac:dyDescent="0.3">
      <c r="A747" t="s">
        <v>107</v>
      </c>
      <c r="B747" s="2">
        <v>46023</v>
      </c>
      <c r="C747">
        <v>3086</v>
      </c>
    </row>
    <row r="748" spans="1:3" ht="15" hidden="1" customHeight="1" x14ac:dyDescent="0.3">
      <c r="A748" t="s">
        <v>107</v>
      </c>
      <c r="B748" s="2">
        <v>46054</v>
      </c>
      <c r="C748">
        <v>3628</v>
      </c>
    </row>
    <row r="749" spans="1:3" ht="15" hidden="1" customHeight="1" x14ac:dyDescent="0.3">
      <c r="A749" t="s">
        <v>107</v>
      </c>
      <c r="B749" s="2">
        <v>46082</v>
      </c>
      <c r="C749">
        <v>2909</v>
      </c>
    </row>
    <row r="750" spans="1:3" ht="15" hidden="1" customHeight="1" x14ac:dyDescent="0.3">
      <c r="A750" t="s">
        <v>107</v>
      </c>
      <c r="B750" s="2">
        <v>46113</v>
      </c>
      <c r="C750">
        <v>2558.1</v>
      </c>
    </row>
    <row r="751" spans="1:3" ht="15" hidden="1" customHeight="1" x14ac:dyDescent="0.3">
      <c r="A751" t="s">
        <v>107</v>
      </c>
      <c r="B751" s="2">
        <v>46143</v>
      </c>
      <c r="C751" s="12">
        <v>3029.6</v>
      </c>
    </row>
    <row r="752" spans="1:3" ht="15" hidden="1" customHeight="1" x14ac:dyDescent="0.3">
      <c r="A752" t="s">
        <v>239</v>
      </c>
      <c r="B752" s="2">
        <v>46174</v>
      </c>
      <c r="C752">
        <v>2723</v>
      </c>
    </row>
    <row r="753" spans="1:3" ht="15" hidden="1" customHeight="1" x14ac:dyDescent="0.3">
      <c r="A753" t="s">
        <v>98</v>
      </c>
      <c r="B753" s="2">
        <v>46204</v>
      </c>
      <c r="C753">
        <v>5136</v>
      </c>
    </row>
    <row r="754" spans="1:3" ht="15" hidden="1" customHeight="1" x14ac:dyDescent="0.3">
      <c r="A754" t="s">
        <v>107</v>
      </c>
      <c r="B754" s="2">
        <v>46235</v>
      </c>
    </row>
    <row r="755" spans="1:3" ht="15" customHeight="1" x14ac:dyDescent="0.3">
      <c r="A755" t="s">
        <v>107</v>
      </c>
      <c r="B755" s="2">
        <v>46266</v>
      </c>
      <c r="C755" s="47">
        <v>0</v>
      </c>
    </row>
    <row r="756" spans="1:3" ht="15" hidden="1" customHeight="1" x14ac:dyDescent="0.3">
      <c r="A756" t="s">
        <v>107</v>
      </c>
      <c r="B756" s="2">
        <v>46296</v>
      </c>
    </row>
    <row r="757" spans="1:3" ht="15" hidden="1" customHeight="1" x14ac:dyDescent="0.3">
      <c r="A757" t="s">
        <v>107</v>
      </c>
      <c r="B757" s="2">
        <v>46327</v>
      </c>
    </row>
    <row r="758" spans="1:3" ht="15" hidden="1" customHeight="1" x14ac:dyDescent="0.3">
      <c r="A758" t="s">
        <v>107</v>
      </c>
      <c r="B758" s="2">
        <v>46357</v>
      </c>
    </row>
    <row r="759" spans="1:3" ht="15" hidden="1" customHeight="1" x14ac:dyDescent="0.3">
      <c r="A759" t="s">
        <v>228</v>
      </c>
      <c r="B759" s="2">
        <v>45292</v>
      </c>
    </row>
    <row r="760" spans="1:3" ht="15" hidden="1" customHeight="1" x14ac:dyDescent="0.3">
      <c r="A760" t="s">
        <v>228</v>
      </c>
      <c r="B760" s="2">
        <v>45323</v>
      </c>
    </row>
    <row r="761" spans="1:3" ht="15" hidden="1" customHeight="1" x14ac:dyDescent="0.3">
      <c r="A761" t="s">
        <v>228</v>
      </c>
      <c r="B761" s="2">
        <v>45352</v>
      </c>
    </row>
    <row r="762" spans="1:3" ht="15" hidden="1" customHeight="1" x14ac:dyDescent="0.3">
      <c r="A762" t="s">
        <v>228</v>
      </c>
      <c r="B762" s="2">
        <v>45383</v>
      </c>
    </row>
    <row r="763" spans="1:3" ht="15" hidden="1" customHeight="1" x14ac:dyDescent="0.3">
      <c r="A763" t="s">
        <v>228</v>
      </c>
      <c r="B763" s="2">
        <v>45413</v>
      </c>
    </row>
    <row r="764" spans="1:3" ht="15" hidden="1" customHeight="1" x14ac:dyDescent="0.3">
      <c r="A764" t="s">
        <v>228</v>
      </c>
      <c r="B764" s="2">
        <v>45444</v>
      </c>
    </row>
    <row r="765" spans="1:3" ht="15" hidden="1" customHeight="1" x14ac:dyDescent="0.3">
      <c r="A765" t="s">
        <v>228</v>
      </c>
      <c r="B765" s="2">
        <v>45474</v>
      </c>
    </row>
    <row r="766" spans="1:3" ht="15" hidden="1" customHeight="1" x14ac:dyDescent="0.3">
      <c r="A766" t="s">
        <v>228</v>
      </c>
      <c r="B766" s="2">
        <v>45505</v>
      </c>
    </row>
    <row r="767" spans="1:3" ht="15" hidden="1" customHeight="1" x14ac:dyDescent="0.3">
      <c r="A767" t="s">
        <v>228</v>
      </c>
      <c r="B767" s="2">
        <v>45536</v>
      </c>
    </row>
    <row r="768" spans="1:3" ht="15" hidden="1" customHeight="1" x14ac:dyDescent="0.3">
      <c r="A768" t="s">
        <v>228</v>
      </c>
      <c r="B768" s="2">
        <v>45566</v>
      </c>
    </row>
    <row r="769" spans="1:2" ht="15" hidden="1" customHeight="1" x14ac:dyDescent="0.3">
      <c r="A769" t="s">
        <v>228</v>
      </c>
      <c r="B769" s="2">
        <v>45597</v>
      </c>
    </row>
    <row r="770" spans="1:2" ht="15" hidden="1" customHeight="1" x14ac:dyDescent="0.3">
      <c r="A770" t="s">
        <v>228</v>
      </c>
      <c r="B770" s="2">
        <v>45627</v>
      </c>
    </row>
    <row r="771" spans="1:2" ht="15" hidden="1" customHeight="1" x14ac:dyDescent="0.3">
      <c r="A771" t="s">
        <v>228</v>
      </c>
      <c r="B771" s="2">
        <v>45658</v>
      </c>
    </row>
    <row r="772" spans="1:2" ht="15" hidden="1" customHeight="1" x14ac:dyDescent="0.3">
      <c r="A772" t="s">
        <v>228</v>
      </c>
      <c r="B772" s="2">
        <v>45689</v>
      </c>
    </row>
    <row r="773" spans="1:2" ht="15" hidden="1" customHeight="1" x14ac:dyDescent="0.3">
      <c r="A773" t="s">
        <v>228</v>
      </c>
      <c r="B773" s="2">
        <v>45717</v>
      </c>
    </row>
    <row r="774" spans="1:2" ht="15" hidden="1" customHeight="1" x14ac:dyDescent="0.3">
      <c r="A774" t="s">
        <v>228</v>
      </c>
      <c r="B774" s="2">
        <v>45748</v>
      </c>
    </row>
    <row r="775" spans="1:2" ht="15" hidden="1" customHeight="1" x14ac:dyDescent="0.3">
      <c r="A775" t="s">
        <v>228</v>
      </c>
      <c r="B775" s="2">
        <v>45778</v>
      </c>
    </row>
    <row r="776" spans="1:2" ht="15" hidden="1" customHeight="1" x14ac:dyDescent="0.3">
      <c r="A776" t="s">
        <v>228</v>
      </c>
      <c r="B776" s="2">
        <v>45809</v>
      </c>
    </row>
    <row r="777" spans="1:2" ht="15" hidden="1" customHeight="1" x14ac:dyDescent="0.3">
      <c r="A777" t="s">
        <v>228</v>
      </c>
      <c r="B777" s="2">
        <v>45839</v>
      </c>
    </row>
    <row r="778" spans="1:2" ht="15" hidden="1" customHeight="1" x14ac:dyDescent="0.3">
      <c r="A778" t="s">
        <v>228</v>
      </c>
      <c r="B778" s="2">
        <v>45870</v>
      </c>
    </row>
    <row r="779" spans="1:2" ht="15" hidden="1" customHeight="1" x14ac:dyDescent="0.3">
      <c r="A779" t="s">
        <v>228</v>
      </c>
      <c r="B779" s="2">
        <v>45901</v>
      </c>
    </row>
    <row r="780" spans="1:2" ht="15" hidden="1" customHeight="1" x14ac:dyDescent="0.3">
      <c r="A780" t="s">
        <v>228</v>
      </c>
      <c r="B780" s="2">
        <v>45931</v>
      </c>
    </row>
    <row r="781" spans="1:2" ht="15" hidden="1" customHeight="1" x14ac:dyDescent="0.3">
      <c r="A781" t="s">
        <v>228</v>
      </c>
      <c r="B781" s="2">
        <v>45962</v>
      </c>
    </row>
    <row r="782" spans="1:2" ht="15" hidden="1" customHeight="1" x14ac:dyDescent="0.3">
      <c r="A782" t="s">
        <v>228</v>
      </c>
      <c r="B782" s="2">
        <v>45992</v>
      </c>
    </row>
    <row r="783" spans="1:2" ht="15" hidden="1" customHeight="1" x14ac:dyDescent="0.3">
      <c r="A783" t="s">
        <v>228</v>
      </c>
      <c r="B783" s="2">
        <v>46023</v>
      </c>
    </row>
    <row r="784" spans="1:2" ht="15" hidden="1" customHeight="1" x14ac:dyDescent="0.3">
      <c r="A784" t="s">
        <v>228</v>
      </c>
      <c r="B784" s="2">
        <v>46054</v>
      </c>
    </row>
    <row r="785" spans="1:3" ht="15" hidden="1" customHeight="1" x14ac:dyDescent="0.3">
      <c r="A785" t="s">
        <v>228</v>
      </c>
      <c r="B785" s="2">
        <v>46082</v>
      </c>
      <c r="C785">
        <v>2780</v>
      </c>
    </row>
    <row r="786" spans="1:3" ht="15" hidden="1" customHeight="1" x14ac:dyDescent="0.3">
      <c r="A786" t="s">
        <v>228</v>
      </c>
      <c r="B786" s="2">
        <v>46113</v>
      </c>
      <c r="C786">
        <v>14950</v>
      </c>
    </row>
    <row r="787" spans="1:3" ht="15" hidden="1" customHeight="1" x14ac:dyDescent="0.3">
      <c r="A787" t="s">
        <v>228</v>
      </c>
      <c r="B787" s="2">
        <v>46143</v>
      </c>
      <c r="C787" s="12">
        <v>6540</v>
      </c>
    </row>
    <row r="788" spans="1:3" ht="15" hidden="1" customHeight="1" x14ac:dyDescent="0.3">
      <c r="A788" t="s">
        <v>228</v>
      </c>
      <c r="B788" s="2">
        <v>46174</v>
      </c>
      <c r="C788">
        <v>7560</v>
      </c>
    </row>
    <row r="789" spans="1:3" ht="15" hidden="1" customHeight="1" x14ac:dyDescent="0.3">
      <c r="A789" t="s">
        <v>102</v>
      </c>
      <c r="B789" s="2">
        <v>46204</v>
      </c>
      <c r="C789">
        <v>4112</v>
      </c>
    </row>
    <row r="790" spans="1:3" ht="15" hidden="1" customHeight="1" x14ac:dyDescent="0.3">
      <c r="A790" t="s">
        <v>228</v>
      </c>
      <c r="B790" s="2">
        <v>46235</v>
      </c>
      <c r="C790">
        <v>18070</v>
      </c>
    </row>
    <row r="791" spans="1:3" ht="15" customHeight="1" x14ac:dyDescent="0.3">
      <c r="A791" t="s">
        <v>228</v>
      </c>
      <c r="B791" s="2">
        <v>46266</v>
      </c>
      <c r="C791" s="47">
        <v>9230</v>
      </c>
    </row>
    <row r="792" spans="1:3" ht="15" hidden="1" customHeight="1" x14ac:dyDescent="0.3">
      <c r="A792" t="s">
        <v>228</v>
      </c>
      <c r="B792" s="2">
        <v>46296</v>
      </c>
    </row>
    <row r="793" spans="1:3" ht="15" hidden="1" customHeight="1" x14ac:dyDescent="0.3">
      <c r="A793" t="s">
        <v>228</v>
      </c>
      <c r="B793" s="2">
        <v>46327</v>
      </c>
    </row>
    <row r="794" spans="1:3" ht="15" hidden="1" customHeight="1" x14ac:dyDescent="0.3">
      <c r="A794" t="s">
        <v>228</v>
      </c>
      <c r="B794" s="2">
        <v>46357</v>
      </c>
    </row>
    <row r="795" spans="1:3" ht="15" hidden="1" customHeight="1" x14ac:dyDescent="0.3">
      <c r="A795" t="s">
        <v>109</v>
      </c>
      <c r="B795" s="2">
        <v>45292</v>
      </c>
    </row>
    <row r="796" spans="1:3" ht="15" hidden="1" customHeight="1" x14ac:dyDescent="0.3">
      <c r="A796" t="s">
        <v>109</v>
      </c>
      <c r="B796" s="2">
        <v>45323</v>
      </c>
    </row>
    <row r="797" spans="1:3" ht="15" hidden="1" customHeight="1" x14ac:dyDescent="0.3">
      <c r="A797" t="s">
        <v>109</v>
      </c>
      <c r="B797" s="2">
        <v>45352</v>
      </c>
    </row>
    <row r="798" spans="1:3" ht="15" hidden="1" customHeight="1" x14ac:dyDescent="0.3">
      <c r="A798" t="s">
        <v>109</v>
      </c>
      <c r="B798" s="2">
        <v>45383</v>
      </c>
    </row>
    <row r="799" spans="1:3" ht="15" hidden="1" customHeight="1" x14ac:dyDescent="0.3">
      <c r="A799" t="s">
        <v>109</v>
      </c>
      <c r="B799" s="2">
        <v>45413</v>
      </c>
    </row>
    <row r="800" spans="1:3" ht="15" hidden="1" customHeight="1" x14ac:dyDescent="0.3">
      <c r="A800" t="s">
        <v>109</v>
      </c>
      <c r="B800" s="2">
        <v>45444</v>
      </c>
      <c r="C800">
        <v>1659</v>
      </c>
    </row>
    <row r="801" spans="1:3" ht="15" hidden="1" customHeight="1" x14ac:dyDescent="0.3">
      <c r="A801" t="s">
        <v>109</v>
      </c>
      <c r="B801" s="2">
        <v>45474</v>
      </c>
      <c r="C801">
        <v>2542</v>
      </c>
    </row>
    <row r="802" spans="1:3" ht="15" hidden="1" customHeight="1" x14ac:dyDescent="0.3">
      <c r="A802" t="s">
        <v>109</v>
      </c>
      <c r="B802" s="2">
        <v>45505</v>
      </c>
      <c r="C802">
        <v>2833</v>
      </c>
    </row>
    <row r="803" spans="1:3" ht="15" hidden="1" customHeight="1" x14ac:dyDescent="0.3">
      <c r="A803" t="s">
        <v>109</v>
      </c>
      <c r="B803" s="2">
        <v>45536</v>
      </c>
      <c r="C803">
        <v>2688</v>
      </c>
    </row>
    <row r="804" spans="1:3" ht="15" hidden="1" customHeight="1" x14ac:dyDescent="0.3">
      <c r="A804" t="s">
        <v>109</v>
      </c>
      <c r="B804" s="2">
        <v>45566</v>
      </c>
      <c r="C804">
        <v>3664</v>
      </c>
    </row>
    <row r="805" spans="1:3" ht="15" hidden="1" customHeight="1" x14ac:dyDescent="0.3">
      <c r="A805" t="s">
        <v>109</v>
      </c>
      <c r="B805" s="2">
        <v>45597</v>
      </c>
      <c r="C805">
        <v>3499</v>
      </c>
    </row>
    <row r="806" spans="1:3" ht="15" hidden="1" customHeight="1" x14ac:dyDescent="0.3">
      <c r="A806" t="s">
        <v>109</v>
      </c>
      <c r="B806" s="2">
        <v>45627</v>
      </c>
      <c r="C806">
        <v>2842</v>
      </c>
    </row>
    <row r="807" spans="1:3" ht="15" hidden="1" customHeight="1" x14ac:dyDescent="0.3">
      <c r="A807" t="s">
        <v>109</v>
      </c>
      <c r="B807" s="2">
        <v>45658</v>
      </c>
      <c r="C807">
        <v>3075</v>
      </c>
    </row>
    <row r="808" spans="1:3" ht="15" hidden="1" customHeight="1" x14ac:dyDescent="0.3">
      <c r="A808" t="s">
        <v>109</v>
      </c>
      <c r="B808" s="2">
        <v>45689</v>
      </c>
      <c r="C808">
        <v>3328</v>
      </c>
    </row>
    <row r="809" spans="1:3" ht="15" hidden="1" customHeight="1" x14ac:dyDescent="0.3">
      <c r="A809" t="s">
        <v>109</v>
      </c>
      <c r="B809" s="2">
        <v>45717</v>
      </c>
      <c r="C809">
        <v>2317</v>
      </c>
    </row>
    <row r="810" spans="1:3" ht="15" hidden="1" customHeight="1" x14ac:dyDescent="0.3">
      <c r="A810" t="s">
        <v>109</v>
      </c>
      <c r="B810" s="2">
        <v>45748</v>
      </c>
      <c r="C810">
        <v>3007</v>
      </c>
    </row>
    <row r="811" spans="1:3" ht="15" hidden="1" customHeight="1" x14ac:dyDescent="0.3">
      <c r="A811" t="s">
        <v>109</v>
      </c>
      <c r="B811" s="2">
        <v>45778</v>
      </c>
      <c r="C811">
        <v>3516</v>
      </c>
    </row>
    <row r="812" spans="1:3" ht="15" hidden="1" customHeight="1" x14ac:dyDescent="0.3">
      <c r="A812" t="s">
        <v>109</v>
      </c>
      <c r="B812" s="2">
        <v>45809</v>
      </c>
      <c r="C812">
        <v>2912.8</v>
      </c>
    </row>
    <row r="813" spans="1:3" ht="15" hidden="1" customHeight="1" x14ac:dyDescent="0.3">
      <c r="A813" t="s">
        <v>109</v>
      </c>
      <c r="B813" s="2">
        <v>45839</v>
      </c>
      <c r="C813">
        <v>2789</v>
      </c>
    </row>
    <row r="814" spans="1:3" ht="15" hidden="1" customHeight="1" x14ac:dyDescent="0.3">
      <c r="A814" t="s">
        <v>109</v>
      </c>
      <c r="B814" s="2">
        <v>45870</v>
      </c>
      <c r="C814">
        <v>3342</v>
      </c>
    </row>
    <row r="815" spans="1:3" ht="15" hidden="1" customHeight="1" x14ac:dyDescent="0.3">
      <c r="A815" t="s">
        <v>109</v>
      </c>
      <c r="B815" s="2">
        <v>45901</v>
      </c>
      <c r="C815">
        <v>3079</v>
      </c>
    </row>
    <row r="816" spans="1:3" ht="15" hidden="1" customHeight="1" x14ac:dyDescent="0.3">
      <c r="A816" t="s">
        <v>109</v>
      </c>
      <c r="B816" s="2">
        <v>45931</v>
      </c>
      <c r="C816">
        <v>3708</v>
      </c>
    </row>
    <row r="817" spans="1:3" ht="15" hidden="1" customHeight="1" x14ac:dyDescent="0.3">
      <c r="A817" t="s">
        <v>109</v>
      </c>
      <c r="B817" s="2">
        <v>45962</v>
      </c>
      <c r="C817">
        <v>2852</v>
      </c>
    </row>
    <row r="818" spans="1:3" ht="15" hidden="1" customHeight="1" x14ac:dyDescent="0.3">
      <c r="A818" t="s">
        <v>109</v>
      </c>
      <c r="B818" s="2">
        <v>45992</v>
      </c>
      <c r="C818">
        <v>2386</v>
      </c>
    </row>
    <row r="819" spans="1:3" ht="15" hidden="1" customHeight="1" x14ac:dyDescent="0.3">
      <c r="A819" t="s">
        <v>109</v>
      </c>
      <c r="B819" s="2">
        <v>46023</v>
      </c>
      <c r="C819">
        <v>1855</v>
      </c>
    </row>
    <row r="820" spans="1:3" ht="15" hidden="1" customHeight="1" x14ac:dyDescent="0.3">
      <c r="A820" t="s">
        <v>109</v>
      </c>
      <c r="B820" s="2">
        <v>46054</v>
      </c>
      <c r="C820">
        <v>3786</v>
      </c>
    </row>
    <row r="821" spans="1:3" ht="15" hidden="1" customHeight="1" x14ac:dyDescent="0.3">
      <c r="A821" t="s">
        <v>109</v>
      </c>
      <c r="B821" s="2">
        <v>46082</v>
      </c>
      <c r="C821">
        <v>2926</v>
      </c>
    </row>
    <row r="822" spans="1:3" ht="15" hidden="1" customHeight="1" x14ac:dyDescent="0.3">
      <c r="A822" t="s">
        <v>109</v>
      </c>
      <c r="B822" s="2">
        <v>46113</v>
      </c>
      <c r="C822">
        <v>1520</v>
      </c>
    </row>
    <row r="823" spans="1:3" ht="15" hidden="1" customHeight="1" x14ac:dyDescent="0.3">
      <c r="A823" t="s">
        <v>109</v>
      </c>
      <c r="B823" s="2">
        <v>46143</v>
      </c>
      <c r="C823" s="12">
        <v>2675.6</v>
      </c>
    </row>
    <row r="824" spans="1:3" ht="15" hidden="1" customHeight="1" x14ac:dyDescent="0.3">
      <c r="A824" t="s">
        <v>109</v>
      </c>
      <c r="B824" s="2">
        <v>46174</v>
      </c>
      <c r="C824">
        <v>2896</v>
      </c>
    </row>
    <row r="825" spans="1:3" ht="15" hidden="1" customHeight="1" x14ac:dyDescent="0.3">
      <c r="A825" t="s">
        <v>104</v>
      </c>
      <c r="B825" s="2">
        <v>46204</v>
      </c>
      <c r="C825">
        <v>857</v>
      </c>
    </row>
    <row r="826" spans="1:3" ht="15" hidden="1" customHeight="1" x14ac:dyDescent="0.3">
      <c r="A826" t="s">
        <v>109</v>
      </c>
      <c r="B826" s="2">
        <v>46235</v>
      </c>
      <c r="C826">
        <v>2805</v>
      </c>
    </row>
    <row r="827" spans="1:3" ht="15" customHeight="1" x14ac:dyDescent="0.3">
      <c r="A827" t="s">
        <v>109</v>
      </c>
      <c r="B827" s="2">
        <v>46266</v>
      </c>
      <c r="C827" s="47">
        <v>2916.4</v>
      </c>
    </row>
    <row r="828" spans="1:3" ht="15" hidden="1" customHeight="1" x14ac:dyDescent="0.3">
      <c r="A828" t="s">
        <v>109</v>
      </c>
      <c r="B828" s="2">
        <v>46296</v>
      </c>
    </row>
    <row r="829" spans="1:3" ht="15" hidden="1" customHeight="1" x14ac:dyDescent="0.3">
      <c r="A829" t="s">
        <v>109</v>
      </c>
      <c r="B829" s="2">
        <v>46327</v>
      </c>
    </row>
    <row r="830" spans="1:3" ht="15" hidden="1" customHeight="1" x14ac:dyDescent="0.3">
      <c r="A830" t="s">
        <v>109</v>
      </c>
      <c r="B830" s="2">
        <v>46357</v>
      </c>
    </row>
    <row r="831" spans="1:3" ht="15" hidden="1" customHeight="1" x14ac:dyDescent="0.3">
      <c r="A831" t="s">
        <v>113</v>
      </c>
      <c r="B831" s="2">
        <v>45292</v>
      </c>
      <c r="C831">
        <v>32658</v>
      </c>
    </row>
    <row r="832" spans="1:3" ht="15" hidden="1" customHeight="1" x14ac:dyDescent="0.3">
      <c r="A832" t="s">
        <v>113</v>
      </c>
      <c r="B832" s="2">
        <v>45323</v>
      </c>
      <c r="C832">
        <v>26200</v>
      </c>
    </row>
    <row r="833" spans="1:3" ht="15" hidden="1" customHeight="1" x14ac:dyDescent="0.3">
      <c r="A833" t="s">
        <v>113</v>
      </c>
      <c r="B833" s="2">
        <v>45352</v>
      </c>
      <c r="C833">
        <v>23764</v>
      </c>
    </row>
    <row r="834" spans="1:3" ht="15" hidden="1" customHeight="1" x14ac:dyDescent="0.3">
      <c r="A834" t="s">
        <v>113</v>
      </c>
      <c r="B834" s="2">
        <v>45383</v>
      </c>
      <c r="C834">
        <v>17748</v>
      </c>
    </row>
    <row r="835" spans="1:3" ht="15" hidden="1" customHeight="1" x14ac:dyDescent="0.3">
      <c r="A835" t="s">
        <v>113</v>
      </c>
      <c r="B835" s="2">
        <v>45413</v>
      </c>
      <c r="C835">
        <v>12623</v>
      </c>
    </row>
    <row r="836" spans="1:3" ht="15" hidden="1" customHeight="1" x14ac:dyDescent="0.3">
      <c r="A836" t="s">
        <v>113</v>
      </c>
      <c r="B836" s="2">
        <v>45444</v>
      </c>
      <c r="C836">
        <v>9466</v>
      </c>
    </row>
    <row r="837" spans="1:3" ht="15" hidden="1" customHeight="1" x14ac:dyDescent="0.3">
      <c r="A837" t="s">
        <v>113</v>
      </c>
      <c r="B837" s="2">
        <v>45474</v>
      </c>
      <c r="C837">
        <v>8265</v>
      </c>
    </row>
    <row r="838" spans="1:3" ht="15" hidden="1" customHeight="1" x14ac:dyDescent="0.3">
      <c r="A838" t="s">
        <v>113</v>
      </c>
      <c r="B838" s="2">
        <v>45505</v>
      </c>
      <c r="C838">
        <v>14669</v>
      </c>
    </row>
    <row r="839" spans="1:3" ht="15" hidden="1" customHeight="1" x14ac:dyDescent="0.3">
      <c r="A839" t="s">
        <v>113</v>
      </c>
      <c r="B839" s="2">
        <v>45536</v>
      </c>
      <c r="C839">
        <v>20334</v>
      </c>
    </row>
    <row r="840" spans="1:3" ht="15" hidden="1" customHeight="1" x14ac:dyDescent="0.3">
      <c r="A840" t="s">
        <v>113</v>
      </c>
      <c r="B840" s="2">
        <v>45566</v>
      </c>
      <c r="C840">
        <v>26318</v>
      </c>
    </row>
    <row r="841" spans="1:3" ht="15" hidden="1" customHeight="1" x14ac:dyDescent="0.3">
      <c r="A841" t="s">
        <v>113</v>
      </c>
      <c r="B841" s="2">
        <v>45597</v>
      </c>
      <c r="C841">
        <v>29589</v>
      </c>
    </row>
    <row r="842" spans="1:3" ht="15" hidden="1" customHeight="1" x14ac:dyDescent="0.3">
      <c r="A842" t="s">
        <v>113</v>
      </c>
      <c r="B842" s="2">
        <v>45627</v>
      </c>
      <c r="C842">
        <v>31807</v>
      </c>
    </row>
    <row r="843" spans="1:3" ht="15" hidden="1" customHeight="1" x14ac:dyDescent="0.3">
      <c r="A843" t="s">
        <v>113</v>
      </c>
      <c r="B843" s="2">
        <v>45658</v>
      </c>
      <c r="C843">
        <v>32545</v>
      </c>
    </row>
    <row r="844" spans="1:3" ht="15" hidden="1" customHeight="1" x14ac:dyDescent="0.3">
      <c r="A844" t="s">
        <v>113</v>
      </c>
      <c r="B844" s="2">
        <v>45689</v>
      </c>
      <c r="C844">
        <v>20706</v>
      </c>
    </row>
    <row r="845" spans="1:3" ht="15" hidden="1" customHeight="1" x14ac:dyDescent="0.3">
      <c r="A845" t="s">
        <v>113</v>
      </c>
      <c r="B845" s="2">
        <v>45717</v>
      </c>
      <c r="C845">
        <v>16650</v>
      </c>
    </row>
    <row r="846" spans="1:3" ht="15" hidden="1" customHeight="1" x14ac:dyDescent="0.3">
      <c r="A846" t="s">
        <v>113</v>
      </c>
      <c r="B846" s="2">
        <v>45748</v>
      </c>
      <c r="C846">
        <v>13216</v>
      </c>
    </row>
    <row r="847" spans="1:3" ht="15" hidden="1" customHeight="1" x14ac:dyDescent="0.3">
      <c r="A847" t="s">
        <v>113</v>
      </c>
      <c r="B847" s="2">
        <v>45778</v>
      </c>
      <c r="C847">
        <v>8710</v>
      </c>
    </row>
    <row r="848" spans="1:3" ht="15" hidden="1" customHeight="1" x14ac:dyDescent="0.3">
      <c r="A848" t="s">
        <v>113</v>
      </c>
      <c r="B848" s="2">
        <v>45809</v>
      </c>
      <c r="C848">
        <v>7500.92</v>
      </c>
    </row>
    <row r="849" spans="1:3" ht="15" hidden="1" customHeight="1" x14ac:dyDescent="0.3">
      <c r="A849" t="s">
        <v>113</v>
      </c>
      <c r="B849" s="2">
        <v>45839</v>
      </c>
      <c r="C849">
        <v>9649</v>
      </c>
    </row>
    <row r="850" spans="1:3" ht="15" hidden="1" customHeight="1" x14ac:dyDescent="0.3">
      <c r="A850" t="s">
        <v>113</v>
      </c>
      <c r="B850" s="2">
        <v>45870</v>
      </c>
      <c r="C850">
        <v>13424</v>
      </c>
    </row>
    <row r="851" spans="1:3" ht="15" hidden="1" customHeight="1" x14ac:dyDescent="0.3">
      <c r="A851" t="s">
        <v>113</v>
      </c>
      <c r="B851" s="2">
        <v>45901</v>
      </c>
      <c r="C851">
        <v>19447</v>
      </c>
    </row>
    <row r="852" spans="1:3" ht="15" hidden="1" customHeight="1" x14ac:dyDescent="0.3">
      <c r="A852" t="s">
        <v>113</v>
      </c>
      <c r="B852" s="2">
        <v>45931</v>
      </c>
      <c r="C852">
        <v>33678</v>
      </c>
    </row>
    <row r="853" spans="1:3" ht="15" hidden="1" customHeight="1" x14ac:dyDescent="0.3">
      <c r="A853" t="s">
        <v>113</v>
      </c>
      <c r="B853" s="2">
        <v>45962</v>
      </c>
      <c r="C853">
        <v>40164</v>
      </c>
    </row>
    <row r="854" spans="1:3" ht="15" hidden="1" customHeight="1" x14ac:dyDescent="0.3">
      <c r="A854" t="s">
        <v>113</v>
      </c>
      <c r="B854" s="2">
        <v>45992</v>
      </c>
      <c r="C854">
        <v>42482</v>
      </c>
    </row>
    <row r="855" spans="1:3" ht="15" hidden="1" customHeight="1" x14ac:dyDescent="0.3">
      <c r="A855" t="s">
        <v>113</v>
      </c>
      <c r="B855" s="2">
        <v>46023</v>
      </c>
      <c r="C855">
        <v>40719</v>
      </c>
    </row>
    <row r="856" spans="1:3" ht="15" hidden="1" customHeight="1" x14ac:dyDescent="0.3">
      <c r="A856" t="s">
        <v>113</v>
      </c>
      <c r="B856" s="2">
        <v>46054</v>
      </c>
      <c r="C856">
        <v>29862</v>
      </c>
    </row>
    <row r="857" spans="1:3" ht="15" hidden="1" customHeight="1" x14ac:dyDescent="0.3">
      <c r="A857" t="s">
        <v>113</v>
      </c>
      <c r="B857" s="2">
        <v>46082</v>
      </c>
      <c r="C857">
        <v>30793</v>
      </c>
    </row>
    <row r="858" spans="1:3" ht="15" hidden="1" customHeight="1" x14ac:dyDescent="0.3">
      <c r="A858" t="s">
        <v>113</v>
      </c>
      <c r="B858" s="2">
        <v>46113</v>
      </c>
      <c r="C858">
        <v>19657.41</v>
      </c>
    </row>
    <row r="859" spans="1:3" ht="15" hidden="1" customHeight="1" x14ac:dyDescent="0.3">
      <c r="A859" t="s">
        <v>113</v>
      </c>
      <c r="B859" s="2">
        <v>46143</v>
      </c>
      <c r="C859" s="12">
        <v>14538.69</v>
      </c>
    </row>
    <row r="860" spans="1:3" ht="15" hidden="1" customHeight="1" x14ac:dyDescent="0.3">
      <c r="A860" t="s">
        <v>113</v>
      </c>
      <c r="B860" s="2">
        <v>46174</v>
      </c>
      <c r="C860">
        <v>14538.69</v>
      </c>
    </row>
    <row r="861" spans="1:3" ht="15" hidden="1" customHeight="1" x14ac:dyDescent="0.3">
      <c r="A861" t="s">
        <v>107</v>
      </c>
      <c r="B861" s="2">
        <v>46204</v>
      </c>
      <c r="C861">
        <v>1400</v>
      </c>
    </row>
    <row r="862" spans="1:3" ht="15" hidden="1" customHeight="1" x14ac:dyDescent="0.3">
      <c r="A862" t="s">
        <v>113</v>
      </c>
      <c r="B862" s="2">
        <v>46235</v>
      </c>
      <c r="C862">
        <v>20567</v>
      </c>
    </row>
    <row r="863" spans="1:3" ht="15" customHeight="1" x14ac:dyDescent="0.3">
      <c r="A863" t="s">
        <v>113</v>
      </c>
      <c r="B863" s="2">
        <v>46266</v>
      </c>
      <c r="C863" s="47">
        <v>24320.29</v>
      </c>
    </row>
    <row r="864" spans="1:3" ht="15" hidden="1" customHeight="1" x14ac:dyDescent="0.3">
      <c r="A864" t="s">
        <v>113</v>
      </c>
      <c r="B864" s="2">
        <v>46296</v>
      </c>
    </row>
    <row r="865" spans="1:3" ht="15" hidden="1" customHeight="1" x14ac:dyDescent="0.3">
      <c r="A865" t="s">
        <v>113</v>
      </c>
      <c r="B865" s="2">
        <v>46327</v>
      </c>
    </row>
    <row r="866" spans="1:3" ht="15" hidden="1" customHeight="1" x14ac:dyDescent="0.3">
      <c r="A866" t="s">
        <v>113</v>
      </c>
      <c r="B866" s="2">
        <v>46357</v>
      </c>
    </row>
    <row r="867" spans="1:3" ht="15" hidden="1" customHeight="1" x14ac:dyDescent="0.3">
      <c r="A867" t="s">
        <v>114</v>
      </c>
      <c r="B867" s="2">
        <v>45292</v>
      </c>
      <c r="C867">
        <v>17880</v>
      </c>
    </row>
    <row r="868" spans="1:3" ht="15" hidden="1" customHeight="1" x14ac:dyDescent="0.3">
      <c r="A868" t="s">
        <v>114</v>
      </c>
      <c r="B868" s="2">
        <v>45323</v>
      </c>
      <c r="C868">
        <v>18790</v>
      </c>
    </row>
    <row r="869" spans="1:3" ht="15" hidden="1" customHeight="1" x14ac:dyDescent="0.3">
      <c r="A869" t="s">
        <v>114</v>
      </c>
      <c r="B869" s="2">
        <v>45352</v>
      </c>
      <c r="C869">
        <v>22610</v>
      </c>
    </row>
    <row r="870" spans="1:3" ht="15" hidden="1" customHeight="1" x14ac:dyDescent="0.3">
      <c r="A870" t="s">
        <v>114</v>
      </c>
      <c r="B870" s="2">
        <v>45383</v>
      </c>
      <c r="C870">
        <v>20030</v>
      </c>
    </row>
    <row r="871" spans="1:3" ht="15" hidden="1" customHeight="1" x14ac:dyDescent="0.3">
      <c r="A871" t="s">
        <v>114</v>
      </c>
      <c r="B871" s="2">
        <v>45413</v>
      </c>
      <c r="C871">
        <v>17820</v>
      </c>
    </row>
    <row r="872" spans="1:3" ht="15" hidden="1" customHeight="1" x14ac:dyDescent="0.3">
      <c r="A872" t="s">
        <v>114</v>
      </c>
      <c r="B872" s="2">
        <v>45444</v>
      </c>
      <c r="C872">
        <v>11000</v>
      </c>
    </row>
    <row r="873" spans="1:3" ht="15" hidden="1" customHeight="1" x14ac:dyDescent="0.3">
      <c r="A873" t="s">
        <v>114</v>
      </c>
      <c r="B873" s="2">
        <v>45474</v>
      </c>
      <c r="C873">
        <v>17460</v>
      </c>
    </row>
    <row r="874" spans="1:3" ht="15" hidden="1" customHeight="1" x14ac:dyDescent="0.3">
      <c r="A874" t="s">
        <v>114</v>
      </c>
      <c r="B874" s="2">
        <v>45505</v>
      </c>
      <c r="C874">
        <v>24290</v>
      </c>
    </row>
    <row r="875" spans="1:3" ht="15" hidden="1" customHeight="1" x14ac:dyDescent="0.3">
      <c r="A875" t="s">
        <v>114</v>
      </c>
      <c r="B875" s="2">
        <v>45536</v>
      </c>
      <c r="C875">
        <v>22510</v>
      </c>
    </row>
    <row r="876" spans="1:3" ht="15" hidden="1" customHeight="1" x14ac:dyDescent="0.3">
      <c r="A876" t="s">
        <v>114</v>
      </c>
      <c r="B876" s="2">
        <v>45566</v>
      </c>
      <c r="C876">
        <v>31780</v>
      </c>
    </row>
    <row r="877" spans="1:3" ht="15" hidden="1" customHeight="1" x14ac:dyDescent="0.3">
      <c r="A877" t="s">
        <v>114</v>
      </c>
      <c r="B877" s="2">
        <v>45597</v>
      </c>
      <c r="C877">
        <v>30100</v>
      </c>
    </row>
    <row r="878" spans="1:3" ht="15" hidden="1" customHeight="1" x14ac:dyDescent="0.3">
      <c r="A878" t="s">
        <v>114</v>
      </c>
      <c r="B878" s="2">
        <v>45627</v>
      </c>
      <c r="C878">
        <v>17966</v>
      </c>
    </row>
    <row r="879" spans="1:3" ht="15" hidden="1" customHeight="1" x14ac:dyDescent="0.3">
      <c r="A879" t="s">
        <v>114</v>
      </c>
      <c r="B879" s="2">
        <v>45658</v>
      </c>
      <c r="C879">
        <v>20808</v>
      </c>
    </row>
    <row r="880" spans="1:3" ht="15" hidden="1" customHeight="1" x14ac:dyDescent="0.3">
      <c r="A880" t="s">
        <v>114</v>
      </c>
      <c r="B880" s="2">
        <v>45689</v>
      </c>
      <c r="C880">
        <v>21538</v>
      </c>
    </row>
    <row r="881" spans="1:3" ht="15" hidden="1" customHeight="1" x14ac:dyDescent="0.3">
      <c r="A881" t="s">
        <v>114</v>
      </c>
      <c r="B881" s="2">
        <v>45717</v>
      </c>
      <c r="C881">
        <v>22662</v>
      </c>
    </row>
    <row r="882" spans="1:3" ht="15" hidden="1" customHeight="1" x14ac:dyDescent="0.3">
      <c r="A882" t="s">
        <v>114</v>
      </c>
      <c r="B882" s="2">
        <v>45748</v>
      </c>
      <c r="C882">
        <v>17413</v>
      </c>
    </row>
    <row r="883" spans="1:3" ht="15" hidden="1" customHeight="1" x14ac:dyDescent="0.3">
      <c r="A883" t="s">
        <v>114</v>
      </c>
      <c r="B883" s="2">
        <v>45778</v>
      </c>
      <c r="C883">
        <v>20430</v>
      </c>
    </row>
    <row r="884" spans="1:3" ht="15" hidden="1" customHeight="1" x14ac:dyDescent="0.3">
      <c r="A884" t="s">
        <v>114</v>
      </c>
      <c r="B884" s="2">
        <v>45809</v>
      </c>
      <c r="C884">
        <v>18398.740000000002</v>
      </c>
    </row>
    <row r="885" spans="1:3" ht="15" hidden="1" customHeight="1" x14ac:dyDescent="0.3">
      <c r="A885" t="s">
        <v>114</v>
      </c>
      <c r="B885" s="2">
        <v>45839</v>
      </c>
      <c r="C885">
        <v>19115</v>
      </c>
    </row>
    <row r="886" spans="1:3" ht="15" hidden="1" customHeight="1" x14ac:dyDescent="0.3">
      <c r="A886" t="s">
        <v>114</v>
      </c>
      <c r="B886" s="2">
        <v>45870</v>
      </c>
      <c r="C886">
        <v>21942</v>
      </c>
    </row>
    <row r="887" spans="1:3" ht="15" hidden="1" customHeight="1" x14ac:dyDescent="0.3">
      <c r="A887" t="s">
        <v>114</v>
      </c>
      <c r="B887" s="2">
        <v>45901</v>
      </c>
      <c r="C887">
        <v>21707</v>
      </c>
    </row>
    <row r="888" spans="1:3" ht="15" hidden="1" customHeight="1" x14ac:dyDescent="0.3">
      <c r="A888" t="s">
        <v>114</v>
      </c>
      <c r="B888" s="2">
        <v>45931</v>
      </c>
      <c r="C888">
        <v>28392</v>
      </c>
    </row>
    <row r="889" spans="1:3" ht="15" hidden="1" customHeight="1" x14ac:dyDescent="0.3">
      <c r="A889" t="s">
        <v>114</v>
      </c>
      <c r="B889" s="2">
        <v>45962</v>
      </c>
      <c r="C889">
        <v>24635</v>
      </c>
    </row>
    <row r="890" spans="1:3" ht="15" hidden="1" customHeight="1" x14ac:dyDescent="0.3">
      <c r="A890" t="s">
        <v>114</v>
      </c>
      <c r="B890" s="2">
        <v>45992</v>
      </c>
      <c r="C890">
        <v>13946</v>
      </c>
    </row>
    <row r="891" spans="1:3" ht="15" hidden="1" customHeight="1" x14ac:dyDescent="0.3">
      <c r="A891" t="s">
        <v>114</v>
      </c>
      <c r="B891" s="2">
        <v>46023</v>
      </c>
      <c r="C891">
        <v>25775</v>
      </c>
    </row>
    <row r="892" spans="1:3" ht="15" hidden="1" customHeight="1" x14ac:dyDescent="0.3">
      <c r="A892" t="s">
        <v>114</v>
      </c>
      <c r="B892" s="2">
        <v>46054</v>
      </c>
      <c r="C892">
        <v>24391</v>
      </c>
    </row>
    <row r="893" spans="1:3" ht="15" hidden="1" customHeight="1" x14ac:dyDescent="0.3">
      <c r="A893" t="s">
        <v>114</v>
      </c>
      <c r="B893" s="2">
        <v>46082</v>
      </c>
      <c r="C893">
        <v>22838</v>
      </c>
    </row>
    <row r="894" spans="1:3" ht="15" hidden="1" customHeight="1" x14ac:dyDescent="0.3">
      <c r="A894" t="s">
        <v>114</v>
      </c>
      <c r="B894" s="2">
        <v>46113</v>
      </c>
      <c r="C894">
        <v>19038.02</v>
      </c>
    </row>
    <row r="895" spans="1:3" ht="15" hidden="1" customHeight="1" x14ac:dyDescent="0.3">
      <c r="A895" t="s">
        <v>114</v>
      </c>
      <c r="B895" s="2">
        <v>46143</v>
      </c>
      <c r="C895" s="12">
        <v>19892</v>
      </c>
    </row>
    <row r="896" spans="1:3" ht="15" hidden="1" customHeight="1" x14ac:dyDescent="0.3">
      <c r="A896" t="s">
        <v>228</v>
      </c>
      <c r="B896" s="2">
        <v>46204</v>
      </c>
      <c r="C896">
        <v>8390</v>
      </c>
    </row>
    <row r="897" spans="1:3" ht="15" hidden="1" customHeight="1" x14ac:dyDescent="0.3">
      <c r="A897" t="s">
        <v>114</v>
      </c>
      <c r="B897" s="2">
        <v>46235</v>
      </c>
      <c r="C897">
        <v>23217</v>
      </c>
    </row>
    <row r="898" spans="1:3" ht="15" customHeight="1" x14ac:dyDescent="0.3">
      <c r="A898" t="s">
        <v>114</v>
      </c>
      <c r="B898" s="2">
        <v>46266</v>
      </c>
      <c r="C898" s="47">
        <v>22918</v>
      </c>
    </row>
    <row r="899" spans="1:3" ht="15" hidden="1" customHeight="1" x14ac:dyDescent="0.3">
      <c r="A899" t="s">
        <v>114</v>
      </c>
      <c r="B899" s="2">
        <v>46296</v>
      </c>
    </row>
    <row r="900" spans="1:3" ht="15" hidden="1" customHeight="1" x14ac:dyDescent="0.3">
      <c r="A900" t="s">
        <v>114</v>
      </c>
      <c r="B900" s="2">
        <v>46327</v>
      </c>
    </row>
    <row r="901" spans="1:3" ht="15" hidden="1" customHeight="1" x14ac:dyDescent="0.3">
      <c r="A901" t="s">
        <v>114</v>
      </c>
      <c r="B901" s="2">
        <v>46357</v>
      </c>
    </row>
    <row r="902" spans="1:3" ht="15" hidden="1" customHeight="1" x14ac:dyDescent="0.3">
      <c r="A902" t="s">
        <v>117</v>
      </c>
      <c r="B902" s="2">
        <v>45292</v>
      </c>
    </row>
    <row r="903" spans="1:3" ht="15" hidden="1" customHeight="1" x14ac:dyDescent="0.3">
      <c r="A903" t="s">
        <v>117</v>
      </c>
      <c r="B903" s="2">
        <v>45323</v>
      </c>
    </row>
    <row r="904" spans="1:3" ht="15" hidden="1" customHeight="1" x14ac:dyDescent="0.3">
      <c r="A904" t="s">
        <v>117</v>
      </c>
      <c r="B904" s="2">
        <v>45352</v>
      </c>
    </row>
    <row r="905" spans="1:3" ht="15" hidden="1" customHeight="1" x14ac:dyDescent="0.3">
      <c r="A905" t="s">
        <v>117</v>
      </c>
      <c r="B905" s="2">
        <v>45383</v>
      </c>
    </row>
    <row r="906" spans="1:3" ht="15" hidden="1" customHeight="1" x14ac:dyDescent="0.3">
      <c r="A906" t="s">
        <v>117</v>
      </c>
      <c r="B906" s="2">
        <v>45413</v>
      </c>
    </row>
    <row r="907" spans="1:3" ht="15" hidden="1" customHeight="1" x14ac:dyDescent="0.3">
      <c r="A907" t="s">
        <v>117</v>
      </c>
      <c r="B907" s="2">
        <v>45444</v>
      </c>
      <c r="C907">
        <v>5360</v>
      </c>
    </row>
    <row r="908" spans="1:3" ht="15" hidden="1" customHeight="1" x14ac:dyDescent="0.3">
      <c r="A908" t="s">
        <v>117</v>
      </c>
      <c r="B908" s="2">
        <v>45474</v>
      </c>
      <c r="C908">
        <v>22610</v>
      </c>
    </row>
    <row r="909" spans="1:3" ht="15" hidden="1" customHeight="1" x14ac:dyDescent="0.3">
      <c r="A909" t="s">
        <v>117</v>
      </c>
      <c r="B909" s="2">
        <v>45505</v>
      </c>
      <c r="C909">
        <v>23490</v>
      </c>
    </row>
    <row r="910" spans="1:3" ht="15" hidden="1" customHeight="1" x14ac:dyDescent="0.3">
      <c r="A910" t="s">
        <v>117</v>
      </c>
      <c r="B910" s="2">
        <v>45536</v>
      </c>
      <c r="C910">
        <v>20740</v>
      </c>
    </row>
    <row r="911" spans="1:3" ht="15" hidden="1" customHeight="1" x14ac:dyDescent="0.3">
      <c r="A911" t="s">
        <v>117</v>
      </c>
      <c r="B911" s="2">
        <v>45566</v>
      </c>
      <c r="C911">
        <v>32140</v>
      </c>
    </row>
    <row r="912" spans="1:3" ht="15" hidden="1" customHeight="1" x14ac:dyDescent="0.3">
      <c r="A912" t="s">
        <v>117</v>
      </c>
      <c r="B912" s="2">
        <v>45597</v>
      </c>
      <c r="C912">
        <v>32300</v>
      </c>
    </row>
    <row r="913" spans="1:3" ht="15" hidden="1" customHeight="1" x14ac:dyDescent="0.3">
      <c r="A913" t="s">
        <v>117</v>
      </c>
      <c r="B913" s="2">
        <v>45627</v>
      </c>
      <c r="C913">
        <v>29734</v>
      </c>
    </row>
    <row r="914" spans="1:3" ht="15" hidden="1" customHeight="1" x14ac:dyDescent="0.3">
      <c r="A914" t="s">
        <v>117</v>
      </c>
      <c r="B914" s="2">
        <v>45658</v>
      </c>
      <c r="C914">
        <v>30000</v>
      </c>
    </row>
    <row r="915" spans="1:3" ht="15" hidden="1" customHeight="1" x14ac:dyDescent="0.3">
      <c r="A915" t="s">
        <v>117</v>
      </c>
      <c r="B915" s="2">
        <v>45689</v>
      </c>
      <c r="C915">
        <v>20560</v>
      </c>
    </row>
    <row r="916" spans="1:3" ht="15" hidden="1" customHeight="1" x14ac:dyDescent="0.3">
      <c r="A916" t="s">
        <v>117</v>
      </c>
      <c r="B916" s="2">
        <v>45717</v>
      </c>
      <c r="C916">
        <v>19975</v>
      </c>
    </row>
    <row r="917" spans="1:3" ht="15" hidden="1" customHeight="1" x14ac:dyDescent="0.3">
      <c r="A917" t="s">
        <v>117</v>
      </c>
      <c r="B917" s="2">
        <v>45748</v>
      </c>
      <c r="C917">
        <v>19104</v>
      </c>
    </row>
    <row r="918" spans="1:3" ht="15" hidden="1" customHeight="1" x14ac:dyDescent="0.3">
      <c r="A918" t="s">
        <v>117</v>
      </c>
      <c r="B918" s="2">
        <v>45778</v>
      </c>
      <c r="C918">
        <v>23300</v>
      </c>
    </row>
    <row r="919" spans="1:3" ht="15" hidden="1" customHeight="1" x14ac:dyDescent="0.3">
      <c r="A919" t="s">
        <v>117</v>
      </c>
      <c r="B919" s="2">
        <v>45809</v>
      </c>
      <c r="C919">
        <v>17947.87</v>
      </c>
    </row>
    <row r="920" spans="1:3" ht="15" hidden="1" customHeight="1" x14ac:dyDescent="0.3">
      <c r="A920" t="s">
        <v>117</v>
      </c>
      <c r="B920" s="2">
        <v>45839</v>
      </c>
      <c r="C920">
        <v>13847</v>
      </c>
    </row>
    <row r="921" spans="1:3" ht="15" hidden="1" customHeight="1" x14ac:dyDescent="0.3">
      <c r="A921" t="s">
        <v>117</v>
      </c>
      <c r="B921" s="2">
        <v>45870</v>
      </c>
      <c r="C921">
        <v>22606</v>
      </c>
    </row>
    <row r="922" spans="1:3" ht="15" hidden="1" customHeight="1" x14ac:dyDescent="0.3">
      <c r="A922" t="s">
        <v>117</v>
      </c>
      <c r="B922" s="2">
        <v>45901</v>
      </c>
      <c r="C922">
        <v>23653</v>
      </c>
    </row>
    <row r="923" spans="1:3" ht="15" hidden="1" customHeight="1" x14ac:dyDescent="0.3">
      <c r="A923" t="s">
        <v>117</v>
      </c>
      <c r="B923" s="2">
        <v>45931</v>
      </c>
      <c r="C923">
        <v>29483</v>
      </c>
    </row>
    <row r="924" spans="1:3" ht="15" hidden="1" customHeight="1" x14ac:dyDescent="0.3">
      <c r="A924" t="s">
        <v>117</v>
      </c>
      <c r="B924" s="2">
        <v>45962</v>
      </c>
      <c r="C924">
        <v>22193</v>
      </c>
    </row>
    <row r="925" spans="1:3" ht="15" hidden="1" customHeight="1" x14ac:dyDescent="0.3">
      <c r="A925" t="s">
        <v>117</v>
      </c>
      <c r="B925" s="2">
        <v>45992</v>
      </c>
      <c r="C925">
        <v>27897</v>
      </c>
    </row>
    <row r="926" spans="1:3" ht="15" hidden="1" customHeight="1" x14ac:dyDescent="0.3">
      <c r="A926" t="s">
        <v>117</v>
      </c>
      <c r="B926" s="2">
        <v>46023</v>
      </c>
      <c r="C926">
        <v>26300</v>
      </c>
    </row>
    <row r="927" spans="1:3" ht="15" hidden="1" customHeight="1" x14ac:dyDescent="0.3">
      <c r="A927" t="s">
        <v>117</v>
      </c>
      <c r="B927" s="2">
        <v>46054</v>
      </c>
      <c r="C927">
        <v>27127.919000000002</v>
      </c>
    </row>
    <row r="928" spans="1:3" ht="15" hidden="1" customHeight="1" x14ac:dyDescent="0.3">
      <c r="A928" t="s">
        <v>117</v>
      </c>
      <c r="B928" s="2">
        <v>46082</v>
      </c>
      <c r="C928">
        <v>23100</v>
      </c>
    </row>
    <row r="929" spans="1:3" ht="15" hidden="1" customHeight="1" x14ac:dyDescent="0.3">
      <c r="A929" t="s">
        <v>117</v>
      </c>
      <c r="B929" s="2">
        <v>46113</v>
      </c>
      <c r="C929">
        <v>19981.060000000001</v>
      </c>
    </row>
    <row r="930" spans="1:3" ht="15" hidden="1" customHeight="1" x14ac:dyDescent="0.3">
      <c r="A930" t="s">
        <v>117</v>
      </c>
      <c r="B930" s="2">
        <v>46143</v>
      </c>
      <c r="C930" s="12">
        <v>20533.099999999999</v>
      </c>
    </row>
    <row r="931" spans="1:3" ht="15" hidden="1" customHeight="1" x14ac:dyDescent="0.3">
      <c r="A931" t="s">
        <v>107</v>
      </c>
      <c r="B931" s="2">
        <v>46174</v>
      </c>
      <c r="C931" s="34">
        <v>2477</v>
      </c>
    </row>
    <row r="932" spans="1:3" ht="15" hidden="1" customHeight="1" x14ac:dyDescent="0.3">
      <c r="A932" t="s">
        <v>109</v>
      </c>
      <c r="B932" s="2">
        <v>46204</v>
      </c>
      <c r="C932">
        <v>2598</v>
      </c>
    </row>
    <row r="933" spans="1:3" ht="15" hidden="1" customHeight="1" x14ac:dyDescent="0.3">
      <c r="A933" t="s">
        <v>117</v>
      </c>
      <c r="B933" s="2">
        <v>46235</v>
      </c>
      <c r="C933">
        <v>23941.67</v>
      </c>
    </row>
    <row r="934" spans="1:3" ht="15" customHeight="1" x14ac:dyDescent="0.3">
      <c r="A934" t="s">
        <v>117</v>
      </c>
      <c r="B934" s="2">
        <v>46266</v>
      </c>
      <c r="C934" s="47">
        <v>23016.89</v>
      </c>
    </row>
    <row r="935" spans="1:3" ht="15" hidden="1" customHeight="1" x14ac:dyDescent="0.3">
      <c r="A935" t="s">
        <v>117</v>
      </c>
      <c r="B935" s="2">
        <v>46296</v>
      </c>
    </row>
    <row r="936" spans="1:3" ht="15" hidden="1" customHeight="1" x14ac:dyDescent="0.3">
      <c r="A936" t="s">
        <v>117</v>
      </c>
      <c r="B936" s="2">
        <v>46327</v>
      </c>
    </row>
    <row r="937" spans="1:3" ht="15" hidden="1" customHeight="1" x14ac:dyDescent="0.3">
      <c r="A937" t="s">
        <v>117</v>
      </c>
      <c r="B937" s="2">
        <v>46357</v>
      </c>
    </row>
    <row r="938" spans="1:3" ht="15" hidden="1" customHeight="1" x14ac:dyDescent="0.3">
      <c r="A938" t="s">
        <v>225</v>
      </c>
      <c r="B938" s="2">
        <v>45292</v>
      </c>
    </row>
    <row r="939" spans="1:3" ht="15" hidden="1" customHeight="1" x14ac:dyDescent="0.3">
      <c r="A939" t="s">
        <v>225</v>
      </c>
      <c r="B939" s="2">
        <v>45323</v>
      </c>
    </row>
    <row r="940" spans="1:3" ht="15" hidden="1" customHeight="1" x14ac:dyDescent="0.3">
      <c r="A940" t="s">
        <v>225</v>
      </c>
      <c r="B940" s="2">
        <v>45352</v>
      </c>
    </row>
    <row r="941" spans="1:3" ht="15" hidden="1" customHeight="1" x14ac:dyDescent="0.3">
      <c r="A941" t="s">
        <v>225</v>
      </c>
      <c r="B941" s="2">
        <v>45383</v>
      </c>
    </row>
    <row r="942" spans="1:3" ht="15" hidden="1" customHeight="1" x14ac:dyDescent="0.3">
      <c r="A942" t="s">
        <v>225</v>
      </c>
      <c r="B942" s="2">
        <v>45413</v>
      </c>
    </row>
    <row r="943" spans="1:3" ht="15" hidden="1" customHeight="1" x14ac:dyDescent="0.3">
      <c r="A943" t="s">
        <v>225</v>
      </c>
      <c r="B943" s="2">
        <v>45444</v>
      </c>
    </row>
    <row r="944" spans="1:3" ht="15" hidden="1" customHeight="1" x14ac:dyDescent="0.3">
      <c r="A944" t="s">
        <v>225</v>
      </c>
      <c r="B944" s="2">
        <v>45474</v>
      </c>
    </row>
    <row r="945" spans="1:2" ht="15" hidden="1" customHeight="1" x14ac:dyDescent="0.3">
      <c r="A945" t="s">
        <v>225</v>
      </c>
      <c r="B945" s="2">
        <v>45505</v>
      </c>
    </row>
    <row r="946" spans="1:2" ht="15" hidden="1" customHeight="1" x14ac:dyDescent="0.3">
      <c r="A946" t="s">
        <v>225</v>
      </c>
      <c r="B946" s="2">
        <v>45536</v>
      </c>
    </row>
    <row r="947" spans="1:2" ht="15" hidden="1" customHeight="1" x14ac:dyDescent="0.3">
      <c r="A947" t="s">
        <v>225</v>
      </c>
      <c r="B947" s="2">
        <v>45566</v>
      </c>
    </row>
    <row r="948" spans="1:2" ht="15" hidden="1" customHeight="1" x14ac:dyDescent="0.3">
      <c r="A948" t="s">
        <v>225</v>
      </c>
      <c r="B948" s="2">
        <v>45597</v>
      </c>
    </row>
    <row r="949" spans="1:2" ht="15" hidden="1" customHeight="1" x14ac:dyDescent="0.3">
      <c r="A949" t="s">
        <v>225</v>
      </c>
      <c r="B949" s="2">
        <v>45627</v>
      </c>
    </row>
    <row r="950" spans="1:2" ht="15" hidden="1" customHeight="1" x14ac:dyDescent="0.3">
      <c r="A950" t="s">
        <v>225</v>
      </c>
      <c r="B950" s="2">
        <v>45658</v>
      </c>
    </row>
    <row r="951" spans="1:2" ht="15" hidden="1" customHeight="1" x14ac:dyDescent="0.3">
      <c r="A951" t="s">
        <v>225</v>
      </c>
      <c r="B951" s="2">
        <v>45689</v>
      </c>
    </row>
    <row r="952" spans="1:2" ht="15" hidden="1" customHeight="1" x14ac:dyDescent="0.3">
      <c r="A952" t="s">
        <v>225</v>
      </c>
      <c r="B952" s="2">
        <v>45717</v>
      </c>
    </row>
    <row r="953" spans="1:2" ht="15" hidden="1" customHeight="1" x14ac:dyDescent="0.3">
      <c r="A953" t="s">
        <v>225</v>
      </c>
      <c r="B953" s="2">
        <v>45748</v>
      </c>
    </row>
    <row r="954" spans="1:2" ht="15" hidden="1" customHeight="1" x14ac:dyDescent="0.3">
      <c r="A954" t="s">
        <v>225</v>
      </c>
      <c r="B954" s="2">
        <v>45778</v>
      </c>
    </row>
    <row r="955" spans="1:2" ht="15" hidden="1" customHeight="1" x14ac:dyDescent="0.3">
      <c r="A955" t="s">
        <v>225</v>
      </c>
      <c r="B955" s="2">
        <v>45809</v>
      </c>
    </row>
    <row r="956" spans="1:2" ht="15" hidden="1" customHeight="1" x14ac:dyDescent="0.3">
      <c r="A956" t="s">
        <v>225</v>
      </c>
      <c r="B956" s="2">
        <v>45839</v>
      </c>
    </row>
    <row r="957" spans="1:2" ht="15" hidden="1" customHeight="1" x14ac:dyDescent="0.3">
      <c r="A957" t="s">
        <v>225</v>
      </c>
      <c r="B957" s="2">
        <v>45870</v>
      </c>
    </row>
    <row r="958" spans="1:2" ht="15" hidden="1" customHeight="1" x14ac:dyDescent="0.3">
      <c r="A958" t="s">
        <v>225</v>
      </c>
      <c r="B958" s="2">
        <v>45901</v>
      </c>
    </row>
    <row r="959" spans="1:2" ht="15" hidden="1" customHeight="1" x14ac:dyDescent="0.3">
      <c r="A959" t="s">
        <v>225</v>
      </c>
      <c r="B959" s="2">
        <v>45931</v>
      </c>
    </row>
    <row r="960" spans="1:2" ht="15" hidden="1" customHeight="1" x14ac:dyDescent="0.3">
      <c r="A960" t="s">
        <v>225</v>
      </c>
      <c r="B960" s="2">
        <v>45962</v>
      </c>
    </row>
    <row r="961" spans="1:3" ht="15" hidden="1" customHeight="1" x14ac:dyDescent="0.3">
      <c r="A961" t="s">
        <v>225</v>
      </c>
      <c r="B961" s="2">
        <v>45992</v>
      </c>
      <c r="C961">
        <v>5820</v>
      </c>
    </row>
    <row r="962" spans="1:3" ht="15" hidden="1" customHeight="1" x14ac:dyDescent="0.3">
      <c r="A962" t="s">
        <v>225</v>
      </c>
      <c r="B962" s="2">
        <v>46023</v>
      </c>
      <c r="C962">
        <v>7914</v>
      </c>
    </row>
    <row r="963" spans="1:3" ht="15" hidden="1" customHeight="1" x14ac:dyDescent="0.3">
      <c r="A963" t="s">
        <v>225</v>
      </c>
      <c r="B963" s="2">
        <v>46054</v>
      </c>
      <c r="C963">
        <v>8094</v>
      </c>
    </row>
    <row r="964" spans="1:3" ht="15" hidden="1" customHeight="1" x14ac:dyDescent="0.3">
      <c r="A964" t="s">
        <v>225</v>
      </c>
      <c r="B964" s="2">
        <v>46082</v>
      </c>
      <c r="C964">
        <v>6511</v>
      </c>
    </row>
    <row r="965" spans="1:3" ht="15" hidden="1" customHeight="1" x14ac:dyDescent="0.3">
      <c r="A965" t="s">
        <v>225</v>
      </c>
      <c r="B965" s="2">
        <v>46113</v>
      </c>
      <c r="C965">
        <v>6094.6</v>
      </c>
    </row>
    <row r="966" spans="1:3" ht="15" hidden="1" customHeight="1" x14ac:dyDescent="0.3">
      <c r="A966" t="s">
        <v>225</v>
      </c>
      <c r="B966" s="2">
        <v>46143</v>
      </c>
      <c r="C966" s="12">
        <v>7117.7</v>
      </c>
    </row>
    <row r="967" spans="1:3" ht="15" hidden="1" customHeight="1" x14ac:dyDescent="0.3">
      <c r="A967" t="s">
        <v>114</v>
      </c>
      <c r="B967" s="2">
        <v>46174</v>
      </c>
      <c r="C967">
        <v>13234</v>
      </c>
    </row>
    <row r="968" spans="1:3" ht="15" hidden="1" customHeight="1" x14ac:dyDescent="0.3">
      <c r="A968" t="s">
        <v>113</v>
      </c>
      <c r="B968" s="2">
        <v>46204</v>
      </c>
      <c r="C968">
        <v>14156</v>
      </c>
    </row>
    <row r="969" spans="1:3" ht="15" hidden="1" customHeight="1" x14ac:dyDescent="0.3">
      <c r="A969" t="s">
        <v>225</v>
      </c>
      <c r="B969" s="2">
        <v>46235</v>
      </c>
      <c r="C969">
        <v>7937</v>
      </c>
    </row>
    <row r="970" spans="1:3" ht="15" customHeight="1" x14ac:dyDescent="0.3">
      <c r="A970" t="s">
        <v>225</v>
      </c>
      <c r="B970" s="2">
        <v>46266</v>
      </c>
      <c r="C970" s="47">
        <v>7314.8</v>
      </c>
    </row>
    <row r="971" spans="1:3" ht="15" hidden="1" customHeight="1" x14ac:dyDescent="0.3">
      <c r="A971" t="s">
        <v>225</v>
      </c>
      <c r="B971" s="2">
        <v>46296</v>
      </c>
    </row>
    <row r="972" spans="1:3" ht="15" hidden="1" customHeight="1" x14ac:dyDescent="0.3">
      <c r="A972" t="s">
        <v>225</v>
      </c>
      <c r="B972" s="2">
        <v>46327</v>
      </c>
    </row>
    <row r="973" spans="1:3" ht="15" hidden="1" customHeight="1" x14ac:dyDescent="0.3">
      <c r="A973" t="s">
        <v>225</v>
      </c>
      <c r="B973" s="2">
        <v>46357</v>
      </c>
    </row>
    <row r="974" spans="1:3" ht="15" hidden="1" customHeight="1" x14ac:dyDescent="0.3">
      <c r="A974" t="s">
        <v>223</v>
      </c>
      <c r="B974" s="2">
        <v>45292</v>
      </c>
    </row>
    <row r="975" spans="1:3" ht="15" hidden="1" customHeight="1" x14ac:dyDescent="0.3">
      <c r="A975" t="s">
        <v>223</v>
      </c>
      <c r="B975" s="2">
        <v>45323</v>
      </c>
    </row>
    <row r="976" spans="1:3" ht="15" hidden="1" customHeight="1" x14ac:dyDescent="0.3">
      <c r="A976" t="s">
        <v>223</v>
      </c>
      <c r="B976" s="2">
        <v>45352</v>
      </c>
    </row>
    <row r="977" spans="1:2" ht="15" hidden="1" customHeight="1" x14ac:dyDescent="0.3">
      <c r="A977" t="s">
        <v>223</v>
      </c>
      <c r="B977" s="2">
        <v>45383</v>
      </c>
    </row>
    <row r="978" spans="1:2" ht="15" hidden="1" customHeight="1" x14ac:dyDescent="0.3">
      <c r="A978" t="s">
        <v>223</v>
      </c>
      <c r="B978" s="2">
        <v>45413</v>
      </c>
    </row>
    <row r="979" spans="1:2" ht="15" hidden="1" customHeight="1" x14ac:dyDescent="0.3">
      <c r="A979" t="s">
        <v>223</v>
      </c>
      <c r="B979" s="2">
        <v>45444</v>
      </c>
    </row>
    <row r="980" spans="1:2" ht="15" hidden="1" customHeight="1" x14ac:dyDescent="0.3">
      <c r="A980" t="s">
        <v>223</v>
      </c>
      <c r="B980" s="2">
        <v>45474</v>
      </c>
    </row>
    <row r="981" spans="1:2" ht="15" hidden="1" customHeight="1" x14ac:dyDescent="0.3">
      <c r="A981" t="s">
        <v>223</v>
      </c>
      <c r="B981" s="2">
        <v>45505</v>
      </c>
    </row>
    <row r="982" spans="1:2" ht="15" hidden="1" customHeight="1" x14ac:dyDescent="0.3">
      <c r="A982" t="s">
        <v>223</v>
      </c>
      <c r="B982" s="2">
        <v>45536</v>
      </c>
    </row>
    <row r="983" spans="1:2" ht="15" hidden="1" customHeight="1" x14ac:dyDescent="0.3">
      <c r="A983" t="s">
        <v>223</v>
      </c>
      <c r="B983" s="2">
        <v>45566</v>
      </c>
    </row>
    <row r="984" spans="1:2" ht="15" hidden="1" customHeight="1" x14ac:dyDescent="0.3">
      <c r="A984" t="s">
        <v>223</v>
      </c>
      <c r="B984" s="2">
        <v>45597</v>
      </c>
    </row>
    <row r="985" spans="1:2" ht="15" hidden="1" customHeight="1" x14ac:dyDescent="0.3">
      <c r="A985" t="s">
        <v>223</v>
      </c>
      <c r="B985" s="2">
        <v>45627</v>
      </c>
    </row>
    <row r="986" spans="1:2" ht="15" hidden="1" customHeight="1" x14ac:dyDescent="0.3">
      <c r="A986" t="s">
        <v>223</v>
      </c>
      <c r="B986" s="2">
        <v>45658</v>
      </c>
    </row>
    <row r="987" spans="1:2" ht="15" hidden="1" customHeight="1" x14ac:dyDescent="0.3">
      <c r="A987" t="s">
        <v>223</v>
      </c>
      <c r="B987" s="2">
        <v>45689</v>
      </c>
    </row>
    <row r="988" spans="1:2" ht="15" hidden="1" customHeight="1" x14ac:dyDescent="0.3">
      <c r="A988" t="s">
        <v>223</v>
      </c>
      <c r="B988" s="2">
        <v>45717</v>
      </c>
    </row>
    <row r="989" spans="1:2" ht="15" hidden="1" customHeight="1" x14ac:dyDescent="0.3">
      <c r="A989" t="s">
        <v>223</v>
      </c>
      <c r="B989" s="2">
        <v>45748</v>
      </c>
    </row>
    <row r="990" spans="1:2" ht="15" hidden="1" customHeight="1" x14ac:dyDescent="0.3">
      <c r="A990" t="s">
        <v>223</v>
      </c>
      <c r="B990" s="2">
        <v>45778</v>
      </c>
    </row>
    <row r="991" spans="1:2" ht="15" hidden="1" customHeight="1" x14ac:dyDescent="0.3">
      <c r="A991" t="s">
        <v>223</v>
      </c>
      <c r="B991" s="2">
        <v>45809</v>
      </c>
    </row>
    <row r="992" spans="1:2" ht="15" hidden="1" customHeight="1" x14ac:dyDescent="0.3">
      <c r="A992" t="s">
        <v>223</v>
      </c>
      <c r="B992" s="2">
        <v>45839</v>
      </c>
    </row>
    <row r="993" spans="1:3" ht="15" hidden="1" customHeight="1" x14ac:dyDescent="0.3">
      <c r="A993" t="s">
        <v>223</v>
      </c>
      <c r="B993" s="2">
        <v>45870</v>
      </c>
    </row>
    <row r="994" spans="1:3" ht="15" hidden="1" customHeight="1" x14ac:dyDescent="0.3">
      <c r="A994" t="s">
        <v>223</v>
      </c>
      <c r="B994" s="2">
        <v>45901</v>
      </c>
    </row>
    <row r="995" spans="1:3" ht="15" hidden="1" customHeight="1" x14ac:dyDescent="0.3">
      <c r="A995" t="s">
        <v>223</v>
      </c>
      <c r="B995" s="2">
        <v>45931</v>
      </c>
    </row>
    <row r="996" spans="1:3" ht="15" hidden="1" customHeight="1" x14ac:dyDescent="0.3">
      <c r="A996" t="s">
        <v>223</v>
      </c>
      <c r="B996" s="2">
        <v>45962</v>
      </c>
    </row>
    <row r="997" spans="1:3" ht="15" hidden="1" customHeight="1" x14ac:dyDescent="0.3">
      <c r="A997" t="s">
        <v>223</v>
      </c>
      <c r="B997" s="2">
        <v>45992</v>
      </c>
      <c r="C997">
        <v>5820</v>
      </c>
    </row>
    <row r="998" spans="1:3" ht="15" hidden="1" customHeight="1" x14ac:dyDescent="0.3">
      <c r="A998" t="s">
        <v>223</v>
      </c>
      <c r="B998" s="2">
        <v>46023</v>
      </c>
      <c r="C998">
        <v>5904</v>
      </c>
    </row>
    <row r="999" spans="1:3" ht="15" hidden="1" customHeight="1" x14ac:dyDescent="0.3">
      <c r="A999" t="s">
        <v>223</v>
      </c>
      <c r="B999" s="2">
        <v>46054</v>
      </c>
      <c r="C999">
        <v>5406</v>
      </c>
    </row>
    <row r="1000" spans="1:3" ht="15" hidden="1" customHeight="1" x14ac:dyDescent="0.3">
      <c r="A1000" t="s">
        <v>223</v>
      </c>
      <c r="B1000" s="2">
        <v>46082</v>
      </c>
      <c r="C1000">
        <v>4115</v>
      </c>
    </row>
    <row r="1001" spans="1:3" ht="15" hidden="1" customHeight="1" x14ac:dyDescent="0.3">
      <c r="A1001" t="s">
        <v>223</v>
      </c>
      <c r="B1001" s="2">
        <v>46113</v>
      </c>
      <c r="C1001">
        <v>4377</v>
      </c>
    </row>
    <row r="1002" spans="1:3" ht="15" hidden="1" customHeight="1" x14ac:dyDescent="0.3">
      <c r="A1002" t="s">
        <v>223</v>
      </c>
      <c r="B1002" s="2">
        <v>46143</v>
      </c>
      <c r="C1002" s="12">
        <v>4300</v>
      </c>
    </row>
    <row r="1003" spans="1:3" ht="15" hidden="1" customHeight="1" x14ac:dyDescent="0.3">
      <c r="A1003" t="s">
        <v>117</v>
      </c>
      <c r="B1003" s="2">
        <v>46174</v>
      </c>
      <c r="C1003">
        <v>15001.099999999999</v>
      </c>
    </row>
    <row r="1004" spans="1:3" ht="15" hidden="1" customHeight="1" x14ac:dyDescent="0.3">
      <c r="A1004" t="s">
        <v>114</v>
      </c>
      <c r="B1004" s="2">
        <v>46204</v>
      </c>
      <c r="C1004">
        <v>17975</v>
      </c>
    </row>
    <row r="1005" spans="1:3" ht="15" hidden="1" customHeight="1" x14ac:dyDescent="0.3">
      <c r="A1005" t="s">
        <v>223</v>
      </c>
      <c r="B1005" s="2">
        <v>46235</v>
      </c>
      <c r="C1005">
        <v>5281</v>
      </c>
    </row>
    <row r="1006" spans="1:3" ht="15" customHeight="1" x14ac:dyDescent="0.3">
      <c r="A1006" t="s">
        <v>223</v>
      </c>
      <c r="B1006" s="2">
        <v>46266</v>
      </c>
      <c r="C1006" s="47">
        <v>4730</v>
      </c>
    </row>
    <row r="1007" spans="1:3" ht="15" hidden="1" customHeight="1" x14ac:dyDescent="0.3">
      <c r="A1007" t="s">
        <v>223</v>
      </c>
      <c r="B1007" s="2">
        <v>46296</v>
      </c>
    </row>
    <row r="1008" spans="1:3" ht="15" hidden="1" customHeight="1" x14ac:dyDescent="0.3">
      <c r="A1008" t="s">
        <v>223</v>
      </c>
      <c r="B1008" s="2">
        <v>46327</v>
      </c>
    </row>
    <row r="1009" spans="1:3" ht="15" hidden="1" customHeight="1" x14ac:dyDescent="0.3">
      <c r="A1009" t="s">
        <v>223</v>
      </c>
      <c r="B1009" s="2">
        <v>46357</v>
      </c>
    </row>
    <row r="1010" spans="1:3" ht="15" hidden="1" customHeight="1" x14ac:dyDescent="0.3">
      <c r="A1010" t="s">
        <v>120</v>
      </c>
      <c r="B1010" s="2">
        <v>45292</v>
      </c>
      <c r="C1010">
        <v>13629</v>
      </c>
    </row>
    <row r="1011" spans="1:3" ht="15" hidden="1" customHeight="1" x14ac:dyDescent="0.3">
      <c r="A1011" t="s">
        <v>120</v>
      </c>
      <c r="B1011" s="2">
        <v>45323</v>
      </c>
      <c r="C1011">
        <v>12014</v>
      </c>
    </row>
    <row r="1012" spans="1:3" ht="15" hidden="1" customHeight="1" x14ac:dyDescent="0.3">
      <c r="A1012" t="s">
        <v>120</v>
      </c>
      <c r="B1012" s="2">
        <v>45352</v>
      </c>
      <c r="C1012">
        <v>12428</v>
      </c>
    </row>
    <row r="1013" spans="1:3" ht="15" hidden="1" customHeight="1" x14ac:dyDescent="0.3">
      <c r="A1013" t="s">
        <v>120</v>
      </c>
      <c r="B1013" s="2">
        <v>45383</v>
      </c>
      <c r="C1013">
        <v>9084</v>
      </c>
    </row>
    <row r="1014" spans="1:3" ht="15" hidden="1" customHeight="1" x14ac:dyDescent="0.3">
      <c r="A1014" t="s">
        <v>120</v>
      </c>
      <c r="B1014" s="2">
        <v>45413</v>
      </c>
      <c r="C1014">
        <v>8049</v>
      </c>
    </row>
    <row r="1015" spans="1:3" ht="15" hidden="1" customHeight="1" x14ac:dyDescent="0.3">
      <c r="A1015" t="s">
        <v>120</v>
      </c>
      <c r="B1015" s="2">
        <v>45444</v>
      </c>
      <c r="C1015">
        <v>6600</v>
      </c>
    </row>
    <row r="1016" spans="1:3" ht="15" hidden="1" customHeight="1" x14ac:dyDescent="0.3">
      <c r="A1016" t="s">
        <v>120</v>
      </c>
      <c r="B1016" s="2">
        <v>45474</v>
      </c>
      <c r="C1016">
        <v>7832</v>
      </c>
    </row>
    <row r="1017" spans="1:3" ht="15" hidden="1" customHeight="1" x14ac:dyDescent="0.3">
      <c r="A1017" t="s">
        <v>120</v>
      </c>
      <c r="B1017" s="2">
        <v>45505</v>
      </c>
      <c r="C1017">
        <v>8766</v>
      </c>
    </row>
    <row r="1018" spans="1:3" ht="15" hidden="1" customHeight="1" x14ac:dyDescent="0.3">
      <c r="A1018" t="s">
        <v>120</v>
      </c>
      <c r="B1018" s="2">
        <v>45536</v>
      </c>
      <c r="C1018">
        <v>9208</v>
      </c>
    </row>
    <row r="1019" spans="1:3" ht="15" hidden="1" customHeight="1" x14ac:dyDescent="0.3">
      <c r="A1019" t="s">
        <v>120</v>
      </c>
      <c r="B1019" s="2">
        <v>45566</v>
      </c>
      <c r="C1019">
        <v>12879</v>
      </c>
    </row>
    <row r="1020" spans="1:3" ht="15" hidden="1" customHeight="1" x14ac:dyDescent="0.3">
      <c r="A1020" t="s">
        <v>120</v>
      </c>
      <c r="B1020" s="2">
        <v>45597</v>
      </c>
      <c r="C1020">
        <v>13410</v>
      </c>
    </row>
    <row r="1021" spans="1:3" ht="15" hidden="1" customHeight="1" x14ac:dyDescent="0.3">
      <c r="A1021" t="s">
        <v>120</v>
      </c>
      <c r="B1021" s="2">
        <v>45627</v>
      </c>
      <c r="C1021">
        <v>13869</v>
      </c>
    </row>
    <row r="1022" spans="1:3" ht="15" hidden="1" customHeight="1" x14ac:dyDescent="0.3">
      <c r="A1022" t="s">
        <v>120</v>
      </c>
      <c r="B1022" s="2">
        <v>45658</v>
      </c>
      <c r="C1022">
        <v>13136</v>
      </c>
    </row>
    <row r="1023" spans="1:3" ht="15" hidden="1" customHeight="1" x14ac:dyDescent="0.3">
      <c r="A1023" t="s">
        <v>120</v>
      </c>
      <c r="B1023" s="2">
        <v>45689</v>
      </c>
      <c r="C1023">
        <v>10624</v>
      </c>
    </row>
    <row r="1024" spans="1:3" ht="15" hidden="1" customHeight="1" x14ac:dyDescent="0.3">
      <c r="A1024" t="s">
        <v>120</v>
      </c>
      <c r="B1024" s="2">
        <v>45717</v>
      </c>
      <c r="C1024">
        <v>10420</v>
      </c>
    </row>
    <row r="1025" spans="1:3" ht="15" hidden="1" customHeight="1" x14ac:dyDescent="0.3">
      <c r="A1025" t="s">
        <v>120</v>
      </c>
      <c r="B1025" s="2">
        <v>45748</v>
      </c>
      <c r="C1025">
        <v>7391</v>
      </c>
    </row>
    <row r="1026" spans="1:3" ht="15" hidden="1" customHeight="1" x14ac:dyDescent="0.3">
      <c r="A1026" t="s">
        <v>120</v>
      </c>
      <c r="B1026" s="2">
        <v>45778</v>
      </c>
      <c r="C1026">
        <v>7947</v>
      </c>
    </row>
    <row r="1027" spans="1:3" ht="15" hidden="1" customHeight="1" x14ac:dyDescent="0.3">
      <c r="A1027" t="s">
        <v>120</v>
      </c>
      <c r="B1027" s="2">
        <v>45809</v>
      </c>
      <c r="C1027">
        <v>6390.63</v>
      </c>
    </row>
    <row r="1028" spans="1:3" ht="15" hidden="1" customHeight="1" x14ac:dyDescent="0.3">
      <c r="A1028" t="s">
        <v>120</v>
      </c>
      <c r="B1028" s="2">
        <v>45839</v>
      </c>
      <c r="C1028">
        <v>7146</v>
      </c>
    </row>
    <row r="1029" spans="1:3" ht="15" hidden="1" customHeight="1" x14ac:dyDescent="0.3">
      <c r="A1029" t="s">
        <v>120</v>
      </c>
      <c r="B1029" s="2">
        <v>45870</v>
      </c>
      <c r="C1029">
        <v>7396</v>
      </c>
    </row>
    <row r="1030" spans="1:3" ht="15" hidden="1" customHeight="1" x14ac:dyDescent="0.3">
      <c r="A1030" t="s">
        <v>120</v>
      </c>
      <c r="B1030" s="2">
        <v>45901</v>
      </c>
      <c r="C1030">
        <v>8160</v>
      </c>
    </row>
    <row r="1031" spans="1:3" ht="15" hidden="1" customHeight="1" x14ac:dyDescent="0.3">
      <c r="A1031" t="s">
        <v>120</v>
      </c>
      <c r="B1031" s="2">
        <v>45931</v>
      </c>
      <c r="C1031">
        <v>10866</v>
      </c>
    </row>
    <row r="1032" spans="1:3" ht="15" hidden="1" customHeight="1" x14ac:dyDescent="0.3">
      <c r="A1032" t="s">
        <v>120</v>
      </c>
      <c r="B1032" s="2">
        <v>45962</v>
      </c>
      <c r="C1032">
        <v>10612</v>
      </c>
    </row>
    <row r="1033" spans="1:3" ht="15" hidden="1" customHeight="1" x14ac:dyDescent="0.3">
      <c r="A1033" t="s">
        <v>120</v>
      </c>
      <c r="B1033" s="2">
        <v>45992</v>
      </c>
      <c r="C1033">
        <v>11236</v>
      </c>
    </row>
    <row r="1034" spans="1:3" ht="15" hidden="1" customHeight="1" x14ac:dyDescent="0.3">
      <c r="A1034" t="s">
        <v>120</v>
      </c>
      <c r="B1034" s="2">
        <v>46023</v>
      </c>
      <c r="C1034">
        <v>13357</v>
      </c>
    </row>
    <row r="1035" spans="1:3" ht="15" hidden="1" customHeight="1" x14ac:dyDescent="0.3">
      <c r="A1035" t="s">
        <v>120</v>
      </c>
      <c r="B1035" s="2">
        <v>46054</v>
      </c>
      <c r="C1035">
        <v>9365</v>
      </c>
    </row>
    <row r="1036" spans="1:3" ht="15" hidden="1" customHeight="1" x14ac:dyDescent="0.3">
      <c r="A1036" t="s">
        <v>120</v>
      </c>
      <c r="B1036" s="2">
        <v>46082</v>
      </c>
      <c r="C1036">
        <v>7814</v>
      </c>
    </row>
    <row r="1037" spans="1:3" ht="15" hidden="1" customHeight="1" x14ac:dyDescent="0.3">
      <c r="A1037" t="s">
        <v>120</v>
      </c>
      <c r="B1037" s="2">
        <v>46113</v>
      </c>
      <c r="C1037">
        <v>5599.56</v>
      </c>
    </row>
    <row r="1038" spans="1:3" ht="15" hidden="1" customHeight="1" x14ac:dyDescent="0.3">
      <c r="A1038" t="s">
        <v>120</v>
      </c>
      <c r="B1038" s="2">
        <v>46143</v>
      </c>
      <c r="C1038" s="12">
        <v>5867.76</v>
      </c>
    </row>
    <row r="1039" spans="1:3" ht="15" hidden="1" customHeight="1" x14ac:dyDescent="0.3">
      <c r="A1039" t="s">
        <v>120</v>
      </c>
      <c r="B1039" s="2">
        <v>46174</v>
      </c>
      <c r="C1039">
        <v>4645.3100000000004</v>
      </c>
    </row>
    <row r="1040" spans="1:3" ht="15" hidden="1" customHeight="1" x14ac:dyDescent="0.3">
      <c r="A1040" t="s">
        <v>117</v>
      </c>
      <c r="B1040" s="2">
        <v>46204</v>
      </c>
      <c r="C1040">
        <v>20850.759999999998</v>
      </c>
    </row>
    <row r="1041" spans="1:3" ht="15" hidden="1" customHeight="1" x14ac:dyDescent="0.3">
      <c r="A1041" t="s">
        <v>120</v>
      </c>
      <c r="B1041" s="2">
        <v>46235</v>
      </c>
      <c r="C1041">
        <v>8388.6688799999993</v>
      </c>
    </row>
    <row r="1042" spans="1:3" ht="15" customHeight="1" x14ac:dyDescent="0.3">
      <c r="A1042" t="s">
        <v>120</v>
      </c>
      <c r="B1042" s="2">
        <v>46266</v>
      </c>
      <c r="C1042" s="47">
        <v>7912.61</v>
      </c>
    </row>
    <row r="1043" spans="1:3" ht="15" hidden="1" customHeight="1" x14ac:dyDescent="0.3">
      <c r="A1043" t="s">
        <v>120</v>
      </c>
      <c r="B1043" s="2">
        <v>46296</v>
      </c>
    </row>
    <row r="1044" spans="1:3" ht="15" hidden="1" customHeight="1" x14ac:dyDescent="0.3">
      <c r="A1044" t="s">
        <v>120</v>
      </c>
      <c r="B1044" s="2">
        <v>46327</v>
      </c>
    </row>
    <row r="1045" spans="1:3" ht="15" hidden="1" customHeight="1" x14ac:dyDescent="0.3">
      <c r="A1045" t="s">
        <v>120</v>
      </c>
      <c r="B1045" s="2">
        <v>46357</v>
      </c>
    </row>
    <row r="1046" spans="1:3" ht="15" hidden="1" customHeight="1" x14ac:dyDescent="0.3">
      <c r="A1046" t="s">
        <v>236</v>
      </c>
      <c r="B1046" s="2">
        <v>45292</v>
      </c>
    </row>
    <row r="1047" spans="1:3" ht="15" hidden="1" customHeight="1" x14ac:dyDescent="0.3">
      <c r="A1047" t="s">
        <v>236</v>
      </c>
      <c r="B1047" s="2">
        <v>45323</v>
      </c>
    </row>
    <row r="1048" spans="1:3" ht="15" hidden="1" customHeight="1" x14ac:dyDescent="0.3">
      <c r="A1048" t="s">
        <v>236</v>
      </c>
      <c r="B1048" s="2">
        <v>45352</v>
      </c>
    </row>
    <row r="1049" spans="1:3" ht="15" hidden="1" customHeight="1" x14ac:dyDescent="0.3">
      <c r="A1049" t="s">
        <v>236</v>
      </c>
      <c r="B1049" s="2">
        <v>45383</v>
      </c>
    </row>
    <row r="1050" spans="1:3" ht="15" hidden="1" customHeight="1" x14ac:dyDescent="0.3">
      <c r="A1050" t="s">
        <v>236</v>
      </c>
      <c r="B1050" s="2">
        <v>45413</v>
      </c>
    </row>
    <row r="1051" spans="1:3" ht="15" hidden="1" customHeight="1" x14ac:dyDescent="0.3">
      <c r="A1051" t="s">
        <v>236</v>
      </c>
      <c r="B1051" s="2">
        <v>45444</v>
      </c>
    </row>
    <row r="1052" spans="1:3" ht="15" hidden="1" customHeight="1" x14ac:dyDescent="0.3">
      <c r="A1052" t="s">
        <v>236</v>
      </c>
      <c r="B1052" s="2">
        <v>45474</v>
      </c>
    </row>
    <row r="1053" spans="1:3" ht="15" hidden="1" customHeight="1" x14ac:dyDescent="0.3">
      <c r="A1053" t="s">
        <v>236</v>
      </c>
      <c r="B1053" s="2">
        <v>45505</v>
      </c>
    </row>
    <row r="1054" spans="1:3" ht="15" hidden="1" customHeight="1" x14ac:dyDescent="0.3">
      <c r="A1054" t="s">
        <v>236</v>
      </c>
      <c r="B1054" s="2">
        <v>45536</v>
      </c>
    </row>
    <row r="1055" spans="1:3" ht="15" hidden="1" customHeight="1" x14ac:dyDescent="0.3">
      <c r="A1055" t="s">
        <v>236</v>
      </c>
      <c r="B1055" s="2">
        <v>45566</v>
      </c>
    </row>
    <row r="1056" spans="1:3" ht="15" hidden="1" customHeight="1" x14ac:dyDescent="0.3">
      <c r="A1056" t="s">
        <v>236</v>
      </c>
      <c r="B1056" s="2">
        <v>45597</v>
      </c>
    </row>
    <row r="1057" spans="1:3" ht="15" hidden="1" customHeight="1" x14ac:dyDescent="0.3">
      <c r="A1057" t="s">
        <v>236</v>
      </c>
      <c r="B1057" s="2">
        <v>45627</v>
      </c>
    </row>
    <row r="1058" spans="1:3" ht="15" hidden="1" customHeight="1" x14ac:dyDescent="0.3">
      <c r="A1058" t="s">
        <v>236</v>
      </c>
      <c r="B1058" s="2">
        <v>45658</v>
      </c>
    </row>
    <row r="1059" spans="1:3" ht="15" hidden="1" customHeight="1" x14ac:dyDescent="0.3">
      <c r="A1059" t="s">
        <v>236</v>
      </c>
      <c r="B1059" s="2">
        <v>45689</v>
      </c>
    </row>
    <row r="1060" spans="1:3" ht="15" hidden="1" customHeight="1" x14ac:dyDescent="0.3">
      <c r="A1060" t="s">
        <v>236</v>
      </c>
      <c r="B1060" s="2">
        <v>45717</v>
      </c>
    </row>
    <row r="1061" spans="1:3" ht="15" hidden="1" customHeight="1" x14ac:dyDescent="0.3">
      <c r="A1061" t="s">
        <v>236</v>
      </c>
      <c r="B1061" s="2">
        <v>45748</v>
      </c>
    </row>
    <row r="1062" spans="1:3" ht="15" hidden="1" customHeight="1" x14ac:dyDescent="0.3">
      <c r="A1062" t="s">
        <v>236</v>
      </c>
      <c r="B1062" s="2">
        <v>45778</v>
      </c>
    </row>
    <row r="1063" spans="1:3" ht="15" hidden="1" customHeight="1" x14ac:dyDescent="0.3">
      <c r="A1063" t="s">
        <v>236</v>
      </c>
      <c r="B1063" s="2">
        <v>45809</v>
      </c>
    </row>
    <row r="1064" spans="1:3" ht="15" hidden="1" customHeight="1" x14ac:dyDescent="0.3">
      <c r="A1064" t="s">
        <v>236</v>
      </c>
      <c r="B1064" s="2">
        <v>45839</v>
      </c>
    </row>
    <row r="1065" spans="1:3" ht="15" hidden="1" customHeight="1" x14ac:dyDescent="0.3">
      <c r="A1065" t="s">
        <v>236</v>
      </c>
      <c r="B1065" s="2">
        <v>45870</v>
      </c>
    </row>
    <row r="1066" spans="1:3" ht="15" hidden="1" customHeight="1" x14ac:dyDescent="0.3">
      <c r="A1066" t="s">
        <v>236</v>
      </c>
      <c r="B1066" s="2">
        <v>45901</v>
      </c>
    </row>
    <row r="1067" spans="1:3" ht="15" hidden="1" customHeight="1" x14ac:dyDescent="0.3">
      <c r="A1067" t="s">
        <v>236</v>
      </c>
      <c r="B1067" s="2">
        <v>45931</v>
      </c>
    </row>
    <row r="1068" spans="1:3" ht="15" hidden="1" customHeight="1" x14ac:dyDescent="0.3">
      <c r="A1068" t="s">
        <v>236</v>
      </c>
      <c r="B1068" s="2">
        <v>45962</v>
      </c>
    </row>
    <row r="1069" spans="1:3" ht="15" hidden="1" customHeight="1" x14ac:dyDescent="0.3">
      <c r="A1069" t="s">
        <v>236</v>
      </c>
      <c r="B1069" s="2">
        <v>45992</v>
      </c>
    </row>
    <row r="1070" spans="1:3" ht="15" hidden="1" customHeight="1" x14ac:dyDescent="0.3">
      <c r="A1070" t="s">
        <v>236</v>
      </c>
      <c r="B1070" s="2">
        <v>46023</v>
      </c>
      <c r="C1070">
        <v>13394</v>
      </c>
    </row>
    <row r="1071" spans="1:3" ht="15" hidden="1" customHeight="1" x14ac:dyDescent="0.3">
      <c r="A1071" t="s">
        <v>236</v>
      </c>
      <c r="B1071" s="2">
        <v>46054</v>
      </c>
      <c r="C1071">
        <v>16065</v>
      </c>
    </row>
    <row r="1072" spans="1:3" ht="15" hidden="1" customHeight="1" x14ac:dyDescent="0.3">
      <c r="A1072" t="s">
        <v>236</v>
      </c>
      <c r="B1072" s="2">
        <v>46082</v>
      </c>
      <c r="C1072">
        <v>733</v>
      </c>
    </row>
    <row r="1073" spans="1:3" ht="15" hidden="1" customHeight="1" x14ac:dyDescent="0.3">
      <c r="A1073" t="s">
        <v>236</v>
      </c>
      <c r="B1073" s="2">
        <v>46113</v>
      </c>
      <c r="C1073">
        <v>4797.7</v>
      </c>
    </row>
    <row r="1074" spans="1:3" ht="15" hidden="1" customHeight="1" x14ac:dyDescent="0.3">
      <c r="A1074" t="s">
        <v>236</v>
      </c>
      <c r="B1074" s="2">
        <v>46143</v>
      </c>
      <c r="C1074" s="12">
        <v>5970.07</v>
      </c>
    </row>
    <row r="1075" spans="1:3" ht="15" hidden="1" customHeight="1" x14ac:dyDescent="0.3">
      <c r="A1075" t="s">
        <v>236</v>
      </c>
      <c r="B1075" s="2">
        <v>46174</v>
      </c>
      <c r="C1075">
        <v>5060.3999999999996</v>
      </c>
    </row>
    <row r="1076" spans="1:3" ht="15" hidden="1" customHeight="1" x14ac:dyDescent="0.3">
      <c r="A1076" t="s">
        <v>225</v>
      </c>
      <c r="B1076" s="2">
        <v>46204</v>
      </c>
      <c r="C1076">
        <v>7311</v>
      </c>
    </row>
    <row r="1077" spans="1:3" ht="15" hidden="1" customHeight="1" x14ac:dyDescent="0.3">
      <c r="A1077" t="s">
        <v>236</v>
      </c>
      <c r="B1077" s="2">
        <v>46235</v>
      </c>
      <c r="C1077">
        <v>7086.5030999999999</v>
      </c>
    </row>
    <row r="1078" spans="1:3" ht="15" customHeight="1" x14ac:dyDescent="0.3">
      <c r="A1078" t="s">
        <v>236</v>
      </c>
      <c r="B1078" s="2">
        <v>46266</v>
      </c>
      <c r="C1078" s="47">
        <v>4821.7015000000001</v>
      </c>
    </row>
    <row r="1079" spans="1:3" ht="15" hidden="1" customHeight="1" x14ac:dyDescent="0.3">
      <c r="A1079" t="s">
        <v>236</v>
      </c>
      <c r="B1079" s="2">
        <v>46296</v>
      </c>
    </row>
    <row r="1080" spans="1:3" ht="15" hidden="1" customHeight="1" x14ac:dyDescent="0.3">
      <c r="A1080" t="s">
        <v>236</v>
      </c>
      <c r="B1080" s="2">
        <v>46327</v>
      </c>
    </row>
    <row r="1081" spans="1:3" ht="15" hidden="1" customHeight="1" x14ac:dyDescent="0.3">
      <c r="A1081" t="s">
        <v>236</v>
      </c>
      <c r="B1081" s="2">
        <v>46357</v>
      </c>
    </row>
    <row r="1082" spans="1:3" ht="15" hidden="1" customHeight="1" x14ac:dyDescent="0.3">
      <c r="A1082" t="s">
        <v>122</v>
      </c>
      <c r="B1082" s="2">
        <v>45292</v>
      </c>
      <c r="C1082">
        <v>18892</v>
      </c>
    </row>
    <row r="1083" spans="1:3" ht="15" hidden="1" customHeight="1" x14ac:dyDescent="0.3">
      <c r="A1083" t="s">
        <v>122</v>
      </c>
      <c r="B1083" s="2">
        <v>45323</v>
      </c>
      <c r="C1083">
        <v>18598</v>
      </c>
    </row>
    <row r="1084" spans="1:3" ht="15" hidden="1" customHeight="1" x14ac:dyDescent="0.3">
      <c r="A1084" t="s">
        <v>122</v>
      </c>
      <c r="B1084" s="2">
        <v>45352</v>
      </c>
      <c r="C1084">
        <v>18598</v>
      </c>
    </row>
    <row r="1085" spans="1:3" ht="15" hidden="1" customHeight="1" x14ac:dyDescent="0.3">
      <c r="A1085" t="s">
        <v>122</v>
      </c>
      <c r="B1085" s="2">
        <v>45383</v>
      </c>
      <c r="C1085">
        <v>15678</v>
      </c>
    </row>
    <row r="1086" spans="1:3" ht="15" hidden="1" customHeight="1" x14ac:dyDescent="0.3">
      <c r="A1086" t="s">
        <v>122</v>
      </c>
      <c r="B1086" s="2">
        <v>45413</v>
      </c>
      <c r="C1086">
        <v>14588</v>
      </c>
    </row>
    <row r="1087" spans="1:3" ht="15" hidden="1" customHeight="1" x14ac:dyDescent="0.3">
      <c r="A1087" t="s">
        <v>122</v>
      </c>
      <c r="B1087" s="2">
        <v>45444</v>
      </c>
      <c r="C1087">
        <v>12745</v>
      </c>
    </row>
    <row r="1088" spans="1:3" ht="15" hidden="1" customHeight="1" x14ac:dyDescent="0.3">
      <c r="A1088" t="s">
        <v>122</v>
      </c>
      <c r="B1088" s="2">
        <v>45474</v>
      </c>
      <c r="C1088">
        <v>14803</v>
      </c>
    </row>
    <row r="1089" spans="1:3" ht="15" hidden="1" customHeight="1" x14ac:dyDescent="0.3">
      <c r="A1089" t="s">
        <v>122</v>
      </c>
      <c r="B1089" s="2">
        <v>45505</v>
      </c>
      <c r="C1089">
        <v>15941</v>
      </c>
    </row>
    <row r="1090" spans="1:3" ht="15" hidden="1" customHeight="1" x14ac:dyDescent="0.3">
      <c r="A1090" t="s">
        <v>122</v>
      </c>
      <c r="B1090" s="2">
        <v>45536</v>
      </c>
      <c r="C1090">
        <v>13907</v>
      </c>
    </row>
    <row r="1091" spans="1:3" ht="15" hidden="1" customHeight="1" x14ac:dyDescent="0.3">
      <c r="A1091" t="s">
        <v>122</v>
      </c>
      <c r="B1091" s="2">
        <v>45566</v>
      </c>
      <c r="C1091">
        <v>19899</v>
      </c>
    </row>
    <row r="1092" spans="1:3" ht="15" hidden="1" customHeight="1" x14ac:dyDescent="0.3">
      <c r="A1092" t="s">
        <v>122</v>
      </c>
      <c r="B1092" s="2">
        <v>45597</v>
      </c>
      <c r="C1092">
        <v>18123</v>
      </c>
    </row>
    <row r="1093" spans="1:3" ht="15" hidden="1" customHeight="1" x14ac:dyDescent="0.3">
      <c r="A1093" t="s">
        <v>122</v>
      </c>
      <c r="B1093" s="2">
        <v>45627</v>
      </c>
      <c r="C1093">
        <v>18905</v>
      </c>
    </row>
    <row r="1094" spans="1:3" ht="15" hidden="1" customHeight="1" x14ac:dyDescent="0.3">
      <c r="A1094" t="s">
        <v>122</v>
      </c>
      <c r="B1094" s="2">
        <v>45658</v>
      </c>
      <c r="C1094">
        <v>19907</v>
      </c>
    </row>
    <row r="1095" spans="1:3" ht="15" hidden="1" customHeight="1" x14ac:dyDescent="0.3">
      <c r="A1095" t="s">
        <v>122</v>
      </c>
      <c r="B1095" s="2">
        <v>45689</v>
      </c>
      <c r="C1095">
        <v>15243</v>
      </c>
    </row>
    <row r="1096" spans="1:3" ht="15" hidden="1" customHeight="1" x14ac:dyDescent="0.3">
      <c r="A1096" t="s">
        <v>122</v>
      </c>
      <c r="B1096" s="2">
        <v>45717</v>
      </c>
      <c r="C1096">
        <v>17983</v>
      </c>
    </row>
    <row r="1097" spans="1:3" ht="15" hidden="1" customHeight="1" x14ac:dyDescent="0.3">
      <c r="A1097" t="s">
        <v>122</v>
      </c>
      <c r="B1097" s="2">
        <v>45748</v>
      </c>
      <c r="C1097">
        <v>13643</v>
      </c>
    </row>
    <row r="1098" spans="1:3" ht="15" hidden="1" customHeight="1" x14ac:dyDescent="0.3">
      <c r="A1098" t="s">
        <v>122</v>
      </c>
      <c r="B1098" s="2">
        <v>45778</v>
      </c>
      <c r="C1098">
        <v>15993</v>
      </c>
    </row>
    <row r="1099" spans="1:3" ht="15" hidden="1" customHeight="1" x14ac:dyDescent="0.3">
      <c r="A1099" t="s">
        <v>122</v>
      </c>
      <c r="B1099" s="2">
        <v>45809</v>
      </c>
      <c r="C1099">
        <v>13300.84</v>
      </c>
    </row>
    <row r="1100" spans="1:3" ht="15" hidden="1" customHeight="1" x14ac:dyDescent="0.3">
      <c r="A1100" t="s">
        <v>122</v>
      </c>
      <c r="B1100" s="2">
        <v>45839</v>
      </c>
      <c r="C1100">
        <v>12259</v>
      </c>
    </row>
    <row r="1101" spans="1:3" ht="15" hidden="1" customHeight="1" x14ac:dyDescent="0.3">
      <c r="A1101" t="s">
        <v>122</v>
      </c>
      <c r="B1101" s="2">
        <v>45870</v>
      </c>
      <c r="C1101">
        <v>14893</v>
      </c>
    </row>
    <row r="1102" spans="1:3" ht="15" hidden="1" customHeight="1" x14ac:dyDescent="0.3">
      <c r="A1102" t="s">
        <v>122</v>
      </c>
      <c r="B1102" s="2">
        <v>45901</v>
      </c>
      <c r="C1102">
        <v>13710</v>
      </c>
    </row>
    <row r="1103" spans="1:3" ht="15" hidden="1" customHeight="1" x14ac:dyDescent="0.3">
      <c r="A1103" t="s">
        <v>122</v>
      </c>
      <c r="B1103" s="2">
        <v>45931</v>
      </c>
      <c r="C1103">
        <v>17312</v>
      </c>
    </row>
    <row r="1104" spans="1:3" ht="15" hidden="1" customHeight="1" x14ac:dyDescent="0.3">
      <c r="A1104" t="s">
        <v>122</v>
      </c>
      <c r="B1104" s="2">
        <v>45962</v>
      </c>
      <c r="C1104">
        <v>19748</v>
      </c>
    </row>
    <row r="1105" spans="1:3" ht="15" hidden="1" customHeight="1" x14ac:dyDescent="0.3">
      <c r="A1105" t="s">
        <v>122</v>
      </c>
      <c r="B1105" s="2">
        <v>45992</v>
      </c>
      <c r="C1105">
        <v>19810</v>
      </c>
    </row>
    <row r="1106" spans="1:3" ht="15" hidden="1" customHeight="1" x14ac:dyDescent="0.3">
      <c r="A1106" t="s">
        <v>122</v>
      </c>
      <c r="B1106" s="2">
        <v>46023</v>
      </c>
      <c r="C1106">
        <v>21506.532200000001</v>
      </c>
    </row>
    <row r="1107" spans="1:3" ht="15" hidden="1" customHeight="1" x14ac:dyDescent="0.3">
      <c r="A1107" t="s">
        <v>122</v>
      </c>
      <c r="B1107" s="2">
        <v>46054</v>
      </c>
      <c r="C1107">
        <v>21266.580600000001</v>
      </c>
    </row>
    <row r="1108" spans="1:3" ht="15" hidden="1" customHeight="1" x14ac:dyDescent="0.3">
      <c r="A1108" t="s">
        <v>122</v>
      </c>
      <c r="B1108" s="2">
        <v>46082</v>
      </c>
      <c r="C1108">
        <v>18344</v>
      </c>
    </row>
    <row r="1109" spans="1:3" ht="15" hidden="1" customHeight="1" x14ac:dyDescent="0.3">
      <c r="A1109" t="s">
        <v>122</v>
      </c>
      <c r="B1109" s="2">
        <v>46113</v>
      </c>
      <c r="C1109">
        <v>14760.15</v>
      </c>
    </row>
    <row r="1110" spans="1:3" ht="15" hidden="1" customHeight="1" x14ac:dyDescent="0.3">
      <c r="A1110" t="s">
        <v>122</v>
      </c>
      <c r="B1110" s="2">
        <v>46143</v>
      </c>
      <c r="C1110" s="12">
        <v>14261.66</v>
      </c>
    </row>
    <row r="1111" spans="1:3" ht="15" hidden="1" customHeight="1" x14ac:dyDescent="0.3">
      <c r="A1111" t="s">
        <v>122</v>
      </c>
      <c r="B1111" s="2">
        <v>46174</v>
      </c>
      <c r="C1111">
        <v>12292.03</v>
      </c>
    </row>
    <row r="1112" spans="1:3" ht="15" hidden="1" customHeight="1" x14ac:dyDescent="0.3">
      <c r="A1112" t="s">
        <v>223</v>
      </c>
      <c r="B1112" s="2">
        <v>46204</v>
      </c>
      <c r="C1112">
        <v>3841</v>
      </c>
    </row>
    <row r="1113" spans="1:3" ht="15" hidden="1" customHeight="1" x14ac:dyDescent="0.3">
      <c r="A1113" t="s">
        <v>122</v>
      </c>
      <c r="B1113" s="2">
        <v>46235</v>
      </c>
      <c r="C1113">
        <v>15549.0352</v>
      </c>
    </row>
    <row r="1114" spans="1:3" ht="15" customHeight="1" x14ac:dyDescent="0.3">
      <c r="A1114" t="s">
        <v>122</v>
      </c>
      <c r="B1114" s="2">
        <v>46266</v>
      </c>
      <c r="C1114" s="47">
        <v>14407.6783</v>
      </c>
    </row>
    <row r="1115" spans="1:3" ht="15" hidden="1" customHeight="1" x14ac:dyDescent="0.3">
      <c r="A1115" t="s">
        <v>122</v>
      </c>
      <c r="B1115" s="2">
        <v>46296</v>
      </c>
    </row>
    <row r="1116" spans="1:3" ht="15" hidden="1" customHeight="1" x14ac:dyDescent="0.3">
      <c r="A1116" t="s">
        <v>122</v>
      </c>
      <c r="B1116" s="2">
        <v>46327</v>
      </c>
    </row>
    <row r="1117" spans="1:3" ht="15" hidden="1" customHeight="1" x14ac:dyDescent="0.3">
      <c r="A1117" t="s">
        <v>122</v>
      </c>
      <c r="B1117" s="2">
        <v>46357</v>
      </c>
    </row>
    <row r="1118" spans="1:3" ht="15" hidden="1" customHeight="1" x14ac:dyDescent="0.3">
      <c r="A1118" t="s">
        <v>124</v>
      </c>
      <c r="B1118" s="2">
        <v>45292</v>
      </c>
      <c r="C1118">
        <v>52780</v>
      </c>
    </row>
    <row r="1119" spans="1:3" ht="15" hidden="1" customHeight="1" x14ac:dyDescent="0.3">
      <c r="A1119" t="s">
        <v>124</v>
      </c>
      <c r="B1119" s="2">
        <v>45323</v>
      </c>
      <c r="C1119">
        <v>40425</v>
      </c>
    </row>
    <row r="1120" spans="1:3" ht="15" hidden="1" customHeight="1" x14ac:dyDescent="0.3">
      <c r="A1120" t="s">
        <v>124</v>
      </c>
      <c r="B1120" s="2">
        <v>45352</v>
      </c>
      <c r="C1120">
        <v>52832</v>
      </c>
    </row>
    <row r="1121" spans="1:3" ht="15" hidden="1" customHeight="1" x14ac:dyDescent="0.3">
      <c r="A1121" t="s">
        <v>124</v>
      </c>
      <c r="B1121" s="2">
        <v>45383</v>
      </c>
      <c r="C1121">
        <v>46312</v>
      </c>
    </row>
    <row r="1122" spans="1:3" ht="15" hidden="1" customHeight="1" x14ac:dyDescent="0.3">
      <c r="A1122" t="s">
        <v>124</v>
      </c>
      <c r="B1122" s="2">
        <v>45413</v>
      </c>
      <c r="C1122">
        <v>45881</v>
      </c>
    </row>
    <row r="1123" spans="1:3" ht="15" hidden="1" customHeight="1" x14ac:dyDescent="0.3">
      <c r="A1123" t="s">
        <v>124</v>
      </c>
      <c r="B1123" s="2">
        <v>45444</v>
      </c>
      <c r="C1123">
        <v>36174</v>
      </c>
    </row>
    <row r="1124" spans="1:3" ht="15" hidden="1" customHeight="1" x14ac:dyDescent="0.3">
      <c r="A1124" t="s">
        <v>124</v>
      </c>
      <c r="B1124" s="2">
        <v>45474</v>
      </c>
      <c r="C1124">
        <v>49449</v>
      </c>
    </row>
    <row r="1125" spans="1:3" ht="15" hidden="1" customHeight="1" x14ac:dyDescent="0.3">
      <c r="A1125" t="s">
        <v>124</v>
      </c>
      <c r="B1125" s="2">
        <v>45505</v>
      </c>
      <c r="C1125">
        <v>50022</v>
      </c>
    </row>
    <row r="1126" spans="1:3" ht="15" hidden="1" customHeight="1" x14ac:dyDescent="0.3">
      <c r="A1126" t="s">
        <v>124</v>
      </c>
      <c r="B1126" s="2">
        <v>45536</v>
      </c>
      <c r="C1126">
        <v>41179</v>
      </c>
    </row>
    <row r="1127" spans="1:3" ht="15" hidden="1" customHeight="1" x14ac:dyDescent="0.3">
      <c r="A1127" t="s">
        <v>124</v>
      </c>
      <c r="B1127" s="2">
        <v>45566</v>
      </c>
      <c r="C1127">
        <v>38998</v>
      </c>
    </row>
    <row r="1128" spans="1:3" ht="15" hidden="1" customHeight="1" x14ac:dyDescent="0.3">
      <c r="A1128" t="s">
        <v>124</v>
      </c>
      <c r="B1128" s="2">
        <v>45597</v>
      </c>
      <c r="C1128">
        <v>54400</v>
      </c>
    </row>
    <row r="1129" spans="1:3" ht="15" hidden="1" customHeight="1" x14ac:dyDescent="0.3">
      <c r="A1129" t="s">
        <v>124</v>
      </c>
      <c r="B1129" s="2">
        <v>45627</v>
      </c>
      <c r="C1129">
        <v>48109</v>
      </c>
    </row>
    <row r="1130" spans="1:3" ht="15" hidden="1" customHeight="1" x14ac:dyDescent="0.3">
      <c r="A1130" t="s">
        <v>124</v>
      </c>
      <c r="B1130" s="2">
        <v>45658</v>
      </c>
      <c r="C1130">
        <v>50600</v>
      </c>
    </row>
    <row r="1131" spans="1:3" ht="15" hidden="1" customHeight="1" x14ac:dyDescent="0.3">
      <c r="A1131" t="s">
        <v>124</v>
      </c>
      <c r="B1131" s="2">
        <v>45689</v>
      </c>
      <c r="C1131">
        <v>39450</v>
      </c>
    </row>
    <row r="1132" spans="1:3" ht="15" hidden="1" customHeight="1" x14ac:dyDescent="0.3">
      <c r="A1132" t="s">
        <v>124</v>
      </c>
      <c r="B1132" s="2">
        <v>45717</v>
      </c>
      <c r="C1132">
        <v>50665</v>
      </c>
    </row>
    <row r="1133" spans="1:3" ht="15" hidden="1" customHeight="1" x14ac:dyDescent="0.3">
      <c r="A1133" t="s">
        <v>124</v>
      </c>
      <c r="B1133" s="2">
        <v>45748</v>
      </c>
      <c r="C1133">
        <v>33121</v>
      </c>
    </row>
    <row r="1134" spans="1:3" ht="15" hidden="1" customHeight="1" x14ac:dyDescent="0.3">
      <c r="A1134" t="s">
        <v>124</v>
      </c>
      <c r="B1134" s="2">
        <v>45778</v>
      </c>
      <c r="C1134">
        <v>49152</v>
      </c>
    </row>
    <row r="1135" spans="1:3" ht="15" hidden="1" customHeight="1" x14ac:dyDescent="0.3">
      <c r="A1135" t="s">
        <v>124</v>
      </c>
      <c r="B1135" s="2">
        <v>45809</v>
      </c>
      <c r="C1135">
        <v>39999.410000000003</v>
      </c>
    </row>
    <row r="1136" spans="1:3" ht="15" hidden="1" customHeight="1" x14ac:dyDescent="0.3">
      <c r="A1136" t="s">
        <v>124</v>
      </c>
      <c r="B1136" s="2">
        <v>45839</v>
      </c>
      <c r="C1136">
        <v>42250</v>
      </c>
    </row>
    <row r="1137" spans="1:3" ht="15" hidden="1" customHeight="1" x14ac:dyDescent="0.3">
      <c r="A1137" t="s">
        <v>124</v>
      </c>
      <c r="B1137" s="2">
        <v>45870</v>
      </c>
      <c r="C1137">
        <v>42926</v>
      </c>
    </row>
    <row r="1138" spans="1:3" ht="15" hidden="1" customHeight="1" x14ac:dyDescent="0.3">
      <c r="A1138" t="s">
        <v>124</v>
      </c>
      <c r="B1138" s="2">
        <v>45901</v>
      </c>
      <c r="C1138">
        <v>40517.300000000003</v>
      </c>
    </row>
    <row r="1139" spans="1:3" ht="15" hidden="1" customHeight="1" x14ac:dyDescent="0.3">
      <c r="A1139" t="s">
        <v>124</v>
      </c>
      <c r="B1139" s="2">
        <v>45931</v>
      </c>
      <c r="C1139">
        <v>46787.68</v>
      </c>
    </row>
    <row r="1140" spans="1:3" ht="15" hidden="1" customHeight="1" x14ac:dyDescent="0.3">
      <c r="A1140" t="s">
        <v>124</v>
      </c>
      <c r="B1140" s="2">
        <v>45962</v>
      </c>
      <c r="C1140">
        <v>53245</v>
      </c>
    </row>
    <row r="1141" spans="1:3" ht="15" hidden="1" customHeight="1" x14ac:dyDescent="0.3">
      <c r="A1141" t="s">
        <v>124</v>
      </c>
      <c r="B1141" s="2">
        <v>45992</v>
      </c>
      <c r="C1141">
        <v>48360</v>
      </c>
    </row>
    <row r="1142" spans="1:3" ht="15" hidden="1" customHeight="1" x14ac:dyDescent="0.3">
      <c r="A1142" t="s">
        <v>124</v>
      </c>
      <c r="B1142" s="2">
        <v>46023</v>
      </c>
      <c r="C1142">
        <v>49681.67136</v>
      </c>
    </row>
    <row r="1143" spans="1:3" ht="15" hidden="1" customHeight="1" x14ac:dyDescent="0.3">
      <c r="A1143" t="s">
        <v>124</v>
      </c>
      <c r="B1143" s="2">
        <v>46054</v>
      </c>
      <c r="C1143">
        <v>58060.833879999998</v>
      </c>
    </row>
    <row r="1144" spans="1:3" ht="15" hidden="1" customHeight="1" x14ac:dyDescent="0.3">
      <c r="A1144" t="s">
        <v>124</v>
      </c>
      <c r="B1144" s="2">
        <v>46082</v>
      </c>
      <c r="C1144">
        <v>50832</v>
      </c>
    </row>
    <row r="1145" spans="1:3" ht="15" hidden="1" customHeight="1" x14ac:dyDescent="0.3">
      <c r="A1145" t="s">
        <v>124</v>
      </c>
      <c r="B1145" s="2">
        <v>46113</v>
      </c>
      <c r="C1145">
        <v>41412.22</v>
      </c>
    </row>
    <row r="1146" spans="1:3" ht="15" hidden="1" customHeight="1" x14ac:dyDescent="0.3">
      <c r="A1146" t="s">
        <v>124</v>
      </c>
      <c r="B1146" s="2">
        <v>46143</v>
      </c>
      <c r="C1146" s="12">
        <v>46300.95</v>
      </c>
    </row>
    <row r="1147" spans="1:3" ht="15" hidden="1" customHeight="1" x14ac:dyDescent="0.3">
      <c r="A1147" t="s">
        <v>124</v>
      </c>
      <c r="B1147" s="2">
        <v>46174</v>
      </c>
      <c r="C1147">
        <v>37511.86</v>
      </c>
    </row>
    <row r="1148" spans="1:3" ht="15" hidden="1" customHeight="1" x14ac:dyDescent="0.3">
      <c r="A1148" t="s">
        <v>120</v>
      </c>
      <c r="B1148" s="2">
        <v>46204</v>
      </c>
      <c r="C1148">
        <v>6582.2</v>
      </c>
    </row>
    <row r="1149" spans="1:3" ht="15" hidden="1" customHeight="1" x14ac:dyDescent="0.3">
      <c r="A1149" t="s">
        <v>124</v>
      </c>
      <c r="B1149" s="2">
        <v>46235</v>
      </c>
      <c r="C1149">
        <v>49938.125</v>
      </c>
    </row>
    <row r="1150" spans="1:3" ht="15" customHeight="1" x14ac:dyDescent="0.3">
      <c r="A1150" t="s">
        <v>124</v>
      </c>
      <c r="B1150" s="2">
        <v>46266</v>
      </c>
      <c r="C1150" s="47">
        <v>43037.19</v>
      </c>
    </row>
    <row r="1151" spans="1:3" ht="15" hidden="1" customHeight="1" x14ac:dyDescent="0.3">
      <c r="A1151" t="s">
        <v>124</v>
      </c>
      <c r="B1151" s="2">
        <v>46296</v>
      </c>
    </row>
    <row r="1152" spans="1:3" ht="15" hidden="1" customHeight="1" x14ac:dyDescent="0.3">
      <c r="A1152" t="s">
        <v>124</v>
      </c>
      <c r="B1152" s="2">
        <v>46327</v>
      </c>
    </row>
    <row r="1153" spans="1:3" ht="15" hidden="1" customHeight="1" x14ac:dyDescent="0.3">
      <c r="A1153" t="s">
        <v>124</v>
      </c>
      <c r="B1153" s="2">
        <v>46357</v>
      </c>
    </row>
    <row r="1154" spans="1:3" ht="15" hidden="1" customHeight="1" x14ac:dyDescent="0.3">
      <c r="A1154" t="s">
        <v>127</v>
      </c>
      <c r="B1154" s="2">
        <v>45292</v>
      </c>
    </row>
    <row r="1155" spans="1:3" ht="15" hidden="1" customHeight="1" x14ac:dyDescent="0.3">
      <c r="A1155" t="s">
        <v>127</v>
      </c>
      <c r="B1155" s="2">
        <v>45323</v>
      </c>
    </row>
    <row r="1156" spans="1:3" ht="15" hidden="1" customHeight="1" x14ac:dyDescent="0.3">
      <c r="A1156" t="s">
        <v>127</v>
      </c>
      <c r="B1156" s="2">
        <v>45352</v>
      </c>
    </row>
    <row r="1157" spans="1:3" ht="15" hidden="1" customHeight="1" x14ac:dyDescent="0.3">
      <c r="A1157" t="s">
        <v>127</v>
      </c>
      <c r="B1157" s="2">
        <v>45383</v>
      </c>
      <c r="C1157">
        <v>6916</v>
      </c>
    </row>
    <row r="1158" spans="1:3" ht="15" hidden="1" customHeight="1" x14ac:dyDescent="0.3">
      <c r="A1158" t="s">
        <v>127</v>
      </c>
      <c r="B1158" s="2">
        <v>45413</v>
      </c>
      <c r="C1158">
        <v>14281</v>
      </c>
    </row>
    <row r="1159" spans="1:3" ht="15" hidden="1" customHeight="1" x14ac:dyDescent="0.3">
      <c r="A1159" t="s">
        <v>127</v>
      </c>
      <c r="B1159" s="2">
        <v>45444</v>
      </c>
      <c r="C1159">
        <v>12149</v>
      </c>
    </row>
    <row r="1160" spans="1:3" ht="15" hidden="1" customHeight="1" x14ac:dyDescent="0.3">
      <c r="A1160" t="s">
        <v>127</v>
      </c>
      <c r="B1160" s="2">
        <v>45474</v>
      </c>
      <c r="C1160">
        <v>15601</v>
      </c>
    </row>
    <row r="1161" spans="1:3" ht="15" hidden="1" customHeight="1" x14ac:dyDescent="0.3">
      <c r="A1161" t="s">
        <v>127</v>
      </c>
      <c r="B1161" s="2">
        <v>45505</v>
      </c>
      <c r="C1161">
        <v>7706</v>
      </c>
    </row>
    <row r="1162" spans="1:3" ht="15" hidden="1" customHeight="1" x14ac:dyDescent="0.3">
      <c r="A1162" t="s">
        <v>127</v>
      </c>
      <c r="B1162" s="2">
        <v>45536</v>
      </c>
      <c r="C1162">
        <v>1</v>
      </c>
    </row>
    <row r="1163" spans="1:3" ht="15" hidden="1" customHeight="1" x14ac:dyDescent="0.3">
      <c r="A1163" t="s">
        <v>127</v>
      </c>
      <c r="B1163" s="2">
        <v>45566</v>
      </c>
      <c r="C1163">
        <v>7310</v>
      </c>
    </row>
    <row r="1164" spans="1:3" ht="15" hidden="1" customHeight="1" x14ac:dyDescent="0.3">
      <c r="A1164" t="s">
        <v>127</v>
      </c>
      <c r="B1164" s="2">
        <v>45597</v>
      </c>
      <c r="C1164">
        <v>13770</v>
      </c>
    </row>
    <row r="1165" spans="1:3" ht="15" hidden="1" customHeight="1" x14ac:dyDescent="0.3">
      <c r="A1165" t="s">
        <v>127</v>
      </c>
      <c r="B1165" s="2">
        <v>45627</v>
      </c>
    </row>
    <row r="1166" spans="1:3" ht="15" hidden="1" customHeight="1" x14ac:dyDescent="0.3">
      <c r="A1166" t="s">
        <v>127</v>
      </c>
      <c r="B1166" s="2">
        <v>45658</v>
      </c>
      <c r="C1166">
        <v>4700</v>
      </c>
    </row>
    <row r="1167" spans="1:3" ht="15" hidden="1" customHeight="1" x14ac:dyDescent="0.3">
      <c r="A1167" t="s">
        <v>127</v>
      </c>
      <c r="B1167" s="2">
        <v>45689</v>
      </c>
      <c r="C1167">
        <v>12300</v>
      </c>
    </row>
    <row r="1168" spans="1:3" ht="15" hidden="1" customHeight="1" x14ac:dyDescent="0.3">
      <c r="A1168" t="s">
        <v>127</v>
      </c>
      <c r="B1168" s="2">
        <v>45717</v>
      </c>
      <c r="C1168">
        <v>13554</v>
      </c>
    </row>
    <row r="1169" spans="1:3" ht="15" hidden="1" customHeight="1" x14ac:dyDescent="0.3">
      <c r="A1169" t="s">
        <v>127</v>
      </c>
      <c r="B1169" s="2">
        <v>45748</v>
      </c>
      <c r="C1169">
        <v>9839</v>
      </c>
    </row>
    <row r="1170" spans="1:3" ht="15" hidden="1" customHeight="1" x14ac:dyDescent="0.3">
      <c r="A1170" t="s">
        <v>127</v>
      </c>
      <c r="B1170" s="2">
        <v>45778</v>
      </c>
    </row>
    <row r="1171" spans="1:3" ht="15" hidden="1" customHeight="1" x14ac:dyDescent="0.3">
      <c r="A1171" t="s">
        <v>127</v>
      </c>
      <c r="B1171" s="2">
        <v>45809</v>
      </c>
      <c r="C1171">
        <v>12605.8</v>
      </c>
    </row>
    <row r="1172" spans="1:3" ht="15" hidden="1" customHeight="1" x14ac:dyDescent="0.3">
      <c r="A1172" t="s">
        <v>127</v>
      </c>
      <c r="B1172" s="2">
        <v>45839</v>
      </c>
      <c r="C1172">
        <v>8064</v>
      </c>
    </row>
    <row r="1173" spans="1:3" ht="15" hidden="1" customHeight="1" x14ac:dyDescent="0.3">
      <c r="A1173" t="s">
        <v>127</v>
      </c>
      <c r="B1173" s="2">
        <v>45870</v>
      </c>
      <c r="C1173">
        <v>13494</v>
      </c>
    </row>
    <row r="1174" spans="1:3" ht="15" hidden="1" customHeight="1" x14ac:dyDescent="0.3">
      <c r="A1174" t="s">
        <v>127</v>
      </c>
      <c r="B1174" s="2">
        <v>45901</v>
      </c>
      <c r="C1174">
        <v>11744.7</v>
      </c>
    </row>
    <row r="1175" spans="1:3" ht="15" hidden="1" customHeight="1" x14ac:dyDescent="0.3">
      <c r="A1175" t="s">
        <v>127</v>
      </c>
      <c r="B1175" s="2">
        <v>45931</v>
      </c>
      <c r="C1175">
        <v>13202</v>
      </c>
    </row>
    <row r="1176" spans="1:3" ht="15" hidden="1" customHeight="1" x14ac:dyDescent="0.3">
      <c r="A1176" t="s">
        <v>127</v>
      </c>
      <c r="B1176" s="2">
        <v>45962</v>
      </c>
      <c r="C1176">
        <v>10765</v>
      </c>
    </row>
    <row r="1177" spans="1:3" ht="15" hidden="1" customHeight="1" x14ac:dyDescent="0.3">
      <c r="A1177" t="s">
        <v>127</v>
      </c>
      <c r="B1177" s="2">
        <v>45992</v>
      </c>
      <c r="C1177">
        <v>13231</v>
      </c>
    </row>
    <row r="1178" spans="1:3" ht="15" hidden="1" customHeight="1" x14ac:dyDescent="0.3">
      <c r="A1178" t="s">
        <v>127</v>
      </c>
      <c r="B1178" s="2">
        <v>46023</v>
      </c>
      <c r="C1178">
        <v>11720.01</v>
      </c>
    </row>
    <row r="1179" spans="1:3" ht="15" hidden="1" customHeight="1" x14ac:dyDescent="0.3">
      <c r="A1179" t="s">
        <v>127</v>
      </c>
      <c r="B1179" s="2">
        <v>46054</v>
      </c>
      <c r="C1179">
        <v>15533</v>
      </c>
    </row>
    <row r="1180" spans="1:3" ht="15" hidden="1" customHeight="1" x14ac:dyDescent="0.3">
      <c r="A1180" t="s">
        <v>127</v>
      </c>
      <c r="B1180" s="2">
        <v>46082</v>
      </c>
      <c r="C1180">
        <v>12559</v>
      </c>
    </row>
    <row r="1181" spans="1:3" ht="15" hidden="1" customHeight="1" x14ac:dyDescent="0.3">
      <c r="A1181" t="s">
        <v>127</v>
      </c>
      <c r="B1181" s="2">
        <v>46113</v>
      </c>
      <c r="C1181">
        <v>11577.01</v>
      </c>
    </row>
    <row r="1182" spans="1:3" ht="15" hidden="1" customHeight="1" x14ac:dyDescent="0.3">
      <c r="A1182" t="s">
        <v>127</v>
      </c>
      <c r="B1182" s="2">
        <v>46143</v>
      </c>
      <c r="C1182" s="12">
        <v>13966.89</v>
      </c>
    </row>
    <row r="1183" spans="1:3" ht="15" hidden="1" customHeight="1" x14ac:dyDescent="0.3">
      <c r="A1183" t="s">
        <v>225</v>
      </c>
      <c r="B1183" s="2">
        <v>46174</v>
      </c>
      <c r="C1183">
        <v>5909</v>
      </c>
    </row>
    <row r="1184" spans="1:3" ht="15" hidden="1" customHeight="1" x14ac:dyDescent="0.3">
      <c r="A1184" t="s">
        <v>236</v>
      </c>
      <c r="B1184" s="2">
        <v>46204</v>
      </c>
      <c r="C1184">
        <v>6010.4031999999997</v>
      </c>
    </row>
    <row r="1185" spans="1:3" ht="15" hidden="1" customHeight="1" x14ac:dyDescent="0.3">
      <c r="A1185" t="s">
        <v>127</v>
      </c>
      <c r="B1185" s="2">
        <v>46235</v>
      </c>
      <c r="C1185">
        <v>14728.02</v>
      </c>
    </row>
    <row r="1186" spans="1:3" ht="15" customHeight="1" x14ac:dyDescent="0.3">
      <c r="A1186" t="s">
        <v>127</v>
      </c>
      <c r="B1186" s="2">
        <v>46266</v>
      </c>
      <c r="C1186" s="47">
        <v>10471.23</v>
      </c>
    </row>
    <row r="1187" spans="1:3" ht="15" hidden="1" customHeight="1" x14ac:dyDescent="0.3">
      <c r="A1187" t="s">
        <v>127</v>
      </c>
      <c r="B1187" s="2">
        <v>46296</v>
      </c>
    </row>
    <row r="1188" spans="1:3" ht="15" hidden="1" customHeight="1" x14ac:dyDescent="0.3">
      <c r="A1188" t="s">
        <v>127</v>
      </c>
      <c r="B1188" s="2">
        <v>46327</v>
      </c>
    </row>
    <row r="1189" spans="1:3" ht="15" hidden="1" customHeight="1" x14ac:dyDescent="0.3">
      <c r="A1189" t="s">
        <v>127</v>
      </c>
      <c r="B1189" s="2">
        <v>46357</v>
      </c>
    </row>
    <row r="1190" spans="1:3" ht="15" hidden="1" customHeight="1" x14ac:dyDescent="0.3">
      <c r="A1190" t="s">
        <v>234</v>
      </c>
      <c r="B1190" s="2">
        <v>45292</v>
      </c>
    </row>
    <row r="1191" spans="1:3" ht="15" hidden="1" customHeight="1" x14ac:dyDescent="0.3">
      <c r="A1191" t="s">
        <v>234</v>
      </c>
      <c r="B1191" s="2">
        <v>45323</v>
      </c>
    </row>
    <row r="1192" spans="1:3" ht="15" hidden="1" customHeight="1" x14ac:dyDescent="0.3">
      <c r="A1192" t="s">
        <v>234</v>
      </c>
      <c r="B1192" s="2">
        <v>45352</v>
      </c>
    </row>
    <row r="1193" spans="1:3" ht="15" hidden="1" customHeight="1" x14ac:dyDescent="0.3">
      <c r="A1193" t="s">
        <v>234</v>
      </c>
      <c r="B1193" s="2">
        <v>45383</v>
      </c>
    </row>
    <row r="1194" spans="1:3" ht="15" hidden="1" customHeight="1" x14ac:dyDescent="0.3">
      <c r="A1194" t="s">
        <v>234</v>
      </c>
      <c r="B1194" s="2">
        <v>45413</v>
      </c>
    </row>
    <row r="1195" spans="1:3" ht="15" hidden="1" customHeight="1" x14ac:dyDescent="0.3">
      <c r="A1195" t="s">
        <v>234</v>
      </c>
      <c r="B1195" s="2">
        <v>45444</v>
      </c>
    </row>
    <row r="1196" spans="1:3" ht="15" hidden="1" customHeight="1" x14ac:dyDescent="0.3">
      <c r="A1196" t="s">
        <v>234</v>
      </c>
      <c r="B1196" s="2">
        <v>45474</v>
      </c>
    </row>
    <row r="1197" spans="1:3" ht="15" hidden="1" customHeight="1" x14ac:dyDescent="0.3">
      <c r="A1197" t="s">
        <v>234</v>
      </c>
      <c r="B1197" s="2">
        <v>45505</v>
      </c>
    </row>
    <row r="1198" spans="1:3" ht="15" hidden="1" customHeight="1" x14ac:dyDescent="0.3">
      <c r="A1198" t="s">
        <v>234</v>
      </c>
      <c r="B1198" s="2">
        <v>45536</v>
      </c>
    </row>
    <row r="1199" spans="1:3" ht="15" hidden="1" customHeight="1" x14ac:dyDescent="0.3">
      <c r="A1199" t="s">
        <v>234</v>
      </c>
      <c r="B1199" s="2">
        <v>45566</v>
      </c>
    </row>
    <row r="1200" spans="1:3" ht="15" hidden="1" customHeight="1" x14ac:dyDescent="0.3">
      <c r="A1200" t="s">
        <v>234</v>
      </c>
      <c r="B1200" s="2">
        <v>45597</v>
      </c>
    </row>
    <row r="1201" spans="1:3" ht="15" hidden="1" customHeight="1" x14ac:dyDescent="0.3">
      <c r="A1201" t="s">
        <v>234</v>
      </c>
      <c r="B1201" s="2">
        <v>45627</v>
      </c>
    </row>
    <row r="1202" spans="1:3" ht="15" hidden="1" customHeight="1" x14ac:dyDescent="0.3">
      <c r="A1202" t="s">
        <v>234</v>
      </c>
      <c r="B1202" s="2">
        <v>45658</v>
      </c>
    </row>
    <row r="1203" spans="1:3" ht="15" hidden="1" customHeight="1" x14ac:dyDescent="0.3">
      <c r="A1203" t="s">
        <v>234</v>
      </c>
      <c r="B1203" s="2">
        <v>45689</v>
      </c>
    </row>
    <row r="1204" spans="1:3" ht="15" hidden="1" customHeight="1" x14ac:dyDescent="0.3">
      <c r="A1204" t="s">
        <v>234</v>
      </c>
      <c r="B1204" s="2">
        <v>45717</v>
      </c>
    </row>
    <row r="1205" spans="1:3" ht="15" hidden="1" customHeight="1" x14ac:dyDescent="0.3">
      <c r="A1205" t="s">
        <v>234</v>
      </c>
      <c r="B1205" s="2">
        <v>45748</v>
      </c>
    </row>
    <row r="1206" spans="1:3" ht="15" hidden="1" customHeight="1" x14ac:dyDescent="0.3">
      <c r="A1206" t="s">
        <v>234</v>
      </c>
      <c r="B1206" s="2">
        <v>45778</v>
      </c>
    </row>
    <row r="1207" spans="1:3" ht="15" hidden="1" customHeight="1" x14ac:dyDescent="0.3">
      <c r="A1207" t="s">
        <v>234</v>
      </c>
      <c r="B1207" s="2">
        <v>45809</v>
      </c>
    </row>
    <row r="1208" spans="1:3" ht="15" hidden="1" customHeight="1" x14ac:dyDescent="0.3">
      <c r="A1208" t="s">
        <v>234</v>
      </c>
      <c r="B1208" s="2">
        <v>45839</v>
      </c>
    </row>
    <row r="1209" spans="1:3" ht="15" hidden="1" customHeight="1" x14ac:dyDescent="0.3">
      <c r="A1209" t="s">
        <v>234</v>
      </c>
      <c r="B1209" s="2">
        <v>45870</v>
      </c>
    </row>
    <row r="1210" spans="1:3" ht="15" hidden="1" customHeight="1" x14ac:dyDescent="0.3">
      <c r="A1210" t="s">
        <v>234</v>
      </c>
      <c r="B1210" s="2">
        <v>45901</v>
      </c>
    </row>
    <row r="1211" spans="1:3" ht="15" hidden="1" customHeight="1" x14ac:dyDescent="0.3">
      <c r="A1211" t="s">
        <v>234</v>
      </c>
      <c r="B1211" s="2">
        <v>45931</v>
      </c>
    </row>
    <row r="1212" spans="1:3" ht="15" hidden="1" customHeight="1" x14ac:dyDescent="0.3">
      <c r="A1212" t="s">
        <v>234</v>
      </c>
      <c r="B1212" s="2">
        <v>45962</v>
      </c>
    </row>
    <row r="1213" spans="1:3" ht="15" hidden="1" customHeight="1" x14ac:dyDescent="0.3">
      <c r="A1213" t="s">
        <v>234</v>
      </c>
      <c r="B1213" s="2">
        <v>45992</v>
      </c>
      <c r="C1213">
        <v>44400</v>
      </c>
    </row>
    <row r="1214" spans="1:3" ht="15" hidden="1" customHeight="1" x14ac:dyDescent="0.3">
      <c r="A1214" t="s">
        <v>234</v>
      </c>
      <c r="B1214" s="2">
        <v>46023</v>
      </c>
      <c r="C1214">
        <v>44972.3</v>
      </c>
    </row>
    <row r="1215" spans="1:3" ht="15" hidden="1" customHeight="1" x14ac:dyDescent="0.3">
      <c r="A1215" t="s">
        <v>234</v>
      </c>
      <c r="B1215" s="2">
        <v>46054</v>
      </c>
      <c r="C1215">
        <v>44384</v>
      </c>
    </row>
    <row r="1216" spans="1:3" ht="15" hidden="1" customHeight="1" x14ac:dyDescent="0.3">
      <c r="A1216" t="s">
        <v>234</v>
      </c>
      <c r="B1216" s="2">
        <v>46082</v>
      </c>
      <c r="C1216">
        <v>42181</v>
      </c>
    </row>
    <row r="1217" spans="1:3" ht="15" hidden="1" customHeight="1" x14ac:dyDescent="0.3">
      <c r="A1217" t="s">
        <v>234</v>
      </c>
      <c r="B1217" s="2">
        <v>46113</v>
      </c>
      <c r="C1217">
        <v>29438.84</v>
      </c>
    </row>
    <row r="1218" spans="1:3" ht="15" hidden="1" customHeight="1" x14ac:dyDescent="0.3">
      <c r="A1218" t="s">
        <v>234</v>
      </c>
      <c r="B1218" s="2">
        <v>46143</v>
      </c>
      <c r="C1218" s="12">
        <v>20478.599999999999</v>
      </c>
    </row>
    <row r="1219" spans="1:3" ht="15" hidden="1" customHeight="1" x14ac:dyDescent="0.3">
      <c r="A1219" t="s">
        <v>234</v>
      </c>
      <c r="B1219" s="2">
        <v>46174</v>
      </c>
      <c r="C1219">
        <v>18349.150000000001</v>
      </c>
    </row>
    <row r="1220" spans="1:3" ht="15" hidden="1" customHeight="1" x14ac:dyDescent="0.3">
      <c r="A1220" t="s">
        <v>122</v>
      </c>
      <c r="B1220" s="2">
        <v>46204</v>
      </c>
      <c r="C1220">
        <v>12604.390950000001</v>
      </c>
    </row>
    <row r="1221" spans="1:3" ht="15" hidden="1" customHeight="1" x14ac:dyDescent="0.3">
      <c r="A1221" t="s">
        <v>234</v>
      </c>
      <c r="B1221" s="2">
        <v>46235</v>
      </c>
      <c r="C1221">
        <v>26558.07</v>
      </c>
    </row>
    <row r="1222" spans="1:3" ht="15" customHeight="1" x14ac:dyDescent="0.3">
      <c r="A1222" t="s">
        <v>234</v>
      </c>
      <c r="B1222" s="2">
        <v>46266</v>
      </c>
      <c r="C1222" s="47">
        <v>31565.57</v>
      </c>
    </row>
    <row r="1223" spans="1:3" ht="15" hidden="1" customHeight="1" x14ac:dyDescent="0.3">
      <c r="A1223" t="s">
        <v>234</v>
      </c>
      <c r="B1223" s="2">
        <v>46296</v>
      </c>
    </row>
    <row r="1224" spans="1:3" ht="15" hidden="1" customHeight="1" x14ac:dyDescent="0.3">
      <c r="A1224" t="s">
        <v>234</v>
      </c>
      <c r="B1224" s="2">
        <v>46327</v>
      </c>
    </row>
    <row r="1225" spans="1:3" ht="15" hidden="1" customHeight="1" x14ac:dyDescent="0.3">
      <c r="A1225" t="s">
        <v>234</v>
      </c>
      <c r="B1225" s="2">
        <v>46357</v>
      </c>
    </row>
    <row r="1226" spans="1:3" ht="15" hidden="1" customHeight="1" x14ac:dyDescent="0.3">
      <c r="A1226" t="s">
        <v>131</v>
      </c>
      <c r="B1226" s="2">
        <v>45292</v>
      </c>
      <c r="C1226">
        <v>3824</v>
      </c>
    </row>
    <row r="1227" spans="1:3" ht="15" hidden="1" customHeight="1" x14ac:dyDescent="0.3">
      <c r="A1227" t="s">
        <v>131</v>
      </c>
      <c r="B1227" s="2">
        <v>45323</v>
      </c>
      <c r="C1227">
        <v>3746</v>
      </c>
    </row>
    <row r="1228" spans="1:3" ht="15" hidden="1" customHeight="1" x14ac:dyDescent="0.3">
      <c r="A1228" t="s">
        <v>131</v>
      </c>
      <c r="B1228" s="2">
        <v>45352</v>
      </c>
      <c r="C1228">
        <v>3799</v>
      </c>
    </row>
    <row r="1229" spans="1:3" ht="15" hidden="1" customHeight="1" x14ac:dyDescent="0.3">
      <c r="A1229" t="s">
        <v>131</v>
      </c>
      <c r="B1229" s="2">
        <v>45383</v>
      </c>
      <c r="C1229">
        <v>3854</v>
      </c>
    </row>
    <row r="1230" spans="1:3" ht="15" hidden="1" customHeight="1" x14ac:dyDescent="0.3">
      <c r="A1230" t="s">
        <v>131</v>
      </c>
      <c r="B1230" s="2">
        <v>45413</v>
      </c>
      <c r="C1230">
        <v>4391</v>
      </c>
    </row>
    <row r="1231" spans="1:3" ht="15" hidden="1" customHeight="1" x14ac:dyDescent="0.3">
      <c r="A1231" t="s">
        <v>131</v>
      </c>
      <c r="B1231" s="2">
        <v>45444</v>
      </c>
      <c r="C1231">
        <v>4167</v>
      </c>
    </row>
    <row r="1232" spans="1:3" ht="15" hidden="1" customHeight="1" x14ac:dyDescent="0.3">
      <c r="A1232" t="s">
        <v>131</v>
      </c>
      <c r="B1232" s="2">
        <v>45474</v>
      </c>
      <c r="C1232">
        <v>4515</v>
      </c>
    </row>
    <row r="1233" spans="1:3" ht="15" hidden="1" customHeight="1" x14ac:dyDescent="0.3">
      <c r="A1233" t="s">
        <v>131</v>
      </c>
      <c r="B1233" s="2">
        <v>45505</v>
      </c>
      <c r="C1233">
        <v>4113</v>
      </c>
    </row>
    <row r="1234" spans="1:3" ht="15" hidden="1" customHeight="1" x14ac:dyDescent="0.3">
      <c r="A1234" t="s">
        <v>131</v>
      </c>
      <c r="B1234" s="2">
        <v>45536</v>
      </c>
      <c r="C1234">
        <v>3620</v>
      </c>
    </row>
    <row r="1235" spans="1:3" ht="15" hidden="1" customHeight="1" x14ac:dyDescent="0.3">
      <c r="A1235" t="s">
        <v>131</v>
      </c>
      <c r="B1235" s="2">
        <v>45566</v>
      </c>
      <c r="C1235">
        <v>4760</v>
      </c>
    </row>
    <row r="1236" spans="1:3" ht="15" hidden="1" customHeight="1" x14ac:dyDescent="0.3">
      <c r="A1236" t="s">
        <v>131</v>
      </c>
      <c r="B1236" s="2">
        <v>45597</v>
      </c>
      <c r="C1236">
        <v>3916</v>
      </c>
    </row>
    <row r="1237" spans="1:3" ht="15" hidden="1" customHeight="1" x14ac:dyDescent="0.3">
      <c r="A1237" t="s">
        <v>131</v>
      </c>
      <c r="B1237" s="2">
        <v>45627</v>
      </c>
      <c r="C1237">
        <v>4124</v>
      </c>
    </row>
    <row r="1238" spans="1:3" ht="15" hidden="1" customHeight="1" x14ac:dyDescent="0.3">
      <c r="A1238" t="s">
        <v>131</v>
      </c>
      <c r="B1238" s="2">
        <v>45658</v>
      </c>
      <c r="C1238">
        <v>3080</v>
      </c>
    </row>
    <row r="1239" spans="1:3" ht="15" hidden="1" customHeight="1" x14ac:dyDescent="0.3">
      <c r="A1239" t="s">
        <v>131</v>
      </c>
      <c r="B1239" s="2">
        <v>45689</v>
      </c>
      <c r="C1239">
        <v>2400</v>
      </c>
    </row>
    <row r="1240" spans="1:3" ht="15" hidden="1" customHeight="1" x14ac:dyDescent="0.3">
      <c r="A1240" t="s">
        <v>131</v>
      </c>
      <c r="B1240" s="2">
        <v>45717</v>
      </c>
      <c r="C1240">
        <v>2832</v>
      </c>
    </row>
    <row r="1241" spans="1:3" ht="15" hidden="1" customHeight="1" x14ac:dyDescent="0.3">
      <c r="A1241" t="s">
        <v>131</v>
      </c>
      <c r="B1241" s="2">
        <v>45748</v>
      </c>
      <c r="C1241">
        <v>2690</v>
      </c>
    </row>
    <row r="1242" spans="1:3" ht="15" hidden="1" customHeight="1" x14ac:dyDescent="0.3">
      <c r="A1242" t="s">
        <v>131</v>
      </c>
      <c r="B1242" s="2">
        <v>45778</v>
      </c>
      <c r="C1242">
        <v>3597</v>
      </c>
    </row>
    <row r="1243" spans="1:3" ht="15" hidden="1" customHeight="1" x14ac:dyDescent="0.3">
      <c r="A1243" t="s">
        <v>131</v>
      </c>
      <c r="B1243" s="2">
        <v>45809</v>
      </c>
      <c r="C1243">
        <v>4831.17</v>
      </c>
    </row>
    <row r="1244" spans="1:3" ht="15" hidden="1" customHeight="1" x14ac:dyDescent="0.3">
      <c r="A1244" t="s">
        <v>131</v>
      </c>
      <c r="B1244" s="2">
        <v>45839</v>
      </c>
      <c r="C1244">
        <v>5152</v>
      </c>
    </row>
    <row r="1245" spans="1:3" ht="15" hidden="1" customHeight="1" x14ac:dyDescent="0.3">
      <c r="A1245" t="s">
        <v>131</v>
      </c>
      <c r="B1245" s="2">
        <v>45870</v>
      </c>
      <c r="C1245">
        <v>5913</v>
      </c>
    </row>
    <row r="1246" spans="1:3" ht="15" hidden="1" customHeight="1" x14ac:dyDescent="0.3">
      <c r="A1246" t="s">
        <v>131</v>
      </c>
      <c r="B1246" s="2">
        <v>45901</v>
      </c>
      <c r="C1246">
        <v>5163</v>
      </c>
    </row>
    <row r="1247" spans="1:3" ht="15" hidden="1" customHeight="1" x14ac:dyDescent="0.3">
      <c r="A1247" t="s">
        <v>131</v>
      </c>
      <c r="B1247" s="2">
        <v>45931</v>
      </c>
      <c r="C1247">
        <v>5859</v>
      </c>
    </row>
    <row r="1248" spans="1:3" ht="15" hidden="1" customHeight="1" x14ac:dyDescent="0.3">
      <c r="A1248" t="s">
        <v>131</v>
      </c>
      <c r="B1248" s="2">
        <v>45962</v>
      </c>
      <c r="C1248">
        <v>4665</v>
      </c>
    </row>
    <row r="1249" spans="1:3" ht="15" hidden="1" customHeight="1" x14ac:dyDescent="0.3">
      <c r="A1249" t="s">
        <v>131</v>
      </c>
      <c r="B1249" s="2">
        <v>45992</v>
      </c>
      <c r="C1249">
        <v>5472</v>
      </c>
    </row>
    <row r="1250" spans="1:3" ht="15" hidden="1" customHeight="1" x14ac:dyDescent="0.3">
      <c r="A1250" t="s">
        <v>131</v>
      </c>
      <c r="B1250" s="2">
        <v>46023</v>
      </c>
      <c r="C1250">
        <v>5579.67</v>
      </c>
    </row>
    <row r="1251" spans="1:3" ht="15" hidden="1" customHeight="1" x14ac:dyDescent="0.3">
      <c r="A1251" t="s">
        <v>131</v>
      </c>
      <c r="B1251" s="2">
        <v>46054</v>
      </c>
      <c r="C1251">
        <v>4787</v>
      </c>
    </row>
    <row r="1252" spans="1:3" ht="15" hidden="1" customHeight="1" x14ac:dyDescent="0.3">
      <c r="A1252" t="s">
        <v>131</v>
      </c>
      <c r="B1252" s="2">
        <v>46082</v>
      </c>
      <c r="C1252">
        <v>4406</v>
      </c>
    </row>
    <row r="1253" spans="1:3" ht="15" hidden="1" customHeight="1" x14ac:dyDescent="0.3">
      <c r="A1253" t="s">
        <v>131</v>
      </c>
      <c r="B1253" s="2">
        <v>46113</v>
      </c>
      <c r="C1253">
        <v>4506.8</v>
      </c>
    </row>
    <row r="1254" spans="1:3" ht="15" hidden="1" customHeight="1" x14ac:dyDescent="0.3">
      <c r="A1254" t="s">
        <v>131</v>
      </c>
      <c r="B1254" s="2">
        <v>46143</v>
      </c>
      <c r="C1254" s="12">
        <v>5143.42</v>
      </c>
    </row>
    <row r="1255" spans="1:3" ht="15" hidden="1" customHeight="1" x14ac:dyDescent="0.3">
      <c r="A1255" t="s">
        <v>223</v>
      </c>
      <c r="B1255" s="2">
        <v>46174</v>
      </c>
      <c r="C1255">
        <v>3139.7</v>
      </c>
    </row>
    <row r="1256" spans="1:3" ht="15" hidden="1" customHeight="1" x14ac:dyDescent="0.3">
      <c r="A1256" t="s">
        <v>124</v>
      </c>
      <c r="B1256" s="2">
        <v>46204</v>
      </c>
      <c r="C1256">
        <v>40997.122360000001</v>
      </c>
    </row>
    <row r="1257" spans="1:3" ht="15" hidden="1" customHeight="1" x14ac:dyDescent="0.3">
      <c r="A1257" t="s">
        <v>131</v>
      </c>
      <c r="B1257" s="2">
        <v>46235</v>
      </c>
      <c r="C1257">
        <v>6058</v>
      </c>
    </row>
    <row r="1258" spans="1:3" ht="15" customHeight="1" x14ac:dyDescent="0.3">
      <c r="A1258" t="s">
        <v>131</v>
      </c>
      <c r="B1258" s="2">
        <v>46266</v>
      </c>
      <c r="C1258" s="47">
        <v>5214.57</v>
      </c>
    </row>
    <row r="1259" spans="1:3" ht="15" hidden="1" customHeight="1" x14ac:dyDescent="0.3">
      <c r="A1259" t="s">
        <v>131</v>
      </c>
      <c r="B1259" s="2">
        <v>46296</v>
      </c>
    </row>
    <row r="1260" spans="1:3" ht="15" hidden="1" customHeight="1" x14ac:dyDescent="0.3">
      <c r="A1260" t="s">
        <v>131</v>
      </c>
      <c r="B1260" s="2">
        <v>46327</v>
      </c>
    </row>
    <row r="1261" spans="1:3" ht="15" hidden="1" customHeight="1" x14ac:dyDescent="0.3">
      <c r="A1261" t="s">
        <v>131</v>
      </c>
      <c r="B1261" s="2">
        <v>46357</v>
      </c>
    </row>
    <row r="1262" spans="1:3" ht="15" hidden="1" customHeight="1" x14ac:dyDescent="0.3">
      <c r="A1262" t="s">
        <v>134</v>
      </c>
      <c r="B1262" s="2">
        <v>45292</v>
      </c>
    </row>
    <row r="1263" spans="1:3" ht="15" hidden="1" customHeight="1" x14ac:dyDescent="0.3">
      <c r="A1263" t="s">
        <v>134</v>
      </c>
      <c r="B1263" s="2">
        <v>45323</v>
      </c>
    </row>
    <row r="1264" spans="1:3" ht="15" hidden="1" customHeight="1" x14ac:dyDescent="0.3">
      <c r="A1264" t="s">
        <v>134</v>
      </c>
      <c r="B1264" s="2">
        <v>45352</v>
      </c>
      <c r="C1264">
        <v>41550.800000000003</v>
      </c>
    </row>
    <row r="1265" spans="1:3" ht="15" hidden="1" customHeight="1" x14ac:dyDescent="0.3">
      <c r="A1265" t="s">
        <v>134</v>
      </c>
      <c r="B1265" s="2">
        <v>45383</v>
      </c>
      <c r="C1265">
        <v>25447.599999999999</v>
      </c>
    </row>
    <row r="1266" spans="1:3" ht="15" hidden="1" customHeight="1" x14ac:dyDescent="0.3">
      <c r="A1266" t="s">
        <v>134</v>
      </c>
      <c r="B1266" s="2">
        <v>45413</v>
      </c>
      <c r="C1266">
        <v>28056</v>
      </c>
    </row>
    <row r="1267" spans="1:3" ht="15" hidden="1" customHeight="1" x14ac:dyDescent="0.3">
      <c r="A1267" t="s">
        <v>134</v>
      </c>
      <c r="B1267" s="2">
        <v>45444</v>
      </c>
      <c r="C1267">
        <v>27241</v>
      </c>
    </row>
    <row r="1268" spans="1:3" ht="15" hidden="1" customHeight="1" x14ac:dyDescent="0.3">
      <c r="A1268" t="s">
        <v>134</v>
      </c>
      <c r="B1268" s="2">
        <v>45474</v>
      </c>
      <c r="C1268">
        <v>31078</v>
      </c>
    </row>
    <row r="1269" spans="1:3" ht="15" hidden="1" customHeight="1" x14ac:dyDescent="0.3">
      <c r="A1269" t="s">
        <v>134</v>
      </c>
      <c r="B1269" s="2">
        <v>45505</v>
      </c>
      <c r="C1269">
        <v>33515</v>
      </c>
    </row>
    <row r="1270" spans="1:3" ht="15" hidden="1" customHeight="1" x14ac:dyDescent="0.3">
      <c r="A1270" t="s">
        <v>134</v>
      </c>
      <c r="B1270" s="2">
        <v>45536</v>
      </c>
      <c r="C1270">
        <v>34245</v>
      </c>
    </row>
    <row r="1271" spans="1:3" ht="15" hidden="1" customHeight="1" x14ac:dyDescent="0.3">
      <c r="A1271" t="s">
        <v>134</v>
      </c>
      <c r="B1271" s="2">
        <v>45566</v>
      </c>
      <c r="C1271">
        <v>46108</v>
      </c>
    </row>
    <row r="1272" spans="1:3" ht="15" hidden="1" customHeight="1" x14ac:dyDescent="0.3">
      <c r="A1272" t="s">
        <v>134</v>
      </c>
      <c r="B1272" s="2">
        <v>45597</v>
      </c>
      <c r="C1272">
        <v>42922</v>
      </c>
    </row>
    <row r="1273" spans="1:3" ht="15" hidden="1" customHeight="1" x14ac:dyDescent="0.3">
      <c r="A1273" t="s">
        <v>134</v>
      </c>
      <c r="B1273" s="2">
        <v>45627</v>
      </c>
      <c r="C1273">
        <v>44138</v>
      </c>
    </row>
    <row r="1274" spans="1:3" ht="15" hidden="1" customHeight="1" x14ac:dyDescent="0.3">
      <c r="A1274" t="s">
        <v>134</v>
      </c>
      <c r="B1274" s="2">
        <v>45658</v>
      </c>
      <c r="C1274">
        <v>41100</v>
      </c>
    </row>
    <row r="1275" spans="1:3" ht="15" hidden="1" customHeight="1" x14ac:dyDescent="0.3">
      <c r="A1275" t="s">
        <v>134</v>
      </c>
      <c r="B1275" s="2">
        <v>45689</v>
      </c>
      <c r="C1275">
        <v>30900</v>
      </c>
    </row>
    <row r="1276" spans="1:3" ht="15" hidden="1" customHeight="1" x14ac:dyDescent="0.3">
      <c r="A1276" t="s">
        <v>134</v>
      </c>
      <c r="B1276" s="2">
        <v>45717</v>
      </c>
      <c r="C1276">
        <v>31593</v>
      </c>
    </row>
    <row r="1277" spans="1:3" ht="15" hidden="1" customHeight="1" x14ac:dyDescent="0.3">
      <c r="A1277" t="s">
        <v>134</v>
      </c>
      <c r="B1277" s="2">
        <v>45748</v>
      </c>
      <c r="C1277">
        <v>25646</v>
      </c>
    </row>
    <row r="1278" spans="1:3" ht="15" hidden="1" customHeight="1" x14ac:dyDescent="0.3">
      <c r="A1278" t="s">
        <v>134</v>
      </c>
      <c r="B1278" s="2">
        <v>45778</v>
      </c>
      <c r="C1278">
        <v>33184</v>
      </c>
    </row>
    <row r="1279" spans="1:3" ht="15" hidden="1" customHeight="1" x14ac:dyDescent="0.3">
      <c r="A1279" t="s">
        <v>134</v>
      </c>
      <c r="B1279" s="2">
        <v>45809</v>
      </c>
      <c r="C1279">
        <v>29359.5</v>
      </c>
    </row>
    <row r="1280" spans="1:3" ht="15" hidden="1" customHeight="1" x14ac:dyDescent="0.3">
      <c r="A1280" t="s">
        <v>134</v>
      </c>
      <c r="B1280" s="2">
        <v>45839</v>
      </c>
      <c r="C1280">
        <v>23487</v>
      </c>
    </row>
    <row r="1281" spans="1:3" ht="15" hidden="1" customHeight="1" x14ac:dyDescent="0.3">
      <c r="A1281" t="s">
        <v>134</v>
      </c>
      <c r="B1281" s="2">
        <v>45870</v>
      </c>
      <c r="C1281">
        <v>34316</v>
      </c>
    </row>
    <row r="1282" spans="1:3" ht="15" hidden="1" customHeight="1" x14ac:dyDescent="0.3">
      <c r="A1282" t="s">
        <v>134</v>
      </c>
      <c r="B1282" s="2">
        <v>45901</v>
      </c>
      <c r="C1282">
        <v>33632.699999999997</v>
      </c>
    </row>
    <row r="1283" spans="1:3" ht="15" hidden="1" customHeight="1" x14ac:dyDescent="0.3">
      <c r="A1283" t="s">
        <v>134</v>
      </c>
      <c r="B1283" s="2">
        <v>45931</v>
      </c>
      <c r="C1283">
        <v>41353</v>
      </c>
    </row>
    <row r="1284" spans="1:3" ht="15" hidden="1" customHeight="1" x14ac:dyDescent="0.3">
      <c r="A1284" t="s">
        <v>134</v>
      </c>
      <c r="B1284" s="2">
        <v>45962</v>
      </c>
      <c r="C1284">
        <v>44434</v>
      </c>
    </row>
    <row r="1285" spans="1:3" ht="15" hidden="1" customHeight="1" x14ac:dyDescent="0.3">
      <c r="A1285" t="s">
        <v>134</v>
      </c>
      <c r="B1285" s="2">
        <v>45992</v>
      </c>
      <c r="C1285">
        <v>40551</v>
      </c>
    </row>
    <row r="1286" spans="1:3" ht="15" hidden="1" customHeight="1" x14ac:dyDescent="0.3">
      <c r="A1286" t="s">
        <v>134</v>
      </c>
      <c r="B1286" s="2">
        <v>46023</v>
      </c>
      <c r="C1286">
        <v>42821</v>
      </c>
    </row>
    <row r="1287" spans="1:3" ht="15" hidden="1" customHeight="1" x14ac:dyDescent="0.3">
      <c r="A1287" t="s">
        <v>134</v>
      </c>
      <c r="B1287" s="2">
        <v>46054</v>
      </c>
      <c r="C1287">
        <v>39129</v>
      </c>
    </row>
    <row r="1288" spans="1:3" ht="15" hidden="1" customHeight="1" x14ac:dyDescent="0.3">
      <c r="A1288" t="s">
        <v>134</v>
      </c>
      <c r="B1288" s="2">
        <v>46082</v>
      </c>
      <c r="C1288">
        <v>31935</v>
      </c>
    </row>
    <row r="1289" spans="1:3" ht="15" hidden="1" customHeight="1" x14ac:dyDescent="0.3">
      <c r="A1289" t="s">
        <v>134</v>
      </c>
      <c r="B1289" s="2">
        <v>46113</v>
      </c>
      <c r="C1289">
        <v>26513.02</v>
      </c>
    </row>
    <row r="1290" spans="1:3" ht="15" hidden="1" customHeight="1" x14ac:dyDescent="0.3">
      <c r="A1290" t="s">
        <v>134</v>
      </c>
      <c r="B1290" s="2">
        <v>46143</v>
      </c>
      <c r="C1290" s="12">
        <v>29984.36</v>
      </c>
    </row>
    <row r="1291" spans="1:3" ht="15" hidden="1" customHeight="1" x14ac:dyDescent="0.3">
      <c r="A1291" t="s">
        <v>134</v>
      </c>
      <c r="B1291" s="2">
        <v>46174</v>
      </c>
      <c r="C1291">
        <v>23145.119999999999</v>
      </c>
    </row>
    <row r="1292" spans="1:3" ht="15" hidden="1" customHeight="1" x14ac:dyDescent="0.3">
      <c r="A1292" t="s">
        <v>127</v>
      </c>
      <c r="B1292" s="2">
        <v>46204</v>
      </c>
      <c r="C1292">
        <v>13303</v>
      </c>
    </row>
    <row r="1293" spans="1:3" ht="15" hidden="1" customHeight="1" x14ac:dyDescent="0.3">
      <c r="A1293" t="s">
        <v>134</v>
      </c>
      <c r="B1293" s="2">
        <v>46235</v>
      </c>
      <c r="C1293">
        <v>35675.900999999998</v>
      </c>
    </row>
    <row r="1294" spans="1:3" ht="15" customHeight="1" x14ac:dyDescent="0.3">
      <c r="A1294" t="s">
        <v>134</v>
      </c>
      <c r="B1294" s="2">
        <v>46266</v>
      </c>
      <c r="C1294" s="47">
        <v>33460.18</v>
      </c>
    </row>
    <row r="1295" spans="1:3" ht="15" hidden="1" customHeight="1" x14ac:dyDescent="0.3">
      <c r="A1295" t="s">
        <v>134</v>
      </c>
      <c r="B1295" s="2">
        <v>46296</v>
      </c>
    </row>
    <row r="1296" spans="1:3" ht="15" hidden="1" customHeight="1" x14ac:dyDescent="0.3">
      <c r="A1296" t="s">
        <v>134</v>
      </c>
      <c r="B1296" s="2">
        <v>46327</v>
      </c>
    </row>
    <row r="1297" spans="1:3" ht="15" hidden="1" customHeight="1" x14ac:dyDescent="0.3">
      <c r="A1297" t="s">
        <v>134</v>
      </c>
      <c r="B1297" s="2">
        <v>46357</v>
      </c>
    </row>
    <row r="1298" spans="1:3" ht="15" hidden="1" customHeight="1" x14ac:dyDescent="0.3">
      <c r="A1298" t="s">
        <v>138</v>
      </c>
      <c r="B1298" s="2">
        <v>45292</v>
      </c>
    </row>
    <row r="1299" spans="1:3" ht="15" hidden="1" customHeight="1" x14ac:dyDescent="0.3">
      <c r="A1299" t="s">
        <v>138</v>
      </c>
      <c r="B1299" s="2">
        <v>45323</v>
      </c>
    </row>
    <row r="1300" spans="1:3" ht="15" hidden="1" customHeight="1" x14ac:dyDescent="0.3">
      <c r="A1300" t="s">
        <v>138</v>
      </c>
      <c r="B1300" s="2">
        <v>45352</v>
      </c>
    </row>
    <row r="1301" spans="1:3" ht="15" hidden="1" customHeight="1" x14ac:dyDescent="0.3">
      <c r="A1301" t="s">
        <v>138</v>
      </c>
      <c r="B1301" s="2">
        <v>45383</v>
      </c>
    </row>
    <row r="1302" spans="1:3" ht="15" hidden="1" customHeight="1" x14ac:dyDescent="0.3">
      <c r="A1302" t="s">
        <v>138</v>
      </c>
      <c r="B1302" s="2">
        <v>45413</v>
      </c>
    </row>
    <row r="1303" spans="1:3" ht="15" hidden="1" customHeight="1" x14ac:dyDescent="0.3">
      <c r="A1303" t="s">
        <v>138</v>
      </c>
      <c r="B1303" s="2">
        <v>45444</v>
      </c>
    </row>
    <row r="1304" spans="1:3" ht="15" hidden="1" customHeight="1" x14ac:dyDescent="0.3">
      <c r="A1304" t="s">
        <v>138</v>
      </c>
      <c r="B1304" s="2">
        <v>45474</v>
      </c>
    </row>
    <row r="1305" spans="1:3" ht="15" hidden="1" customHeight="1" x14ac:dyDescent="0.3">
      <c r="A1305" t="s">
        <v>138</v>
      </c>
      <c r="B1305" s="2">
        <v>45505</v>
      </c>
    </row>
    <row r="1306" spans="1:3" ht="15" hidden="1" customHeight="1" x14ac:dyDescent="0.3">
      <c r="A1306" t="s">
        <v>138</v>
      </c>
      <c r="B1306" s="2">
        <v>45536</v>
      </c>
    </row>
    <row r="1307" spans="1:3" ht="15" hidden="1" customHeight="1" x14ac:dyDescent="0.3">
      <c r="A1307" t="s">
        <v>138</v>
      </c>
      <c r="B1307" s="2">
        <v>45566</v>
      </c>
    </row>
    <row r="1308" spans="1:3" ht="15" hidden="1" customHeight="1" x14ac:dyDescent="0.3">
      <c r="A1308" t="s">
        <v>138</v>
      </c>
      <c r="B1308" s="2">
        <v>45597</v>
      </c>
    </row>
    <row r="1309" spans="1:3" ht="15" hidden="1" customHeight="1" x14ac:dyDescent="0.3">
      <c r="A1309" t="s">
        <v>138</v>
      </c>
      <c r="B1309" s="2">
        <v>45627</v>
      </c>
    </row>
    <row r="1310" spans="1:3" ht="15" hidden="1" customHeight="1" x14ac:dyDescent="0.3">
      <c r="A1310" t="s">
        <v>138</v>
      </c>
      <c r="B1310" s="2">
        <v>45658</v>
      </c>
      <c r="C1310">
        <v>21130</v>
      </c>
    </row>
    <row r="1311" spans="1:3" ht="15" hidden="1" customHeight="1" x14ac:dyDescent="0.3">
      <c r="A1311" t="s">
        <v>138</v>
      </c>
      <c r="B1311" s="2">
        <v>45689</v>
      </c>
      <c r="C1311">
        <v>17140</v>
      </c>
    </row>
    <row r="1312" spans="1:3" ht="15" hidden="1" customHeight="1" x14ac:dyDescent="0.3">
      <c r="A1312" t="s">
        <v>138</v>
      </c>
      <c r="B1312" s="2">
        <v>45717</v>
      </c>
    </row>
    <row r="1313" spans="1:3" ht="15" hidden="1" customHeight="1" x14ac:dyDescent="0.3">
      <c r="A1313" t="s">
        <v>138</v>
      </c>
      <c r="B1313" s="2">
        <v>45748</v>
      </c>
    </row>
    <row r="1314" spans="1:3" ht="15" hidden="1" customHeight="1" x14ac:dyDescent="0.3">
      <c r="A1314" t="s">
        <v>138</v>
      </c>
      <c r="B1314" s="2">
        <v>45778</v>
      </c>
    </row>
    <row r="1315" spans="1:3" ht="15" hidden="1" customHeight="1" x14ac:dyDescent="0.3">
      <c r="A1315" t="s">
        <v>138</v>
      </c>
      <c r="B1315" s="2">
        <v>45809</v>
      </c>
    </row>
    <row r="1316" spans="1:3" ht="15" hidden="1" customHeight="1" x14ac:dyDescent="0.3">
      <c r="A1316" t="s">
        <v>138</v>
      </c>
      <c r="B1316" s="2">
        <v>45839</v>
      </c>
    </row>
    <row r="1317" spans="1:3" ht="15" hidden="1" customHeight="1" x14ac:dyDescent="0.3">
      <c r="A1317" t="s">
        <v>138</v>
      </c>
      <c r="B1317" s="2">
        <v>45870</v>
      </c>
    </row>
    <row r="1318" spans="1:3" ht="15" hidden="1" customHeight="1" x14ac:dyDescent="0.3">
      <c r="A1318" t="s">
        <v>138</v>
      </c>
      <c r="B1318" s="2">
        <v>45901</v>
      </c>
    </row>
    <row r="1319" spans="1:3" ht="15" hidden="1" customHeight="1" x14ac:dyDescent="0.3">
      <c r="A1319" t="s">
        <v>138</v>
      </c>
      <c r="B1319" s="2">
        <v>45931</v>
      </c>
    </row>
    <row r="1320" spans="1:3" ht="15" hidden="1" customHeight="1" x14ac:dyDescent="0.3">
      <c r="A1320" t="s">
        <v>138</v>
      </c>
      <c r="B1320" s="2">
        <v>45962</v>
      </c>
    </row>
    <row r="1321" spans="1:3" ht="15" hidden="1" customHeight="1" x14ac:dyDescent="0.3">
      <c r="A1321" t="s">
        <v>138</v>
      </c>
      <c r="B1321" s="2">
        <v>45992</v>
      </c>
    </row>
    <row r="1322" spans="1:3" ht="15" hidden="1" customHeight="1" x14ac:dyDescent="0.3">
      <c r="A1322" t="s">
        <v>138</v>
      </c>
      <c r="B1322" s="2">
        <v>46023</v>
      </c>
      <c r="C1322">
        <v>9830</v>
      </c>
    </row>
    <row r="1323" spans="1:3" ht="15" hidden="1" customHeight="1" x14ac:dyDescent="0.3">
      <c r="A1323" t="s">
        <v>138</v>
      </c>
      <c r="B1323" s="2">
        <v>46054</v>
      </c>
      <c r="C1323">
        <v>20200</v>
      </c>
    </row>
    <row r="1324" spans="1:3" ht="15" hidden="1" customHeight="1" x14ac:dyDescent="0.3">
      <c r="A1324" t="s">
        <v>138</v>
      </c>
      <c r="B1324" s="2">
        <v>46082</v>
      </c>
      <c r="C1324">
        <v>16198</v>
      </c>
    </row>
    <row r="1325" spans="1:3" ht="15" hidden="1" customHeight="1" x14ac:dyDescent="0.3">
      <c r="A1325" t="s">
        <v>138</v>
      </c>
      <c r="B1325" s="2">
        <v>46113</v>
      </c>
    </row>
    <row r="1326" spans="1:3" ht="15" hidden="1" customHeight="1" x14ac:dyDescent="0.3">
      <c r="A1326" t="s">
        <v>138</v>
      </c>
      <c r="B1326" s="2">
        <v>46143</v>
      </c>
      <c r="C1326" s="12"/>
    </row>
    <row r="1327" spans="1:3" ht="15" hidden="1" customHeight="1" x14ac:dyDescent="0.3">
      <c r="A1327" t="s">
        <v>138</v>
      </c>
      <c r="B1327" s="2">
        <v>46174</v>
      </c>
    </row>
    <row r="1328" spans="1:3" ht="15" hidden="1" customHeight="1" x14ac:dyDescent="0.3">
      <c r="A1328" t="s">
        <v>234</v>
      </c>
      <c r="B1328" s="2">
        <v>46204</v>
      </c>
      <c r="C1328">
        <v>20358.73</v>
      </c>
    </row>
    <row r="1329" spans="1:3" ht="15" hidden="1" customHeight="1" x14ac:dyDescent="0.3">
      <c r="A1329" t="s">
        <v>138</v>
      </c>
      <c r="B1329" s="2">
        <v>46235</v>
      </c>
    </row>
    <row r="1330" spans="1:3" ht="15" customHeight="1" x14ac:dyDescent="0.3">
      <c r="A1330" t="s">
        <v>138</v>
      </c>
      <c r="B1330" s="2">
        <v>46266</v>
      </c>
      <c r="C1330" s="47"/>
    </row>
    <row r="1331" spans="1:3" ht="15" hidden="1" customHeight="1" x14ac:dyDescent="0.3">
      <c r="A1331" t="s">
        <v>138</v>
      </c>
      <c r="B1331" s="2">
        <v>46296</v>
      </c>
    </row>
    <row r="1332" spans="1:3" ht="15" hidden="1" customHeight="1" x14ac:dyDescent="0.3">
      <c r="A1332" t="s">
        <v>138</v>
      </c>
      <c r="B1332" s="2">
        <v>46327</v>
      </c>
    </row>
    <row r="1333" spans="1:3" ht="15" hidden="1" customHeight="1" x14ac:dyDescent="0.3">
      <c r="A1333" t="s">
        <v>138</v>
      </c>
      <c r="B1333" s="2">
        <v>46357</v>
      </c>
    </row>
    <row r="1334" spans="1:3" ht="15" hidden="1" customHeight="1" x14ac:dyDescent="0.3">
      <c r="A1334" t="s">
        <v>220</v>
      </c>
      <c r="B1334" s="2">
        <v>45292</v>
      </c>
    </row>
    <row r="1335" spans="1:3" ht="15" hidden="1" customHeight="1" x14ac:dyDescent="0.3">
      <c r="A1335" t="s">
        <v>220</v>
      </c>
      <c r="B1335" s="2">
        <v>45323</v>
      </c>
    </row>
    <row r="1336" spans="1:3" ht="15" hidden="1" customHeight="1" x14ac:dyDescent="0.3">
      <c r="A1336" t="s">
        <v>220</v>
      </c>
      <c r="B1336" s="2">
        <v>45352</v>
      </c>
    </row>
    <row r="1337" spans="1:3" ht="15" hidden="1" customHeight="1" x14ac:dyDescent="0.3">
      <c r="A1337" t="s">
        <v>220</v>
      </c>
      <c r="B1337" s="2">
        <v>45383</v>
      </c>
    </row>
    <row r="1338" spans="1:3" ht="15" hidden="1" customHeight="1" x14ac:dyDescent="0.3">
      <c r="A1338" t="s">
        <v>220</v>
      </c>
      <c r="B1338" s="2">
        <v>45413</v>
      </c>
    </row>
    <row r="1339" spans="1:3" ht="15" hidden="1" customHeight="1" x14ac:dyDescent="0.3">
      <c r="A1339" t="s">
        <v>220</v>
      </c>
      <c r="B1339" s="2">
        <v>45444</v>
      </c>
    </row>
    <row r="1340" spans="1:3" ht="15" hidden="1" customHeight="1" x14ac:dyDescent="0.3">
      <c r="A1340" t="s">
        <v>220</v>
      </c>
      <c r="B1340" s="2">
        <v>45474</v>
      </c>
    </row>
    <row r="1341" spans="1:3" ht="15" hidden="1" customHeight="1" x14ac:dyDescent="0.3">
      <c r="A1341" t="s">
        <v>220</v>
      </c>
      <c r="B1341" s="2">
        <v>45505</v>
      </c>
    </row>
    <row r="1342" spans="1:3" ht="15" hidden="1" customHeight="1" x14ac:dyDescent="0.3">
      <c r="A1342" t="s">
        <v>220</v>
      </c>
      <c r="B1342" s="2">
        <v>45536</v>
      </c>
    </row>
    <row r="1343" spans="1:3" ht="15" hidden="1" customHeight="1" x14ac:dyDescent="0.3">
      <c r="A1343" t="s">
        <v>220</v>
      </c>
      <c r="B1343" s="2">
        <v>45566</v>
      </c>
    </row>
    <row r="1344" spans="1:3" ht="15" hidden="1" customHeight="1" x14ac:dyDescent="0.3">
      <c r="A1344" t="s">
        <v>220</v>
      </c>
      <c r="B1344" s="2">
        <v>45597</v>
      </c>
    </row>
    <row r="1345" spans="1:3" ht="15" hidden="1" customHeight="1" x14ac:dyDescent="0.3">
      <c r="A1345" t="s">
        <v>220</v>
      </c>
      <c r="B1345" s="2">
        <v>45627</v>
      </c>
    </row>
    <row r="1346" spans="1:3" ht="15" hidden="1" customHeight="1" x14ac:dyDescent="0.3">
      <c r="A1346" t="s">
        <v>220</v>
      </c>
      <c r="B1346" s="2">
        <v>45658</v>
      </c>
    </row>
    <row r="1347" spans="1:3" ht="15" hidden="1" customHeight="1" x14ac:dyDescent="0.3">
      <c r="A1347" t="s">
        <v>220</v>
      </c>
      <c r="B1347" s="2">
        <v>45689</v>
      </c>
    </row>
    <row r="1348" spans="1:3" ht="15" hidden="1" customHeight="1" x14ac:dyDescent="0.3">
      <c r="A1348" t="s">
        <v>220</v>
      </c>
      <c r="B1348" s="2">
        <v>45717</v>
      </c>
    </row>
    <row r="1349" spans="1:3" ht="15" hidden="1" customHeight="1" x14ac:dyDescent="0.3">
      <c r="A1349" t="s">
        <v>220</v>
      </c>
      <c r="B1349" s="2">
        <v>45748</v>
      </c>
    </row>
    <row r="1350" spans="1:3" ht="15" hidden="1" customHeight="1" x14ac:dyDescent="0.3">
      <c r="A1350" t="s">
        <v>220</v>
      </c>
      <c r="B1350" s="2">
        <v>45778</v>
      </c>
    </row>
    <row r="1351" spans="1:3" ht="15" hidden="1" customHeight="1" x14ac:dyDescent="0.3">
      <c r="A1351" t="s">
        <v>220</v>
      </c>
      <c r="B1351" s="2">
        <v>45809</v>
      </c>
    </row>
    <row r="1352" spans="1:3" ht="15" hidden="1" customHeight="1" x14ac:dyDescent="0.3">
      <c r="A1352" t="s">
        <v>220</v>
      </c>
      <c r="B1352" s="2">
        <v>45839</v>
      </c>
    </row>
    <row r="1353" spans="1:3" ht="15" hidden="1" customHeight="1" x14ac:dyDescent="0.3">
      <c r="A1353" t="s">
        <v>220</v>
      </c>
      <c r="B1353" s="2">
        <v>45870</v>
      </c>
    </row>
    <row r="1354" spans="1:3" ht="15" hidden="1" customHeight="1" x14ac:dyDescent="0.3">
      <c r="A1354" t="s">
        <v>220</v>
      </c>
      <c r="B1354" s="2">
        <v>45901</v>
      </c>
    </row>
    <row r="1355" spans="1:3" ht="15" hidden="1" customHeight="1" x14ac:dyDescent="0.3">
      <c r="A1355" t="s">
        <v>220</v>
      </c>
      <c r="B1355" s="2">
        <v>45931</v>
      </c>
      <c r="C1355">
        <v>42200</v>
      </c>
    </row>
    <row r="1356" spans="1:3" ht="15" hidden="1" customHeight="1" x14ac:dyDescent="0.3">
      <c r="A1356" t="s">
        <v>220</v>
      </c>
      <c r="B1356" s="2">
        <v>45962</v>
      </c>
      <c r="C1356">
        <v>37652</v>
      </c>
    </row>
    <row r="1357" spans="1:3" ht="15" hidden="1" customHeight="1" x14ac:dyDescent="0.3">
      <c r="A1357" t="s">
        <v>220</v>
      </c>
      <c r="B1357" s="2">
        <v>45992</v>
      </c>
      <c r="C1357">
        <v>32569</v>
      </c>
    </row>
    <row r="1358" spans="1:3" ht="15" hidden="1" customHeight="1" x14ac:dyDescent="0.3">
      <c r="A1358" t="s">
        <v>220</v>
      </c>
      <c r="B1358" s="2">
        <v>46023</v>
      </c>
      <c r="C1358">
        <v>43979.9977</v>
      </c>
    </row>
    <row r="1359" spans="1:3" ht="15" hidden="1" customHeight="1" x14ac:dyDescent="0.3">
      <c r="A1359" t="s">
        <v>220</v>
      </c>
      <c r="B1359" s="2">
        <v>46054</v>
      </c>
      <c r="C1359">
        <v>35538.487300000001</v>
      </c>
    </row>
    <row r="1360" spans="1:3" ht="15" hidden="1" customHeight="1" x14ac:dyDescent="0.3">
      <c r="A1360" t="s">
        <v>220</v>
      </c>
      <c r="B1360" s="2">
        <v>46082</v>
      </c>
      <c r="C1360">
        <v>34079</v>
      </c>
    </row>
    <row r="1361" spans="1:3" ht="15" hidden="1" customHeight="1" x14ac:dyDescent="0.3">
      <c r="A1361" t="s">
        <v>220</v>
      </c>
      <c r="B1361" s="2">
        <v>46113</v>
      </c>
      <c r="C1361">
        <v>26385.27</v>
      </c>
    </row>
    <row r="1362" spans="1:3" ht="15" hidden="1" customHeight="1" x14ac:dyDescent="0.3">
      <c r="A1362" t="s">
        <v>220</v>
      </c>
      <c r="B1362" s="2">
        <v>46143</v>
      </c>
      <c r="C1362" s="12">
        <v>29535.200000000001</v>
      </c>
    </row>
    <row r="1363" spans="1:3" ht="15" hidden="1" customHeight="1" x14ac:dyDescent="0.3">
      <c r="A1363" t="s">
        <v>127</v>
      </c>
      <c r="B1363" s="2">
        <v>46174</v>
      </c>
      <c r="C1363">
        <v>11309.7</v>
      </c>
    </row>
    <row r="1364" spans="1:3" ht="15" hidden="1" customHeight="1" x14ac:dyDescent="0.3">
      <c r="A1364" t="s">
        <v>131</v>
      </c>
      <c r="B1364" s="2">
        <v>46204</v>
      </c>
      <c r="C1364">
        <v>5690</v>
      </c>
    </row>
    <row r="1365" spans="1:3" ht="15" hidden="1" customHeight="1" x14ac:dyDescent="0.3">
      <c r="A1365" t="s">
        <v>220</v>
      </c>
      <c r="B1365" s="2">
        <v>46235</v>
      </c>
      <c r="C1365">
        <v>35179.4355</v>
      </c>
    </row>
    <row r="1366" spans="1:3" ht="15" customHeight="1" x14ac:dyDescent="0.3">
      <c r="A1366" t="s">
        <v>220</v>
      </c>
      <c r="B1366" s="2">
        <v>46266</v>
      </c>
      <c r="C1366" s="47">
        <v>35252.918700000002</v>
      </c>
    </row>
    <row r="1367" spans="1:3" ht="15" hidden="1" customHeight="1" x14ac:dyDescent="0.3">
      <c r="A1367" t="s">
        <v>220</v>
      </c>
      <c r="B1367" s="2">
        <v>46296</v>
      </c>
    </row>
    <row r="1368" spans="1:3" ht="15" hidden="1" customHeight="1" x14ac:dyDescent="0.3">
      <c r="A1368" t="s">
        <v>220</v>
      </c>
      <c r="B1368" s="2">
        <v>46327</v>
      </c>
    </row>
    <row r="1369" spans="1:3" ht="15" hidden="1" customHeight="1" x14ac:dyDescent="0.3">
      <c r="A1369" t="s">
        <v>220</v>
      </c>
      <c r="B1369" s="2">
        <v>46357</v>
      </c>
    </row>
    <row r="1370" spans="1:3" ht="15" hidden="1" customHeight="1" x14ac:dyDescent="0.3">
      <c r="A1370" t="s">
        <v>222</v>
      </c>
      <c r="B1370" s="2">
        <v>45292</v>
      </c>
    </row>
    <row r="1371" spans="1:3" ht="15" hidden="1" customHeight="1" x14ac:dyDescent="0.3">
      <c r="A1371" t="s">
        <v>222</v>
      </c>
      <c r="B1371" s="2">
        <v>45323</v>
      </c>
    </row>
    <row r="1372" spans="1:3" ht="15" hidden="1" customHeight="1" x14ac:dyDescent="0.3">
      <c r="A1372" t="s">
        <v>222</v>
      </c>
      <c r="B1372" s="2">
        <v>45352</v>
      </c>
    </row>
    <row r="1373" spans="1:3" ht="15" hidden="1" customHeight="1" x14ac:dyDescent="0.3">
      <c r="A1373" t="s">
        <v>222</v>
      </c>
      <c r="B1373" s="2">
        <v>45383</v>
      </c>
    </row>
    <row r="1374" spans="1:3" ht="15" hidden="1" customHeight="1" x14ac:dyDescent="0.3">
      <c r="A1374" t="s">
        <v>222</v>
      </c>
      <c r="B1374" s="2">
        <v>45413</v>
      </c>
    </row>
    <row r="1375" spans="1:3" ht="15" hidden="1" customHeight="1" x14ac:dyDescent="0.3">
      <c r="A1375" t="s">
        <v>222</v>
      </c>
      <c r="B1375" s="2">
        <v>45444</v>
      </c>
    </row>
    <row r="1376" spans="1:3" ht="15" hidden="1" customHeight="1" x14ac:dyDescent="0.3">
      <c r="A1376" t="s">
        <v>222</v>
      </c>
      <c r="B1376" s="2">
        <v>45474</v>
      </c>
    </row>
    <row r="1377" spans="1:3" ht="15" hidden="1" customHeight="1" x14ac:dyDescent="0.3">
      <c r="A1377" t="s">
        <v>222</v>
      </c>
      <c r="B1377" s="2">
        <v>45505</v>
      </c>
    </row>
    <row r="1378" spans="1:3" ht="15" hidden="1" customHeight="1" x14ac:dyDescent="0.3">
      <c r="A1378" t="s">
        <v>222</v>
      </c>
      <c r="B1378" s="2">
        <v>45536</v>
      </c>
    </row>
    <row r="1379" spans="1:3" ht="15" hidden="1" customHeight="1" x14ac:dyDescent="0.3">
      <c r="A1379" t="s">
        <v>222</v>
      </c>
      <c r="B1379" s="2">
        <v>45566</v>
      </c>
    </row>
    <row r="1380" spans="1:3" ht="15" hidden="1" customHeight="1" x14ac:dyDescent="0.3">
      <c r="A1380" t="s">
        <v>222</v>
      </c>
      <c r="B1380" s="2">
        <v>45597</v>
      </c>
    </row>
    <row r="1381" spans="1:3" ht="15" hidden="1" customHeight="1" x14ac:dyDescent="0.3">
      <c r="A1381" t="s">
        <v>222</v>
      </c>
      <c r="B1381" s="2">
        <v>45627</v>
      </c>
    </row>
    <row r="1382" spans="1:3" ht="15" hidden="1" customHeight="1" x14ac:dyDescent="0.3">
      <c r="A1382" t="s">
        <v>222</v>
      </c>
      <c r="B1382" s="2">
        <v>45658</v>
      </c>
    </row>
    <row r="1383" spans="1:3" ht="15" hidden="1" customHeight="1" x14ac:dyDescent="0.3">
      <c r="A1383" t="s">
        <v>222</v>
      </c>
      <c r="B1383" s="2">
        <v>45689</v>
      </c>
    </row>
    <row r="1384" spans="1:3" ht="15" hidden="1" customHeight="1" x14ac:dyDescent="0.3">
      <c r="A1384" t="s">
        <v>222</v>
      </c>
      <c r="B1384" s="2">
        <v>45717</v>
      </c>
    </row>
    <row r="1385" spans="1:3" ht="15" hidden="1" customHeight="1" x14ac:dyDescent="0.3">
      <c r="A1385" t="s">
        <v>222</v>
      </c>
      <c r="B1385" s="2">
        <v>45748</v>
      </c>
    </row>
    <row r="1386" spans="1:3" ht="15" hidden="1" customHeight="1" x14ac:dyDescent="0.3">
      <c r="A1386" t="s">
        <v>222</v>
      </c>
      <c r="B1386" s="2">
        <v>45778</v>
      </c>
    </row>
    <row r="1387" spans="1:3" ht="15" hidden="1" customHeight="1" x14ac:dyDescent="0.3">
      <c r="A1387" t="s">
        <v>222</v>
      </c>
      <c r="B1387" s="2">
        <v>45809</v>
      </c>
    </row>
    <row r="1388" spans="1:3" ht="15" hidden="1" customHeight="1" x14ac:dyDescent="0.3">
      <c r="A1388" t="s">
        <v>222</v>
      </c>
      <c r="B1388" s="2">
        <v>45839</v>
      </c>
    </row>
    <row r="1389" spans="1:3" ht="15" hidden="1" customHeight="1" x14ac:dyDescent="0.3">
      <c r="A1389" t="s">
        <v>222</v>
      </c>
      <c r="B1389" s="2">
        <v>45870</v>
      </c>
    </row>
    <row r="1390" spans="1:3" ht="15" hidden="1" customHeight="1" x14ac:dyDescent="0.3">
      <c r="A1390" t="s">
        <v>222</v>
      </c>
      <c r="B1390" s="2">
        <v>45901</v>
      </c>
    </row>
    <row r="1391" spans="1:3" ht="15" hidden="1" customHeight="1" x14ac:dyDescent="0.3">
      <c r="A1391" t="s">
        <v>222</v>
      </c>
      <c r="B1391" s="2">
        <v>45931</v>
      </c>
      <c r="C1391">
        <v>11800</v>
      </c>
    </row>
    <row r="1392" spans="1:3" ht="15" hidden="1" customHeight="1" x14ac:dyDescent="0.3">
      <c r="A1392" t="s">
        <v>222</v>
      </c>
      <c r="B1392" s="2">
        <v>45962</v>
      </c>
      <c r="C1392">
        <v>9938</v>
      </c>
    </row>
    <row r="1393" spans="1:3" ht="15" hidden="1" customHeight="1" x14ac:dyDescent="0.3">
      <c r="A1393" t="s">
        <v>222</v>
      </c>
      <c r="B1393" s="2">
        <v>45992</v>
      </c>
      <c r="C1393">
        <v>9094</v>
      </c>
    </row>
    <row r="1394" spans="1:3" ht="15" hidden="1" customHeight="1" x14ac:dyDescent="0.3">
      <c r="A1394" t="s">
        <v>222</v>
      </c>
      <c r="B1394" s="2">
        <v>46023</v>
      </c>
      <c r="C1394">
        <v>11835.67402</v>
      </c>
    </row>
    <row r="1395" spans="1:3" ht="15" hidden="1" customHeight="1" x14ac:dyDescent="0.3">
      <c r="A1395" t="s">
        <v>222</v>
      </c>
      <c r="B1395" s="2">
        <v>46054</v>
      </c>
      <c r="C1395">
        <v>9479.8287500000097</v>
      </c>
    </row>
    <row r="1396" spans="1:3" ht="15" hidden="1" customHeight="1" x14ac:dyDescent="0.3">
      <c r="A1396" t="s">
        <v>222</v>
      </c>
      <c r="B1396" s="2">
        <v>46082</v>
      </c>
      <c r="C1396">
        <v>9043</v>
      </c>
    </row>
    <row r="1397" spans="1:3" ht="15" hidden="1" customHeight="1" x14ac:dyDescent="0.3">
      <c r="A1397" t="s">
        <v>222</v>
      </c>
      <c r="B1397" s="2">
        <v>46113</v>
      </c>
      <c r="C1397">
        <v>7039.32</v>
      </c>
    </row>
    <row r="1398" spans="1:3" ht="15" hidden="1" customHeight="1" x14ac:dyDescent="0.3">
      <c r="A1398" t="s">
        <v>222</v>
      </c>
      <c r="B1398" s="2">
        <v>46143</v>
      </c>
      <c r="C1398" s="12">
        <v>8144.81</v>
      </c>
    </row>
    <row r="1399" spans="1:3" ht="15" hidden="1" customHeight="1" x14ac:dyDescent="0.3">
      <c r="A1399" t="s">
        <v>131</v>
      </c>
      <c r="B1399" s="2">
        <v>46174</v>
      </c>
      <c r="C1399">
        <v>4820.5</v>
      </c>
    </row>
    <row r="1400" spans="1:3" ht="15" hidden="1" customHeight="1" x14ac:dyDescent="0.3">
      <c r="A1400" t="s">
        <v>134</v>
      </c>
      <c r="B1400" s="2">
        <v>46204</v>
      </c>
      <c r="C1400">
        <v>27326.29</v>
      </c>
    </row>
    <row r="1401" spans="1:3" ht="15" hidden="1" customHeight="1" x14ac:dyDescent="0.3">
      <c r="A1401" t="s">
        <v>222</v>
      </c>
      <c r="B1401" s="2">
        <v>46235</v>
      </c>
      <c r="C1401">
        <v>9590.4248599999992</v>
      </c>
    </row>
    <row r="1402" spans="1:3" ht="15" customHeight="1" x14ac:dyDescent="0.3">
      <c r="A1402" t="s">
        <v>222</v>
      </c>
      <c r="B1402" s="2">
        <v>46266</v>
      </c>
      <c r="C1402" s="47">
        <v>9418.8441600000006</v>
      </c>
    </row>
    <row r="1403" spans="1:3" ht="15" hidden="1" customHeight="1" x14ac:dyDescent="0.3">
      <c r="A1403" t="s">
        <v>222</v>
      </c>
      <c r="B1403" s="2">
        <v>46296</v>
      </c>
    </row>
    <row r="1404" spans="1:3" ht="15" hidden="1" customHeight="1" x14ac:dyDescent="0.3">
      <c r="A1404" t="s">
        <v>222</v>
      </c>
      <c r="B1404" s="2">
        <v>46327</v>
      </c>
    </row>
    <row r="1405" spans="1:3" ht="15" hidden="1" customHeight="1" x14ac:dyDescent="0.3">
      <c r="A1405" t="s">
        <v>222</v>
      </c>
      <c r="B1405" s="2">
        <v>46357</v>
      </c>
    </row>
    <row r="1406" spans="1:3" ht="15" hidden="1" customHeight="1" x14ac:dyDescent="0.3">
      <c r="A1406" t="s">
        <v>142</v>
      </c>
      <c r="B1406" s="2">
        <v>45292</v>
      </c>
      <c r="C1406">
        <v>337</v>
      </c>
    </row>
    <row r="1407" spans="1:3" ht="15" hidden="1" customHeight="1" x14ac:dyDescent="0.3">
      <c r="A1407" t="s">
        <v>142</v>
      </c>
      <c r="B1407" s="2">
        <v>45323</v>
      </c>
      <c r="C1407">
        <v>4222</v>
      </c>
    </row>
    <row r="1408" spans="1:3" ht="15" hidden="1" customHeight="1" x14ac:dyDescent="0.3">
      <c r="A1408" t="s">
        <v>142</v>
      </c>
      <c r="B1408" s="2">
        <v>45352</v>
      </c>
      <c r="C1408">
        <v>5410</v>
      </c>
    </row>
    <row r="1409" spans="1:3" ht="15" hidden="1" customHeight="1" x14ac:dyDescent="0.3">
      <c r="A1409" t="s">
        <v>142</v>
      </c>
      <c r="B1409" s="2">
        <v>45383</v>
      </c>
      <c r="C1409">
        <v>4799</v>
      </c>
    </row>
    <row r="1410" spans="1:3" ht="15" hidden="1" customHeight="1" x14ac:dyDescent="0.3">
      <c r="A1410" t="s">
        <v>142</v>
      </c>
      <c r="B1410" s="2">
        <v>45413</v>
      </c>
      <c r="C1410">
        <v>4368</v>
      </c>
    </row>
    <row r="1411" spans="1:3" ht="15" hidden="1" customHeight="1" x14ac:dyDescent="0.3">
      <c r="A1411" t="s">
        <v>142</v>
      </c>
      <c r="B1411" s="2">
        <v>45444</v>
      </c>
      <c r="C1411">
        <v>3307</v>
      </c>
    </row>
    <row r="1412" spans="1:3" ht="15" hidden="1" customHeight="1" x14ac:dyDescent="0.3">
      <c r="A1412" t="s">
        <v>142</v>
      </c>
      <c r="B1412" s="2">
        <v>45474</v>
      </c>
      <c r="C1412">
        <v>3819</v>
      </c>
    </row>
    <row r="1413" spans="1:3" ht="15" hidden="1" customHeight="1" x14ac:dyDescent="0.3">
      <c r="A1413" t="s">
        <v>142</v>
      </c>
      <c r="B1413" s="2">
        <v>45505</v>
      </c>
      <c r="C1413">
        <v>5147</v>
      </c>
    </row>
    <row r="1414" spans="1:3" ht="15" hidden="1" customHeight="1" x14ac:dyDescent="0.3">
      <c r="A1414" t="s">
        <v>142</v>
      </c>
      <c r="B1414" s="2">
        <v>45536</v>
      </c>
      <c r="C1414">
        <v>4101</v>
      </c>
    </row>
    <row r="1415" spans="1:3" ht="15" hidden="1" customHeight="1" x14ac:dyDescent="0.3">
      <c r="A1415" t="s">
        <v>142</v>
      </c>
      <c r="B1415" s="2">
        <v>45566</v>
      </c>
      <c r="C1415">
        <v>6591</v>
      </c>
    </row>
    <row r="1416" spans="1:3" ht="15" hidden="1" customHeight="1" x14ac:dyDescent="0.3">
      <c r="A1416" t="s">
        <v>142</v>
      </c>
      <c r="B1416" s="2">
        <v>45597</v>
      </c>
      <c r="C1416">
        <v>4960</v>
      </c>
    </row>
    <row r="1417" spans="1:3" ht="15" hidden="1" customHeight="1" x14ac:dyDescent="0.3">
      <c r="A1417" t="s">
        <v>142</v>
      </c>
      <c r="B1417" s="2">
        <v>45627</v>
      </c>
      <c r="C1417">
        <v>652</v>
      </c>
    </row>
    <row r="1418" spans="1:3" ht="15" hidden="1" customHeight="1" x14ac:dyDescent="0.3">
      <c r="A1418" t="s">
        <v>142</v>
      </c>
      <c r="B1418" s="2">
        <v>45658</v>
      </c>
      <c r="C1418">
        <v>720</v>
      </c>
    </row>
    <row r="1419" spans="1:3" ht="15" hidden="1" customHeight="1" x14ac:dyDescent="0.3">
      <c r="A1419" t="s">
        <v>142</v>
      </c>
      <c r="B1419" s="2">
        <v>45689</v>
      </c>
      <c r="C1419">
        <v>3776</v>
      </c>
    </row>
    <row r="1420" spans="1:3" ht="15" hidden="1" customHeight="1" x14ac:dyDescent="0.3">
      <c r="A1420" t="s">
        <v>142</v>
      </c>
      <c r="B1420" s="2">
        <v>45717</v>
      </c>
      <c r="C1420">
        <v>4415</v>
      </c>
    </row>
    <row r="1421" spans="1:3" ht="15" hidden="1" customHeight="1" x14ac:dyDescent="0.3">
      <c r="A1421" t="s">
        <v>142</v>
      </c>
      <c r="B1421" s="2">
        <v>45748</v>
      </c>
      <c r="C1421">
        <v>3551</v>
      </c>
    </row>
    <row r="1422" spans="1:3" ht="15" hidden="1" customHeight="1" x14ac:dyDescent="0.3">
      <c r="A1422" t="s">
        <v>142</v>
      </c>
      <c r="B1422" s="2">
        <v>45778</v>
      </c>
      <c r="C1422">
        <v>4580</v>
      </c>
    </row>
    <row r="1423" spans="1:3" ht="15" hidden="1" customHeight="1" x14ac:dyDescent="0.3">
      <c r="A1423" t="s">
        <v>142</v>
      </c>
      <c r="B1423" s="2">
        <v>45809</v>
      </c>
      <c r="C1423">
        <v>3965.8</v>
      </c>
    </row>
    <row r="1424" spans="1:3" ht="15" hidden="1" customHeight="1" x14ac:dyDescent="0.3">
      <c r="A1424" t="s">
        <v>142</v>
      </c>
      <c r="B1424" s="2">
        <v>45839</v>
      </c>
      <c r="C1424">
        <v>4015</v>
      </c>
    </row>
    <row r="1425" spans="1:3" ht="15" hidden="1" customHeight="1" x14ac:dyDescent="0.3">
      <c r="A1425" t="s">
        <v>142</v>
      </c>
      <c r="B1425" s="2">
        <v>45870</v>
      </c>
      <c r="C1425">
        <v>4593</v>
      </c>
    </row>
    <row r="1426" spans="1:3" ht="15" hidden="1" customHeight="1" x14ac:dyDescent="0.3">
      <c r="A1426" t="s">
        <v>142</v>
      </c>
      <c r="B1426" s="2">
        <v>45901</v>
      </c>
      <c r="C1426">
        <v>4428</v>
      </c>
    </row>
    <row r="1427" spans="1:3" ht="15" hidden="1" customHeight="1" x14ac:dyDescent="0.3">
      <c r="A1427" t="s">
        <v>142</v>
      </c>
      <c r="B1427" s="2">
        <v>45931</v>
      </c>
      <c r="C1427">
        <v>6002</v>
      </c>
    </row>
    <row r="1428" spans="1:3" ht="15" hidden="1" customHeight="1" x14ac:dyDescent="0.3">
      <c r="A1428" t="s">
        <v>142</v>
      </c>
      <c r="B1428" s="2">
        <v>45962</v>
      </c>
      <c r="C1428">
        <v>4286</v>
      </c>
    </row>
    <row r="1429" spans="1:3" ht="15" hidden="1" customHeight="1" x14ac:dyDescent="0.3">
      <c r="A1429" t="s">
        <v>142</v>
      </c>
      <c r="B1429" s="2">
        <v>45992</v>
      </c>
      <c r="C1429">
        <v>985</v>
      </c>
    </row>
    <row r="1430" spans="1:3" ht="15" hidden="1" customHeight="1" x14ac:dyDescent="0.3">
      <c r="A1430" t="s">
        <v>142</v>
      </c>
      <c r="B1430" s="2">
        <v>46023</v>
      </c>
      <c r="C1430">
        <v>1496.8</v>
      </c>
    </row>
    <row r="1431" spans="1:3" ht="15" hidden="1" customHeight="1" x14ac:dyDescent="0.3">
      <c r="A1431" t="s">
        <v>142</v>
      </c>
      <c r="B1431" s="2">
        <v>46054</v>
      </c>
      <c r="C1431">
        <v>4735</v>
      </c>
    </row>
    <row r="1432" spans="1:3" ht="15" hidden="1" customHeight="1" x14ac:dyDescent="0.3">
      <c r="A1432" t="s">
        <v>142</v>
      </c>
      <c r="B1432" s="2">
        <v>46082</v>
      </c>
      <c r="C1432">
        <v>4747</v>
      </c>
    </row>
    <row r="1433" spans="1:3" ht="15" hidden="1" customHeight="1" x14ac:dyDescent="0.3">
      <c r="A1433" t="s">
        <v>142</v>
      </c>
      <c r="B1433" s="2">
        <v>46113</v>
      </c>
      <c r="C1433">
        <v>4036.9</v>
      </c>
    </row>
    <row r="1434" spans="1:3" ht="15" hidden="1" customHeight="1" x14ac:dyDescent="0.3">
      <c r="A1434" t="s">
        <v>142</v>
      </c>
      <c r="B1434" s="2">
        <v>46143</v>
      </c>
      <c r="C1434" s="12">
        <v>4180</v>
      </c>
    </row>
    <row r="1435" spans="1:3" ht="15" hidden="1" customHeight="1" x14ac:dyDescent="0.3">
      <c r="A1435" t="s">
        <v>220</v>
      </c>
      <c r="B1435" s="2">
        <v>46174</v>
      </c>
      <c r="C1435">
        <v>18559</v>
      </c>
    </row>
    <row r="1436" spans="1:3" ht="15" hidden="1" customHeight="1" x14ac:dyDescent="0.3">
      <c r="A1436" t="s">
        <v>138</v>
      </c>
      <c r="B1436" s="2">
        <v>46204</v>
      </c>
      <c r="C1436">
        <v>0</v>
      </c>
    </row>
    <row r="1437" spans="1:3" ht="15" hidden="1" customHeight="1" x14ac:dyDescent="0.3">
      <c r="A1437" t="s">
        <v>142</v>
      </c>
      <c r="B1437" s="2">
        <v>46235</v>
      </c>
      <c r="C1437">
        <v>4901</v>
      </c>
    </row>
    <row r="1438" spans="1:3" ht="15" customHeight="1" x14ac:dyDescent="0.3">
      <c r="A1438" t="s">
        <v>142</v>
      </c>
      <c r="B1438" s="2">
        <v>46266</v>
      </c>
      <c r="C1438" s="47">
        <v>4904</v>
      </c>
    </row>
    <row r="1439" spans="1:3" ht="15" hidden="1" customHeight="1" x14ac:dyDescent="0.3">
      <c r="A1439" t="s">
        <v>142</v>
      </c>
      <c r="B1439" s="2">
        <v>46296</v>
      </c>
    </row>
    <row r="1440" spans="1:3" ht="15" hidden="1" customHeight="1" x14ac:dyDescent="0.3">
      <c r="A1440" t="s">
        <v>142</v>
      </c>
      <c r="B1440" s="2">
        <v>46327</v>
      </c>
    </row>
    <row r="1441" spans="1:3" ht="15" hidden="1" customHeight="1" x14ac:dyDescent="0.3">
      <c r="A1441" t="s">
        <v>142</v>
      </c>
      <c r="B1441" s="2">
        <v>46357</v>
      </c>
    </row>
    <row r="1442" spans="1:3" ht="15" hidden="1" customHeight="1" x14ac:dyDescent="0.3">
      <c r="A1442" t="s">
        <v>145</v>
      </c>
      <c r="B1442" s="2">
        <v>45292</v>
      </c>
      <c r="C1442">
        <v>27336</v>
      </c>
    </row>
    <row r="1443" spans="1:3" ht="15" hidden="1" customHeight="1" x14ac:dyDescent="0.3">
      <c r="A1443" t="s">
        <v>145</v>
      </c>
      <c r="B1443" s="2">
        <v>45323</v>
      </c>
      <c r="C1443">
        <v>34673</v>
      </c>
    </row>
    <row r="1444" spans="1:3" ht="15" hidden="1" customHeight="1" x14ac:dyDescent="0.3">
      <c r="A1444" t="s">
        <v>145</v>
      </c>
      <c r="B1444" s="2">
        <v>45352</v>
      </c>
      <c r="C1444">
        <v>35335</v>
      </c>
    </row>
    <row r="1445" spans="1:3" ht="15" hidden="1" customHeight="1" x14ac:dyDescent="0.3">
      <c r="A1445" t="s">
        <v>145</v>
      </c>
      <c r="B1445" s="2">
        <v>45383</v>
      </c>
      <c r="C1445">
        <v>23354</v>
      </c>
    </row>
    <row r="1446" spans="1:3" ht="15" hidden="1" customHeight="1" x14ac:dyDescent="0.3">
      <c r="A1446" t="s">
        <v>145</v>
      </c>
      <c r="B1446" s="2">
        <v>45413</v>
      </c>
      <c r="C1446">
        <v>24682</v>
      </c>
    </row>
    <row r="1447" spans="1:3" ht="15" hidden="1" customHeight="1" x14ac:dyDescent="0.3">
      <c r="A1447" t="s">
        <v>145</v>
      </c>
      <c r="B1447" s="2">
        <v>45444</v>
      </c>
      <c r="C1447">
        <v>21004</v>
      </c>
    </row>
    <row r="1448" spans="1:3" ht="15" hidden="1" customHeight="1" x14ac:dyDescent="0.3">
      <c r="A1448" t="s">
        <v>145</v>
      </c>
      <c r="B1448" s="2">
        <v>45474</v>
      </c>
      <c r="C1448">
        <v>24855</v>
      </c>
    </row>
    <row r="1449" spans="1:3" ht="15" hidden="1" customHeight="1" x14ac:dyDescent="0.3">
      <c r="A1449" t="s">
        <v>145</v>
      </c>
      <c r="B1449" s="2">
        <v>45505</v>
      </c>
      <c r="C1449">
        <v>27804</v>
      </c>
    </row>
    <row r="1450" spans="1:3" ht="15" hidden="1" customHeight="1" x14ac:dyDescent="0.3">
      <c r="A1450" t="s">
        <v>145</v>
      </c>
      <c r="B1450" s="2">
        <v>45536</v>
      </c>
      <c r="C1450">
        <v>24854</v>
      </c>
    </row>
    <row r="1451" spans="1:3" ht="15" hidden="1" customHeight="1" x14ac:dyDescent="0.3">
      <c r="A1451" t="s">
        <v>145</v>
      </c>
      <c r="B1451" s="2">
        <v>45566</v>
      </c>
      <c r="C1451">
        <v>41343</v>
      </c>
    </row>
    <row r="1452" spans="1:3" ht="15" hidden="1" customHeight="1" x14ac:dyDescent="0.3">
      <c r="A1452" t="s">
        <v>145</v>
      </c>
      <c r="B1452" s="2">
        <v>45597</v>
      </c>
      <c r="C1452">
        <v>40614</v>
      </c>
    </row>
    <row r="1453" spans="1:3" ht="15" hidden="1" customHeight="1" x14ac:dyDescent="0.3">
      <c r="A1453" t="s">
        <v>145</v>
      </c>
      <c r="B1453" s="2">
        <v>45627</v>
      </c>
      <c r="C1453">
        <v>20454</v>
      </c>
    </row>
    <row r="1454" spans="1:3" ht="15" hidden="1" customHeight="1" x14ac:dyDescent="0.3">
      <c r="A1454" t="s">
        <v>145</v>
      </c>
      <c r="B1454" s="2">
        <v>45658</v>
      </c>
      <c r="C1454">
        <v>35500</v>
      </c>
    </row>
    <row r="1455" spans="1:3" ht="15" hidden="1" customHeight="1" x14ac:dyDescent="0.3">
      <c r="A1455" t="s">
        <v>145</v>
      </c>
      <c r="B1455" s="2">
        <v>45689</v>
      </c>
      <c r="C1455">
        <v>33170</v>
      </c>
    </row>
    <row r="1456" spans="1:3" ht="15" hidden="1" customHeight="1" x14ac:dyDescent="0.3">
      <c r="A1456" t="s">
        <v>145</v>
      </c>
      <c r="B1456" s="2">
        <v>45717</v>
      </c>
      <c r="C1456">
        <v>29562</v>
      </c>
    </row>
    <row r="1457" spans="1:3" ht="15" hidden="1" customHeight="1" x14ac:dyDescent="0.3">
      <c r="A1457" t="s">
        <v>145</v>
      </c>
      <c r="B1457" s="2">
        <v>45748</v>
      </c>
      <c r="C1457">
        <v>23660</v>
      </c>
    </row>
    <row r="1458" spans="1:3" ht="15" hidden="1" customHeight="1" x14ac:dyDescent="0.3">
      <c r="A1458" t="s">
        <v>145</v>
      </c>
      <c r="B1458" s="2">
        <v>45778</v>
      </c>
      <c r="C1458">
        <v>27021</v>
      </c>
    </row>
    <row r="1459" spans="1:3" ht="15" hidden="1" customHeight="1" x14ac:dyDescent="0.3">
      <c r="A1459" t="s">
        <v>145</v>
      </c>
      <c r="B1459" s="2">
        <v>45809</v>
      </c>
      <c r="C1459">
        <v>23016.87</v>
      </c>
    </row>
    <row r="1460" spans="1:3" ht="15" hidden="1" customHeight="1" x14ac:dyDescent="0.3">
      <c r="A1460" t="s">
        <v>145</v>
      </c>
      <c r="B1460" s="2">
        <v>45839</v>
      </c>
      <c r="C1460">
        <v>23980</v>
      </c>
    </row>
    <row r="1461" spans="1:3" ht="15" hidden="1" customHeight="1" x14ac:dyDescent="0.3">
      <c r="A1461" t="s">
        <v>145</v>
      </c>
      <c r="B1461" s="2">
        <v>45870</v>
      </c>
      <c r="C1461">
        <v>26825</v>
      </c>
    </row>
    <row r="1462" spans="1:3" ht="15" hidden="1" customHeight="1" x14ac:dyDescent="0.3">
      <c r="A1462" t="s">
        <v>145</v>
      </c>
      <c r="B1462" s="2">
        <v>45901</v>
      </c>
      <c r="C1462">
        <v>29989</v>
      </c>
    </row>
    <row r="1463" spans="1:3" ht="15" hidden="1" customHeight="1" x14ac:dyDescent="0.3">
      <c r="A1463" t="s">
        <v>145</v>
      </c>
      <c r="B1463" s="2">
        <v>45931</v>
      </c>
      <c r="C1463">
        <v>39431.18</v>
      </c>
    </row>
    <row r="1464" spans="1:3" ht="15" hidden="1" customHeight="1" x14ac:dyDescent="0.3">
      <c r="A1464" t="s">
        <v>145</v>
      </c>
      <c r="B1464" s="2">
        <v>45962</v>
      </c>
      <c r="C1464">
        <v>36933</v>
      </c>
    </row>
    <row r="1465" spans="1:3" ht="15" hidden="1" customHeight="1" x14ac:dyDescent="0.3">
      <c r="A1465" t="s">
        <v>145</v>
      </c>
      <c r="B1465" s="2">
        <v>45992</v>
      </c>
      <c r="C1465">
        <v>24542</v>
      </c>
    </row>
    <row r="1466" spans="1:3" ht="15" hidden="1" customHeight="1" x14ac:dyDescent="0.3">
      <c r="A1466" t="s">
        <v>145</v>
      </c>
      <c r="B1466" s="2">
        <v>46023</v>
      </c>
      <c r="C1466">
        <v>38558.838300000003</v>
      </c>
    </row>
    <row r="1467" spans="1:3" ht="15" hidden="1" customHeight="1" x14ac:dyDescent="0.3">
      <c r="A1467" t="s">
        <v>145</v>
      </c>
      <c r="B1467" s="2">
        <v>46054</v>
      </c>
      <c r="C1467">
        <v>35289.594859999997</v>
      </c>
    </row>
    <row r="1468" spans="1:3" ht="15" hidden="1" customHeight="1" x14ac:dyDescent="0.3">
      <c r="A1468" t="s">
        <v>145</v>
      </c>
      <c r="B1468" s="2">
        <v>46082</v>
      </c>
      <c r="C1468">
        <v>33082</v>
      </c>
    </row>
    <row r="1469" spans="1:3" ht="15" hidden="1" customHeight="1" x14ac:dyDescent="0.3">
      <c r="A1469" t="s">
        <v>145</v>
      </c>
      <c r="B1469" s="2">
        <v>46113</v>
      </c>
      <c r="C1469">
        <v>26958.67</v>
      </c>
    </row>
    <row r="1470" spans="1:3" ht="15" hidden="1" customHeight="1" x14ac:dyDescent="0.3">
      <c r="A1470" t="s">
        <v>145</v>
      </c>
      <c r="B1470" s="2">
        <v>46143</v>
      </c>
      <c r="C1470" s="12">
        <v>28264.560000000001</v>
      </c>
    </row>
    <row r="1471" spans="1:3" ht="15" hidden="1" customHeight="1" x14ac:dyDescent="0.3">
      <c r="A1471" t="s">
        <v>145</v>
      </c>
      <c r="B1471" s="2">
        <v>46174</v>
      </c>
      <c r="C1471">
        <v>20267.330000000002</v>
      </c>
    </row>
    <row r="1472" spans="1:3" ht="15" hidden="1" customHeight="1" x14ac:dyDescent="0.3">
      <c r="A1472" t="s">
        <v>220</v>
      </c>
      <c r="B1472" s="2">
        <v>46204</v>
      </c>
      <c r="C1472">
        <v>27717.592700000001</v>
      </c>
    </row>
    <row r="1473" spans="1:3" ht="15" hidden="1" customHeight="1" x14ac:dyDescent="0.3">
      <c r="A1473" t="s">
        <v>145</v>
      </c>
      <c r="B1473" s="2">
        <v>46235</v>
      </c>
      <c r="C1473">
        <v>24964.912</v>
      </c>
    </row>
    <row r="1474" spans="1:3" ht="15" customHeight="1" x14ac:dyDescent="0.3">
      <c r="A1474" t="s">
        <v>145</v>
      </c>
      <c r="B1474" s="2">
        <v>46266</v>
      </c>
      <c r="C1474" s="47">
        <v>22767.148420000001</v>
      </c>
    </row>
    <row r="1475" spans="1:3" ht="15" hidden="1" customHeight="1" x14ac:dyDescent="0.3">
      <c r="A1475" t="s">
        <v>145</v>
      </c>
      <c r="B1475" s="2">
        <v>46296</v>
      </c>
    </row>
    <row r="1476" spans="1:3" ht="15" hidden="1" customHeight="1" x14ac:dyDescent="0.3">
      <c r="A1476" t="s">
        <v>145</v>
      </c>
      <c r="B1476" s="2">
        <v>46327</v>
      </c>
    </row>
    <row r="1477" spans="1:3" ht="15" hidden="1" customHeight="1" x14ac:dyDescent="0.3">
      <c r="A1477" t="s">
        <v>145</v>
      </c>
      <c r="B1477" s="2">
        <v>46357</v>
      </c>
    </row>
    <row r="1478" spans="1:3" ht="15" hidden="1" customHeight="1" x14ac:dyDescent="0.3">
      <c r="A1478" t="s">
        <v>152</v>
      </c>
      <c r="B1478" s="2">
        <v>45292</v>
      </c>
      <c r="C1478">
        <v>12283</v>
      </c>
    </row>
    <row r="1479" spans="1:3" ht="15" hidden="1" customHeight="1" x14ac:dyDescent="0.3">
      <c r="A1479" t="s">
        <v>152</v>
      </c>
      <c r="B1479" s="2">
        <v>45323</v>
      </c>
      <c r="C1479">
        <v>11752</v>
      </c>
    </row>
    <row r="1480" spans="1:3" ht="15" hidden="1" customHeight="1" x14ac:dyDescent="0.3">
      <c r="A1480" t="s">
        <v>152</v>
      </c>
      <c r="B1480" s="2">
        <v>45352</v>
      </c>
      <c r="C1480">
        <v>11293</v>
      </c>
    </row>
    <row r="1481" spans="1:3" ht="15" hidden="1" customHeight="1" x14ac:dyDescent="0.3">
      <c r="A1481" t="s">
        <v>152</v>
      </c>
      <c r="B1481" s="2">
        <v>45383</v>
      </c>
      <c r="C1481">
        <v>10034</v>
      </c>
    </row>
    <row r="1482" spans="1:3" ht="15" hidden="1" customHeight="1" x14ac:dyDescent="0.3">
      <c r="A1482" t="s">
        <v>152</v>
      </c>
      <c r="B1482" s="2">
        <v>45413</v>
      </c>
      <c r="C1482">
        <v>7886</v>
      </c>
    </row>
    <row r="1483" spans="1:3" ht="15" hidden="1" customHeight="1" x14ac:dyDescent="0.3">
      <c r="A1483" t="s">
        <v>152</v>
      </c>
      <c r="B1483" s="2">
        <v>45444</v>
      </c>
      <c r="C1483">
        <v>9067</v>
      </c>
    </row>
    <row r="1484" spans="1:3" ht="15" hidden="1" customHeight="1" x14ac:dyDescent="0.3">
      <c r="A1484" t="s">
        <v>152</v>
      </c>
      <c r="B1484" s="2">
        <v>45474</v>
      </c>
      <c r="C1484">
        <v>8952</v>
      </c>
    </row>
    <row r="1485" spans="1:3" ht="15" hidden="1" customHeight="1" x14ac:dyDescent="0.3">
      <c r="A1485" t="s">
        <v>152</v>
      </c>
      <c r="B1485" s="2">
        <v>45505</v>
      </c>
      <c r="C1485">
        <v>8952</v>
      </c>
    </row>
    <row r="1486" spans="1:3" ht="15" hidden="1" customHeight="1" x14ac:dyDescent="0.3">
      <c r="A1486" t="s">
        <v>152</v>
      </c>
      <c r="B1486" s="2">
        <v>45536</v>
      </c>
      <c r="C1486">
        <v>8110</v>
      </c>
    </row>
    <row r="1487" spans="1:3" ht="15" hidden="1" customHeight="1" x14ac:dyDescent="0.3">
      <c r="A1487" t="s">
        <v>152</v>
      </c>
      <c r="B1487" s="2">
        <v>45566</v>
      </c>
      <c r="C1487">
        <v>12770</v>
      </c>
    </row>
    <row r="1488" spans="1:3" ht="15" hidden="1" customHeight="1" x14ac:dyDescent="0.3">
      <c r="A1488" t="s">
        <v>152</v>
      </c>
      <c r="B1488" s="2">
        <v>45597</v>
      </c>
      <c r="C1488">
        <v>10951</v>
      </c>
    </row>
    <row r="1489" spans="1:3" ht="15" hidden="1" customHeight="1" x14ac:dyDescent="0.3">
      <c r="A1489" t="s">
        <v>152</v>
      </c>
      <c r="B1489" s="2">
        <v>45627</v>
      </c>
      <c r="C1489">
        <v>11135</v>
      </c>
    </row>
    <row r="1490" spans="1:3" ht="15" hidden="1" customHeight="1" x14ac:dyDescent="0.3">
      <c r="A1490" t="s">
        <v>152</v>
      </c>
      <c r="B1490" s="2">
        <v>45658</v>
      </c>
      <c r="C1490">
        <v>10294</v>
      </c>
    </row>
    <row r="1491" spans="1:3" ht="15" hidden="1" customHeight="1" x14ac:dyDescent="0.3">
      <c r="A1491" t="s">
        <v>152</v>
      </c>
      <c r="B1491" s="2">
        <v>45689</v>
      </c>
      <c r="C1491">
        <v>7952</v>
      </c>
    </row>
    <row r="1492" spans="1:3" ht="15" hidden="1" customHeight="1" x14ac:dyDescent="0.3">
      <c r="A1492" t="s">
        <v>152</v>
      </c>
      <c r="B1492" s="2">
        <v>45717</v>
      </c>
      <c r="C1492">
        <v>9856</v>
      </c>
    </row>
    <row r="1493" spans="1:3" ht="15" hidden="1" customHeight="1" x14ac:dyDescent="0.3">
      <c r="A1493" t="s">
        <v>152</v>
      </c>
      <c r="B1493" s="2">
        <v>45748</v>
      </c>
      <c r="C1493">
        <v>7739</v>
      </c>
    </row>
    <row r="1494" spans="1:3" ht="15" hidden="1" customHeight="1" x14ac:dyDescent="0.3">
      <c r="A1494" t="s">
        <v>152</v>
      </c>
      <c r="B1494" s="2">
        <v>45778</v>
      </c>
      <c r="C1494">
        <v>9189</v>
      </c>
    </row>
    <row r="1495" spans="1:3" ht="15" hidden="1" customHeight="1" x14ac:dyDescent="0.3">
      <c r="A1495" t="s">
        <v>152</v>
      </c>
      <c r="B1495" s="2">
        <v>45809</v>
      </c>
      <c r="C1495">
        <v>7656.32</v>
      </c>
    </row>
    <row r="1496" spans="1:3" ht="15" hidden="1" customHeight="1" x14ac:dyDescent="0.3">
      <c r="A1496" t="s">
        <v>152</v>
      </c>
      <c r="B1496" s="2">
        <v>45839</v>
      </c>
      <c r="C1496">
        <v>8158</v>
      </c>
    </row>
    <row r="1497" spans="1:3" ht="15" hidden="1" customHeight="1" x14ac:dyDescent="0.3">
      <c r="A1497" t="s">
        <v>152</v>
      </c>
      <c r="B1497" s="2">
        <v>45870</v>
      </c>
      <c r="C1497">
        <v>5429</v>
      </c>
    </row>
    <row r="1498" spans="1:3" ht="15" hidden="1" customHeight="1" x14ac:dyDescent="0.3">
      <c r="A1498" t="s">
        <v>152</v>
      </c>
      <c r="B1498" s="2">
        <v>45901</v>
      </c>
      <c r="C1498">
        <v>7249</v>
      </c>
    </row>
    <row r="1499" spans="1:3" ht="15" hidden="1" customHeight="1" x14ac:dyDescent="0.3">
      <c r="A1499" t="s">
        <v>152</v>
      </c>
      <c r="B1499" s="2">
        <v>45931</v>
      </c>
      <c r="C1499">
        <v>8107</v>
      </c>
    </row>
    <row r="1500" spans="1:3" ht="15" hidden="1" customHeight="1" x14ac:dyDescent="0.3">
      <c r="A1500" t="s">
        <v>152</v>
      </c>
      <c r="B1500" s="2">
        <v>45962</v>
      </c>
      <c r="C1500">
        <v>2305</v>
      </c>
    </row>
    <row r="1501" spans="1:3" ht="15" hidden="1" customHeight="1" x14ac:dyDescent="0.3">
      <c r="A1501" t="s">
        <v>152</v>
      </c>
      <c r="B1501" s="2">
        <v>45992</v>
      </c>
      <c r="C1501">
        <v>7641</v>
      </c>
    </row>
    <row r="1502" spans="1:3" ht="15" hidden="1" customHeight="1" x14ac:dyDescent="0.3">
      <c r="A1502" t="s">
        <v>152</v>
      </c>
      <c r="B1502" s="2">
        <v>46023</v>
      </c>
      <c r="C1502">
        <v>9717</v>
      </c>
    </row>
    <row r="1503" spans="1:3" ht="15" hidden="1" customHeight="1" x14ac:dyDescent="0.3">
      <c r="A1503" t="s">
        <v>152</v>
      </c>
      <c r="B1503" s="2">
        <v>46054</v>
      </c>
      <c r="C1503">
        <v>8045</v>
      </c>
    </row>
    <row r="1504" spans="1:3" ht="15" hidden="1" customHeight="1" x14ac:dyDescent="0.3">
      <c r="A1504" t="s">
        <v>152</v>
      </c>
      <c r="B1504" s="2">
        <v>46082</v>
      </c>
      <c r="C1504">
        <v>7035</v>
      </c>
    </row>
    <row r="1505" spans="1:3" ht="15" hidden="1" customHeight="1" x14ac:dyDescent="0.3">
      <c r="A1505" t="s">
        <v>152</v>
      </c>
      <c r="B1505" s="2">
        <v>46113</v>
      </c>
      <c r="C1505">
        <v>3742.54</v>
      </c>
    </row>
    <row r="1506" spans="1:3" ht="15" hidden="1" customHeight="1" x14ac:dyDescent="0.3">
      <c r="A1506" t="s">
        <v>152</v>
      </c>
      <c r="B1506" s="2">
        <v>46143</v>
      </c>
      <c r="C1506" s="12">
        <v>6041.14</v>
      </c>
    </row>
    <row r="1507" spans="1:3" ht="15" hidden="1" customHeight="1" x14ac:dyDescent="0.3">
      <c r="A1507" t="s">
        <v>152</v>
      </c>
      <c r="B1507" s="2">
        <v>46174</v>
      </c>
      <c r="C1507">
        <v>3334</v>
      </c>
    </row>
    <row r="1508" spans="1:3" ht="15" hidden="1" customHeight="1" x14ac:dyDescent="0.3">
      <c r="A1508" t="s">
        <v>222</v>
      </c>
      <c r="B1508" s="2">
        <v>46204</v>
      </c>
      <c r="C1508">
        <v>7966.5733399999999</v>
      </c>
    </row>
    <row r="1509" spans="1:3" ht="15" hidden="1" customHeight="1" x14ac:dyDescent="0.3">
      <c r="A1509" t="s">
        <v>152</v>
      </c>
      <c r="B1509" s="2">
        <v>46235</v>
      </c>
      <c r="C1509">
        <v>6624</v>
      </c>
    </row>
    <row r="1510" spans="1:3" ht="15" customHeight="1" x14ac:dyDescent="0.3">
      <c r="A1510" t="s">
        <v>152</v>
      </c>
      <c r="B1510" s="2">
        <v>46266</v>
      </c>
      <c r="C1510" s="47">
        <v>6723.42</v>
      </c>
    </row>
    <row r="1511" spans="1:3" ht="15" hidden="1" customHeight="1" x14ac:dyDescent="0.3">
      <c r="A1511" t="s">
        <v>152</v>
      </c>
      <c r="B1511" s="2">
        <v>46296</v>
      </c>
    </row>
    <row r="1512" spans="1:3" ht="15" hidden="1" customHeight="1" x14ac:dyDescent="0.3">
      <c r="A1512" t="s">
        <v>152</v>
      </c>
      <c r="B1512" s="2">
        <v>46327</v>
      </c>
    </row>
    <row r="1513" spans="1:3" ht="15" hidden="1" customHeight="1" x14ac:dyDescent="0.3">
      <c r="A1513" t="s">
        <v>152</v>
      </c>
      <c r="B1513" s="2">
        <v>46357</v>
      </c>
    </row>
    <row r="1514" spans="1:3" ht="15" hidden="1" customHeight="1" x14ac:dyDescent="0.3">
      <c r="A1514" t="s">
        <v>149</v>
      </c>
      <c r="B1514" s="2">
        <v>45292</v>
      </c>
      <c r="C1514">
        <v>4452</v>
      </c>
    </row>
    <row r="1515" spans="1:3" ht="15" hidden="1" customHeight="1" x14ac:dyDescent="0.3">
      <c r="A1515" t="s">
        <v>149</v>
      </c>
      <c r="B1515" s="2">
        <v>45323</v>
      </c>
      <c r="C1515">
        <v>6906</v>
      </c>
    </row>
    <row r="1516" spans="1:3" ht="15" hidden="1" customHeight="1" x14ac:dyDescent="0.3">
      <c r="A1516" t="s">
        <v>149</v>
      </c>
      <c r="B1516" s="2">
        <v>45352</v>
      </c>
      <c r="C1516">
        <v>6752</v>
      </c>
    </row>
    <row r="1517" spans="1:3" ht="15" hidden="1" customHeight="1" x14ac:dyDescent="0.3">
      <c r="A1517" t="s">
        <v>149</v>
      </c>
      <c r="B1517" s="2">
        <v>45383</v>
      </c>
      <c r="C1517">
        <v>6350</v>
      </c>
    </row>
    <row r="1518" spans="1:3" ht="15" hidden="1" customHeight="1" x14ac:dyDescent="0.3">
      <c r="A1518" t="s">
        <v>149</v>
      </c>
      <c r="B1518" s="2">
        <v>45413</v>
      </c>
      <c r="C1518">
        <v>7236</v>
      </c>
    </row>
    <row r="1519" spans="1:3" ht="15" hidden="1" customHeight="1" x14ac:dyDescent="0.3">
      <c r="A1519" t="s">
        <v>149</v>
      </c>
      <c r="B1519" s="2">
        <v>45444</v>
      </c>
      <c r="C1519">
        <v>6002</v>
      </c>
    </row>
    <row r="1520" spans="1:3" ht="15" hidden="1" customHeight="1" x14ac:dyDescent="0.3">
      <c r="A1520" t="s">
        <v>149</v>
      </c>
      <c r="B1520" s="2">
        <v>45474</v>
      </c>
      <c r="C1520">
        <v>7142</v>
      </c>
    </row>
    <row r="1521" spans="1:3" ht="15" hidden="1" customHeight="1" x14ac:dyDescent="0.3">
      <c r="A1521" t="s">
        <v>149</v>
      </c>
      <c r="B1521" s="2">
        <v>45505</v>
      </c>
      <c r="C1521">
        <v>6654</v>
      </c>
    </row>
    <row r="1522" spans="1:3" ht="15" hidden="1" customHeight="1" x14ac:dyDescent="0.3">
      <c r="A1522" t="s">
        <v>149</v>
      </c>
      <c r="B1522" s="2">
        <v>45536</v>
      </c>
      <c r="C1522">
        <v>6375</v>
      </c>
    </row>
    <row r="1523" spans="1:3" ht="15" hidden="1" customHeight="1" x14ac:dyDescent="0.3">
      <c r="A1523" t="s">
        <v>149</v>
      </c>
      <c r="B1523" s="2">
        <v>45566</v>
      </c>
      <c r="C1523">
        <v>6305</v>
      </c>
    </row>
    <row r="1524" spans="1:3" ht="15" hidden="1" customHeight="1" x14ac:dyDescent="0.3">
      <c r="A1524" t="s">
        <v>149</v>
      </c>
      <c r="B1524" s="2">
        <v>45597</v>
      </c>
      <c r="C1524">
        <v>7074</v>
      </c>
    </row>
    <row r="1525" spans="1:3" ht="15" hidden="1" customHeight="1" x14ac:dyDescent="0.3">
      <c r="A1525" t="s">
        <v>149</v>
      </c>
      <c r="B1525" s="2">
        <v>45627</v>
      </c>
      <c r="C1525">
        <v>3371</v>
      </c>
    </row>
    <row r="1526" spans="1:3" ht="15" hidden="1" customHeight="1" x14ac:dyDescent="0.3">
      <c r="A1526" t="s">
        <v>149</v>
      </c>
      <c r="B1526" s="2">
        <v>45658</v>
      </c>
      <c r="C1526">
        <v>5083</v>
      </c>
    </row>
    <row r="1527" spans="1:3" ht="15" hidden="1" customHeight="1" x14ac:dyDescent="0.3">
      <c r="A1527" t="s">
        <v>149</v>
      </c>
      <c r="B1527" s="2">
        <v>45689</v>
      </c>
      <c r="C1527">
        <v>4977</v>
      </c>
    </row>
    <row r="1528" spans="1:3" ht="15" hidden="1" customHeight="1" x14ac:dyDescent="0.3">
      <c r="A1528" t="s">
        <v>149</v>
      </c>
      <c r="B1528" s="2">
        <v>45717</v>
      </c>
      <c r="C1528">
        <v>5306</v>
      </c>
    </row>
    <row r="1529" spans="1:3" ht="15" hidden="1" customHeight="1" x14ac:dyDescent="0.3">
      <c r="A1529" t="s">
        <v>149</v>
      </c>
      <c r="B1529" s="2">
        <v>45748</v>
      </c>
      <c r="C1529">
        <v>4700</v>
      </c>
    </row>
    <row r="1530" spans="1:3" ht="15" hidden="1" customHeight="1" x14ac:dyDescent="0.3">
      <c r="A1530" t="s">
        <v>149</v>
      </c>
      <c r="B1530" s="2">
        <v>45778</v>
      </c>
      <c r="C1530">
        <v>6568</v>
      </c>
    </row>
    <row r="1531" spans="1:3" ht="15" hidden="1" customHeight="1" x14ac:dyDescent="0.3">
      <c r="A1531" t="s">
        <v>149</v>
      </c>
      <c r="B1531" s="2">
        <v>45809</v>
      </c>
      <c r="C1531">
        <v>6255.59</v>
      </c>
    </row>
    <row r="1532" spans="1:3" ht="15" hidden="1" customHeight="1" x14ac:dyDescent="0.3">
      <c r="A1532" t="s">
        <v>149</v>
      </c>
      <c r="B1532" s="2">
        <v>45839</v>
      </c>
      <c r="C1532">
        <v>5980</v>
      </c>
    </row>
    <row r="1533" spans="1:3" ht="15" hidden="1" customHeight="1" x14ac:dyDescent="0.3">
      <c r="A1533" t="s">
        <v>149</v>
      </c>
      <c r="B1533" s="2">
        <v>45870</v>
      </c>
      <c r="C1533">
        <v>6685</v>
      </c>
    </row>
    <row r="1534" spans="1:3" ht="15" hidden="1" customHeight="1" x14ac:dyDescent="0.3">
      <c r="A1534" t="s">
        <v>149</v>
      </c>
      <c r="B1534" s="2">
        <v>45901</v>
      </c>
      <c r="C1534">
        <v>7118</v>
      </c>
    </row>
    <row r="1535" spans="1:3" ht="15" hidden="1" customHeight="1" x14ac:dyDescent="0.3">
      <c r="A1535" t="s">
        <v>149</v>
      </c>
      <c r="B1535" s="2">
        <v>45931</v>
      </c>
      <c r="C1535">
        <v>7677</v>
      </c>
    </row>
    <row r="1536" spans="1:3" ht="15" hidden="1" customHeight="1" x14ac:dyDescent="0.3">
      <c r="A1536" t="s">
        <v>149</v>
      </c>
      <c r="B1536" s="2">
        <v>45962</v>
      </c>
      <c r="C1536">
        <v>5691</v>
      </c>
    </row>
    <row r="1537" spans="1:3" ht="15" hidden="1" customHeight="1" x14ac:dyDescent="0.3">
      <c r="A1537" t="s">
        <v>149</v>
      </c>
      <c r="B1537" s="2">
        <v>45992</v>
      </c>
      <c r="C1537">
        <v>3680</v>
      </c>
    </row>
    <row r="1538" spans="1:3" ht="15" hidden="1" customHeight="1" x14ac:dyDescent="0.3">
      <c r="A1538" t="s">
        <v>149</v>
      </c>
      <c r="B1538" s="2">
        <v>46023</v>
      </c>
      <c r="C1538">
        <v>5605</v>
      </c>
    </row>
    <row r="1539" spans="1:3" ht="15" hidden="1" customHeight="1" x14ac:dyDescent="0.3">
      <c r="A1539" t="s">
        <v>149</v>
      </c>
      <c r="B1539" s="2">
        <v>46054</v>
      </c>
      <c r="C1539">
        <v>7388</v>
      </c>
    </row>
    <row r="1540" spans="1:3" ht="15" hidden="1" customHeight="1" x14ac:dyDescent="0.3">
      <c r="A1540" t="s">
        <v>149</v>
      </c>
      <c r="B1540" s="2">
        <v>46082</v>
      </c>
      <c r="C1540">
        <v>6319.4</v>
      </c>
    </row>
    <row r="1541" spans="1:3" ht="15" hidden="1" customHeight="1" x14ac:dyDescent="0.3">
      <c r="A1541" t="s">
        <v>149</v>
      </c>
      <c r="B1541" s="2">
        <v>46113</v>
      </c>
      <c r="C1541">
        <v>4370.4799999999996</v>
      </c>
    </row>
    <row r="1542" spans="1:3" ht="15" hidden="1" customHeight="1" x14ac:dyDescent="0.3">
      <c r="A1542" t="s">
        <v>149</v>
      </c>
      <c r="B1542" s="2">
        <v>46143</v>
      </c>
      <c r="C1542" s="12">
        <v>5968.12</v>
      </c>
    </row>
    <row r="1543" spans="1:3" ht="15" hidden="1" customHeight="1" x14ac:dyDescent="0.3">
      <c r="A1543" t="s">
        <v>222</v>
      </c>
      <c r="B1543" s="2">
        <v>46174</v>
      </c>
      <c r="C1543">
        <v>5600</v>
      </c>
    </row>
    <row r="1544" spans="1:3" ht="15" hidden="1" customHeight="1" x14ac:dyDescent="0.3">
      <c r="A1544" t="s">
        <v>142</v>
      </c>
      <c r="B1544" s="2">
        <v>46204</v>
      </c>
      <c r="C1544">
        <v>3812</v>
      </c>
    </row>
    <row r="1545" spans="1:3" ht="15" hidden="1" customHeight="1" x14ac:dyDescent="0.3">
      <c r="A1545" t="s">
        <v>149</v>
      </c>
      <c r="B1545" s="2">
        <v>46235</v>
      </c>
      <c r="C1545">
        <v>6801</v>
      </c>
    </row>
    <row r="1546" spans="1:3" ht="15" customHeight="1" x14ac:dyDescent="0.3">
      <c r="A1546" t="s">
        <v>149</v>
      </c>
      <c r="B1546" s="2">
        <v>46266</v>
      </c>
      <c r="C1546" s="47">
        <v>6058.46</v>
      </c>
    </row>
    <row r="1547" spans="1:3" ht="15" hidden="1" customHeight="1" x14ac:dyDescent="0.3">
      <c r="A1547" t="s">
        <v>149</v>
      </c>
      <c r="B1547" s="2">
        <v>46296</v>
      </c>
    </row>
    <row r="1548" spans="1:3" ht="15" hidden="1" customHeight="1" x14ac:dyDescent="0.3">
      <c r="A1548" t="s">
        <v>149</v>
      </c>
      <c r="B1548" s="2">
        <v>46327</v>
      </c>
    </row>
    <row r="1549" spans="1:3" ht="15" hidden="1" customHeight="1" x14ac:dyDescent="0.3">
      <c r="A1549" t="s">
        <v>149</v>
      </c>
      <c r="B1549" s="2">
        <v>46357</v>
      </c>
    </row>
    <row r="1550" spans="1:3" ht="15" hidden="1" customHeight="1" x14ac:dyDescent="0.3">
      <c r="A1550" t="s">
        <v>155</v>
      </c>
      <c r="B1550" s="2">
        <v>45292</v>
      </c>
      <c r="C1550">
        <v>4700</v>
      </c>
    </row>
    <row r="1551" spans="1:3" ht="15" hidden="1" customHeight="1" x14ac:dyDescent="0.3">
      <c r="A1551" t="s">
        <v>155</v>
      </c>
      <c r="B1551" s="2">
        <v>45323</v>
      </c>
      <c r="C1551">
        <v>4300</v>
      </c>
    </row>
    <row r="1552" spans="1:3" ht="15" hidden="1" customHeight="1" x14ac:dyDescent="0.3">
      <c r="A1552" t="s">
        <v>155</v>
      </c>
      <c r="B1552" s="2">
        <v>45352</v>
      </c>
      <c r="C1552">
        <v>5200</v>
      </c>
    </row>
    <row r="1553" spans="1:3" ht="15" hidden="1" customHeight="1" x14ac:dyDescent="0.3">
      <c r="A1553" t="s">
        <v>155</v>
      </c>
      <c r="B1553" s="2">
        <v>45383</v>
      </c>
      <c r="C1553">
        <v>4500</v>
      </c>
    </row>
    <row r="1554" spans="1:3" ht="15" hidden="1" customHeight="1" x14ac:dyDescent="0.3">
      <c r="A1554" t="s">
        <v>155</v>
      </c>
      <c r="B1554" s="2">
        <v>45413</v>
      </c>
      <c r="C1554">
        <v>4300</v>
      </c>
    </row>
    <row r="1555" spans="1:3" ht="15" hidden="1" customHeight="1" x14ac:dyDescent="0.3">
      <c r="A1555" t="s">
        <v>155</v>
      </c>
      <c r="B1555" s="2">
        <v>45444</v>
      </c>
      <c r="C1555">
        <v>3800</v>
      </c>
    </row>
    <row r="1556" spans="1:3" ht="15" hidden="1" customHeight="1" x14ac:dyDescent="0.3">
      <c r="A1556" t="s">
        <v>155</v>
      </c>
      <c r="B1556" s="2">
        <v>45474</v>
      </c>
      <c r="C1556">
        <v>4100</v>
      </c>
    </row>
    <row r="1557" spans="1:3" ht="15" hidden="1" customHeight="1" x14ac:dyDescent="0.3">
      <c r="A1557" t="s">
        <v>155</v>
      </c>
      <c r="B1557" s="2">
        <v>45505</v>
      </c>
      <c r="C1557">
        <v>4000</v>
      </c>
    </row>
    <row r="1558" spans="1:3" ht="15" hidden="1" customHeight="1" x14ac:dyDescent="0.3">
      <c r="A1558" t="s">
        <v>155</v>
      </c>
      <c r="B1558" s="2">
        <v>45536</v>
      </c>
      <c r="C1558">
        <v>3700</v>
      </c>
    </row>
    <row r="1559" spans="1:3" ht="15" hidden="1" customHeight="1" x14ac:dyDescent="0.3">
      <c r="A1559" t="s">
        <v>155</v>
      </c>
      <c r="B1559" s="2">
        <v>45566</v>
      </c>
      <c r="C1559">
        <v>5479</v>
      </c>
    </row>
    <row r="1560" spans="1:3" ht="15" hidden="1" customHeight="1" x14ac:dyDescent="0.3">
      <c r="A1560" t="s">
        <v>155</v>
      </c>
      <c r="B1560" s="2">
        <v>45597</v>
      </c>
      <c r="C1560">
        <v>5500</v>
      </c>
    </row>
    <row r="1561" spans="1:3" ht="15" hidden="1" customHeight="1" x14ac:dyDescent="0.3">
      <c r="A1561" t="s">
        <v>155</v>
      </c>
      <c r="B1561" s="2">
        <v>45627</v>
      </c>
      <c r="C1561">
        <v>2742</v>
      </c>
    </row>
    <row r="1562" spans="1:3" ht="15" hidden="1" customHeight="1" x14ac:dyDescent="0.3">
      <c r="A1562" t="s">
        <v>155</v>
      </c>
      <c r="B1562" s="2">
        <v>45658</v>
      </c>
      <c r="C1562">
        <v>5100</v>
      </c>
    </row>
    <row r="1563" spans="1:3" ht="15" hidden="1" customHeight="1" x14ac:dyDescent="0.3">
      <c r="A1563" t="s">
        <v>155</v>
      </c>
      <c r="B1563" s="2">
        <v>45689</v>
      </c>
      <c r="C1563">
        <v>3970</v>
      </c>
    </row>
    <row r="1564" spans="1:3" ht="15" hidden="1" customHeight="1" x14ac:dyDescent="0.3">
      <c r="A1564" t="s">
        <v>155</v>
      </c>
      <c r="B1564" s="2">
        <v>45717</v>
      </c>
      <c r="C1564">
        <v>4540</v>
      </c>
    </row>
    <row r="1565" spans="1:3" ht="15" hidden="1" customHeight="1" x14ac:dyDescent="0.3">
      <c r="A1565" t="s">
        <v>155</v>
      </c>
      <c r="B1565" s="2">
        <v>45748</v>
      </c>
      <c r="C1565">
        <v>3526</v>
      </c>
    </row>
    <row r="1566" spans="1:3" ht="15" hidden="1" customHeight="1" x14ac:dyDescent="0.3">
      <c r="A1566" t="s">
        <v>155</v>
      </c>
      <c r="B1566" s="2">
        <v>45778</v>
      </c>
      <c r="C1566">
        <v>4309</v>
      </c>
    </row>
    <row r="1567" spans="1:3" ht="15" hidden="1" customHeight="1" x14ac:dyDescent="0.3">
      <c r="A1567" t="s">
        <v>155</v>
      </c>
      <c r="B1567" s="2">
        <v>45809</v>
      </c>
      <c r="C1567">
        <v>3564</v>
      </c>
    </row>
    <row r="1568" spans="1:3" ht="15" hidden="1" customHeight="1" x14ac:dyDescent="0.3">
      <c r="A1568" t="s">
        <v>155</v>
      </c>
      <c r="B1568" s="2">
        <v>45839</v>
      </c>
      <c r="C1568">
        <v>3444</v>
      </c>
    </row>
    <row r="1569" spans="1:3" ht="15" hidden="1" customHeight="1" x14ac:dyDescent="0.3">
      <c r="A1569" t="s">
        <v>155</v>
      </c>
      <c r="B1569" s="2">
        <v>45870</v>
      </c>
      <c r="C1569">
        <v>4434</v>
      </c>
    </row>
    <row r="1570" spans="1:3" ht="15" hidden="1" customHeight="1" x14ac:dyDescent="0.3">
      <c r="A1570" t="s">
        <v>155</v>
      </c>
      <c r="B1570" s="2">
        <v>45901</v>
      </c>
      <c r="C1570">
        <v>4300</v>
      </c>
    </row>
    <row r="1571" spans="1:3" ht="15" hidden="1" customHeight="1" x14ac:dyDescent="0.3">
      <c r="A1571" t="s">
        <v>155</v>
      </c>
      <c r="B1571" s="2">
        <v>45931</v>
      </c>
      <c r="C1571">
        <v>4956</v>
      </c>
    </row>
    <row r="1572" spans="1:3" ht="15" hidden="1" customHeight="1" x14ac:dyDescent="0.3">
      <c r="A1572" t="s">
        <v>155</v>
      </c>
      <c r="B1572" s="2">
        <v>45962</v>
      </c>
      <c r="C1572">
        <v>4173</v>
      </c>
    </row>
    <row r="1573" spans="1:3" ht="15" hidden="1" customHeight="1" x14ac:dyDescent="0.3">
      <c r="A1573" t="s">
        <v>155</v>
      </c>
      <c r="B1573" s="2">
        <v>45992</v>
      </c>
      <c r="C1573">
        <v>5010</v>
      </c>
    </row>
    <row r="1574" spans="1:3" ht="15" hidden="1" customHeight="1" x14ac:dyDescent="0.3">
      <c r="A1574" t="s">
        <v>155</v>
      </c>
      <c r="B1574" s="2">
        <v>46023</v>
      </c>
      <c r="C1574">
        <v>4573</v>
      </c>
    </row>
    <row r="1575" spans="1:3" ht="15" hidden="1" customHeight="1" x14ac:dyDescent="0.3">
      <c r="A1575" t="s">
        <v>155</v>
      </c>
      <c r="B1575" s="2">
        <v>46054</v>
      </c>
      <c r="C1575">
        <v>4586.7700000000004</v>
      </c>
    </row>
    <row r="1576" spans="1:3" ht="15" hidden="1" customHeight="1" x14ac:dyDescent="0.3">
      <c r="A1576" t="s">
        <v>155</v>
      </c>
      <c r="B1576" s="2">
        <v>46082</v>
      </c>
      <c r="C1576">
        <v>4089</v>
      </c>
    </row>
    <row r="1577" spans="1:3" ht="15" hidden="1" customHeight="1" x14ac:dyDescent="0.3">
      <c r="A1577" t="s">
        <v>155</v>
      </c>
      <c r="B1577" s="2">
        <v>46113</v>
      </c>
      <c r="C1577">
        <v>844.2</v>
      </c>
    </row>
    <row r="1578" spans="1:3" ht="15" hidden="1" customHeight="1" x14ac:dyDescent="0.3">
      <c r="A1578" t="s">
        <v>155</v>
      </c>
      <c r="B1578" s="2">
        <v>46143</v>
      </c>
      <c r="C1578" s="12">
        <v>0</v>
      </c>
    </row>
    <row r="1579" spans="1:3" ht="15" hidden="1" customHeight="1" x14ac:dyDescent="0.3">
      <c r="A1579" t="s">
        <v>155</v>
      </c>
      <c r="B1579" s="2">
        <v>46174</v>
      </c>
    </row>
    <row r="1580" spans="1:3" ht="15" hidden="1" customHeight="1" x14ac:dyDescent="0.3">
      <c r="A1580" t="s">
        <v>145</v>
      </c>
      <c r="B1580" s="2">
        <v>46204</v>
      </c>
      <c r="C1580">
        <v>25915.636999999999</v>
      </c>
    </row>
    <row r="1581" spans="1:3" ht="15" hidden="1" customHeight="1" x14ac:dyDescent="0.3">
      <c r="A1581" t="s">
        <v>155</v>
      </c>
      <c r="B1581" s="2">
        <v>46235</v>
      </c>
    </row>
    <row r="1582" spans="1:3" ht="15" customHeight="1" x14ac:dyDescent="0.3">
      <c r="A1582" t="s">
        <v>155</v>
      </c>
      <c r="B1582" s="2">
        <v>46266</v>
      </c>
      <c r="C1582" s="47">
        <v>0</v>
      </c>
    </row>
    <row r="1583" spans="1:3" ht="15" hidden="1" customHeight="1" x14ac:dyDescent="0.3">
      <c r="A1583" t="s">
        <v>155</v>
      </c>
      <c r="B1583" s="2">
        <v>46296</v>
      </c>
    </row>
    <row r="1584" spans="1:3" ht="15" hidden="1" customHeight="1" x14ac:dyDescent="0.3">
      <c r="A1584" t="s">
        <v>155</v>
      </c>
      <c r="B1584" s="2">
        <v>46327</v>
      </c>
    </row>
    <row r="1585" spans="1:3" ht="15" hidden="1" customHeight="1" x14ac:dyDescent="0.3">
      <c r="A1585" t="s">
        <v>155</v>
      </c>
      <c r="B1585" s="2">
        <v>46357</v>
      </c>
    </row>
    <row r="1586" spans="1:3" ht="15" hidden="1" customHeight="1" x14ac:dyDescent="0.3">
      <c r="A1586" t="s">
        <v>157</v>
      </c>
      <c r="B1586" s="2">
        <v>45292</v>
      </c>
      <c r="C1586">
        <v>6159</v>
      </c>
    </row>
    <row r="1587" spans="1:3" ht="15" hidden="1" customHeight="1" x14ac:dyDescent="0.3">
      <c r="A1587" t="s">
        <v>157</v>
      </c>
      <c r="B1587" s="2">
        <v>45323</v>
      </c>
      <c r="C1587">
        <v>4495</v>
      </c>
    </row>
    <row r="1588" spans="1:3" ht="15" hidden="1" customHeight="1" x14ac:dyDescent="0.3">
      <c r="A1588" t="s">
        <v>157</v>
      </c>
      <c r="B1588" s="2">
        <v>45352</v>
      </c>
      <c r="C1588">
        <v>5040</v>
      </c>
    </row>
    <row r="1589" spans="1:3" ht="15" hidden="1" customHeight="1" x14ac:dyDescent="0.3">
      <c r="A1589" t="s">
        <v>157</v>
      </c>
      <c r="B1589" s="2">
        <v>45383</v>
      </c>
      <c r="C1589">
        <v>4485</v>
      </c>
    </row>
    <row r="1590" spans="1:3" ht="15" hidden="1" customHeight="1" x14ac:dyDescent="0.3">
      <c r="A1590" t="s">
        <v>157</v>
      </c>
      <c r="B1590" s="2">
        <v>45413</v>
      </c>
      <c r="C1590">
        <v>4861</v>
      </c>
    </row>
    <row r="1591" spans="1:3" ht="15" hidden="1" customHeight="1" x14ac:dyDescent="0.3">
      <c r="A1591" t="s">
        <v>157</v>
      </c>
      <c r="B1591" s="2">
        <v>45444</v>
      </c>
      <c r="C1591">
        <v>3929</v>
      </c>
    </row>
    <row r="1592" spans="1:3" ht="15" hidden="1" customHeight="1" x14ac:dyDescent="0.3">
      <c r="A1592" t="s">
        <v>157</v>
      </c>
      <c r="B1592" s="2">
        <v>45474</v>
      </c>
      <c r="C1592">
        <v>4619</v>
      </c>
    </row>
    <row r="1593" spans="1:3" ht="15" hidden="1" customHeight="1" x14ac:dyDescent="0.3">
      <c r="A1593" t="s">
        <v>157</v>
      </c>
      <c r="B1593" s="2">
        <v>45505</v>
      </c>
      <c r="C1593">
        <v>5354</v>
      </c>
    </row>
    <row r="1594" spans="1:3" ht="15" hidden="1" customHeight="1" x14ac:dyDescent="0.3">
      <c r="A1594" t="s">
        <v>157</v>
      </c>
      <c r="B1594" s="2">
        <v>45536</v>
      </c>
      <c r="C1594">
        <v>4908</v>
      </c>
    </row>
    <row r="1595" spans="1:3" ht="15" hidden="1" customHeight="1" x14ac:dyDescent="0.3">
      <c r="A1595" t="s">
        <v>157</v>
      </c>
      <c r="B1595" s="2">
        <v>45566</v>
      </c>
      <c r="C1595">
        <v>6335</v>
      </c>
    </row>
    <row r="1596" spans="1:3" ht="15" hidden="1" customHeight="1" x14ac:dyDescent="0.3">
      <c r="A1596" t="s">
        <v>157</v>
      </c>
      <c r="B1596" s="2">
        <v>45597</v>
      </c>
      <c r="C1596">
        <v>5824</v>
      </c>
    </row>
    <row r="1597" spans="1:3" ht="15" hidden="1" customHeight="1" x14ac:dyDescent="0.3">
      <c r="A1597" t="s">
        <v>157</v>
      </c>
      <c r="B1597" s="2">
        <v>45627</v>
      </c>
      <c r="C1597">
        <v>6091</v>
      </c>
    </row>
    <row r="1598" spans="1:3" ht="15" hidden="1" customHeight="1" x14ac:dyDescent="0.3">
      <c r="A1598" t="s">
        <v>157</v>
      </c>
      <c r="B1598" s="2">
        <v>45658</v>
      </c>
      <c r="C1598">
        <v>5309</v>
      </c>
    </row>
    <row r="1599" spans="1:3" ht="15" hidden="1" customHeight="1" x14ac:dyDescent="0.3">
      <c r="A1599" t="s">
        <v>157</v>
      </c>
      <c r="B1599" s="2">
        <v>45689</v>
      </c>
      <c r="C1599">
        <v>3761</v>
      </c>
    </row>
    <row r="1600" spans="1:3" ht="15" hidden="1" customHeight="1" x14ac:dyDescent="0.3">
      <c r="A1600" t="s">
        <v>157</v>
      </c>
      <c r="B1600" s="2">
        <v>45717</v>
      </c>
      <c r="C1600">
        <v>4074</v>
      </c>
    </row>
    <row r="1601" spans="1:3" ht="15" hidden="1" customHeight="1" x14ac:dyDescent="0.3">
      <c r="A1601" t="s">
        <v>157</v>
      </c>
      <c r="B1601" s="2">
        <v>45748</v>
      </c>
      <c r="C1601">
        <v>3902</v>
      </c>
    </row>
    <row r="1602" spans="1:3" ht="15" hidden="1" customHeight="1" x14ac:dyDescent="0.3">
      <c r="A1602" t="s">
        <v>157</v>
      </c>
      <c r="B1602" s="2">
        <v>45778</v>
      </c>
      <c r="C1602">
        <v>5047</v>
      </c>
    </row>
    <row r="1603" spans="1:3" ht="15" hidden="1" customHeight="1" x14ac:dyDescent="0.3">
      <c r="A1603" t="s">
        <v>157</v>
      </c>
      <c r="B1603" s="2">
        <v>45809</v>
      </c>
      <c r="C1603">
        <v>4585.3599999999997</v>
      </c>
    </row>
    <row r="1604" spans="1:3" ht="15" hidden="1" customHeight="1" x14ac:dyDescent="0.3">
      <c r="A1604" t="s">
        <v>157</v>
      </c>
      <c r="B1604" s="2">
        <v>45839</v>
      </c>
      <c r="C1604">
        <v>4750</v>
      </c>
    </row>
    <row r="1605" spans="1:3" ht="15" hidden="1" customHeight="1" x14ac:dyDescent="0.3">
      <c r="A1605" t="s">
        <v>157</v>
      </c>
      <c r="B1605" s="2">
        <v>45870</v>
      </c>
      <c r="C1605">
        <v>4940</v>
      </c>
    </row>
    <row r="1606" spans="1:3" ht="15" hidden="1" customHeight="1" x14ac:dyDescent="0.3">
      <c r="A1606" t="s">
        <v>157</v>
      </c>
      <c r="B1606" s="2">
        <v>45901</v>
      </c>
      <c r="C1606">
        <v>4923</v>
      </c>
    </row>
    <row r="1607" spans="1:3" ht="15" hidden="1" customHeight="1" x14ac:dyDescent="0.3">
      <c r="A1607" t="s">
        <v>157</v>
      </c>
      <c r="B1607" s="2">
        <v>45931</v>
      </c>
      <c r="C1607">
        <v>5673</v>
      </c>
    </row>
    <row r="1608" spans="1:3" ht="15" hidden="1" customHeight="1" x14ac:dyDescent="0.3">
      <c r="A1608" t="s">
        <v>157</v>
      </c>
      <c r="B1608" s="2">
        <v>45962</v>
      </c>
      <c r="C1608">
        <v>4641</v>
      </c>
    </row>
    <row r="1609" spans="1:3" ht="15" hidden="1" customHeight="1" x14ac:dyDescent="0.3">
      <c r="A1609" t="s">
        <v>157</v>
      </c>
      <c r="B1609" s="2">
        <v>45992</v>
      </c>
      <c r="C1609">
        <v>5262</v>
      </c>
    </row>
    <row r="1610" spans="1:3" ht="15" hidden="1" customHeight="1" x14ac:dyDescent="0.3">
      <c r="A1610" t="s">
        <v>157</v>
      </c>
      <c r="B1610" s="2">
        <v>46023</v>
      </c>
      <c r="C1610">
        <v>5546</v>
      </c>
    </row>
    <row r="1611" spans="1:3" ht="15" hidden="1" customHeight="1" x14ac:dyDescent="0.3">
      <c r="A1611" t="s">
        <v>157</v>
      </c>
      <c r="B1611" s="2">
        <v>46054</v>
      </c>
      <c r="C1611">
        <v>5201.2299999999996</v>
      </c>
    </row>
    <row r="1612" spans="1:3" ht="15" hidden="1" customHeight="1" x14ac:dyDescent="0.3">
      <c r="A1612" t="s">
        <v>157</v>
      </c>
      <c r="B1612" s="2">
        <v>46082</v>
      </c>
      <c r="C1612">
        <v>4579</v>
      </c>
    </row>
    <row r="1613" spans="1:3" ht="15" hidden="1" customHeight="1" x14ac:dyDescent="0.3">
      <c r="A1613" t="s">
        <v>157</v>
      </c>
      <c r="B1613" s="2">
        <v>46113</v>
      </c>
      <c r="C1613">
        <v>4134.1099999999997</v>
      </c>
    </row>
    <row r="1614" spans="1:3" ht="15" hidden="1" customHeight="1" x14ac:dyDescent="0.3">
      <c r="A1614" t="s">
        <v>157</v>
      </c>
      <c r="B1614" s="2">
        <v>46143</v>
      </c>
      <c r="C1614" s="12">
        <v>4665.67</v>
      </c>
    </row>
    <row r="1615" spans="1:3" ht="15" hidden="1" customHeight="1" x14ac:dyDescent="0.3">
      <c r="A1615" t="s">
        <v>157</v>
      </c>
      <c r="B1615" s="2">
        <v>46174</v>
      </c>
      <c r="C1615">
        <v>3785</v>
      </c>
    </row>
    <row r="1616" spans="1:3" ht="15" hidden="1" customHeight="1" x14ac:dyDescent="0.3">
      <c r="A1616" t="s">
        <v>149</v>
      </c>
      <c r="B1616" s="2">
        <v>46204</v>
      </c>
      <c r="C1616">
        <v>6917</v>
      </c>
    </row>
    <row r="1617" spans="1:3" ht="15" hidden="1" customHeight="1" x14ac:dyDescent="0.3">
      <c r="A1617" t="s">
        <v>157</v>
      </c>
      <c r="B1617" s="2">
        <v>46235</v>
      </c>
      <c r="C1617">
        <v>5246</v>
      </c>
    </row>
    <row r="1618" spans="1:3" ht="15" customHeight="1" x14ac:dyDescent="0.3">
      <c r="A1618" t="s">
        <v>157</v>
      </c>
      <c r="B1618" s="2">
        <v>46266</v>
      </c>
      <c r="C1618" s="47">
        <v>4995.41</v>
      </c>
    </row>
    <row r="1619" spans="1:3" ht="15" hidden="1" customHeight="1" x14ac:dyDescent="0.3">
      <c r="A1619" t="s">
        <v>157</v>
      </c>
      <c r="B1619" s="2">
        <v>46296</v>
      </c>
    </row>
    <row r="1620" spans="1:3" ht="15" hidden="1" customHeight="1" x14ac:dyDescent="0.3">
      <c r="A1620" t="s">
        <v>157</v>
      </c>
      <c r="B1620" s="2">
        <v>46327</v>
      </c>
    </row>
    <row r="1621" spans="1:3" ht="15" hidden="1" customHeight="1" x14ac:dyDescent="0.3">
      <c r="A1621" t="s">
        <v>157</v>
      </c>
      <c r="B1621" s="2">
        <v>46357</v>
      </c>
    </row>
    <row r="1622" spans="1:3" ht="15" hidden="1" customHeight="1" x14ac:dyDescent="0.3">
      <c r="A1622" t="s">
        <v>160</v>
      </c>
      <c r="B1622" s="2">
        <v>45292</v>
      </c>
      <c r="C1622">
        <v>6600</v>
      </c>
    </row>
    <row r="1623" spans="1:3" ht="15" hidden="1" customHeight="1" x14ac:dyDescent="0.3">
      <c r="A1623" t="s">
        <v>160</v>
      </c>
      <c r="B1623" s="2">
        <v>45323</v>
      </c>
      <c r="C1623">
        <v>13300</v>
      </c>
    </row>
    <row r="1624" spans="1:3" ht="15" hidden="1" customHeight="1" x14ac:dyDescent="0.3">
      <c r="A1624" t="s">
        <v>160</v>
      </c>
      <c r="B1624" s="2">
        <v>45352</v>
      </c>
      <c r="C1624">
        <v>15420</v>
      </c>
    </row>
    <row r="1625" spans="1:3" ht="15" hidden="1" customHeight="1" x14ac:dyDescent="0.3">
      <c r="A1625" t="s">
        <v>160</v>
      </c>
      <c r="B1625" s="2">
        <v>45383</v>
      </c>
      <c r="C1625">
        <v>12860</v>
      </c>
    </row>
    <row r="1626" spans="1:3" ht="15" hidden="1" customHeight="1" x14ac:dyDescent="0.3">
      <c r="A1626" t="s">
        <v>160</v>
      </c>
      <c r="B1626" s="2">
        <v>45413</v>
      </c>
      <c r="C1626">
        <v>14610</v>
      </c>
    </row>
    <row r="1627" spans="1:3" ht="15" hidden="1" customHeight="1" x14ac:dyDescent="0.3">
      <c r="A1627" t="s">
        <v>160</v>
      </c>
      <c r="B1627" s="2">
        <v>45444</v>
      </c>
      <c r="C1627">
        <v>12010</v>
      </c>
    </row>
    <row r="1628" spans="1:3" ht="15" hidden="1" customHeight="1" x14ac:dyDescent="0.3">
      <c r="A1628" t="s">
        <v>160</v>
      </c>
      <c r="B1628" s="2">
        <v>45474</v>
      </c>
      <c r="C1628">
        <v>13050</v>
      </c>
    </row>
    <row r="1629" spans="1:3" ht="15" hidden="1" customHeight="1" x14ac:dyDescent="0.3">
      <c r="A1629" t="s">
        <v>160</v>
      </c>
      <c r="B1629" s="2">
        <v>45505</v>
      </c>
      <c r="C1629">
        <v>17380</v>
      </c>
    </row>
    <row r="1630" spans="1:3" ht="15" hidden="1" customHeight="1" x14ac:dyDescent="0.3">
      <c r="A1630" t="s">
        <v>160</v>
      </c>
      <c r="B1630" s="2">
        <v>45536</v>
      </c>
      <c r="C1630">
        <v>15040</v>
      </c>
    </row>
    <row r="1631" spans="1:3" ht="15" hidden="1" customHeight="1" x14ac:dyDescent="0.3">
      <c r="A1631" t="s">
        <v>160</v>
      </c>
      <c r="B1631" s="2">
        <v>45566</v>
      </c>
      <c r="C1631">
        <v>16040</v>
      </c>
    </row>
    <row r="1632" spans="1:3" ht="15" hidden="1" customHeight="1" x14ac:dyDescent="0.3">
      <c r="A1632" t="s">
        <v>160</v>
      </c>
      <c r="B1632" s="2">
        <v>45597</v>
      </c>
      <c r="C1632">
        <v>12800</v>
      </c>
    </row>
    <row r="1633" spans="1:3" ht="15" hidden="1" customHeight="1" x14ac:dyDescent="0.3">
      <c r="A1633" t="s">
        <v>160</v>
      </c>
      <c r="B1633" s="2">
        <v>45627</v>
      </c>
      <c r="C1633">
        <v>11928</v>
      </c>
    </row>
    <row r="1634" spans="1:3" ht="15" hidden="1" customHeight="1" x14ac:dyDescent="0.3">
      <c r="A1634" t="s">
        <v>160</v>
      </c>
      <c r="B1634" s="2">
        <v>45658</v>
      </c>
      <c r="C1634">
        <v>11300</v>
      </c>
    </row>
    <row r="1635" spans="1:3" ht="15" hidden="1" customHeight="1" x14ac:dyDescent="0.3">
      <c r="A1635" t="s">
        <v>160</v>
      </c>
      <c r="B1635" s="2">
        <v>45689</v>
      </c>
      <c r="C1635">
        <v>8382</v>
      </c>
    </row>
    <row r="1636" spans="1:3" ht="15" hidden="1" customHeight="1" x14ac:dyDescent="0.3">
      <c r="A1636" t="s">
        <v>160</v>
      </c>
      <c r="B1636" s="2">
        <v>45717</v>
      </c>
      <c r="C1636">
        <v>11945</v>
      </c>
    </row>
    <row r="1637" spans="1:3" ht="15" hidden="1" customHeight="1" x14ac:dyDescent="0.3">
      <c r="A1637" t="s">
        <v>160</v>
      </c>
      <c r="B1637" s="2">
        <v>45748</v>
      </c>
      <c r="C1637">
        <v>13271</v>
      </c>
    </row>
    <row r="1638" spans="1:3" ht="15" hidden="1" customHeight="1" x14ac:dyDescent="0.3">
      <c r="A1638" t="s">
        <v>160</v>
      </c>
      <c r="B1638" s="2">
        <v>45778</v>
      </c>
      <c r="C1638">
        <v>17380</v>
      </c>
    </row>
    <row r="1639" spans="1:3" ht="15" hidden="1" customHeight="1" x14ac:dyDescent="0.3">
      <c r="A1639" t="s">
        <v>160</v>
      </c>
      <c r="B1639" s="2">
        <v>45809</v>
      </c>
      <c r="C1639">
        <v>15760.44</v>
      </c>
    </row>
    <row r="1640" spans="1:3" ht="15" hidden="1" customHeight="1" x14ac:dyDescent="0.3">
      <c r="A1640" t="s">
        <v>160</v>
      </c>
      <c r="B1640" s="2">
        <v>45839</v>
      </c>
      <c r="C1640">
        <v>15336</v>
      </c>
    </row>
    <row r="1641" spans="1:3" ht="15" hidden="1" customHeight="1" x14ac:dyDescent="0.3">
      <c r="A1641" t="s">
        <v>160</v>
      </c>
      <c r="B1641" s="2">
        <v>45870</v>
      </c>
      <c r="C1641">
        <v>18373</v>
      </c>
    </row>
    <row r="1642" spans="1:3" ht="15" hidden="1" customHeight="1" x14ac:dyDescent="0.3">
      <c r="A1642" t="s">
        <v>160</v>
      </c>
      <c r="B1642" s="2">
        <v>45901</v>
      </c>
      <c r="C1642">
        <v>14826</v>
      </c>
    </row>
    <row r="1643" spans="1:3" ht="15" hidden="1" customHeight="1" x14ac:dyDescent="0.3">
      <c r="A1643" t="s">
        <v>160</v>
      </c>
      <c r="B1643" s="2">
        <v>45931</v>
      </c>
      <c r="C1643">
        <v>14653</v>
      </c>
    </row>
    <row r="1644" spans="1:3" ht="15" hidden="1" customHeight="1" x14ac:dyDescent="0.3">
      <c r="A1644" t="s">
        <v>160</v>
      </c>
      <c r="B1644" s="2">
        <v>45962</v>
      </c>
      <c r="C1644">
        <v>11613</v>
      </c>
    </row>
    <row r="1645" spans="1:3" ht="15" hidden="1" customHeight="1" x14ac:dyDescent="0.3">
      <c r="A1645" t="s">
        <v>160</v>
      </c>
      <c r="B1645" s="2">
        <v>45992</v>
      </c>
      <c r="C1645">
        <v>12623</v>
      </c>
    </row>
    <row r="1646" spans="1:3" ht="15" hidden="1" customHeight="1" x14ac:dyDescent="0.3">
      <c r="A1646" t="s">
        <v>160</v>
      </c>
      <c r="B1646" s="2">
        <v>46023</v>
      </c>
      <c r="C1646">
        <v>13947</v>
      </c>
    </row>
    <row r="1647" spans="1:3" ht="15" hidden="1" customHeight="1" x14ac:dyDescent="0.3">
      <c r="A1647" t="s">
        <v>160</v>
      </c>
      <c r="B1647" s="2">
        <v>46054</v>
      </c>
      <c r="C1647">
        <v>15878</v>
      </c>
    </row>
    <row r="1648" spans="1:3" ht="15" hidden="1" customHeight="1" x14ac:dyDescent="0.3">
      <c r="A1648" t="s">
        <v>160</v>
      </c>
      <c r="B1648" s="2">
        <v>46082</v>
      </c>
      <c r="C1648">
        <v>15307</v>
      </c>
    </row>
    <row r="1649" spans="1:3" ht="15" hidden="1" customHeight="1" x14ac:dyDescent="0.3">
      <c r="A1649" t="s">
        <v>160</v>
      </c>
      <c r="B1649" s="2">
        <v>46113</v>
      </c>
      <c r="C1649">
        <v>13475.98</v>
      </c>
    </row>
    <row r="1650" spans="1:3" ht="15" hidden="1" customHeight="1" x14ac:dyDescent="0.3">
      <c r="A1650" t="s">
        <v>160</v>
      </c>
      <c r="B1650" s="2">
        <v>46143</v>
      </c>
      <c r="C1650" s="12">
        <v>16989.47</v>
      </c>
    </row>
    <row r="1651" spans="1:3" ht="15" hidden="1" customHeight="1" x14ac:dyDescent="0.3">
      <c r="A1651" t="s">
        <v>142</v>
      </c>
      <c r="B1651" s="2">
        <v>46174</v>
      </c>
      <c r="C1651" s="33">
        <v>3164</v>
      </c>
    </row>
    <row r="1652" spans="1:3" ht="15" hidden="1" customHeight="1" x14ac:dyDescent="0.3">
      <c r="A1652" t="s">
        <v>152</v>
      </c>
      <c r="B1652" s="2">
        <v>46204</v>
      </c>
      <c r="C1652">
        <v>6388</v>
      </c>
    </row>
    <row r="1653" spans="1:3" ht="15" hidden="1" customHeight="1" x14ac:dyDescent="0.3">
      <c r="A1653" t="s">
        <v>160</v>
      </c>
      <c r="B1653" s="2">
        <v>46235</v>
      </c>
      <c r="C1653">
        <v>18348</v>
      </c>
    </row>
    <row r="1654" spans="1:3" ht="15" customHeight="1" x14ac:dyDescent="0.3">
      <c r="A1654" t="s">
        <v>160</v>
      </c>
      <c r="B1654" s="2">
        <v>46266</v>
      </c>
      <c r="C1654" s="47">
        <v>16094</v>
      </c>
    </row>
    <row r="1655" spans="1:3" ht="15" hidden="1" customHeight="1" x14ac:dyDescent="0.3">
      <c r="A1655" t="s">
        <v>160</v>
      </c>
      <c r="B1655" s="2">
        <v>46296</v>
      </c>
    </row>
    <row r="1656" spans="1:3" ht="15" hidden="1" customHeight="1" x14ac:dyDescent="0.3">
      <c r="A1656" t="s">
        <v>160</v>
      </c>
      <c r="B1656" s="2">
        <v>46327</v>
      </c>
    </row>
    <row r="1657" spans="1:3" ht="15" hidden="1" customHeight="1" x14ac:dyDescent="0.3">
      <c r="A1657" t="s">
        <v>160</v>
      </c>
      <c r="B1657" s="2">
        <v>46357</v>
      </c>
    </row>
    <row r="1658" spans="1:3" ht="15" hidden="1" customHeight="1" x14ac:dyDescent="0.3">
      <c r="A1658" t="s">
        <v>213</v>
      </c>
      <c r="B1658" s="2">
        <v>45292</v>
      </c>
    </row>
    <row r="1659" spans="1:3" ht="15" hidden="1" customHeight="1" x14ac:dyDescent="0.3">
      <c r="A1659" t="s">
        <v>213</v>
      </c>
      <c r="B1659" s="2">
        <v>45323</v>
      </c>
    </row>
    <row r="1660" spans="1:3" ht="15" hidden="1" customHeight="1" x14ac:dyDescent="0.3">
      <c r="A1660" t="s">
        <v>213</v>
      </c>
      <c r="B1660" s="2">
        <v>45352</v>
      </c>
    </row>
    <row r="1661" spans="1:3" ht="15" hidden="1" customHeight="1" x14ac:dyDescent="0.3">
      <c r="A1661" t="s">
        <v>213</v>
      </c>
      <c r="B1661" s="2">
        <v>45383</v>
      </c>
    </row>
    <row r="1662" spans="1:3" ht="15" hidden="1" customHeight="1" x14ac:dyDescent="0.3">
      <c r="A1662" t="s">
        <v>213</v>
      </c>
      <c r="B1662" s="2">
        <v>45413</v>
      </c>
    </row>
    <row r="1663" spans="1:3" ht="15" hidden="1" customHeight="1" x14ac:dyDescent="0.3">
      <c r="A1663" t="s">
        <v>213</v>
      </c>
      <c r="B1663" s="2">
        <v>45444</v>
      </c>
    </row>
    <row r="1664" spans="1:3" ht="15" hidden="1" customHeight="1" x14ac:dyDescent="0.3">
      <c r="A1664" t="s">
        <v>213</v>
      </c>
      <c r="B1664" s="2">
        <v>45474</v>
      </c>
    </row>
    <row r="1665" spans="1:3" ht="15" hidden="1" customHeight="1" x14ac:dyDescent="0.3">
      <c r="A1665" t="s">
        <v>213</v>
      </c>
      <c r="B1665" s="2">
        <v>45505</v>
      </c>
    </row>
    <row r="1666" spans="1:3" ht="15" hidden="1" customHeight="1" x14ac:dyDescent="0.3">
      <c r="A1666" t="s">
        <v>213</v>
      </c>
      <c r="B1666" s="2">
        <v>45536</v>
      </c>
    </row>
    <row r="1667" spans="1:3" ht="15" hidden="1" customHeight="1" x14ac:dyDescent="0.3">
      <c r="A1667" t="s">
        <v>213</v>
      </c>
      <c r="B1667" s="2">
        <v>45566</v>
      </c>
    </row>
    <row r="1668" spans="1:3" ht="15" hidden="1" customHeight="1" x14ac:dyDescent="0.3">
      <c r="A1668" t="s">
        <v>213</v>
      </c>
      <c r="B1668" s="2">
        <v>45597</v>
      </c>
    </row>
    <row r="1669" spans="1:3" ht="15" hidden="1" customHeight="1" x14ac:dyDescent="0.3">
      <c r="A1669" t="s">
        <v>213</v>
      </c>
      <c r="B1669" s="2">
        <v>45627</v>
      </c>
    </row>
    <row r="1670" spans="1:3" ht="15" hidden="1" customHeight="1" x14ac:dyDescent="0.3">
      <c r="A1670" t="s">
        <v>213</v>
      </c>
      <c r="B1670" s="2">
        <v>45658</v>
      </c>
    </row>
    <row r="1671" spans="1:3" ht="15" hidden="1" customHeight="1" x14ac:dyDescent="0.3">
      <c r="A1671" t="s">
        <v>213</v>
      </c>
      <c r="B1671" s="2">
        <v>45689</v>
      </c>
    </row>
    <row r="1672" spans="1:3" ht="15" hidden="1" customHeight="1" x14ac:dyDescent="0.3">
      <c r="A1672" t="s">
        <v>213</v>
      </c>
      <c r="B1672" s="2">
        <v>45717</v>
      </c>
    </row>
    <row r="1673" spans="1:3" ht="15" hidden="1" customHeight="1" x14ac:dyDescent="0.3">
      <c r="A1673" t="s">
        <v>213</v>
      </c>
      <c r="B1673" s="2">
        <v>45748</v>
      </c>
    </row>
    <row r="1674" spans="1:3" ht="15" hidden="1" customHeight="1" x14ac:dyDescent="0.3">
      <c r="A1674" t="s">
        <v>213</v>
      </c>
      <c r="B1674" s="2">
        <v>45778</v>
      </c>
    </row>
    <row r="1675" spans="1:3" ht="15" hidden="1" customHeight="1" x14ac:dyDescent="0.3">
      <c r="A1675" t="s">
        <v>213</v>
      </c>
      <c r="B1675" s="2">
        <v>45809</v>
      </c>
    </row>
    <row r="1676" spans="1:3" ht="15" hidden="1" customHeight="1" x14ac:dyDescent="0.3">
      <c r="A1676" t="s">
        <v>213</v>
      </c>
      <c r="B1676" s="2">
        <v>45839</v>
      </c>
    </row>
    <row r="1677" spans="1:3" ht="15" hidden="1" customHeight="1" x14ac:dyDescent="0.3">
      <c r="A1677" t="s">
        <v>213</v>
      </c>
      <c r="B1677" s="2">
        <v>45870</v>
      </c>
      <c r="C1677">
        <v>2845</v>
      </c>
    </row>
    <row r="1678" spans="1:3" ht="15" hidden="1" customHeight="1" x14ac:dyDescent="0.3">
      <c r="A1678" t="s">
        <v>213</v>
      </c>
      <c r="B1678" s="2">
        <v>45901</v>
      </c>
      <c r="C1678">
        <v>7367</v>
      </c>
    </row>
    <row r="1679" spans="1:3" ht="15" hidden="1" customHeight="1" x14ac:dyDescent="0.3">
      <c r="A1679" t="s">
        <v>213</v>
      </c>
      <c r="B1679" s="2">
        <v>45931</v>
      </c>
      <c r="C1679">
        <v>8824</v>
      </c>
    </row>
    <row r="1680" spans="1:3" ht="15" hidden="1" customHeight="1" x14ac:dyDescent="0.3">
      <c r="A1680" t="s">
        <v>213</v>
      </c>
      <c r="B1680" s="2">
        <v>45962</v>
      </c>
      <c r="C1680">
        <v>7686</v>
      </c>
    </row>
    <row r="1681" spans="1:3" ht="15" hidden="1" customHeight="1" x14ac:dyDescent="0.3">
      <c r="A1681" t="s">
        <v>213</v>
      </c>
      <c r="B1681" s="2">
        <v>45992</v>
      </c>
      <c r="C1681">
        <v>9330</v>
      </c>
    </row>
    <row r="1682" spans="1:3" ht="15" hidden="1" customHeight="1" x14ac:dyDescent="0.3">
      <c r="A1682" t="s">
        <v>213</v>
      </c>
      <c r="B1682" s="2">
        <v>46023</v>
      </c>
      <c r="C1682">
        <v>9387</v>
      </c>
    </row>
    <row r="1683" spans="1:3" ht="15" hidden="1" customHeight="1" x14ac:dyDescent="0.3">
      <c r="A1683" t="s">
        <v>213</v>
      </c>
      <c r="B1683" s="2">
        <v>46054</v>
      </c>
      <c r="C1683">
        <v>8600</v>
      </c>
    </row>
    <row r="1684" spans="1:3" ht="15" hidden="1" customHeight="1" x14ac:dyDescent="0.3">
      <c r="A1684" t="s">
        <v>213</v>
      </c>
      <c r="B1684" s="2">
        <v>46082</v>
      </c>
      <c r="C1684">
        <v>6749</v>
      </c>
    </row>
    <row r="1685" spans="1:3" ht="15" hidden="1" customHeight="1" x14ac:dyDescent="0.3">
      <c r="A1685" t="s">
        <v>213</v>
      </c>
      <c r="B1685" s="2">
        <v>46113</v>
      </c>
      <c r="C1685">
        <v>6091.51</v>
      </c>
    </row>
    <row r="1686" spans="1:3" ht="15" hidden="1" customHeight="1" x14ac:dyDescent="0.3">
      <c r="A1686" t="s">
        <v>213</v>
      </c>
      <c r="B1686" s="2">
        <v>46143</v>
      </c>
      <c r="C1686" s="12">
        <v>6169.97</v>
      </c>
    </row>
    <row r="1687" spans="1:3" ht="15" hidden="1" customHeight="1" x14ac:dyDescent="0.3">
      <c r="A1687" t="s">
        <v>149</v>
      </c>
      <c r="B1687" s="2">
        <v>46174</v>
      </c>
      <c r="C1687" s="33">
        <v>5956</v>
      </c>
    </row>
    <row r="1688" spans="1:3" ht="15" hidden="1" customHeight="1" x14ac:dyDescent="0.3">
      <c r="A1688" t="s">
        <v>155</v>
      </c>
      <c r="B1688" s="2">
        <v>46204</v>
      </c>
      <c r="C1688">
        <v>0</v>
      </c>
    </row>
    <row r="1689" spans="1:3" ht="15" hidden="1" customHeight="1" x14ac:dyDescent="0.3">
      <c r="A1689" t="s">
        <v>213</v>
      </c>
      <c r="B1689" s="2">
        <v>46235</v>
      </c>
      <c r="C1689">
        <v>6659</v>
      </c>
    </row>
    <row r="1690" spans="1:3" ht="15" customHeight="1" x14ac:dyDescent="0.3">
      <c r="A1690" t="s">
        <v>213</v>
      </c>
      <c r="B1690" s="2">
        <v>46266</v>
      </c>
      <c r="C1690" s="47">
        <v>6939.4892900000004</v>
      </c>
    </row>
    <row r="1691" spans="1:3" ht="15" hidden="1" customHeight="1" x14ac:dyDescent="0.3">
      <c r="A1691" t="s">
        <v>213</v>
      </c>
      <c r="B1691" s="2">
        <v>46296</v>
      </c>
    </row>
    <row r="1692" spans="1:3" ht="15" hidden="1" customHeight="1" x14ac:dyDescent="0.3">
      <c r="A1692" t="s">
        <v>213</v>
      </c>
      <c r="B1692" s="2">
        <v>46327</v>
      </c>
    </row>
    <row r="1693" spans="1:3" ht="15" hidden="1" customHeight="1" x14ac:dyDescent="0.3">
      <c r="A1693" t="s">
        <v>213</v>
      </c>
      <c r="B1693" s="2">
        <v>46357</v>
      </c>
    </row>
    <row r="1694" spans="1:3" ht="15" hidden="1" customHeight="1" x14ac:dyDescent="0.3">
      <c r="A1694" t="s">
        <v>216</v>
      </c>
      <c r="B1694" s="2">
        <v>45292</v>
      </c>
    </row>
    <row r="1695" spans="1:3" ht="15" hidden="1" customHeight="1" x14ac:dyDescent="0.3">
      <c r="A1695" t="s">
        <v>216</v>
      </c>
      <c r="B1695" s="2">
        <v>45323</v>
      </c>
    </row>
    <row r="1696" spans="1:3" ht="15" hidden="1" customHeight="1" x14ac:dyDescent="0.3">
      <c r="A1696" t="s">
        <v>216</v>
      </c>
      <c r="B1696" s="2">
        <v>45352</v>
      </c>
    </row>
    <row r="1697" spans="1:2" ht="15" hidden="1" customHeight="1" x14ac:dyDescent="0.3">
      <c r="A1697" t="s">
        <v>216</v>
      </c>
      <c r="B1697" s="2">
        <v>45383</v>
      </c>
    </row>
    <row r="1698" spans="1:2" ht="15" hidden="1" customHeight="1" x14ac:dyDescent="0.3">
      <c r="A1698" t="s">
        <v>216</v>
      </c>
      <c r="B1698" s="2">
        <v>45413</v>
      </c>
    </row>
    <row r="1699" spans="1:2" ht="15" hidden="1" customHeight="1" x14ac:dyDescent="0.3">
      <c r="A1699" t="s">
        <v>216</v>
      </c>
      <c r="B1699" s="2">
        <v>45444</v>
      </c>
    </row>
    <row r="1700" spans="1:2" ht="15" hidden="1" customHeight="1" x14ac:dyDescent="0.3">
      <c r="A1700" t="s">
        <v>216</v>
      </c>
      <c r="B1700" s="2">
        <v>45474</v>
      </c>
    </row>
    <row r="1701" spans="1:2" ht="15" hidden="1" customHeight="1" x14ac:dyDescent="0.3">
      <c r="A1701" t="s">
        <v>216</v>
      </c>
      <c r="B1701" s="2">
        <v>45505</v>
      </c>
    </row>
    <row r="1702" spans="1:2" ht="15" hidden="1" customHeight="1" x14ac:dyDescent="0.3">
      <c r="A1702" t="s">
        <v>216</v>
      </c>
      <c r="B1702" s="2">
        <v>45536</v>
      </c>
    </row>
    <row r="1703" spans="1:2" ht="15" hidden="1" customHeight="1" x14ac:dyDescent="0.3">
      <c r="A1703" t="s">
        <v>216</v>
      </c>
      <c r="B1703" s="2">
        <v>45566</v>
      </c>
    </row>
    <row r="1704" spans="1:2" ht="15" hidden="1" customHeight="1" x14ac:dyDescent="0.3">
      <c r="A1704" t="s">
        <v>216</v>
      </c>
      <c r="B1704" s="2">
        <v>45597</v>
      </c>
    </row>
    <row r="1705" spans="1:2" ht="15" hidden="1" customHeight="1" x14ac:dyDescent="0.3">
      <c r="A1705" t="s">
        <v>216</v>
      </c>
      <c r="B1705" s="2">
        <v>45627</v>
      </c>
    </row>
    <row r="1706" spans="1:2" ht="15" hidden="1" customHeight="1" x14ac:dyDescent="0.3">
      <c r="A1706" t="s">
        <v>216</v>
      </c>
      <c r="B1706" s="2">
        <v>45658</v>
      </c>
    </row>
    <row r="1707" spans="1:2" ht="15" hidden="1" customHeight="1" x14ac:dyDescent="0.3">
      <c r="A1707" t="s">
        <v>216</v>
      </c>
      <c r="B1707" s="2">
        <v>45689</v>
      </c>
    </row>
    <row r="1708" spans="1:2" ht="15" hidden="1" customHeight="1" x14ac:dyDescent="0.3">
      <c r="A1708" t="s">
        <v>216</v>
      </c>
      <c r="B1708" s="2">
        <v>45717</v>
      </c>
    </row>
    <row r="1709" spans="1:2" ht="15" hidden="1" customHeight="1" x14ac:dyDescent="0.3">
      <c r="A1709" t="s">
        <v>216</v>
      </c>
      <c r="B1709" s="2">
        <v>45748</v>
      </c>
    </row>
    <row r="1710" spans="1:2" ht="15" hidden="1" customHeight="1" x14ac:dyDescent="0.3">
      <c r="A1710" t="s">
        <v>216</v>
      </c>
      <c r="B1710" s="2">
        <v>45778</v>
      </c>
    </row>
    <row r="1711" spans="1:2" ht="15" hidden="1" customHeight="1" x14ac:dyDescent="0.3">
      <c r="A1711" t="s">
        <v>216</v>
      </c>
      <c r="B1711" s="2">
        <v>45809</v>
      </c>
    </row>
    <row r="1712" spans="1:2" ht="15" hidden="1" customHeight="1" x14ac:dyDescent="0.3">
      <c r="A1712" t="s">
        <v>216</v>
      </c>
      <c r="B1712" s="2">
        <v>45839</v>
      </c>
    </row>
    <row r="1713" spans="1:3" ht="15" hidden="1" customHeight="1" x14ac:dyDescent="0.3">
      <c r="A1713" t="s">
        <v>216</v>
      </c>
      <c r="B1713" s="2">
        <v>45870</v>
      </c>
      <c r="C1713">
        <v>8229</v>
      </c>
    </row>
    <row r="1714" spans="1:3" ht="15" hidden="1" customHeight="1" x14ac:dyDescent="0.3">
      <c r="A1714" t="s">
        <v>216</v>
      </c>
      <c r="B1714" s="2">
        <v>45901</v>
      </c>
      <c r="C1714">
        <v>21334</v>
      </c>
    </row>
    <row r="1715" spans="1:3" ht="15" hidden="1" customHeight="1" x14ac:dyDescent="0.3">
      <c r="A1715" t="s">
        <v>216</v>
      </c>
      <c r="B1715" s="2">
        <v>45931</v>
      </c>
      <c r="C1715">
        <v>26578</v>
      </c>
    </row>
    <row r="1716" spans="1:3" ht="15" hidden="1" customHeight="1" x14ac:dyDescent="0.3">
      <c r="A1716" t="s">
        <v>216</v>
      </c>
      <c r="B1716" s="2">
        <v>45962</v>
      </c>
      <c r="C1716">
        <v>22629</v>
      </c>
    </row>
    <row r="1717" spans="1:3" ht="15" hidden="1" customHeight="1" x14ac:dyDescent="0.3">
      <c r="A1717" t="s">
        <v>216</v>
      </c>
      <c r="B1717" s="2">
        <v>45992</v>
      </c>
      <c r="C1717">
        <v>27791</v>
      </c>
    </row>
    <row r="1718" spans="1:3" ht="15" hidden="1" customHeight="1" x14ac:dyDescent="0.3">
      <c r="A1718" t="s">
        <v>216</v>
      </c>
      <c r="B1718" s="2">
        <v>46023</v>
      </c>
      <c r="C1718">
        <v>27879</v>
      </c>
    </row>
    <row r="1719" spans="1:3" ht="15" hidden="1" customHeight="1" x14ac:dyDescent="0.3">
      <c r="A1719" t="s">
        <v>216</v>
      </c>
      <c r="B1719" s="2">
        <v>46054</v>
      </c>
      <c r="C1719">
        <v>25500</v>
      </c>
    </row>
    <row r="1720" spans="1:3" ht="15" hidden="1" customHeight="1" x14ac:dyDescent="0.3">
      <c r="A1720" t="s">
        <v>216</v>
      </c>
      <c r="B1720" s="2">
        <v>46082</v>
      </c>
      <c r="C1720">
        <v>20753</v>
      </c>
    </row>
    <row r="1721" spans="1:3" ht="15" hidden="1" customHeight="1" x14ac:dyDescent="0.3">
      <c r="A1721" t="s">
        <v>216</v>
      </c>
      <c r="B1721" s="2">
        <v>46113</v>
      </c>
      <c r="C1721">
        <v>18061.39</v>
      </c>
    </row>
    <row r="1722" spans="1:3" ht="15" hidden="1" customHeight="1" x14ac:dyDescent="0.3">
      <c r="A1722" t="s">
        <v>216</v>
      </c>
      <c r="B1722" s="2">
        <v>46143</v>
      </c>
      <c r="C1722" s="12">
        <v>18908.48</v>
      </c>
    </row>
    <row r="1723" spans="1:3" ht="15" hidden="1" customHeight="1" x14ac:dyDescent="0.3">
      <c r="A1723" t="s">
        <v>216</v>
      </c>
      <c r="B1723" s="2">
        <v>46174</v>
      </c>
      <c r="C1723">
        <v>14035.5</v>
      </c>
    </row>
    <row r="1724" spans="1:3" ht="15" hidden="1" customHeight="1" x14ac:dyDescent="0.3">
      <c r="A1724" t="s">
        <v>157</v>
      </c>
      <c r="B1724" s="2">
        <v>46204</v>
      </c>
      <c r="C1724">
        <v>4628</v>
      </c>
    </row>
    <row r="1725" spans="1:3" ht="15" hidden="1" customHeight="1" x14ac:dyDescent="0.3">
      <c r="A1725" t="s">
        <v>216</v>
      </c>
      <c r="B1725" s="2">
        <v>46235</v>
      </c>
      <c r="C1725">
        <v>20112.53</v>
      </c>
    </row>
    <row r="1726" spans="1:3" ht="15" customHeight="1" x14ac:dyDescent="0.3">
      <c r="A1726" t="s">
        <v>216</v>
      </c>
      <c r="B1726" s="2">
        <v>46266</v>
      </c>
      <c r="C1726" s="47">
        <v>20045.689999999999</v>
      </c>
    </row>
    <row r="1727" spans="1:3" ht="15" hidden="1" customHeight="1" x14ac:dyDescent="0.3">
      <c r="A1727" t="s">
        <v>216</v>
      </c>
      <c r="B1727" s="2">
        <v>46296</v>
      </c>
    </row>
    <row r="1728" spans="1:3" ht="15" hidden="1" customHeight="1" x14ac:dyDescent="0.3">
      <c r="A1728" t="s">
        <v>216</v>
      </c>
      <c r="B1728" s="2">
        <v>46327</v>
      </c>
    </row>
    <row r="1729" spans="1:2" ht="15" hidden="1" customHeight="1" x14ac:dyDescent="0.3">
      <c r="A1729" t="s">
        <v>216</v>
      </c>
      <c r="B1729" s="2">
        <v>46357</v>
      </c>
    </row>
    <row r="1730" spans="1:2" ht="15" hidden="1" customHeight="1" x14ac:dyDescent="0.3">
      <c r="A1730" t="s">
        <v>218</v>
      </c>
      <c r="B1730" s="2">
        <v>45292</v>
      </c>
    </row>
    <row r="1731" spans="1:2" ht="15" hidden="1" customHeight="1" x14ac:dyDescent="0.3">
      <c r="A1731" t="s">
        <v>218</v>
      </c>
      <c r="B1731" s="2">
        <v>45323</v>
      </c>
    </row>
    <row r="1732" spans="1:2" ht="15" hidden="1" customHeight="1" x14ac:dyDescent="0.3">
      <c r="A1732" t="s">
        <v>218</v>
      </c>
      <c r="B1732" s="2">
        <v>45352</v>
      </c>
    </row>
    <row r="1733" spans="1:2" ht="15" hidden="1" customHeight="1" x14ac:dyDescent="0.3">
      <c r="A1733" t="s">
        <v>218</v>
      </c>
      <c r="B1733" s="2">
        <v>45383</v>
      </c>
    </row>
    <row r="1734" spans="1:2" ht="15" hidden="1" customHeight="1" x14ac:dyDescent="0.3">
      <c r="A1734" t="s">
        <v>218</v>
      </c>
      <c r="B1734" s="2">
        <v>45413</v>
      </c>
    </row>
    <row r="1735" spans="1:2" ht="15" hidden="1" customHeight="1" x14ac:dyDescent="0.3">
      <c r="A1735" t="s">
        <v>218</v>
      </c>
      <c r="B1735" s="2">
        <v>45444</v>
      </c>
    </row>
    <row r="1736" spans="1:2" ht="15" hidden="1" customHeight="1" x14ac:dyDescent="0.3">
      <c r="A1736" t="s">
        <v>218</v>
      </c>
      <c r="B1736" s="2">
        <v>45474</v>
      </c>
    </row>
    <row r="1737" spans="1:2" ht="15" hidden="1" customHeight="1" x14ac:dyDescent="0.3">
      <c r="A1737" t="s">
        <v>218</v>
      </c>
      <c r="B1737" s="2">
        <v>45505</v>
      </c>
    </row>
    <row r="1738" spans="1:2" ht="15" hidden="1" customHeight="1" x14ac:dyDescent="0.3">
      <c r="A1738" t="s">
        <v>218</v>
      </c>
      <c r="B1738" s="2">
        <v>45536</v>
      </c>
    </row>
    <row r="1739" spans="1:2" ht="15" hidden="1" customHeight="1" x14ac:dyDescent="0.3">
      <c r="A1739" t="s">
        <v>218</v>
      </c>
      <c r="B1739" s="2">
        <v>45566</v>
      </c>
    </row>
    <row r="1740" spans="1:2" ht="15" hidden="1" customHeight="1" x14ac:dyDescent="0.3">
      <c r="A1740" t="s">
        <v>218</v>
      </c>
      <c r="B1740" s="2">
        <v>45597</v>
      </c>
    </row>
    <row r="1741" spans="1:2" ht="15" hidden="1" customHeight="1" x14ac:dyDescent="0.3">
      <c r="A1741" t="s">
        <v>218</v>
      </c>
      <c r="B1741" s="2">
        <v>45627</v>
      </c>
    </row>
    <row r="1742" spans="1:2" ht="15" hidden="1" customHeight="1" x14ac:dyDescent="0.3">
      <c r="A1742" t="s">
        <v>218</v>
      </c>
      <c r="B1742" s="2">
        <v>45658</v>
      </c>
    </row>
    <row r="1743" spans="1:2" ht="15" hidden="1" customHeight="1" x14ac:dyDescent="0.3">
      <c r="A1743" t="s">
        <v>218</v>
      </c>
      <c r="B1743" s="2">
        <v>45689</v>
      </c>
    </row>
    <row r="1744" spans="1:2" ht="15" hidden="1" customHeight="1" x14ac:dyDescent="0.3">
      <c r="A1744" t="s">
        <v>218</v>
      </c>
      <c r="B1744" s="2">
        <v>45717</v>
      </c>
    </row>
    <row r="1745" spans="1:3" ht="15" hidden="1" customHeight="1" x14ac:dyDescent="0.3">
      <c r="A1745" t="s">
        <v>218</v>
      </c>
      <c r="B1745" s="2">
        <v>45748</v>
      </c>
    </row>
    <row r="1746" spans="1:3" ht="15" hidden="1" customHeight="1" x14ac:dyDescent="0.3">
      <c r="A1746" t="s">
        <v>218</v>
      </c>
      <c r="B1746" s="2">
        <v>45778</v>
      </c>
    </row>
    <row r="1747" spans="1:3" ht="15" hidden="1" customHeight="1" x14ac:dyDescent="0.3">
      <c r="A1747" t="s">
        <v>218</v>
      </c>
      <c r="B1747" s="2">
        <v>45809</v>
      </c>
    </row>
    <row r="1748" spans="1:3" ht="15" hidden="1" customHeight="1" x14ac:dyDescent="0.3">
      <c r="A1748" t="s">
        <v>218</v>
      </c>
      <c r="B1748" s="2">
        <v>45839</v>
      </c>
    </row>
    <row r="1749" spans="1:3" ht="15" hidden="1" customHeight="1" x14ac:dyDescent="0.3">
      <c r="A1749" t="s">
        <v>218</v>
      </c>
      <c r="B1749" s="2">
        <v>45870</v>
      </c>
      <c r="C1749">
        <v>2512</v>
      </c>
    </row>
    <row r="1750" spans="1:3" ht="15" hidden="1" customHeight="1" x14ac:dyDescent="0.3">
      <c r="A1750" t="s">
        <v>218</v>
      </c>
      <c r="B1750" s="2">
        <v>45901</v>
      </c>
      <c r="C1750">
        <v>7570</v>
      </c>
    </row>
    <row r="1751" spans="1:3" ht="15" hidden="1" customHeight="1" x14ac:dyDescent="0.3">
      <c r="A1751" t="s">
        <v>218</v>
      </c>
      <c r="B1751" s="2">
        <v>45931</v>
      </c>
      <c r="C1751">
        <v>8856</v>
      </c>
    </row>
    <row r="1752" spans="1:3" ht="15" hidden="1" customHeight="1" x14ac:dyDescent="0.3">
      <c r="A1752" t="s">
        <v>218</v>
      </c>
      <c r="B1752" s="2">
        <v>45962</v>
      </c>
      <c r="C1752">
        <v>7508</v>
      </c>
    </row>
    <row r="1753" spans="1:3" ht="15" hidden="1" customHeight="1" x14ac:dyDescent="0.3">
      <c r="A1753" t="s">
        <v>218</v>
      </c>
      <c r="B1753" s="2">
        <v>45992</v>
      </c>
      <c r="C1753">
        <v>9313</v>
      </c>
    </row>
    <row r="1754" spans="1:3" ht="15" hidden="1" customHeight="1" x14ac:dyDescent="0.3">
      <c r="A1754" t="s">
        <v>218</v>
      </c>
      <c r="B1754" s="2">
        <v>46023</v>
      </c>
      <c r="C1754">
        <v>9484</v>
      </c>
    </row>
    <row r="1755" spans="1:3" ht="15" hidden="1" customHeight="1" x14ac:dyDescent="0.3">
      <c r="A1755" t="s">
        <v>218</v>
      </c>
      <c r="B1755" s="2">
        <v>46054</v>
      </c>
      <c r="C1755">
        <v>8425.7999999999993</v>
      </c>
    </row>
    <row r="1756" spans="1:3" ht="15" hidden="1" customHeight="1" x14ac:dyDescent="0.3">
      <c r="A1756" t="s">
        <v>218</v>
      </c>
      <c r="B1756" s="2">
        <v>46082</v>
      </c>
      <c r="C1756">
        <v>7083</v>
      </c>
    </row>
    <row r="1757" spans="1:3" ht="15" hidden="1" customHeight="1" x14ac:dyDescent="0.3">
      <c r="A1757" t="s">
        <v>218</v>
      </c>
      <c r="B1757" s="2">
        <v>46113</v>
      </c>
      <c r="C1757">
        <v>6207.8</v>
      </c>
    </row>
    <row r="1758" spans="1:3" ht="15" hidden="1" customHeight="1" x14ac:dyDescent="0.3">
      <c r="A1758" t="s">
        <v>218</v>
      </c>
      <c r="B1758" s="2">
        <v>46143</v>
      </c>
      <c r="C1758" s="12">
        <v>6478.04</v>
      </c>
    </row>
    <row r="1759" spans="1:3" ht="15" hidden="1" customHeight="1" x14ac:dyDescent="0.3">
      <c r="A1759" t="s">
        <v>160</v>
      </c>
      <c r="B1759" s="2">
        <v>46174</v>
      </c>
      <c r="C1759">
        <v>13699</v>
      </c>
    </row>
    <row r="1760" spans="1:3" ht="15" hidden="1" customHeight="1" x14ac:dyDescent="0.3">
      <c r="A1760" t="s">
        <v>160</v>
      </c>
      <c r="B1760" s="2">
        <v>46204</v>
      </c>
      <c r="C1760">
        <v>16691</v>
      </c>
    </row>
    <row r="1761" spans="1:3" ht="15" hidden="1" customHeight="1" x14ac:dyDescent="0.3">
      <c r="A1761" t="s">
        <v>218</v>
      </c>
      <c r="B1761" s="2">
        <v>46235</v>
      </c>
      <c r="C1761">
        <v>2900</v>
      </c>
    </row>
    <row r="1762" spans="1:3" ht="15" customHeight="1" x14ac:dyDescent="0.3">
      <c r="A1762" t="s">
        <v>218</v>
      </c>
      <c r="B1762" s="2">
        <v>46266</v>
      </c>
      <c r="C1762" s="47">
        <v>6579.8013199999996</v>
      </c>
    </row>
    <row r="1763" spans="1:3" ht="15" hidden="1" customHeight="1" x14ac:dyDescent="0.3">
      <c r="A1763" t="s">
        <v>218</v>
      </c>
      <c r="B1763" s="2">
        <v>46296</v>
      </c>
    </row>
    <row r="1764" spans="1:3" ht="15" hidden="1" customHeight="1" x14ac:dyDescent="0.3">
      <c r="A1764" t="s">
        <v>218</v>
      </c>
      <c r="B1764" s="2">
        <v>46327</v>
      </c>
    </row>
    <row r="1765" spans="1:3" ht="15" hidden="1" customHeight="1" x14ac:dyDescent="0.3">
      <c r="A1765" t="s">
        <v>218</v>
      </c>
      <c r="B1765" s="2">
        <v>46357</v>
      </c>
    </row>
    <row r="1766" spans="1:3" ht="15" hidden="1" customHeight="1" x14ac:dyDescent="0.3">
      <c r="A1766" t="s">
        <v>163</v>
      </c>
      <c r="B1766" s="2">
        <v>45292</v>
      </c>
      <c r="C1766">
        <v>1720</v>
      </c>
    </row>
    <row r="1767" spans="1:3" ht="15" hidden="1" customHeight="1" x14ac:dyDescent="0.3">
      <c r="A1767" t="s">
        <v>163</v>
      </c>
      <c r="B1767" s="2">
        <v>45323</v>
      </c>
      <c r="C1767">
        <v>1864</v>
      </c>
    </row>
    <row r="1768" spans="1:3" ht="15" hidden="1" customHeight="1" x14ac:dyDescent="0.3">
      <c r="A1768" t="s">
        <v>163</v>
      </c>
      <c r="B1768" s="2">
        <v>45352</v>
      </c>
      <c r="C1768">
        <v>2167</v>
      </c>
    </row>
    <row r="1769" spans="1:3" ht="15" hidden="1" customHeight="1" x14ac:dyDescent="0.3">
      <c r="A1769" t="s">
        <v>163</v>
      </c>
      <c r="B1769" s="2">
        <v>45383</v>
      </c>
      <c r="C1769">
        <v>1409</v>
      </c>
    </row>
    <row r="1770" spans="1:3" ht="15" hidden="1" customHeight="1" x14ac:dyDescent="0.3">
      <c r="A1770" t="s">
        <v>163</v>
      </c>
      <c r="B1770" s="2">
        <v>45413</v>
      </c>
      <c r="C1770">
        <v>1672</v>
      </c>
    </row>
    <row r="1771" spans="1:3" ht="15" hidden="1" customHeight="1" x14ac:dyDescent="0.3">
      <c r="A1771" t="s">
        <v>163</v>
      </c>
      <c r="B1771" s="2">
        <v>45444</v>
      </c>
      <c r="C1771">
        <v>1125</v>
      </c>
    </row>
    <row r="1772" spans="1:3" ht="15" hidden="1" customHeight="1" x14ac:dyDescent="0.3">
      <c r="A1772" t="s">
        <v>163</v>
      </c>
      <c r="B1772" s="2">
        <v>45474</v>
      </c>
      <c r="C1772">
        <v>2628</v>
      </c>
    </row>
    <row r="1773" spans="1:3" ht="15" hidden="1" customHeight="1" x14ac:dyDescent="0.3">
      <c r="A1773" t="s">
        <v>163</v>
      </c>
      <c r="B1773" s="2">
        <v>45505</v>
      </c>
      <c r="C1773">
        <v>794</v>
      </c>
    </row>
    <row r="1774" spans="1:3" ht="15" hidden="1" customHeight="1" x14ac:dyDescent="0.3">
      <c r="A1774" t="s">
        <v>163</v>
      </c>
      <c r="B1774" s="2">
        <v>45536</v>
      </c>
      <c r="C1774">
        <v>1822</v>
      </c>
    </row>
    <row r="1775" spans="1:3" ht="15" hidden="1" customHeight="1" x14ac:dyDescent="0.3">
      <c r="A1775" t="s">
        <v>163</v>
      </c>
      <c r="B1775" s="2">
        <v>45566</v>
      </c>
      <c r="C1775">
        <v>2044</v>
      </c>
    </row>
    <row r="1776" spans="1:3" ht="15" hidden="1" customHeight="1" x14ac:dyDescent="0.3">
      <c r="A1776" t="s">
        <v>163</v>
      </c>
      <c r="B1776" s="2">
        <v>45597</v>
      </c>
      <c r="C1776">
        <v>1984</v>
      </c>
    </row>
    <row r="1777" spans="1:3" ht="15" hidden="1" customHeight="1" x14ac:dyDescent="0.3">
      <c r="A1777" t="s">
        <v>163</v>
      </c>
      <c r="B1777" s="2">
        <v>45627</v>
      </c>
      <c r="C1777">
        <v>1687</v>
      </c>
    </row>
    <row r="1778" spans="1:3" ht="15" hidden="1" customHeight="1" x14ac:dyDescent="0.3">
      <c r="A1778" t="s">
        <v>163</v>
      </c>
      <c r="B1778" s="2">
        <v>45658</v>
      </c>
      <c r="C1778">
        <v>2354</v>
      </c>
    </row>
    <row r="1779" spans="1:3" ht="15" hidden="1" customHeight="1" x14ac:dyDescent="0.3">
      <c r="A1779" t="s">
        <v>163</v>
      </c>
      <c r="B1779" s="2">
        <v>45689</v>
      </c>
      <c r="C1779">
        <v>1728</v>
      </c>
    </row>
    <row r="1780" spans="1:3" ht="15" hidden="1" customHeight="1" x14ac:dyDescent="0.3">
      <c r="A1780" t="s">
        <v>163</v>
      </c>
      <c r="B1780" s="2">
        <v>45717</v>
      </c>
      <c r="C1780">
        <v>1704</v>
      </c>
    </row>
    <row r="1781" spans="1:3" ht="15" hidden="1" customHeight="1" x14ac:dyDescent="0.3">
      <c r="A1781" t="s">
        <v>163</v>
      </c>
      <c r="B1781" s="2">
        <v>45748</v>
      </c>
      <c r="C1781">
        <v>1518</v>
      </c>
    </row>
    <row r="1782" spans="1:3" ht="15" hidden="1" customHeight="1" x14ac:dyDescent="0.3">
      <c r="A1782" t="s">
        <v>163</v>
      </c>
      <c r="B1782" s="2">
        <v>45778</v>
      </c>
      <c r="C1782">
        <v>2450</v>
      </c>
    </row>
    <row r="1783" spans="1:3" ht="15" hidden="1" customHeight="1" x14ac:dyDescent="0.3">
      <c r="A1783" t="s">
        <v>163</v>
      </c>
      <c r="B1783" s="2">
        <v>45809</v>
      </c>
      <c r="C1783">
        <v>2470.27</v>
      </c>
    </row>
    <row r="1784" spans="1:3" ht="15" hidden="1" customHeight="1" x14ac:dyDescent="0.3">
      <c r="A1784" t="s">
        <v>163</v>
      </c>
      <c r="B1784" s="2">
        <v>45839</v>
      </c>
      <c r="C1784">
        <v>2714</v>
      </c>
    </row>
    <row r="1785" spans="1:3" ht="15" hidden="1" customHeight="1" x14ac:dyDescent="0.3">
      <c r="A1785" t="s">
        <v>163</v>
      </c>
      <c r="B1785" s="2">
        <v>45870</v>
      </c>
      <c r="C1785">
        <v>2694</v>
      </c>
    </row>
    <row r="1786" spans="1:3" ht="15" hidden="1" customHeight="1" x14ac:dyDescent="0.3">
      <c r="A1786" t="s">
        <v>163</v>
      </c>
      <c r="B1786" s="2">
        <v>45901</v>
      </c>
      <c r="C1786">
        <v>1488</v>
      </c>
    </row>
    <row r="1787" spans="1:3" ht="15" hidden="1" customHeight="1" x14ac:dyDescent="0.3">
      <c r="A1787" t="s">
        <v>163</v>
      </c>
      <c r="B1787" s="2">
        <v>45931</v>
      </c>
      <c r="C1787">
        <v>380</v>
      </c>
    </row>
    <row r="1788" spans="1:3" ht="15" hidden="1" customHeight="1" x14ac:dyDescent="0.3">
      <c r="A1788" t="s">
        <v>163</v>
      </c>
      <c r="B1788" s="2">
        <v>45962</v>
      </c>
    </row>
    <row r="1789" spans="1:3" ht="15" hidden="1" customHeight="1" x14ac:dyDescent="0.3">
      <c r="A1789" t="s">
        <v>163</v>
      </c>
      <c r="B1789" s="2">
        <v>45992</v>
      </c>
    </row>
    <row r="1790" spans="1:3" ht="15" hidden="1" customHeight="1" x14ac:dyDescent="0.3">
      <c r="A1790" t="s">
        <v>163</v>
      </c>
      <c r="B1790" s="2">
        <v>46023</v>
      </c>
    </row>
    <row r="1791" spans="1:3" ht="15" hidden="1" customHeight="1" x14ac:dyDescent="0.3">
      <c r="A1791" t="s">
        <v>163</v>
      </c>
      <c r="B1791" s="2">
        <v>46054</v>
      </c>
    </row>
    <row r="1792" spans="1:3" ht="15" hidden="1" customHeight="1" x14ac:dyDescent="0.3">
      <c r="A1792" t="s">
        <v>163</v>
      </c>
      <c r="B1792" s="2">
        <v>46082</v>
      </c>
    </row>
    <row r="1793" spans="1:3" ht="15" hidden="1" customHeight="1" x14ac:dyDescent="0.3">
      <c r="A1793" t="s">
        <v>163</v>
      </c>
      <c r="B1793" s="2">
        <v>46113</v>
      </c>
    </row>
    <row r="1794" spans="1:3" ht="15" hidden="1" customHeight="1" x14ac:dyDescent="0.3">
      <c r="A1794" t="s">
        <v>163</v>
      </c>
      <c r="B1794" s="2">
        <v>46143</v>
      </c>
    </row>
    <row r="1795" spans="1:3" ht="15" hidden="1" customHeight="1" x14ac:dyDescent="0.3">
      <c r="A1795" t="s">
        <v>163</v>
      </c>
      <c r="B1795" s="2">
        <v>46174</v>
      </c>
    </row>
    <row r="1796" spans="1:3" ht="15" hidden="1" customHeight="1" x14ac:dyDescent="0.3">
      <c r="A1796" t="s">
        <v>244</v>
      </c>
      <c r="B1796" s="2">
        <v>46204</v>
      </c>
      <c r="C1796">
        <v>10570</v>
      </c>
    </row>
    <row r="1797" spans="1:3" ht="15" hidden="1" customHeight="1" x14ac:dyDescent="0.3">
      <c r="A1797" t="s">
        <v>163</v>
      </c>
      <c r="B1797" s="2">
        <v>46235</v>
      </c>
    </row>
    <row r="1798" spans="1:3" ht="15" customHeight="1" x14ac:dyDescent="0.3">
      <c r="A1798" t="s">
        <v>163</v>
      </c>
      <c r="B1798" s="2">
        <v>46266</v>
      </c>
      <c r="C1798" s="47"/>
    </row>
    <row r="1799" spans="1:3" ht="15" hidden="1" customHeight="1" x14ac:dyDescent="0.3">
      <c r="A1799" t="s">
        <v>163</v>
      </c>
      <c r="B1799" s="2">
        <v>46296</v>
      </c>
    </row>
    <row r="1800" spans="1:3" ht="15" hidden="1" customHeight="1" x14ac:dyDescent="0.3">
      <c r="A1800" t="s">
        <v>163</v>
      </c>
      <c r="B1800" s="2">
        <v>46327</v>
      </c>
    </row>
    <row r="1801" spans="1:3" ht="15" hidden="1" customHeight="1" x14ac:dyDescent="0.3">
      <c r="A1801" t="s">
        <v>163</v>
      </c>
      <c r="B1801" s="2">
        <v>46357</v>
      </c>
    </row>
    <row r="1802" spans="1:3" ht="15" hidden="1" customHeight="1" x14ac:dyDescent="0.3">
      <c r="A1802" t="s">
        <v>166</v>
      </c>
      <c r="B1802" s="2">
        <v>45292</v>
      </c>
      <c r="C1802">
        <v>17948</v>
      </c>
    </row>
    <row r="1803" spans="1:3" ht="15" hidden="1" customHeight="1" x14ac:dyDescent="0.3">
      <c r="A1803" t="s">
        <v>166</v>
      </c>
      <c r="B1803" s="2">
        <v>45323</v>
      </c>
      <c r="C1803">
        <v>16954</v>
      </c>
    </row>
    <row r="1804" spans="1:3" ht="15" hidden="1" customHeight="1" x14ac:dyDescent="0.3">
      <c r="A1804" t="s">
        <v>166</v>
      </c>
      <c r="B1804" s="2">
        <v>45352</v>
      </c>
      <c r="C1804">
        <v>16498</v>
      </c>
    </row>
    <row r="1805" spans="1:3" ht="15" hidden="1" customHeight="1" x14ac:dyDescent="0.3">
      <c r="A1805" t="s">
        <v>166</v>
      </c>
      <c r="B1805" s="2">
        <v>45383</v>
      </c>
      <c r="C1805">
        <v>13514</v>
      </c>
    </row>
    <row r="1806" spans="1:3" ht="15" hidden="1" customHeight="1" x14ac:dyDescent="0.3">
      <c r="A1806" t="s">
        <v>166</v>
      </c>
      <c r="B1806" s="2">
        <v>45413</v>
      </c>
      <c r="C1806">
        <v>13524</v>
      </c>
    </row>
    <row r="1807" spans="1:3" ht="15" hidden="1" customHeight="1" x14ac:dyDescent="0.3">
      <c r="A1807" t="s">
        <v>166</v>
      </c>
      <c r="B1807" s="2">
        <v>45444</v>
      </c>
      <c r="C1807">
        <v>11348</v>
      </c>
    </row>
    <row r="1808" spans="1:3" ht="15" hidden="1" customHeight="1" x14ac:dyDescent="0.3">
      <c r="A1808" t="s">
        <v>166</v>
      </c>
      <c r="B1808" s="2">
        <v>45474</v>
      </c>
      <c r="C1808">
        <v>12215</v>
      </c>
    </row>
    <row r="1809" spans="1:3" ht="15" hidden="1" customHeight="1" x14ac:dyDescent="0.3">
      <c r="A1809" t="s">
        <v>166</v>
      </c>
      <c r="B1809" s="2">
        <v>45505</v>
      </c>
      <c r="C1809">
        <v>12637</v>
      </c>
    </row>
    <row r="1810" spans="1:3" ht="15" hidden="1" customHeight="1" x14ac:dyDescent="0.3">
      <c r="A1810" t="s">
        <v>166</v>
      </c>
      <c r="B1810" s="2">
        <v>45536</v>
      </c>
      <c r="C1810">
        <v>12990</v>
      </c>
    </row>
    <row r="1811" spans="1:3" ht="15" hidden="1" customHeight="1" x14ac:dyDescent="0.3">
      <c r="A1811" t="s">
        <v>166</v>
      </c>
      <c r="B1811" s="2">
        <v>45566</v>
      </c>
      <c r="C1811">
        <v>10518</v>
      </c>
    </row>
    <row r="1812" spans="1:3" ht="15" hidden="1" customHeight="1" x14ac:dyDescent="0.3">
      <c r="A1812" t="s">
        <v>166</v>
      </c>
      <c r="B1812" s="2">
        <v>45597</v>
      </c>
      <c r="C1812">
        <v>5878</v>
      </c>
    </row>
    <row r="1813" spans="1:3" ht="15" hidden="1" customHeight="1" x14ac:dyDescent="0.3">
      <c r="A1813" t="s">
        <v>166</v>
      </c>
      <c r="B1813" s="2">
        <v>45627</v>
      </c>
      <c r="C1813">
        <v>17496</v>
      </c>
    </row>
    <row r="1814" spans="1:3" ht="15" hidden="1" customHeight="1" x14ac:dyDescent="0.3">
      <c r="A1814" t="s">
        <v>166</v>
      </c>
      <c r="B1814" s="2">
        <v>45658</v>
      </c>
      <c r="C1814">
        <v>16026</v>
      </c>
    </row>
    <row r="1815" spans="1:3" ht="15" hidden="1" customHeight="1" x14ac:dyDescent="0.3">
      <c r="A1815" t="s">
        <v>166</v>
      </c>
      <c r="B1815" s="2">
        <v>45689</v>
      </c>
      <c r="C1815">
        <v>13689</v>
      </c>
    </row>
    <row r="1816" spans="1:3" ht="15" hidden="1" customHeight="1" x14ac:dyDescent="0.3">
      <c r="A1816" t="s">
        <v>166</v>
      </c>
      <c r="B1816" s="2">
        <v>45717</v>
      </c>
      <c r="C1816">
        <v>11995</v>
      </c>
    </row>
    <row r="1817" spans="1:3" ht="15" hidden="1" customHeight="1" x14ac:dyDescent="0.3">
      <c r="A1817" t="s">
        <v>166</v>
      </c>
      <c r="B1817" s="2">
        <v>45748</v>
      </c>
      <c r="C1817">
        <v>6680</v>
      </c>
    </row>
    <row r="1818" spans="1:3" ht="15" hidden="1" customHeight="1" x14ac:dyDescent="0.3">
      <c r="A1818" t="s">
        <v>166</v>
      </c>
      <c r="B1818" s="2">
        <v>45778</v>
      </c>
      <c r="C1818">
        <v>11933</v>
      </c>
    </row>
    <row r="1819" spans="1:3" ht="15" hidden="1" customHeight="1" x14ac:dyDescent="0.3">
      <c r="A1819" t="s">
        <v>166</v>
      </c>
      <c r="B1819" s="2">
        <v>45809</v>
      </c>
      <c r="C1819">
        <v>9797.26</v>
      </c>
    </row>
    <row r="1820" spans="1:3" ht="15" hidden="1" customHeight="1" x14ac:dyDescent="0.3">
      <c r="A1820" t="s">
        <v>166</v>
      </c>
      <c r="B1820" s="2">
        <v>45839</v>
      </c>
      <c r="C1820">
        <v>9134.4</v>
      </c>
    </row>
    <row r="1821" spans="1:3" ht="15" hidden="1" customHeight="1" x14ac:dyDescent="0.3">
      <c r="A1821" t="s">
        <v>166</v>
      </c>
      <c r="B1821" s="2">
        <v>45870</v>
      </c>
      <c r="C1821">
        <v>15551</v>
      </c>
    </row>
    <row r="1822" spans="1:3" ht="15" hidden="1" customHeight="1" x14ac:dyDescent="0.3">
      <c r="A1822" t="s">
        <v>166</v>
      </c>
      <c r="B1822" s="2">
        <v>45901</v>
      </c>
      <c r="C1822">
        <v>14894</v>
      </c>
    </row>
    <row r="1823" spans="1:3" ht="15" hidden="1" customHeight="1" x14ac:dyDescent="0.3">
      <c r="A1823" t="s">
        <v>166</v>
      </c>
      <c r="B1823" s="2">
        <v>45931</v>
      </c>
      <c r="C1823">
        <v>17167</v>
      </c>
    </row>
    <row r="1824" spans="1:3" ht="15" hidden="1" customHeight="1" x14ac:dyDescent="0.3">
      <c r="A1824" t="s">
        <v>166</v>
      </c>
      <c r="B1824" s="2">
        <v>45962</v>
      </c>
      <c r="C1824">
        <v>14437</v>
      </c>
    </row>
    <row r="1825" spans="1:3" ht="15" hidden="1" customHeight="1" x14ac:dyDescent="0.3">
      <c r="A1825" t="s">
        <v>166</v>
      </c>
      <c r="B1825" s="2">
        <v>45992</v>
      </c>
      <c r="C1825">
        <v>14721</v>
      </c>
    </row>
    <row r="1826" spans="1:3" ht="15" hidden="1" customHeight="1" x14ac:dyDescent="0.3">
      <c r="A1826" t="s">
        <v>166</v>
      </c>
      <c r="B1826" s="2">
        <v>46023</v>
      </c>
      <c r="C1826">
        <v>16129</v>
      </c>
    </row>
    <row r="1827" spans="1:3" ht="15" hidden="1" customHeight="1" x14ac:dyDescent="0.3">
      <c r="A1827" t="s">
        <v>166</v>
      </c>
      <c r="B1827" s="2">
        <v>46054</v>
      </c>
      <c r="C1827">
        <v>15901</v>
      </c>
    </row>
    <row r="1828" spans="1:3" ht="15" hidden="1" customHeight="1" x14ac:dyDescent="0.3">
      <c r="A1828" t="s">
        <v>166</v>
      </c>
      <c r="B1828" s="2">
        <v>46082</v>
      </c>
      <c r="C1828">
        <v>13942</v>
      </c>
    </row>
    <row r="1829" spans="1:3" ht="15" hidden="1" customHeight="1" x14ac:dyDescent="0.3">
      <c r="A1829" t="s">
        <v>166</v>
      </c>
      <c r="B1829" s="2">
        <v>46113</v>
      </c>
      <c r="C1829">
        <v>12240.56</v>
      </c>
    </row>
    <row r="1830" spans="1:3" ht="15" hidden="1" customHeight="1" x14ac:dyDescent="0.3">
      <c r="A1830" t="s">
        <v>166</v>
      </c>
      <c r="B1830" s="2">
        <v>46143</v>
      </c>
      <c r="C1830" s="12">
        <v>12352.61</v>
      </c>
    </row>
    <row r="1831" spans="1:3" ht="15" hidden="1" customHeight="1" x14ac:dyDescent="0.3">
      <c r="A1831" t="s">
        <v>166</v>
      </c>
      <c r="B1831" s="2">
        <v>46174</v>
      </c>
      <c r="C1831">
        <v>11089</v>
      </c>
    </row>
    <row r="1832" spans="1:3" ht="15" hidden="1" customHeight="1" x14ac:dyDescent="0.3">
      <c r="A1832" t="s">
        <v>163</v>
      </c>
      <c r="B1832" s="2">
        <v>46204</v>
      </c>
      <c r="C1832">
        <v>0</v>
      </c>
    </row>
    <row r="1833" spans="1:3" ht="15" hidden="1" customHeight="1" x14ac:dyDescent="0.3">
      <c r="A1833" t="s">
        <v>166</v>
      </c>
      <c r="B1833" s="2">
        <v>46235</v>
      </c>
      <c r="C1833">
        <v>13852</v>
      </c>
    </row>
    <row r="1834" spans="1:3" ht="15" customHeight="1" x14ac:dyDescent="0.3">
      <c r="A1834" t="s">
        <v>166</v>
      </c>
      <c r="B1834" s="2">
        <v>46266</v>
      </c>
      <c r="C1834" s="47">
        <v>13027.93</v>
      </c>
    </row>
    <row r="1835" spans="1:3" ht="15" hidden="1" customHeight="1" x14ac:dyDescent="0.3">
      <c r="A1835" t="s">
        <v>166</v>
      </c>
      <c r="B1835" s="2">
        <v>46296</v>
      </c>
    </row>
    <row r="1836" spans="1:3" ht="15" hidden="1" customHeight="1" x14ac:dyDescent="0.3">
      <c r="A1836" t="s">
        <v>166</v>
      </c>
      <c r="B1836" s="2">
        <v>46327</v>
      </c>
    </row>
    <row r="1837" spans="1:3" ht="15" hidden="1" customHeight="1" x14ac:dyDescent="0.3">
      <c r="A1837" t="s">
        <v>166</v>
      </c>
      <c r="B1837" s="2">
        <v>46357</v>
      </c>
    </row>
    <row r="1838" spans="1:3" ht="15" hidden="1" customHeight="1" x14ac:dyDescent="0.3">
      <c r="A1838" t="s">
        <v>169</v>
      </c>
      <c r="B1838" s="2">
        <v>45292</v>
      </c>
      <c r="C1838">
        <v>1424</v>
      </c>
    </row>
    <row r="1839" spans="1:3" ht="15" hidden="1" customHeight="1" x14ac:dyDescent="0.3">
      <c r="A1839" t="s">
        <v>169</v>
      </c>
      <c r="B1839" s="2">
        <v>45323</v>
      </c>
      <c r="C1839">
        <v>1471</v>
      </c>
    </row>
    <row r="1840" spans="1:3" ht="15" hidden="1" customHeight="1" x14ac:dyDescent="0.3">
      <c r="A1840" t="s">
        <v>169</v>
      </c>
      <c r="B1840" s="2">
        <v>45352</v>
      </c>
      <c r="C1840">
        <v>1705</v>
      </c>
    </row>
    <row r="1841" spans="1:3" ht="15" hidden="1" customHeight="1" x14ac:dyDescent="0.3">
      <c r="A1841" t="s">
        <v>169</v>
      </c>
      <c r="B1841" s="2">
        <v>45383</v>
      </c>
      <c r="C1841">
        <v>1306</v>
      </c>
    </row>
    <row r="1842" spans="1:3" ht="15" hidden="1" customHeight="1" x14ac:dyDescent="0.3">
      <c r="A1842" t="s">
        <v>169</v>
      </c>
      <c r="B1842" s="2">
        <v>45413</v>
      </c>
      <c r="C1842">
        <v>856</v>
      </c>
    </row>
    <row r="1843" spans="1:3" ht="15" hidden="1" customHeight="1" x14ac:dyDescent="0.3">
      <c r="A1843" t="s">
        <v>169</v>
      </c>
      <c r="B1843" s="2">
        <v>45444</v>
      </c>
      <c r="C1843">
        <v>1086</v>
      </c>
    </row>
    <row r="1844" spans="1:3" ht="15" hidden="1" customHeight="1" x14ac:dyDescent="0.3">
      <c r="A1844" t="s">
        <v>169</v>
      </c>
      <c r="B1844" s="2">
        <v>45474</v>
      </c>
      <c r="C1844">
        <v>1232</v>
      </c>
    </row>
    <row r="1845" spans="1:3" ht="15" hidden="1" customHeight="1" x14ac:dyDescent="0.3">
      <c r="A1845" t="s">
        <v>169</v>
      </c>
      <c r="B1845" s="2">
        <v>45505</v>
      </c>
      <c r="C1845">
        <v>1007</v>
      </c>
    </row>
    <row r="1846" spans="1:3" ht="15" hidden="1" customHeight="1" x14ac:dyDescent="0.3">
      <c r="A1846" t="s">
        <v>169</v>
      </c>
      <c r="B1846" s="2">
        <v>45536</v>
      </c>
      <c r="C1846">
        <v>1218</v>
      </c>
    </row>
    <row r="1847" spans="1:3" ht="15" hidden="1" customHeight="1" x14ac:dyDescent="0.3">
      <c r="A1847" t="s">
        <v>169</v>
      </c>
      <c r="B1847" s="2">
        <v>45566</v>
      </c>
      <c r="C1847">
        <v>1389</v>
      </c>
    </row>
    <row r="1848" spans="1:3" ht="15" hidden="1" customHeight="1" x14ac:dyDescent="0.3">
      <c r="A1848" t="s">
        <v>169</v>
      </c>
      <c r="B1848" s="2">
        <v>45597</v>
      </c>
      <c r="C1848">
        <v>1731</v>
      </c>
    </row>
    <row r="1849" spans="1:3" ht="15" hidden="1" customHeight="1" x14ac:dyDescent="0.3">
      <c r="A1849" t="s">
        <v>169</v>
      </c>
      <c r="B1849" s="2">
        <v>45627</v>
      </c>
      <c r="C1849">
        <v>1418</v>
      </c>
    </row>
    <row r="1850" spans="1:3" ht="15" hidden="1" customHeight="1" x14ac:dyDescent="0.3">
      <c r="A1850" t="s">
        <v>169</v>
      </c>
      <c r="B1850" s="2">
        <v>45658</v>
      </c>
      <c r="C1850">
        <v>1493</v>
      </c>
    </row>
    <row r="1851" spans="1:3" ht="15" hidden="1" customHeight="1" x14ac:dyDescent="0.3">
      <c r="A1851" t="s">
        <v>169</v>
      </c>
      <c r="B1851" s="2">
        <v>45689</v>
      </c>
      <c r="C1851">
        <v>1368.9</v>
      </c>
    </row>
    <row r="1852" spans="1:3" ht="15" hidden="1" customHeight="1" x14ac:dyDescent="0.3">
      <c r="A1852" t="s">
        <v>169</v>
      </c>
      <c r="B1852" s="2">
        <v>45717</v>
      </c>
      <c r="C1852">
        <v>960</v>
      </c>
    </row>
    <row r="1853" spans="1:3" ht="15" hidden="1" customHeight="1" x14ac:dyDescent="0.3">
      <c r="A1853" t="s">
        <v>169</v>
      </c>
      <c r="B1853" s="2">
        <v>45748</v>
      </c>
      <c r="C1853">
        <v>694</v>
      </c>
    </row>
    <row r="1854" spans="1:3" ht="15" hidden="1" customHeight="1" x14ac:dyDescent="0.3">
      <c r="A1854" t="s">
        <v>169</v>
      </c>
      <c r="B1854" s="2">
        <v>45778</v>
      </c>
      <c r="C1854">
        <v>580</v>
      </c>
    </row>
    <row r="1855" spans="1:3" ht="15" hidden="1" customHeight="1" x14ac:dyDescent="0.3">
      <c r="A1855" t="s">
        <v>169</v>
      </c>
      <c r="B1855" s="2">
        <v>45809</v>
      </c>
      <c r="C1855">
        <v>449.2</v>
      </c>
    </row>
    <row r="1856" spans="1:3" ht="15" hidden="1" customHeight="1" x14ac:dyDescent="0.3">
      <c r="A1856" t="s">
        <v>169</v>
      </c>
      <c r="B1856" s="2">
        <v>45839</v>
      </c>
      <c r="C1856">
        <v>575</v>
      </c>
    </row>
    <row r="1857" spans="1:3" ht="15" hidden="1" customHeight="1" x14ac:dyDescent="0.3">
      <c r="A1857" t="s">
        <v>169</v>
      </c>
      <c r="B1857" s="2">
        <v>45870</v>
      </c>
      <c r="C1857">
        <v>1437</v>
      </c>
    </row>
    <row r="1858" spans="1:3" ht="15" hidden="1" customHeight="1" x14ac:dyDescent="0.3">
      <c r="A1858" t="s">
        <v>169</v>
      </c>
      <c r="B1858" s="2">
        <v>45901</v>
      </c>
      <c r="C1858">
        <v>1257</v>
      </c>
    </row>
    <row r="1859" spans="1:3" ht="15" hidden="1" customHeight="1" x14ac:dyDescent="0.3">
      <c r="A1859" t="s">
        <v>169</v>
      </c>
      <c r="B1859" s="2">
        <v>45931</v>
      </c>
      <c r="C1859">
        <v>1616</v>
      </c>
    </row>
    <row r="1860" spans="1:3" ht="15" hidden="1" customHeight="1" x14ac:dyDescent="0.3">
      <c r="A1860" t="s">
        <v>169</v>
      </c>
      <c r="B1860" s="2">
        <v>45962</v>
      </c>
      <c r="C1860">
        <v>1463</v>
      </c>
    </row>
    <row r="1861" spans="1:3" ht="15" hidden="1" customHeight="1" x14ac:dyDescent="0.3">
      <c r="A1861" t="s">
        <v>169</v>
      </c>
      <c r="B1861" s="2">
        <v>45992</v>
      </c>
      <c r="C1861">
        <v>1836</v>
      </c>
    </row>
    <row r="1862" spans="1:3" ht="15" hidden="1" customHeight="1" x14ac:dyDescent="0.3">
      <c r="A1862" t="s">
        <v>169</v>
      </c>
      <c r="B1862" s="2">
        <v>46023</v>
      </c>
      <c r="C1862">
        <v>1637</v>
      </c>
    </row>
    <row r="1863" spans="1:3" ht="15" hidden="1" customHeight="1" x14ac:dyDescent="0.3">
      <c r="A1863" t="s">
        <v>169</v>
      </c>
      <c r="B1863" s="2">
        <v>46054</v>
      </c>
      <c r="C1863">
        <v>1801</v>
      </c>
    </row>
    <row r="1864" spans="1:3" ht="15" hidden="1" customHeight="1" x14ac:dyDescent="0.3">
      <c r="A1864" t="s">
        <v>169</v>
      </c>
      <c r="B1864" s="2">
        <v>46082</v>
      </c>
      <c r="C1864">
        <v>1516</v>
      </c>
    </row>
    <row r="1865" spans="1:3" ht="15" hidden="1" customHeight="1" x14ac:dyDescent="0.3">
      <c r="A1865" t="s">
        <v>169</v>
      </c>
      <c r="B1865" s="2">
        <v>46113</v>
      </c>
      <c r="C1865">
        <v>1353.29</v>
      </c>
    </row>
    <row r="1866" spans="1:3" ht="15" hidden="1" customHeight="1" x14ac:dyDescent="0.3">
      <c r="A1866" t="s">
        <v>169</v>
      </c>
      <c r="B1866" s="2">
        <v>46143</v>
      </c>
      <c r="C1866" s="12">
        <v>1302.0899999999999</v>
      </c>
    </row>
    <row r="1867" spans="1:3" ht="15" hidden="1" customHeight="1" x14ac:dyDescent="0.3">
      <c r="A1867" t="s">
        <v>169</v>
      </c>
      <c r="B1867" s="2">
        <v>46174</v>
      </c>
      <c r="C1867">
        <v>1100</v>
      </c>
    </row>
    <row r="1868" spans="1:3" ht="15" hidden="1" customHeight="1" x14ac:dyDescent="0.3">
      <c r="A1868" t="s">
        <v>166</v>
      </c>
      <c r="B1868" s="2">
        <v>46204</v>
      </c>
      <c r="C1868">
        <v>12059</v>
      </c>
    </row>
    <row r="1869" spans="1:3" ht="15" hidden="1" customHeight="1" x14ac:dyDescent="0.3">
      <c r="A1869" t="s">
        <v>169</v>
      </c>
      <c r="B1869" s="2">
        <v>46235</v>
      </c>
      <c r="C1869">
        <v>1071</v>
      </c>
    </row>
    <row r="1870" spans="1:3" ht="15" customHeight="1" x14ac:dyDescent="0.3">
      <c r="A1870" t="s">
        <v>169</v>
      </c>
      <c r="B1870" s="2">
        <v>46266</v>
      </c>
      <c r="C1870" s="47">
        <v>1290.9100000000001</v>
      </c>
    </row>
    <row r="1871" spans="1:3" ht="15" hidden="1" customHeight="1" x14ac:dyDescent="0.3">
      <c r="A1871" t="s">
        <v>169</v>
      </c>
      <c r="B1871" s="2">
        <v>46296</v>
      </c>
    </row>
    <row r="1872" spans="1:3" ht="15" hidden="1" customHeight="1" x14ac:dyDescent="0.3">
      <c r="A1872" t="s">
        <v>169</v>
      </c>
      <c r="B1872" s="2">
        <v>46327</v>
      </c>
    </row>
    <row r="1873" spans="1:3" ht="15" hidden="1" customHeight="1" x14ac:dyDescent="0.3">
      <c r="A1873" t="s">
        <v>169</v>
      </c>
      <c r="B1873" s="2">
        <v>46357</v>
      </c>
    </row>
    <row r="1874" spans="1:3" ht="15" hidden="1" customHeight="1" x14ac:dyDescent="0.3">
      <c r="A1874" t="s">
        <v>171</v>
      </c>
      <c r="B1874" s="2">
        <v>45292</v>
      </c>
      <c r="C1874">
        <v>8341</v>
      </c>
    </row>
    <row r="1875" spans="1:3" ht="15" hidden="1" customHeight="1" x14ac:dyDescent="0.3">
      <c r="A1875" t="s">
        <v>171</v>
      </c>
      <c r="B1875" s="2">
        <v>45323</v>
      </c>
      <c r="C1875">
        <v>8056</v>
      </c>
    </row>
    <row r="1876" spans="1:3" ht="15" hidden="1" customHeight="1" x14ac:dyDescent="0.3">
      <c r="A1876" t="s">
        <v>171</v>
      </c>
      <c r="B1876" s="2">
        <v>45352</v>
      </c>
      <c r="C1876">
        <v>7588</v>
      </c>
    </row>
    <row r="1877" spans="1:3" ht="15" hidden="1" customHeight="1" x14ac:dyDescent="0.3">
      <c r="A1877" t="s">
        <v>171</v>
      </c>
      <c r="B1877" s="2">
        <v>45383</v>
      </c>
      <c r="C1877">
        <v>6746</v>
      </c>
    </row>
    <row r="1878" spans="1:3" ht="15" hidden="1" customHeight="1" x14ac:dyDescent="0.3">
      <c r="A1878" t="s">
        <v>171</v>
      </c>
      <c r="B1878" s="2">
        <v>45413</v>
      </c>
      <c r="C1878">
        <v>6595</v>
      </c>
    </row>
    <row r="1879" spans="1:3" ht="15" hidden="1" customHeight="1" x14ac:dyDescent="0.3">
      <c r="A1879" t="s">
        <v>171</v>
      </c>
      <c r="B1879" s="2">
        <v>45444</v>
      </c>
      <c r="C1879">
        <v>5221</v>
      </c>
    </row>
    <row r="1880" spans="1:3" ht="15" hidden="1" customHeight="1" x14ac:dyDescent="0.3">
      <c r="A1880" t="s">
        <v>171</v>
      </c>
      <c r="B1880" s="2">
        <v>45474</v>
      </c>
      <c r="C1880">
        <v>6498</v>
      </c>
    </row>
    <row r="1881" spans="1:3" ht="15" hidden="1" customHeight="1" x14ac:dyDescent="0.3">
      <c r="A1881" t="s">
        <v>171</v>
      </c>
      <c r="B1881" s="2">
        <v>45505</v>
      </c>
      <c r="C1881">
        <v>6727</v>
      </c>
    </row>
    <row r="1882" spans="1:3" ht="15" hidden="1" customHeight="1" x14ac:dyDescent="0.3">
      <c r="A1882" t="s">
        <v>171</v>
      </c>
      <c r="B1882" s="2">
        <v>45536</v>
      </c>
      <c r="C1882">
        <v>5408</v>
      </c>
    </row>
    <row r="1883" spans="1:3" ht="15" hidden="1" customHeight="1" x14ac:dyDescent="0.3">
      <c r="A1883" t="s">
        <v>171</v>
      </c>
      <c r="B1883" s="2">
        <v>45566</v>
      </c>
      <c r="C1883">
        <v>8018</v>
      </c>
    </row>
    <row r="1884" spans="1:3" ht="15" hidden="1" customHeight="1" x14ac:dyDescent="0.3">
      <c r="A1884" t="s">
        <v>171</v>
      </c>
      <c r="B1884" s="2">
        <v>45597</v>
      </c>
      <c r="C1884">
        <v>7818</v>
      </c>
    </row>
    <row r="1885" spans="1:3" ht="15" hidden="1" customHeight="1" x14ac:dyDescent="0.3">
      <c r="A1885" t="s">
        <v>171</v>
      </c>
      <c r="B1885" s="2">
        <v>45627</v>
      </c>
      <c r="C1885">
        <v>9041</v>
      </c>
    </row>
    <row r="1886" spans="1:3" ht="15" hidden="1" customHeight="1" x14ac:dyDescent="0.3">
      <c r="A1886" t="s">
        <v>171</v>
      </c>
      <c r="B1886" s="2">
        <v>45658</v>
      </c>
      <c r="C1886">
        <v>9601</v>
      </c>
    </row>
    <row r="1887" spans="1:3" ht="15" hidden="1" customHeight="1" x14ac:dyDescent="0.3">
      <c r="A1887" t="s">
        <v>171</v>
      </c>
      <c r="B1887" s="2">
        <v>45689</v>
      </c>
      <c r="C1887">
        <v>7317</v>
      </c>
    </row>
    <row r="1888" spans="1:3" ht="15" hidden="1" customHeight="1" x14ac:dyDescent="0.3">
      <c r="A1888" t="s">
        <v>171</v>
      </c>
      <c r="B1888" s="2">
        <v>45717</v>
      </c>
      <c r="C1888">
        <v>8211</v>
      </c>
    </row>
    <row r="1889" spans="1:3" ht="15" hidden="1" customHeight="1" x14ac:dyDescent="0.3">
      <c r="A1889" t="s">
        <v>171</v>
      </c>
      <c r="B1889" s="2">
        <v>45748</v>
      </c>
      <c r="C1889">
        <v>6924</v>
      </c>
    </row>
    <row r="1890" spans="1:3" ht="15" hidden="1" customHeight="1" x14ac:dyDescent="0.3">
      <c r="A1890" t="s">
        <v>171</v>
      </c>
      <c r="B1890" s="2">
        <v>45778</v>
      </c>
      <c r="C1890">
        <v>7428</v>
      </c>
    </row>
    <row r="1891" spans="1:3" ht="15" hidden="1" customHeight="1" x14ac:dyDescent="0.3">
      <c r="A1891" t="s">
        <v>171</v>
      </c>
      <c r="B1891" s="2">
        <v>45809</v>
      </c>
      <c r="C1891">
        <v>7026.25</v>
      </c>
    </row>
    <row r="1892" spans="1:3" ht="15" hidden="1" customHeight="1" x14ac:dyDescent="0.3">
      <c r="A1892" t="s">
        <v>171</v>
      </c>
      <c r="B1892" s="2">
        <v>45839</v>
      </c>
      <c r="C1892">
        <v>7318</v>
      </c>
    </row>
    <row r="1893" spans="1:3" ht="15" hidden="1" customHeight="1" x14ac:dyDescent="0.3">
      <c r="A1893" t="s">
        <v>171</v>
      </c>
      <c r="B1893" s="2">
        <v>45870</v>
      </c>
      <c r="C1893">
        <v>7873</v>
      </c>
    </row>
    <row r="1894" spans="1:3" ht="15" hidden="1" customHeight="1" x14ac:dyDescent="0.3">
      <c r="A1894" t="s">
        <v>171</v>
      </c>
      <c r="B1894" s="2">
        <v>45901</v>
      </c>
      <c r="C1894">
        <v>6985</v>
      </c>
    </row>
    <row r="1895" spans="1:3" ht="15" hidden="1" customHeight="1" x14ac:dyDescent="0.3">
      <c r="A1895" t="s">
        <v>171</v>
      </c>
      <c r="B1895" s="2">
        <v>45931</v>
      </c>
      <c r="C1895">
        <v>9680.31</v>
      </c>
    </row>
    <row r="1896" spans="1:3" ht="15" hidden="1" customHeight="1" x14ac:dyDescent="0.3">
      <c r="A1896" t="s">
        <v>171</v>
      </c>
      <c r="B1896" s="2">
        <v>45962</v>
      </c>
      <c r="C1896">
        <v>11102</v>
      </c>
    </row>
    <row r="1897" spans="1:3" ht="15" hidden="1" customHeight="1" x14ac:dyDescent="0.3">
      <c r="A1897" t="s">
        <v>171</v>
      </c>
      <c r="B1897" s="2">
        <v>45992</v>
      </c>
      <c r="C1897">
        <v>11384</v>
      </c>
    </row>
    <row r="1898" spans="1:3" ht="15" hidden="1" customHeight="1" x14ac:dyDescent="0.3">
      <c r="A1898" t="s">
        <v>171</v>
      </c>
      <c r="B1898" s="2">
        <v>46023</v>
      </c>
      <c r="C1898">
        <v>12215</v>
      </c>
    </row>
    <row r="1899" spans="1:3" ht="15" hidden="1" customHeight="1" x14ac:dyDescent="0.3">
      <c r="A1899" t="s">
        <v>171</v>
      </c>
      <c r="B1899" s="2">
        <v>46054</v>
      </c>
      <c r="C1899">
        <v>11691</v>
      </c>
    </row>
    <row r="1900" spans="1:3" ht="15" hidden="1" customHeight="1" x14ac:dyDescent="0.3">
      <c r="A1900" t="s">
        <v>171</v>
      </c>
      <c r="B1900" s="2">
        <v>46082</v>
      </c>
      <c r="C1900">
        <v>10159</v>
      </c>
    </row>
    <row r="1901" spans="1:3" ht="15" hidden="1" customHeight="1" x14ac:dyDescent="0.3">
      <c r="A1901" t="s">
        <v>171</v>
      </c>
      <c r="B1901" s="2">
        <v>46113</v>
      </c>
      <c r="C1901">
        <v>8032.01</v>
      </c>
    </row>
    <row r="1902" spans="1:3" ht="15" hidden="1" customHeight="1" x14ac:dyDescent="0.3">
      <c r="A1902" t="s">
        <v>171</v>
      </c>
      <c r="B1902" s="2">
        <v>46143</v>
      </c>
      <c r="C1902" s="12">
        <v>7738.42</v>
      </c>
    </row>
    <row r="1903" spans="1:3" ht="15" hidden="1" customHeight="1" x14ac:dyDescent="0.3">
      <c r="A1903" t="s">
        <v>171</v>
      </c>
      <c r="B1903" s="2">
        <v>46174</v>
      </c>
      <c r="C1903">
        <v>6442</v>
      </c>
    </row>
    <row r="1904" spans="1:3" ht="15" hidden="1" customHeight="1" x14ac:dyDescent="0.3">
      <c r="A1904" t="s">
        <v>169</v>
      </c>
      <c r="B1904" s="2">
        <v>46204</v>
      </c>
      <c r="C1904">
        <v>1098</v>
      </c>
    </row>
    <row r="1905" spans="1:3" ht="15" hidden="1" customHeight="1" x14ac:dyDescent="0.3">
      <c r="A1905" t="s">
        <v>171</v>
      </c>
      <c r="B1905" s="2">
        <v>46235</v>
      </c>
      <c r="C1905">
        <v>8202</v>
      </c>
    </row>
    <row r="1906" spans="1:3" ht="15" customHeight="1" x14ac:dyDescent="0.3">
      <c r="A1906" t="s">
        <v>171</v>
      </c>
      <c r="B1906" s="2">
        <v>46266</v>
      </c>
      <c r="C1906" s="47">
        <v>7731.86</v>
      </c>
    </row>
    <row r="1907" spans="1:3" ht="15" hidden="1" customHeight="1" x14ac:dyDescent="0.3">
      <c r="A1907" t="s">
        <v>171</v>
      </c>
      <c r="B1907" s="2">
        <v>46296</v>
      </c>
    </row>
    <row r="1908" spans="1:3" ht="15" hidden="1" customHeight="1" x14ac:dyDescent="0.3">
      <c r="A1908" t="s">
        <v>171</v>
      </c>
      <c r="B1908" s="2">
        <v>46327</v>
      </c>
    </row>
    <row r="1909" spans="1:3" ht="15" hidden="1" customHeight="1" x14ac:dyDescent="0.3">
      <c r="A1909" t="s">
        <v>171</v>
      </c>
      <c r="B1909" s="2">
        <v>46357</v>
      </c>
    </row>
    <row r="1910" spans="1:3" ht="15" hidden="1" customHeight="1" x14ac:dyDescent="0.3">
      <c r="A1910" t="s">
        <v>172</v>
      </c>
      <c r="B1910" s="2">
        <v>45292</v>
      </c>
      <c r="C1910">
        <v>11804</v>
      </c>
    </row>
    <row r="1911" spans="1:3" ht="15" hidden="1" customHeight="1" x14ac:dyDescent="0.3">
      <c r="A1911" t="s">
        <v>172</v>
      </c>
      <c r="B1911" s="2">
        <v>45323</v>
      </c>
      <c r="C1911">
        <v>9158</v>
      </c>
    </row>
    <row r="1912" spans="1:3" ht="15" hidden="1" customHeight="1" x14ac:dyDescent="0.3">
      <c r="A1912" t="s">
        <v>172</v>
      </c>
      <c r="B1912" s="2">
        <v>45352</v>
      </c>
      <c r="C1912">
        <v>9784</v>
      </c>
    </row>
    <row r="1913" spans="1:3" ht="15" hidden="1" customHeight="1" x14ac:dyDescent="0.3">
      <c r="A1913" t="s">
        <v>172</v>
      </c>
      <c r="B1913" s="2">
        <v>45383</v>
      </c>
      <c r="C1913">
        <v>7858</v>
      </c>
    </row>
    <row r="1914" spans="1:3" ht="15" hidden="1" customHeight="1" x14ac:dyDescent="0.3">
      <c r="A1914" t="s">
        <v>172</v>
      </c>
      <c r="B1914" s="2">
        <v>45413</v>
      </c>
      <c r="C1914">
        <v>7246</v>
      </c>
    </row>
    <row r="1915" spans="1:3" ht="15" hidden="1" customHeight="1" x14ac:dyDescent="0.3">
      <c r="A1915" t="s">
        <v>172</v>
      </c>
      <c r="B1915" s="2">
        <v>45444</v>
      </c>
      <c r="C1915">
        <v>6127</v>
      </c>
    </row>
    <row r="1916" spans="1:3" ht="15" hidden="1" customHeight="1" x14ac:dyDescent="0.3">
      <c r="A1916" t="s">
        <v>172</v>
      </c>
      <c r="B1916" s="2">
        <v>45474</v>
      </c>
      <c r="C1916">
        <v>8521</v>
      </c>
    </row>
    <row r="1917" spans="1:3" ht="15" hidden="1" customHeight="1" x14ac:dyDescent="0.3">
      <c r="A1917" t="s">
        <v>172</v>
      </c>
      <c r="B1917" s="2">
        <v>45505</v>
      </c>
      <c r="C1917">
        <v>9050</v>
      </c>
    </row>
    <row r="1918" spans="1:3" ht="15" hidden="1" customHeight="1" x14ac:dyDescent="0.3">
      <c r="A1918" t="s">
        <v>172</v>
      </c>
      <c r="B1918" s="2">
        <v>45536</v>
      </c>
      <c r="C1918">
        <v>8302</v>
      </c>
    </row>
    <row r="1919" spans="1:3" ht="15" hidden="1" customHeight="1" x14ac:dyDescent="0.3">
      <c r="A1919" t="s">
        <v>172</v>
      </c>
      <c r="B1919" s="2">
        <v>45566</v>
      </c>
      <c r="C1919">
        <v>11290</v>
      </c>
    </row>
    <row r="1920" spans="1:3" ht="15" hidden="1" customHeight="1" x14ac:dyDescent="0.3">
      <c r="A1920" t="s">
        <v>172</v>
      </c>
      <c r="B1920" s="2">
        <v>45597</v>
      </c>
      <c r="C1920">
        <v>10513</v>
      </c>
    </row>
    <row r="1921" spans="1:3" ht="15" hidden="1" customHeight="1" x14ac:dyDescent="0.3">
      <c r="A1921" t="s">
        <v>172</v>
      </c>
      <c r="B1921" s="2">
        <v>45627</v>
      </c>
      <c r="C1921">
        <v>11507</v>
      </c>
    </row>
    <row r="1922" spans="1:3" ht="15" hidden="1" customHeight="1" x14ac:dyDescent="0.3">
      <c r="A1922" t="s">
        <v>172</v>
      </c>
      <c r="B1922" s="2">
        <v>45658</v>
      </c>
      <c r="C1922">
        <v>11679</v>
      </c>
    </row>
    <row r="1923" spans="1:3" ht="15" hidden="1" customHeight="1" x14ac:dyDescent="0.3">
      <c r="A1923" t="s">
        <v>172</v>
      </c>
      <c r="B1923" s="2">
        <v>45689</v>
      </c>
      <c r="C1923">
        <v>7567</v>
      </c>
    </row>
    <row r="1924" spans="1:3" ht="15" hidden="1" customHeight="1" x14ac:dyDescent="0.3">
      <c r="A1924" t="s">
        <v>172</v>
      </c>
      <c r="B1924" s="2">
        <v>45717</v>
      </c>
      <c r="C1924">
        <v>9564</v>
      </c>
    </row>
    <row r="1925" spans="1:3" ht="15" hidden="1" customHeight="1" x14ac:dyDescent="0.3">
      <c r="A1925" t="s">
        <v>172</v>
      </c>
      <c r="B1925" s="2">
        <v>45748</v>
      </c>
      <c r="C1925">
        <v>6957</v>
      </c>
    </row>
    <row r="1926" spans="1:3" ht="15" hidden="1" customHeight="1" x14ac:dyDescent="0.3">
      <c r="A1926" t="s">
        <v>172</v>
      </c>
      <c r="B1926" s="2">
        <v>45778</v>
      </c>
      <c r="C1926">
        <v>7705</v>
      </c>
    </row>
    <row r="1927" spans="1:3" ht="15" hidden="1" customHeight="1" x14ac:dyDescent="0.3">
      <c r="A1927" t="s">
        <v>172</v>
      </c>
      <c r="B1927" s="2">
        <v>45809</v>
      </c>
      <c r="C1927">
        <v>6515.6</v>
      </c>
    </row>
    <row r="1928" spans="1:3" ht="15" hidden="1" customHeight="1" x14ac:dyDescent="0.3">
      <c r="A1928" t="s">
        <v>172</v>
      </c>
      <c r="B1928" s="2">
        <v>45839</v>
      </c>
      <c r="C1928">
        <v>7651</v>
      </c>
    </row>
    <row r="1929" spans="1:3" ht="15" hidden="1" customHeight="1" x14ac:dyDescent="0.3">
      <c r="A1929" t="s">
        <v>172</v>
      </c>
      <c r="B1929" s="2">
        <v>45870</v>
      </c>
      <c r="C1929">
        <v>8548</v>
      </c>
    </row>
    <row r="1930" spans="1:3" ht="15" hidden="1" customHeight="1" x14ac:dyDescent="0.3">
      <c r="A1930" t="s">
        <v>172</v>
      </c>
      <c r="B1930" s="2">
        <v>45901</v>
      </c>
      <c r="C1930">
        <v>7542</v>
      </c>
    </row>
    <row r="1931" spans="1:3" ht="15" hidden="1" customHeight="1" x14ac:dyDescent="0.3">
      <c r="A1931" t="s">
        <v>172</v>
      </c>
      <c r="B1931" s="2">
        <v>45931</v>
      </c>
      <c r="C1931">
        <v>10186</v>
      </c>
    </row>
    <row r="1932" spans="1:3" ht="15" hidden="1" customHeight="1" x14ac:dyDescent="0.3">
      <c r="A1932" t="s">
        <v>172</v>
      </c>
      <c r="B1932" s="2">
        <v>45962</v>
      </c>
      <c r="C1932">
        <v>10802</v>
      </c>
    </row>
    <row r="1933" spans="1:3" ht="15" hidden="1" customHeight="1" x14ac:dyDescent="0.3">
      <c r="A1933" t="s">
        <v>172</v>
      </c>
      <c r="B1933" s="2">
        <v>45992</v>
      </c>
      <c r="C1933">
        <v>11033</v>
      </c>
    </row>
    <row r="1934" spans="1:3" ht="15" hidden="1" customHeight="1" x14ac:dyDescent="0.3">
      <c r="A1934" t="s">
        <v>172</v>
      </c>
      <c r="B1934" s="2">
        <v>46023</v>
      </c>
      <c r="C1934">
        <v>7790</v>
      </c>
    </row>
    <row r="1935" spans="1:3" ht="15" hidden="1" customHeight="1" x14ac:dyDescent="0.3">
      <c r="A1935" t="s">
        <v>172</v>
      </c>
      <c r="B1935" s="2">
        <v>46054</v>
      </c>
      <c r="C1935">
        <v>5171.0646999999999</v>
      </c>
    </row>
    <row r="1936" spans="1:3" ht="15" hidden="1" customHeight="1" x14ac:dyDescent="0.3">
      <c r="A1936" t="s">
        <v>172</v>
      </c>
      <c r="B1936" s="2">
        <v>46082</v>
      </c>
      <c r="C1936">
        <v>8153.5</v>
      </c>
    </row>
    <row r="1937" spans="1:3" ht="15" hidden="1" customHeight="1" x14ac:dyDescent="0.3">
      <c r="A1937" t="s">
        <v>172</v>
      </c>
      <c r="B1937" s="2">
        <v>46113</v>
      </c>
      <c r="C1937">
        <v>7873.17</v>
      </c>
    </row>
    <row r="1938" spans="1:3" ht="15" hidden="1" customHeight="1" x14ac:dyDescent="0.3">
      <c r="A1938" t="s">
        <v>172</v>
      </c>
      <c r="B1938" s="2">
        <v>46143</v>
      </c>
      <c r="C1938" s="12">
        <v>7767.8</v>
      </c>
    </row>
    <row r="1939" spans="1:3" ht="15" hidden="1" customHeight="1" x14ac:dyDescent="0.3">
      <c r="A1939" t="s">
        <v>172</v>
      </c>
      <c r="B1939" s="2">
        <v>46174</v>
      </c>
      <c r="C1939">
        <v>7190.68</v>
      </c>
    </row>
    <row r="1940" spans="1:3" ht="15" hidden="1" customHeight="1" x14ac:dyDescent="0.3">
      <c r="A1940" t="s">
        <v>171</v>
      </c>
      <c r="B1940" s="2">
        <v>46204</v>
      </c>
      <c r="C1940">
        <v>6823</v>
      </c>
    </row>
    <row r="1941" spans="1:3" ht="15" hidden="1" customHeight="1" x14ac:dyDescent="0.3">
      <c r="A1941" t="s">
        <v>172</v>
      </c>
      <c r="B1941" s="2">
        <v>46235</v>
      </c>
      <c r="C1941">
        <v>9679.5108</v>
      </c>
    </row>
    <row r="1942" spans="1:3" ht="15" customHeight="1" x14ac:dyDescent="0.3">
      <c r="A1942" t="s">
        <v>172</v>
      </c>
      <c r="B1942" s="2">
        <v>46266</v>
      </c>
      <c r="C1942" s="47">
        <v>8602.5565999999999</v>
      </c>
    </row>
    <row r="1943" spans="1:3" ht="15" hidden="1" customHeight="1" x14ac:dyDescent="0.3">
      <c r="A1943" t="s">
        <v>172</v>
      </c>
      <c r="B1943" s="2">
        <v>46296</v>
      </c>
    </row>
    <row r="1944" spans="1:3" ht="15" hidden="1" customHeight="1" x14ac:dyDescent="0.3">
      <c r="A1944" t="s">
        <v>172</v>
      </c>
      <c r="B1944" s="2">
        <v>46327</v>
      </c>
    </row>
    <row r="1945" spans="1:3" ht="15" hidden="1" customHeight="1" x14ac:dyDescent="0.3">
      <c r="A1945" t="s">
        <v>172</v>
      </c>
      <c r="B1945" s="2">
        <v>46357</v>
      </c>
    </row>
    <row r="1946" spans="1:3" ht="15" hidden="1" customHeight="1" x14ac:dyDescent="0.3">
      <c r="A1946" t="s">
        <v>177</v>
      </c>
      <c r="B1946" s="2">
        <v>45292</v>
      </c>
      <c r="C1946">
        <v>4297</v>
      </c>
    </row>
    <row r="1947" spans="1:3" ht="15" hidden="1" customHeight="1" x14ac:dyDescent="0.3">
      <c r="A1947" t="s">
        <v>177</v>
      </c>
      <c r="B1947" s="2">
        <v>45323</v>
      </c>
      <c r="C1947">
        <v>4176</v>
      </c>
    </row>
    <row r="1948" spans="1:3" ht="15" hidden="1" customHeight="1" x14ac:dyDescent="0.3">
      <c r="A1948" t="s">
        <v>177</v>
      </c>
      <c r="B1948" s="2">
        <v>45352</v>
      </c>
      <c r="C1948">
        <v>4682</v>
      </c>
    </row>
    <row r="1949" spans="1:3" ht="15" hidden="1" customHeight="1" x14ac:dyDescent="0.3">
      <c r="A1949" t="s">
        <v>177</v>
      </c>
      <c r="B1949" s="2">
        <v>45383</v>
      </c>
      <c r="C1949">
        <v>3965</v>
      </c>
    </row>
    <row r="1950" spans="1:3" ht="15" hidden="1" customHeight="1" x14ac:dyDescent="0.3">
      <c r="A1950" t="s">
        <v>177</v>
      </c>
      <c r="B1950" s="2">
        <v>45413</v>
      </c>
      <c r="C1950">
        <v>3760</v>
      </c>
    </row>
    <row r="1951" spans="1:3" ht="15" hidden="1" customHeight="1" x14ac:dyDescent="0.3">
      <c r="A1951" t="s">
        <v>177</v>
      </c>
      <c r="B1951" s="2">
        <v>45444</v>
      </c>
      <c r="C1951">
        <v>3240</v>
      </c>
    </row>
    <row r="1952" spans="1:3" ht="15" hidden="1" customHeight="1" x14ac:dyDescent="0.3">
      <c r="A1952" t="s">
        <v>177</v>
      </c>
      <c r="B1952" s="2">
        <v>45474</v>
      </c>
      <c r="C1952">
        <v>3836</v>
      </c>
    </row>
    <row r="1953" spans="1:3" ht="15" hidden="1" customHeight="1" x14ac:dyDescent="0.3">
      <c r="A1953" t="s">
        <v>177</v>
      </c>
      <c r="B1953" s="2">
        <v>45505</v>
      </c>
      <c r="C1953">
        <v>3915</v>
      </c>
    </row>
    <row r="1954" spans="1:3" ht="15" hidden="1" customHeight="1" x14ac:dyDescent="0.3">
      <c r="A1954" t="s">
        <v>177</v>
      </c>
      <c r="B1954" s="2">
        <v>45536</v>
      </c>
      <c r="C1954">
        <v>3746</v>
      </c>
    </row>
    <row r="1955" spans="1:3" ht="15" hidden="1" customHeight="1" x14ac:dyDescent="0.3">
      <c r="A1955" t="s">
        <v>177</v>
      </c>
      <c r="B1955" s="2">
        <v>45566</v>
      </c>
      <c r="C1955">
        <v>3449</v>
      </c>
    </row>
    <row r="1956" spans="1:3" ht="15" hidden="1" customHeight="1" x14ac:dyDescent="0.3">
      <c r="A1956" t="s">
        <v>177</v>
      </c>
      <c r="B1956" s="2">
        <v>45597</v>
      </c>
      <c r="C1956">
        <v>4630</v>
      </c>
    </row>
    <row r="1957" spans="1:3" ht="15" hidden="1" customHeight="1" x14ac:dyDescent="0.3">
      <c r="A1957" t="s">
        <v>177</v>
      </c>
      <c r="B1957" s="2">
        <v>45627</v>
      </c>
      <c r="C1957">
        <v>5059</v>
      </c>
    </row>
    <row r="1958" spans="1:3" ht="15" hidden="1" customHeight="1" x14ac:dyDescent="0.3">
      <c r="A1958" t="s">
        <v>177</v>
      </c>
      <c r="B1958" s="2">
        <v>45658</v>
      </c>
      <c r="C1958">
        <v>4475</v>
      </c>
    </row>
    <row r="1959" spans="1:3" ht="15" hidden="1" customHeight="1" x14ac:dyDescent="0.3">
      <c r="A1959" t="s">
        <v>177</v>
      </c>
      <c r="B1959" s="2">
        <v>45689</v>
      </c>
      <c r="C1959">
        <v>3651</v>
      </c>
    </row>
    <row r="1960" spans="1:3" ht="15" hidden="1" customHeight="1" x14ac:dyDescent="0.3">
      <c r="A1960" t="s">
        <v>177</v>
      </c>
      <c r="B1960" s="2">
        <v>45717</v>
      </c>
      <c r="C1960">
        <v>3912</v>
      </c>
    </row>
    <row r="1961" spans="1:3" ht="15" hidden="1" customHeight="1" x14ac:dyDescent="0.3">
      <c r="A1961" t="s">
        <v>177</v>
      </c>
      <c r="B1961" s="2">
        <v>45748</v>
      </c>
      <c r="C1961">
        <v>3361</v>
      </c>
    </row>
    <row r="1962" spans="1:3" ht="15" hidden="1" customHeight="1" x14ac:dyDescent="0.3">
      <c r="A1962" t="s">
        <v>177</v>
      </c>
      <c r="B1962" s="2">
        <v>45778</v>
      </c>
      <c r="C1962">
        <v>3626</v>
      </c>
    </row>
    <row r="1963" spans="1:3" ht="15" hidden="1" customHeight="1" x14ac:dyDescent="0.3">
      <c r="A1963" t="s">
        <v>177</v>
      </c>
      <c r="B1963" s="2">
        <v>45809</v>
      </c>
      <c r="C1963">
        <v>3199.19</v>
      </c>
    </row>
    <row r="1964" spans="1:3" ht="15" hidden="1" customHeight="1" x14ac:dyDescent="0.3">
      <c r="A1964" t="s">
        <v>177</v>
      </c>
      <c r="B1964" s="2">
        <v>45839</v>
      </c>
      <c r="C1964">
        <v>3303</v>
      </c>
    </row>
    <row r="1965" spans="1:3" ht="15" hidden="1" customHeight="1" x14ac:dyDescent="0.3">
      <c r="A1965" t="s">
        <v>177</v>
      </c>
      <c r="B1965" s="2">
        <v>45870</v>
      </c>
      <c r="C1965">
        <v>3882</v>
      </c>
    </row>
    <row r="1966" spans="1:3" ht="15" hidden="1" customHeight="1" x14ac:dyDescent="0.3">
      <c r="A1966" t="s">
        <v>177</v>
      </c>
      <c r="B1966" s="2">
        <v>45901</v>
      </c>
      <c r="C1966">
        <v>4064</v>
      </c>
    </row>
    <row r="1967" spans="1:3" ht="15" hidden="1" customHeight="1" x14ac:dyDescent="0.3">
      <c r="A1967" t="s">
        <v>177</v>
      </c>
      <c r="B1967" s="2">
        <v>45931</v>
      </c>
      <c r="C1967">
        <v>4609</v>
      </c>
    </row>
    <row r="1968" spans="1:3" ht="15" hidden="1" customHeight="1" x14ac:dyDescent="0.3">
      <c r="A1968" t="s">
        <v>177</v>
      </c>
      <c r="B1968" s="2">
        <v>45962</v>
      </c>
      <c r="C1968">
        <v>3681</v>
      </c>
    </row>
    <row r="1969" spans="1:3" ht="15" hidden="1" customHeight="1" x14ac:dyDescent="0.3">
      <c r="A1969" t="s">
        <v>177</v>
      </c>
      <c r="B1969" s="2">
        <v>45992</v>
      </c>
      <c r="C1969">
        <v>1203</v>
      </c>
    </row>
    <row r="1970" spans="1:3" ht="15" hidden="1" customHeight="1" x14ac:dyDescent="0.3">
      <c r="A1970" t="s">
        <v>177</v>
      </c>
      <c r="B1970" s="2">
        <v>46023</v>
      </c>
      <c r="C1970">
        <v>3014</v>
      </c>
    </row>
    <row r="1971" spans="1:3" ht="15" hidden="1" customHeight="1" x14ac:dyDescent="0.3">
      <c r="A1971" t="s">
        <v>177</v>
      </c>
      <c r="B1971" s="2">
        <v>46054</v>
      </c>
      <c r="C1971">
        <v>4641.05</v>
      </c>
    </row>
    <row r="1972" spans="1:3" ht="15" hidden="1" customHeight="1" x14ac:dyDescent="0.3">
      <c r="A1972" t="s">
        <v>177</v>
      </c>
      <c r="B1972" s="2">
        <v>46082</v>
      </c>
      <c r="C1972">
        <v>3756</v>
      </c>
    </row>
    <row r="1973" spans="1:3" ht="15" hidden="1" customHeight="1" x14ac:dyDescent="0.3">
      <c r="A1973" t="s">
        <v>177</v>
      </c>
      <c r="B1973" s="2">
        <v>46113</v>
      </c>
      <c r="C1973">
        <v>3294.1</v>
      </c>
    </row>
    <row r="1974" spans="1:3" ht="15" hidden="1" customHeight="1" x14ac:dyDescent="0.3">
      <c r="A1974" t="s">
        <v>177</v>
      </c>
      <c r="B1974" s="2">
        <v>46143</v>
      </c>
      <c r="C1974" s="12">
        <v>3420.82</v>
      </c>
    </row>
    <row r="1975" spans="1:3" ht="15" hidden="1" customHeight="1" x14ac:dyDescent="0.3">
      <c r="A1975" t="s">
        <v>177</v>
      </c>
      <c r="B1975" s="2">
        <v>46174</v>
      </c>
      <c r="C1975">
        <v>2882</v>
      </c>
    </row>
    <row r="1976" spans="1:3" ht="15" hidden="1" customHeight="1" x14ac:dyDescent="0.3">
      <c r="A1976" t="s">
        <v>172</v>
      </c>
      <c r="B1976" s="2">
        <v>46204</v>
      </c>
      <c r="C1976">
        <v>6825.8941000000004</v>
      </c>
    </row>
    <row r="1977" spans="1:3" ht="15" hidden="1" customHeight="1" x14ac:dyDescent="0.3">
      <c r="A1977" t="s">
        <v>177</v>
      </c>
      <c r="B1977" s="2">
        <v>46235</v>
      </c>
      <c r="C1977">
        <v>3905</v>
      </c>
    </row>
    <row r="1978" spans="1:3" ht="15" customHeight="1" x14ac:dyDescent="0.3">
      <c r="A1978" t="s">
        <v>177</v>
      </c>
      <c r="B1978" s="2">
        <v>46266</v>
      </c>
      <c r="C1978" s="47">
        <v>3972.39</v>
      </c>
    </row>
    <row r="1979" spans="1:3" ht="15" hidden="1" customHeight="1" x14ac:dyDescent="0.3">
      <c r="A1979" t="s">
        <v>177</v>
      </c>
      <c r="B1979" s="2">
        <v>46296</v>
      </c>
    </row>
    <row r="1980" spans="1:3" ht="15" hidden="1" customHeight="1" x14ac:dyDescent="0.3">
      <c r="A1980" t="s">
        <v>177</v>
      </c>
      <c r="B1980" s="2">
        <v>46327</v>
      </c>
    </row>
    <row r="1981" spans="1:3" ht="15" hidden="1" customHeight="1" x14ac:dyDescent="0.3">
      <c r="A1981" t="s">
        <v>177</v>
      </c>
      <c r="B1981" s="2">
        <v>46357</v>
      </c>
    </row>
    <row r="1982" spans="1:3" ht="15" hidden="1" customHeight="1" x14ac:dyDescent="0.3">
      <c r="A1982" t="s">
        <v>265</v>
      </c>
      <c r="B1982" s="2">
        <v>45292</v>
      </c>
      <c r="C1982">
        <v>14153</v>
      </c>
    </row>
    <row r="1983" spans="1:3" ht="15" hidden="1" customHeight="1" x14ac:dyDescent="0.3">
      <c r="A1983" t="s">
        <v>265</v>
      </c>
      <c r="B1983" s="2">
        <v>45323</v>
      </c>
      <c r="C1983">
        <v>12255</v>
      </c>
    </row>
    <row r="1984" spans="1:3" ht="15" hidden="1" customHeight="1" x14ac:dyDescent="0.3">
      <c r="A1984" t="s">
        <v>265</v>
      </c>
      <c r="B1984" s="2">
        <v>45352</v>
      </c>
      <c r="C1984">
        <v>14981</v>
      </c>
    </row>
    <row r="1985" spans="1:3" ht="15" hidden="1" customHeight="1" x14ac:dyDescent="0.3">
      <c r="A1985" t="s">
        <v>265</v>
      </c>
      <c r="B1985" s="2">
        <v>45383</v>
      </c>
      <c r="C1985">
        <v>12548</v>
      </c>
    </row>
    <row r="1986" spans="1:3" ht="15" hidden="1" customHeight="1" x14ac:dyDescent="0.3">
      <c r="A1986" t="s">
        <v>265</v>
      </c>
      <c r="B1986" s="2">
        <v>45413</v>
      </c>
      <c r="C1986">
        <v>12499</v>
      </c>
    </row>
    <row r="1987" spans="1:3" ht="15" hidden="1" customHeight="1" x14ac:dyDescent="0.3">
      <c r="A1987" t="s">
        <v>265</v>
      </c>
      <c r="B1987" s="2">
        <v>45444</v>
      </c>
      <c r="C1987">
        <v>10764</v>
      </c>
    </row>
    <row r="1988" spans="1:3" ht="15" hidden="1" customHeight="1" x14ac:dyDescent="0.3">
      <c r="A1988" t="s">
        <v>265</v>
      </c>
      <c r="B1988" s="2">
        <v>45474</v>
      </c>
      <c r="C1988">
        <v>12646</v>
      </c>
    </row>
    <row r="1989" spans="1:3" ht="15" hidden="1" customHeight="1" x14ac:dyDescent="0.3">
      <c r="A1989" t="s">
        <v>265</v>
      </c>
      <c r="B1989" s="2">
        <v>45505</v>
      </c>
      <c r="C1989">
        <v>13284</v>
      </c>
    </row>
    <row r="1990" spans="1:3" ht="15" hidden="1" customHeight="1" x14ac:dyDescent="0.3">
      <c r="A1990" t="s">
        <v>265</v>
      </c>
      <c r="B1990" s="2">
        <v>45536</v>
      </c>
      <c r="C1990">
        <v>12781</v>
      </c>
    </row>
    <row r="1991" spans="1:3" ht="15" hidden="1" customHeight="1" x14ac:dyDescent="0.3">
      <c r="A1991" t="s">
        <v>265</v>
      </c>
      <c r="B1991" s="2">
        <v>45566</v>
      </c>
      <c r="C1991">
        <v>16310</v>
      </c>
    </row>
    <row r="1992" spans="1:3" ht="15" hidden="1" customHeight="1" x14ac:dyDescent="0.3">
      <c r="A1992" t="s">
        <v>265</v>
      </c>
      <c r="B1992" s="2">
        <v>45597</v>
      </c>
      <c r="C1992">
        <v>16857</v>
      </c>
    </row>
    <row r="1993" spans="1:3" ht="15" hidden="1" customHeight="1" x14ac:dyDescent="0.3">
      <c r="A1993" t="s">
        <v>265</v>
      </c>
      <c r="B1993" s="2">
        <v>45627</v>
      </c>
      <c r="C1993">
        <v>17902</v>
      </c>
    </row>
    <row r="1994" spans="1:3" ht="15" hidden="1" customHeight="1" x14ac:dyDescent="0.3">
      <c r="A1994" t="s">
        <v>265</v>
      </c>
      <c r="B1994" s="2">
        <v>45658</v>
      </c>
      <c r="C1994">
        <v>16357</v>
      </c>
    </row>
    <row r="1995" spans="1:3" ht="15" hidden="1" customHeight="1" x14ac:dyDescent="0.3">
      <c r="A1995" t="s">
        <v>265</v>
      </c>
      <c r="B1995" s="2">
        <v>45689</v>
      </c>
      <c r="C1995">
        <v>13076</v>
      </c>
    </row>
    <row r="1996" spans="1:3" ht="15" hidden="1" customHeight="1" x14ac:dyDescent="0.3">
      <c r="A1996" t="s">
        <v>265</v>
      </c>
      <c r="B1996" s="2">
        <v>45717</v>
      </c>
      <c r="C1996">
        <v>13410</v>
      </c>
    </row>
    <row r="1997" spans="1:3" ht="15" hidden="1" customHeight="1" x14ac:dyDescent="0.3">
      <c r="A1997" t="s">
        <v>265</v>
      </c>
      <c r="B1997" s="2">
        <v>45748</v>
      </c>
      <c r="C1997">
        <v>11361</v>
      </c>
    </row>
    <row r="1998" spans="1:3" ht="15" hidden="1" customHeight="1" x14ac:dyDescent="0.3">
      <c r="A1998" t="s">
        <v>265</v>
      </c>
      <c r="B1998" s="2">
        <v>45778</v>
      </c>
      <c r="C1998">
        <v>12073</v>
      </c>
    </row>
    <row r="1999" spans="1:3" ht="15" hidden="1" customHeight="1" x14ac:dyDescent="0.3">
      <c r="A1999" t="s">
        <v>265</v>
      </c>
      <c r="B1999" s="2">
        <v>45809</v>
      </c>
      <c r="C1999">
        <v>10687.39</v>
      </c>
    </row>
    <row r="2000" spans="1:3" ht="15" hidden="1" customHeight="1" x14ac:dyDescent="0.3">
      <c r="A2000" t="s">
        <v>265</v>
      </c>
      <c r="B2000" s="2">
        <v>45839</v>
      </c>
      <c r="C2000">
        <v>10449</v>
      </c>
    </row>
    <row r="2001" spans="1:3" ht="15" hidden="1" customHeight="1" x14ac:dyDescent="0.3">
      <c r="A2001" t="s">
        <v>265</v>
      </c>
      <c r="B2001" s="2">
        <v>45870</v>
      </c>
      <c r="C2001">
        <v>10325</v>
      </c>
    </row>
    <row r="2002" spans="1:3" ht="15" hidden="1" customHeight="1" x14ac:dyDescent="0.3">
      <c r="A2002" t="s">
        <v>265</v>
      </c>
      <c r="B2002" s="2">
        <v>45901</v>
      </c>
      <c r="C2002">
        <v>9595</v>
      </c>
    </row>
    <row r="2003" spans="1:3" ht="15" hidden="1" customHeight="1" x14ac:dyDescent="0.3">
      <c r="A2003" t="s">
        <v>265</v>
      </c>
      <c r="B2003" s="2">
        <v>45931</v>
      </c>
      <c r="C2003">
        <v>11068</v>
      </c>
    </row>
    <row r="2004" spans="1:3" ht="15" hidden="1" customHeight="1" x14ac:dyDescent="0.3">
      <c r="A2004" t="s">
        <v>265</v>
      </c>
      <c r="B2004" s="2">
        <v>45962</v>
      </c>
      <c r="C2004">
        <v>10671</v>
      </c>
    </row>
    <row r="2005" spans="1:3" ht="15" hidden="1" customHeight="1" x14ac:dyDescent="0.3">
      <c r="A2005" t="s">
        <v>265</v>
      </c>
      <c r="B2005" s="2">
        <v>45992</v>
      </c>
      <c r="C2005">
        <v>1812</v>
      </c>
    </row>
    <row r="2006" spans="1:3" ht="15" hidden="1" customHeight="1" x14ac:dyDescent="0.3">
      <c r="A2006" t="s">
        <v>265</v>
      </c>
      <c r="B2006" s="2">
        <v>46023</v>
      </c>
      <c r="C2006">
        <v>306</v>
      </c>
    </row>
    <row r="2007" spans="1:3" ht="15" hidden="1" customHeight="1" x14ac:dyDescent="0.3">
      <c r="A2007" t="s">
        <v>265</v>
      </c>
      <c r="B2007" s="2">
        <v>46054</v>
      </c>
      <c r="C2007">
        <v>522.44464000000005</v>
      </c>
    </row>
    <row r="2008" spans="1:3" ht="15" hidden="1" customHeight="1" x14ac:dyDescent="0.3">
      <c r="A2008" t="s">
        <v>265</v>
      </c>
      <c r="B2008" s="2">
        <v>46082</v>
      </c>
      <c r="C2008">
        <v>372</v>
      </c>
    </row>
    <row r="2009" spans="1:3" ht="15" hidden="1" customHeight="1" x14ac:dyDescent="0.3">
      <c r="A2009" t="s">
        <v>265</v>
      </c>
      <c r="B2009" s="2">
        <v>46113</v>
      </c>
      <c r="C2009">
        <v>44.97</v>
      </c>
    </row>
    <row r="2010" spans="1:3" ht="15" hidden="1" customHeight="1" x14ac:dyDescent="0.3">
      <c r="A2010" t="s">
        <v>265</v>
      </c>
      <c r="B2010" s="2">
        <v>46143</v>
      </c>
      <c r="C2010" s="12">
        <v>0</v>
      </c>
    </row>
    <row r="2011" spans="1:3" ht="15" hidden="1" customHeight="1" x14ac:dyDescent="0.3">
      <c r="A2011" t="s">
        <v>265</v>
      </c>
      <c r="B2011" s="2">
        <v>46174</v>
      </c>
    </row>
    <row r="2012" spans="1:3" ht="15" hidden="1" customHeight="1" x14ac:dyDescent="0.3">
      <c r="A2012" t="s">
        <v>265</v>
      </c>
      <c r="B2012" s="2">
        <v>46204</v>
      </c>
      <c r="C2012">
        <v>0</v>
      </c>
    </row>
    <row r="2013" spans="1:3" ht="15" hidden="1" customHeight="1" x14ac:dyDescent="0.3">
      <c r="A2013" t="s">
        <v>265</v>
      </c>
      <c r="B2013" s="2">
        <v>46235</v>
      </c>
    </row>
    <row r="2014" spans="1:3" ht="15" customHeight="1" x14ac:dyDescent="0.3">
      <c r="A2014" t="s">
        <v>265</v>
      </c>
      <c r="B2014" s="2">
        <v>46266</v>
      </c>
      <c r="C2014" s="47">
        <v>0</v>
      </c>
    </row>
    <row r="2015" spans="1:3" ht="15" hidden="1" customHeight="1" x14ac:dyDescent="0.3">
      <c r="A2015" t="s">
        <v>265</v>
      </c>
      <c r="B2015" s="2">
        <v>46296</v>
      </c>
    </row>
    <row r="2016" spans="1:3" ht="15" hidden="1" customHeight="1" x14ac:dyDescent="0.3">
      <c r="A2016" t="s">
        <v>265</v>
      </c>
      <c r="B2016" s="2">
        <v>46327</v>
      </c>
    </row>
    <row r="2017" spans="1:3" ht="15" hidden="1" customHeight="1" x14ac:dyDescent="0.3">
      <c r="A2017" t="s">
        <v>265</v>
      </c>
      <c r="B2017" s="2">
        <v>46357</v>
      </c>
    </row>
    <row r="2018" spans="1:3" ht="15" hidden="1" customHeight="1" x14ac:dyDescent="0.3">
      <c r="A2018" t="s">
        <v>180</v>
      </c>
      <c r="B2018" s="2">
        <v>45292</v>
      </c>
    </row>
    <row r="2019" spans="1:3" ht="15" hidden="1" customHeight="1" x14ac:dyDescent="0.3">
      <c r="A2019" t="s">
        <v>180</v>
      </c>
      <c r="B2019" s="2">
        <v>45323</v>
      </c>
    </row>
    <row r="2020" spans="1:3" ht="15" hidden="1" customHeight="1" x14ac:dyDescent="0.3">
      <c r="A2020" t="s">
        <v>180</v>
      </c>
      <c r="B2020" s="2">
        <v>45352</v>
      </c>
    </row>
    <row r="2021" spans="1:3" ht="15" hidden="1" customHeight="1" x14ac:dyDescent="0.3">
      <c r="A2021" t="s">
        <v>180</v>
      </c>
      <c r="B2021" s="2">
        <v>45383</v>
      </c>
    </row>
    <row r="2022" spans="1:3" ht="15" hidden="1" customHeight="1" x14ac:dyDescent="0.3">
      <c r="A2022" t="s">
        <v>180</v>
      </c>
      <c r="B2022" s="2">
        <v>45413</v>
      </c>
    </row>
    <row r="2023" spans="1:3" ht="15" hidden="1" customHeight="1" x14ac:dyDescent="0.3">
      <c r="A2023" t="s">
        <v>180</v>
      </c>
      <c r="B2023" s="2">
        <v>45444</v>
      </c>
    </row>
    <row r="2024" spans="1:3" ht="15" hidden="1" customHeight="1" x14ac:dyDescent="0.3">
      <c r="A2024" t="s">
        <v>180</v>
      </c>
      <c r="B2024" s="2">
        <v>45474</v>
      </c>
    </row>
    <row r="2025" spans="1:3" ht="15" hidden="1" customHeight="1" x14ac:dyDescent="0.3">
      <c r="A2025" t="s">
        <v>180</v>
      </c>
      <c r="B2025" s="2">
        <v>45505</v>
      </c>
    </row>
    <row r="2026" spans="1:3" ht="15" hidden="1" customHeight="1" x14ac:dyDescent="0.3">
      <c r="A2026" t="s">
        <v>180</v>
      </c>
      <c r="B2026" s="2">
        <v>45536</v>
      </c>
    </row>
    <row r="2027" spans="1:3" ht="15" hidden="1" customHeight="1" x14ac:dyDescent="0.3">
      <c r="A2027" t="s">
        <v>180</v>
      </c>
      <c r="B2027" s="2">
        <v>45566</v>
      </c>
    </row>
    <row r="2028" spans="1:3" ht="15" hidden="1" customHeight="1" x14ac:dyDescent="0.3">
      <c r="A2028" t="s">
        <v>180</v>
      </c>
      <c r="B2028" s="2">
        <v>45597</v>
      </c>
    </row>
    <row r="2029" spans="1:3" ht="15" hidden="1" customHeight="1" x14ac:dyDescent="0.3">
      <c r="A2029" t="s">
        <v>180</v>
      </c>
      <c r="B2029" s="2">
        <v>45627</v>
      </c>
    </row>
    <row r="2030" spans="1:3" ht="15" hidden="1" customHeight="1" x14ac:dyDescent="0.3">
      <c r="A2030" t="s">
        <v>180</v>
      </c>
      <c r="B2030" s="2">
        <v>45658</v>
      </c>
      <c r="C2030">
        <v>10100</v>
      </c>
    </row>
    <row r="2031" spans="1:3" ht="15" hidden="1" customHeight="1" x14ac:dyDescent="0.3">
      <c r="A2031" t="s">
        <v>180</v>
      </c>
      <c r="B2031" s="2">
        <v>45689</v>
      </c>
      <c r="C2031">
        <v>12001</v>
      </c>
    </row>
    <row r="2032" spans="1:3" ht="15" hidden="1" customHeight="1" x14ac:dyDescent="0.3">
      <c r="A2032" t="s">
        <v>180</v>
      </c>
      <c r="B2032" s="2">
        <v>45717</v>
      </c>
      <c r="C2032">
        <v>13213</v>
      </c>
    </row>
    <row r="2033" spans="1:3" ht="15" hidden="1" customHeight="1" x14ac:dyDescent="0.3">
      <c r="A2033" t="s">
        <v>180</v>
      </c>
      <c r="B2033" s="2">
        <v>45748</v>
      </c>
      <c r="C2033">
        <v>9636</v>
      </c>
    </row>
    <row r="2034" spans="1:3" ht="15" hidden="1" customHeight="1" x14ac:dyDescent="0.3">
      <c r="A2034" t="s">
        <v>180</v>
      </c>
      <c r="B2034" s="2">
        <v>45778</v>
      </c>
      <c r="C2034">
        <v>10261</v>
      </c>
    </row>
    <row r="2035" spans="1:3" ht="15" hidden="1" customHeight="1" x14ac:dyDescent="0.3">
      <c r="A2035" t="s">
        <v>180</v>
      </c>
      <c r="B2035" s="2">
        <v>45809</v>
      </c>
      <c r="C2035">
        <v>11348.4</v>
      </c>
    </row>
    <row r="2036" spans="1:3" ht="15" hidden="1" customHeight="1" x14ac:dyDescent="0.3">
      <c r="A2036" t="s">
        <v>180</v>
      </c>
      <c r="B2036" s="2">
        <v>45839</v>
      </c>
      <c r="C2036">
        <v>14705</v>
      </c>
    </row>
    <row r="2037" spans="1:3" ht="15" hidden="1" customHeight="1" x14ac:dyDescent="0.3">
      <c r="A2037" t="s">
        <v>180</v>
      </c>
      <c r="B2037" s="2">
        <v>45870</v>
      </c>
      <c r="C2037">
        <v>16958</v>
      </c>
    </row>
    <row r="2038" spans="1:3" ht="15" hidden="1" customHeight="1" x14ac:dyDescent="0.3">
      <c r="A2038" t="s">
        <v>180</v>
      </c>
      <c r="B2038" s="2">
        <v>45901</v>
      </c>
      <c r="C2038">
        <v>17766</v>
      </c>
    </row>
    <row r="2039" spans="1:3" ht="15" hidden="1" customHeight="1" x14ac:dyDescent="0.3">
      <c r="A2039" t="s">
        <v>180</v>
      </c>
      <c r="B2039" s="2">
        <v>45931</v>
      </c>
      <c r="C2039">
        <v>22849</v>
      </c>
    </row>
    <row r="2040" spans="1:3" ht="15" hidden="1" customHeight="1" x14ac:dyDescent="0.3">
      <c r="A2040" t="s">
        <v>180</v>
      </c>
      <c r="B2040" s="2">
        <v>45962</v>
      </c>
      <c r="C2040">
        <v>20014</v>
      </c>
    </row>
    <row r="2041" spans="1:3" ht="15" hidden="1" customHeight="1" x14ac:dyDescent="0.3">
      <c r="A2041" t="s">
        <v>180</v>
      </c>
      <c r="B2041" s="2">
        <v>45992</v>
      </c>
      <c r="C2041">
        <v>21334.1162</v>
      </c>
    </row>
    <row r="2042" spans="1:3" ht="15" hidden="1" customHeight="1" x14ac:dyDescent="0.3">
      <c r="A2042" t="s">
        <v>180</v>
      </c>
      <c r="B2042" s="2">
        <v>46023</v>
      </c>
      <c r="C2042">
        <v>23434</v>
      </c>
    </row>
    <row r="2043" spans="1:3" ht="15" hidden="1" customHeight="1" x14ac:dyDescent="0.3">
      <c r="A2043" t="s">
        <v>180</v>
      </c>
      <c r="B2043" s="2">
        <v>46054</v>
      </c>
      <c r="C2043">
        <v>21742.196199999998</v>
      </c>
    </row>
    <row r="2044" spans="1:3" ht="15" hidden="1" customHeight="1" x14ac:dyDescent="0.3">
      <c r="A2044" t="s">
        <v>180</v>
      </c>
      <c r="B2044" s="2">
        <v>46082</v>
      </c>
      <c r="C2044">
        <v>18523</v>
      </c>
    </row>
    <row r="2045" spans="1:3" ht="15" hidden="1" customHeight="1" x14ac:dyDescent="0.3">
      <c r="A2045" t="s">
        <v>180</v>
      </c>
      <c r="B2045" s="2">
        <v>46113</v>
      </c>
      <c r="C2045">
        <v>15379.43</v>
      </c>
    </row>
    <row r="2046" spans="1:3" ht="15" hidden="1" customHeight="1" x14ac:dyDescent="0.3">
      <c r="A2046" t="s">
        <v>180</v>
      </c>
      <c r="B2046" s="2">
        <v>46143</v>
      </c>
      <c r="C2046" s="12">
        <v>15576.52</v>
      </c>
    </row>
    <row r="2047" spans="1:3" ht="15" hidden="1" customHeight="1" x14ac:dyDescent="0.3">
      <c r="A2047" t="s">
        <v>180</v>
      </c>
      <c r="B2047" s="2">
        <v>46174</v>
      </c>
      <c r="C2047">
        <v>12252.53</v>
      </c>
    </row>
    <row r="2048" spans="1:3" ht="15" hidden="1" customHeight="1" x14ac:dyDescent="0.3">
      <c r="A2048" t="s">
        <v>177</v>
      </c>
      <c r="B2048" s="2">
        <v>46204</v>
      </c>
      <c r="C2048">
        <v>2926.66</v>
      </c>
    </row>
    <row r="2049" spans="1:3" ht="15" hidden="1" customHeight="1" x14ac:dyDescent="0.3">
      <c r="A2049" t="s">
        <v>180</v>
      </c>
      <c r="B2049" s="2">
        <v>46235</v>
      </c>
      <c r="C2049">
        <v>17067.580000000002</v>
      </c>
    </row>
    <row r="2050" spans="1:3" ht="15" customHeight="1" x14ac:dyDescent="0.3">
      <c r="A2050" t="s">
        <v>180</v>
      </c>
      <c r="B2050" s="2">
        <v>46266</v>
      </c>
      <c r="C2050" s="47">
        <v>18587.259999999998</v>
      </c>
    </row>
    <row r="2051" spans="1:3" ht="15" hidden="1" customHeight="1" x14ac:dyDescent="0.3">
      <c r="A2051" t="s">
        <v>180</v>
      </c>
      <c r="B2051" s="2">
        <v>46296</v>
      </c>
    </row>
    <row r="2052" spans="1:3" ht="15" hidden="1" customHeight="1" x14ac:dyDescent="0.3">
      <c r="A2052" t="s">
        <v>180</v>
      </c>
      <c r="B2052" s="2">
        <v>46327</v>
      </c>
    </row>
    <row r="2053" spans="1:3" ht="15" hidden="1" customHeight="1" x14ac:dyDescent="0.3">
      <c r="A2053" t="s">
        <v>180</v>
      </c>
      <c r="B2053" s="2">
        <v>46357</v>
      </c>
    </row>
    <row r="2054" spans="1:3" ht="15" hidden="1" customHeight="1" x14ac:dyDescent="0.3">
      <c r="A2054" t="s">
        <v>241</v>
      </c>
      <c r="B2054" s="2">
        <v>45292</v>
      </c>
    </row>
    <row r="2055" spans="1:3" ht="15" hidden="1" customHeight="1" x14ac:dyDescent="0.3">
      <c r="A2055" t="s">
        <v>241</v>
      </c>
      <c r="B2055" s="2">
        <v>45323</v>
      </c>
    </row>
    <row r="2056" spans="1:3" ht="15" hidden="1" customHeight="1" x14ac:dyDescent="0.3">
      <c r="A2056" t="s">
        <v>241</v>
      </c>
      <c r="B2056" s="2">
        <v>45352</v>
      </c>
    </row>
    <row r="2057" spans="1:3" ht="15" hidden="1" customHeight="1" x14ac:dyDescent="0.3">
      <c r="A2057" t="s">
        <v>241</v>
      </c>
      <c r="B2057" s="2">
        <v>45383</v>
      </c>
    </row>
    <row r="2058" spans="1:3" ht="15" hidden="1" customHeight="1" x14ac:dyDescent="0.3">
      <c r="A2058" t="s">
        <v>241</v>
      </c>
      <c r="B2058" s="2">
        <v>45413</v>
      </c>
    </row>
    <row r="2059" spans="1:3" ht="15" hidden="1" customHeight="1" x14ac:dyDescent="0.3">
      <c r="A2059" t="s">
        <v>241</v>
      </c>
      <c r="B2059" s="2">
        <v>45444</v>
      </c>
    </row>
    <row r="2060" spans="1:3" ht="15" hidden="1" customHeight="1" x14ac:dyDescent="0.3">
      <c r="A2060" t="s">
        <v>241</v>
      </c>
      <c r="B2060" s="2">
        <v>45474</v>
      </c>
    </row>
    <row r="2061" spans="1:3" ht="15" hidden="1" customHeight="1" x14ac:dyDescent="0.3">
      <c r="A2061" t="s">
        <v>241</v>
      </c>
      <c r="B2061" s="2">
        <v>45505</v>
      </c>
    </row>
    <row r="2062" spans="1:3" ht="15" hidden="1" customHeight="1" x14ac:dyDescent="0.3">
      <c r="A2062" t="s">
        <v>241</v>
      </c>
      <c r="B2062" s="2">
        <v>45536</v>
      </c>
    </row>
    <row r="2063" spans="1:3" ht="15" hidden="1" customHeight="1" x14ac:dyDescent="0.3">
      <c r="A2063" t="s">
        <v>241</v>
      </c>
      <c r="B2063" s="2">
        <v>45566</v>
      </c>
    </row>
    <row r="2064" spans="1:3" ht="15" hidden="1" customHeight="1" x14ac:dyDescent="0.3">
      <c r="A2064" t="s">
        <v>241</v>
      </c>
      <c r="B2064" s="2">
        <v>45597</v>
      </c>
    </row>
    <row r="2065" spans="1:3" ht="15" hidden="1" customHeight="1" x14ac:dyDescent="0.3">
      <c r="A2065" t="s">
        <v>241</v>
      </c>
      <c r="B2065" s="2">
        <v>45627</v>
      </c>
    </row>
    <row r="2066" spans="1:3" ht="15" hidden="1" customHeight="1" x14ac:dyDescent="0.3">
      <c r="A2066" t="s">
        <v>241</v>
      </c>
      <c r="B2066" s="2">
        <v>45658</v>
      </c>
    </row>
    <row r="2067" spans="1:3" ht="15" hidden="1" customHeight="1" x14ac:dyDescent="0.3">
      <c r="A2067" t="s">
        <v>241</v>
      </c>
      <c r="B2067" s="2">
        <v>45689</v>
      </c>
    </row>
    <row r="2068" spans="1:3" ht="15" hidden="1" customHeight="1" x14ac:dyDescent="0.3">
      <c r="A2068" t="s">
        <v>241</v>
      </c>
      <c r="B2068" s="2">
        <v>45717</v>
      </c>
    </row>
    <row r="2069" spans="1:3" ht="15" hidden="1" customHeight="1" x14ac:dyDescent="0.3">
      <c r="A2069" t="s">
        <v>241</v>
      </c>
      <c r="B2069" s="2">
        <v>45748</v>
      </c>
    </row>
    <row r="2070" spans="1:3" ht="15" hidden="1" customHeight="1" x14ac:dyDescent="0.3">
      <c r="A2070" t="s">
        <v>241</v>
      </c>
      <c r="B2070" s="2">
        <v>45778</v>
      </c>
    </row>
    <row r="2071" spans="1:3" ht="15" hidden="1" customHeight="1" x14ac:dyDescent="0.3">
      <c r="A2071" t="s">
        <v>241</v>
      </c>
      <c r="B2071" s="2">
        <v>45809</v>
      </c>
    </row>
    <row r="2072" spans="1:3" ht="15" hidden="1" customHeight="1" x14ac:dyDescent="0.3">
      <c r="A2072" t="s">
        <v>241</v>
      </c>
      <c r="B2072" s="2">
        <v>45839</v>
      </c>
    </row>
    <row r="2073" spans="1:3" ht="15" hidden="1" customHeight="1" x14ac:dyDescent="0.3">
      <c r="A2073" t="s">
        <v>241</v>
      </c>
      <c r="B2073" s="2">
        <v>45870</v>
      </c>
    </row>
    <row r="2074" spans="1:3" ht="15" hidden="1" customHeight="1" x14ac:dyDescent="0.3">
      <c r="A2074" t="s">
        <v>241</v>
      </c>
      <c r="B2074" s="2">
        <v>45901</v>
      </c>
    </row>
    <row r="2075" spans="1:3" ht="15" hidden="1" customHeight="1" x14ac:dyDescent="0.3">
      <c r="A2075" t="s">
        <v>241</v>
      </c>
      <c r="B2075" s="2">
        <v>45931</v>
      </c>
    </row>
    <row r="2076" spans="1:3" ht="15" hidden="1" customHeight="1" x14ac:dyDescent="0.3">
      <c r="A2076" t="s">
        <v>241</v>
      </c>
      <c r="B2076" s="2">
        <v>45962</v>
      </c>
    </row>
    <row r="2077" spans="1:3" ht="15" hidden="1" customHeight="1" x14ac:dyDescent="0.3">
      <c r="A2077" t="s">
        <v>241</v>
      </c>
      <c r="B2077" s="2">
        <v>45992</v>
      </c>
    </row>
    <row r="2078" spans="1:3" ht="15" hidden="1" customHeight="1" x14ac:dyDescent="0.3">
      <c r="A2078" t="s">
        <v>241</v>
      </c>
      <c r="B2078" s="2">
        <v>46023</v>
      </c>
    </row>
    <row r="2079" spans="1:3" ht="15" hidden="1" customHeight="1" x14ac:dyDescent="0.3">
      <c r="A2079" t="s">
        <v>241</v>
      </c>
      <c r="B2079" s="2">
        <v>46054</v>
      </c>
    </row>
    <row r="2080" spans="1:3" ht="15" hidden="1" customHeight="1" x14ac:dyDescent="0.3">
      <c r="A2080" t="s">
        <v>241</v>
      </c>
      <c r="B2080" s="2">
        <v>46082</v>
      </c>
      <c r="C2080">
        <v>10022</v>
      </c>
    </row>
    <row r="2081" spans="1:3" ht="15" hidden="1" customHeight="1" x14ac:dyDescent="0.3">
      <c r="A2081" t="s">
        <v>241</v>
      </c>
      <c r="B2081" s="2">
        <v>46113</v>
      </c>
      <c r="C2081">
        <v>11511.86</v>
      </c>
    </row>
    <row r="2082" spans="1:3" ht="15" hidden="1" customHeight="1" x14ac:dyDescent="0.3">
      <c r="A2082" t="s">
        <v>241</v>
      </c>
      <c r="B2082" s="2">
        <v>46143</v>
      </c>
      <c r="C2082" s="12">
        <v>14709.43</v>
      </c>
    </row>
    <row r="2083" spans="1:3" ht="15" hidden="1" customHeight="1" x14ac:dyDescent="0.3">
      <c r="A2083" t="s">
        <v>241</v>
      </c>
      <c r="B2083" s="2">
        <v>46174</v>
      </c>
      <c r="C2083">
        <v>12264.7</v>
      </c>
    </row>
    <row r="2084" spans="1:3" ht="15" hidden="1" customHeight="1" x14ac:dyDescent="0.3">
      <c r="A2084" t="s">
        <v>180</v>
      </c>
      <c r="B2084" s="2">
        <v>46204</v>
      </c>
      <c r="C2084">
        <v>13658</v>
      </c>
    </row>
    <row r="2085" spans="1:3" ht="15" hidden="1" customHeight="1" x14ac:dyDescent="0.3">
      <c r="A2085" t="s">
        <v>241</v>
      </c>
      <c r="B2085" s="2">
        <v>46235</v>
      </c>
      <c r="C2085">
        <v>16951.843000000001</v>
      </c>
    </row>
    <row r="2086" spans="1:3" ht="15" customHeight="1" x14ac:dyDescent="0.3">
      <c r="A2086" t="s">
        <v>241</v>
      </c>
      <c r="B2086" s="2">
        <v>46266</v>
      </c>
      <c r="C2086" s="47">
        <v>20723.336220000001</v>
      </c>
    </row>
    <row r="2087" spans="1:3" ht="15" hidden="1" customHeight="1" x14ac:dyDescent="0.3">
      <c r="A2087" t="s">
        <v>241</v>
      </c>
      <c r="B2087" s="2">
        <v>46296</v>
      </c>
    </row>
    <row r="2088" spans="1:3" ht="15" hidden="1" customHeight="1" x14ac:dyDescent="0.3">
      <c r="A2088" t="s">
        <v>241</v>
      </c>
      <c r="B2088" s="2">
        <v>46327</v>
      </c>
    </row>
    <row r="2089" spans="1:3" ht="15" hidden="1" customHeight="1" x14ac:dyDescent="0.3">
      <c r="A2089" t="s">
        <v>241</v>
      </c>
      <c r="B2089" s="2">
        <v>46357</v>
      </c>
    </row>
    <row r="2090" spans="1:3" ht="15" hidden="1" customHeight="1" x14ac:dyDescent="0.3">
      <c r="A2090" t="s">
        <v>182</v>
      </c>
      <c r="B2090" s="2">
        <v>45292</v>
      </c>
    </row>
    <row r="2091" spans="1:3" ht="15" hidden="1" customHeight="1" x14ac:dyDescent="0.3">
      <c r="A2091" t="s">
        <v>182</v>
      </c>
      <c r="B2091" s="2">
        <v>45323</v>
      </c>
    </row>
    <row r="2092" spans="1:3" ht="15" hidden="1" customHeight="1" x14ac:dyDescent="0.3">
      <c r="A2092" t="s">
        <v>182</v>
      </c>
      <c r="B2092" s="2">
        <v>45352</v>
      </c>
    </row>
    <row r="2093" spans="1:3" ht="15" hidden="1" customHeight="1" x14ac:dyDescent="0.3">
      <c r="A2093" t="s">
        <v>182</v>
      </c>
      <c r="B2093" s="2">
        <v>45383</v>
      </c>
    </row>
    <row r="2094" spans="1:3" ht="15" hidden="1" customHeight="1" x14ac:dyDescent="0.3">
      <c r="A2094" t="s">
        <v>182</v>
      </c>
      <c r="B2094" s="2">
        <v>45413</v>
      </c>
    </row>
    <row r="2095" spans="1:3" ht="15" hidden="1" customHeight="1" x14ac:dyDescent="0.3">
      <c r="A2095" t="s">
        <v>182</v>
      </c>
      <c r="B2095" s="2">
        <v>45444</v>
      </c>
    </row>
    <row r="2096" spans="1:3" ht="15" hidden="1" customHeight="1" x14ac:dyDescent="0.3">
      <c r="A2096" t="s">
        <v>182</v>
      </c>
      <c r="B2096" s="2">
        <v>45474</v>
      </c>
    </row>
    <row r="2097" spans="1:3" ht="15" hidden="1" customHeight="1" x14ac:dyDescent="0.3">
      <c r="A2097" t="s">
        <v>182</v>
      </c>
      <c r="B2097" s="2">
        <v>45505</v>
      </c>
    </row>
    <row r="2098" spans="1:3" ht="15" hidden="1" customHeight="1" x14ac:dyDescent="0.3">
      <c r="A2098" t="s">
        <v>182</v>
      </c>
      <c r="B2098" s="2">
        <v>45536</v>
      </c>
    </row>
    <row r="2099" spans="1:3" ht="15" hidden="1" customHeight="1" x14ac:dyDescent="0.3">
      <c r="A2099" t="s">
        <v>182</v>
      </c>
      <c r="B2099" s="2">
        <v>45566</v>
      </c>
    </row>
    <row r="2100" spans="1:3" ht="15" hidden="1" customHeight="1" x14ac:dyDescent="0.3">
      <c r="A2100" t="s">
        <v>182</v>
      </c>
      <c r="B2100" s="2">
        <v>45597</v>
      </c>
    </row>
    <row r="2101" spans="1:3" ht="15" hidden="1" customHeight="1" x14ac:dyDescent="0.3">
      <c r="A2101" t="s">
        <v>182</v>
      </c>
      <c r="B2101" s="2">
        <v>45627</v>
      </c>
    </row>
    <row r="2102" spans="1:3" ht="15" hidden="1" customHeight="1" x14ac:dyDescent="0.3">
      <c r="A2102" t="s">
        <v>182</v>
      </c>
      <c r="B2102" s="2">
        <v>45658</v>
      </c>
      <c r="C2102">
        <v>18900</v>
      </c>
    </row>
    <row r="2103" spans="1:3" ht="15" hidden="1" customHeight="1" x14ac:dyDescent="0.3">
      <c r="A2103" t="s">
        <v>182</v>
      </c>
      <c r="B2103" s="2">
        <v>45689</v>
      </c>
      <c r="C2103">
        <v>13110</v>
      </c>
    </row>
    <row r="2104" spans="1:3" ht="15" hidden="1" customHeight="1" x14ac:dyDescent="0.3">
      <c r="A2104" t="s">
        <v>182</v>
      </c>
      <c r="B2104" s="2">
        <v>45717</v>
      </c>
      <c r="C2104">
        <v>11124</v>
      </c>
    </row>
    <row r="2105" spans="1:3" ht="15" hidden="1" customHeight="1" x14ac:dyDescent="0.3">
      <c r="A2105" t="s">
        <v>182</v>
      </c>
      <c r="B2105" s="2">
        <v>45748</v>
      </c>
      <c r="C2105">
        <v>9398</v>
      </c>
    </row>
    <row r="2106" spans="1:3" ht="15" hidden="1" customHeight="1" x14ac:dyDescent="0.3">
      <c r="A2106" t="s">
        <v>182</v>
      </c>
      <c r="B2106" s="2">
        <v>45778</v>
      </c>
      <c r="C2106">
        <v>10507</v>
      </c>
    </row>
    <row r="2107" spans="1:3" ht="15" hidden="1" customHeight="1" x14ac:dyDescent="0.3">
      <c r="A2107" t="s">
        <v>182</v>
      </c>
      <c r="B2107" s="2">
        <v>45809</v>
      </c>
      <c r="C2107">
        <v>8615</v>
      </c>
    </row>
    <row r="2108" spans="1:3" ht="15" hidden="1" customHeight="1" x14ac:dyDescent="0.3">
      <c r="A2108" t="s">
        <v>182</v>
      </c>
      <c r="B2108" s="2">
        <v>45839</v>
      </c>
      <c r="C2108">
        <v>9297</v>
      </c>
    </row>
    <row r="2109" spans="1:3" ht="15" hidden="1" customHeight="1" x14ac:dyDescent="0.3">
      <c r="A2109" t="s">
        <v>182</v>
      </c>
      <c r="B2109" s="2">
        <v>45870</v>
      </c>
      <c r="C2109">
        <v>11805</v>
      </c>
    </row>
    <row r="2110" spans="1:3" ht="15" hidden="1" customHeight="1" x14ac:dyDescent="0.3">
      <c r="A2110" t="s">
        <v>182</v>
      </c>
      <c r="B2110" s="2">
        <v>45901</v>
      </c>
      <c r="C2110">
        <v>12829</v>
      </c>
    </row>
    <row r="2111" spans="1:3" ht="15" hidden="1" customHeight="1" x14ac:dyDescent="0.3">
      <c r="A2111" t="s">
        <v>182</v>
      </c>
      <c r="B2111" s="2">
        <v>45931</v>
      </c>
      <c r="C2111">
        <v>18800</v>
      </c>
    </row>
    <row r="2112" spans="1:3" ht="15" hidden="1" customHeight="1" x14ac:dyDescent="0.3">
      <c r="A2112" t="s">
        <v>182</v>
      </c>
      <c r="B2112" s="2">
        <v>45962</v>
      </c>
      <c r="C2112">
        <v>15186</v>
      </c>
    </row>
    <row r="2113" spans="1:3" ht="15" hidden="1" customHeight="1" x14ac:dyDescent="0.3">
      <c r="A2113" t="s">
        <v>182</v>
      </c>
      <c r="B2113" s="2">
        <v>45992</v>
      </c>
      <c r="C2113">
        <v>17488.270700000001</v>
      </c>
    </row>
    <row r="2114" spans="1:3" ht="15" hidden="1" customHeight="1" x14ac:dyDescent="0.3">
      <c r="A2114" t="s">
        <v>182</v>
      </c>
      <c r="B2114" s="2">
        <v>46023</v>
      </c>
      <c r="C2114">
        <v>18755</v>
      </c>
    </row>
    <row r="2115" spans="1:3" ht="15" hidden="1" customHeight="1" x14ac:dyDescent="0.3">
      <c r="A2115" t="s">
        <v>182</v>
      </c>
      <c r="B2115" s="2">
        <v>46054</v>
      </c>
      <c r="C2115">
        <v>15395.716200000001</v>
      </c>
    </row>
    <row r="2116" spans="1:3" ht="15" hidden="1" customHeight="1" x14ac:dyDescent="0.3">
      <c r="A2116" t="s">
        <v>182</v>
      </c>
      <c r="B2116" s="2">
        <v>46082</v>
      </c>
      <c r="C2116">
        <v>11700</v>
      </c>
    </row>
    <row r="2117" spans="1:3" ht="15" hidden="1" customHeight="1" x14ac:dyDescent="0.3">
      <c r="A2117" t="s">
        <v>182</v>
      </c>
      <c r="B2117" s="2">
        <v>46113</v>
      </c>
      <c r="C2117">
        <v>8798.9599999999991</v>
      </c>
    </row>
    <row r="2118" spans="1:3" ht="15" hidden="1" customHeight="1" x14ac:dyDescent="0.3">
      <c r="A2118" t="s">
        <v>182</v>
      </c>
      <c r="B2118" s="2">
        <v>46143</v>
      </c>
      <c r="C2118" s="12">
        <v>8378.25</v>
      </c>
    </row>
    <row r="2119" spans="1:3" ht="15" hidden="1" customHeight="1" x14ac:dyDescent="0.3">
      <c r="A2119" t="s">
        <v>182</v>
      </c>
      <c r="B2119" s="2">
        <v>46174</v>
      </c>
      <c r="C2119">
        <v>6213.16</v>
      </c>
    </row>
    <row r="2120" spans="1:3" ht="15" hidden="1" customHeight="1" x14ac:dyDescent="0.3">
      <c r="A2120" t="s">
        <v>241</v>
      </c>
      <c r="B2120" s="2">
        <v>46204</v>
      </c>
      <c r="C2120">
        <v>11339.6067</v>
      </c>
    </row>
    <row r="2121" spans="1:3" ht="15" hidden="1" customHeight="1" x14ac:dyDescent="0.3">
      <c r="A2121" t="s">
        <v>182</v>
      </c>
      <c r="B2121" s="2">
        <v>46235</v>
      </c>
      <c r="C2121">
        <v>9821.36</v>
      </c>
    </row>
    <row r="2122" spans="1:3" ht="15" customHeight="1" x14ac:dyDescent="0.3">
      <c r="A2122" t="s">
        <v>182</v>
      </c>
      <c r="B2122" s="2">
        <v>46266</v>
      </c>
      <c r="C2122" s="47">
        <v>11626.59</v>
      </c>
    </row>
    <row r="2123" spans="1:3" ht="15" hidden="1" customHeight="1" x14ac:dyDescent="0.3">
      <c r="A2123" t="s">
        <v>182</v>
      </c>
      <c r="B2123" s="2">
        <v>46296</v>
      </c>
    </row>
    <row r="2124" spans="1:3" ht="15" hidden="1" customHeight="1" x14ac:dyDescent="0.3">
      <c r="A2124" t="s">
        <v>182</v>
      </c>
      <c r="B2124" s="2">
        <v>46327</v>
      </c>
    </row>
    <row r="2125" spans="1:3" ht="15" hidden="1" customHeight="1" x14ac:dyDescent="0.3">
      <c r="A2125" t="s">
        <v>182</v>
      </c>
      <c r="B2125" s="2">
        <v>46357</v>
      </c>
    </row>
    <row r="2126" spans="1:3" ht="15" hidden="1" customHeight="1" x14ac:dyDescent="0.3">
      <c r="A2126" t="s">
        <v>184</v>
      </c>
      <c r="B2126" s="2">
        <v>45292</v>
      </c>
    </row>
    <row r="2127" spans="1:3" ht="15" hidden="1" customHeight="1" x14ac:dyDescent="0.3">
      <c r="A2127" t="s">
        <v>184</v>
      </c>
      <c r="B2127" s="2">
        <v>45323</v>
      </c>
    </row>
    <row r="2128" spans="1:3" ht="15" hidden="1" customHeight="1" x14ac:dyDescent="0.3">
      <c r="A2128" t="s">
        <v>184</v>
      </c>
      <c r="B2128" s="2">
        <v>45352</v>
      </c>
    </row>
    <row r="2129" spans="1:3" ht="15" hidden="1" customHeight="1" x14ac:dyDescent="0.3">
      <c r="A2129" t="s">
        <v>184</v>
      </c>
      <c r="B2129" s="2">
        <v>45383</v>
      </c>
    </row>
    <row r="2130" spans="1:3" ht="15" hidden="1" customHeight="1" x14ac:dyDescent="0.3">
      <c r="A2130" t="s">
        <v>184</v>
      </c>
      <c r="B2130" s="2">
        <v>45413</v>
      </c>
    </row>
    <row r="2131" spans="1:3" ht="15" hidden="1" customHeight="1" x14ac:dyDescent="0.3">
      <c r="A2131" t="s">
        <v>184</v>
      </c>
      <c r="B2131" s="2">
        <v>45444</v>
      </c>
    </row>
    <row r="2132" spans="1:3" ht="15" hidden="1" customHeight="1" x14ac:dyDescent="0.3">
      <c r="A2132" t="s">
        <v>184</v>
      </c>
      <c r="B2132" s="2">
        <v>45474</v>
      </c>
    </row>
    <row r="2133" spans="1:3" ht="15" hidden="1" customHeight="1" x14ac:dyDescent="0.3">
      <c r="A2133" t="s">
        <v>184</v>
      </c>
      <c r="B2133" s="2">
        <v>45505</v>
      </c>
    </row>
    <row r="2134" spans="1:3" ht="15" hidden="1" customHeight="1" x14ac:dyDescent="0.3">
      <c r="A2134" t="s">
        <v>184</v>
      </c>
      <c r="B2134" s="2">
        <v>45536</v>
      </c>
    </row>
    <row r="2135" spans="1:3" ht="15" hidden="1" customHeight="1" x14ac:dyDescent="0.3">
      <c r="A2135" t="s">
        <v>184</v>
      </c>
      <c r="B2135" s="2">
        <v>45566</v>
      </c>
    </row>
    <row r="2136" spans="1:3" ht="15" hidden="1" customHeight="1" x14ac:dyDescent="0.3">
      <c r="A2136" t="s">
        <v>184</v>
      </c>
      <c r="B2136" s="2">
        <v>45597</v>
      </c>
    </row>
    <row r="2137" spans="1:3" ht="15" hidden="1" customHeight="1" x14ac:dyDescent="0.3">
      <c r="A2137" t="s">
        <v>184</v>
      </c>
      <c r="B2137" s="2">
        <v>45627</v>
      </c>
    </row>
    <row r="2138" spans="1:3" ht="15" hidden="1" customHeight="1" x14ac:dyDescent="0.3">
      <c r="A2138" t="s">
        <v>184</v>
      </c>
      <c r="B2138" s="2">
        <v>45658</v>
      </c>
      <c r="C2138">
        <v>33100</v>
      </c>
    </row>
    <row r="2139" spans="1:3" ht="15" hidden="1" customHeight="1" x14ac:dyDescent="0.3">
      <c r="A2139" t="s">
        <v>184</v>
      </c>
      <c r="B2139" s="2">
        <v>45689</v>
      </c>
      <c r="C2139">
        <v>24950</v>
      </c>
    </row>
    <row r="2140" spans="1:3" ht="15" hidden="1" customHeight="1" x14ac:dyDescent="0.3">
      <c r="A2140" t="s">
        <v>184</v>
      </c>
      <c r="B2140" s="2">
        <v>45717</v>
      </c>
      <c r="C2140">
        <v>24126</v>
      </c>
    </row>
    <row r="2141" spans="1:3" ht="15" hidden="1" customHeight="1" x14ac:dyDescent="0.3">
      <c r="A2141" t="s">
        <v>184</v>
      </c>
      <c r="B2141" s="2">
        <v>45748</v>
      </c>
      <c r="C2141">
        <v>18837</v>
      </c>
    </row>
    <row r="2142" spans="1:3" ht="15" hidden="1" customHeight="1" x14ac:dyDescent="0.3">
      <c r="A2142" t="s">
        <v>184</v>
      </c>
      <c r="B2142" s="2">
        <v>45778</v>
      </c>
      <c r="C2142">
        <v>22373</v>
      </c>
    </row>
    <row r="2143" spans="1:3" ht="15" hidden="1" customHeight="1" x14ac:dyDescent="0.3">
      <c r="A2143" t="s">
        <v>184</v>
      </c>
      <c r="B2143" s="2">
        <v>45809</v>
      </c>
      <c r="C2143">
        <v>18416.599999999999</v>
      </c>
    </row>
    <row r="2144" spans="1:3" ht="15" hidden="1" customHeight="1" x14ac:dyDescent="0.3">
      <c r="A2144" t="s">
        <v>184</v>
      </c>
      <c r="B2144" s="2">
        <v>45839</v>
      </c>
      <c r="C2144">
        <v>19123</v>
      </c>
    </row>
    <row r="2145" spans="1:3" ht="15" hidden="1" customHeight="1" x14ac:dyDescent="0.3">
      <c r="A2145" t="s">
        <v>184</v>
      </c>
      <c r="B2145" s="2">
        <v>45870</v>
      </c>
      <c r="C2145">
        <v>22404</v>
      </c>
    </row>
    <row r="2146" spans="1:3" ht="15" hidden="1" customHeight="1" x14ac:dyDescent="0.3">
      <c r="A2146" t="s">
        <v>184</v>
      </c>
      <c r="B2146" s="2">
        <v>45901</v>
      </c>
      <c r="C2146">
        <v>21900</v>
      </c>
    </row>
    <row r="2147" spans="1:3" ht="15" hidden="1" customHeight="1" x14ac:dyDescent="0.3">
      <c r="A2147" t="s">
        <v>184</v>
      </c>
      <c r="B2147" s="2">
        <v>45931</v>
      </c>
      <c r="C2147">
        <v>29612</v>
      </c>
    </row>
    <row r="2148" spans="1:3" ht="15" hidden="1" customHeight="1" x14ac:dyDescent="0.3">
      <c r="A2148" t="s">
        <v>184</v>
      </c>
      <c r="B2148" s="2">
        <v>45962</v>
      </c>
      <c r="C2148">
        <v>26751</v>
      </c>
    </row>
    <row r="2149" spans="1:3" ht="15" hidden="1" customHeight="1" x14ac:dyDescent="0.3">
      <c r="A2149" t="s">
        <v>184</v>
      </c>
      <c r="B2149" s="2">
        <v>45992</v>
      </c>
      <c r="C2149">
        <v>30623.100399999999</v>
      </c>
    </row>
    <row r="2150" spans="1:3" ht="15" hidden="1" customHeight="1" x14ac:dyDescent="0.3">
      <c r="A2150" t="s">
        <v>184</v>
      </c>
      <c r="B2150" s="2">
        <v>46023</v>
      </c>
      <c r="C2150">
        <v>34009</v>
      </c>
    </row>
    <row r="2151" spans="1:3" ht="15" hidden="1" customHeight="1" x14ac:dyDescent="0.3">
      <c r="A2151" t="s">
        <v>184</v>
      </c>
      <c r="B2151" s="2">
        <v>46054</v>
      </c>
      <c r="C2151">
        <v>24602.882900000001</v>
      </c>
    </row>
    <row r="2152" spans="1:3" ht="15" hidden="1" customHeight="1" x14ac:dyDescent="0.3">
      <c r="A2152" t="s">
        <v>184</v>
      </c>
      <c r="B2152" s="2">
        <v>46082</v>
      </c>
      <c r="C2152">
        <v>23540</v>
      </c>
    </row>
    <row r="2153" spans="1:3" ht="15" hidden="1" customHeight="1" x14ac:dyDescent="0.3">
      <c r="A2153" t="s">
        <v>184</v>
      </c>
      <c r="B2153" s="2">
        <v>46113</v>
      </c>
      <c r="C2153">
        <v>18199.29</v>
      </c>
    </row>
    <row r="2154" spans="1:3" ht="15" hidden="1" customHeight="1" x14ac:dyDescent="0.3">
      <c r="A2154" t="s">
        <v>184</v>
      </c>
      <c r="B2154" s="2">
        <v>46143</v>
      </c>
      <c r="C2154" s="12">
        <v>17860.55</v>
      </c>
    </row>
    <row r="2155" spans="1:3" ht="15" hidden="1" customHeight="1" x14ac:dyDescent="0.3">
      <c r="A2155" t="s">
        <v>184</v>
      </c>
      <c r="B2155" s="2">
        <v>46174</v>
      </c>
      <c r="C2155">
        <v>14774.05</v>
      </c>
    </row>
    <row r="2156" spans="1:3" ht="15" hidden="1" customHeight="1" x14ac:dyDescent="0.3">
      <c r="A2156" t="s">
        <v>182</v>
      </c>
      <c r="B2156" s="2">
        <v>46204</v>
      </c>
      <c r="C2156">
        <v>6980.78</v>
      </c>
    </row>
    <row r="2157" spans="1:3" ht="15" hidden="1" customHeight="1" x14ac:dyDescent="0.3">
      <c r="A2157" t="s">
        <v>184</v>
      </c>
      <c r="B2157" s="2">
        <v>46235</v>
      </c>
      <c r="C2157">
        <v>21703.83</v>
      </c>
    </row>
    <row r="2158" spans="1:3" ht="15" customHeight="1" x14ac:dyDescent="0.3">
      <c r="A2158" t="s">
        <v>184</v>
      </c>
      <c r="B2158" s="2">
        <v>46266</v>
      </c>
      <c r="C2158" s="47">
        <v>20441.04</v>
      </c>
    </row>
    <row r="2159" spans="1:3" ht="15" hidden="1" customHeight="1" x14ac:dyDescent="0.3">
      <c r="A2159" t="s">
        <v>184</v>
      </c>
      <c r="B2159" s="2">
        <v>46296</v>
      </c>
    </row>
    <row r="2160" spans="1:3" ht="15" hidden="1" customHeight="1" x14ac:dyDescent="0.3">
      <c r="A2160" t="s">
        <v>184</v>
      </c>
      <c r="B2160" s="2">
        <v>46327</v>
      </c>
    </row>
    <row r="2161" spans="1:3" ht="15" hidden="1" customHeight="1" x14ac:dyDescent="0.3">
      <c r="A2161" t="s">
        <v>184</v>
      </c>
      <c r="B2161" s="2">
        <v>46357</v>
      </c>
    </row>
    <row r="2162" spans="1:3" ht="15" hidden="1" customHeight="1" x14ac:dyDescent="0.3">
      <c r="A2162" t="s">
        <v>186</v>
      </c>
      <c r="B2162" s="2">
        <v>45292</v>
      </c>
    </row>
    <row r="2163" spans="1:3" ht="15" hidden="1" customHeight="1" x14ac:dyDescent="0.3">
      <c r="A2163" t="s">
        <v>186</v>
      </c>
      <c r="B2163" s="2">
        <v>45323</v>
      </c>
    </row>
    <row r="2164" spans="1:3" ht="15" hidden="1" customHeight="1" x14ac:dyDescent="0.3">
      <c r="A2164" t="s">
        <v>186</v>
      </c>
      <c r="B2164" s="2">
        <v>45352</v>
      </c>
    </row>
    <row r="2165" spans="1:3" ht="15" hidden="1" customHeight="1" x14ac:dyDescent="0.3">
      <c r="A2165" t="s">
        <v>186</v>
      </c>
      <c r="B2165" s="2">
        <v>45383</v>
      </c>
    </row>
    <row r="2166" spans="1:3" ht="15" hidden="1" customHeight="1" x14ac:dyDescent="0.3">
      <c r="A2166" t="s">
        <v>186</v>
      </c>
      <c r="B2166" s="2">
        <v>45413</v>
      </c>
    </row>
    <row r="2167" spans="1:3" ht="15" hidden="1" customHeight="1" x14ac:dyDescent="0.3">
      <c r="A2167" t="s">
        <v>186</v>
      </c>
      <c r="B2167" s="2">
        <v>45444</v>
      </c>
    </row>
    <row r="2168" spans="1:3" ht="15" hidden="1" customHeight="1" x14ac:dyDescent="0.3">
      <c r="A2168" t="s">
        <v>186</v>
      </c>
      <c r="B2168" s="2">
        <v>45474</v>
      </c>
    </row>
    <row r="2169" spans="1:3" ht="15" hidden="1" customHeight="1" x14ac:dyDescent="0.3">
      <c r="A2169" t="s">
        <v>186</v>
      </c>
      <c r="B2169" s="2">
        <v>45505</v>
      </c>
      <c r="C2169">
        <v>3670</v>
      </c>
    </row>
    <row r="2170" spans="1:3" ht="15" hidden="1" customHeight="1" x14ac:dyDescent="0.3">
      <c r="A2170" t="s">
        <v>186</v>
      </c>
      <c r="B2170" s="2">
        <v>45536</v>
      </c>
      <c r="C2170">
        <v>24226</v>
      </c>
    </row>
    <row r="2171" spans="1:3" ht="15" hidden="1" customHeight="1" x14ac:dyDescent="0.3">
      <c r="A2171" t="s">
        <v>186</v>
      </c>
      <c r="B2171" s="2">
        <v>45566</v>
      </c>
      <c r="C2171">
        <v>29060</v>
      </c>
    </row>
    <row r="2172" spans="1:3" ht="15" hidden="1" customHeight="1" x14ac:dyDescent="0.3">
      <c r="A2172" t="s">
        <v>186</v>
      </c>
      <c r="B2172" s="2">
        <v>45597</v>
      </c>
      <c r="C2172">
        <v>28700</v>
      </c>
    </row>
    <row r="2173" spans="1:3" ht="15" hidden="1" customHeight="1" x14ac:dyDescent="0.3">
      <c r="A2173" t="s">
        <v>186</v>
      </c>
      <c r="B2173" s="2">
        <v>45627</v>
      </c>
      <c r="C2173">
        <v>32654</v>
      </c>
    </row>
    <row r="2174" spans="1:3" ht="15" hidden="1" customHeight="1" x14ac:dyDescent="0.3">
      <c r="A2174" t="s">
        <v>186</v>
      </c>
      <c r="B2174" s="2">
        <v>45658</v>
      </c>
      <c r="C2174">
        <v>31900</v>
      </c>
    </row>
    <row r="2175" spans="1:3" ht="15" hidden="1" customHeight="1" x14ac:dyDescent="0.3">
      <c r="A2175" t="s">
        <v>186</v>
      </c>
      <c r="B2175" s="2">
        <v>45689</v>
      </c>
      <c r="C2175">
        <v>24980</v>
      </c>
    </row>
    <row r="2176" spans="1:3" ht="15" hidden="1" customHeight="1" x14ac:dyDescent="0.3">
      <c r="A2176" t="s">
        <v>186</v>
      </c>
      <c r="B2176" s="2">
        <v>45717</v>
      </c>
      <c r="C2176">
        <v>24068</v>
      </c>
    </row>
    <row r="2177" spans="1:3" ht="15" hidden="1" customHeight="1" x14ac:dyDescent="0.3">
      <c r="A2177" t="s">
        <v>186</v>
      </c>
      <c r="B2177" s="2">
        <v>45748</v>
      </c>
      <c r="C2177">
        <v>17329</v>
      </c>
    </row>
    <row r="2178" spans="1:3" ht="15" hidden="1" customHeight="1" x14ac:dyDescent="0.3">
      <c r="A2178" t="s">
        <v>186</v>
      </c>
      <c r="B2178" s="2">
        <v>45778</v>
      </c>
      <c r="C2178">
        <v>19241</v>
      </c>
    </row>
    <row r="2179" spans="1:3" ht="15" hidden="1" customHeight="1" x14ac:dyDescent="0.3">
      <c r="A2179" t="s">
        <v>186</v>
      </c>
      <c r="B2179" s="2">
        <v>45809</v>
      </c>
      <c r="C2179">
        <v>18515.91</v>
      </c>
    </row>
    <row r="2180" spans="1:3" ht="15" hidden="1" customHeight="1" x14ac:dyDescent="0.3">
      <c r="A2180" t="s">
        <v>186</v>
      </c>
      <c r="B2180" s="2">
        <v>45839</v>
      </c>
      <c r="C2180">
        <v>18781</v>
      </c>
    </row>
    <row r="2181" spans="1:3" ht="15" hidden="1" customHeight="1" x14ac:dyDescent="0.3">
      <c r="A2181" t="s">
        <v>186</v>
      </c>
      <c r="B2181" s="2">
        <v>45870</v>
      </c>
      <c r="C2181">
        <v>21235</v>
      </c>
    </row>
    <row r="2182" spans="1:3" ht="15" hidden="1" customHeight="1" x14ac:dyDescent="0.3">
      <c r="A2182" t="s">
        <v>186</v>
      </c>
      <c r="B2182" s="2">
        <v>45901</v>
      </c>
      <c r="C2182">
        <v>23085</v>
      </c>
    </row>
    <row r="2183" spans="1:3" ht="15" hidden="1" customHeight="1" x14ac:dyDescent="0.3">
      <c r="A2183" t="s">
        <v>186</v>
      </c>
      <c r="B2183" s="2">
        <v>45931</v>
      </c>
      <c r="C2183">
        <v>25611</v>
      </c>
    </row>
    <row r="2184" spans="1:3" ht="15" hidden="1" customHeight="1" x14ac:dyDescent="0.3">
      <c r="A2184" t="s">
        <v>186</v>
      </c>
      <c r="B2184" s="2">
        <v>45962</v>
      </c>
      <c r="C2184">
        <v>25276</v>
      </c>
    </row>
    <row r="2185" spans="1:3" ht="15" hidden="1" customHeight="1" x14ac:dyDescent="0.3">
      <c r="A2185" t="s">
        <v>186</v>
      </c>
      <c r="B2185" s="2">
        <v>45992</v>
      </c>
      <c r="C2185">
        <v>28457.1296</v>
      </c>
    </row>
    <row r="2186" spans="1:3" ht="15" hidden="1" customHeight="1" x14ac:dyDescent="0.3">
      <c r="A2186" t="s">
        <v>186</v>
      </c>
      <c r="B2186" s="2">
        <v>46023</v>
      </c>
      <c r="C2186">
        <v>29092</v>
      </c>
    </row>
    <row r="2187" spans="1:3" ht="15" hidden="1" customHeight="1" x14ac:dyDescent="0.3">
      <c r="A2187" t="s">
        <v>186</v>
      </c>
      <c r="B2187" s="2">
        <v>46054</v>
      </c>
      <c r="C2187">
        <v>23486.9398</v>
      </c>
    </row>
    <row r="2188" spans="1:3" ht="15" hidden="1" customHeight="1" x14ac:dyDescent="0.3">
      <c r="A2188" t="s">
        <v>186</v>
      </c>
      <c r="B2188" s="2">
        <v>46082</v>
      </c>
      <c r="C2188">
        <v>22459</v>
      </c>
    </row>
    <row r="2189" spans="1:3" ht="15" hidden="1" customHeight="1" x14ac:dyDescent="0.3">
      <c r="A2189" t="s">
        <v>186</v>
      </c>
      <c r="B2189" s="2">
        <v>46113</v>
      </c>
      <c r="C2189">
        <v>18207.86</v>
      </c>
    </row>
    <row r="2190" spans="1:3" ht="15" hidden="1" customHeight="1" x14ac:dyDescent="0.3">
      <c r="A2190" t="s">
        <v>186</v>
      </c>
      <c r="B2190" s="2">
        <v>46143</v>
      </c>
      <c r="C2190" s="12">
        <v>17848.830000000002</v>
      </c>
    </row>
    <row r="2191" spans="1:3" ht="15" hidden="1" customHeight="1" x14ac:dyDescent="0.3">
      <c r="A2191" t="s">
        <v>186</v>
      </c>
      <c r="B2191" s="2">
        <v>46174</v>
      </c>
      <c r="C2191">
        <v>14983.63</v>
      </c>
    </row>
    <row r="2192" spans="1:3" ht="15" hidden="1" customHeight="1" x14ac:dyDescent="0.3">
      <c r="A2192" t="s">
        <v>184</v>
      </c>
      <c r="B2192" s="2">
        <v>46204</v>
      </c>
      <c r="C2192">
        <v>17814.88</v>
      </c>
    </row>
    <row r="2193" spans="1:3" ht="15" hidden="1" customHeight="1" x14ac:dyDescent="0.3">
      <c r="A2193" t="s">
        <v>186</v>
      </c>
      <c r="B2193" s="2">
        <v>46235</v>
      </c>
      <c r="C2193">
        <v>20218.59</v>
      </c>
    </row>
    <row r="2194" spans="1:3" ht="15" customHeight="1" x14ac:dyDescent="0.3">
      <c r="A2194" t="s">
        <v>186</v>
      </c>
      <c r="B2194" s="2">
        <v>46266</v>
      </c>
      <c r="C2194" s="47">
        <v>17902.21</v>
      </c>
    </row>
    <row r="2195" spans="1:3" ht="15" hidden="1" customHeight="1" x14ac:dyDescent="0.3">
      <c r="A2195" t="s">
        <v>186</v>
      </c>
      <c r="B2195" s="2">
        <v>46296</v>
      </c>
    </row>
    <row r="2196" spans="1:3" ht="15" hidden="1" customHeight="1" x14ac:dyDescent="0.3">
      <c r="A2196" t="s">
        <v>186</v>
      </c>
      <c r="B2196" s="2">
        <v>46327</v>
      </c>
    </row>
    <row r="2197" spans="1:3" ht="15" hidden="1" customHeight="1" x14ac:dyDescent="0.3">
      <c r="A2197" t="s">
        <v>186</v>
      </c>
      <c r="B2197" s="2">
        <v>46357</v>
      </c>
    </row>
    <row r="2198" spans="1:3" ht="15" hidden="1" customHeight="1" x14ac:dyDescent="0.3">
      <c r="A2198" t="s">
        <v>188</v>
      </c>
      <c r="B2198" s="2">
        <v>45292</v>
      </c>
    </row>
    <row r="2199" spans="1:3" ht="15" hidden="1" customHeight="1" x14ac:dyDescent="0.3">
      <c r="A2199" t="s">
        <v>188</v>
      </c>
      <c r="B2199" s="2">
        <v>45323</v>
      </c>
    </row>
    <row r="2200" spans="1:3" ht="15" hidden="1" customHeight="1" x14ac:dyDescent="0.3">
      <c r="A2200" t="s">
        <v>188</v>
      </c>
      <c r="B2200" s="2">
        <v>45352</v>
      </c>
    </row>
    <row r="2201" spans="1:3" ht="15" hidden="1" customHeight="1" x14ac:dyDescent="0.3">
      <c r="A2201" t="s">
        <v>188</v>
      </c>
      <c r="B2201" s="2">
        <v>45383</v>
      </c>
    </row>
    <row r="2202" spans="1:3" ht="15" hidden="1" customHeight="1" x14ac:dyDescent="0.3">
      <c r="A2202" t="s">
        <v>188</v>
      </c>
      <c r="B2202" s="2">
        <v>45413</v>
      </c>
    </row>
    <row r="2203" spans="1:3" ht="15" hidden="1" customHeight="1" x14ac:dyDescent="0.3">
      <c r="A2203" t="s">
        <v>188</v>
      </c>
      <c r="B2203" s="2">
        <v>45444</v>
      </c>
    </row>
    <row r="2204" spans="1:3" ht="15" hidden="1" customHeight="1" x14ac:dyDescent="0.3">
      <c r="A2204" t="s">
        <v>188</v>
      </c>
      <c r="B2204" s="2">
        <v>45474</v>
      </c>
    </row>
    <row r="2205" spans="1:3" ht="15" hidden="1" customHeight="1" x14ac:dyDescent="0.3">
      <c r="A2205" t="s">
        <v>188</v>
      </c>
      <c r="B2205" s="2">
        <v>45505</v>
      </c>
    </row>
    <row r="2206" spans="1:3" ht="15" hidden="1" customHeight="1" x14ac:dyDescent="0.3">
      <c r="A2206" t="s">
        <v>188</v>
      </c>
      <c r="B2206" s="2">
        <v>45536</v>
      </c>
      <c r="C2206">
        <v>10570</v>
      </c>
    </row>
    <row r="2207" spans="1:3" ht="15" hidden="1" customHeight="1" x14ac:dyDescent="0.3">
      <c r="A2207" t="s">
        <v>188</v>
      </c>
      <c r="B2207" s="2">
        <v>45566</v>
      </c>
      <c r="C2207">
        <v>18040</v>
      </c>
    </row>
    <row r="2208" spans="1:3" ht="15" hidden="1" customHeight="1" x14ac:dyDescent="0.3">
      <c r="A2208" t="s">
        <v>188</v>
      </c>
      <c r="B2208" s="2">
        <v>45597</v>
      </c>
      <c r="C2208">
        <v>18800</v>
      </c>
    </row>
    <row r="2209" spans="1:3" ht="15" hidden="1" customHeight="1" x14ac:dyDescent="0.3">
      <c r="A2209" t="s">
        <v>188</v>
      </c>
      <c r="B2209" s="2">
        <v>45627</v>
      </c>
      <c r="C2209">
        <v>20883</v>
      </c>
    </row>
    <row r="2210" spans="1:3" ht="15" hidden="1" customHeight="1" x14ac:dyDescent="0.3">
      <c r="A2210" t="s">
        <v>188</v>
      </c>
      <c r="B2210" s="2">
        <v>45658</v>
      </c>
      <c r="C2210">
        <v>20300</v>
      </c>
    </row>
    <row r="2211" spans="1:3" ht="15" hidden="1" customHeight="1" x14ac:dyDescent="0.3">
      <c r="A2211" t="s">
        <v>188</v>
      </c>
      <c r="B2211" s="2">
        <v>45689</v>
      </c>
      <c r="C2211">
        <v>13100</v>
      </c>
    </row>
    <row r="2212" spans="1:3" ht="15" hidden="1" customHeight="1" x14ac:dyDescent="0.3">
      <c r="A2212" t="s">
        <v>188</v>
      </c>
      <c r="B2212" s="2">
        <v>45717</v>
      </c>
      <c r="C2212">
        <v>12342</v>
      </c>
    </row>
    <row r="2213" spans="1:3" ht="15" hidden="1" customHeight="1" x14ac:dyDescent="0.3">
      <c r="A2213" t="s">
        <v>188</v>
      </c>
      <c r="B2213" s="2">
        <v>45748</v>
      </c>
      <c r="C2213">
        <v>10819</v>
      </c>
    </row>
    <row r="2214" spans="1:3" ht="15" hidden="1" customHeight="1" x14ac:dyDescent="0.3">
      <c r="A2214" t="s">
        <v>188</v>
      </c>
      <c r="B2214" s="2">
        <v>45778</v>
      </c>
      <c r="C2214">
        <v>15169</v>
      </c>
    </row>
    <row r="2215" spans="1:3" ht="15" hidden="1" customHeight="1" x14ac:dyDescent="0.3">
      <c r="A2215" t="s">
        <v>188</v>
      </c>
      <c r="B2215" s="2">
        <v>45809</v>
      </c>
      <c r="C2215">
        <v>13081.41</v>
      </c>
    </row>
    <row r="2216" spans="1:3" ht="15" hidden="1" customHeight="1" x14ac:dyDescent="0.3">
      <c r="A2216" t="s">
        <v>188</v>
      </c>
      <c r="B2216" s="2">
        <v>45839</v>
      </c>
      <c r="C2216">
        <v>14154</v>
      </c>
    </row>
    <row r="2217" spans="1:3" ht="15" hidden="1" customHeight="1" x14ac:dyDescent="0.3">
      <c r="A2217" t="s">
        <v>188</v>
      </c>
      <c r="B2217" s="2">
        <v>45870</v>
      </c>
      <c r="C2217">
        <v>16190</v>
      </c>
    </row>
    <row r="2218" spans="1:3" ht="15" hidden="1" customHeight="1" x14ac:dyDescent="0.3">
      <c r="A2218" t="s">
        <v>188</v>
      </c>
      <c r="B2218" s="2">
        <v>45901</v>
      </c>
      <c r="C2218">
        <v>16520</v>
      </c>
    </row>
    <row r="2219" spans="1:3" ht="15" hidden="1" customHeight="1" x14ac:dyDescent="0.3">
      <c r="A2219" t="s">
        <v>188</v>
      </c>
      <c r="B2219" s="2">
        <v>45931</v>
      </c>
      <c r="C2219">
        <v>20440</v>
      </c>
    </row>
    <row r="2220" spans="1:3" ht="15" hidden="1" customHeight="1" x14ac:dyDescent="0.3">
      <c r="A2220" t="s">
        <v>188</v>
      </c>
      <c r="B2220" s="2">
        <v>45962</v>
      </c>
      <c r="C2220">
        <v>17928</v>
      </c>
    </row>
    <row r="2221" spans="1:3" ht="15" hidden="1" customHeight="1" x14ac:dyDescent="0.3">
      <c r="A2221" t="s">
        <v>188</v>
      </c>
      <c r="B2221" s="2">
        <v>45992</v>
      </c>
      <c r="C2221">
        <v>20527.882300000001</v>
      </c>
    </row>
    <row r="2222" spans="1:3" ht="15" hidden="1" customHeight="1" x14ac:dyDescent="0.3">
      <c r="A2222" t="s">
        <v>188</v>
      </c>
      <c r="B2222" s="2">
        <v>46023</v>
      </c>
      <c r="C2222">
        <v>22071</v>
      </c>
    </row>
    <row r="2223" spans="1:3" ht="15" hidden="1" customHeight="1" x14ac:dyDescent="0.3">
      <c r="A2223" t="s">
        <v>188</v>
      </c>
      <c r="B2223" s="2">
        <v>46054</v>
      </c>
      <c r="C2223">
        <v>18965</v>
      </c>
    </row>
    <row r="2224" spans="1:3" ht="15" hidden="1" customHeight="1" x14ac:dyDescent="0.3">
      <c r="A2224" t="s">
        <v>188</v>
      </c>
      <c r="B2224" s="2">
        <v>46082</v>
      </c>
      <c r="C2224">
        <v>15865</v>
      </c>
    </row>
    <row r="2225" spans="1:3" ht="15" hidden="1" customHeight="1" x14ac:dyDescent="0.3">
      <c r="A2225" t="s">
        <v>188</v>
      </c>
      <c r="B2225" s="2">
        <v>46113</v>
      </c>
      <c r="C2225">
        <v>13806.89</v>
      </c>
    </row>
    <row r="2226" spans="1:3" ht="15" hidden="1" customHeight="1" x14ac:dyDescent="0.3">
      <c r="A2226" t="s">
        <v>188</v>
      </c>
      <c r="B2226" s="2">
        <v>46143</v>
      </c>
      <c r="C2226" s="12">
        <v>13506.85</v>
      </c>
    </row>
    <row r="2227" spans="1:3" ht="15" hidden="1" customHeight="1" x14ac:dyDescent="0.3">
      <c r="A2227" t="s">
        <v>188</v>
      </c>
      <c r="B2227" s="2">
        <v>46174</v>
      </c>
      <c r="C2227">
        <v>10711.09</v>
      </c>
    </row>
    <row r="2228" spans="1:3" ht="15" hidden="1" customHeight="1" x14ac:dyDescent="0.3">
      <c r="A2228" t="s">
        <v>186</v>
      </c>
      <c r="B2228" s="2">
        <v>46204</v>
      </c>
      <c r="C2228">
        <v>18234</v>
      </c>
    </row>
    <row r="2229" spans="1:3" ht="15" hidden="1" customHeight="1" x14ac:dyDescent="0.3">
      <c r="A2229" t="s">
        <v>188</v>
      </c>
      <c r="B2229" s="2">
        <v>46235</v>
      </c>
      <c r="C2229">
        <v>14997.19</v>
      </c>
    </row>
    <row r="2230" spans="1:3" ht="15" customHeight="1" x14ac:dyDescent="0.3">
      <c r="A2230" t="s">
        <v>188</v>
      </c>
      <c r="B2230" s="2">
        <v>46266</v>
      </c>
      <c r="C2230" s="47">
        <v>15845.86</v>
      </c>
    </row>
    <row r="2231" spans="1:3" ht="15" hidden="1" customHeight="1" x14ac:dyDescent="0.3">
      <c r="A2231" t="s">
        <v>188</v>
      </c>
      <c r="B2231" s="2">
        <v>46296</v>
      </c>
    </row>
    <row r="2232" spans="1:3" ht="15" hidden="1" customHeight="1" x14ac:dyDescent="0.3">
      <c r="A2232" t="s">
        <v>188</v>
      </c>
      <c r="B2232" s="2">
        <v>46327</v>
      </c>
    </row>
    <row r="2233" spans="1:3" ht="15" hidden="1" customHeight="1" x14ac:dyDescent="0.3">
      <c r="A2233" t="s">
        <v>188</v>
      </c>
      <c r="B2233" s="2">
        <v>46357</v>
      </c>
    </row>
    <row r="2234" spans="1:3" ht="15" hidden="1" customHeight="1" x14ac:dyDescent="0.3">
      <c r="A2234" t="s">
        <v>226</v>
      </c>
      <c r="B2234" s="2">
        <v>45292</v>
      </c>
    </row>
    <row r="2235" spans="1:3" ht="15" hidden="1" customHeight="1" x14ac:dyDescent="0.3">
      <c r="A2235" t="s">
        <v>226</v>
      </c>
      <c r="B2235" s="2">
        <v>45323</v>
      </c>
    </row>
    <row r="2236" spans="1:3" ht="15" hidden="1" customHeight="1" x14ac:dyDescent="0.3">
      <c r="A2236" t="s">
        <v>226</v>
      </c>
      <c r="B2236" s="2">
        <v>45352</v>
      </c>
    </row>
    <row r="2237" spans="1:3" ht="15" hidden="1" customHeight="1" x14ac:dyDescent="0.3">
      <c r="A2237" t="s">
        <v>226</v>
      </c>
      <c r="B2237" s="2">
        <v>45383</v>
      </c>
    </row>
    <row r="2238" spans="1:3" ht="15" hidden="1" customHeight="1" x14ac:dyDescent="0.3">
      <c r="A2238" t="s">
        <v>226</v>
      </c>
      <c r="B2238" s="2">
        <v>45413</v>
      </c>
    </row>
    <row r="2239" spans="1:3" ht="15" hidden="1" customHeight="1" x14ac:dyDescent="0.3">
      <c r="A2239" t="s">
        <v>226</v>
      </c>
      <c r="B2239" s="2">
        <v>45444</v>
      </c>
    </row>
    <row r="2240" spans="1:3" ht="15" hidden="1" customHeight="1" x14ac:dyDescent="0.3">
      <c r="A2240" t="s">
        <v>226</v>
      </c>
      <c r="B2240" s="2">
        <v>45474</v>
      </c>
    </row>
    <row r="2241" spans="1:2" ht="15" hidden="1" customHeight="1" x14ac:dyDescent="0.3">
      <c r="A2241" t="s">
        <v>226</v>
      </c>
      <c r="B2241" s="2">
        <v>45505</v>
      </c>
    </row>
    <row r="2242" spans="1:2" ht="15" hidden="1" customHeight="1" x14ac:dyDescent="0.3">
      <c r="A2242" t="s">
        <v>226</v>
      </c>
      <c r="B2242" s="2">
        <v>45536</v>
      </c>
    </row>
    <row r="2243" spans="1:2" ht="15" hidden="1" customHeight="1" x14ac:dyDescent="0.3">
      <c r="A2243" t="s">
        <v>226</v>
      </c>
      <c r="B2243" s="2">
        <v>45566</v>
      </c>
    </row>
    <row r="2244" spans="1:2" ht="15" hidden="1" customHeight="1" x14ac:dyDescent="0.3">
      <c r="A2244" t="s">
        <v>226</v>
      </c>
      <c r="B2244" s="2">
        <v>45597</v>
      </c>
    </row>
    <row r="2245" spans="1:2" ht="15" hidden="1" customHeight="1" x14ac:dyDescent="0.3">
      <c r="A2245" t="s">
        <v>226</v>
      </c>
      <c r="B2245" s="2">
        <v>45627</v>
      </c>
    </row>
    <row r="2246" spans="1:2" ht="15" hidden="1" customHeight="1" x14ac:dyDescent="0.3">
      <c r="A2246" t="s">
        <v>226</v>
      </c>
      <c r="B2246" s="2">
        <v>45658</v>
      </c>
    </row>
    <row r="2247" spans="1:2" ht="15" hidden="1" customHeight="1" x14ac:dyDescent="0.3">
      <c r="A2247" t="s">
        <v>226</v>
      </c>
      <c r="B2247" s="2">
        <v>45689</v>
      </c>
    </row>
    <row r="2248" spans="1:2" ht="15" hidden="1" customHeight="1" x14ac:dyDescent="0.3">
      <c r="A2248" t="s">
        <v>226</v>
      </c>
      <c r="B2248" s="2">
        <v>45717</v>
      </c>
    </row>
    <row r="2249" spans="1:2" ht="15" hidden="1" customHeight="1" x14ac:dyDescent="0.3">
      <c r="A2249" t="s">
        <v>226</v>
      </c>
      <c r="B2249" s="2">
        <v>45748</v>
      </c>
    </row>
    <row r="2250" spans="1:2" ht="15" hidden="1" customHeight="1" x14ac:dyDescent="0.3">
      <c r="A2250" t="s">
        <v>226</v>
      </c>
      <c r="B2250" s="2">
        <v>45778</v>
      </c>
    </row>
    <row r="2251" spans="1:2" ht="15" hidden="1" customHeight="1" x14ac:dyDescent="0.3">
      <c r="A2251" t="s">
        <v>226</v>
      </c>
      <c r="B2251" s="2">
        <v>45809</v>
      </c>
    </row>
    <row r="2252" spans="1:2" ht="15" hidden="1" customHeight="1" x14ac:dyDescent="0.3">
      <c r="A2252" t="s">
        <v>226</v>
      </c>
      <c r="B2252" s="2">
        <v>45839</v>
      </c>
    </row>
    <row r="2253" spans="1:2" ht="15" hidden="1" customHeight="1" x14ac:dyDescent="0.3">
      <c r="A2253" t="s">
        <v>226</v>
      </c>
      <c r="B2253" s="2">
        <v>45870</v>
      </c>
    </row>
    <row r="2254" spans="1:2" ht="15" hidden="1" customHeight="1" x14ac:dyDescent="0.3">
      <c r="A2254" t="s">
        <v>226</v>
      </c>
      <c r="B2254" s="2">
        <v>45901</v>
      </c>
    </row>
    <row r="2255" spans="1:2" ht="15" hidden="1" customHeight="1" x14ac:dyDescent="0.3">
      <c r="A2255" t="s">
        <v>226</v>
      </c>
      <c r="B2255" s="2">
        <v>45931</v>
      </c>
    </row>
    <row r="2256" spans="1:2" ht="15" hidden="1" customHeight="1" x14ac:dyDescent="0.3">
      <c r="A2256" t="s">
        <v>226</v>
      </c>
      <c r="B2256" s="2">
        <v>45962</v>
      </c>
    </row>
    <row r="2257" spans="1:3" ht="15" hidden="1" customHeight="1" x14ac:dyDescent="0.3">
      <c r="A2257" t="s">
        <v>226</v>
      </c>
      <c r="B2257" s="2">
        <v>45992</v>
      </c>
      <c r="C2257">
        <v>18509</v>
      </c>
    </row>
    <row r="2258" spans="1:3" ht="15" hidden="1" customHeight="1" x14ac:dyDescent="0.3">
      <c r="A2258" t="s">
        <v>226</v>
      </c>
      <c r="B2258" s="2">
        <v>46023</v>
      </c>
      <c r="C2258">
        <v>32917</v>
      </c>
    </row>
    <row r="2259" spans="1:3" ht="15" hidden="1" customHeight="1" x14ac:dyDescent="0.3">
      <c r="A2259" t="s">
        <v>226</v>
      </c>
      <c r="B2259" s="2">
        <v>46054</v>
      </c>
      <c r="C2259">
        <v>31107</v>
      </c>
    </row>
    <row r="2260" spans="1:3" ht="15" hidden="1" customHeight="1" x14ac:dyDescent="0.3">
      <c r="A2260" t="s">
        <v>226</v>
      </c>
      <c r="B2260" s="2">
        <v>46082</v>
      </c>
      <c r="C2260">
        <v>26454</v>
      </c>
    </row>
    <row r="2261" spans="1:3" ht="15" hidden="1" customHeight="1" x14ac:dyDescent="0.3">
      <c r="A2261" t="s">
        <v>226</v>
      </c>
      <c r="B2261" s="2">
        <v>46113</v>
      </c>
      <c r="C2261">
        <v>20930.87</v>
      </c>
    </row>
    <row r="2262" spans="1:3" ht="15" hidden="1" customHeight="1" x14ac:dyDescent="0.3">
      <c r="A2262" t="s">
        <v>226</v>
      </c>
      <c r="B2262" s="2">
        <v>46143</v>
      </c>
      <c r="C2262" s="12">
        <v>20539.96</v>
      </c>
    </row>
    <row r="2263" spans="1:3" ht="15" hidden="1" customHeight="1" x14ac:dyDescent="0.3">
      <c r="A2263" t="s">
        <v>226</v>
      </c>
      <c r="B2263" s="2">
        <v>46174</v>
      </c>
      <c r="C2263">
        <v>17006.73</v>
      </c>
    </row>
    <row r="2264" spans="1:3" ht="15" hidden="1" customHeight="1" x14ac:dyDescent="0.3">
      <c r="A2264" t="s">
        <v>188</v>
      </c>
      <c r="B2264" s="2">
        <v>46204</v>
      </c>
      <c r="C2264">
        <v>9106.9599999999991</v>
      </c>
    </row>
    <row r="2265" spans="1:3" ht="15" hidden="1" customHeight="1" x14ac:dyDescent="0.3">
      <c r="A2265" t="s">
        <v>226</v>
      </c>
      <c r="B2265" s="2">
        <v>46235</v>
      </c>
      <c r="C2265">
        <v>22467.353999999999</v>
      </c>
    </row>
    <row r="2266" spans="1:3" ht="15" customHeight="1" x14ac:dyDescent="0.3">
      <c r="A2266" t="s">
        <v>226</v>
      </c>
      <c r="B2266" s="2">
        <v>46266</v>
      </c>
      <c r="C2266" s="47">
        <v>21057.6623</v>
      </c>
    </row>
    <row r="2267" spans="1:3" ht="15" hidden="1" customHeight="1" x14ac:dyDescent="0.3">
      <c r="A2267" t="s">
        <v>226</v>
      </c>
      <c r="B2267" s="2">
        <v>46296</v>
      </c>
    </row>
    <row r="2268" spans="1:3" ht="15" hidden="1" customHeight="1" x14ac:dyDescent="0.3">
      <c r="A2268" t="s">
        <v>226</v>
      </c>
      <c r="B2268" s="2">
        <v>46327</v>
      </c>
    </row>
    <row r="2269" spans="1:3" ht="15" hidden="1" customHeight="1" x14ac:dyDescent="0.3">
      <c r="A2269" t="s">
        <v>226</v>
      </c>
      <c r="B2269" s="2">
        <v>46357</v>
      </c>
    </row>
    <row r="2270" spans="1:3" ht="15" hidden="1" customHeight="1" x14ac:dyDescent="0.3">
      <c r="A2270" t="s">
        <v>208</v>
      </c>
      <c r="B2270" s="2">
        <v>45292</v>
      </c>
    </row>
    <row r="2271" spans="1:3" ht="15" hidden="1" customHeight="1" x14ac:dyDescent="0.3">
      <c r="A2271" t="s">
        <v>208</v>
      </c>
      <c r="B2271" s="2">
        <v>45323</v>
      </c>
    </row>
    <row r="2272" spans="1:3" ht="15" hidden="1" customHeight="1" x14ac:dyDescent="0.3">
      <c r="A2272" t="s">
        <v>208</v>
      </c>
      <c r="B2272" s="2">
        <v>45352</v>
      </c>
    </row>
    <row r="2273" spans="1:3" ht="15" hidden="1" customHeight="1" x14ac:dyDescent="0.3">
      <c r="A2273" t="s">
        <v>208</v>
      </c>
      <c r="B2273" s="2">
        <v>45383</v>
      </c>
    </row>
    <row r="2274" spans="1:3" ht="15" hidden="1" customHeight="1" x14ac:dyDescent="0.3">
      <c r="A2274" t="s">
        <v>208</v>
      </c>
      <c r="B2274" s="2">
        <v>45413</v>
      </c>
    </row>
    <row r="2275" spans="1:3" ht="15" hidden="1" customHeight="1" x14ac:dyDescent="0.3">
      <c r="A2275" t="s">
        <v>208</v>
      </c>
      <c r="B2275" s="2">
        <v>45444</v>
      </c>
    </row>
    <row r="2276" spans="1:3" ht="15" hidden="1" customHeight="1" x14ac:dyDescent="0.3">
      <c r="A2276" t="s">
        <v>208</v>
      </c>
      <c r="B2276" s="2">
        <v>45474</v>
      </c>
    </row>
    <row r="2277" spans="1:3" ht="15" hidden="1" customHeight="1" x14ac:dyDescent="0.3">
      <c r="A2277" t="s">
        <v>208</v>
      </c>
      <c r="B2277" s="2">
        <v>45505</v>
      </c>
    </row>
    <row r="2278" spans="1:3" ht="15" hidden="1" customHeight="1" x14ac:dyDescent="0.3">
      <c r="A2278" t="s">
        <v>208</v>
      </c>
      <c r="B2278" s="2">
        <v>45536</v>
      </c>
    </row>
    <row r="2279" spans="1:3" ht="15" hidden="1" customHeight="1" x14ac:dyDescent="0.3">
      <c r="A2279" t="s">
        <v>208</v>
      </c>
      <c r="B2279" s="2">
        <v>45566</v>
      </c>
    </row>
    <row r="2280" spans="1:3" ht="15" hidden="1" customHeight="1" x14ac:dyDescent="0.3">
      <c r="A2280" t="s">
        <v>208</v>
      </c>
      <c r="B2280" s="2">
        <v>45597</v>
      </c>
    </row>
    <row r="2281" spans="1:3" ht="15" hidden="1" customHeight="1" x14ac:dyDescent="0.3">
      <c r="A2281" t="s">
        <v>208</v>
      </c>
      <c r="B2281" s="2">
        <v>45627</v>
      </c>
    </row>
    <row r="2282" spans="1:3" ht="15" hidden="1" customHeight="1" x14ac:dyDescent="0.3">
      <c r="A2282" t="s">
        <v>208</v>
      </c>
      <c r="B2282" s="2">
        <v>45658</v>
      </c>
    </row>
    <row r="2283" spans="1:3" ht="15" hidden="1" customHeight="1" x14ac:dyDescent="0.3">
      <c r="A2283" t="s">
        <v>208</v>
      </c>
      <c r="B2283" s="2">
        <v>45689</v>
      </c>
    </row>
    <row r="2284" spans="1:3" ht="15" hidden="1" customHeight="1" x14ac:dyDescent="0.3">
      <c r="A2284" t="s">
        <v>208</v>
      </c>
      <c r="B2284" s="2">
        <v>45717</v>
      </c>
    </row>
    <row r="2285" spans="1:3" ht="15" hidden="1" customHeight="1" x14ac:dyDescent="0.3">
      <c r="A2285" t="s">
        <v>208</v>
      </c>
      <c r="B2285" s="2">
        <v>45748</v>
      </c>
      <c r="C2285">
        <v>4166</v>
      </c>
    </row>
    <row r="2286" spans="1:3" ht="15" hidden="1" customHeight="1" x14ac:dyDescent="0.3">
      <c r="A2286" t="s">
        <v>208</v>
      </c>
      <c r="B2286" s="2">
        <v>45778</v>
      </c>
      <c r="C2286">
        <v>5400</v>
      </c>
    </row>
    <row r="2287" spans="1:3" ht="15" hidden="1" customHeight="1" x14ac:dyDescent="0.3">
      <c r="A2287" t="s">
        <v>208</v>
      </c>
      <c r="B2287" s="2">
        <v>45809</v>
      </c>
      <c r="C2287">
        <v>8687.2999999999993</v>
      </c>
    </row>
    <row r="2288" spans="1:3" ht="15" hidden="1" customHeight="1" x14ac:dyDescent="0.3">
      <c r="A2288" t="s">
        <v>208</v>
      </c>
      <c r="B2288" s="2">
        <v>45839</v>
      </c>
      <c r="C2288">
        <v>7090</v>
      </c>
    </row>
    <row r="2289" spans="1:3" ht="15" hidden="1" customHeight="1" x14ac:dyDescent="0.3">
      <c r="A2289" t="s">
        <v>208</v>
      </c>
      <c r="B2289" s="2">
        <v>45870</v>
      </c>
      <c r="C2289">
        <v>10240</v>
      </c>
    </row>
    <row r="2290" spans="1:3" ht="15" hidden="1" customHeight="1" x14ac:dyDescent="0.3">
      <c r="A2290" t="s">
        <v>208</v>
      </c>
      <c r="B2290" s="2">
        <v>45901</v>
      </c>
      <c r="C2290">
        <v>11379</v>
      </c>
    </row>
    <row r="2291" spans="1:3" ht="15" hidden="1" customHeight="1" x14ac:dyDescent="0.3">
      <c r="A2291" t="s">
        <v>208</v>
      </c>
      <c r="B2291" s="2">
        <v>45931</v>
      </c>
      <c r="C2291">
        <v>16828.7</v>
      </c>
    </row>
    <row r="2292" spans="1:3" ht="15" hidden="1" customHeight="1" x14ac:dyDescent="0.3">
      <c r="A2292" t="s">
        <v>208</v>
      </c>
      <c r="B2292" s="2">
        <v>45962</v>
      </c>
      <c r="C2292">
        <v>15461</v>
      </c>
    </row>
    <row r="2293" spans="1:3" ht="15" hidden="1" customHeight="1" x14ac:dyDescent="0.3">
      <c r="A2293" t="s">
        <v>208</v>
      </c>
      <c r="B2293" s="2">
        <v>45992</v>
      </c>
      <c r="C2293">
        <v>17561</v>
      </c>
    </row>
    <row r="2294" spans="1:3" ht="15" hidden="1" customHeight="1" x14ac:dyDescent="0.3">
      <c r="A2294" t="s">
        <v>208</v>
      </c>
      <c r="B2294" s="2">
        <v>46023</v>
      </c>
      <c r="C2294">
        <v>20127</v>
      </c>
    </row>
    <row r="2295" spans="1:3" ht="15" hidden="1" customHeight="1" x14ac:dyDescent="0.3">
      <c r="A2295" t="s">
        <v>208</v>
      </c>
      <c r="B2295" s="2">
        <v>46054</v>
      </c>
      <c r="C2295">
        <v>16780</v>
      </c>
    </row>
    <row r="2296" spans="1:3" ht="15" hidden="1" customHeight="1" x14ac:dyDescent="0.3">
      <c r="A2296" t="s">
        <v>208</v>
      </c>
      <c r="B2296" s="2">
        <v>46082</v>
      </c>
      <c r="C2296">
        <v>14651</v>
      </c>
    </row>
    <row r="2297" spans="1:3" ht="15" hidden="1" customHeight="1" x14ac:dyDescent="0.3">
      <c r="A2297" t="s">
        <v>208</v>
      </c>
      <c r="B2297" s="2">
        <v>46113</v>
      </c>
      <c r="C2297">
        <v>12498.2</v>
      </c>
    </row>
    <row r="2298" spans="1:3" ht="15" hidden="1" customHeight="1" x14ac:dyDescent="0.3">
      <c r="A2298" t="s">
        <v>208</v>
      </c>
      <c r="B2298" s="2">
        <v>46143</v>
      </c>
      <c r="C2298" s="12">
        <v>11697.82</v>
      </c>
    </row>
    <row r="2299" spans="1:3" ht="15" hidden="1" customHeight="1" x14ac:dyDescent="0.3">
      <c r="A2299" t="s">
        <v>208</v>
      </c>
      <c r="B2299" s="2">
        <v>46174</v>
      </c>
      <c r="C2299">
        <v>9082.64</v>
      </c>
    </row>
    <row r="2300" spans="1:3" ht="15" hidden="1" customHeight="1" x14ac:dyDescent="0.3">
      <c r="A2300" t="s">
        <v>226</v>
      </c>
      <c r="B2300" s="2">
        <v>46204</v>
      </c>
      <c r="C2300">
        <v>17999.1711</v>
      </c>
    </row>
    <row r="2301" spans="1:3" ht="15" hidden="1" customHeight="1" x14ac:dyDescent="0.3">
      <c r="A2301" t="s">
        <v>208</v>
      </c>
      <c r="B2301" s="2">
        <v>46235</v>
      </c>
      <c r="C2301">
        <v>11233.53</v>
      </c>
    </row>
    <row r="2302" spans="1:3" ht="15" customHeight="1" x14ac:dyDescent="0.3">
      <c r="A2302" t="s">
        <v>208</v>
      </c>
      <c r="B2302" s="2">
        <v>46266</v>
      </c>
      <c r="C2302" s="47">
        <v>11994.93</v>
      </c>
    </row>
    <row r="2303" spans="1:3" ht="15" hidden="1" customHeight="1" x14ac:dyDescent="0.3">
      <c r="A2303" t="s">
        <v>208</v>
      </c>
      <c r="B2303" s="2">
        <v>46296</v>
      </c>
    </row>
    <row r="2304" spans="1:3" ht="15" hidden="1" customHeight="1" x14ac:dyDescent="0.3">
      <c r="A2304" t="s">
        <v>208</v>
      </c>
      <c r="B2304" s="2">
        <v>46327</v>
      </c>
    </row>
    <row r="2305" spans="1:3" ht="15" hidden="1" customHeight="1" x14ac:dyDescent="0.3">
      <c r="A2305" t="s">
        <v>208</v>
      </c>
      <c r="B2305" s="2">
        <v>46357</v>
      </c>
    </row>
    <row r="2306" spans="1:3" ht="15" hidden="1" customHeight="1" x14ac:dyDescent="0.3">
      <c r="A2306" t="s">
        <v>190</v>
      </c>
      <c r="B2306" s="2">
        <v>45292</v>
      </c>
      <c r="C2306">
        <v>9171</v>
      </c>
    </row>
    <row r="2307" spans="1:3" ht="15" hidden="1" customHeight="1" x14ac:dyDescent="0.3">
      <c r="A2307" t="s">
        <v>190</v>
      </c>
      <c r="B2307" s="2">
        <v>45323</v>
      </c>
      <c r="C2307">
        <v>8406</v>
      </c>
    </row>
    <row r="2308" spans="1:3" ht="15" hidden="1" customHeight="1" x14ac:dyDescent="0.3">
      <c r="A2308" t="s">
        <v>190</v>
      </c>
      <c r="B2308" s="2">
        <v>45352</v>
      </c>
      <c r="C2308">
        <v>9529</v>
      </c>
    </row>
    <row r="2309" spans="1:3" ht="15" hidden="1" customHeight="1" x14ac:dyDescent="0.3">
      <c r="A2309" t="s">
        <v>190</v>
      </c>
      <c r="B2309" s="2">
        <v>45383</v>
      </c>
      <c r="C2309">
        <v>8796</v>
      </c>
    </row>
    <row r="2310" spans="1:3" ht="15" hidden="1" customHeight="1" x14ac:dyDescent="0.3">
      <c r="A2310" t="s">
        <v>190</v>
      </c>
      <c r="B2310" s="2">
        <v>45413</v>
      </c>
      <c r="C2310">
        <v>10039</v>
      </c>
    </row>
    <row r="2311" spans="1:3" ht="15" hidden="1" customHeight="1" x14ac:dyDescent="0.3">
      <c r="A2311" t="s">
        <v>190</v>
      </c>
      <c r="B2311" s="2">
        <v>45444</v>
      </c>
      <c r="C2311">
        <v>10175</v>
      </c>
    </row>
    <row r="2312" spans="1:3" ht="15" hidden="1" customHeight="1" x14ac:dyDescent="0.3">
      <c r="A2312" t="s">
        <v>190</v>
      </c>
      <c r="B2312" s="2">
        <v>45474</v>
      </c>
      <c r="C2312">
        <v>10629</v>
      </c>
    </row>
    <row r="2313" spans="1:3" ht="15" hidden="1" customHeight="1" x14ac:dyDescent="0.3">
      <c r="A2313" t="s">
        <v>190</v>
      </c>
      <c r="B2313" s="2">
        <v>45505</v>
      </c>
      <c r="C2313">
        <v>10264</v>
      </c>
    </row>
    <row r="2314" spans="1:3" ht="15" hidden="1" customHeight="1" x14ac:dyDescent="0.3">
      <c r="A2314" t="s">
        <v>190</v>
      </c>
      <c r="B2314" s="2">
        <v>45536</v>
      </c>
      <c r="C2314">
        <v>9192</v>
      </c>
    </row>
    <row r="2315" spans="1:3" ht="15" hidden="1" customHeight="1" x14ac:dyDescent="0.3">
      <c r="A2315" t="s">
        <v>190</v>
      </c>
      <c r="B2315" s="2">
        <v>45566</v>
      </c>
      <c r="C2315">
        <v>10175</v>
      </c>
    </row>
    <row r="2316" spans="1:3" ht="15" hidden="1" customHeight="1" x14ac:dyDescent="0.3">
      <c r="A2316" t="s">
        <v>190</v>
      </c>
      <c r="B2316" s="2">
        <v>45597</v>
      </c>
      <c r="C2316">
        <v>9431</v>
      </c>
    </row>
    <row r="2317" spans="1:3" ht="15" hidden="1" customHeight="1" x14ac:dyDescent="0.3">
      <c r="A2317" t="s">
        <v>190</v>
      </c>
      <c r="B2317" s="2">
        <v>45627</v>
      </c>
      <c r="C2317">
        <v>9104</v>
      </c>
    </row>
    <row r="2318" spans="1:3" ht="15" hidden="1" customHeight="1" x14ac:dyDescent="0.3">
      <c r="A2318" t="s">
        <v>190</v>
      </c>
      <c r="B2318" s="2">
        <v>45658</v>
      </c>
      <c r="C2318">
        <v>5093</v>
      </c>
    </row>
    <row r="2319" spans="1:3" ht="15" hidden="1" customHeight="1" x14ac:dyDescent="0.3">
      <c r="A2319" t="s">
        <v>190</v>
      </c>
      <c r="B2319" s="2">
        <v>45689</v>
      </c>
      <c r="C2319">
        <v>7532</v>
      </c>
    </row>
    <row r="2320" spans="1:3" ht="15" hidden="1" customHeight="1" x14ac:dyDescent="0.3">
      <c r="A2320" t="s">
        <v>190</v>
      </c>
      <c r="B2320" s="2">
        <v>45717</v>
      </c>
      <c r="C2320">
        <v>7375</v>
      </c>
    </row>
    <row r="2321" spans="1:3" ht="15" hidden="1" customHeight="1" x14ac:dyDescent="0.3">
      <c r="A2321" t="s">
        <v>190</v>
      </c>
      <c r="B2321" s="2">
        <v>45748</v>
      </c>
      <c r="C2321">
        <v>7602</v>
      </c>
    </row>
    <row r="2322" spans="1:3" ht="15" hidden="1" customHeight="1" x14ac:dyDescent="0.3">
      <c r="A2322" t="s">
        <v>190</v>
      </c>
      <c r="B2322" s="2">
        <v>45778</v>
      </c>
      <c r="C2322">
        <v>10378</v>
      </c>
    </row>
    <row r="2323" spans="1:3" ht="15" hidden="1" customHeight="1" x14ac:dyDescent="0.3">
      <c r="A2323" t="s">
        <v>190</v>
      </c>
      <c r="B2323" s="2">
        <v>45809</v>
      </c>
      <c r="C2323">
        <v>10510.45</v>
      </c>
    </row>
    <row r="2324" spans="1:3" ht="15" hidden="1" customHeight="1" x14ac:dyDescent="0.3">
      <c r="A2324" t="s">
        <v>190</v>
      </c>
      <c r="B2324" s="2">
        <v>45839</v>
      </c>
      <c r="C2324">
        <v>9750</v>
      </c>
    </row>
    <row r="2325" spans="1:3" ht="15" hidden="1" customHeight="1" x14ac:dyDescent="0.3">
      <c r="A2325" t="s">
        <v>190</v>
      </c>
      <c r="B2325" s="2">
        <v>45870</v>
      </c>
      <c r="C2325">
        <v>10081</v>
      </c>
    </row>
    <row r="2326" spans="1:3" ht="15" hidden="1" customHeight="1" x14ac:dyDescent="0.3">
      <c r="A2326" t="s">
        <v>190</v>
      </c>
      <c r="B2326" s="2">
        <v>45901</v>
      </c>
      <c r="C2326">
        <v>11225</v>
      </c>
    </row>
    <row r="2327" spans="1:3" ht="15" hidden="1" customHeight="1" x14ac:dyDescent="0.3">
      <c r="A2327" t="s">
        <v>190</v>
      </c>
      <c r="B2327" s="2">
        <v>45931</v>
      </c>
      <c r="C2327">
        <v>9885</v>
      </c>
    </row>
    <row r="2328" spans="1:3" ht="15" hidden="1" customHeight="1" x14ac:dyDescent="0.3">
      <c r="A2328" t="s">
        <v>190</v>
      </c>
      <c r="B2328" s="2">
        <v>45962</v>
      </c>
      <c r="C2328">
        <v>8679</v>
      </c>
    </row>
    <row r="2329" spans="1:3" ht="15" hidden="1" customHeight="1" x14ac:dyDescent="0.3">
      <c r="A2329" t="s">
        <v>190</v>
      </c>
      <c r="B2329" s="2">
        <v>45992</v>
      </c>
      <c r="C2329">
        <v>9967</v>
      </c>
    </row>
    <row r="2330" spans="1:3" ht="15" hidden="1" customHeight="1" x14ac:dyDescent="0.3">
      <c r="A2330" t="s">
        <v>190</v>
      </c>
      <c r="B2330" s="2">
        <v>46023</v>
      </c>
      <c r="C2330">
        <v>9751</v>
      </c>
    </row>
    <row r="2331" spans="1:3" ht="15" hidden="1" customHeight="1" x14ac:dyDescent="0.3">
      <c r="A2331" t="s">
        <v>190</v>
      </c>
      <c r="B2331" s="2">
        <v>46054</v>
      </c>
      <c r="C2331">
        <v>8451</v>
      </c>
    </row>
    <row r="2332" spans="1:3" ht="15" hidden="1" customHeight="1" x14ac:dyDescent="0.3">
      <c r="A2332" t="s">
        <v>190</v>
      </c>
      <c r="B2332" s="2">
        <v>46082</v>
      </c>
      <c r="C2332">
        <v>8559</v>
      </c>
    </row>
    <row r="2333" spans="1:3" ht="15" hidden="1" customHeight="1" x14ac:dyDescent="0.3">
      <c r="A2333" t="s">
        <v>190</v>
      </c>
      <c r="B2333" s="2">
        <v>46113</v>
      </c>
      <c r="C2333">
        <v>7937.13</v>
      </c>
    </row>
    <row r="2334" spans="1:3" ht="15" hidden="1" customHeight="1" x14ac:dyDescent="0.3">
      <c r="A2334" t="s">
        <v>190</v>
      </c>
      <c r="B2334" s="2">
        <v>46143</v>
      </c>
      <c r="C2334" s="12">
        <v>10005.799999999999</v>
      </c>
    </row>
    <row r="2335" spans="1:3" ht="15" hidden="1" customHeight="1" x14ac:dyDescent="0.3">
      <c r="A2335" t="s">
        <v>190</v>
      </c>
      <c r="B2335" s="2">
        <v>46174</v>
      </c>
      <c r="C2335">
        <v>9053</v>
      </c>
    </row>
    <row r="2336" spans="1:3" ht="15" hidden="1" customHeight="1" x14ac:dyDescent="0.3">
      <c r="A2336" t="s">
        <v>208</v>
      </c>
      <c r="B2336" s="2">
        <v>46204</v>
      </c>
      <c r="C2336">
        <v>7916.06</v>
      </c>
    </row>
    <row r="2337" spans="1:3" ht="15" hidden="1" customHeight="1" x14ac:dyDescent="0.3">
      <c r="A2337" t="s">
        <v>190</v>
      </c>
      <c r="B2337" s="2">
        <v>46235</v>
      </c>
      <c r="C2337">
        <v>9565</v>
      </c>
    </row>
    <row r="2338" spans="1:3" ht="15" customHeight="1" x14ac:dyDescent="0.3">
      <c r="A2338" t="s">
        <v>190</v>
      </c>
      <c r="B2338" s="2">
        <v>46266</v>
      </c>
      <c r="C2338" s="47">
        <v>7250.71</v>
      </c>
    </row>
    <row r="2339" spans="1:3" ht="15" hidden="1" customHeight="1" x14ac:dyDescent="0.3">
      <c r="A2339" t="s">
        <v>190</v>
      </c>
      <c r="B2339" s="2">
        <v>46296</v>
      </c>
    </row>
    <row r="2340" spans="1:3" ht="15" hidden="1" customHeight="1" x14ac:dyDescent="0.3">
      <c r="A2340" t="s">
        <v>190</v>
      </c>
      <c r="B2340" s="2">
        <v>46327</v>
      </c>
    </row>
    <row r="2341" spans="1:3" ht="15" hidden="1" customHeight="1" x14ac:dyDescent="0.3">
      <c r="A2341" t="s">
        <v>190</v>
      </c>
      <c r="B2341" s="2">
        <v>46357</v>
      </c>
    </row>
    <row r="2342" spans="1:3" ht="15" hidden="1" customHeight="1" x14ac:dyDescent="0.3">
      <c r="A2342" t="s">
        <v>199</v>
      </c>
      <c r="B2342" s="2">
        <v>45292</v>
      </c>
      <c r="C2342">
        <v>3404</v>
      </c>
    </row>
    <row r="2343" spans="1:3" ht="15" hidden="1" customHeight="1" x14ac:dyDescent="0.3">
      <c r="A2343" t="s">
        <v>199</v>
      </c>
      <c r="B2343" s="2">
        <v>45323</v>
      </c>
      <c r="C2343">
        <v>3408</v>
      </c>
    </row>
    <row r="2344" spans="1:3" ht="15" hidden="1" customHeight="1" x14ac:dyDescent="0.3">
      <c r="A2344" t="s">
        <v>199</v>
      </c>
      <c r="B2344" s="2">
        <v>45352</v>
      </c>
      <c r="C2344">
        <v>3131</v>
      </c>
    </row>
    <row r="2345" spans="1:3" ht="15" hidden="1" customHeight="1" x14ac:dyDescent="0.3">
      <c r="A2345" t="s">
        <v>199</v>
      </c>
      <c r="B2345" s="2">
        <v>45383</v>
      </c>
      <c r="C2345">
        <v>2829</v>
      </c>
    </row>
    <row r="2346" spans="1:3" ht="15" hidden="1" customHeight="1" x14ac:dyDescent="0.3">
      <c r="A2346" t="s">
        <v>199</v>
      </c>
      <c r="B2346" s="2">
        <v>45413</v>
      </c>
      <c r="C2346">
        <v>3129</v>
      </c>
    </row>
    <row r="2347" spans="1:3" ht="15" hidden="1" customHeight="1" x14ac:dyDescent="0.3">
      <c r="A2347" t="s">
        <v>199</v>
      </c>
      <c r="B2347" s="2">
        <v>45444</v>
      </c>
      <c r="C2347">
        <v>2591</v>
      </c>
    </row>
    <row r="2348" spans="1:3" ht="15" hidden="1" customHeight="1" x14ac:dyDescent="0.3">
      <c r="A2348" t="s">
        <v>199</v>
      </c>
      <c r="B2348" s="2">
        <v>45474</v>
      </c>
      <c r="C2348">
        <v>3122</v>
      </c>
    </row>
    <row r="2349" spans="1:3" ht="15" hidden="1" customHeight="1" x14ac:dyDescent="0.3">
      <c r="A2349" t="s">
        <v>199</v>
      </c>
      <c r="B2349" s="2">
        <v>45505</v>
      </c>
      <c r="C2349">
        <v>2990</v>
      </c>
    </row>
    <row r="2350" spans="1:3" ht="15" hidden="1" customHeight="1" x14ac:dyDescent="0.3">
      <c r="A2350" t="s">
        <v>199</v>
      </c>
      <c r="B2350" s="2">
        <v>45536</v>
      </c>
      <c r="C2350">
        <v>2990</v>
      </c>
    </row>
    <row r="2351" spans="1:3" ht="15" hidden="1" customHeight="1" x14ac:dyDescent="0.3">
      <c r="A2351" t="s">
        <v>199</v>
      </c>
      <c r="B2351" s="2">
        <v>45566</v>
      </c>
      <c r="C2351">
        <v>4061</v>
      </c>
    </row>
    <row r="2352" spans="1:3" ht="15" hidden="1" customHeight="1" x14ac:dyDescent="0.3">
      <c r="A2352" t="s">
        <v>199</v>
      </c>
      <c r="B2352" s="2">
        <v>45597</v>
      </c>
      <c r="C2352">
        <v>3991</v>
      </c>
    </row>
    <row r="2353" spans="1:3" ht="15" hidden="1" customHeight="1" x14ac:dyDescent="0.3">
      <c r="A2353" t="s">
        <v>199</v>
      </c>
      <c r="B2353" s="2">
        <v>45627</v>
      </c>
      <c r="C2353">
        <v>3569</v>
      </c>
    </row>
    <row r="2354" spans="1:3" ht="15" hidden="1" customHeight="1" x14ac:dyDescent="0.3">
      <c r="A2354" t="s">
        <v>199</v>
      </c>
      <c r="B2354" s="2">
        <v>45658</v>
      </c>
      <c r="C2354">
        <v>3838</v>
      </c>
    </row>
    <row r="2355" spans="1:3" ht="15" hidden="1" customHeight="1" x14ac:dyDescent="0.3">
      <c r="A2355" t="s">
        <v>199</v>
      </c>
      <c r="B2355" s="2">
        <v>45689</v>
      </c>
      <c r="C2355">
        <v>2653</v>
      </c>
    </row>
    <row r="2356" spans="1:3" ht="15" hidden="1" customHeight="1" x14ac:dyDescent="0.3">
      <c r="A2356" t="s">
        <v>199</v>
      </c>
      <c r="B2356" s="2">
        <v>45717</v>
      </c>
      <c r="C2356">
        <v>2925</v>
      </c>
    </row>
    <row r="2357" spans="1:3" ht="15" hidden="1" customHeight="1" x14ac:dyDescent="0.3">
      <c r="A2357" t="s">
        <v>199</v>
      </c>
      <c r="B2357" s="2">
        <v>45748</v>
      </c>
      <c r="C2357">
        <v>2246</v>
      </c>
    </row>
    <row r="2358" spans="1:3" ht="15" hidden="1" customHeight="1" x14ac:dyDescent="0.3">
      <c r="A2358" t="s">
        <v>199</v>
      </c>
      <c r="B2358" s="2">
        <v>45778</v>
      </c>
      <c r="C2358">
        <v>3149</v>
      </c>
    </row>
    <row r="2359" spans="1:3" ht="15" hidden="1" customHeight="1" x14ac:dyDescent="0.3">
      <c r="A2359" t="s">
        <v>199</v>
      </c>
      <c r="B2359" s="2">
        <v>45809</v>
      </c>
      <c r="C2359">
        <v>2654.45</v>
      </c>
    </row>
    <row r="2360" spans="1:3" ht="15" hidden="1" customHeight="1" x14ac:dyDescent="0.3">
      <c r="A2360" t="s">
        <v>199</v>
      </c>
      <c r="B2360" s="2">
        <v>45839</v>
      </c>
      <c r="C2360">
        <v>2863</v>
      </c>
    </row>
    <row r="2361" spans="1:3" ht="15" hidden="1" customHeight="1" x14ac:dyDescent="0.3">
      <c r="A2361" t="s">
        <v>199</v>
      </c>
      <c r="B2361" s="2">
        <v>45870</v>
      </c>
      <c r="C2361">
        <v>3192</v>
      </c>
    </row>
    <row r="2362" spans="1:3" ht="15" hidden="1" customHeight="1" x14ac:dyDescent="0.3">
      <c r="A2362" t="s">
        <v>199</v>
      </c>
      <c r="B2362" s="2">
        <v>45901</v>
      </c>
      <c r="C2362">
        <v>3092</v>
      </c>
    </row>
    <row r="2363" spans="1:3" ht="15" hidden="1" customHeight="1" x14ac:dyDescent="0.3">
      <c r="A2363" t="s">
        <v>199</v>
      </c>
      <c r="B2363" s="2">
        <v>45931</v>
      </c>
      <c r="C2363">
        <v>3600</v>
      </c>
    </row>
    <row r="2364" spans="1:3" ht="15" hidden="1" customHeight="1" x14ac:dyDescent="0.3">
      <c r="A2364" t="s">
        <v>199</v>
      </c>
      <c r="B2364" s="2">
        <v>45962</v>
      </c>
      <c r="C2364">
        <v>2755</v>
      </c>
    </row>
    <row r="2365" spans="1:3" ht="15" hidden="1" customHeight="1" x14ac:dyDescent="0.3">
      <c r="A2365" t="s">
        <v>199</v>
      </c>
      <c r="B2365" s="2">
        <v>45992</v>
      </c>
      <c r="C2365">
        <v>3248</v>
      </c>
    </row>
    <row r="2366" spans="1:3" ht="15" hidden="1" customHeight="1" x14ac:dyDescent="0.3">
      <c r="A2366" t="s">
        <v>199</v>
      </c>
      <c r="B2366" s="2">
        <v>46023</v>
      </c>
      <c r="C2366">
        <v>3546</v>
      </c>
    </row>
    <row r="2367" spans="1:3" ht="15" hidden="1" customHeight="1" x14ac:dyDescent="0.3">
      <c r="A2367" t="s">
        <v>199</v>
      </c>
      <c r="B2367" s="2">
        <v>46054</v>
      </c>
      <c r="C2367">
        <v>3398</v>
      </c>
    </row>
    <row r="2368" spans="1:3" ht="15" hidden="1" customHeight="1" x14ac:dyDescent="0.3">
      <c r="A2368" t="s">
        <v>199</v>
      </c>
      <c r="B2368" s="2">
        <v>46082</v>
      </c>
      <c r="C2368">
        <v>2638</v>
      </c>
    </row>
    <row r="2369" spans="1:3" ht="15" hidden="1" customHeight="1" x14ac:dyDescent="0.3">
      <c r="A2369" t="s">
        <v>199</v>
      </c>
      <c r="B2369" s="2">
        <v>46113</v>
      </c>
      <c r="C2369">
        <v>2034.35</v>
      </c>
    </row>
    <row r="2370" spans="1:3" ht="15" hidden="1" customHeight="1" x14ac:dyDescent="0.3">
      <c r="A2370" t="s">
        <v>199</v>
      </c>
      <c r="B2370" s="2">
        <v>46143</v>
      </c>
      <c r="C2370" s="12">
        <v>2231.41</v>
      </c>
    </row>
    <row r="2371" spans="1:3" ht="15" hidden="1" customHeight="1" x14ac:dyDescent="0.3">
      <c r="A2371" t="s">
        <v>199</v>
      </c>
      <c r="B2371" s="2">
        <v>46174</v>
      </c>
      <c r="C2371">
        <v>1788</v>
      </c>
    </row>
    <row r="2372" spans="1:3" ht="15" hidden="1" customHeight="1" x14ac:dyDescent="0.3">
      <c r="A2372" t="s">
        <v>190</v>
      </c>
      <c r="B2372" s="2">
        <v>46204</v>
      </c>
      <c r="C2372">
        <v>9713.4699999999993</v>
      </c>
    </row>
    <row r="2373" spans="1:3" ht="15" hidden="1" customHeight="1" x14ac:dyDescent="0.3">
      <c r="A2373" t="s">
        <v>199</v>
      </c>
      <c r="B2373" s="2">
        <v>46235</v>
      </c>
      <c r="C2373">
        <v>3050</v>
      </c>
    </row>
    <row r="2374" spans="1:3" ht="15" customHeight="1" x14ac:dyDescent="0.3">
      <c r="A2374" t="s">
        <v>199</v>
      </c>
      <c r="B2374" s="2">
        <v>46266</v>
      </c>
      <c r="C2374" s="47">
        <v>2619.92</v>
      </c>
    </row>
    <row r="2375" spans="1:3" ht="15" hidden="1" customHeight="1" x14ac:dyDescent="0.3">
      <c r="A2375" t="s">
        <v>199</v>
      </c>
      <c r="B2375" s="2">
        <v>46296</v>
      </c>
    </row>
    <row r="2376" spans="1:3" ht="15" hidden="1" customHeight="1" x14ac:dyDescent="0.3">
      <c r="A2376" t="s">
        <v>199</v>
      </c>
      <c r="B2376" s="2">
        <v>46327</v>
      </c>
    </row>
    <row r="2377" spans="1:3" ht="15" hidden="1" customHeight="1" x14ac:dyDescent="0.3">
      <c r="A2377" t="s">
        <v>199</v>
      </c>
      <c r="B2377" s="2">
        <v>46357</v>
      </c>
    </row>
    <row r="2378" spans="1:3" ht="15" hidden="1" customHeight="1" x14ac:dyDescent="0.3">
      <c r="A2378" t="s">
        <v>192</v>
      </c>
      <c r="B2378" s="2">
        <v>45292</v>
      </c>
    </row>
    <row r="2379" spans="1:3" ht="15" hidden="1" customHeight="1" x14ac:dyDescent="0.3">
      <c r="A2379" t="s">
        <v>192</v>
      </c>
      <c r="B2379" s="2">
        <v>45323</v>
      </c>
    </row>
    <row r="2380" spans="1:3" ht="15" hidden="1" customHeight="1" x14ac:dyDescent="0.3">
      <c r="A2380" t="s">
        <v>192</v>
      </c>
      <c r="B2380" s="2">
        <v>45352</v>
      </c>
    </row>
    <row r="2381" spans="1:3" ht="15" hidden="1" customHeight="1" x14ac:dyDescent="0.3">
      <c r="A2381" t="s">
        <v>192</v>
      </c>
      <c r="B2381" s="2">
        <v>45383</v>
      </c>
    </row>
    <row r="2382" spans="1:3" ht="15" hidden="1" customHeight="1" x14ac:dyDescent="0.3">
      <c r="A2382" t="s">
        <v>192</v>
      </c>
      <c r="B2382" s="2">
        <v>45413</v>
      </c>
    </row>
    <row r="2383" spans="1:3" ht="15" hidden="1" customHeight="1" x14ac:dyDescent="0.3">
      <c r="A2383" t="s">
        <v>192</v>
      </c>
      <c r="B2383" s="2">
        <v>45444</v>
      </c>
    </row>
    <row r="2384" spans="1:3" ht="15" hidden="1" customHeight="1" x14ac:dyDescent="0.3">
      <c r="A2384" t="s">
        <v>192</v>
      </c>
      <c r="B2384" s="2">
        <v>45474</v>
      </c>
    </row>
    <row r="2385" spans="1:2" ht="15" hidden="1" customHeight="1" x14ac:dyDescent="0.3">
      <c r="A2385" t="s">
        <v>192</v>
      </c>
      <c r="B2385" s="2">
        <v>45505</v>
      </c>
    </row>
    <row r="2386" spans="1:2" ht="15" hidden="1" customHeight="1" x14ac:dyDescent="0.3">
      <c r="A2386" t="s">
        <v>192</v>
      </c>
      <c r="B2386" s="2">
        <v>45536</v>
      </c>
    </row>
    <row r="2387" spans="1:2" ht="15" hidden="1" customHeight="1" x14ac:dyDescent="0.3">
      <c r="A2387" t="s">
        <v>192</v>
      </c>
      <c r="B2387" s="2">
        <v>45566</v>
      </c>
    </row>
    <row r="2388" spans="1:2" ht="15" hidden="1" customHeight="1" x14ac:dyDescent="0.3">
      <c r="A2388" t="s">
        <v>192</v>
      </c>
      <c r="B2388" s="2">
        <v>45597</v>
      </c>
    </row>
    <row r="2389" spans="1:2" ht="15" hidden="1" customHeight="1" x14ac:dyDescent="0.3">
      <c r="A2389" t="s">
        <v>192</v>
      </c>
      <c r="B2389" s="2">
        <v>45627</v>
      </c>
    </row>
    <row r="2390" spans="1:2" ht="15" hidden="1" customHeight="1" x14ac:dyDescent="0.3">
      <c r="A2390" t="s">
        <v>192</v>
      </c>
      <c r="B2390" s="2">
        <v>45658</v>
      </c>
    </row>
    <row r="2391" spans="1:2" ht="15" hidden="1" customHeight="1" x14ac:dyDescent="0.3">
      <c r="A2391" t="s">
        <v>192</v>
      </c>
      <c r="B2391" s="2">
        <v>45689</v>
      </c>
    </row>
    <row r="2392" spans="1:2" ht="15" hidden="1" customHeight="1" x14ac:dyDescent="0.3">
      <c r="A2392" t="s">
        <v>192</v>
      </c>
      <c r="B2392" s="2">
        <v>45717</v>
      </c>
    </row>
    <row r="2393" spans="1:2" ht="15" hidden="1" customHeight="1" x14ac:dyDescent="0.3">
      <c r="A2393" t="s">
        <v>192</v>
      </c>
      <c r="B2393" s="2">
        <v>45748</v>
      </c>
    </row>
    <row r="2394" spans="1:2" ht="15" hidden="1" customHeight="1" x14ac:dyDescent="0.3">
      <c r="A2394" t="s">
        <v>192</v>
      </c>
      <c r="B2394" s="2">
        <v>45778</v>
      </c>
    </row>
    <row r="2395" spans="1:2" ht="15" hidden="1" customHeight="1" x14ac:dyDescent="0.3">
      <c r="A2395" t="s">
        <v>192</v>
      </c>
      <c r="B2395" s="2">
        <v>45809</v>
      </c>
    </row>
    <row r="2396" spans="1:2" ht="15" hidden="1" customHeight="1" x14ac:dyDescent="0.3">
      <c r="A2396" t="s">
        <v>192</v>
      </c>
      <c r="B2396" s="2">
        <v>45839</v>
      </c>
    </row>
    <row r="2397" spans="1:2" ht="15" hidden="1" customHeight="1" x14ac:dyDescent="0.3">
      <c r="A2397" t="s">
        <v>192</v>
      </c>
      <c r="B2397" s="2">
        <v>45870</v>
      </c>
    </row>
    <row r="2398" spans="1:2" ht="15" hidden="1" customHeight="1" x14ac:dyDescent="0.3">
      <c r="A2398" t="s">
        <v>192</v>
      </c>
      <c r="B2398" s="2">
        <v>45901</v>
      </c>
    </row>
    <row r="2399" spans="1:2" ht="15" hidden="1" customHeight="1" x14ac:dyDescent="0.3">
      <c r="A2399" t="s">
        <v>192</v>
      </c>
      <c r="B2399" s="2">
        <v>45931</v>
      </c>
    </row>
    <row r="2400" spans="1:2" ht="15" hidden="1" customHeight="1" x14ac:dyDescent="0.3">
      <c r="A2400" t="s">
        <v>192</v>
      </c>
      <c r="B2400" s="2">
        <v>45962</v>
      </c>
    </row>
    <row r="2401" spans="1:3" ht="15" hidden="1" customHeight="1" x14ac:dyDescent="0.3">
      <c r="A2401" t="s">
        <v>192</v>
      </c>
      <c r="B2401" s="2">
        <v>45992</v>
      </c>
    </row>
    <row r="2402" spans="1:3" ht="15" hidden="1" customHeight="1" x14ac:dyDescent="0.3">
      <c r="A2402" t="s">
        <v>192</v>
      </c>
      <c r="B2402" s="2">
        <v>46023</v>
      </c>
    </row>
    <row r="2403" spans="1:3" ht="15" hidden="1" customHeight="1" x14ac:dyDescent="0.3">
      <c r="A2403" t="s">
        <v>192</v>
      </c>
      <c r="B2403" s="2">
        <v>46054</v>
      </c>
    </row>
    <row r="2404" spans="1:3" ht="15" hidden="1" customHeight="1" x14ac:dyDescent="0.3">
      <c r="A2404" t="s">
        <v>192</v>
      </c>
      <c r="B2404" s="2">
        <v>46082</v>
      </c>
    </row>
    <row r="2405" spans="1:3" ht="15" hidden="1" customHeight="1" x14ac:dyDescent="0.3">
      <c r="A2405" t="s">
        <v>192</v>
      </c>
      <c r="B2405" s="2">
        <v>46113</v>
      </c>
    </row>
    <row r="2406" spans="1:3" ht="15" hidden="1" customHeight="1" x14ac:dyDescent="0.3">
      <c r="A2406" t="s">
        <v>192</v>
      </c>
      <c r="B2406" s="2">
        <v>46143</v>
      </c>
      <c r="C2406" s="12"/>
    </row>
    <row r="2407" spans="1:3" ht="15" hidden="1" customHeight="1" x14ac:dyDescent="0.3">
      <c r="A2407" t="s">
        <v>192</v>
      </c>
      <c r="B2407" s="2">
        <v>46174</v>
      </c>
    </row>
    <row r="2408" spans="1:3" ht="15" hidden="1" customHeight="1" x14ac:dyDescent="0.3">
      <c r="A2408" t="s">
        <v>213</v>
      </c>
      <c r="B2408" s="2">
        <v>46204</v>
      </c>
      <c r="C2408">
        <v>2899</v>
      </c>
    </row>
    <row r="2409" spans="1:3" ht="15" hidden="1" customHeight="1" x14ac:dyDescent="0.3">
      <c r="A2409" t="s">
        <v>192</v>
      </c>
      <c r="B2409" s="2">
        <v>46235</v>
      </c>
    </row>
    <row r="2410" spans="1:3" ht="15" customHeight="1" x14ac:dyDescent="0.3">
      <c r="A2410" t="s">
        <v>192</v>
      </c>
      <c r="B2410" s="2">
        <v>46266</v>
      </c>
      <c r="C2410" s="47"/>
    </row>
    <row r="2411" spans="1:3" ht="15" hidden="1" customHeight="1" x14ac:dyDescent="0.3">
      <c r="A2411" t="s">
        <v>192</v>
      </c>
      <c r="B2411" s="2">
        <v>46296</v>
      </c>
    </row>
    <row r="2412" spans="1:3" ht="15" hidden="1" customHeight="1" x14ac:dyDescent="0.3">
      <c r="A2412" t="s">
        <v>192</v>
      </c>
      <c r="B2412" s="2">
        <v>46327</v>
      </c>
    </row>
    <row r="2413" spans="1:3" ht="15" hidden="1" customHeight="1" x14ac:dyDescent="0.3">
      <c r="A2413" t="s">
        <v>192</v>
      </c>
      <c r="B2413" s="2">
        <v>46357</v>
      </c>
    </row>
    <row r="2414" spans="1:3" ht="15" hidden="1" customHeight="1" x14ac:dyDescent="0.3">
      <c r="A2414" t="s">
        <v>194</v>
      </c>
      <c r="B2414" s="2">
        <v>45292</v>
      </c>
      <c r="C2414">
        <v>6142</v>
      </c>
    </row>
    <row r="2415" spans="1:3" ht="15" hidden="1" customHeight="1" x14ac:dyDescent="0.3">
      <c r="A2415" t="s">
        <v>194</v>
      </c>
      <c r="B2415" s="2">
        <v>45323</v>
      </c>
      <c r="C2415">
        <v>5738</v>
      </c>
    </row>
    <row r="2416" spans="1:3" ht="15" hidden="1" customHeight="1" x14ac:dyDescent="0.3">
      <c r="A2416" t="s">
        <v>194</v>
      </c>
      <c r="B2416" s="2">
        <v>45352</v>
      </c>
      <c r="C2416">
        <v>5912</v>
      </c>
    </row>
    <row r="2417" spans="1:3" ht="15" hidden="1" customHeight="1" x14ac:dyDescent="0.3">
      <c r="A2417" t="s">
        <v>194</v>
      </c>
      <c r="B2417" s="2">
        <v>45383</v>
      </c>
      <c r="C2417">
        <v>4354</v>
      </c>
    </row>
    <row r="2418" spans="1:3" ht="15" hidden="1" customHeight="1" x14ac:dyDescent="0.3">
      <c r="A2418" t="s">
        <v>194</v>
      </c>
      <c r="B2418" s="2">
        <v>45413</v>
      </c>
      <c r="C2418">
        <v>3536</v>
      </c>
    </row>
    <row r="2419" spans="1:3" ht="15" hidden="1" customHeight="1" x14ac:dyDescent="0.3">
      <c r="A2419" t="s">
        <v>194</v>
      </c>
      <c r="B2419" s="2">
        <v>45444</v>
      </c>
      <c r="C2419">
        <v>2689</v>
      </c>
    </row>
    <row r="2420" spans="1:3" ht="15" hidden="1" customHeight="1" x14ac:dyDescent="0.3">
      <c r="A2420" t="s">
        <v>194</v>
      </c>
      <c r="B2420" s="2">
        <v>45474</v>
      </c>
      <c r="C2420">
        <v>3106</v>
      </c>
    </row>
    <row r="2421" spans="1:3" ht="15" hidden="1" customHeight="1" x14ac:dyDescent="0.3">
      <c r="A2421" t="s">
        <v>194</v>
      </c>
      <c r="B2421" s="2">
        <v>45505</v>
      </c>
      <c r="C2421">
        <v>4461</v>
      </c>
    </row>
    <row r="2422" spans="1:3" ht="15" hidden="1" customHeight="1" x14ac:dyDescent="0.3">
      <c r="A2422" t="s">
        <v>194</v>
      </c>
      <c r="B2422" s="2">
        <v>45536</v>
      </c>
      <c r="C2422">
        <v>5033</v>
      </c>
    </row>
    <row r="2423" spans="1:3" ht="15" hidden="1" customHeight="1" x14ac:dyDescent="0.3">
      <c r="A2423" t="s">
        <v>194</v>
      </c>
      <c r="B2423" s="2">
        <v>45566</v>
      </c>
      <c r="C2423">
        <v>6965</v>
      </c>
    </row>
    <row r="2424" spans="1:3" ht="15" hidden="1" customHeight="1" x14ac:dyDescent="0.3">
      <c r="A2424" t="s">
        <v>194</v>
      </c>
      <c r="B2424" s="2">
        <v>45597</v>
      </c>
      <c r="C2424">
        <v>6934</v>
      </c>
    </row>
    <row r="2425" spans="1:3" ht="15" hidden="1" customHeight="1" x14ac:dyDescent="0.3">
      <c r="A2425" t="s">
        <v>194</v>
      </c>
      <c r="B2425" s="2">
        <v>45627</v>
      </c>
      <c r="C2425">
        <v>7000</v>
      </c>
    </row>
    <row r="2426" spans="1:3" ht="15" hidden="1" customHeight="1" x14ac:dyDescent="0.3">
      <c r="A2426" t="s">
        <v>194</v>
      </c>
      <c r="B2426" s="2">
        <v>45658</v>
      </c>
      <c r="C2426">
        <v>5900</v>
      </c>
    </row>
    <row r="2427" spans="1:3" ht="15" hidden="1" customHeight="1" x14ac:dyDescent="0.3">
      <c r="A2427" t="s">
        <v>194</v>
      </c>
      <c r="B2427" s="2">
        <v>45689</v>
      </c>
      <c r="C2427">
        <v>4280</v>
      </c>
    </row>
    <row r="2428" spans="1:3" ht="15" hidden="1" customHeight="1" x14ac:dyDescent="0.3">
      <c r="A2428" t="s">
        <v>194</v>
      </c>
      <c r="B2428" s="2">
        <v>45717</v>
      </c>
      <c r="C2428">
        <v>4292</v>
      </c>
    </row>
    <row r="2429" spans="1:3" ht="15" hidden="1" customHeight="1" x14ac:dyDescent="0.3">
      <c r="A2429" t="s">
        <v>194</v>
      </c>
      <c r="B2429" s="2">
        <v>45748</v>
      </c>
      <c r="C2429">
        <v>3097</v>
      </c>
    </row>
    <row r="2430" spans="1:3" ht="15" hidden="1" customHeight="1" x14ac:dyDescent="0.3">
      <c r="A2430" t="s">
        <v>194</v>
      </c>
      <c r="B2430" s="2">
        <v>45778</v>
      </c>
      <c r="C2430">
        <v>3200</v>
      </c>
    </row>
    <row r="2431" spans="1:3" ht="15" hidden="1" customHeight="1" x14ac:dyDescent="0.3">
      <c r="A2431" t="s">
        <v>194</v>
      </c>
      <c r="B2431" s="2">
        <v>45809</v>
      </c>
      <c r="C2431">
        <v>2560.4</v>
      </c>
    </row>
    <row r="2432" spans="1:3" ht="15" hidden="1" customHeight="1" x14ac:dyDescent="0.3">
      <c r="A2432" t="s">
        <v>194</v>
      </c>
      <c r="B2432" s="2">
        <v>45839</v>
      </c>
      <c r="C2432">
        <v>2823</v>
      </c>
    </row>
    <row r="2433" spans="1:3" ht="15" hidden="1" customHeight="1" x14ac:dyDescent="0.3">
      <c r="A2433" t="s">
        <v>194</v>
      </c>
      <c r="B2433" s="2">
        <v>45870</v>
      </c>
      <c r="C2433">
        <v>4200</v>
      </c>
    </row>
    <row r="2434" spans="1:3" ht="15" hidden="1" customHeight="1" x14ac:dyDescent="0.3">
      <c r="A2434" t="s">
        <v>194</v>
      </c>
      <c r="B2434" s="2">
        <v>45901</v>
      </c>
      <c r="C2434">
        <v>4566</v>
      </c>
    </row>
    <row r="2435" spans="1:3" ht="15" hidden="1" customHeight="1" x14ac:dyDescent="0.3">
      <c r="A2435" t="s">
        <v>194</v>
      </c>
      <c r="B2435" s="2">
        <v>45931</v>
      </c>
      <c r="C2435">
        <v>6195.1</v>
      </c>
    </row>
    <row r="2436" spans="1:3" ht="15" hidden="1" customHeight="1" x14ac:dyDescent="0.3">
      <c r="A2436" t="s">
        <v>194</v>
      </c>
      <c r="B2436" s="2">
        <v>45962</v>
      </c>
      <c r="C2436">
        <v>5304</v>
      </c>
    </row>
    <row r="2437" spans="1:3" ht="15" hidden="1" customHeight="1" x14ac:dyDescent="0.3">
      <c r="A2437" t="s">
        <v>194</v>
      </c>
      <c r="B2437" s="2">
        <v>45992</v>
      </c>
      <c r="C2437">
        <v>6296</v>
      </c>
    </row>
    <row r="2438" spans="1:3" ht="15" hidden="1" customHeight="1" x14ac:dyDescent="0.3">
      <c r="A2438" t="s">
        <v>194</v>
      </c>
      <c r="B2438" s="2">
        <v>46023</v>
      </c>
      <c r="C2438">
        <v>6828</v>
      </c>
    </row>
    <row r="2439" spans="1:3" ht="15" hidden="1" customHeight="1" x14ac:dyDescent="0.3">
      <c r="A2439" t="s">
        <v>194</v>
      </c>
      <c r="B2439" s="2">
        <v>46054</v>
      </c>
      <c r="C2439">
        <v>6062</v>
      </c>
    </row>
    <row r="2440" spans="1:3" ht="15" hidden="1" customHeight="1" x14ac:dyDescent="0.3">
      <c r="A2440" t="s">
        <v>194</v>
      </c>
      <c r="B2440" s="2">
        <v>46082</v>
      </c>
      <c r="C2440">
        <v>4541</v>
      </c>
    </row>
    <row r="2441" spans="1:3" ht="15" hidden="1" customHeight="1" x14ac:dyDescent="0.3">
      <c r="A2441" t="s">
        <v>194</v>
      </c>
      <c r="B2441" s="2">
        <v>46113</v>
      </c>
      <c r="C2441">
        <v>3743.09</v>
      </c>
    </row>
    <row r="2442" spans="1:3" ht="15" hidden="1" customHeight="1" x14ac:dyDescent="0.3">
      <c r="A2442" t="s">
        <v>194</v>
      </c>
      <c r="B2442" s="2">
        <v>46143</v>
      </c>
      <c r="C2442" s="12">
        <v>3041.11</v>
      </c>
    </row>
    <row r="2443" spans="1:3" ht="15" hidden="1" customHeight="1" x14ac:dyDescent="0.3">
      <c r="A2443" t="s">
        <v>213</v>
      </c>
      <c r="B2443" s="2">
        <v>46174</v>
      </c>
      <c r="C2443">
        <v>4726</v>
      </c>
    </row>
    <row r="2444" spans="1:3" ht="15" hidden="1" customHeight="1" x14ac:dyDescent="0.3">
      <c r="A2444" t="s">
        <v>216</v>
      </c>
      <c r="B2444" s="2">
        <v>46204</v>
      </c>
      <c r="C2444">
        <v>10206</v>
      </c>
    </row>
    <row r="2445" spans="1:3" ht="15" hidden="1" customHeight="1" x14ac:dyDescent="0.3">
      <c r="A2445" t="s">
        <v>194</v>
      </c>
      <c r="B2445" s="2">
        <v>46235</v>
      </c>
      <c r="C2445">
        <v>3881</v>
      </c>
    </row>
    <row r="2446" spans="1:3" ht="15" customHeight="1" x14ac:dyDescent="0.3">
      <c r="A2446" t="s">
        <v>194</v>
      </c>
      <c r="B2446" s="2">
        <v>46266</v>
      </c>
      <c r="C2446" s="47">
        <v>4853.26</v>
      </c>
    </row>
    <row r="2447" spans="1:3" ht="15" hidden="1" customHeight="1" x14ac:dyDescent="0.3">
      <c r="A2447" t="s">
        <v>194</v>
      </c>
      <c r="B2447" s="2">
        <v>46296</v>
      </c>
    </row>
    <row r="2448" spans="1:3" ht="15" hidden="1" customHeight="1" x14ac:dyDescent="0.3">
      <c r="A2448" t="s">
        <v>194</v>
      </c>
      <c r="B2448" s="2">
        <v>46327</v>
      </c>
    </row>
    <row r="2449" spans="1:3" ht="15" hidden="1" customHeight="1" x14ac:dyDescent="0.3">
      <c r="A2449" t="s">
        <v>194</v>
      </c>
      <c r="B2449" s="2">
        <v>46357</v>
      </c>
    </row>
    <row r="2450" spans="1:3" ht="15" hidden="1" customHeight="1" x14ac:dyDescent="0.3">
      <c r="A2450" t="s">
        <v>196</v>
      </c>
      <c r="B2450" s="2">
        <v>45292</v>
      </c>
      <c r="C2450">
        <v>3510</v>
      </c>
    </row>
    <row r="2451" spans="1:3" ht="15" hidden="1" customHeight="1" x14ac:dyDescent="0.3">
      <c r="A2451" t="s">
        <v>196</v>
      </c>
      <c r="B2451" s="2">
        <v>45323</v>
      </c>
      <c r="C2451">
        <v>3517</v>
      </c>
    </row>
    <row r="2452" spans="1:3" ht="15" hidden="1" customHeight="1" x14ac:dyDescent="0.3">
      <c r="A2452" t="s">
        <v>196</v>
      </c>
      <c r="B2452" s="2">
        <v>45352</v>
      </c>
      <c r="C2452">
        <v>3409</v>
      </c>
    </row>
    <row r="2453" spans="1:3" ht="15" hidden="1" customHeight="1" x14ac:dyDescent="0.3">
      <c r="A2453" t="s">
        <v>196</v>
      </c>
      <c r="B2453" s="2">
        <v>45383</v>
      </c>
      <c r="C2453">
        <v>2977</v>
      </c>
    </row>
    <row r="2454" spans="1:3" ht="15" hidden="1" customHeight="1" x14ac:dyDescent="0.3">
      <c r="A2454" t="s">
        <v>196</v>
      </c>
      <c r="B2454" s="2">
        <v>45413</v>
      </c>
      <c r="C2454">
        <v>2754</v>
      </c>
    </row>
    <row r="2455" spans="1:3" ht="15" hidden="1" customHeight="1" x14ac:dyDescent="0.3">
      <c r="A2455" t="s">
        <v>196</v>
      </c>
      <c r="B2455" s="2">
        <v>45444</v>
      </c>
      <c r="C2455">
        <v>2322</v>
      </c>
    </row>
    <row r="2456" spans="1:3" ht="15" hidden="1" customHeight="1" x14ac:dyDescent="0.3">
      <c r="A2456" t="s">
        <v>196</v>
      </c>
      <c r="B2456" s="2">
        <v>45474</v>
      </c>
      <c r="C2456">
        <v>3200</v>
      </c>
    </row>
    <row r="2457" spans="1:3" ht="15" hidden="1" customHeight="1" x14ac:dyDescent="0.3">
      <c r="A2457" t="s">
        <v>196</v>
      </c>
      <c r="B2457" s="2">
        <v>45505</v>
      </c>
      <c r="C2457">
        <v>1967.434</v>
      </c>
    </row>
    <row r="2458" spans="1:3" ht="15" hidden="1" customHeight="1" x14ac:dyDescent="0.3">
      <c r="A2458" t="s">
        <v>196</v>
      </c>
      <c r="B2458" s="2">
        <v>45536</v>
      </c>
      <c r="C2458">
        <v>2608</v>
      </c>
    </row>
    <row r="2459" spans="1:3" ht="15" hidden="1" customHeight="1" x14ac:dyDescent="0.3">
      <c r="A2459" t="s">
        <v>196</v>
      </c>
      <c r="B2459" s="2">
        <v>45566</v>
      </c>
      <c r="C2459">
        <v>3179</v>
      </c>
    </row>
    <row r="2460" spans="1:3" ht="15" hidden="1" customHeight="1" x14ac:dyDescent="0.3">
      <c r="A2460" t="s">
        <v>196</v>
      </c>
      <c r="B2460" s="2">
        <v>45597</v>
      </c>
      <c r="C2460">
        <v>2499</v>
      </c>
    </row>
    <row r="2461" spans="1:3" ht="15" hidden="1" customHeight="1" x14ac:dyDescent="0.3">
      <c r="A2461" t="s">
        <v>196</v>
      </c>
      <c r="B2461" s="2">
        <v>45627</v>
      </c>
      <c r="C2461">
        <v>2419</v>
      </c>
    </row>
    <row r="2462" spans="1:3" ht="15" hidden="1" customHeight="1" x14ac:dyDescent="0.3">
      <c r="A2462" t="s">
        <v>196</v>
      </c>
      <c r="B2462" s="2">
        <v>45658</v>
      </c>
      <c r="C2462">
        <v>2940</v>
      </c>
    </row>
    <row r="2463" spans="1:3" ht="15" hidden="1" customHeight="1" x14ac:dyDescent="0.3">
      <c r="A2463" t="s">
        <v>196</v>
      </c>
      <c r="B2463" s="2">
        <v>45689</v>
      </c>
      <c r="C2463">
        <v>2482</v>
      </c>
    </row>
    <row r="2464" spans="1:3" ht="15" hidden="1" customHeight="1" x14ac:dyDescent="0.3">
      <c r="A2464" t="s">
        <v>196</v>
      </c>
      <c r="B2464" s="2">
        <v>45717</v>
      </c>
      <c r="C2464">
        <v>2660</v>
      </c>
    </row>
    <row r="2465" spans="1:3" ht="15" hidden="1" customHeight="1" x14ac:dyDescent="0.3">
      <c r="A2465" t="s">
        <v>196</v>
      </c>
      <c r="B2465" s="2">
        <v>45748</v>
      </c>
      <c r="C2465">
        <v>3014</v>
      </c>
    </row>
    <row r="2466" spans="1:3" ht="15" hidden="1" customHeight="1" x14ac:dyDescent="0.3">
      <c r="A2466" t="s">
        <v>196</v>
      </c>
      <c r="B2466" s="2">
        <v>45778</v>
      </c>
      <c r="C2466">
        <v>3259</v>
      </c>
    </row>
    <row r="2467" spans="1:3" ht="15" hidden="1" customHeight="1" x14ac:dyDescent="0.3">
      <c r="A2467" t="s">
        <v>196</v>
      </c>
      <c r="B2467" s="2">
        <v>45809</v>
      </c>
      <c r="C2467">
        <v>2701.4</v>
      </c>
    </row>
    <row r="2468" spans="1:3" ht="15" hidden="1" customHeight="1" x14ac:dyDescent="0.3">
      <c r="A2468" t="s">
        <v>196</v>
      </c>
      <c r="B2468" s="2">
        <v>45839</v>
      </c>
      <c r="C2468">
        <v>2990</v>
      </c>
    </row>
    <row r="2469" spans="1:3" ht="15" hidden="1" customHeight="1" x14ac:dyDescent="0.3">
      <c r="A2469" t="s">
        <v>196</v>
      </c>
      <c r="B2469" s="2">
        <v>45870</v>
      </c>
      <c r="C2469">
        <v>3504</v>
      </c>
    </row>
    <row r="2470" spans="1:3" ht="15" hidden="1" customHeight="1" x14ac:dyDescent="0.3">
      <c r="A2470" t="s">
        <v>196</v>
      </c>
      <c r="B2470" s="2">
        <v>45901</v>
      </c>
      <c r="C2470">
        <v>3456</v>
      </c>
    </row>
    <row r="2471" spans="1:3" ht="15" hidden="1" customHeight="1" x14ac:dyDescent="0.3">
      <c r="A2471" t="s">
        <v>196</v>
      </c>
      <c r="B2471" s="2">
        <v>45931</v>
      </c>
      <c r="C2471">
        <v>4131</v>
      </c>
    </row>
    <row r="2472" spans="1:3" ht="15" hidden="1" customHeight="1" x14ac:dyDescent="0.3">
      <c r="A2472" t="s">
        <v>196</v>
      </c>
      <c r="B2472" s="2">
        <v>45962</v>
      </c>
      <c r="C2472">
        <v>3798</v>
      </c>
    </row>
    <row r="2473" spans="1:3" ht="15" hidden="1" customHeight="1" x14ac:dyDescent="0.3">
      <c r="A2473" t="s">
        <v>196</v>
      </c>
      <c r="B2473" s="2">
        <v>45992</v>
      </c>
      <c r="C2473">
        <v>4633</v>
      </c>
    </row>
    <row r="2474" spans="1:3" ht="15" hidden="1" customHeight="1" x14ac:dyDescent="0.3">
      <c r="A2474" t="s">
        <v>196</v>
      </c>
      <c r="B2474" s="2">
        <v>46023</v>
      </c>
      <c r="C2474">
        <v>5177</v>
      </c>
    </row>
    <row r="2475" spans="1:3" ht="15" hidden="1" customHeight="1" x14ac:dyDescent="0.3">
      <c r="A2475" t="s">
        <v>196</v>
      </c>
      <c r="B2475" s="2">
        <v>46054</v>
      </c>
      <c r="C2475">
        <v>3087</v>
      </c>
    </row>
    <row r="2476" spans="1:3" ht="15" hidden="1" customHeight="1" x14ac:dyDescent="0.3">
      <c r="A2476" t="s">
        <v>196</v>
      </c>
      <c r="B2476" s="2">
        <v>46082</v>
      </c>
      <c r="C2476">
        <v>4035</v>
      </c>
    </row>
    <row r="2477" spans="1:3" ht="15" hidden="1" customHeight="1" x14ac:dyDescent="0.3">
      <c r="A2477" t="s">
        <v>196</v>
      </c>
      <c r="B2477" s="2">
        <v>46113</v>
      </c>
      <c r="C2477">
        <v>3282.98</v>
      </c>
    </row>
    <row r="2478" spans="1:3" ht="15" hidden="1" customHeight="1" x14ac:dyDescent="0.3">
      <c r="A2478" t="s">
        <v>196</v>
      </c>
      <c r="B2478" s="2">
        <v>46143</v>
      </c>
      <c r="C2478" s="12">
        <v>3208.4</v>
      </c>
    </row>
    <row r="2479" spans="1:3" ht="15" hidden="1" customHeight="1" x14ac:dyDescent="0.3">
      <c r="A2479" t="s">
        <v>196</v>
      </c>
      <c r="B2479" s="2">
        <v>46174</v>
      </c>
      <c r="C2479">
        <v>3015</v>
      </c>
    </row>
    <row r="2480" spans="1:3" ht="15" hidden="1" customHeight="1" x14ac:dyDescent="0.3">
      <c r="A2480" t="s">
        <v>218</v>
      </c>
      <c r="B2480" s="2">
        <v>46204</v>
      </c>
      <c r="C2480">
        <v>4951</v>
      </c>
    </row>
    <row r="2481" spans="1:3" ht="15" hidden="1" customHeight="1" x14ac:dyDescent="0.3">
      <c r="A2481" t="s">
        <v>196</v>
      </c>
      <c r="B2481" s="2">
        <v>46235</v>
      </c>
      <c r="C2481">
        <v>3769</v>
      </c>
    </row>
    <row r="2482" spans="1:3" ht="15" customHeight="1" x14ac:dyDescent="0.3">
      <c r="A2482" t="s">
        <v>196</v>
      </c>
      <c r="B2482" s="2">
        <v>46266</v>
      </c>
      <c r="C2482" s="47">
        <v>3170.27</v>
      </c>
    </row>
    <row r="2483" spans="1:3" ht="15" hidden="1" customHeight="1" x14ac:dyDescent="0.3">
      <c r="A2483" t="s">
        <v>196</v>
      </c>
      <c r="B2483" s="2">
        <v>46296</v>
      </c>
    </row>
    <row r="2484" spans="1:3" ht="15" hidden="1" customHeight="1" x14ac:dyDescent="0.3">
      <c r="A2484" t="s">
        <v>196</v>
      </c>
      <c r="B2484" s="2">
        <v>46327</v>
      </c>
    </row>
    <row r="2485" spans="1:3" ht="15" hidden="1" customHeight="1" x14ac:dyDescent="0.3">
      <c r="A2485" t="s">
        <v>196</v>
      </c>
      <c r="B2485" s="2">
        <v>46357</v>
      </c>
    </row>
    <row r="2486" spans="1:3" ht="15" hidden="1" customHeight="1" x14ac:dyDescent="0.3">
      <c r="A2486" t="s">
        <v>201</v>
      </c>
      <c r="B2486" s="2">
        <v>45292</v>
      </c>
    </row>
    <row r="2487" spans="1:3" ht="15" hidden="1" customHeight="1" x14ac:dyDescent="0.3">
      <c r="A2487" t="s">
        <v>201</v>
      </c>
      <c r="B2487" s="2">
        <v>45323</v>
      </c>
      <c r="C2487">
        <v>11561</v>
      </c>
    </row>
    <row r="2488" spans="1:3" ht="15" hidden="1" customHeight="1" x14ac:dyDescent="0.3">
      <c r="A2488" t="s">
        <v>201</v>
      </c>
      <c r="B2488" s="2">
        <v>45352</v>
      </c>
      <c r="C2488">
        <v>11738</v>
      </c>
    </row>
    <row r="2489" spans="1:3" ht="15" hidden="1" customHeight="1" x14ac:dyDescent="0.3">
      <c r="A2489" t="s">
        <v>201</v>
      </c>
      <c r="B2489" s="2">
        <v>45383</v>
      </c>
      <c r="C2489">
        <v>307</v>
      </c>
    </row>
    <row r="2490" spans="1:3" ht="15" hidden="1" customHeight="1" x14ac:dyDescent="0.3">
      <c r="A2490" t="s">
        <v>201</v>
      </c>
      <c r="B2490" s="2">
        <v>45413</v>
      </c>
      <c r="C2490">
        <v>1</v>
      </c>
    </row>
    <row r="2491" spans="1:3" ht="15" hidden="1" customHeight="1" x14ac:dyDescent="0.3">
      <c r="A2491" t="s">
        <v>201</v>
      </c>
      <c r="B2491" s="2">
        <v>45444</v>
      </c>
      <c r="C2491">
        <v>1</v>
      </c>
    </row>
    <row r="2492" spans="1:3" ht="15" hidden="1" customHeight="1" x14ac:dyDescent="0.3">
      <c r="A2492" t="s">
        <v>201</v>
      </c>
      <c r="B2492" s="2">
        <v>45474</v>
      </c>
      <c r="C2492">
        <v>6245</v>
      </c>
    </row>
    <row r="2493" spans="1:3" ht="15" hidden="1" customHeight="1" x14ac:dyDescent="0.3">
      <c r="A2493" t="s">
        <v>201</v>
      </c>
      <c r="B2493" s="2">
        <v>45505</v>
      </c>
      <c r="C2493">
        <v>10791</v>
      </c>
    </row>
    <row r="2494" spans="1:3" ht="15" hidden="1" customHeight="1" x14ac:dyDescent="0.3">
      <c r="A2494" t="s">
        <v>201</v>
      </c>
      <c r="B2494" s="2">
        <v>45536</v>
      </c>
      <c r="C2494">
        <v>10127</v>
      </c>
    </row>
    <row r="2495" spans="1:3" ht="15" hidden="1" customHeight="1" x14ac:dyDescent="0.3">
      <c r="A2495" t="s">
        <v>201</v>
      </c>
      <c r="B2495" s="2">
        <v>45566</v>
      </c>
      <c r="C2495">
        <v>12940</v>
      </c>
    </row>
    <row r="2496" spans="1:3" ht="15" hidden="1" customHeight="1" x14ac:dyDescent="0.3">
      <c r="A2496" t="s">
        <v>201</v>
      </c>
      <c r="B2496" s="2">
        <v>45597</v>
      </c>
      <c r="C2496">
        <v>12711</v>
      </c>
    </row>
    <row r="2497" spans="1:3" ht="15" hidden="1" customHeight="1" x14ac:dyDescent="0.3">
      <c r="A2497" t="s">
        <v>201</v>
      </c>
      <c r="B2497" s="2">
        <v>45627</v>
      </c>
      <c r="C2497">
        <v>12090</v>
      </c>
    </row>
    <row r="2498" spans="1:3" ht="15" hidden="1" customHeight="1" x14ac:dyDescent="0.3">
      <c r="A2498" t="s">
        <v>201</v>
      </c>
      <c r="B2498" s="2">
        <v>45658</v>
      </c>
      <c r="C2498">
        <v>10838</v>
      </c>
    </row>
    <row r="2499" spans="1:3" ht="15" hidden="1" customHeight="1" x14ac:dyDescent="0.3">
      <c r="A2499" t="s">
        <v>201</v>
      </c>
      <c r="B2499" s="2">
        <v>45689</v>
      </c>
      <c r="C2499">
        <v>8901</v>
      </c>
    </row>
    <row r="2500" spans="1:3" ht="15" hidden="1" customHeight="1" x14ac:dyDescent="0.3">
      <c r="A2500" t="s">
        <v>201</v>
      </c>
      <c r="B2500" s="2">
        <v>45717</v>
      </c>
      <c r="C2500">
        <v>9398</v>
      </c>
    </row>
    <row r="2501" spans="1:3" ht="15" hidden="1" customHeight="1" x14ac:dyDescent="0.3">
      <c r="A2501" t="s">
        <v>201</v>
      </c>
      <c r="B2501" s="2">
        <v>45748</v>
      </c>
      <c r="C2501">
        <v>8195</v>
      </c>
    </row>
    <row r="2502" spans="1:3" ht="15" hidden="1" customHeight="1" x14ac:dyDescent="0.3">
      <c r="A2502" t="s">
        <v>201</v>
      </c>
      <c r="B2502" s="2">
        <v>45778</v>
      </c>
      <c r="C2502">
        <v>6021</v>
      </c>
    </row>
    <row r="2503" spans="1:3" ht="15" hidden="1" customHeight="1" x14ac:dyDescent="0.3">
      <c r="A2503" t="s">
        <v>201</v>
      </c>
      <c r="B2503" s="2">
        <v>45809</v>
      </c>
      <c r="C2503">
        <v>4341.5600000000004</v>
      </c>
    </row>
    <row r="2504" spans="1:3" ht="15" hidden="1" customHeight="1" x14ac:dyDescent="0.3">
      <c r="A2504" t="s">
        <v>201</v>
      </c>
      <c r="B2504" s="2">
        <v>45839</v>
      </c>
      <c r="C2504">
        <v>6989</v>
      </c>
    </row>
    <row r="2505" spans="1:3" ht="15" hidden="1" customHeight="1" x14ac:dyDescent="0.3">
      <c r="A2505" t="s">
        <v>201</v>
      </c>
      <c r="B2505" s="2">
        <v>45870</v>
      </c>
      <c r="C2505">
        <v>11205</v>
      </c>
    </row>
    <row r="2506" spans="1:3" ht="15" hidden="1" customHeight="1" x14ac:dyDescent="0.3">
      <c r="A2506" t="s">
        <v>201</v>
      </c>
      <c r="B2506" s="2">
        <v>45901</v>
      </c>
      <c r="C2506">
        <v>10024</v>
      </c>
    </row>
    <row r="2507" spans="1:3" ht="15" hidden="1" customHeight="1" x14ac:dyDescent="0.3">
      <c r="A2507" t="s">
        <v>201</v>
      </c>
      <c r="B2507" s="2">
        <v>45931</v>
      </c>
      <c r="C2507">
        <v>13192</v>
      </c>
    </row>
    <row r="2508" spans="1:3" ht="15" hidden="1" customHeight="1" x14ac:dyDescent="0.3">
      <c r="A2508" t="s">
        <v>201</v>
      </c>
      <c r="B2508" s="2">
        <v>45962</v>
      </c>
      <c r="C2508">
        <v>10364</v>
      </c>
    </row>
    <row r="2509" spans="1:3" ht="15" hidden="1" customHeight="1" x14ac:dyDescent="0.3">
      <c r="A2509" t="s">
        <v>201</v>
      </c>
      <c r="B2509" s="2">
        <v>45992</v>
      </c>
      <c r="C2509">
        <v>10702</v>
      </c>
    </row>
    <row r="2510" spans="1:3" ht="15" hidden="1" customHeight="1" x14ac:dyDescent="0.3">
      <c r="A2510" t="s">
        <v>201</v>
      </c>
      <c r="B2510" s="2">
        <v>46023</v>
      </c>
      <c r="C2510">
        <v>12710</v>
      </c>
    </row>
    <row r="2511" spans="1:3" ht="15" hidden="1" customHeight="1" x14ac:dyDescent="0.3">
      <c r="A2511" t="s">
        <v>201</v>
      </c>
      <c r="B2511" s="2">
        <v>46054</v>
      </c>
      <c r="C2511">
        <v>12261</v>
      </c>
    </row>
    <row r="2512" spans="1:3" ht="15" hidden="1" customHeight="1" x14ac:dyDescent="0.3">
      <c r="A2512" t="s">
        <v>201</v>
      </c>
      <c r="B2512" s="2">
        <v>46082</v>
      </c>
      <c r="C2512">
        <v>11049</v>
      </c>
    </row>
    <row r="2513" spans="1:3" ht="15" hidden="1" customHeight="1" x14ac:dyDescent="0.3">
      <c r="A2513" t="s">
        <v>201</v>
      </c>
      <c r="B2513" s="2">
        <v>46113</v>
      </c>
      <c r="C2513">
        <v>9364.19</v>
      </c>
    </row>
    <row r="2514" spans="1:3" ht="15" hidden="1" customHeight="1" x14ac:dyDescent="0.3">
      <c r="A2514" t="s">
        <v>201</v>
      </c>
      <c r="B2514" s="2">
        <v>46143</v>
      </c>
      <c r="C2514" s="12">
        <v>10132.34</v>
      </c>
    </row>
    <row r="2515" spans="1:3" ht="15" hidden="1" customHeight="1" x14ac:dyDescent="0.3">
      <c r="A2515" t="s">
        <v>201</v>
      </c>
      <c r="B2515" s="2">
        <v>46174</v>
      </c>
      <c r="C2515">
        <v>8126</v>
      </c>
    </row>
    <row r="2516" spans="1:3" ht="15" hidden="1" customHeight="1" x14ac:dyDescent="0.3">
      <c r="A2516" t="s">
        <v>192</v>
      </c>
      <c r="B2516" s="2">
        <v>46204</v>
      </c>
      <c r="C2516">
        <v>0</v>
      </c>
    </row>
    <row r="2517" spans="1:3" ht="15" hidden="1" customHeight="1" x14ac:dyDescent="0.3">
      <c r="A2517" t="s">
        <v>201</v>
      </c>
      <c r="B2517" s="2">
        <v>46235</v>
      </c>
      <c r="C2517">
        <v>11112</v>
      </c>
    </row>
    <row r="2518" spans="1:3" ht="15" customHeight="1" x14ac:dyDescent="0.3">
      <c r="A2518" t="s">
        <v>201</v>
      </c>
      <c r="B2518" s="2">
        <v>46266</v>
      </c>
      <c r="C2518" s="47">
        <v>10023.98</v>
      </c>
    </row>
    <row r="2519" spans="1:3" ht="15" hidden="1" customHeight="1" x14ac:dyDescent="0.3">
      <c r="A2519" t="s">
        <v>201</v>
      </c>
      <c r="B2519" s="2">
        <v>46296</v>
      </c>
    </row>
    <row r="2520" spans="1:3" ht="15" hidden="1" customHeight="1" x14ac:dyDescent="0.3">
      <c r="A2520" t="s">
        <v>201</v>
      </c>
      <c r="B2520" s="2">
        <v>46327</v>
      </c>
    </row>
    <row r="2521" spans="1:3" ht="15" hidden="1" customHeight="1" x14ac:dyDescent="0.3">
      <c r="A2521" t="s">
        <v>201</v>
      </c>
      <c r="B2521" s="2">
        <v>46357</v>
      </c>
    </row>
    <row r="2522" spans="1:3" ht="15" hidden="1" customHeight="1" x14ac:dyDescent="0.3">
      <c r="A2522" t="s">
        <v>211</v>
      </c>
      <c r="B2522" s="2">
        <v>45292</v>
      </c>
    </row>
    <row r="2523" spans="1:3" ht="15" hidden="1" customHeight="1" x14ac:dyDescent="0.3">
      <c r="A2523" t="s">
        <v>211</v>
      </c>
      <c r="B2523" s="2">
        <v>45323</v>
      </c>
    </row>
    <row r="2524" spans="1:3" ht="15" hidden="1" customHeight="1" x14ac:dyDescent="0.3">
      <c r="A2524" t="s">
        <v>211</v>
      </c>
      <c r="B2524" s="2">
        <v>45352</v>
      </c>
    </row>
    <row r="2525" spans="1:3" ht="15" hidden="1" customHeight="1" x14ac:dyDescent="0.3">
      <c r="A2525" t="s">
        <v>211</v>
      </c>
      <c r="B2525" s="2">
        <v>45383</v>
      </c>
    </row>
    <row r="2526" spans="1:3" ht="15" hidden="1" customHeight="1" x14ac:dyDescent="0.3">
      <c r="A2526" t="s">
        <v>211</v>
      </c>
      <c r="B2526" s="2">
        <v>45413</v>
      </c>
    </row>
    <row r="2527" spans="1:3" ht="15" hidden="1" customHeight="1" x14ac:dyDescent="0.3">
      <c r="A2527" t="s">
        <v>211</v>
      </c>
      <c r="B2527" s="2">
        <v>45444</v>
      </c>
    </row>
    <row r="2528" spans="1:3" ht="15" hidden="1" customHeight="1" x14ac:dyDescent="0.3">
      <c r="A2528" t="s">
        <v>211</v>
      </c>
      <c r="B2528" s="2">
        <v>45474</v>
      </c>
    </row>
    <row r="2529" spans="1:3" ht="15" hidden="1" customHeight="1" x14ac:dyDescent="0.3">
      <c r="A2529" t="s">
        <v>211</v>
      </c>
      <c r="B2529" s="2">
        <v>45505</v>
      </c>
    </row>
    <row r="2530" spans="1:3" ht="15" hidden="1" customHeight="1" x14ac:dyDescent="0.3">
      <c r="A2530" t="s">
        <v>211</v>
      </c>
      <c r="B2530" s="2">
        <v>45536</v>
      </c>
    </row>
    <row r="2531" spans="1:3" ht="15" hidden="1" customHeight="1" x14ac:dyDescent="0.3">
      <c r="A2531" t="s">
        <v>211</v>
      </c>
      <c r="B2531" s="2">
        <v>45566</v>
      </c>
    </row>
    <row r="2532" spans="1:3" ht="15" hidden="1" customHeight="1" x14ac:dyDescent="0.3">
      <c r="A2532" t="s">
        <v>211</v>
      </c>
      <c r="B2532" s="2">
        <v>45597</v>
      </c>
    </row>
    <row r="2533" spans="1:3" ht="15" hidden="1" customHeight="1" x14ac:dyDescent="0.3">
      <c r="A2533" t="s">
        <v>211</v>
      </c>
      <c r="B2533" s="2">
        <v>45627</v>
      </c>
    </row>
    <row r="2534" spans="1:3" ht="15" hidden="1" customHeight="1" x14ac:dyDescent="0.3">
      <c r="A2534" t="s">
        <v>211</v>
      </c>
      <c r="B2534" s="2">
        <v>45658</v>
      </c>
    </row>
    <row r="2535" spans="1:3" ht="15" hidden="1" customHeight="1" x14ac:dyDescent="0.3">
      <c r="A2535" t="s">
        <v>211</v>
      </c>
      <c r="B2535" s="2">
        <v>45689</v>
      </c>
    </row>
    <row r="2536" spans="1:3" ht="15" hidden="1" customHeight="1" x14ac:dyDescent="0.3">
      <c r="A2536" t="s">
        <v>211</v>
      </c>
      <c r="B2536" s="2">
        <v>45717</v>
      </c>
    </row>
    <row r="2537" spans="1:3" ht="15" hidden="1" customHeight="1" x14ac:dyDescent="0.3">
      <c r="A2537" t="s">
        <v>211</v>
      </c>
      <c r="B2537" s="2">
        <v>45748</v>
      </c>
    </row>
    <row r="2538" spans="1:3" ht="15" hidden="1" customHeight="1" x14ac:dyDescent="0.3">
      <c r="A2538" t="s">
        <v>211</v>
      </c>
      <c r="B2538" s="2">
        <v>45778</v>
      </c>
    </row>
    <row r="2539" spans="1:3" ht="15" hidden="1" customHeight="1" x14ac:dyDescent="0.3">
      <c r="A2539" t="s">
        <v>211</v>
      </c>
      <c r="B2539" s="2">
        <v>45809</v>
      </c>
    </row>
    <row r="2540" spans="1:3" ht="15" hidden="1" customHeight="1" x14ac:dyDescent="0.3">
      <c r="A2540" t="s">
        <v>211</v>
      </c>
      <c r="B2540" s="2">
        <v>45839</v>
      </c>
    </row>
    <row r="2541" spans="1:3" ht="15" hidden="1" customHeight="1" x14ac:dyDescent="0.3">
      <c r="A2541" t="s">
        <v>211</v>
      </c>
      <c r="B2541" s="2">
        <v>45870</v>
      </c>
      <c r="C2541">
        <v>3866</v>
      </c>
    </row>
    <row r="2542" spans="1:3" ht="15" hidden="1" customHeight="1" x14ac:dyDescent="0.3">
      <c r="A2542" t="s">
        <v>211</v>
      </c>
      <c r="B2542" s="2">
        <v>45901</v>
      </c>
      <c r="C2542">
        <v>4249</v>
      </c>
    </row>
    <row r="2543" spans="1:3" ht="15" hidden="1" customHeight="1" x14ac:dyDescent="0.3">
      <c r="A2543" t="s">
        <v>211</v>
      </c>
      <c r="B2543" s="2">
        <v>45931</v>
      </c>
      <c r="C2543">
        <v>5286</v>
      </c>
    </row>
    <row r="2544" spans="1:3" ht="15" hidden="1" customHeight="1" x14ac:dyDescent="0.3">
      <c r="A2544" t="s">
        <v>211</v>
      </c>
      <c r="B2544" s="2">
        <v>45962</v>
      </c>
      <c r="C2544">
        <v>5001</v>
      </c>
    </row>
    <row r="2545" spans="1:3" ht="15" hidden="1" customHeight="1" x14ac:dyDescent="0.3">
      <c r="A2545" t="s">
        <v>211</v>
      </c>
      <c r="B2545" s="2">
        <v>45992</v>
      </c>
      <c r="C2545">
        <v>6707</v>
      </c>
    </row>
    <row r="2546" spans="1:3" ht="15" hidden="1" customHeight="1" x14ac:dyDescent="0.3">
      <c r="A2546" t="s">
        <v>211</v>
      </c>
      <c r="B2546" s="2">
        <v>46023</v>
      </c>
      <c r="C2546">
        <v>7171.5</v>
      </c>
    </row>
    <row r="2547" spans="1:3" ht="15" hidden="1" customHeight="1" x14ac:dyDescent="0.3">
      <c r="A2547" t="s">
        <v>211</v>
      </c>
      <c r="B2547" s="2">
        <v>46054</v>
      </c>
      <c r="C2547">
        <v>4844</v>
      </c>
    </row>
    <row r="2548" spans="1:3" ht="15" hidden="1" customHeight="1" x14ac:dyDescent="0.3">
      <c r="A2548" t="s">
        <v>211</v>
      </c>
      <c r="B2548" s="2">
        <v>46082</v>
      </c>
      <c r="C2548">
        <v>5410</v>
      </c>
    </row>
    <row r="2549" spans="1:3" ht="15" hidden="1" customHeight="1" x14ac:dyDescent="0.3">
      <c r="A2549" t="s">
        <v>211</v>
      </c>
      <c r="B2549" s="2">
        <v>46113</v>
      </c>
      <c r="C2549">
        <v>2815.5</v>
      </c>
    </row>
    <row r="2550" spans="1:3" ht="15" hidden="1" customHeight="1" x14ac:dyDescent="0.3">
      <c r="A2550" t="s">
        <v>211</v>
      </c>
      <c r="B2550" s="2">
        <v>46143</v>
      </c>
      <c r="C2550" s="12">
        <v>2205.5</v>
      </c>
    </row>
    <row r="2551" spans="1:3" ht="15" hidden="1" customHeight="1" x14ac:dyDescent="0.3">
      <c r="A2551" t="s">
        <v>211</v>
      </c>
      <c r="B2551" s="2">
        <v>46174</v>
      </c>
      <c r="C2551">
        <v>1921.8</v>
      </c>
    </row>
    <row r="2552" spans="1:3" ht="15" hidden="1" customHeight="1" x14ac:dyDescent="0.3">
      <c r="A2552" t="s">
        <v>194</v>
      </c>
      <c r="B2552" s="2">
        <v>46204</v>
      </c>
      <c r="C2552">
        <v>2690</v>
      </c>
    </row>
    <row r="2553" spans="1:3" ht="15" hidden="1" customHeight="1" x14ac:dyDescent="0.3">
      <c r="A2553" t="s">
        <v>211</v>
      </c>
      <c r="B2553" s="2">
        <v>46235</v>
      </c>
      <c r="C2553">
        <v>4145</v>
      </c>
    </row>
    <row r="2554" spans="1:3" ht="15" customHeight="1" x14ac:dyDescent="0.3">
      <c r="A2554" t="s">
        <v>211</v>
      </c>
      <c r="B2554" s="2">
        <v>46266</v>
      </c>
      <c r="C2554" s="47">
        <v>3820.9749139999999</v>
      </c>
    </row>
    <row r="2555" spans="1:3" ht="15" hidden="1" customHeight="1" x14ac:dyDescent="0.3">
      <c r="A2555" t="s">
        <v>211</v>
      </c>
      <c r="B2555" s="2">
        <v>46296</v>
      </c>
    </row>
    <row r="2556" spans="1:3" ht="15" hidden="1" customHeight="1" x14ac:dyDescent="0.3">
      <c r="A2556" t="s">
        <v>211</v>
      </c>
      <c r="B2556" s="2">
        <v>46327</v>
      </c>
    </row>
    <row r="2557" spans="1:3" ht="15" hidden="1" customHeight="1" x14ac:dyDescent="0.3">
      <c r="A2557" t="s">
        <v>211</v>
      </c>
      <c r="B2557" s="2">
        <v>46357</v>
      </c>
    </row>
    <row r="2558" spans="1:3" ht="15" hidden="1" customHeight="1" x14ac:dyDescent="0.3">
      <c r="A2558" t="s">
        <v>202</v>
      </c>
      <c r="B2558" s="2">
        <v>45292</v>
      </c>
      <c r="C2558">
        <v>17892</v>
      </c>
    </row>
    <row r="2559" spans="1:3" ht="15" hidden="1" customHeight="1" x14ac:dyDescent="0.3">
      <c r="A2559" t="s">
        <v>202</v>
      </c>
      <c r="B2559" s="2">
        <v>45323</v>
      </c>
      <c r="C2559">
        <v>15929</v>
      </c>
    </row>
    <row r="2560" spans="1:3" ht="15" hidden="1" customHeight="1" x14ac:dyDescent="0.3">
      <c r="A2560" t="s">
        <v>202</v>
      </c>
      <c r="B2560" s="2">
        <v>45352</v>
      </c>
      <c r="C2560">
        <v>18524</v>
      </c>
    </row>
    <row r="2561" spans="1:3" ht="15" hidden="1" customHeight="1" x14ac:dyDescent="0.3">
      <c r="A2561" t="s">
        <v>202</v>
      </c>
      <c r="B2561" s="2">
        <v>45383</v>
      </c>
      <c r="C2561">
        <v>13076</v>
      </c>
    </row>
    <row r="2562" spans="1:3" ht="15" hidden="1" customHeight="1" x14ac:dyDescent="0.3">
      <c r="A2562" t="s">
        <v>202</v>
      </c>
      <c r="B2562" s="2">
        <v>45413</v>
      </c>
      <c r="C2562">
        <v>17640</v>
      </c>
    </row>
    <row r="2563" spans="1:3" ht="15" hidden="1" customHeight="1" x14ac:dyDescent="0.3">
      <c r="A2563" t="s">
        <v>202</v>
      </c>
      <c r="B2563" s="2">
        <v>45444</v>
      </c>
      <c r="C2563">
        <v>14642</v>
      </c>
    </row>
    <row r="2564" spans="1:3" ht="15" hidden="1" customHeight="1" x14ac:dyDescent="0.3">
      <c r="A2564" t="s">
        <v>202</v>
      </c>
      <c r="B2564" s="2">
        <v>45474</v>
      </c>
      <c r="C2564">
        <v>15002</v>
      </c>
    </row>
    <row r="2565" spans="1:3" ht="15" hidden="1" customHeight="1" x14ac:dyDescent="0.3">
      <c r="A2565" t="s">
        <v>202</v>
      </c>
      <c r="B2565" s="2">
        <v>45505</v>
      </c>
      <c r="C2565">
        <v>20792</v>
      </c>
    </row>
    <row r="2566" spans="1:3" ht="15" hidden="1" customHeight="1" x14ac:dyDescent="0.3">
      <c r="A2566" t="s">
        <v>202</v>
      </c>
      <c r="B2566" s="2">
        <v>45536</v>
      </c>
      <c r="C2566">
        <v>20898</v>
      </c>
    </row>
    <row r="2567" spans="1:3" ht="15" hidden="1" customHeight="1" x14ac:dyDescent="0.3">
      <c r="A2567" t="s">
        <v>202</v>
      </c>
      <c r="B2567" s="2">
        <v>45566</v>
      </c>
      <c r="C2567">
        <v>30325</v>
      </c>
    </row>
    <row r="2568" spans="1:3" ht="15" hidden="1" customHeight="1" x14ac:dyDescent="0.3">
      <c r="A2568" t="s">
        <v>202</v>
      </c>
      <c r="B2568" s="2">
        <v>45597</v>
      </c>
      <c r="C2568">
        <v>27930</v>
      </c>
    </row>
    <row r="2569" spans="1:3" ht="15" hidden="1" customHeight="1" x14ac:dyDescent="0.3">
      <c r="A2569" t="s">
        <v>202</v>
      </c>
      <c r="B2569" s="2">
        <v>45627</v>
      </c>
      <c r="C2569">
        <v>17653</v>
      </c>
    </row>
    <row r="2570" spans="1:3" ht="15" hidden="1" customHeight="1" x14ac:dyDescent="0.3">
      <c r="A2570" t="s">
        <v>202</v>
      </c>
      <c r="B2570" s="2">
        <v>45658</v>
      </c>
      <c r="C2570">
        <v>23957</v>
      </c>
    </row>
    <row r="2571" spans="1:3" ht="15" hidden="1" customHeight="1" x14ac:dyDescent="0.3">
      <c r="A2571" t="s">
        <v>202</v>
      </c>
      <c r="B2571" s="2">
        <v>45689</v>
      </c>
      <c r="C2571">
        <v>19898</v>
      </c>
    </row>
    <row r="2572" spans="1:3" ht="15" hidden="1" customHeight="1" x14ac:dyDescent="0.3">
      <c r="A2572" t="s">
        <v>202</v>
      </c>
      <c r="B2572" s="2">
        <v>45717</v>
      </c>
      <c r="C2572">
        <v>18434</v>
      </c>
    </row>
    <row r="2573" spans="1:3" ht="15" hidden="1" customHeight="1" x14ac:dyDescent="0.3">
      <c r="A2573" t="s">
        <v>202</v>
      </c>
      <c r="B2573" s="2">
        <v>45748</v>
      </c>
      <c r="C2573">
        <v>16717</v>
      </c>
    </row>
    <row r="2574" spans="1:3" ht="15" hidden="1" customHeight="1" x14ac:dyDescent="0.3">
      <c r="A2574" t="s">
        <v>202</v>
      </c>
      <c r="B2574" s="2">
        <v>45778</v>
      </c>
      <c r="C2574">
        <v>19518</v>
      </c>
    </row>
    <row r="2575" spans="1:3" ht="15" hidden="1" customHeight="1" x14ac:dyDescent="0.3">
      <c r="A2575" t="s">
        <v>202</v>
      </c>
      <c r="B2575" s="2">
        <v>45809</v>
      </c>
      <c r="C2575">
        <v>16703.900000000001</v>
      </c>
    </row>
    <row r="2576" spans="1:3" ht="15" hidden="1" customHeight="1" x14ac:dyDescent="0.3">
      <c r="A2576" t="s">
        <v>202</v>
      </c>
      <c r="B2576" s="2">
        <v>45839</v>
      </c>
      <c r="C2576">
        <v>17442.419999999998</v>
      </c>
    </row>
    <row r="2577" spans="1:3" ht="15" hidden="1" customHeight="1" x14ac:dyDescent="0.3">
      <c r="A2577" t="s">
        <v>202</v>
      </c>
      <c r="B2577" s="2">
        <v>45870</v>
      </c>
      <c r="C2577">
        <v>21419</v>
      </c>
    </row>
    <row r="2578" spans="1:3" ht="15" hidden="1" customHeight="1" x14ac:dyDescent="0.3">
      <c r="A2578" t="s">
        <v>202</v>
      </c>
      <c r="B2578" s="2">
        <v>45901</v>
      </c>
      <c r="C2578">
        <v>19487</v>
      </c>
    </row>
    <row r="2579" spans="1:3" ht="15" hidden="1" customHeight="1" x14ac:dyDescent="0.3">
      <c r="A2579" t="s">
        <v>202</v>
      </c>
      <c r="B2579" s="2">
        <v>45931</v>
      </c>
      <c r="C2579">
        <v>25859.040000000001</v>
      </c>
    </row>
    <row r="2580" spans="1:3" ht="15" hidden="1" customHeight="1" x14ac:dyDescent="0.3">
      <c r="A2580" t="s">
        <v>202</v>
      </c>
      <c r="B2580" s="2">
        <v>45962</v>
      </c>
      <c r="C2580">
        <v>23228</v>
      </c>
    </row>
    <row r="2581" spans="1:3" ht="15" hidden="1" customHeight="1" x14ac:dyDescent="0.3">
      <c r="A2581" t="s">
        <v>202</v>
      </c>
      <c r="B2581" s="2">
        <v>45992</v>
      </c>
      <c r="C2581">
        <v>13257</v>
      </c>
    </row>
    <row r="2582" spans="1:3" ht="15" hidden="1" customHeight="1" x14ac:dyDescent="0.3">
      <c r="A2582" t="s">
        <v>202</v>
      </c>
      <c r="B2582" s="2">
        <v>46023</v>
      </c>
      <c r="C2582">
        <v>24628</v>
      </c>
    </row>
    <row r="2583" spans="1:3" ht="15" hidden="1" customHeight="1" x14ac:dyDescent="0.3">
      <c r="A2583" t="s">
        <v>202</v>
      </c>
      <c r="B2583" s="2">
        <v>46054</v>
      </c>
      <c r="C2583">
        <v>24848.5</v>
      </c>
    </row>
    <row r="2584" spans="1:3" ht="15" hidden="1" customHeight="1" x14ac:dyDescent="0.3">
      <c r="A2584" t="s">
        <v>202</v>
      </c>
      <c r="B2584" s="2">
        <v>46082</v>
      </c>
      <c r="C2584">
        <v>20359</v>
      </c>
    </row>
    <row r="2585" spans="1:3" ht="15" hidden="1" customHeight="1" x14ac:dyDescent="0.3">
      <c r="A2585" t="s">
        <v>202</v>
      </c>
      <c r="B2585" s="2">
        <v>46113</v>
      </c>
      <c r="C2585">
        <v>17480.97</v>
      </c>
    </row>
    <row r="2586" spans="1:3" ht="15" hidden="1" customHeight="1" x14ac:dyDescent="0.3">
      <c r="A2586" t="s">
        <v>202</v>
      </c>
      <c r="B2586" s="2">
        <v>46143</v>
      </c>
      <c r="C2586" s="12">
        <v>17505.34</v>
      </c>
    </row>
    <row r="2587" spans="1:3" ht="15" hidden="1" customHeight="1" x14ac:dyDescent="0.3">
      <c r="A2587" t="s">
        <v>218</v>
      </c>
      <c r="B2587" s="2">
        <v>46174</v>
      </c>
      <c r="C2587">
        <v>4827</v>
      </c>
    </row>
    <row r="2588" spans="1:3" ht="15" hidden="1" customHeight="1" x14ac:dyDescent="0.3">
      <c r="A2588" t="s">
        <v>196</v>
      </c>
      <c r="B2588" s="2">
        <v>46204</v>
      </c>
      <c r="C2588">
        <v>3037</v>
      </c>
    </row>
    <row r="2589" spans="1:3" ht="15" hidden="1" customHeight="1" x14ac:dyDescent="0.3">
      <c r="A2589" t="s">
        <v>202</v>
      </c>
      <c r="B2589" s="2">
        <v>46235</v>
      </c>
      <c r="C2589">
        <v>18697</v>
      </c>
    </row>
    <row r="2590" spans="1:3" ht="15" customHeight="1" x14ac:dyDescent="0.3">
      <c r="A2590" t="s">
        <v>202</v>
      </c>
      <c r="B2590" s="2">
        <v>46266</v>
      </c>
      <c r="C2590" s="47">
        <v>19614.48</v>
      </c>
    </row>
    <row r="2591" spans="1:3" ht="15" hidden="1" customHeight="1" x14ac:dyDescent="0.3">
      <c r="A2591" t="s">
        <v>202</v>
      </c>
      <c r="B2591" s="2">
        <v>46296</v>
      </c>
    </row>
    <row r="2592" spans="1:3" ht="15" hidden="1" customHeight="1" x14ac:dyDescent="0.3">
      <c r="A2592" t="s">
        <v>202</v>
      </c>
      <c r="B2592" s="2">
        <v>46327</v>
      </c>
    </row>
    <row r="2593" spans="1:2" ht="15" hidden="1" customHeight="1" x14ac:dyDescent="0.3">
      <c r="A2593" t="s">
        <v>202</v>
      </c>
      <c r="B2593" s="2">
        <v>46357</v>
      </c>
    </row>
    <row r="2594" spans="1:2" ht="15" hidden="1" customHeight="1" x14ac:dyDescent="0.3">
      <c r="A2594" t="s">
        <v>206</v>
      </c>
      <c r="B2594" s="2">
        <v>45292</v>
      </c>
    </row>
    <row r="2595" spans="1:2" ht="15" hidden="1" customHeight="1" x14ac:dyDescent="0.3">
      <c r="A2595" t="s">
        <v>206</v>
      </c>
      <c r="B2595" s="2">
        <v>45323</v>
      </c>
    </row>
    <row r="2596" spans="1:2" ht="15" hidden="1" customHeight="1" x14ac:dyDescent="0.3">
      <c r="A2596" t="s">
        <v>206</v>
      </c>
      <c r="B2596" s="2">
        <v>45352</v>
      </c>
    </row>
    <row r="2597" spans="1:2" ht="15" hidden="1" customHeight="1" x14ac:dyDescent="0.3">
      <c r="A2597" t="s">
        <v>206</v>
      </c>
      <c r="B2597" s="2">
        <v>45383</v>
      </c>
    </row>
    <row r="2598" spans="1:2" ht="15" hidden="1" customHeight="1" x14ac:dyDescent="0.3">
      <c r="A2598" t="s">
        <v>206</v>
      </c>
      <c r="B2598" s="2">
        <v>45413</v>
      </c>
    </row>
    <row r="2599" spans="1:2" ht="15" hidden="1" customHeight="1" x14ac:dyDescent="0.3">
      <c r="A2599" t="s">
        <v>206</v>
      </c>
      <c r="B2599" s="2">
        <v>45444</v>
      </c>
    </row>
    <row r="2600" spans="1:2" ht="15" hidden="1" customHeight="1" x14ac:dyDescent="0.3">
      <c r="A2600" t="s">
        <v>206</v>
      </c>
      <c r="B2600" s="2">
        <v>45474</v>
      </c>
    </row>
    <row r="2601" spans="1:2" ht="15" hidden="1" customHeight="1" x14ac:dyDescent="0.3">
      <c r="A2601" t="s">
        <v>206</v>
      </c>
      <c r="B2601" s="2">
        <v>45505</v>
      </c>
    </row>
    <row r="2602" spans="1:2" ht="15" hidden="1" customHeight="1" x14ac:dyDescent="0.3">
      <c r="A2602" t="s">
        <v>206</v>
      </c>
      <c r="B2602" s="2">
        <v>45536</v>
      </c>
    </row>
    <row r="2603" spans="1:2" ht="15" hidden="1" customHeight="1" x14ac:dyDescent="0.3">
      <c r="A2603" t="s">
        <v>206</v>
      </c>
      <c r="B2603" s="2">
        <v>45566</v>
      </c>
    </row>
    <row r="2604" spans="1:2" ht="15" hidden="1" customHeight="1" x14ac:dyDescent="0.3">
      <c r="A2604" t="s">
        <v>206</v>
      </c>
      <c r="B2604" s="2">
        <v>45597</v>
      </c>
    </row>
    <row r="2605" spans="1:2" ht="15" hidden="1" customHeight="1" x14ac:dyDescent="0.3">
      <c r="A2605" t="s">
        <v>206</v>
      </c>
      <c r="B2605" s="2">
        <v>45627</v>
      </c>
    </row>
    <row r="2606" spans="1:2" ht="15" hidden="1" customHeight="1" x14ac:dyDescent="0.3">
      <c r="A2606" t="s">
        <v>206</v>
      </c>
      <c r="B2606" s="2">
        <v>45658</v>
      </c>
    </row>
    <row r="2607" spans="1:2" ht="15" hidden="1" customHeight="1" x14ac:dyDescent="0.3">
      <c r="A2607" t="s">
        <v>206</v>
      </c>
      <c r="B2607" s="2">
        <v>45689</v>
      </c>
    </row>
    <row r="2608" spans="1:2" ht="15" hidden="1" customHeight="1" x14ac:dyDescent="0.3">
      <c r="A2608" t="s">
        <v>206</v>
      </c>
      <c r="B2608" s="2">
        <v>45717</v>
      </c>
    </row>
    <row r="2609" spans="1:3" ht="15" hidden="1" customHeight="1" x14ac:dyDescent="0.3">
      <c r="A2609" t="s">
        <v>206</v>
      </c>
      <c r="B2609" s="2">
        <v>45748</v>
      </c>
    </row>
    <row r="2610" spans="1:3" ht="15" hidden="1" customHeight="1" x14ac:dyDescent="0.3">
      <c r="A2610" t="s">
        <v>206</v>
      </c>
      <c r="B2610" s="2">
        <v>45778</v>
      </c>
    </row>
    <row r="2611" spans="1:3" ht="15" hidden="1" customHeight="1" x14ac:dyDescent="0.3">
      <c r="A2611" t="s">
        <v>206</v>
      </c>
      <c r="B2611" s="2">
        <v>45809</v>
      </c>
    </row>
    <row r="2612" spans="1:3" ht="15" hidden="1" customHeight="1" x14ac:dyDescent="0.3">
      <c r="A2612" t="s">
        <v>206</v>
      </c>
      <c r="B2612" s="2">
        <v>45839</v>
      </c>
    </row>
    <row r="2613" spans="1:3" ht="15" hidden="1" customHeight="1" x14ac:dyDescent="0.3">
      <c r="A2613" t="s">
        <v>206</v>
      </c>
      <c r="B2613" s="2">
        <v>45870</v>
      </c>
    </row>
    <row r="2614" spans="1:3" ht="15" hidden="1" customHeight="1" x14ac:dyDescent="0.3">
      <c r="A2614" t="s">
        <v>206</v>
      </c>
      <c r="B2614" s="2">
        <v>45901</v>
      </c>
    </row>
    <row r="2615" spans="1:3" ht="15" hidden="1" customHeight="1" x14ac:dyDescent="0.3">
      <c r="A2615" t="s">
        <v>206</v>
      </c>
      <c r="B2615" s="2">
        <v>45931</v>
      </c>
    </row>
    <row r="2616" spans="1:3" ht="15" hidden="1" customHeight="1" x14ac:dyDescent="0.3">
      <c r="A2616" t="s">
        <v>206</v>
      </c>
      <c r="B2616" s="2">
        <v>45962</v>
      </c>
    </row>
    <row r="2617" spans="1:3" ht="15" hidden="1" customHeight="1" x14ac:dyDescent="0.3">
      <c r="A2617" t="s">
        <v>206</v>
      </c>
      <c r="B2617" s="2">
        <v>45992</v>
      </c>
    </row>
    <row r="2618" spans="1:3" ht="15" hidden="1" customHeight="1" x14ac:dyDescent="0.3">
      <c r="A2618" t="s">
        <v>206</v>
      </c>
      <c r="B2618" s="2">
        <v>46023</v>
      </c>
    </row>
    <row r="2619" spans="1:3" ht="15" hidden="1" customHeight="1" x14ac:dyDescent="0.3">
      <c r="A2619" t="s">
        <v>206</v>
      </c>
      <c r="B2619" s="2">
        <v>46054</v>
      </c>
    </row>
    <row r="2620" spans="1:3" ht="15" hidden="1" customHeight="1" x14ac:dyDescent="0.3">
      <c r="A2620" t="s">
        <v>206</v>
      </c>
      <c r="B2620" s="2">
        <v>46082</v>
      </c>
    </row>
    <row r="2621" spans="1:3" ht="15" hidden="1" customHeight="1" x14ac:dyDescent="0.3">
      <c r="A2621" t="s">
        <v>206</v>
      </c>
      <c r="B2621" s="2">
        <v>46113</v>
      </c>
    </row>
    <row r="2622" spans="1:3" ht="15" hidden="1" customHeight="1" x14ac:dyDescent="0.3">
      <c r="A2622" t="s">
        <v>206</v>
      </c>
      <c r="B2622" s="2">
        <v>46143</v>
      </c>
      <c r="C2622" s="12"/>
    </row>
    <row r="2623" spans="1:3" ht="15" hidden="1" customHeight="1" x14ac:dyDescent="0.3">
      <c r="A2623" t="s">
        <v>206</v>
      </c>
      <c r="B2623" s="2">
        <v>46174</v>
      </c>
      <c r="C2623">
        <v>0</v>
      </c>
    </row>
    <row r="2624" spans="1:3" ht="15" hidden="1" customHeight="1" x14ac:dyDescent="0.3">
      <c r="A2624" t="s">
        <v>1013</v>
      </c>
      <c r="B2624" s="2">
        <v>46204</v>
      </c>
      <c r="C2624">
        <v>10958.825586000001</v>
      </c>
    </row>
    <row r="2625" spans="1:3" ht="15" hidden="1" customHeight="1" x14ac:dyDescent="0.3">
      <c r="A2625" t="s">
        <v>206</v>
      </c>
      <c r="B2625" s="2">
        <v>46235</v>
      </c>
    </row>
    <row r="2626" spans="1:3" x14ac:dyDescent="0.3">
      <c r="A2626" t="s">
        <v>206</v>
      </c>
      <c r="B2626" s="2">
        <v>46266</v>
      </c>
      <c r="C2626" s="47"/>
    </row>
    <row r="2627" spans="1:3" ht="15" hidden="1" customHeight="1" x14ac:dyDescent="0.3">
      <c r="A2627" t="s">
        <v>206</v>
      </c>
      <c r="B2627" s="2">
        <v>46296</v>
      </c>
    </row>
    <row r="2628" spans="1:3" ht="15" hidden="1" customHeight="1" x14ac:dyDescent="0.3">
      <c r="A2628" t="s">
        <v>206</v>
      </c>
      <c r="B2628" s="2">
        <v>46327</v>
      </c>
    </row>
    <row r="2629" spans="1:3" ht="15" hidden="1" customHeight="1" x14ac:dyDescent="0.3">
      <c r="A2629" t="s">
        <v>206</v>
      </c>
      <c r="B2629" s="2">
        <v>46357</v>
      </c>
    </row>
    <row r="2630" spans="1:3" ht="14.25" hidden="1" customHeight="1" x14ac:dyDescent="0.3">
      <c r="A2630" t="s">
        <v>244</v>
      </c>
      <c r="B2630" s="2">
        <v>46113</v>
      </c>
      <c r="C2630">
        <v>10820</v>
      </c>
    </row>
    <row r="2631" spans="1:3" hidden="1" x14ac:dyDescent="0.3">
      <c r="A2631" s="12" t="s">
        <v>244</v>
      </c>
      <c r="B2631" s="2">
        <v>46143</v>
      </c>
      <c r="C2631" s="12">
        <v>11820</v>
      </c>
    </row>
    <row r="2632" spans="1:3" hidden="1" x14ac:dyDescent="0.3">
      <c r="A2632" s="12" t="s">
        <v>251</v>
      </c>
      <c r="B2632" s="2">
        <v>46143</v>
      </c>
      <c r="C2632" s="12">
        <v>17630</v>
      </c>
    </row>
    <row r="2633" spans="1:3" hidden="1" x14ac:dyDescent="0.3">
      <c r="A2633" s="12" t="s">
        <v>250</v>
      </c>
      <c r="B2633" s="2">
        <v>46143</v>
      </c>
      <c r="C2633" s="12">
        <v>27917.200000000001</v>
      </c>
    </row>
    <row r="2634" spans="1:3" hidden="1" x14ac:dyDescent="0.3">
      <c r="A2634" t="s">
        <v>271</v>
      </c>
      <c r="B2634" s="2">
        <v>45292</v>
      </c>
    </row>
    <row r="2635" spans="1:3" hidden="1" x14ac:dyDescent="0.3">
      <c r="A2635" t="s">
        <v>271</v>
      </c>
      <c r="B2635" s="2">
        <v>45323</v>
      </c>
    </row>
    <row r="2636" spans="1:3" hidden="1" x14ac:dyDescent="0.3">
      <c r="A2636" t="s">
        <v>271</v>
      </c>
      <c r="B2636" s="2">
        <v>45352</v>
      </c>
    </row>
    <row r="2637" spans="1:3" hidden="1" x14ac:dyDescent="0.3">
      <c r="A2637" t="s">
        <v>271</v>
      </c>
      <c r="B2637" s="2">
        <v>45383</v>
      </c>
    </row>
    <row r="2638" spans="1:3" hidden="1" x14ac:dyDescent="0.3">
      <c r="A2638" t="s">
        <v>271</v>
      </c>
      <c r="B2638" s="2">
        <v>45413</v>
      </c>
    </row>
    <row r="2639" spans="1:3" hidden="1" x14ac:dyDescent="0.3">
      <c r="A2639" t="s">
        <v>271</v>
      </c>
      <c r="B2639" s="2">
        <v>45444</v>
      </c>
    </row>
    <row r="2640" spans="1:3" hidden="1" x14ac:dyDescent="0.3">
      <c r="A2640" t="s">
        <v>271</v>
      </c>
      <c r="B2640" s="2">
        <v>45474</v>
      </c>
    </row>
    <row r="2641" spans="1:2" hidden="1" x14ac:dyDescent="0.3">
      <c r="A2641" t="s">
        <v>271</v>
      </c>
      <c r="B2641" s="2">
        <v>45505</v>
      </c>
    </row>
    <row r="2642" spans="1:2" hidden="1" x14ac:dyDescent="0.3">
      <c r="A2642" t="s">
        <v>271</v>
      </c>
      <c r="B2642" s="2">
        <v>45536</v>
      </c>
    </row>
    <row r="2643" spans="1:2" hidden="1" x14ac:dyDescent="0.3">
      <c r="A2643" t="s">
        <v>271</v>
      </c>
      <c r="B2643" s="2">
        <v>45566</v>
      </c>
    </row>
    <row r="2644" spans="1:2" hidden="1" x14ac:dyDescent="0.3">
      <c r="A2644" t="s">
        <v>271</v>
      </c>
      <c r="B2644" s="2">
        <v>45597</v>
      </c>
    </row>
    <row r="2645" spans="1:2" hidden="1" x14ac:dyDescent="0.3">
      <c r="A2645" t="s">
        <v>271</v>
      </c>
      <c r="B2645" s="2">
        <v>45627</v>
      </c>
    </row>
    <row r="2646" spans="1:2" hidden="1" x14ac:dyDescent="0.3">
      <c r="A2646" t="s">
        <v>271</v>
      </c>
      <c r="B2646" s="2">
        <v>45658</v>
      </c>
    </row>
    <row r="2647" spans="1:2" hidden="1" x14ac:dyDescent="0.3">
      <c r="A2647" t="s">
        <v>271</v>
      </c>
      <c r="B2647" s="2">
        <v>45689</v>
      </c>
    </row>
    <row r="2648" spans="1:2" hidden="1" x14ac:dyDescent="0.3">
      <c r="A2648" t="s">
        <v>271</v>
      </c>
      <c r="B2648" s="2">
        <v>45717</v>
      </c>
    </row>
    <row r="2649" spans="1:2" hidden="1" x14ac:dyDescent="0.3">
      <c r="A2649" t="s">
        <v>271</v>
      </c>
      <c r="B2649" s="2">
        <v>45748</v>
      </c>
    </row>
    <row r="2650" spans="1:2" hidden="1" x14ac:dyDescent="0.3">
      <c r="A2650" t="s">
        <v>271</v>
      </c>
      <c r="B2650" s="2">
        <v>45778</v>
      </c>
    </row>
    <row r="2651" spans="1:2" hidden="1" x14ac:dyDescent="0.3">
      <c r="A2651" t="s">
        <v>271</v>
      </c>
      <c r="B2651" s="2">
        <v>45809</v>
      </c>
    </row>
    <row r="2652" spans="1:2" hidden="1" x14ac:dyDescent="0.3">
      <c r="A2652" t="s">
        <v>271</v>
      </c>
      <c r="B2652" s="2">
        <v>45839</v>
      </c>
    </row>
    <row r="2653" spans="1:2" hidden="1" x14ac:dyDescent="0.3">
      <c r="A2653" t="s">
        <v>271</v>
      </c>
      <c r="B2653" s="2">
        <v>45870</v>
      </c>
    </row>
    <row r="2654" spans="1:2" hidden="1" x14ac:dyDescent="0.3">
      <c r="A2654" t="s">
        <v>271</v>
      </c>
      <c r="B2654" s="2">
        <v>45901</v>
      </c>
    </row>
    <row r="2655" spans="1:2" hidden="1" x14ac:dyDescent="0.3">
      <c r="A2655" t="s">
        <v>271</v>
      </c>
      <c r="B2655" s="2">
        <v>45931</v>
      </c>
    </row>
    <row r="2656" spans="1:2" hidden="1" x14ac:dyDescent="0.3">
      <c r="A2656" t="s">
        <v>271</v>
      </c>
      <c r="B2656" s="2">
        <v>45962</v>
      </c>
    </row>
    <row r="2657" spans="1:3" hidden="1" x14ac:dyDescent="0.3">
      <c r="A2657" t="s">
        <v>271</v>
      </c>
      <c r="B2657" s="2">
        <v>45992</v>
      </c>
    </row>
    <row r="2658" spans="1:3" hidden="1" x14ac:dyDescent="0.3">
      <c r="A2658" t="s">
        <v>271</v>
      </c>
      <c r="B2658" s="2">
        <v>46023</v>
      </c>
    </row>
    <row r="2659" spans="1:3" hidden="1" x14ac:dyDescent="0.3">
      <c r="A2659" t="s">
        <v>271</v>
      </c>
      <c r="B2659" s="2">
        <v>46054</v>
      </c>
    </row>
    <row r="2660" spans="1:3" hidden="1" x14ac:dyDescent="0.3">
      <c r="A2660" t="s">
        <v>271</v>
      </c>
      <c r="B2660" s="2">
        <v>46082</v>
      </c>
    </row>
    <row r="2661" spans="1:3" hidden="1" x14ac:dyDescent="0.3">
      <c r="A2661" t="s">
        <v>271</v>
      </c>
      <c r="B2661" s="2">
        <v>46113</v>
      </c>
    </row>
    <row r="2662" spans="1:3" hidden="1" x14ac:dyDescent="0.3">
      <c r="A2662" t="s">
        <v>271</v>
      </c>
      <c r="B2662" s="2">
        <v>46143</v>
      </c>
    </row>
    <row r="2663" spans="1:3" hidden="1" x14ac:dyDescent="0.3">
      <c r="A2663" t="s">
        <v>194</v>
      </c>
      <c r="B2663" s="2">
        <v>46174</v>
      </c>
      <c r="C2663">
        <v>2444</v>
      </c>
    </row>
    <row r="2664" spans="1:3" hidden="1" x14ac:dyDescent="0.3">
      <c r="A2664" t="s">
        <v>199</v>
      </c>
      <c r="B2664" s="2">
        <v>46204</v>
      </c>
      <c r="C2664">
        <v>2200.69</v>
      </c>
    </row>
    <row r="2665" spans="1:3" hidden="1" x14ac:dyDescent="0.3">
      <c r="A2665" t="s">
        <v>271</v>
      </c>
      <c r="B2665" s="2">
        <v>46235</v>
      </c>
      <c r="C2665">
        <v>14833.727999999999</v>
      </c>
    </row>
    <row r="2666" spans="1:3" x14ac:dyDescent="0.3">
      <c r="A2666" t="s">
        <v>271</v>
      </c>
      <c r="B2666" s="2">
        <v>46266</v>
      </c>
      <c r="C2666" s="47">
        <v>12896.9249</v>
      </c>
    </row>
    <row r="2667" spans="1:3" hidden="1" x14ac:dyDescent="0.3">
      <c r="A2667" t="s">
        <v>271</v>
      </c>
      <c r="B2667" s="2">
        <v>46296</v>
      </c>
    </row>
    <row r="2668" spans="1:3" hidden="1" x14ac:dyDescent="0.3">
      <c r="A2668" t="s">
        <v>271</v>
      </c>
      <c r="B2668" s="2">
        <v>46327</v>
      </c>
    </row>
    <row r="2669" spans="1:3" hidden="1" x14ac:dyDescent="0.3">
      <c r="A2669" t="s">
        <v>271</v>
      </c>
      <c r="B2669" s="2">
        <v>46357</v>
      </c>
    </row>
    <row r="2670" spans="1:3" hidden="1" x14ac:dyDescent="0.3">
      <c r="A2670" t="s">
        <v>250</v>
      </c>
      <c r="B2670" s="2">
        <v>45292</v>
      </c>
    </row>
    <row r="2671" spans="1:3" hidden="1" x14ac:dyDescent="0.3">
      <c r="A2671" t="s">
        <v>250</v>
      </c>
      <c r="B2671" s="2">
        <v>45323</v>
      </c>
    </row>
    <row r="2672" spans="1:3" hidden="1" x14ac:dyDescent="0.3">
      <c r="A2672" t="s">
        <v>250</v>
      </c>
      <c r="B2672" s="2">
        <v>45352</v>
      </c>
    </row>
    <row r="2673" spans="1:2" hidden="1" x14ac:dyDescent="0.3">
      <c r="A2673" t="s">
        <v>250</v>
      </c>
      <c r="B2673" s="2">
        <v>45383</v>
      </c>
    </row>
    <row r="2674" spans="1:2" hidden="1" x14ac:dyDescent="0.3">
      <c r="A2674" t="s">
        <v>250</v>
      </c>
      <c r="B2674" s="2">
        <v>45413</v>
      </c>
    </row>
    <row r="2675" spans="1:2" hidden="1" x14ac:dyDescent="0.3">
      <c r="A2675" t="s">
        <v>250</v>
      </c>
      <c r="B2675" s="2">
        <v>45444</v>
      </c>
    </row>
    <row r="2676" spans="1:2" hidden="1" x14ac:dyDescent="0.3">
      <c r="A2676" t="s">
        <v>250</v>
      </c>
      <c r="B2676" s="2">
        <v>45474</v>
      </c>
    </row>
    <row r="2677" spans="1:2" hidden="1" x14ac:dyDescent="0.3">
      <c r="A2677" t="s">
        <v>250</v>
      </c>
      <c r="B2677" s="2">
        <v>45505</v>
      </c>
    </row>
    <row r="2678" spans="1:2" hidden="1" x14ac:dyDescent="0.3">
      <c r="A2678" t="s">
        <v>250</v>
      </c>
      <c r="B2678" s="2">
        <v>45536</v>
      </c>
    </row>
    <row r="2679" spans="1:2" hidden="1" x14ac:dyDescent="0.3">
      <c r="A2679" t="s">
        <v>250</v>
      </c>
      <c r="B2679" s="2">
        <v>45566</v>
      </c>
    </row>
    <row r="2680" spans="1:2" hidden="1" x14ac:dyDescent="0.3">
      <c r="A2680" t="s">
        <v>250</v>
      </c>
      <c r="B2680" s="2">
        <v>45597</v>
      </c>
    </row>
    <row r="2681" spans="1:2" hidden="1" x14ac:dyDescent="0.3">
      <c r="A2681" t="s">
        <v>250</v>
      </c>
      <c r="B2681" s="2">
        <v>45627</v>
      </c>
    </row>
    <row r="2682" spans="1:2" hidden="1" x14ac:dyDescent="0.3">
      <c r="A2682" t="s">
        <v>250</v>
      </c>
      <c r="B2682" s="2">
        <v>45658</v>
      </c>
    </row>
    <row r="2683" spans="1:2" hidden="1" x14ac:dyDescent="0.3">
      <c r="A2683" t="s">
        <v>250</v>
      </c>
      <c r="B2683" s="2">
        <v>45689</v>
      </c>
    </row>
    <row r="2684" spans="1:2" hidden="1" x14ac:dyDescent="0.3">
      <c r="A2684" t="s">
        <v>250</v>
      </c>
      <c r="B2684" s="2">
        <v>45717</v>
      </c>
    </row>
    <row r="2685" spans="1:2" hidden="1" x14ac:dyDescent="0.3">
      <c r="A2685" t="s">
        <v>250</v>
      </c>
      <c r="B2685" s="2">
        <v>45748</v>
      </c>
    </row>
    <row r="2686" spans="1:2" hidden="1" x14ac:dyDescent="0.3">
      <c r="A2686" t="s">
        <v>250</v>
      </c>
      <c r="B2686" s="2">
        <v>45778</v>
      </c>
    </row>
    <row r="2687" spans="1:2" hidden="1" x14ac:dyDescent="0.3">
      <c r="A2687" t="s">
        <v>250</v>
      </c>
      <c r="B2687" s="2">
        <v>45809</v>
      </c>
    </row>
    <row r="2688" spans="1:2" hidden="1" x14ac:dyDescent="0.3">
      <c r="A2688" t="s">
        <v>250</v>
      </c>
      <c r="B2688" s="2">
        <v>45839</v>
      </c>
    </row>
    <row r="2689" spans="1:3" hidden="1" x14ac:dyDescent="0.3">
      <c r="A2689" t="s">
        <v>250</v>
      </c>
      <c r="B2689" s="2">
        <v>45870</v>
      </c>
    </row>
    <row r="2690" spans="1:3" hidden="1" x14ac:dyDescent="0.3">
      <c r="A2690" t="s">
        <v>250</v>
      </c>
      <c r="B2690" s="2">
        <v>45901</v>
      </c>
    </row>
    <row r="2691" spans="1:3" hidden="1" x14ac:dyDescent="0.3">
      <c r="A2691" t="s">
        <v>250</v>
      </c>
      <c r="B2691" s="2">
        <v>45931</v>
      </c>
    </row>
    <row r="2692" spans="1:3" hidden="1" x14ac:dyDescent="0.3">
      <c r="A2692" t="s">
        <v>250</v>
      </c>
      <c r="B2692" s="2">
        <v>45962</v>
      </c>
    </row>
    <row r="2693" spans="1:3" hidden="1" x14ac:dyDescent="0.3">
      <c r="A2693" t="s">
        <v>250</v>
      </c>
      <c r="B2693" s="2">
        <v>45992</v>
      </c>
    </row>
    <row r="2694" spans="1:3" hidden="1" x14ac:dyDescent="0.3">
      <c r="A2694" t="s">
        <v>250</v>
      </c>
      <c r="B2694" s="2">
        <v>46023</v>
      </c>
    </row>
    <row r="2695" spans="1:3" hidden="1" x14ac:dyDescent="0.3">
      <c r="A2695" t="s">
        <v>250</v>
      </c>
      <c r="B2695" s="2">
        <v>46054</v>
      </c>
    </row>
    <row r="2696" spans="1:3" hidden="1" x14ac:dyDescent="0.3">
      <c r="A2696" t="s">
        <v>250</v>
      </c>
      <c r="B2696" s="2">
        <v>46082</v>
      </c>
    </row>
    <row r="2697" spans="1:3" hidden="1" x14ac:dyDescent="0.3">
      <c r="A2697" t="s">
        <v>250</v>
      </c>
      <c r="B2697" s="2">
        <v>46113</v>
      </c>
    </row>
    <row r="2698" spans="1:3" hidden="1" x14ac:dyDescent="0.3">
      <c r="A2698" t="s">
        <v>202</v>
      </c>
      <c r="B2698" s="2">
        <v>46174</v>
      </c>
      <c r="C2698">
        <v>11655</v>
      </c>
    </row>
    <row r="2699" spans="1:3" hidden="1" x14ac:dyDescent="0.3">
      <c r="A2699" t="s">
        <v>201</v>
      </c>
      <c r="B2699" s="2">
        <v>46204</v>
      </c>
      <c r="C2699">
        <v>9893.59</v>
      </c>
    </row>
    <row r="2700" spans="1:3" hidden="1" x14ac:dyDescent="0.3">
      <c r="A2700" t="s">
        <v>250</v>
      </c>
      <c r="B2700" s="2">
        <v>46235</v>
      </c>
      <c r="C2700">
        <v>29161</v>
      </c>
    </row>
    <row r="2701" spans="1:3" x14ac:dyDescent="0.3">
      <c r="A2701" t="s">
        <v>250</v>
      </c>
      <c r="B2701" s="2">
        <v>46266</v>
      </c>
      <c r="C2701" s="47">
        <v>21788</v>
      </c>
    </row>
    <row r="2702" spans="1:3" hidden="1" x14ac:dyDescent="0.3">
      <c r="A2702" t="s">
        <v>250</v>
      </c>
      <c r="B2702" s="2">
        <v>46296</v>
      </c>
    </row>
    <row r="2703" spans="1:3" hidden="1" x14ac:dyDescent="0.3">
      <c r="A2703" t="s">
        <v>250</v>
      </c>
      <c r="B2703" s="2">
        <v>46327</v>
      </c>
    </row>
    <row r="2704" spans="1:3" hidden="1" x14ac:dyDescent="0.3">
      <c r="A2704" t="s">
        <v>250</v>
      </c>
      <c r="B2704" s="2">
        <v>46357</v>
      </c>
    </row>
    <row r="2705" spans="1:3" hidden="1" x14ac:dyDescent="0.3">
      <c r="A2705" t="s">
        <v>211</v>
      </c>
      <c r="B2705" s="2">
        <v>46204</v>
      </c>
      <c r="C2705">
        <v>2292.6909999999998</v>
      </c>
    </row>
    <row r="2706" spans="1:3" hidden="1" x14ac:dyDescent="0.3">
      <c r="A2706" t="s">
        <v>1004</v>
      </c>
      <c r="B2706" s="2">
        <v>46204</v>
      </c>
      <c r="C2706">
        <v>4094.8841000000002</v>
      </c>
    </row>
    <row r="2707" spans="1:3" hidden="1" x14ac:dyDescent="0.3">
      <c r="A2707" t="s">
        <v>202</v>
      </c>
      <c r="B2707" s="2">
        <v>46204</v>
      </c>
      <c r="C2707">
        <v>14705</v>
      </c>
    </row>
    <row r="2708" spans="1:3" hidden="1" x14ac:dyDescent="0.3">
      <c r="A2708" t="s">
        <v>206</v>
      </c>
      <c r="B2708" s="2">
        <v>46204</v>
      </c>
      <c r="C2708">
        <v>0</v>
      </c>
    </row>
    <row r="2709" spans="1:3" hidden="1" x14ac:dyDescent="0.3">
      <c r="A2709" t="s">
        <v>251</v>
      </c>
      <c r="B2709" s="2">
        <v>46235</v>
      </c>
      <c r="C2709">
        <v>19960.113000000001</v>
      </c>
    </row>
    <row r="2710" spans="1:3" hidden="1" x14ac:dyDescent="0.3">
      <c r="A2710" t="s">
        <v>244</v>
      </c>
      <c r="B2710" s="2">
        <v>46235</v>
      </c>
      <c r="C2710">
        <v>9230</v>
      </c>
    </row>
    <row r="2711" spans="1:3" hidden="1" x14ac:dyDescent="0.3">
      <c r="A2711" t="s">
        <v>1013</v>
      </c>
      <c r="B2711" s="2">
        <v>46235</v>
      </c>
      <c r="C2711">
        <v>13767.458000000001</v>
      </c>
    </row>
    <row r="2712" spans="1:3" hidden="1" x14ac:dyDescent="0.3">
      <c r="A2712" t="s">
        <v>1004</v>
      </c>
      <c r="B2712" s="2">
        <v>46235</v>
      </c>
      <c r="C2712">
        <v>4246.9290000000001</v>
      </c>
    </row>
    <row r="2713" spans="1:3" hidden="1" x14ac:dyDescent="0.3">
      <c r="A2713" t="s">
        <v>1002</v>
      </c>
      <c r="B2713" s="2">
        <v>46235</v>
      </c>
      <c r="C2713">
        <v>15700</v>
      </c>
    </row>
    <row r="2714" spans="1:3" hidden="1" x14ac:dyDescent="0.3">
      <c r="A2714" t="s">
        <v>1003</v>
      </c>
      <c r="B2714" s="2">
        <v>46235</v>
      </c>
      <c r="C2714">
        <v>8306.7484000000004</v>
      </c>
    </row>
    <row r="2715" spans="1:3" hidden="1" x14ac:dyDescent="0.3">
      <c r="A2715" t="s">
        <v>244</v>
      </c>
      <c r="B2715" s="2">
        <v>46174</v>
      </c>
      <c r="C2715">
        <v>10720</v>
      </c>
    </row>
    <row r="2716" spans="1:3" hidden="1" x14ac:dyDescent="0.3">
      <c r="A2716" t="s">
        <v>251</v>
      </c>
      <c r="B2716" s="2">
        <v>46174</v>
      </c>
      <c r="C2716">
        <v>14172</v>
      </c>
    </row>
    <row r="2717" spans="1:3" x14ac:dyDescent="0.3">
      <c r="A2717" t="s">
        <v>251</v>
      </c>
      <c r="B2717" s="2">
        <v>46266</v>
      </c>
      <c r="C2717" s="47">
        <v>18541.739600000001</v>
      </c>
    </row>
    <row r="2718" spans="1:3" x14ac:dyDescent="0.3">
      <c r="A2718" t="s">
        <v>244</v>
      </c>
      <c r="B2718" s="2">
        <v>46266</v>
      </c>
      <c r="C2718" s="47">
        <v>11370</v>
      </c>
    </row>
    <row r="2719" spans="1:3" x14ac:dyDescent="0.3">
      <c r="A2719" t="s">
        <v>1013</v>
      </c>
      <c r="B2719" s="2">
        <v>46266</v>
      </c>
      <c r="C2719" s="47">
        <v>12209.506600000001</v>
      </c>
    </row>
    <row r="2720" spans="1:3" x14ac:dyDescent="0.3">
      <c r="A2720" t="s">
        <v>1004</v>
      </c>
      <c r="B2720" s="2">
        <v>46266</v>
      </c>
      <c r="C2720" s="47">
        <v>4005.8959</v>
      </c>
    </row>
    <row r="2721" spans="1:3" x14ac:dyDescent="0.3">
      <c r="A2721" t="s">
        <v>1002</v>
      </c>
      <c r="B2721" s="2">
        <v>46266</v>
      </c>
      <c r="C2721" s="47">
        <v>13165.4802</v>
      </c>
    </row>
    <row r="2722" spans="1:3" x14ac:dyDescent="0.3">
      <c r="A2722" t="s">
        <v>1003</v>
      </c>
      <c r="B2722" s="2">
        <v>46266</v>
      </c>
      <c r="C2722" s="47">
        <v>14788.0946</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4"/>
  <sheetViews>
    <sheetView zoomScaleNormal="100" workbookViewId="0">
      <pane xSplit="1" ySplit="1" topLeftCell="B2" activePane="bottomRight" state="frozen"/>
      <selection pane="topRight" activeCell="B1" sqref="B1"/>
      <selection pane="bottomLeft" activeCell="A2" sqref="A2"/>
      <selection pane="bottomRight" activeCell="F85" sqref="F85"/>
    </sheetView>
  </sheetViews>
  <sheetFormatPr defaultColWidth="8.6640625" defaultRowHeight="14.4" outlineLevelCol="1" x14ac:dyDescent="0.3"/>
  <cols>
    <col min="1" max="1" width="24.109375" customWidth="1"/>
    <col min="2" max="2" width="20.88671875" customWidth="1"/>
    <col min="3" max="8" width="8.109375" customWidth="1" outlineLevel="1"/>
    <col min="9" max="12" width="8.6640625" customWidth="1" outlineLevel="1"/>
    <col min="13" max="14" width="8.109375" customWidth="1" outlineLevel="1"/>
  </cols>
  <sheetData>
    <row r="1" spans="1:17" ht="14.25" customHeight="1" x14ac:dyDescent="0.3">
      <c r="A1" t="s">
        <v>0</v>
      </c>
      <c r="B1" t="s">
        <v>267</v>
      </c>
      <c r="C1" t="s">
        <v>253</v>
      </c>
      <c r="D1" t="s">
        <v>254</v>
      </c>
      <c r="E1" t="s">
        <v>255</v>
      </c>
      <c r="F1" t="s">
        <v>256</v>
      </c>
      <c r="G1" t="s">
        <v>257</v>
      </c>
      <c r="H1" t="s">
        <v>258</v>
      </c>
      <c r="I1" t="s">
        <v>259</v>
      </c>
      <c r="J1" t="s">
        <v>260</v>
      </c>
      <c r="K1" t="s">
        <v>261</v>
      </c>
      <c r="L1" t="s">
        <v>262</v>
      </c>
      <c r="M1" t="s">
        <v>263</v>
      </c>
      <c r="N1" t="s">
        <v>264</v>
      </c>
    </row>
    <row r="2" spans="1:17" ht="14.25" customHeight="1" x14ac:dyDescent="0.3">
      <c r="A2" t="s">
        <v>31</v>
      </c>
      <c r="B2">
        <v>0.9</v>
      </c>
      <c r="C2" s="5">
        <f>Table4[[#This Row],[Jan]]*$B2</f>
        <v>2370.6</v>
      </c>
      <c r="D2" s="5">
        <f>Table4[[#This Row],[Feb]]*$B2</f>
        <v>2680.2000000000003</v>
      </c>
      <c r="E2" s="5">
        <f>Table4[[#This Row],[Mar]]*$B2</f>
        <v>2183.4</v>
      </c>
      <c r="F2" s="5">
        <f>Table4[[#This Row],[Apr]]*$B2</f>
        <v>1873.8</v>
      </c>
      <c r="G2" s="5">
        <f>Table4[[#This Row],[May]]*$B2</f>
        <v>1822.5</v>
      </c>
      <c r="H2" s="5">
        <f>Table4[[#This Row],[Jun]]*$B2</f>
        <v>1629</v>
      </c>
      <c r="I2" s="5">
        <f>Table4[[#This Row],[Jul]]*$B2</f>
        <v>1814.4</v>
      </c>
      <c r="J2" s="5">
        <f>Table4[[#This Row],[Aug]]*$B2</f>
        <v>2116.8000000000002</v>
      </c>
      <c r="K2" s="5">
        <f>Table4[[#This Row],[Sep]]*$B2</f>
        <v>2275.2000000000003</v>
      </c>
      <c r="L2" s="5">
        <f>Table4[[#This Row],[Oct]]*$B2</f>
        <v>2407.5</v>
      </c>
      <c r="M2" s="5">
        <f>Table4[[#This Row],[Nov]]*$B2</f>
        <v>2356.2000000000003</v>
      </c>
      <c r="N2" s="5">
        <f>Table4[[#This Row],[Dec]]*$B2</f>
        <v>2482.2000000000003</v>
      </c>
      <c r="Q2">
        <v>2027</v>
      </c>
    </row>
    <row r="3" spans="1:17" ht="14.25" customHeight="1" x14ac:dyDescent="0.3">
      <c r="A3" t="s">
        <v>43</v>
      </c>
      <c r="B3">
        <v>0.85</v>
      </c>
      <c r="C3" s="5">
        <f>Table4[[#This Row],[Jan]]*$B3</f>
        <v>22515.904999999999</v>
      </c>
      <c r="D3" s="5">
        <f>Table4[[#This Row],[Feb]]*$B3</f>
        <v>19786.129999999997</v>
      </c>
      <c r="E3" s="5">
        <f>Table4[[#This Row],[Mar]]*$B3</f>
        <v>20148.399999999998</v>
      </c>
      <c r="F3" s="5">
        <f>Table4[[#This Row],[Apr]]*$B3</f>
        <v>16764.89</v>
      </c>
      <c r="G3" s="5">
        <f>Table4[[#This Row],[May]]*$B3</f>
        <v>15972.094999999999</v>
      </c>
      <c r="H3" s="5">
        <f>Table4[[#This Row],[Jun]]*$B3</f>
        <v>14367.21</v>
      </c>
      <c r="I3" s="5">
        <f>Table4[[#This Row],[Jul]]*$B3</f>
        <v>15907.665000000001</v>
      </c>
      <c r="J3" s="5">
        <f>Table4[[#This Row],[Aug]]*$B3</f>
        <v>18527.365000000002</v>
      </c>
      <c r="K3" s="5">
        <f>Table4[[#This Row],[Sep]]*$B3</f>
        <v>20404.334999999999</v>
      </c>
      <c r="L3" s="5">
        <f>Table4[[#This Row],[Oct]]*$B3</f>
        <v>22320.66</v>
      </c>
      <c r="M3" s="5">
        <f>Table4[[#This Row],[Nov]]*$B3</f>
        <v>22520.665000000001</v>
      </c>
      <c r="N3" s="5">
        <f>Table4[[#This Row],[Dec]]*$B3</f>
        <v>23777.984999999997</v>
      </c>
    </row>
    <row r="4" spans="1:17" ht="14.25" customHeight="1" x14ac:dyDescent="0.3">
      <c r="A4" t="s">
        <v>49</v>
      </c>
      <c r="B4">
        <v>0.9</v>
      </c>
      <c r="C4" s="5">
        <f>Table4[[#This Row],[Jan]]*$B4</f>
        <v>4801.5</v>
      </c>
      <c r="D4" s="5">
        <f>Table4[[#This Row],[Feb]]*$B4</f>
        <v>4303.8</v>
      </c>
      <c r="E4" s="5">
        <f>Table4[[#This Row],[Mar]]*$B4</f>
        <v>4545.9000000000005</v>
      </c>
      <c r="F4" s="5">
        <f>Table4[[#This Row],[Apr]]*$B4</f>
        <v>4619.7</v>
      </c>
      <c r="G4" s="5">
        <f>Table4[[#This Row],[May]]*$B4</f>
        <v>4990.5</v>
      </c>
      <c r="H4" s="5">
        <f>Table4[[#This Row],[Jun]]*$B4</f>
        <v>4761.9000000000005</v>
      </c>
      <c r="I4" s="5">
        <f>Table4[[#This Row],[Jul]]*$B4</f>
        <v>4680.9000000000005</v>
      </c>
      <c r="J4" s="5">
        <f>Table4[[#This Row],[Aug]]*$B4</f>
        <v>5249.7</v>
      </c>
      <c r="K4" s="5">
        <f>Table4[[#This Row],[Sep]]*$B4</f>
        <v>4694.4000000000005</v>
      </c>
      <c r="L4" s="5">
        <f>Table4[[#This Row],[Oct]]*$B4</f>
        <v>4732.2</v>
      </c>
      <c r="M4" s="5">
        <f>Table4[[#This Row],[Nov]]*$B4</f>
        <v>4822.2</v>
      </c>
      <c r="N4" s="5">
        <f>Table4[[#This Row],[Dec]]*$B4</f>
        <v>4805.1000000000004</v>
      </c>
    </row>
    <row r="5" spans="1:17" ht="14.25" customHeight="1" x14ac:dyDescent="0.3">
      <c r="A5" t="s">
        <v>55</v>
      </c>
      <c r="B5">
        <v>0.85</v>
      </c>
      <c r="C5" s="5">
        <f>Table4[[#This Row],[Jan]]*$B5</f>
        <v>16262.199999999999</v>
      </c>
      <c r="D5" s="5">
        <f>Table4[[#This Row],[Feb]]*$B5</f>
        <v>13986.75</v>
      </c>
      <c r="E5" s="5">
        <f>Table4[[#This Row],[Mar]]*$B5</f>
        <v>15463.199999999999</v>
      </c>
      <c r="F5" s="5">
        <f>Table4[[#This Row],[Apr]]*$B5</f>
        <v>14886.05</v>
      </c>
      <c r="G5" s="5">
        <f>Table4[[#This Row],[May]]*$B5</f>
        <v>14411.75</v>
      </c>
      <c r="H5" s="5">
        <f>Table4[[#This Row],[Jun]]*$B5</f>
        <v>13050.05</v>
      </c>
      <c r="I5" s="5">
        <f>Table4[[#This Row],[Jul]]*$B5</f>
        <v>13735.15</v>
      </c>
      <c r="J5" s="5">
        <f>Table4[[#This Row],[Aug]]*$B5</f>
        <v>15350.15</v>
      </c>
      <c r="K5" s="5">
        <f>Table4[[#This Row],[Sep]]*$B5</f>
        <v>15431.75</v>
      </c>
      <c r="L5" s="5">
        <f>Table4[[#This Row],[Oct]]*$B5</f>
        <v>14821.449999999999</v>
      </c>
      <c r="M5" s="5">
        <f>Table4[[#This Row],[Nov]]*$B5</f>
        <v>14695.65</v>
      </c>
      <c r="N5" s="5">
        <f>Table4[[#This Row],[Dec]]*$B5</f>
        <v>16154.25</v>
      </c>
    </row>
    <row r="6" spans="1:17" ht="14.25" customHeight="1" x14ac:dyDescent="0.3">
      <c r="A6" t="s">
        <v>60</v>
      </c>
      <c r="B6">
        <v>0.9</v>
      </c>
      <c r="C6" s="5">
        <f>Table4[[#This Row],[Jan]]*$B6</f>
        <v>51314.734709999997</v>
      </c>
      <c r="D6" s="5">
        <f>Table4[[#This Row],[Feb]]*$B6</f>
        <v>44103.290670000002</v>
      </c>
      <c r="E6" s="5">
        <f>Table4[[#This Row],[Mar]]*$B6</f>
        <v>48739.270049999999</v>
      </c>
      <c r="F6" s="5">
        <f>Table4[[#This Row],[Apr]]*$B6</f>
        <v>46849.898880000001</v>
      </c>
      <c r="G6" s="5">
        <f>Table4[[#This Row],[May]]*$B6</f>
        <v>45273.233340000006</v>
      </c>
      <c r="H6" s="5">
        <f>Table4[[#This Row],[Jun]]*$B6</f>
        <v>40943.971800000007</v>
      </c>
      <c r="I6" s="5">
        <f>Table4[[#This Row],[Jul]]*$B6</f>
        <v>43112.802960000001</v>
      </c>
      <c r="J6" s="5">
        <f>Table4[[#This Row],[Aug]]*$B6</f>
        <v>48266.50275</v>
      </c>
      <c r="K6" s="5">
        <f>Table4[[#This Row],[Sep]]*$B6</f>
        <v>48602.891429999996</v>
      </c>
      <c r="L6" s="5">
        <f>Table4[[#This Row],[Oct]]*$B6</f>
        <v>46748.910779999998</v>
      </c>
      <c r="M6" s="5">
        <f>Table4[[#This Row],[Nov]]*$B6</f>
        <v>46388.481569999996</v>
      </c>
      <c r="N6" s="5">
        <f>Table4[[#This Row],[Dec]]*$B6</f>
        <v>50640.311422710001</v>
      </c>
    </row>
    <row r="7" spans="1:17" ht="14.25" customHeight="1" x14ac:dyDescent="0.3">
      <c r="A7" t="s">
        <v>61</v>
      </c>
      <c r="B7">
        <v>0.9</v>
      </c>
      <c r="C7" s="5">
        <f>Table4[[#This Row],[Jan]]*$B7</f>
        <v>13787.1</v>
      </c>
      <c r="D7" s="5">
        <f>Table4[[#This Row],[Feb]]*$B7</f>
        <v>11359.800000000001</v>
      </c>
      <c r="E7" s="5">
        <f>Table4[[#This Row],[Mar]]*$B7</f>
        <v>10881</v>
      </c>
      <c r="F7" s="5">
        <f>Table4[[#This Row],[Apr]]*$B7</f>
        <v>7828.2</v>
      </c>
      <c r="G7" s="5">
        <f>Table4[[#This Row],[May]]*$B7</f>
        <v>5953.5</v>
      </c>
      <c r="H7" s="5">
        <f>Table4[[#This Row],[Jun]]*$B7</f>
        <v>5166</v>
      </c>
      <c r="I7" s="5">
        <f>Table4[[#This Row],[Jul]]*$B7</f>
        <v>5564.7</v>
      </c>
      <c r="J7" s="5">
        <f>Table4[[#This Row],[Aug]]*$B7</f>
        <v>6960.6</v>
      </c>
      <c r="K7" s="5">
        <f>Table4[[#This Row],[Sep]]*$B7</f>
        <v>8946</v>
      </c>
      <c r="L7" s="5">
        <f>Table4[[#This Row],[Oct]]*$B7</f>
        <v>11314.800000000001</v>
      </c>
      <c r="M7" s="5">
        <f>Table4[[#This Row],[Nov]]*$B7</f>
        <v>12713.4</v>
      </c>
      <c r="N7" s="5">
        <f>Table4[[#This Row],[Dec]]*$B7</f>
        <v>13878.9</v>
      </c>
    </row>
    <row r="8" spans="1:17" ht="14.25" customHeight="1" x14ac:dyDescent="0.3">
      <c r="A8" t="s">
        <v>64</v>
      </c>
      <c r="B8">
        <v>0.9</v>
      </c>
      <c r="C8" s="5">
        <f>Table4[[#This Row],[Jan]]*$B8</f>
        <v>8151.3</v>
      </c>
      <c r="D8" s="5">
        <f>Table4[[#This Row],[Feb]]*$B8</f>
        <v>7235.1</v>
      </c>
      <c r="E8" s="5">
        <f>Table4[[#This Row],[Mar]]*$B8</f>
        <v>7075.8</v>
      </c>
      <c r="F8" s="5">
        <f>Table4[[#This Row],[Apr]]*$B8</f>
        <v>5754.6</v>
      </c>
      <c r="G8" s="5">
        <f>Table4[[#This Row],[May]]*$B8</f>
        <v>5424.3</v>
      </c>
      <c r="H8" s="5">
        <f>Table4[[#This Row],[Jun]]*$B8</f>
        <v>4787.1000000000004</v>
      </c>
      <c r="I8" s="5">
        <f>Table4[[#This Row],[Jul]]*$B8</f>
        <v>5360.4000000000005</v>
      </c>
      <c r="J8" s="5">
        <f>Table4[[#This Row],[Aug]]*$B8</f>
        <v>6363</v>
      </c>
      <c r="K8" s="5">
        <f>Table4[[#This Row],[Sep]]*$B8</f>
        <v>7218.9000000000005</v>
      </c>
      <c r="L8" s="5">
        <f>Table4[[#This Row],[Oct]]*$B8</f>
        <v>7839</v>
      </c>
      <c r="M8" s="5">
        <f>Table4[[#This Row],[Nov]]*$B8</f>
        <v>8191.8</v>
      </c>
      <c r="N8" s="5">
        <f>Table4[[#This Row],[Dec]]*$B8</f>
        <v>8227.8000000000011</v>
      </c>
    </row>
    <row r="9" spans="1:17" ht="14.25" customHeight="1" x14ac:dyDescent="0.3">
      <c r="A9" t="s">
        <v>66</v>
      </c>
      <c r="B9">
        <v>0.9</v>
      </c>
      <c r="C9" s="5">
        <f>Table4[[#This Row],[Jan]]*$B9</f>
        <v>2202.3000000000002</v>
      </c>
      <c r="D9" s="5">
        <f>Table4[[#This Row],[Feb]]*$B9</f>
        <v>1983.6000000000001</v>
      </c>
      <c r="E9" s="5">
        <f>Table4[[#This Row],[Mar]]*$B9</f>
        <v>2127.6</v>
      </c>
      <c r="F9" s="5">
        <f>Table4[[#This Row],[Apr]]*$B9</f>
        <v>1767.6000000000001</v>
      </c>
      <c r="G9" s="5">
        <f>Table4[[#This Row],[May]]*$B9</f>
        <v>1631.7</v>
      </c>
      <c r="H9" s="5">
        <f>Table4[[#This Row],[Jun]]*$B9</f>
        <v>1480.5</v>
      </c>
      <c r="I9" s="5">
        <f>Table4[[#This Row],[Jul]]*$B9</f>
        <v>1612.8</v>
      </c>
      <c r="J9" s="5">
        <f>Table4[[#This Row],[Aug]]*$B9</f>
        <v>1764</v>
      </c>
      <c r="K9" s="5">
        <f>Table4[[#This Row],[Sep]]*$B9</f>
        <v>1868.4</v>
      </c>
      <c r="L9" s="5">
        <f>Table4[[#This Row],[Oct]]*$B9</f>
        <v>1900.8</v>
      </c>
      <c r="M9" s="5">
        <f>Table4[[#This Row],[Nov]]*$B9</f>
        <v>1835.1000000000001</v>
      </c>
      <c r="N9" s="5">
        <f>Table4[[#This Row],[Dec]]*$B9</f>
        <v>1986.3</v>
      </c>
    </row>
    <row r="10" spans="1:17" ht="14.25" customHeight="1" x14ac:dyDescent="0.3">
      <c r="A10" t="s">
        <v>71</v>
      </c>
      <c r="B10">
        <v>0.9</v>
      </c>
      <c r="C10" s="5">
        <f>Table4[[#This Row],[Jan]]*$B10</f>
        <v>26689.5</v>
      </c>
      <c r="D10" s="5">
        <f>Table4[[#This Row],[Feb]]*$B10</f>
        <v>20674.8</v>
      </c>
      <c r="E10" s="5">
        <f>Table4[[#This Row],[Mar]]*$B10</f>
        <v>20095.2</v>
      </c>
      <c r="F10" s="5">
        <f>Table4[[#This Row],[Apr]]*$B10</f>
        <v>16286.4</v>
      </c>
      <c r="G10" s="5">
        <f>Table4[[#This Row],[May]]*$B10</f>
        <v>13518.9</v>
      </c>
      <c r="H10" s="5">
        <f>Table4[[#This Row],[Jun]]*$B10</f>
        <v>11864.7</v>
      </c>
      <c r="I10" s="5">
        <f>Table4[[#This Row],[Jul]]*$B10</f>
        <v>13589.1</v>
      </c>
      <c r="J10" s="5">
        <f>Table4[[#This Row],[Aug]]*$B10</f>
        <v>17109</v>
      </c>
      <c r="K10" s="5">
        <f>Table4[[#This Row],[Sep]]*$B10</f>
        <v>19506.600000000002</v>
      </c>
      <c r="L10" s="5">
        <f>Table4[[#This Row],[Oct]]*$B10</f>
        <v>24081.3</v>
      </c>
      <c r="M10" s="5">
        <f>Table4[[#This Row],[Nov]]*$B10</f>
        <v>25889.4</v>
      </c>
      <c r="N10" s="5">
        <f>Table4[[#This Row],[Dec]]*$B10</f>
        <v>27992.7</v>
      </c>
    </row>
    <row r="11" spans="1:17" ht="14.25" customHeight="1" x14ac:dyDescent="0.3">
      <c r="A11" t="s">
        <v>77</v>
      </c>
      <c r="B11">
        <v>0.9</v>
      </c>
      <c r="C11" s="5">
        <f>Table4[[#This Row],[Jan]]*$B11</f>
        <v>21105</v>
      </c>
      <c r="D11" s="5">
        <f>Table4[[#This Row],[Feb]]*$B11</f>
        <v>18220.5</v>
      </c>
      <c r="E11" s="5">
        <f>Table4[[#This Row],[Mar]]*$B11</f>
        <v>18368.100000000002</v>
      </c>
      <c r="F11" s="5">
        <f>Table4[[#This Row],[Apr]]*$B11</f>
        <v>15103.800000000001</v>
      </c>
      <c r="G11" s="5">
        <f>Table4[[#This Row],[May]]*$B11</f>
        <v>14130</v>
      </c>
      <c r="H11" s="5">
        <f>Table4[[#This Row],[Jun]]*$B11</f>
        <v>12619.800000000001</v>
      </c>
      <c r="I11" s="5">
        <f>Table4[[#This Row],[Jul]]*$B11</f>
        <v>14002.2</v>
      </c>
      <c r="J11" s="5">
        <f>Table4[[#This Row],[Aug]]*$B11</f>
        <v>16641.900000000001</v>
      </c>
      <c r="K11" s="5">
        <f>Table4[[#This Row],[Sep]]*$B11</f>
        <v>18626.400000000001</v>
      </c>
      <c r="L11" s="5">
        <f>Table4[[#This Row],[Oct]]*$B11</f>
        <v>20503.8</v>
      </c>
      <c r="M11" s="5">
        <f>Table4[[#This Row],[Nov]]*$B11</f>
        <v>20601</v>
      </c>
      <c r="N11" s="5">
        <f>Table4[[#This Row],[Dec]]*$B11</f>
        <v>22024.799999999999</v>
      </c>
    </row>
    <row r="12" spans="1:17" ht="14.25" customHeight="1" x14ac:dyDescent="0.3">
      <c r="A12" t="s">
        <v>80</v>
      </c>
      <c r="B12">
        <v>0.9</v>
      </c>
      <c r="C12" s="5">
        <f>Table4[[#This Row],[Jan]]*$B12</f>
        <v>21105</v>
      </c>
      <c r="D12" s="5">
        <f>Table4[[#This Row],[Feb]]*$B12</f>
        <v>18220.5</v>
      </c>
      <c r="E12" s="5">
        <f>Table4[[#This Row],[Mar]]*$B12</f>
        <v>18368.100000000002</v>
      </c>
      <c r="F12" s="5">
        <f>Table4[[#This Row],[Apr]]*$B12</f>
        <v>15103.800000000001</v>
      </c>
      <c r="G12" s="5">
        <f>Table4[[#This Row],[May]]*$B12</f>
        <v>14130</v>
      </c>
      <c r="H12" s="5">
        <f>Table4[[#This Row],[Jun]]*$B12</f>
        <v>12619.800000000001</v>
      </c>
      <c r="I12" s="5">
        <f>Table4[[#This Row],[Jul]]*$B12</f>
        <v>14002.2</v>
      </c>
      <c r="J12" s="5">
        <f>Table4[[#This Row],[Aug]]*$B12</f>
        <v>16641.900000000001</v>
      </c>
      <c r="K12" s="5">
        <f>Table4[[#This Row],[Sep]]*$B12</f>
        <v>18626.400000000001</v>
      </c>
      <c r="L12" s="5">
        <f>Table4[[#This Row],[Oct]]*$B12</f>
        <v>20503.8</v>
      </c>
      <c r="M12" s="5">
        <f>Table4[[#This Row],[Nov]]*$B12</f>
        <v>20601</v>
      </c>
      <c r="N12" s="5">
        <f>Table4[[#This Row],[Dec]]*$B12</f>
        <v>22024.799999999999</v>
      </c>
    </row>
    <row r="13" spans="1:17" ht="14.25" customHeight="1" x14ac:dyDescent="0.3">
      <c r="A13" t="s">
        <v>81</v>
      </c>
      <c r="B13">
        <v>0.9</v>
      </c>
      <c r="C13" s="5">
        <f>Table4[[#This Row],[Jan]]*$B13</f>
        <v>8664.3000000000011</v>
      </c>
      <c r="D13" s="5">
        <f>Table4[[#This Row],[Feb]]*$B13</f>
        <v>8100</v>
      </c>
      <c r="E13" s="5">
        <f>Table4[[#This Row],[Mar]]*$B13</f>
        <v>7805.7</v>
      </c>
      <c r="F13" s="5">
        <f>Table4[[#This Row],[Apr]]*$B13</f>
        <v>6534</v>
      </c>
      <c r="G13" s="5">
        <f>Table4[[#This Row],[May]]*$B13</f>
        <v>5592.6</v>
      </c>
      <c r="H13" s="5">
        <f>Table4[[#This Row],[Jun]]*$B13</f>
        <v>5059.8</v>
      </c>
      <c r="I13" s="5">
        <f>Table4[[#This Row],[Jul]]*$B13</f>
        <v>5372.1</v>
      </c>
      <c r="J13" s="5">
        <f>Table4[[#This Row],[Aug]]*$B13</f>
        <v>6485.4000000000005</v>
      </c>
      <c r="K13" s="5">
        <f>Table4[[#This Row],[Sep]]*$B13</f>
        <v>6914.7</v>
      </c>
      <c r="L13" s="5">
        <f>Table4[[#This Row],[Oct]]*$B13</f>
        <v>8033.4000000000005</v>
      </c>
      <c r="M13" s="5">
        <f>Table4[[#This Row],[Nov]]*$B13</f>
        <v>8012.7</v>
      </c>
      <c r="N13" s="5">
        <f>Table4[[#This Row],[Dec]]*$B13</f>
        <v>8547.3000000000011</v>
      </c>
    </row>
    <row r="14" spans="1:17" ht="14.25" customHeight="1" x14ac:dyDescent="0.3">
      <c r="A14" t="s">
        <v>85</v>
      </c>
      <c r="B14">
        <v>0.9</v>
      </c>
      <c r="C14" s="5">
        <f>Table4[[#This Row],[Jan]]*$B14</f>
        <v>5767.2</v>
      </c>
      <c r="D14" s="5">
        <f>Table4[[#This Row],[Feb]]*$B14</f>
        <v>4828.5</v>
      </c>
      <c r="E14" s="5">
        <f>Table4[[#This Row],[Mar]]*$B14</f>
        <v>4913.1000000000004</v>
      </c>
      <c r="F14" s="5">
        <f>Table4[[#This Row],[Apr]]*$B14</f>
        <v>4149.9000000000005</v>
      </c>
      <c r="G14" s="5">
        <f>Table4[[#This Row],[May]]*$B14</f>
        <v>3937.5</v>
      </c>
      <c r="H14" s="5">
        <f>Table4[[#This Row],[Jun]]*$B14</f>
        <v>3463.2000000000003</v>
      </c>
      <c r="I14" s="5">
        <f>Table4[[#This Row],[Jul]]*$B14</f>
        <v>3874.5</v>
      </c>
      <c r="J14" s="5">
        <f>Table4[[#This Row],[Aug]]*$B14</f>
        <v>4560.3</v>
      </c>
      <c r="K14" s="5">
        <f>Table4[[#This Row],[Sep]]*$B14</f>
        <v>5033.7</v>
      </c>
      <c r="L14" s="5">
        <f>Table4[[#This Row],[Oct]]*$B14</f>
        <v>5613.3</v>
      </c>
      <c r="M14" s="5">
        <f>Table4[[#This Row],[Nov]]*$B14</f>
        <v>5712.3</v>
      </c>
      <c r="N14" s="5">
        <f>Table4[[#This Row],[Dec]]*$B14</f>
        <v>6027.3</v>
      </c>
    </row>
    <row r="15" spans="1:17" ht="14.25" customHeight="1" x14ac:dyDescent="0.3">
      <c r="A15" t="s">
        <v>90</v>
      </c>
      <c r="B15">
        <v>0.85</v>
      </c>
      <c r="C15" s="5">
        <f>Table4[[#This Row],[Jan]]*$B15</f>
        <v>4897.0199999999995</v>
      </c>
      <c r="D15" s="5">
        <f>Table4[[#This Row],[Feb]]*$B15</f>
        <v>4496.2449999999999</v>
      </c>
      <c r="E15" s="5">
        <f>Table4[[#This Row],[Mar]]*$B15</f>
        <v>4548.6050000000005</v>
      </c>
      <c r="F15" s="5">
        <f>Table4[[#This Row],[Apr]]*$B15</f>
        <v>3805.1949999999997</v>
      </c>
      <c r="G15" s="5">
        <f>Table4[[#This Row],[May]]*$B15</f>
        <v>3522.5699999999997</v>
      </c>
      <c r="H15" s="5">
        <f>Table4[[#This Row],[Jun]]*$B15</f>
        <v>3187.9249999999997</v>
      </c>
      <c r="I15" s="5">
        <f>Table4[[#This Row],[Jul]]*$B15</f>
        <v>3416.15</v>
      </c>
      <c r="J15" s="5">
        <f>Table4[[#This Row],[Aug]]*$B15</f>
        <v>3857.0449999999996</v>
      </c>
      <c r="K15" s="5">
        <f>Table4[[#This Row],[Sep]]*$B15</f>
        <v>3805.7049999999999</v>
      </c>
      <c r="L15" s="5">
        <f>Table4[[#This Row],[Oct]]*$B15</f>
        <v>4238.6949999999997</v>
      </c>
      <c r="M15" s="5">
        <f>Table4[[#This Row],[Nov]]*$B15</f>
        <v>4335.3399999999992</v>
      </c>
      <c r="N15" s="5">
        <f>Table4[[#This Row],[Dec]]*$B15</f>
        <v>5058.01</v>
      </c>
    </row>
    <row r="16" spans="1:17" ht="14.25" customHeight="1" x14ac:dyDescent="0.3">
      <c r="A16" t="s">
        <v>93</v>
      </c>
      <c r="B16">
        <v>0.9</v>
      </c>
      <c r="C16" s="5">
        <f>Table4[[#This Row],[Jan]]*$B16</f>
        <v>11798.1</v>
      </c>
      <c r="D16" s="5">
        <f>Table4[[#This Row],[Feb]]*$B16</f>
        <v>10269.9</v>
      </c>
      <c r="E16" s="5">
        <f>Table4[[#This Row],[Mar]]*$B16</f>
        <v>10571.4</v>
      </c>
      <c r="F16" s="5">
        <f>Table4[[#This Row],[Apr]]*$B16</f>
        <v>8335.8000000000011</v>
      </c>
      <c r="G16" s="5">
        <f>Table4[[#This Row],[May]]*$B16</f>
        <v>6723.9000000000005</v>
      </c>
      <c r="H16" s="5">
        <f>Table4[[#This Row],[Jun]]*$B16</f>
        <v>5859.9000000000005</v>
      </c>
      <c r="I16" s="5">
        <f>Table4[[#This Row],[Jul]]*$B16</f>
        <v>6453</v>
      </c>
      <c r="J16" s="5">
        <f>Table4[[#This Row],[Aug]]*$B16</f>
        <v>7491.6</v>
      </c>
      <c r="K16" s="5">
        <f>Table4[[#This Row],[Sep]]*$B16</f>
        <v>8864.1</v>
      </c>
      <c r="L16" s="5">
        <f>Table4[[#This Row],[Oct]]*$B16</f>
        <v>10361.700000000001</v>
      </c>
      <c r="M16" s="5">
        <f>Table4[[#This Row],[Nov]]*$B16</f>
        <v>10972.800000000001</v>
      </c>
      <c r="N16" s="5">
        <f>Table4[[#This Row],[Dec]]*$B16</f>
        <v>11630.7</v>
      </c>
    </row>
    <row r="17" spans="1:14" ht="14.25" customHeight="1" x14ac:dyDescent="0.3">
      <c r="A17" t="s">
        <v>95</v>
      </c>
      <c r="B17">
        <v>0.8</v>
      </c>
      <c r="C17" s="5">
        <f>Table4[[#This Row],[Jan]]*$B17</f>
        <v>33516</v>
      </c>
      <c r="D17" s="5">
        <f>Table4[[#This Row],[Feb]]*$B17</f>
        <v>28776.800000000003</v>
      </c>
      <c r="E17" s="5">
        <f>Table4[[#This Row],[Mar]]*$B17</f>
        <v>29186.400000000001</v>
      </c>
      <c r="F17" s="5">
        <f>Table4[[#This Row],[Apr]]*$B17</f>
        <v>24678.400000000001</v>
      </c>
      <c r="G17" s="5">
        <f>Table4[[#This Row],[May]]*$B17</f>
        <v>23380.800000000003</v>
      </c>
      <c r="H17" s="5">
        <f>Table4[[#This Row],[Jun]]*$B17</f>
        <v>20986.400000000001</v>
      </c>
      <c r="I17" s="5">
        <f>Table4[[#This Row],[Jul]]*$B17</f>
        <v>23255.200000000001</v>
      </c>
      <c r="J17" s="5">
        <f>Table4[[#This Row],[Aug]]*$B17</f>
        <v>27306.400000000001</v>
      </c>
      <c r="K17" s="5">
        <f>Table4[[#This Row],[Sep]]*$B17</f>
        <v>30312</v>
      </c>
      <c r="L17" s="5">
        <f>Table4[[#This Row],[Oct]]*$B17</f>
        <v>33024</v>
      </c>
      <c r="M17" s="5">
        <f>Table4[[#This Row],[Nov]]*$B17</f>
        <v>33214.400000000001</v>
      </c>
      <c r="N17" s="5">
        <f>Table4[[#This Row],[Dec]]*$B17</f>
        <v>35066.400000000001</v>
      </c>
    </row>
    <row r="18" spans="1:14" ht="14.25" customHeight="1" x14ac:dyDescent="0.3">
      <c r="A18" t="s">
        <v>239</v>
      </c>
      <c r="B18">
        <v>0.9</v>
      </c>
      <c r="C18" s="5">
        <f>Table4[[#This Row],[Jan]]*$B18</f>
        <v>2461.5</v>
      </c>
      <c r="D18" s="5">
        <f>Table4[[#This Row],[Feb]]*$B18</f>
        <v>2300.4</v>
      </c>
      <c r="E18" s="5">
        <f>Table4[[#This Row],[Mar]]*$B18</f>
        <v>2281.5</v>
      </c>
      <c r="F18" s="5">
        <f>Table4[[#This Row],[Apr]]*$B18</f>
        <v>2197.8000000000002</v>
      </c>
      <c r="G18" s="5">
        <f>Table4[[#This Row],[May]]*$B18</f>
        <v>2226.6</v>
      </c>
      <c r="H18" s="5">
        <f>Table4[[#This Row],[Jun]]*$B18</f>
        <v>2480.4</v>
      </c>
      <c r="I18" s="5">
        <f>Table4[[#This Row],[Jul]]*$B18</f>
        <v>2349.9</v>
      </c>
      <c r="J18" s="5">
        <f>Table4[[#This Row],[Aug]]*$B18</f>
        <v>2520</v>
      </c>
      <c r="K18" s="5">
        <f>Table4[[#This Row],[Sep]]*$B18</f>
        <v>2436.3000000000002</v>
      </c>
      <c r="L18" s="5">
        <f>Table4[[#This Row],[Oct]]*$B18</f>
        <v>2425.5</v>
      </c>
      <c r="M18" s="5">
        <f>Table4[[#This Row],[Nov]]*$B18</f>
        <v>2356.2000000000003</v>
      </c>
      <c r="N18" s="5">
        <f>Table4[[#This Row],[Dec]]*$B18</f>
        <v>2437.2000000000003</v>
      </c>
    </row>
    <row r="19" spans="1:14" ht="14.25" customHeight="1" x14ac:dyDescent="0.3">
      <c r="A19" t="s">
        <v>98</v>
      </c>
      <c r="B19">
        <v>0.8</v>
      </c>
      <c r="C19" s="5">
        <f>Table4[[#This Row],[Jan]]*$B19</f>
        <v>13584</v>
      </c>
      <c r="D19" s="5">
        <f>Table4[[#This Row],[Feb]]*$B19</f>
        <v>12445.28</v>
      </c>
      <c r="E19" s="5">
        <f>Table4[[#This Row],[Mar]]*$B19</f>
        <v>12742.080000000002</v>
      </c>
      <c r="F19" s="5">
        <f>Table4[[#This Row],[Apr]]*$B19</f>
        <v>10941.84</v>
      </c>
      <c r="G19" s="5">
        <f>Table4[[#This Row],[May]]*$B19</f>
        <v>9881.2800000000007</v>
      </c>
      <c r="H19" s="5">
        <f>Table4[[#This Row],[Jun]]*$B19</f>
        <v>9234.880000000001</v>
      </c>
      <c r="I19" s="5">
        <f>Table4[[#This Row],[Jul]]*$B19</f>
        <v>9756.08</v>
      </c>
      <c r="J19" s="5">
        <f>Table4[[#This Row],[Aug]]*$B19</f>
        <v>10822.400000000001</v>
      </c>
      <c r="K19" s="5">
        <f>Table4[[#This Row],[Sep]]*$B19</f>
        <v>10915.68</v>
      </c>
      <c r="L19" s="5">
        <f>Table4[[#This Row],[Oct]]*$B19</f>
        <v>12133.12</v>
      </c>
      <c r="M19" s="5">
        <f>Table4[[#This Row],[Nov]]*$B19</f>
        <v>12325.989840000002</v>
      </c>
      <c r="N19" s="5">
        <f>Table4[[#This Row],[Dec]]*$B19</f>
        <v>13473.89784</v>
      </c>
    </row>
    <row r="20" spans="1:14" ht="14.25" customHeight="1" x14ac:dyDescent="0.3">
      <c r="A20" t="s">
        <v>102</v>
      </c>
      <c r="B20">
        <v>0.75</v>
      </c>
      <c r="C20" s="5">
        <f>Table4[[#This Row],[Jan]]*$B20</f>
        <v>11384.625</v>
      </c>
      <c r="D20" s="5">
        <f>Table4[[#This Row],[Feb]]*$B20</f>
        <v>10143.599999999999</v>
      </c>
      <c r="E20" s="5">
        <f>Table4[[#This Row],[Mar]]*$B20</f>
        <v>10396.424999999999</v>
      </c>
      <c r="F20" s="5">
        <f>Table4[[#This Row],[Apr]]*$B20</f>
        <v>8842.2750000000015</v>
      </c>
      <c r="G20" s="5">
        <f>Table4[[#This Row],[May]]*$B20</f>
        <v>7963.7249999999995</v>
      </c>
      <c r="H20" s="5">
        <f>Table4[[#This Row],[Jun]]*$B20</f>
        <v>7364.3250000000007</v>
      </c>
      <c r="I20" s="5">
        <f>Table4[[#This Row],[Jul]]*$B20</f>
        <v>7865.1749999999993</v>
      </c>
      <c r="J20" s="5">
        <f>Table4[[#This Row],[Aug]]*$B20</f>
        <v>8758.7249999999985</v>
      </c>
      <c r="K20" s="5">
        <f>Table4[[#This Row],[Sep]]*$B20</f>
        <v>8956.3499999999985</v>
      </c>
      <c r="L20" s="5">
        <f>Table4[[#This Row],[Oct]]*$B20</f>
        <v>9957.75</v>
      </c>
      <c r="M20" s="5">
        <f>Table4[[#This Row],[Nov]]*$B20</f>
        <v>10009.663424999999</v>
      </c>
      <c r="N20" s="5">
        <f>Table4[[#This Row],[Dec]]*$B20</f>
        <v>11121.500700000001</v>
      </c>
    </row>
    <row r="21" spans="1:14" ht="14.25" customHeight="1" x14ac:dyDescent="0.3">
      <c r="A21" t="s">
        <v>104</v>
      </c>
      <c r="B21">
        <v>0.9</v>
      </c>
      <c r="C21" s="5">
        <f>Table4[[#This Row],[Jan]]*$B21</f>
        <v>4042.8</v>
      </c>
      <c r="D21" s="5">
        <f>Table4[[#This Row],[Feb]]*$B21</f>
        <v>3650.4</v>
      </c>
      <c r="E21" s="5">
        <f>Table4[[#This Row],[Mar]]*$B21</f>
        <v>3957.3</v>
      </c>
      <c r="F21" s="5">
        <f>Table4[[#This Row],[Apr]]*$B21</f>
        <v>3279.6</v>
      </c>
      <c r="G21" s="5">
        <f>Table4[[#This Row],[May]]*$B21</f>
        <v>3050.1</v>
      </c>
      <c r="H21" s="5">
        <f>Table4[[#This Row],[Jun]]*$B21</f>
        <v>2790</v>
      </c>
      <c r="I21" s="5">
        <f>Table4[[#This Row],[Jul]]*$B21</f>
        <v>3044.7000000000003</v>
      </c>
      <c r="J21" s="5">
        <f>Table4[[#This Row],[Aug]]*$B21</f>
        <v>3298.5</v>
      </c>
      <c r="K21" s="5">
        <f>Table4[[#This Row],[Sep]]*$B21</f>
        <v>3492.9</v>
      </c>
      <c r="L21" s="5">
        <f>Table4[[#This Row],[Oct]]*$B21</f>
        <v>3509.1</v>
      </c>
      <c r="M21" s="5">
        <f>Table4[[#This Row],[Nov]]*$B21</f>
        <v>3348</v>
      </c>
      <c r="N21" s="5">
        <f>Table4[[#This Row],[Dec]]*$B21</f>
        <v>3591.9</v>
      </c>
    </row>
    <row r="22" spans="1:14" ht="14.25" customHeight="1" x14ac:dyDescent="0.3">
      <c r="A22" t="s">
        <v>107</v>
      </c>
      <c r="B22">
        <v>0.9</v>
      </c>
      <c r="C22" s="5">
        <f>Table4[[#This Row],[Jan]]*$B22</f>
        <v>3618</v>
      </c>
      <c r="D22" s="5">
        <f>Table4[[#This Row],[Feb]]*$B22</f>
        <v>3254.4</v>
      </c>
      <c r="E22" s="5">
        <f>Table4[[#This Row],[Mar]]*$B22</f>
        <v>3608.1</v>
      </c>
      <c r="F22" s="5">
        <f>Table4[[#This Row],[Apr]]*$B22</f>
        <v>2962.8</v>
      </c>
      <c r="G22" s="5">
        <f>Table4[[#This Row],[May]]*$B22</f>
        <v>2723.4</v>
      </c>
      <c r="H22" s="5">
        <f>Table4[[#This Row],[Jun]]*$B22</f>
        <v>2461.5</v>
      </c>
      <c r="I22" s="5">
        <f>Table4[[#This Row],[Jul]]*$B22</f>
        <v>2701.8</v>
      </c>
      <c r="J22" s="5">
        <f>Table4[[#This Row],[Aug]]*$B22</f>
        <v>2973.6</v>
      </c>
      <c r="K22" s="5">
        <f>Table4[[#This Row],[Sep]]*$B22</f>
        <v>3147.3</v>
      </c>
      <c r="L22" s="5">
        <f>Table4[[#This Row],[Oct]]*$B22</f>
        <v>3179.7000000000003</v>
      </c>
      <c r="M22" s="5">
        <f>Table4[[#This Row],[Nov]]*$B22</f>
        <v>3013.2000000000003</v>
      </c>
      <c r="N22" s="5">
        <f>Table4[[#This Row],[Dec]]*$B22</f>
        <v>3204</v>
      </c>
    </row>
    <row r="23" spans="1:14" ht="14.25" customHeight="1" x14ac:dyDescent="0.3">
      <c r="A23" t="s">
        <v>109</v>
      </c>
      <c r="B23">
        <v>0.9</v>
      </c>
      <c r="C23" s="5">
        <f>Table4[[#This Row],[Jan]]*$B23</f>
        <v>4235.4000000000005</v>
      </c>
      <c r="D23" s="5">
        <f>Table4[[#This Row],[Feb]]*$B23</f>
        <v>3699</v>
      </c>
      <c r="E23" s="5">
        <f>Table4[[#This Row],[Mar]]*$B23</f>
        <v>3788.1</v>
      </c>
      <c r="F23" s="5">
        <f>Table4[[#This Row],[Apr]]*$B23</f>
        <v>3184.2000000000003</v>
      </c>
      <c r="G23" s="5">
        <f>Table4[[#This Row],[May]]*$B23</f>
        <v>3052.8</v>
      </c>
      <c r="H23" s="5">
        <f>Table4[[#This Row],[Jun]]*$B23</f>
        <v>2752.2000000000003</v>
      </c>
      <c r="I23" s="5">
        <f>Table4[[#This Row],[Jul]]*$B23</f>
        <v>3029.4</v>
      </c>
      <c r="J23" s="5">
        <f>Table4[[#This Row],[Aug]]*$B23</f>
        <v>3546.9</v>
      </c>
      <c r="K23" s="5">
        <f>Table4[[#This Row],[Sep]]*$B23</f>
        <v>3911.4</v>
      </c>
      <c r="L23" s="5">
        <f>Table4[[#This Row],[Oct]]*$B23</f>
        <v>4103.1000000000004</v>
      </c>
      <c r="M23" s="5">
        <f>Table4[[#This Row],[Nov]]*$B23</f>
        <v>4120.2</v>
      </c>
      <c r="N23" s="5">
        <f>Table4[[#This Row],[Dec]]*$B23</f>
        <v>4377.6000000000004</v>
      </c>
    </row>
    <row r="24" spans="1:14" ht="14.25" customHeight="1" x14ac:dyDescent="0.3">
      <c r="A24" t="s">
        <v>113</v>
      </c>
      <c r="B24">
        <v>0.9</v>
      </c>
      <c r="C24" s="5">
        <f>Table4[[#This Row],[Jan]]*$B24</f>
        <v>39600.810000000005</v>
      </c>
      <c r="D24" s="5">
        <f>Table4[[#This Row],[Feb]]*$B24</f>
        <v>33064.920000000006</v>
      </c>
      <c r="E24" s="5">
        <f>Table4[[#This Row],[Mar]]*$B24</f>
        <v>32219.55</v>
      </c>
      <c r="F24" s="5">
        <f>Table4[[#This Row],[Apr]]*$B24</f>
        <v>23614.38</v>
      </c>
      <c r="G24" s="5">
        <f>Table4[[#This Row],[May]]*$B24</f>
        <v>17952.57</v>
      </c>
      <c r="H24" s="5">
        <f>Table4[[#This Row],[Jun]]*$B24</f>
        <v>14925.6</v>
      </c>
      <c r="I24" s="5">
        <f>Table4[[#This Row],[Jul]]*$B24</f>
        <v>16774.830000000002</v>
      </c>
      <c r="J24" s="5">
        <f>Table4[[#This Row],[Aug]]*$B24</f>
        <v>20886.75</v>
      </c>
      <c r="K24" s="5">
        <f>Table4[[#This Row],[Sep]]*$B24</f>
        <v>26689.95</v>
      </c>
      <c r="L24" s="5">
        <f>Table4[[#This Row],[Oct]]*$B24</f>
        <v>33024.69</v>
      </c>
      <c r="M24" s="5">
        <f>Table4[[#This Row],[Nov]]*$B24</f>
        <v>37111.770000000004</v>
      </c>
      <c r="N24" s="5">
        <f>Table4[[#This Row],[Dec]]*$B24</f>
        <v>40125.69</v>
      </c>
    </row>
    <row r="25" spans="1:14" ht="14.25" customHeight="1" x14ac:dyDescent="0.3">
      <c r="A25" t="s">
        <v>114</v>
      </c>
      <c r="B25">
        <v>0.85</v>
      </c>
      <c r="C25" s="5">
        <f>Table4[[#This Row],[Jan]]*$B25</f>
        <v>27758.45</v>
      </c>
      <c r="D25" s="5">
        <f>Table4[[#This Row],[Feb]]*$B25</f>
        <v>24250.5</v>
      </c>
      <c r="E25" s="5">
        <f>Table4[[#This Row],[Mar]]*$B25</f>
        <v>22859.899999999998</v>
      </c>
      <c r="F25" s="5">
        <f>Table4[[#This Row],[Apr]]*$B25</f>
        <v>20353.25</v>
      </c>
      <c r="G25" s="5">
        <f>Table4[[#This Row],[May]]*$B25</f>
        <v>18229.099999999999</v>
      </c>
      <c r="H25" s="5">
        <f>Table4[[#This Row],[Jun]]*$B25</f>
        <v>16127.9</v>
      </c>
      <c r="I25" s="5">
        <f>Table4[[#This Row],[Jul]]*$B25</f>
        <v>17954.55</v>
      </c>
      <c r="J25" s="5">
        <f>Table4[[#This Row],[Aug]]*$B25</f>
        <v>20938.05</v>
      </c>
      <c r="K25" s="5">
        <f>Table4[[#This Row],[Sep]]*$B25</f>
        <v>23291.7</v>
      </c>
      <c r="L25" s="5">
        <f>Table4[[#This Row],[Oct]]*$B25</f>
        <v>25925.85</v>
      </c>
      <c r="M25" s="5">
        <f>Table4[[#This Row],[Nov]]*$B25</f>
        <v>27223.8</v>
      </c>
      <c r="N25" s="5">
        <f>Table4[[#This Row],[Dec]]*$B25</f>
        <v>26753.75</v>
      </c>
    </row>
    <row r="26" spans="1:14" ht="14.25" customHeight="1" x14ac:dyDescent="0.3">
      <c r="A26" t="s">
        <v>117</v>
      </c>
      <c r="B26">
        <v>0.9</v>
      </c>
      <c r="C26" s="5">
        <f>Table4[[#This Row],[Jan]]*$B26</f>
        <v>30214.799999999999</v>
      </c>
      <c r="D26" s="5">
        <f>Table4[[#This Row],[Feb]]*$B26</f>
        <v>26381.7</v>
      </c>
      <c r="E26" s="5">
        <f>Table4[[#This Row],[Mar]]*$B26</f>
        <v>27566.100000000002</v>
      </c>
      <c r="F26" s="5">
        <f>Table4[[#This Row],[Apr]]*$B26</f>
        <v>23747.4</v>
      </c>
      <c r="G26" s="5">
        <f>Table4[[#This Row],[May]]*$B26</f>
        <v>22569.3</v>
      </c>
      <c r="H26" s="5">
        <f>Table4[[#This Row],[Jun]]*$B26</f>
        <v>20228.400000000001</v>
      </c>
      <c r="I26" s="5">
        <f>Table4[[#This Row],[Jul]]*$B26</f>
        <v>22354.2</v>
      </c>
      <c r="J26" s="5">
        <f>Table4[[#This Row],[Aug]]*$B26</f>
        <v>26968.5</v>
      </c>
      <c r="K26" s="5">
        <f>Table4[[#This Row],[Sep]]*$B26</f>
        <v>28840.5</v>
      </c>
      <c r="L26" s="5">
        <f>Table4[[#This Row],[Oct]]*$B26</f>
        <v>30258</v>
      </c>
      <c r="M26" s="5">
        <f>Table4[[#This Row],[Nov]]*$B26</f>
        <v>29380.5</v>
      </c>
      <c r="N26" s="5">
        <f>Table4[[#This Row],[Dec]]*$B26</f>
        <v>31219.200000000001</v>
      </c>
    </row>
    <row r="27" spans="1:14" ht="14.25" customHeight="1" x14ac:dyDescent="0.3">
      <c r="A27" t="s">
        <v>225</v>
      </c>
      <c r="B27">
        <v>0.9</v>
      </c>
      <c r="C27" s="5">
        <f>Table4[[#This Row],[Jan]]*$B27</f>
        <v>7573.5</v>
      </c>
      <c r="D27" s="5">
        <f>Table4[[#This Row],[Feb]]*$B27</f>
        <v>6513.75</v>
      </c>
      <c r="E27" s="5">
        <f>Table4[[#This Row],[Mar]]*$B27</f>
        <v>6841.35</v>
      </c>
      <c r="F27" s="5">
        <f>Table4[[#This Row],[Apr]]*$B27</f>
        <v>6183</v>
      </c>
      <c r="G27" s="5">
        <f>Table4[[#This Row],[May]]*$B27</f>
        <v>5924.7</v>
      </c>
      <c r="H27" s="5">
        <f>Table4[[#This Row],[Jun]]*$B27</f>
        <v>5295.6</v>
      </c>
      <c r="I27" s="5">
        <f>Table4[[#This Row],[Jul]]*$B27</f>
        <v>5785.2</v>
      </c>
      <c r="J27" s="5">
        <f>Table4[[#This Row],[Aug]]*$B27</f>
        <v>6585.3</v>
      </c>
      <c r="K27" s="5">
        <f>Table4[[#This Row],[Sep]]*$B27</f>
        <v>7018.6500000000005</v>
      </c>
      <c r="L27" s="5">
        <f>Table4[[#This Row],[Oct]]*$B27</f>
        <v>7479.45</v>
      </c>
      <c r="M27" s="5">
        <f>Table4[[#This Row],[Nov]]*$B27</f>
        <v>7552.8</v>
      </c>
      <c r="N27" s="5">
        <f>Table4[[#This Row],[Dec]]*$B27</f>
        <v>7415.1</v>
      </c>
    </row>
    <row r="28" spans="1:14" ht="14.25" customHeight="1" x14ac:dyDescent="0.3">
      <c r="A28" t="s">
        <v>223</v>
      </c>
      <c r="B28">
        <v>0.9</v>
      </c>
      <c r="C28" s="5">
        <f>Table4[[#This Row],[Jan]]*$B28</f>
        <v>7573.5</v>
      </c>
      <c r="D28" s="5">
        <f>Table4[[#This Row],[Feb]]*$B28</f>
        <v>6513.75</v>
      </c>
      <c r="E28" s="5">
        <f>Table4[[#This Row],[Mar]]*$B28</f>
        <v>6841.35</v>
      </c>
      <c r="F28" s="5">
        <f>Table4[[#This Row],[Apr]]*$B28</f>
        <v>6183</v>
      </c>
      <c r="G28" s="5">
        <f>Table4[[#This Row],[May]]*$B28</f>
        <v>5924.7</v>
      </c>
      <c r="H28" s="5">
        <f>Table4[[#This Row],[Jun]]*$B28</f>
        <v>5295.6</v>
      </c>
      <c r="I28" s="5">
        <f>Table4[[#This Row],[Jul]]*$B28</f>
        <v>5785.2</v>
      </c>
      <c r="J28" s="5">
        <f>Table4[[#This Row],[Aug]]*$B28</f>
        <v>6585.3</v>
      </c>
      <c r="K28" s="5">
        <f>Table4[[#This Row],[Sep]]*$B28</f>
        <v>7018.6500000000005</v>
      </c>
      <c r="L28" s="5">
        <f>Table4[[#This Row],[Oct]]*$B28</f>
        <v>7479.45</v>
      </c>
      <c r="M28" s="5">
        <f>Table4[[#This Row],[Nov]]*$B28</f>
        <v>7552.8</v>
      </c>
      <c r="N28" s="5">
        <f>Table4[[#This Row],[Dec]]*$B28</f>
        <v>7415.1</v>
      </c>
    </row>
    <row r="29" spans="1:14" ht="14.25" customHeight="1" x14ac:dyDescent="0.3">
      <c r="A29" t="s">
        <v>120</v>
      </c>
      <c r="B29">
        <v>0.9</v>
      </c>
      <c r="C29" s="5">
        <f>Table4[[#This Row],[Jan]]*$B29</f>
        <v>12213</v>
      </c>
      <c r="D29" s="5">
        <f>Table4[[#This Row],[Feb]]*$B29</f>
        <v>10570.5</v>
      </c>
      <c r="E29" s="5">
        <f>Table4[[#This Row],[Mar]]*$B29</f>
        <v>10619.1</v>
      </c>
      <c r="F29" s="5">
        <f>Table4[[#This Row],[Apr]]*$B29</f>
        <v>9139.5</v>
      </c>
      <c r="G29" s="5">
        <f>Table4[[#This Row],[May]]*$B29</f>
        <v>8593.2000000000007</v>
      </c>
      <c r="H29" s="5">
        <f>Table4[[#This Row],[Jun]]*$B29</f>
        <v>7680.6</v>
      </c>
      <c r="I29" s="5">
        <f>Table4[[#This Row],[Jul]]*$B29</f>
        <v>8550.9</v>
      </c>
      <c r="J29" s="5">
        <f>Table4[[#This Row],[Aug]]*$B29</f>
        <v>9997.2000000000007</v>
      </c>
      <c r="K29" s="5">
        <f>Table4[[#This Row],[Sep]]*$B29</f>
        <v>10701.9</v>
      </c>
      <c r="L29" s="5">
        <f>Table4[[#This Row],[Oct]]*$B29</f>
        <v>11834.1</v>
      </c>
      <c r="M29" s="5">
        <f>Table4[[#This Row],[Nov]]*$B29</f>
        <v>12129.300000000001</v>
      </c>
      <c r="N29" s="5">
        <f>Table4[[#This Row],[Dec]]*$B29</f>
        <v>12998.7</v>
      </c>
    </row>
    <row r="30" spans="1:14" ht="14.25" customHeight="1" x14ac:dyDescent="0.3">
      <c r="A30" t="s">
        <v>236</v>
      </c>
      <c r="B30">
        <v>0.9</v>
      </c>
      <c r="C30" s="5">
        <f>Table4[[#This Row],[Jan]]*$B30</f>
        <v>16602.939455286778</v>
      </c>
      <c r="D30" s="5">
        <f>Table4[[#This Row],[Feb]]*$B30</f>
        <v>14966.051031447027</v>
      </c>
      <c r="E30" s="5">
        <f>Table4[[#This Row],[Mar]]*$B30</f>
        <v>16335.485545927229</v>
      </c>
      <c r="F30" s="5">
        <f>Table4[[#This Row],[Apr]]*$B30</f>
        <v>15100.35078692115</v>
      </c>
      <c r="G30" s="5">
        <f>Table4[[#This Row],[May]]*$B30</f>
        <v>15271.045423635958</v>
      </c>
      <c r="H30" s="5">
        <f>Table4[[#This Row],[Jun]]*$B30</f>
        <v>14168.00734012575</v>
      </c>
      <c r="I30" s="5">
        <f>Table4[[#This Row],[Jul]]*$B30</f>
        <v>15171.289962220802</v>
      </c>
      <c r="J30" s="5">
        <f>Table4[[#This Row],[Aug]]*$B30</f>
        <v>16365.447433631431</v>
      </c>
      <c r="K30" s="5">
        <f>Table4[[#This Row],[Sep]]*$B30</f>
        <v>16283.93347443618</v>
      </c>
      <c r="L30" s="5">
        <f>Table4[[#This Row],[Oct]]*$B30</f>
        <v>15891.080252714639</v>
      </c>
      <c r="M30" s="5">
        <f>Table4[[#This Row],[Nov]]*$B30</f>
        <v>15343.218323723426</v>
      </c>
      <c r="N30" s="5">
        <f>Table4[[#This Row],[Dec]]*$B30</f>
        <v>16261.638305056289</v>
      </c>
    </row>
    <row r="31" spans="1:14" ht="14.25" customHeight="1" x14ac:dyDescent="0.3">
      <c r="A31" t="s">
        <v>122</v>
      </c>
      <c r="B31">
        <v>0.9</v>
      </c>
      <c r="C31" s="5">
        <f>Table4[[#This Row],[Jan]]*$B31</f>
        <v>22241.7</v>
      </c>
      <c r="D31" s="5">
        <f>Table4[[#This Row],[Feb]]*$B31</f>
        <v>19450.8</v>
      </c>
      <c r="E31" s="5">
        <f>Table4[[#This Row],[Mar]]*$B31</f>
        <v>19575</v>
      </c>
      <c r="F31" s="5">
        <f>Table4[[#This Row],[Apr]]*$B31</f>
        <v>15792.300000000001</v>
      </c>
      <c r="G31" s="5">
        <f>Table4[[#This Row],[May]]*$B31</f>
        <v>13477.5</v>
      </c>
      <c r="H31" s="5">
        <f>Table4[[#This Row],[Jun]]*$B31</f>
        <v>12124.800000000001</v>
      </c>
      <c r="I31" s="5">
        <f>Table4[[#This Row],[Jul]]*$B31</f>
        <v>13099.5</v>
      </c>
      <c r="J31" s="5">
        <f>Table4[[#This Row],[Aug]]*$B31</f>
        <v>15450.300000000001</v>
      </c>
      <c r="K31" s="5">
        <f>Table4[[#This Row],[Sep]]*$B31</f>
        <v>16583.400000000001</v>
      </c>
      <c r="L31" s="5">
        <f>Table4[[#This Row],[Oct]]*$B31</f>
        <v>19432.8</v>
      </c>
      <c r="M31" s="5">
        <f>Table4[[#This Row],[Nov]]*$B31</f>
        <v>20010.600000000002</v>
      </c>
      <c r="N31" s="5">
        <f>Table4[[#This Row],[Dec]]*$B31</f>
        <v>22485.600000000002</v>
      </c>
    </row>
    <row r="32" spans="1:14" ht="14.25" customHeight="1" x14ac:dyDescent="0.3">
      <c r="A32" t="s">
        <v>124</v>
      </c>
      <c r="B32">
        <v>0.85</v>
      </c>
      <c r="C32" s="5">
        <f>Table4[[#This Row],[Jan]]*$B32</f>
        <v>61302.85</v>
      </c>
      <c r="D32" s="5">
        <f>Table4[[#This Row],[Feb]]*$B32</f>
        <v>55639.299999999996</v>
      </c>
      <c r="E32" s="5">
        <f>Table4[[#This Row],[Mar]]*$B32</f>
        <v>58024.4</v>
      </c>
      <c r="F32" s="5">
        <f>Table4[[#This Row],[Apr]]*$B32</f>
        <v>48946.400000000001</v>
      </c>
      <c r="G32" s="5">
        <f>Table4[[#This Row],[May]]*$B32</f>
        <v>44310.5</v>
      </c>
      <c r="H32" s="5">
        <f>Table4[[#This Row],[Jun]]*$B32</f>
        <v>40933.449999999997</v>
      </c>
      <c r="I32" s="5">
        <f>Table4[[#This Row],[Jul]]*$B32</f>
        <v>43977.299999999996</v>
      </c>
      <c r="J32" s="5">
        <f>Table4[[#This Row],[Aug]]*$B32</f>
        <v>48620.85</v>
      </c>
      <c r="K32" s="5">
        <f>Table4[[#This Row],[Sep]]*$B32</f>
        <v>50331.049999999996</v>
      </c>
      <c r="L32" s="5">
        <f>Table4[[#This Row],[Oct]]*$B32</f>
        <v>55230.45</v>
      </c>
      <c r="M32" s="5">
        <f>Table4[[#This Row],[Nov]]*$B32</f>
        <v>56583.65</v>
      </c>
      <c r="N32" s="5">
        <f>Table4[[#This Row],[Dec]]*$B32</f>
        <v>61075.9</v>
      </c>
    </row>
    <row r="33" spans="1:14" ht="14.25" customHeight="1" x14ac:dyDescent="0.3">
      <c r="A33" t="s">
        <v>127</v>
      </c>
      <c r="B33">
        <v>0.8</v>
      </c>
      <c r="C33" s="5">
        <f>Table4[[#This Row],[Jan]]*$B33</f>
        <v>14107.2</v>
      </c>
      <c r="D33" s="5">
        <f>Table4[[#This Row],[Feb]]*$B33</f>
        <v>13178.400000000001</v>
      </c>
      <c r="E33" s="5">
        <f>Table4[[#This Row],[Mar]]*$B33</f>
        <v>15390.400000000001</v>
      </c>
      <c r="F33" s="5">
        <f>Table4[[#This Row],[Apr]]*$B33</f>
        <v>13652</v>
      </c>
      <c r="G33" s="5">
        <f>Table4[[#This Row],[May]]*$B33</f>
        <v>13508.800000000001</v>
      </c>
      <c r="H33" s="5">
        <f>Table4[[#This Row],[Jun]]*$B33</f>
        <v>12879.2</v>
      </c>
      <c r="I33" s="5">
        <f>Table4[[#This Row],[Jul]]*$B33</f>
        <v>13680.800000000001</v>
      </c>
      <c r="J33" s="5">
        <f>Table4[[#This Row],[Aug]]*$B33</f>
        <v>13878.400000000001</v>
      </c>
      <c r="K33" s="5">
        <f>Table4[[#This Row],[Sep]]*$B33</f>
        <v>13503.2</v>
      </c>
      <c r="L33" s="5">
        <f>Table4[[#This Row],[Oct]]*$B33</f>
        <v>12755.2</v>
      </c>
      <c r="M33" s="5">
        <f>Table4[[#This Row],[Nov]]*$B33</f>
        <v>11784.800000000001</v>
      </c>
      <c r="N33" s="5">
        <f>Table4[[#This Row],[Dec]]*$B33</f>
        <v>12301.6</v>
      </c>
    </row>
    <row r="34" spans="1:14" ht="14.25" customHeight="1" x14ac:dyDescent="0.3">
      <c r="A34" t="s">
        <v>234</v>
      </c>
      <c r="B34">
        <v>0.9</v>
      </c>
      <c r="C34" s="5">
        <f>Table4[[#This Row],[Jan]]*$B34</f>
        <v>53361.9</v>
      </c>
      <c r="D34" s="5">
        <f>Table4[[#This Row],[Feb]]*$B34</f>
        <v>43750.8</v>
      </c>
      <c r="E34" s="5">
        <f>Table4[[#This Row],[Mar]]*$B34</f>
        <v>40931.1</v>
      </c>
      <c r="F34" s="5">
        <f>Table4[[#This Row],[Apr]]*$B34</f>
        <v>29080.799999999999</v>
      </c>
      <c r="G34" s="5">
        <f>Table4[[#This Row],[May]]*$B34</f>
        <v>21434.400000000001</v>
      </c>
      <c r="H34" s="5">
        <f>Table4[[#This Row],[Jun]]*$B34</f>
        <v>17483.400000000001</v>
      </c>
      <c r="I34" s="5">
        <f>Table4[[#This Row],[Jul]]*$B34</f>
        <v>19783.8</v>
      </c>
      <c r="J34" s="5">
        <f>Table4[[#This Row],[Aug]]*$B34</f>
        <v>25524</v>
      </c>
      <c r="K34" s="5">
        <f>Table4[[#This Row],[Sep]]*$B34</f>
        <v>33381.9</v>
      </c>
      <c r="L34" s="5">
        <f>Table4[[#This Row],[Oct]]*$B34</f>
        <v>43038</v>
      </c>
      <c r="M34" s="5">
        <f>Table4[[#This Row],[Nov]]*$B34</f>
        <v>49565.700000000004</v>
      </c>
      <c r="N34" s="5">
        <f>Table4[[#This Row],[Dec]]*$B34</f>
        <v>54135.9</v>
      </c>
    </row>
    <row r="35" spans="1:14" ht="14.25" customHeight="1" x14ac:dyDescent="0.3">
      <c r="A35" t="s">
        <v>131</v>
      </c>
      <c r="B35">
        <v>0.9</v>
      </c>
      <c r="C35" s="5">
        <f>Table4[[#This Row],[Jan]]*$B35</f>
        <v>5361.3</v>
      </c>
      <c r="D35" s="5">
        <f>Table4[[#This Row],[Feb]]*$B35</f>
        <v>4869</v>
      </c>
      <c r="E35" s="5">
        <f>Table4[[#This Row],[Mar]]*$B35</f>
        <v>5370.3</v>
      </c>
      <c r="F35" s="5">
        <f>Table4[[#This Row],[Apr]]*$B35</f>
        <v>5150.7</v>
      </c>
      <c r="G35" s="5">
        <f>Table4[[#This Row],[May]]*$B35</f>
        <v>5477.4000000000005</v>
      </c>
      <c r="H35" s="5">
        <f>Table4[[#This Row],[Jun]]*$B35</f>
        <v>5296.5</v>
      </c>
      <c r="I35" s="5">
        <f>Table4[[#This Row],[Jul]]*$B35</f>
        <v>5700.6</v>
      </c>
      <c r="J35" s="5">
        <f>Table4[[#This Row],[Aug]]*$B35</f>
        <v>5969.7</v>
      </c>
      <c r="K35" s="5">
        <f>Table4[[#This Row],[Sep]]*$B35</f>
        <v>5915.7</v>
      </c>
      <c r="L35" s="5">
        <f>Table4[[#This Row],[Oct]]*$B35</f>
        <v>5814.9000000000005</v>
      </c>
      <c r="M35" s="5">
        <f>Table4[[#This Row],[Nov]]*$B35</f>
        <v>5410.8</v>
      </c>
      <c r="N35" s="5">
        <f>Table4[[#This Row],[Dec]]*$B35</f>
        <v>5530.5</v>
      </c>
    </row>
    <row r="36" spans="1:14" ht="14.25" customHeight="1" x14ac:dyDescent="0.3">
      <c r="A36" t="s">
        <v>134</v>
      </c>
      <c r="B36">
        <v>0.9</v>
      </c>
      <c r="C36" s="5">
        <f>Table4[[#This Row],[Jan]]*$B36</f>
        <v>40416.300000000003</v>
      </c>
      <c r="D36" s="5">
        <f>Table4[[#This Row],[Feb]]*$B36</f>
        <v>33988.5</v>
      </c>
      <c r="E36" s="5">
        <f>Table4[[#This Row],[Mar]]*$B36</f>
        <v>35132.400000000001</v>
      </c>
      <c r="F36" s="5">
        <f>Table4[[#This Row],[Apr]]*$B36</f>
        <v>29903.4</v>
      </c>
      <c r="G36" s="5">
        <f>Table4[[#This Row],[May]]*$B36</f>
        <v>28383.3</v>
      </c>
      <c r="H36" s="5">
        <f>Table4[[#This Row],[Jun]]*$B36</f>
        <v>25641.9</v>
      </c>
      <c r="I36" s="5">
        <f>Table4[[#This Row],[Jul]]*$B36</f>
        <v>28361.7</v>
      </c>
      <c r="J36" s="5">
        <f>Table4[[#This Row],[Aug]]*$B36</f>
        <v>33006.6</v>
      </c>
      <c r="K36" s="5">
        <f>Table4[[#This Row],[Sep]]*$B36</f>
        <v>36521.1</v>
      </c>
      <c r="L36" s="5">
        <f>Table4[[#This Row],[Oct]]*$B36</f>
        <v>39682.800000000003</v>
      </c>
      <c r="M36" s="5">
        <f>Table4[[#This Row],[Nov]]*$B36</f>
        <v>39748.5</v>
      </c>
      <c r="N36" s="5">
        <f>Table4[[#This Row],[Dec]]*$B36</f>
        <v>42519.6</v>
      </c>
    </row>
    <row r="37" spans="1:14" ht="14.25" customHeight="1" x14ac:dyDescent="0.3">
      <c r="A37" t="s">
        <v>138</v>
      </c>
      <c r="B37">
        <v>1</v>
      </c>
      <c r="C37" s="5">
        <f>Table4[[#This Row],[Jan]]*$B37</f>
        <v>23544</v>
      </c>
      <c r="D37" s="5">
        <f>Table4[[#This Row],[Feb]]*$B37</f>
        <v>21677</v>
      </c>
      <c r="E37" s="5">
        <f>Table4[[#This Row],[Mar]]*$B37</f>
        <v>24212</v>
      </c>
      <c r="F37" s="5">
        <f>Table4[[#This Row],[Apr]]*$B37</f>
        <v>20861</v>
      </c>
      <c r="G37" s="5">
        <f>Table4[[#This Row],[May]]*$B37</f>
        <v>20012</v>
      </c>
      <c r="H37" s="5">
        <f>Table4[[#This Row],[Jun]]*$B37</f>
        <v>18485</v>
      </c>
      <c r="I37" s="5">
        <f>Table4[[#This Row],[Jul]]*$B37</f>
        <v>20016</v>
      </c>
      <c r="J37" s="5">
        <f>Table4[[#This Row],[Aug]]*$B37</f>
        <v>21052</v>
      </c>
      <c r="K37" s="5">
        <f>Table4[[#This Row],[Sep]]*$B37</f>
        <v>21403</v>
      </c>
      <c r="L37" s="5">
        <f>Table4[[#This Row],[Oct]]*$B37</f>
        <v>20962</v>
      </c>
      <c r="M37" s="5">
        <f>Table4[[#This Row],[Nov]]*$B37</f>
        <v>19856</v>
      </c>
      <c r="N37" s="5">
        <f>Table4[[#This Row],[Dec]]*$B37</f>
        <v>21184</v>
      </c>
    </row>
    <row r="38" spans="1:14" ht="14.25" customHeight="1" x14ac:dyDescent="0.3">
      <c r="A38" t="s">
        <v>220</v>
      </c>
      <c r="B38">
        <v>0.9</v>
      </c>
      <c r="C38" s="5">
        <f>Table4[[#This Row],[Jan]]*$B38</f>
        <v>46872</v>
      </c>
      <c r="D38" s="5">
        <f>Table4[[#This Row],[Feb]]*$B38</f>
        <v>40989.599999999999</v>
      </c>
      <c r="E38" s="5">
        <f>Table4[[#This Row],[Mar]]*$B38</f>
        <v>39989.700000000004</v>
      </c>
      <c r="F38" s="5">
        <f>Table4[[#This Row],[Apr]]*$B38</f>
        <v>34783.200000000004</v>
      </c>
      <c r="G38" s="5">
        <f>Table4[[#This Row],[May]]*$B38</f>
        <v>32139</v>
      </c>
      <c r="H38" s="5">
        <f>Table4[[#This Row],[Jun]]*$B38</f>
        <v>28357.200000000001</v>
      </c>
      <c r="I38" s="5">
        <f>Table4[[#This Row],[Jul]]*$B38</f>
        <v>31229.100000000002</v>
      </c>
      <c r="J38" s="5">
        <f>Table4[[#This Row],[Aug]]*$B38</f>
        <v>36815.4</v>
      </c>
      <c r="K38" s="5">
        <f>Table4[[#This Row],[Sep]]*$B38</f>
        <v>40778.1</v>
      </c>
      <c r="L38" s="5">
        <f>Table4[[#This Row],[Oct]]*$B38</f>
        <v>46212.3</v>
      </c>
      <c r="M38" s="5">
        <f>Table4[[#This Row],[Nov]]*$B38</f>
        <v>46653.3</v>
      </c>
      <c r="N38" s="5">
        <f>Table4[[#This Row],[Dec]]*$B38</f>
        <v>47656.800000000003</v>
      </c>
    </row>
    <row r="39" spans="1:14" ht="14.25" customHeight="1" x14ac:dyDescent="0.3">
      <c r="A39" t="s">
        <v>222</v>
      </c>
      <c r="B39">
        <v>0.9</v>
      </c>
      <c r="C39" s="5">
        <f>Table4[[#This Row],[Jan]]*$B39</f>
        <v>12369.6</v>
      </c>
      <c r="D39" s="5">
        <f>Table4[[#This Row],[Feb]]*$B39</f>
        <v>10801.800000000001</v>
      </c>
      <c r="E39" s="5">
        <f>Table4[[#This Row],[Mar]]*$B39</f>
        <v>10537.2</v>
      </c>
      <c r="F39" s="5">
        <f>Table4[[#This Row],[Apr]]*$B39</f>
        <v>9173.7000000000007</v>
      </c>
      <c r="G39" s="5">
        <f>Table4[[#This Row],[May]]*$B39</f>
        <v>8503.2000000000007</v>
      </c>
      <c r="H39" s="5">
        <f>Table4[[#This Row],[Jun]]*$B39</f>
        <v>7545.6</v>
      </c>
      <c r="I39" s="5">
        <f>Table4[[#This Row],[Jul]]*$B39</f>
        <v>8307</v>
      </c>
      <c r="J39" s="5">
        <f>Table4[[#This Row],[Aug]]*$B39</f>
        <v>9720.9</v>
      </c>
      <c r="K39" s="5">
        <f>Table4[[#This Row],[Sep]]*$B39</f>
        <v>10755.9</v>
      </c>
      <c r="L39" s="5">
        <f>Table4[[#This Row],[Oct]]*$B39</f>
        <v>12190.5</v>
      </c>
      <c r="M39" s="5">
        <f>Table4[[#This Row],[Nov]]*$B39</f>
        <v>12263.4</v>
      </c>
      <c r="N39" s="5">
        <f>Table4[[#This Row],[Dec]]*$B39</f>
        <v>12539.7</v>
      </c>
    </row>
    <row r="40" spans="1:14" ht="14.25" customHeight="1" x14ac:dyDescent="0.3">
      <c r="A40" t="s">
        <v>142</v>
      </c>
      <c r="B40">
        <v>0.9</v>
      </c>
      <c r="C40" s="5">
        <f>Table4[[#This Row],[Jan]]*$B40</f>
        <v>5685.3</v>
      </c>
      <c r="D40" s="5">
        <f>Table4[[#This Row],[Feb]]*$B40</f>
        <v>4780.8</v>
      </c>
      <c r="E40" s="5">
        <f>Table4[[#This Row],[Mar]]*$B40</f>
        <v>4935.6000000000004</v>
      </c>
      <c r="F40" s="5">
        <f>Table4[[#This Row],[Apr]]*$B40</f>
        <v>4359.6000000000004</v>
      </c>
      <c r="G40" s="5">
        <f>Table4[[#This Row],[May]]*$B40</f>
        <v>4194</v>
      </c>
      <c r="H40" s="5">
        <f>Table4[[#This Row],[Jun]]*$B40</f>
        <v>3818.7000000000003</v>
      </c>
      <c r="I40" s="5">
        <f>Table4[[#This Row],[Jul]]*$B40</f>
        <v>4217.4000000000005</v>
      </c>
      <c r="J40" s="5">
        <f>Table4[[#This Row],[Aug]]*$B40</f>
        <v>4844.7</v>
      </c>
      <c r="K40" s="5">
        <f>Table4[[#This Row],[Sep]]*$B40</f>
        <v>5300.1</v>
      </c>
      <c r="L40" s="5">
        <f>Table4[[#This Row],[Oct]]*$B40</f>
        <v>5667.3</v>
      </c>
      <c r="M40" s="5">
        <f>Table4[[#This Row],[Nov]]*$B40</f>
        <v>5624.1</v>
      </c>
      <c r="N40" s="5">
        <f>Table4[[#This Row],[Dec]]*$B40</f>
        <v>5995.8</v>
      </c>
    </row>
    <row r="41" spans="1:14" ht="14.25" customHeight="1" x14ac:dyDescent="0.3">
      <c r="A41" t="s">
        <v>145</v>
      </c>
      <c r="B41">
        <v>0.9</v>
      </c>
      <c r="C41" s="5">
        <f>Table4[[#This Row],[Jan]]*$B41</f>
        <v>41208.479999999996</v>
      </c>
      <c r="D41" s="5">
        <f>Table4[[#This Row],[Feb]]*$B41</f>
        <v>35976.15</v>
      </c>
      <c r="E41" s="5">
        <f>Table4[[#This Row],[Mar]]*$B41</f>
        <v>36559.979999999996</v>
      </c>
      <c r="F41" s="5">
        <f>Table4[[#This Row],[Apr]]*$B41</f>
        <v>33604.11</v>
      </c>
      <c r="G41" s="5">
        <f>Table4[[#This Row],[May]]*$B41</f>
        <v>32958.629999999997</v>
      </c>
      <c r="H41" s="5">
        <f>Table4[[#This Row],[Jun]]*$B41</f>
        <v>30018.221190000004</v>
      </c>
      <c r="I41" s="5">
        <f>Table4[[#This Row],[Jul]]*$B41</f>
        <v>32459.809590000001</v>
      </c>
      <c r="J41" s="5">
        <f>Table4[[#This Row],[Aug]]*$B41</f>
        <v>36506.125710000008</v>
      </c>
      <c r="K41" s="5">
        <f>Table4[[#This Row],[Sep]]*$B41</f>
        <v>37370.869830000003</v>
      </c>
      <c r="L41" s="5">
        <f>Table4[[#This Row],[Oct]]*$B41</f>
        <v>40182.986250000002</v>
      </c>
      <c r="M41" s="5">
        <f>Table4[[#This Row],[Nov]]*$B41</f>
        <v>40330.536120000004</v>
      </c>
      <c r="N41" s="5">
        <f>Table4[[#This Row],[Dec]]*$B41</f>
        <v>42601.427820000004</v>
      </c>
    </row>
    <row r="42" spans="1:14" ht="14.25" customHeight="1" x14ac:dyDescent="0.3">
      <c r="A42" t="s">
        <v>149</v>
      </c>
      <c r="B42">
        <v>0.75</v>
      </c>
      <c r="C42" s="5">
        <f>Table4[[#This Row],[Jan]]*$B42</f>
        <v>8591.0250000000015</v>
      </c>
      <c r="D42" s="5">
        <f>Table4[[#This Row],[Feb]]*$B42</f>
        <v>7466.4749999999995</v>
      </c>
      <c r="E42" s="5">
        <f>Table4[[#This Row],[Mar]]*$B42</f>
        <v>7931.8499999999995</v>
      </c>
      <c r="F42" s="5">
        <f>Table4[[#This Row],[Apr]]*$B42</f>
        <v>6987.1500000000005</v>
      </c>
      <c r="G42" s="5">
        <f>Table4[[#This Row],[May]]*$B42</f>
        <v>6858.5250000000005</v>
      </c>
      <c r="H42" s="5">
        <f>Table4[[#This Row],[Jun]]*$B42</f>
        <v>6375.4500000000007</v>
      </c>
      <c r="I42" s="5">
        <f>Table4[[#This Row],[Jul]]*$B42</f>
        <v>6946.7249999999995</v>
      </c>
      <c r="J42" s="5">
        <f>Table4[[#This Row],[Aug]]*$B42</f>
        <v>7852.6500000000005</v>
      </c>
      <c r="K42" s="5">
        <f>Table4[[#This Row],[Sep]]*$B42</f>
        <v>8347.0499999999993</v>
      </c>
      <c r="L42" s="5">
        <f>Table4[[#This Row],[Oct]]*$B42</f>
        <v>8786.625</v>
      </c>
      <c r="M42" s="5">
        <f>Table4[[#This Row],[Nov]]*$B42</f>
        <v>8551.7999999999993</v>
      </c>
      <c r="N42" s="5">
        <f>Table4[[#This Row],[Dec]]*$B42</f>
        <v>9109.0499999999993</v>
      </c>
    </row>
    <row r="43" spans="1:14" ht="14.25" customHeight="1" x14ac:dyDescent="0.3">
      <c r="A43" t="s">
        <v>152</v>
      </c>
      <c r="B43">
        <v>0.8</v>
      </c>
      <c r="C43" s="5">
        <f>Table4[[#This Row],[Jan]]*$B43</f>
        <v>11540.960000000001</v>
      </c>
      <c r="D43" s="5">
        <f>Table4[[#This Row],[Feb]]*$B43</f>
        <v>9862.32</v>
      </c>
      <c r="E43" s="5">
        <f>Table4[[#This Row],[Mar]]*$B43</f>
        <v>10345.44</v>
      </c>
      <c r="F43" s="5">
        <f>Table4[[#This Row],[Apr]]*$B43</f>
        <v>8819.52</v>
      </c>
      <c r="G43" s="5">
        <f>Table4[[#This Row],[May]]*$B43</f>
        <v>8538.08</v>
      </c>
      <c r="H43" s="5">
        <f>Table4[[#This Row],[Jun]]*$B43</f>
        <v>7700</v>
      </c>
      <c r="I43" s="5">
        <f>Table4[[#This Row],[Jul]]*$B43</f>
        <v>8487.2000000000007</v>
      </c>
      <c r="J43" s="5">
        <f>Table4[[#This Row],[Aug]]*$B43</f>
        <v>9810.4800000000014</v>
      </c>
      <c r="K43" s="5">
        <f>Table4[[#This Row],[Sep]]*$B43</f>
        <v>10706.480000000001</v>
      </c>
      <c r="L43" s="5">
        <f>Table4[[#This Row],[Oct]]*$B43</f>
        <v>11410.400000000001</v>
      </c>
      <c r="M43" s="5">
        <f>Table4[[#This Row],[Nov]]*$B43</f>
        <v>11340.400000000001</v>
      </c>
      <c r="N43" s="5">
        <f>Table4[[#This Row],[Dec]]*$B43</f>
        <v>12102.560000000001</v>
      </c>
    </row>
    <row r="44" spans="1:14" ht="14.25" customHeight="1" x14ac:dyDescent="0.3">
      <c r="A44" t="s">
        <v>155</v>
      </c>
      <c r="B44">
        <v>0.9</v>
      </c>
      <c r="C44" s="5">
        <f>Table4[[#This Row],[Jan]]*$B44</f>
        <v>4894.2900000000009</v>
      </c>
      <c r="D44" s="5">
        <f>Table4[[#This Row],[Feb]]*$B44</f>
        <v>4527.45</v>
      </c>
      <c r="E44" s="5">
        <f>Table4[[#This Row],[Mar]]*$B44</f>
        <v>4754.25</v>
      </c>
      <c r="F44" s="5">
        <f>Table4[[#This Row],[Apr]]*$B44</f>
        <v>4171.59</v>
      </c>
      <c r="G44" s="5">
        <f>Table4[[#This Row],[May]]*$B44</f>
        <v>4117.5</v>
      </c>
      <c r="H44" s="5">
        <f>Table4[[#This Row],[Jun]]*$B44</f>
        <v>3729.06</v>
      </c>
      <c r="I44" s="5">
        <f>Table4[[#This Row],[Jul]]*$B44</f>
        <v>4105.53</v>
      </c>
      <c r="J44" s="5">
        <f>Table4[[#This Row],[Aug]]*$B44</f>
        <v>4624.83</v>
      </c>
      <c r="K44" s="5">
        <f>Table4[[#This Row],[Sep]]*$B44</f>
        <v>4797</v>
      </c>
      <c r="L44" s="5">
        <f>Table4[[#This Row],[Oct]]*$B44</f>
        <v>5068.9799999999996</v>
      </c>
      <c r="M44" s="5">
        <f>Table4[[#This Row],[Nov]]*$B44</f>
        <v>4862.88</v>
      </c>
      <c r="N44" s="5">
        <f>Table4[[#This Row],[Dec]]*$B44</f>
        <v>5082.3900000000003</v>
      </c>
    </row>
    <row r="45" spans="1:14" ht="14.25" customHeight="1" x14ac:dyDescent="0.3">
      <c r="A45" t="s">
        <v>157</v>
      </c>
      <c r="B45">
        <v>0.9</v>
      </c>
      <c r="C45" s="5">
        <f>Table4[[#This Row],[Jan]]*$B45</f>
        <v>5902.47</v>
      </c>
      <c r="D45" s="5">
        <f>Table4[[#This Row],[Feb]]*$B45</f>
        <v>5299.2</v>
      </c>
      <c r="E45" s="5">
        <f>Table4[[#This Row],[Mar]]*$B45</f>
        <v>5701.86</v>
      </c>
      <c r="F45" s="5">
        <f>Table4[[#This Row],[Apr]]*$B45</f>
        <v>5085.9000000000005</v>
      </c>
      <c r="G45" s="5">
        <f>Table4[[#This Row],[May]]*$B45</f>
        <v>5204.6099999999997</v>
      </c>
      <c r="H45" s="5">
        <f>Table4[[#This Row],[Jun]]*$B45</f>
        <v>4824.3599999999997</v>
      </c>
      <c r="I45" s="5">
        <f>Table4[[#This Row],[Jul]]*$B45</f>
        <v>5303.16</v>
      </c>
      <c r="J45" s="5">
        <f>Table4[[#This Row],[Aug]]*$B45</f>
        <v>5833.08</v>
      </c>
      <c r="K45" s="5">
        <f>Table4[[#This Row],[Sep]]*$B45</f>
        <v>6021.8099999999995</v>
      </c>
      <c r="L45" s="5">
        <f>Table4[[#This Row],[Oct]]*$B45</f>
        <v>6128.91</v>
      </c>
      <c r="M45" s="5">
        <f>Table4[[#This Row],[Nov]]*$B45</f>
        <v>5928.5700000000006</v>
      </c>
      <c r="N45" s="5">
        <f>Table4[[#This Row],[Dec]]*$B45</f>
        <v>6186.6900000000005</v>
      </c>
    </row>
    <row r="46" spans="1:14" ht="14.25" customHeight="1" x14ac:dyDescent="0.3">
      <c r="A46" t="s">
        <v>160</v>
      </c>
      <c r="B46">
        <v>0.85</v>
      </c>
      <c r="C46" s="5">
        <f>Table4[[#This Row],[Jan]]*$B46</f>
        <v>17099.45</v>
      </c>
      <c r="D46" s="5">
        <f>Table4[[#This Row],[Feb]]*$B46</f>
        <v>15031.4</v>
      </c>
      <c r="E46" s="5">
        <f>Table4[[#This Row],[Mar]]*$B46</f>
        <v>16289.4</v>
      </c>
      <c r="F46" s="5">
        <f>Table4[[#This Row],[Apr]]*$B46</f>
        <v>14250.25</v>
      </c>
      <c r="G46" s="5">
        <f>Table4[[#This Row],[May]]*$B46</f>
        <v>14783.199999999999</v>
      </c>
      <c r="H46" s="5">
        <f>Table4[[#This Row],[Jun]]*$B46</f>
        <v>13871.15</v>
      </c>
      <c r="I46" s="5">
        <f>Table4[[#This Row],[Jul]]*$B46</f>
        <v>15110.449999999999</v>
      </c>
      <c r="J46" s="5">
        <f>Table4[[#This Row],[Aug]]*$B46</f>
        <v>16763.7</v>
      </c>
      <c r="K46" s="5">
        <f>Table4[[#This Row],[Sep]]*$B46</f>
        <v>16935.399999999998</v>
      </c>
      <c r="L46" s="5">
        <f>Table4[[#This Row],[Oct]]*$B46</f>
        <v>17583.95</v>
      </c>
      <c r="M46" s="5">
        <f>Table4[[#This Row],[Nov]]*$B46</f>
        <v>16597.099999999999</v>
      </c>
      <c r="N46" s="5">
        <f>Table4[[#This Row],[Dec]]*$B46</f>
        <v>17731</v>
      </c>
    </row>
    <row r="47" spans="1:14" ht="14.25" customHeight="1" x14ac:dyDescent="0.3">
      <c r="A47" t="s">
        <v>163</v>
      </c>
      <c r="B47">
        <v>0.84532499999999999</v>
      </c>
      <c r="C47" s="5">
        <f>Table4[[#This Row],[Jan]]*$B47</f>
        <v>5191.4789549999996</v>
      </c>
      <c r="D47" s="5">
        <f>Table4[[#This Row],[Feb]]*$B47</f>
        <v>4656.5572950000005</v>
      </c>
      <c r="E47" s="5">
        <f>Table4[[#This Row],[Mar]]*$B47</f>
        <v>5018.2718624999998</v>
      </c>
      <c r="F47" s="5">
        <f>Table4[[#This Row],[Apr]]*$B47</f>
        <v>4498.5660524999994</v>
      </c>
      <c r="G47" s="5">
        <f>Table4[[#This Row],[May]]*$B47</f>
        <v>4604.0626124999999</v>
      </c>
      <c r="H47" s="5">
        <f>Table4[[#This Row],[Jun]]*$B47</f>
        <v>4265.4254174999996</v>
      </c>
      <c r="I47" s="5">
        <f>Table4[[#This Row],[Jul]]*$B47</f>
        <v>4694.8505175</v>
      </c>
      <c r="J47" s="5">
        <f>Table4[[#This Row],[Aug]]*$B47</f>
        <v>5144.2252875000004</v>
      </c>
      <c r="K47" s="5">
        <f>Table4[[#This Row],[Sep]]*$B47</f>
        <v>5295.0312674999996</v>
      </c>
      <c r="L47" s="5">
        <f>Table4[[#This Row],[Oct]]*$B47</f>
        <v>5391.4828500000003</v>
      </c>
      <c r="M47" s="5">
        <f>Table4[[#This Row],[Nov]]*$B47</f>
        <v>5210.6678325000003</v>
      </c>
      <c r="N47" s="5">
        <f>Table4[[#This Row],[Dec]]*$B47</f>
        <v>5439.6663749999998</v>
      </c>
    </row>
    <row r="48" spans="1:14" ht="14.25" customHeight="1" x14ac:dyDescent="0.3">
      <c r="A48" t="s">
        <v>166</v>
      </c>
      <c r="B48">
        <v>0.9</v>
      </c>
      <c r="C48" s="5">
        <f>Table4[[#This Row],[Jan]]*$B48</f>
        <v>23005.8</v>
      </c>
      <c r="D48" s="5">
        <f>Table4[[#This Row],[Feb]]*$B48</f>
        <v>19888.2</v>
      </c>
      <c r="E48" s="5">
        <f>Table4[[#This Row],[Mar]]*$B48</f>
        <v>21952.799999999999</v>
      </c>
      <c r="F48" s="5">
        <f>Table4[[#This Row],[Apr]]*$B48</f>
        <v>21444.3</v>
      </c>
      <c r="G48" s="5">
        <f>Table4[[#This Row],[May]]*$B48</f>
        <v>20688.3</v>
      </c>
      <c r="H48" s="5">
        <f>Table4[[#This Row],[Jun]]*$B48</f>
        <v>18646.2</v>
      </c>
      <c r="I48" s="5">
        <f>Table4[[#This Row],[Jul]]*$B48</f>
        <v>19629.900000000001</v>
      </c>
      <c r="J48" s="5">
        <f>Table4[[#This Row],[Aug]]*$B48</f>
        <v>22998.600000000002</v>
      </c>
      <c r="K48" s="5">
        <f>Table4[[#This Row],[Sep]]*$B48</f>
        <v>22670.100000000002</v>
      </c>
      <c r="L48" s="5">
        <f>Table4[[#This Row],[Oct]]*$B48</f>
        <v>22045.5</v>
      </c>
      <c r="M48" s="5">
        <f>Table4[[#This Row],[Nov]]*$B48</f>
        <v>22062.600000000002</v>
      </c>
      <c r="N48" s="5">
        <f>Table4[[#This Row],[Dec]]*$B48</f>
        <v>23333.4</v>
      </c>
    </row>
    <row r="49" spans="1:14" ht="14.25" customHeight="1" x14ac:dyDescent="0.3">
      <c r="A49" t="s">
        <v>169</v>
      </c>
      <c r="B49">
        <v>0.85</v>
      </c>
      <c r="C49" s="5">
        <f>Table4[[#This Row],[Jan]]*$B49</f>
        <v>3308.4549999999999</v>
      </c>
      <c r="D49" s="5">
        <f>Table4[[#This Row],[Feb]]*$B49</f>
        <v>2856.5949999999998</v>
      </c>
      <c r="E49" s="5">
        <f>Table4[[#This Row],[Mar]]*$B49</f>
        <v>3155.625</v>
      </c>
      <c r="F49" s="5">
        <f>Table4[[#This Row],[Apr]]*$B49</f>
        <v>3081.8449999999998</v>
      </c>
      <c r="G49" s="5">
        <f>Table4[[#This Row],[May]]*$B49</f>
        <v>2972.875</v>
      </c>
      <c r="H49" s="5">
        <f>Table4[[#This Row],[Jun]]*$B49</f>
        <v>2678.69</v>
      </c>
      <c r="I49" s="5">
        <f>Table4[[#This Row],[Jul]]*$B49</f>
        <v>2819.0250000000001</v>
      </c>
      <c r="J49" s="5">
        <f>Table4[[#This Row],[Aug]]*$B49</f>
        <v>3304.375</v>
      </c>
      <c r="K49" s="5">
        <f>Table4[[#This Row],[Sep]]*$B49</f>
        <v>3255.7550000000001</v>
      </c>
      <c r="L49" s="5">
        <f>Table4[[#This Row],[Oct]]*$B49</f>
        <v>3170.2449999999999</v>
      </c>
      <c r="M49" s="5">
        <f>Table4[[#This Row],[Nov]]*$B49</f>
        <v>3173.1349999999998</v>
      </c>
      <c r="N49" s="5">
        <f>Table4[[#This Row],[Dec]]*$B49</f>
        <v>3354.1849999999999</v>
      </c>
    </row>
    <row r="50" spans="1:14" ht="14.25" customHeight="1" x14ac:dyDescent="0.3">
      <c r="A50" t="s">
        <v>171</v>
      </c>
      <c r="B50">
        <v>0.95</v>
      </c>
      <c r="C50" s="5">
        <f>Table4[[#This Row],[Jan]]*$B50</f>
        <v>12489.554999999998</v>
      </c>
      <c r="D50" s="5">
        <f>Table4[[#This Row],[Feb]]*$B50</f>
        <v>10877.69</v>
      </c>
      <c r="E50" s="5">
        <f>Table4[[#This Row],[Mar]]*$B50</f>
        <v>10897.355</v>
      </c>
      <c r="F50" s="5">
        <f>Table4[[#This Row],[Apr]]*$B50</f>
        <v>8757.9549999999999</v>
      </c>
      <c r="G50" s="5">
        <f>Table4[[#This Row],[May]]*$B50</f>
        <v>7449.4249999999993</v>
      </c>
      <c r="H50" s="5">
        <f>Table4[[#This Row],[Jun]]*$B50</f>
        <v>6752.6949999999997</v>
      </c>
      <c r="I50" s="5">
        <f>Table4[[#This Row],[Jul]]*$B50</f>
        <v>7274.2449999999999</v>
      </c>
      <c r="J50" s="5">
        <f>Table4[[#This Row],[Aug]]*$B50</f>
        <v>8568.7150000000001</v>
      </c>
      <c r="K50" s="5">
        <f>Table4[[#This Row],[Sep]]*$B50</f>
        <v>9196</v>
      </c>
      <c r="L50" s="5">
        <f>Table4[[#This Row],[Oct]]*$B50</f>
        <v>10753.525</v>
      </c>
      <c r="M50" s="5">
        <f>Table4[[#This Row],[Nov]]*$B50</f>
        <v>11159.27</v>
      </c>
      <c r="N50" s="5">
        <f>Table4[[#This Row],[Dec]]*$B50</f>
        <v>12687.82</v>
      </c>
    </row>
    <row r="51" spans="1:14" ht="14.25" customHeight="1" x14ac:dyDescent="0.3">
      <c r="A51" t="s">
        <v>172</v>
      </c>
      <c r="B51">
        <v>0.95</v>
      </c>
      <c r="C51" s="5">
        <f>Table4[[#This Row],[Jan]]*$B51</f>
        <v>13218.014999999999</v>
      </c>
      <c r="D51" s="5">
        <f>Table4[[#This Row],[Feb]]*$B51</f>
        <v>10966.134999999998</v>
      </c>
      <c r="E51" s="5">
        <f>Table4[[#This Row],[Mar]]*$B51</f>
        <v>11441.134999999998</v>
      </c>
      <c r="F51" s="5">
        <f>Table4[[#This Row],[Apr]]*$B51</f>
        <v>10004.07</v>
      </c>
      <c r="G51" s="5">
        <f>Table4[[#This Row],[May]]*$B51</f>
        <v>8979.59</v>
      </c>
      <c r="H51" s="5">
        <f>Table4[[#This Row],[Jun]]*$B51</f>
        <v>7800.2599999999993</v>
      </c>
      <c r="I51" s="5">
        <f>Table4[[#This Row],[Jul]]*$B51</f>
        <v>8635.69</v>
      </c>
      <c r="J51" s="5">
        <f>Table4[[#This Row],[Aug]]*$B51</f>
        <v>9829.9349999999995</v>
      </c>
      <c r="K51" s="5">
        <f>Table4[[#This Row],[Sep]]*$B51</f>
        <v>10568.94</v>
      </c>
      <c r="L51" s="5">
        <f>Table4[[#This Row],[Oct]]*$B51</f>
        <v>11606.34</v>
      </c>
      <c r="M51" s="5">
        <f>Table4[[#This Row],[Nov]]*$B51</f>
        <v>12483.284999999998</v>
      </c>
      <c r="N51" s="5">
        <f>Table4[[#This Row],[Dec]]*$B51</f>
        <v>13393.574999999999</v>
      </c>
    </row>
    <row r="52" spans="1:14" ht="14.25" customHeight="1" x14ac:dyDescent="0.3">
      <c r="A52" t="s">
        <v>265</v>
      </c>
      <c r="B52">
        <v>0.9</v>
      </c>
      <c r="C52" s="5">
        <f>Table4[[#This Row],[Jan]]*$B52</f>
        <v>23065.02</v>
      </c>
      <c r="D52" s="5">
        <f>Table4[[#This Row],[Feb]]*$B52</f>
        <v>20354.850000000002</v>
      </c>
      <c r="E52" s="5">
        <f>Table4[[#This Row],[Mar]]*$B52</f>
        <v>21716.37</v>
      </c>
      <c r="F52" s="5">
        <f>Table4[[#This Row],[Apr]]*$B52</f>
        <v>18847.89</v>
      </c>
      <c r="G52" s="5">
        <f>Table4[[#This Row],[May]]*$B52</f>
        <v>18700.919999999998</v>
      </c>
      <c r="H52" s="5">
        <f>Table4[[#This Row],[Jun]]*$B52</f>
        <v>17164.439999999999</v>
      </c>
      <c r="I52" s="5">
        <f>Table4[[#This Row],[Jul]]*$B52</f>
        <v>18821.97</v>
      </c>
      <c r="J52" s="5">
        <f>Table4[[#This Row],[Aug]]*$B52</f>
        <v>21497.67</v>
      </c>
      <c r="K52" s="5">
        <f>Table4[[#This Row],[Sep]]*$B52</f>
        <v>22688.37</v>
      </c>
      <c r="L52" s="5">
        <f>Table4[[#This Row],[Oct]]*$B52</f>
        <v>22841.55</v>
      </c>
      <c r="M52" s="5">
        <f>Table4[[#This Row],[Nov]]*$B52</f>
        <v>22507.919999999998</v>
      </c>
      <c r="N52" s="5">
        <f>Table4[[#This Row],[Dec]]*$B52</f>
        <v>23494.59</v>
      </c>
    </row>
    <row r="53" spans="1:14" ht="14.25" customHeight="1" x14ac:dyDescent="0.3">
      <c r="A53" t="s">
        <v>177</v>
      </c>
      <c r="B53">
        <v>0.9</v>
      </c>
      <c r="C53" s="5">
        <f>Table4[[#This Row],[Jan]]*$B53</f>
        <v>4359.6000000000004</v>
      </c>
      <c r="D53" s="5">
        <f>Table4[[#This Row],[Feb]]*$B53</f>
        <v>3825.9</v>
      </c>
      <c r="E53" s="5">
        <f>Table4[[#This Row],[Mar]]*$B53</f>
        <v>4077</v>
      </c>
      <c r="F53" s="5">
        <f>Table4[[#This Row],[Apr]]*$B53</f>
        <v>3573.9</v>
      </c>
      <c r="G53" s="5">
        <f>Table4[[#This Row],[May]]*$B53</f>
        <v>3623.4</v>
      </c>
      <c r="H53" s="5">
        <f>Table4[[#This Row],[Jun]]*$B53</f>
        <v>3360.6</v>
      </c>
      <c r="I53" s="5">
        <f>Table4[[#This Row],[Jul]]*$B53</f>
        <v>3665.7000000000003</v>
      </c>
      <c r="J53" s="5">
        <f>Table4[[#This Row],[Aug]]*$B53</f>
        <v>4104</v>
      </c>
      <c r="K53" s="5">
        <f>Table4[[#This Row],[Sep]]*$B53</f>
        <v>4274.1000000000004</v>
      </c>
      <c r="L53" s="5">
        <f>Table4[[#This Row],[Oct]]*$B53</f>
        <v>4289.4000000000005</v>
      </c>
      <c r="M53" s="5">
        <f>Table4[[#This Row],[Nov]]*$B53</f>
        <v>4249.8</v>
      </c>
      <c r="N53" s="5">
        <f>Table4[[#This Row],[Dec]]*$B53</f>
        <v>4446</v>
      </c>
    </row>
    <row r="54" spans="1:14" ht="14.25" customHeight="1" x14ac:dyDescent="0.3">
      <c r="A54" t="s">
        <v>180</v>
      </c>
      <c r="B54">
        <v>0.9</v>
      </c>
      <c r="C54" s="5">
        <f>Table4[[#This Row],[Jan]]*$B54</f>
        <v>23724</v>
      </c>
      <c r="D54" s="5">
        <f>Table4[[#This Row],[Feb]]*$B54</f>
        <v>20448</v>
      </c>
      <c r="E54" s="5">
        <f>Table4[[#This Row],[Mar]]*$B54</f>
        <v>19986.3</v>
      </c>
      <c r="F54" s="5">
        <f>Table4[[#This Row],[Apr]]*$B54</f>
        <v>17181.900000000001</v>
      </c>
      <c r="G54" s="5">
        <f>Table4[[#This Row],[May]]*$B54</f>
        <v>15369.300000000001</v>
      </c>
      <c r="H54" s="5">
        <f>Table4[[#This Row],[Jun]]*$B54</f>
        <v>13381.2</v>
      </c>
      <c r="I54" s="5">
        <f>Table4[[#This Row],[Jul]]*$B54</f>
        <v>15023.7</v>
      </c>
      <c r="J54" s="5">
        <f>Table4[[#This Row],[Aug]]*$B54</f>
        <v>18071.100000000002</v>
      </c>
      <c r="K54" s="5">
        <f>Table4[[#This Row],[Sep]]*$B54</f>
        <v>20545.2</v>
      </c>
      <c r="L54" s="5">
        <f>Table4[[#This Row],[Oct]]*$B54</f>
        <v>23411.7</v>
      </c>
      <c r="M54" s="5">
        <f>Table4[[#This Row],[Nov]]*$B54</f>
        <v>23583.600000000002</v>
      </c>
      <c r="N54" s="5">
        <f>Table4[[#This Row],[Dec]]*$B54</f>
        <v>24027.3</v>
      </c>
    </row>
    <row r="55" spans="1:14" ht="14.25" customHeight="1" x14ac:dyDescent="0.3">
      <c r="A55" t="s">
        <v>182</v>
      </c>
      <c r="B55">
        <v>0.95</v>
      </c>
      <c r="C55" s="5">
        <f>Table4[[#This Row],[Jan]]*$B55</f>
        <v>20564.649999999998</v>
      </c>
      <c r="D55" s="5">
        <f>Table4[[#This Row],[Feb]]*$B55</f>
        <v>17491.399999999998</v>
      </c>
      <c r="E55" s="5">
        <f>Table4[[#This Row],[Mar]]*$B55</f>
        <v>18246.649999999998</v>
      </c>
      <c r="F55" s="5">
        <f>Table4[[#This Row],[Apr]]*$B55</f>
        <v>15297.849999999999</v>
      </c>
      <c r="G55" s="5">
        <f>Table4[[#This Row],[May]]*$B55</f>
        <v>14953</v>
      </c>
      <c r="H55" s="5">
        <f>Table4[[#This Row],[Jun]]*$B55</f>
        <v>13275.3</v>
      </c>
      <c r="I55" s="5">
        <f>Table4[[#This Row],[Jul]]*$B55</f>
        <v>14678.449999999999</v>
      </c>
      <c r="J55" s="5">
        <f>Table4[[#This Row],[Aug]]*$B55</f>
        <v>17062.95</v>
      </c>
      <c r="K55" s="5">
        <f>Table4[[#This Row],[Sep]]*$B55</f>
        <v>18937.3</v>
      </c>
      <c r="L55" s="5">
        <f>Table4[[#This Row],[Oct]]*$B55</f>
        <v>20481.05</v>
      </c>
      <c r="M55" s="5">
        <f>Table4[[#This Row],[Nov]]*$B55</f>
        <v>20366.099999999999</v>
      </c>
      <c r="N55" s="5">
        <f>Table4[[#This Row],[Dec]]*$B55</f>
        <v>21890.85</v>
      </c>
    </row>
    <row r="56" spans="1:14" ht="14.25" customHeight="1" x14ac:dyDescent="0.3">
      <c r="A56" t="s">
        <v>184</v>
      </c>
      <c r="B56">
        <v>0.95</v>
      </c>
      <c r="C56" s="5">
        <f>Table4[[#This Row],[Jan]]*$B56</f>
        <v>37513.599999999999</v>
      </c>
      <c r="D56" s="5">
        <f>Table4[[#This Row],[Feb]]*$B56</f>
        <v>31212.25</v>
      </c>
      <c r="E56" s="5">
        <f>Table4[[#This Row],[Mar]]*$B56</f>
        <v>29700.134999999998</v>
      </c>
      <c r="F56" s="5">
        <f>Table4[[#This Row],[Apr]]*$B56</f>
        <v>24898.55</v>
      </c>
      <c r="G56" s="5">
        <f>Table4[[#This Row],[May]]*$B56</f>
        <v>21981.1</v>
      </c>
      <c r="H56" s="5">
        <f>Table4[[#This Row],[Jun]]*$B56</f>
        <v>18982.899999999998</v>
      </c>
      <c r="I56" s="5">
        <f>Table4[[#This Row],[Jul]]*$B56</f>
        <v>21551.7</v>
      </c>
      <c r="J56" s="5">
        <f>Table4[[#This Row],[Aug]]*$B56</f>
        <v>26041.399999999998</v>
      </c>
      <c r="K56" s="5">
        <f>Table4[[#This Row],[Sep]]*$B56</f>
        <v>29888.899999999998</v>
      </c>
      <c r="L56" s="5">
        <f>Table4[[#This Row],[Oct]]*$B56</f>
        <v>34705.4</v>
      </c>
      <c r="M56" s="5">
        <f>Table4[[#This Row],[Nov]]*$B56</f>
        <v>36881.85</v>
      </c>
      <c r="N56" s="5">
        <f>Table4[[#This Row],[Dec]]*$B56</f>
        <v>40110.9</v>
      </c>
    </row>
    <row r="57" spans="1:14" ht="14.25" customHeight="1" x14ac:dyDescent="0.3">
      <c r="A57" t="s">
        <v>186</v>
      </c>
      <c r="B57">
        <v>0.9</v>
      </c>
      <c r="C57" s="5">
        <f>Table4[[#This Row],[Jan]]*$B57</f>
        <v>34074.9</v>
      </c>
      <c r="D57" s="5">
        <f>Table4[[#This Row],[Feb]]*$B57</f>
        <v>28396.799999999999</v>
      </c>
      <c r="E57" s="5">
        <f>Table4[[#This Row],[Mar]]*$B57</f>
        <v>28665.9</v>
      </c>
      <c r="F57" s="5">
        <f>Table4[[#This Row],[Apr]]*$B57</f>
        <v>24411.600000000002</v>
      </c>
      <c r="G57" s="5">
        <f>Table4[[#This Row],[May]]*$B57</f>
        <v>22266.9</v>
      </c>
      <c r="H57" s="5">
        <f>Table4[[#This Row],[Jun]]*$B57</f>
        <v>19791.900000000001</v>
      </c>
      <c r="I57" s="5">
        <f>Table4[[#This Row],[Jul]]*$B57</f>
        <v>21774.600000000002</v>
      </c>
      <c r="J57" s="5">
        <f>Table4[[#This Row],[Aug]]*$B57</f>
        <v>25973.100000000002</v>
      </c>
      <c r="K57" s="5">
        <f>Table4[[#This Row],[Sep]]*$B57</f>
        <v>28984.5</v>
      </c>
      <c r="L57" s="5">
        <f>Table4[[#This Row],[Oct]]*$B57</f>
        <v>33058.800000000003</v>
      </c>
      <c r="M57" s="5">
        <f>Table4[[#This Row],[Nov]]*$B57</f>
        <v>34366.5</v>
      </c>
      <c r="N57" s="5">
        <f>Table4[[#This Row],[Dec]]*$B57</f>
        <v>36320.400000000001</v>
      </c>
    </row>
    <row r="58" spans="1:14" ht="14.25" customHeight="1" x14ac:dyDescent="0.3">
      <c r="A58" t="s">
        <v>188</v>
      </c>
      <c r="B58">
        <v>0.9</v>
      </c>
      <c r="C58" s="5">
        <f>Table4[[#This Row],[Jan]]*$B58</f>
        <v>20588.400000000001</v>
      </c>
      <c r="D58" s="5">
        <f>Table4[[#This Row],[Feb]]*$B58</f>
        <v>17538.3</v>
      </c>
      <c r="E58" s="5">
        <f>Table4[[#This Row],[Mar]]*$B58</f>
        <v>17897.400000000001</v>
      </c>
      <c r="F58" s="5">
        <f>Table4[[#This Row],[Apr]]*$B58</f>
        <v>14674.5</v>
      </c>
      <c r="G58" s="5">
        <f>Table4[[#This Row],[May]]*$B58</f>
        <v>13272.300000000001</v>
      </c>
      <c r="H58" s="5">
        <f>Table4[[#This Row],[Jun]]*$B58</f>
        <v>11571.300000000001</v>
      </c>
      <c r="I58" s="5">
        <f>Table4[[#This Row],[Jul]]*$B58</f>
        <v>12990.6</v>
      </c>
      <c r="J58" s="5">
        <f>Table4[[#This Row],[Aug]]*$B58</f>
        <v>15871.5</v>
      </c>
      <c r="K58" s="5">
        <f>Table4[[#This Row],[Sep]]*$B58</f>
        <v>18317.7</v>
      </c>
      <c r="L58" s="5">
        <f>Table4[[#This Row],[Oct]]*$B58</f>
        <v>20121.3</v>
      </c>
      <c r="M58" s="5">
        <f>Table4[[#This Row],[Nov]]*$B58</f>
        <v>20573.100000000002</v>
      </c>
      <c r="N58" s="5">
        <f>Table4[[#This Row],[Dec]]*$B58</f>
        <v>21930.3</v>
      </c>
    </row>
    <row r="59" spans="1:14" ht="14.25" customHeight="1" x14ac:dyDescent="0.3">
      <c r="A59" t="s">
        <v>226</v>
      </c>
      <c r="B59">
        <v>0.9</v>
      </c>
      <c r="C59" s="5">
        <f>Table4[[#This Row],[Jan]]*$B59</f>
        <v>30721.5</v>
      </c>
      <c r="D59" s="5">
        <f>Table4[[#This Row],[Feb]]*$B59</f>
        <v>24282.9</v>
      </c>
      <c r="E59" s="5">
        <f>Table4[[#This Row],[Mar]]*$B59</f>
        <v>24146.100000000002</v>
      </c>
      <c r="F59" s="5">
        <f>Table4[[#This Row],[Apr]]*$B59</f>
        <v>18389.7</v>
      </c>
      <c r="G59" s="5">
        <f>Table4[[#This Row],[May]]*$B59</f>
        <v>18961.2</v>
      </c>
      <c r="H59" s="5">
        <f>Table4[[#This Row],[Jun]]*$B59</f>
        <v>15280.2</v>
      </c>
      <c r="I59" s="5">
        <f>Table4[[#This Row],[Jul]]*$B59</f>
        <v>17361.900000000001</v>
      </c>
      <c r="J59" s="5">
        <f>Table4[[#This Row],[Aug]]*$B59</f>
        <v>19303.2</v>
      </c>
      <c r="K59" s="5">
        <f>Table4[[#This Row],[Sep]]*$B59</f>
        <v>18141.3</v>
      </c>
      <c r="L59" s="5">
        <f>Table4[[#This Row],[Oct]]*$B59</f>
        <v>22548.600000000002</v>
      </c>
      <c r="M59" s="5">
        <f>Table4[[#This Row],[Nov]]*$B59</f>
        <v>22923.9</v>
      </c>
      <c r="N59" s="5">
        <f>Table4[[#This Row],[Dec]]*$B59</f>
        <v>28392.3</v>
      </c>
    </row>
    <row r="60" spans="1:14" ht="14.25" customHeight="1" x14ac:dyDescent="0.3">
      <c r="A60" t="s">
        <v>208</v>
      </c>
      <c r="B60">
        <v>0.9</v>
      </c>
      <c r="C60" s="5">
        <f>Table4[[#This Row],[Jan]]*$B60</f>
        <v>18584.100000000002</v>
      </c>
      <c r="D60" s="5">
        <f>Table4[[#This Row],[Feb]]*$B60</f>
        <v>16101.9</v>
      </c>
      <c r="E60" s="5">
        <f>Table4[[#This Row],[Mar]]*$B60</f>
        <v>15901.2</v>
      </c>
      <c r="F60" s="5">
        <f>Table4[[#This Row],[Apr]]*$B60</f>
        <v>13660.2</v>
      </c>
      <c r="G60" s="5">
        <f>Table4[[#This Row],[May]]*$B60</f>
        <v>12620.7</v>
      </c>
      <c r="H60" s="5">
        <f>Table4[[#This Row],[Jun]]*$B60</f>
        <v>11094.300000000001</v>
      </c>
      <c r="I60" s="5">
        <f>Table4[[#This Row],[Jul]]*$B60</f>
        <v>12367.800000000001</v>
      </c>
      <c r="J60" s="5">
        <f>Table4[[#This Row],[Aug]]*$B60</f>
        <v>14484.6</v>
      </c>
      <c r="K60" s="5">
        <f>Table4[[#This Row],[Sep]]*$B60</f>
        <v>16189.2</v>
      </c>
      <c r="L60" s="5">
        <f>Table4[[#This Row],[Oct]]*$B60</f>
        <v>18663.3</v>
      </c>
      <c r="M60" s="5">
        <f>Table4[[#This Row],[Nov]]*$B60</f>
        <v>18589.5</v>
      </c>
      <c r="N60" s="5">
        <f>Table4[[#This Row],[Dec]]*$B60</f>
        <v>19022.400000000001</v>
      </c>
    </row>
    <row r="61" spans="1:14" ht="14.25" customHeight="1" x14ac:dyDescent="0.3">
      <c r="A61" t="s">
        <v>190</v>
      </c>
      <c r="B61">
        <v>0.85</v>
      </c>
      <c r="C61" s="5">
        <f>Table4[[#This Row],[Jan]]*$B61</f>
        <v>16638.665000000001</v>
      </c>
      <c r="D61" s="5">
        <f>Table4[[#This Row],[Feb]]*$B61</f>
        <v>14215.059999999998</v>
      </c>
      <c r="E61" s="5">
        <f>Table4[[#This Row],[Mar]]*$B61</f>
        <v>15137.309999999998</v>
      </c>
      <c r="F61" s="5">
        <f>Table4[[#This Row],[Apr]]*$B61</f>
        <v>13176.87</v>
      </c>
      <c r="G61" s="5">
        <f>Table4[[#This Row],[May]]*$B61</f>
        <v>12813.75</v>
      </c>
      <c r="H61" s="5">
        <f>Table4[[#This Row],[Jun]]*$B61</f>
        <v>11578.87</v>
      </c>
      <c r="I61" s="5">
        <f>Table4[[#This Row],[Jul]]*$B61</f>
        <v>12892.545</v>
      </c>
      <c r="J61" s="5">
        <f>Table4[[#This Row],[Aug]]*$B61</f>
        <v>14836.92</v>
      </c>
      <c r="K61" s="5">
        <f>Table4[[#This Row],[Sep]]*$B61</f>
        <v>15996.15</v>
      </c>
      <c r="L61" s="5">
        <f>Table4[[#This Row],[Oct]]*$B61</f>
        <v>16796.170000000002</v>
      </c>
      <c r="M61" s="5">
        <f>Table4[[#This Row],[Nov]]*$B61</f>
        <v>16463.224999999999</v>
      </c>
      <c r="N61" s="5">
        <f>Table4[[#This Row],[Dec]]*$B61</f>
        <v>17398.904999999999</v>
      </c>
    </row>
    <row r="62" spans="1:14" ht="14.25" customHeight="1" x14ac:dyDescent="0.3">
      <c r="A62" t="s">
        <v>213</v>
      </c>
      <c r="B62">
        <v>0.9</v>
      </c>
      <c r="C62" s="5">
        <f>Table4[[#This Row],[Jan]]*$B62</f>
        <v>9307.8000000000011</v>
      </c>
      <c r="D62" s="5">
        <f>Table4[[#This Row],[Feb]]*$B62</f>
        <v>8001.9000000000005</v>
      </c>
      <c r="E62" s="5">
        <f>Table4[[#This Row],[Mar]]*$B62</f>
        <v>7803.9000000000005</v>
      </c>
      <c r="F62" s="5">
        <f>Table4[[#This Row],[Apr]]*$B62</f>
        <v>6785.1</v>
      </c>
      <c r="G62" s="5">
        <f>Table4[[#This Row],[May]]*$B62</f>
        <v>6244.2</v>
      </c>
      <c r="H62" s="5">
        <f>Table4[[#This Row],[Jun]]*$B62</f>
        <v>5524.2</v>
      </c>
      <c r="I62" s="5">
        <f>Table4[[#This Row],[Jul]]*$B62</f>
        <v>6086.7</v>
      </c>
      <c r="J62" s="5">
        <f>Table4[[#This Row],[Aug]]*$B62</f>
        <v>7124.4000000000005</v>
      </c>
      <c r="K62" s="5">
        <f>Table4[[#This Row],[Sep]]*$B62</f>
        <v>7864.2</v>
      </c>
      <c r="L62" s="5">
        <f>Table4[[#This Row],[Oct]]*$B62</f>
        <v>9007.2000000000007</v>
      </c>
      <c r="M62" s="5">
        <f>Table4[[#This Row],[Nov]]*$B62</f>
        <v>8999.1</v>
      </c>
      <c r="N62" s="5">
        <f>Table4[[#This Row],[Dec]]*$B62</f>
        <v>9241.2000000000007</v>
      </c>
    </row>
    <row r="63" spans="1:14" ht="14.25" customHeight="1" x14ac:dyDescent="0.3">
      <c r="A63" t="s">
        <v>216</v>
      </c>
      <c r="B63">
        <v>0.9</v>
      </c>
      <c r="C63" s="5">
        <f>Table4[[#This Row],[Jan]]*$B63</f>
        <v>28699.56</v>
      </c>
      <c r="D63" s="5">
        <f>Table4[[#This Row],[Feb]]*$B63</f>
        <v>24909.3</v>
      </c>
      <c r="E63" s="5">
        <f>Table4[[#This Row],[Mar]]*$B63</f>
        <v>24570</v>
      </c>
      <c r="F63" s="5">
        <f>Table4[[#This Row],[Apr]]*$B63</f>
        <v>21388.5</v>
      </c>
      <c r="G63" s="5">
        <f>Table4[[#This Row],[May]]*$B63</f>
        <v>19723.5</v>
      </c>
      <c r="H63" s="5">
        <f>Table4[[#This Row],[Jun]]*$B63</f>
        <v>17431.2</v>
      </c>
      <c r="I63" s="5">
        <f>Table4[[#This Row],[Jul]]*$B63</f>
        <v>19181.7</v>
      </c>
      <c r="J63" s="5">
        <f>Table4[[#This Row],[Aug]]*$B63</f>
        <v>22417.200000000001</v>
      </c>
      <c r="K63" s="5">
        <f>Table4[[#This Row],[Sep]]*$B63</f>
        <v>24780.600000000002</v>
      </c>
      <c r="L63" s="5">
        <f>Table4[[#This Row],[Oct]]*$B63</f>
        <v>28127.7</v>
      </c>
      <c r="M63" s="5">
        <f>Table4[[#This Row],[Nov]]*$B63</f>
        <v>28061.100000000002</v>
      </c>
      <c r="N63" s="5">
        <f>Table4[[#This Row],[Dec]]*$B63</f>
        <v>28703.7</v>
      </c>
    </row>
    <row r="64" spans="1:14" ht="14.25" customHeight="1" x14ac:dyDescent="0.3">
      <c r="A64" t="s">
        <v>218</v>
      </c>
      <c r="B64">
        <v>0.9</v>
      </c>
      <c r="C64" s="5">
        <f>Table4[[#This Row],[Jan]]*$B64</f>
        <v>9601.92</v>
      </c>
      <c r="D64" s="5">
        <f>Table4[[#This Row],[Feb]]*$B64</f>
        <v>8296.74</v>
      </c>
      <c r="E64" s="5">
        <f>Table4[[#This Row],[Mar]]*$B64</f>
        <v>8140.5</v>
      </c>
      <c r="F64" s="5">
        <f>Table4[[#This Row],[Apr]]*$B64</f>
        <v>7017.3</v>
      </c>
      <c r="G64" s="5">
        <f>Table4[[#This Row],[May]]*$B64</f>
        <v>6430.3200000000006</v>
      </c>
      <c r="H64" s="5">
        <f>Table4[[#This Row],[Jun]]*$B64</f>
        <v>5669.28</v>
      </c>
      <c r="I64" s="5">
        <f>Table4[[#This Row],[Jul]]*$B64</f>
        <v>6247.4400000000005</v>
      </c>
      <c r="J64" s="5">
        <f>Table4[[#This Row],[Aug]]*$B64</f>
        <v>7340.13</v>
      </c>
      <c r="K64" s="5">
        <f>Table4[[#This Row],[Sep]]*$B64</f>
        <v>8154</v>
      </c>
      <c r="L64" s="5">
        <f>Table4[[#This Row],[Oct]]*$B64</f>
        <v>9352.8000000000011</v>
      </c>
      <c r="M64" s="5">
        <f>Table4[[#This Row],[Nov]]*$B64</f>
        <v>9353.7000000000007</v>
      </c>
      <c r="N64" s="5">
        <f>Table4[[#This Row],[Dec]]*$B64</f>
        <v>9582.3000000000011</v>
      </c>
    </row>
    <row r="65" spans="1:14" ht="14.25" customHeight="1" x14ac:dyDescent="0.3">
      <c r="A65" t="s">
        <v>192</v>
      </c>
      <c r="C65" s="5">
        <f>Table4[[#This Row],[Jan]]*$B65</f>
        <v>0</v>
      </c>
      <c r="D65" s="5">
        <f>Table4[[#This Row],[Feb]]*$B65</f>
        <v>0</v>
      </c>
      <c r="E65" s="5">
        <f>Table4[[#This Row],[Mar]]*$B65</f>
        <v>0</v>
      </c>
      <c r="F65" s="5">
        <f>Table4[[#This Row],[Apr]]*$B65</f>
        <v>0</v>
      </c>
      <c r="G65" s="5">
        <f>Table4[[#This Row],[May]]*$B65</f>
        <v>0</v>
      </c>
      <c r="H65" s="5">
        <f>Table4[[#This Row],[Jun]]*$B65</f>
        <v>0</v>
      </c>
      <c r="I65" s="5">
        <f>Table4[[#This Row],[Jul]]*$B65</f>
        <v>0</v>
      </c>
      <c r="J65" s="5">
        <f>Table4[[#This Row],[Aug]]*$B65</f>
        <v>0</v>
      </c>
      <c r="K65" s="5">
        <f>Table4[[#This Row],[Sep]]*$B65</f>
        <v>0</v>
      </c>
      <c r="L65" s="5">
        <f>Table4[[#This Row],[Oct]]*$B65</f>
        <v>0</v>
      </c>
      <c r="M65" s="5">
        <f>Table4[[#This Row],[Nov]]*$B65</f>
        <v>0</v>
      </c>
      <c r="N65" s="5">
        <f>Table4[[#This Row],[Dec]]*$B65</f>
        <v>0</v>
      </c>
    </row>
    <row r="66" spans="1:14" ht="14.25" customHeight="1" x14ac:dyDescent="0.3">
      <c r="A66" t="s">
        <v>194</v>
      </c>
      <c r="B66">
        <v>0.92500000000000004</v>
      </c>
      <c r="C66" s="5">
        <f>Table4[[#This Row],[Jan]]*$B66</f>
        <v>7605.35</v>
      </c>
      <c r="D66" s="5">
        <f>Table4[[#This Row],[Feb]]*$B66</f>
        <v>6473.1500000000005</v>
      </c>
      <c r="E66" s="5">
        <f>Table4[[#This Row],[Mar]]*$B66</f>
        <v>6529.5750000000007</v>
      </c>
      <c r="F66" s="5">
        <f>Table4[[#This Row],[Apr]]*$B66</f>
        <v>5155.95</v>
      </c>
      <c r="G66" s="5">
        <f>Table4[[#This Row],[May]]*$B66</f>
        <v>4885.8500000000004</v>
      </c>
      <c r="H66" s="5">
        <f>Table4[[#This Row],[Jun]]*$B66</f>
        <v>4375.25</v>
      </c>
      <c r="I66" s="5">
        <f>Table4[[#This Row],[Jul]]*$B66</f>
        <v>4861.8</v>
      </c>
      <c r="J66" s="5">
        <f>Table4[[#This Row],[Aug]]*$B66</f>
        <v>5591.625</v>
      </c>
      <c r="K66" s="5">
        <f>Table4[[#This Row],[Sep]]*$B66</f>
        <v>6522.1750000000002</v>
      </c>
      <c r="L66" s="5">
        <f>Table4[[#This Row],[Oct]]*$B66</f>
        <v>7451.8</v>
      </c>
      <c r="M66" s="5">
        <f>Table4[[#This Row],[Nov]]*$B66</f>
        <v>7534.125</v>
      </c>
      <c r="N66" s="5">
        <f>Table4[[#This Row],[Dec]]*$B66</f>
        <v>8084.5</v>
      </c>
    </row>
    <row r="67" spans="1:14" ht="14.25" customHeight="1" x14ac:dyDescent="0.3">
      <c r="A67" t="s">
        <v>196</v>
      </c>
      <c r="B67">
        <v>0.75</v>
      </c>
      <c r="C67" s="5">
        <f>Table4[[#This Row],[Jan]]*$B67</f>
        <v>4274.1000000000004</v>
      </c>
      <c r="D67" s="5">
        <f>Table4[[#This Row],[Feb]]*$B67</f>
        <v>3810.6000000000004</v>
      </c>
      <c r="E67" s="5">
        <f>Table4[[#This Row],[Mar]]*$B67</f>
        <v>3907.2749999999996</v>
      </c>
      <c r="F67" s="5">
        <f>Table4[[#This Row],[Apr]]*$B67</f>
        <v>3268.125</v>
      </c>
      <c r="G67" s="5">
        <f>Table4[[#This Row],[May]]*$B67</f>
        <v>2929.95</v>
      </c>
      <c r="H67" s="5">
        <f>Table4[[#This Row],[Jun]]*$B67</f>
        <v>2664.75</v>
      </c>
      <c r="I67" s="5">
        <f>Table4[[#This Row],[Jul]]*$B67</f>
        <v>2851.125</v>
      </c>
      <c r="J67" s="5">
        <f>Table4[[#This Row],[Aug]]*$B67</f>
        <v>3237</v>
      </c>
      <c r="K67" s="5">
        <f>Table4[[#This Row],[Sep]]*$B67</f>
        <v>3327.75</v>
      </c>
      <c r="L67" s="5">
        <f>Table4[[#This Row],[Oct]]*$B67</f>
        <v>3775.7250000000004</v>
      </c>
      <c r="M67" s="5">
        <f>Table4[[#This Row],[Nov]]*$B67</f>
        <v>3829.5750000000003</v>
      </c>
      <c r="N67" s="5">
        <f>Table4[[#This Row],[Dec]]*$B67</f>
        <v>4315.6499999999996</v>
      </c>
    </row>
    <row r="68" spans="1:14" ht="14.25" customHeight="1" x14ac:dyDescent="0.3">
      <c r="A68" t="s">
        <v>199</v>
      </c>
      <c r="B68">
        <v>0.75</v>
      </c>
      <c r="C68" s="5">
        <f>Table4[[#This Row],[Jan]]*$B68</f>
        <v>3784.4249999999997</v>
      </c>
      <c r="D68" s="5">
        <f>Table4[[#This Row],[Feb]]*$B68</f>
        <v>3270.1499999999996</v>
      </c>
      <c r="E68" s="5">
        <f>Table4[[#This Row],[Mar]]*$B68</f>
        <v>3533.3250000000003</v>
      </c>
      <c r="F68" s="5">
        <f>Table4[[#This Row],[Apr]]*$B68</f>
        <v>3063.0749999999998</v>
      </c>
      <c r="G68" s="5">
        <f>Table4[[#This Row],[May]]*$B68</f>
        <v>3093.8250000000003</v>
      </c>
      <c r="H68" s="5">
        <f>Table4[[#This Row],[Jun]]*$B68</f>
        <v>2834.0249999999996</v>
      </c>
      <c r="I68" s="5">
        <f>Table4[[#This Row],[Jul]]*$B68</f>
        <v>3103.3500000000004</v>
      </c>
      <c r="J68" s="5">
        <f>Table4[[#This Row],[Aug]]*$B68</f>
        <v>3491.5499999999997</v>
      </c>
      <c r="K68" s="5">
        <f>Table4[[#This Row],[Sep]]*$B68</f>
        <v>3723.4500000000003</v>
      </c>
      <c r="L68" s="5">
        <f>Table4[[#This Row],[Oct]]*$B68</f>
        <v>3899.3999999999996</v>
      </c>
      <c r="M68" s="5">
        <f>Table4[[#This Row],[Nov]]*$B68</f>
        <v>3732.75</v>
      </c>
      <c r="N68" s="5">
        <f>Table4[[#This Row],[Dec]]*$B68</f>
        <v>4016.1749999999997</v>
      </c>
    </row>
    <row r="69" spans="1:14" ht="14.25" customHeight="1" x14ac:dyDescent="0.3">
      <c r="A69" t="s">
        <v>201</v>
      </c>
      <c r="B69">
        <v>0.85</v>
      </c>
      <c r="C69" s="5">
        <f>Table4[[#This Row],[Jan]]*$B69</f>
        <v>13441.985000000001</v>
      </c>
      <c r="D69" s="5">
        <f>Table4[[#This Row],[Feb]]*$B69</f>
        <v>12055.125</v>
      </c>
      <c r="E69" s="5">
        <f>Table4[[#This Row],[Mar]]*$B69</f>
        <v>12858.46</v>
      </c>
      <c r="F69" s="5">
        <f>Table4[[#This Row],[Apr]]*$B69</f>
        <v>11531.27</v>
      </c>
      <c r="G69" s="5">
        <f>Table4[[#This Row],[May]]*$B69</f>
        <v>11785.929999999998</v>
      </c>
      <c r="H69" s="5">
        <f>Table4[[#This Row],[Jun]]*$B69</f>
        <v>11018.635</v>
      </c>
      <c r="I69" s="5">
        <f>Table4[[#This Row],[Jul]]*$B69</f>
        <v>12024.27</v>
      </c>
      <c r="J69" s="5">
        <f>Table4[[#This Row],[Aug]]*$B69</f>
        <v>13262.635</v>
      </c>
      <c r="K69" s="5">
        <f>Table4[[#This Row],[Sep]]*$B69</f>
        <v>13540.33</v>
      </c>
      <c r="L69" s="5">
        <f>Table4[[#This Row],[Oct]]*$B69</f>
        <v>13925.295</v>
      </c>
      <c r="M69" s="5">
        <f>Table4[[#This Row],[Nov]]*$B69</f>
        <v>13508.37</v>
      </c>
      <c r="N69" s="5">
        <f>Table4[[#This Row],[Dec]]*$B69</f>
        <v>14234.525</v>
      </c>
    </row>
    <row r="70" spans="1:14" ht="14.25" customHeight="1" x14ac:dyDescent="0.3">
      <c r="A70" t="s">
        <v>211</v>
      </c>
      <c r="B70">
        <v>0.9</v>
      </c>
      <c r="C70" s="5">
        <f>Table4[[#This Row],[Jan]]*$B70</f>
        <v>7299.9000000000005</v>
      </c>
      <c r="D70" s="5">
        <f>Table4[[#This Row],[Feb]]*$B70</f>
        <v>6223.5</v>
      </c>
      <c r="E70" s="5">
        <f>Table4[[#This Row],[Mar]]*$B70</f>
        <v>6048.9000000000005</v>
      </c>
      <c r="F70" s="5">
        <f>Table4[[#This Row],[Apr]]*$B70</f>
        <v>5130.9000000000005</v>
      </c>
      <c r="G70" s="5">
        <f>Table4[[#This Row],[May]]*$B70</f>
        <v>4621.5</v>
      </c>
      <c r="H70" s="5">
        <f>Table4[[#This Row],[Jun]]*$B70</f>
        <v>3931.2000000000003</v>
      </c>
      <c r="I70" s="5">
        <f>Table4[[#This Row],[Jul]]*$B70</f>
        <v>4065.3</v>
      </c>
      <c r="J70" s="5">
        <f>Table4[[#This Row],[Aug]]*$B70</f>
        <v>4723.2</v>
      </c>
      <c r="K70" s="5">
        <f>Table4[[#This Row],[Sep]]*$B70</f>
        <v>5251.5</v>
      </c>
      <c r="L70" s="5">
        <f>Table4[[#This Row],[Oct]]*$B70</f>
        <v>6489.9000000000005</v>
      </c>
      <c r="M70" s="5">
        <f>Table4[[#This Row],[Nov]]*$B70</f>
        <v>6813.9000000000005</v>
      </c>
      <c r="N70" s="5">
        <f>Table4[[#This Row],[Dec]]*$B70</f>
        <v>7296.3</v>
      </c>
    </row>
    <row r="71" spans="1:14" ht="14.25" customHeight="1" x14ac:dyDescent="0.3">
      <c r="A71" t="s">
        <v>202</v>
      </c>
      <c r="B71">
        <v>0.9</v>
      </c>
      <c r="C71" s="5">
        <f>Table4[[#This Row],[Jan]]*$B71</f>
        <v>28027.8</v>
      </c>
      <c r="D71" s="5">
        <f>Table4[[#This Row],[Feb]]*$B71</f>
        <v>23853.600000000002</v>
      </c>
      <c r="E71" s="5">
        <f>Table4[[#This Row],[Mar]]*$B71</f>
        <v>24144.3</v>
      </c>
      <c r="F71" s="5">
        <f>Table4[[#This Row],[Apr]]*$B71</f>
        <v>20043</v>
      </c>
      <c r="G71" s="5">
        <f>Table4[[#This Row],[May]]*$B71</f>
        <v>19021.5</v>
      </c>
      <c r="H71" s="5">
        <f>Table4[[#This Row],[Jun]]*$B71</f>
        <v>17054.100000000002</v>
      </c>
      <c r="I71" s="5">
        <f>Table4[[#This Row],[Jul]]*$B71</f>
        <v>18900</v>
      </c>
      <c r="J71" s="5">
        <f>Table4[[#This Row],[Aug]]*$B71</f>
        <v>22066.2</v>
      </c>
      <c r="K71" s="5">
        <f>Table4[[#This Row],[Sep]]*$B71</f>
        <v>24526.799999999999</v>
      </c>
      <c r="L71" s="5">
        <f>Table4[[#This Row],[Oct]]*$B71</f>
        <v>27256.5</v>
      </c>
      <c r="M71" s="5">
        <f>Table4[[#This Row],[Nov]]*$B71</f>
        <v>26973.9</v>
      </c>
      <c r="N71" s="5">
        <f>Table4[[#This Row],[Dec]]*$B71</f>
        <v>29028.600000000002</v>
      </c>
    </row>
    <row r="72" spans="1:14" ht="14.25" customHeight="1" x14ac:dyDescent="0.3">
      <c r="A72" t="s">
        <v>206</v>
      </c>
      <c r="B72">
        <v>0.9</v>
      </c>
      <c r="C72" s="5" t="e">
        <f>Table4[[#This Row],[Jan]]*$B72</f>
        <v>#VALUE!</v>
      </c>
      <c r="D72" s="5" t="e">
        <f>Table4[[#This Row],[Feb]]*$B72</f>
        <v>#VALUE!</v>
      </c>
      <c r="E72" s="5" t="e">
        <f>Table4[[#This Row],[Mar]]*$B72</f>
        <v>#VALUE!</v>
      </c>
      <c r="F72" s="5" t="e">
        <f>Table4[[#This Row],[Apr]]*$B72</f>
        <v>#VALUE!</v>
      </c>
      <c r="G72" s="5" t="e">
        <f>Table4[[#This Row],[May]]*$B72</f>
        <v>#VALUE!</v>
      </c>
      <c r="H72" s="5" t="e">
        <f>Table4[[#This Row],[Jun]]*$B72</f>
        <v>#VALUE!</v>
      </c>
      <c r="I72" s="5" t="e">
        <f>Table4[[#This Row],[Jul]]*$B72</f>
        <v>#VALUE!</v>
      </c>
      <c r="J72" s="5" t="e">
        <f>Table4[[#This Row],[Aug]]*$B72</f>
        <v>#VALUE!</v>
      </c>
      <c r="K72" s="5" t="e">
        <f>Table4[[#This Row],[Sep]]*$B72</f>
        <v>#VALUE!</v>
      </c>
      <c r="L72" s="5" t="e">
        <f>Table4[[#This Row],[Oct]]*$B72</f>
        <v>#VALUE!</v>
      </c>
      <c r="M72" s="5" t="e">
        <f>Table4[[#This Row],[Nov]]*$B72</f>
        <v>#VALUE!</v>
      </c>
      <c r="N72" s="5" t="e">
        <f>Table4[[#This Row],[Dec]]*$B72</f>
        <v>#VALUE!</v>
      </c>
    </row>
    <row r="73" spans="1:14" ht="14.25" customHeight="1" x14ac:dyDescent="0.3">
      <c r="A73" t="s">
        <v>241</v>
      </c>
      <c r="B73">
        <v>0.9</v>
      </c>
      <c r="C73" s="5">
        <f>Table4[[#This Row],[Jan]]*$B73</f>
        <v>28380.600000000002</v>
      </c>
      <c r="D73" s="5">
        <f>Table4[[#This Row],[Feb]]*$B73</f>
        <v>24379.200000000001</v>
      </c>
      <c r="E73" s="5">
        <f>Table4[[#This Row],[Mar]]*$B73</f>
        <v>23351.4</v>
      </c>
      <c r="F73" s="5">
        <f>Table4[[#This Row],[Apr]]*$B73</f>
        <v>19887.3</v>
      </c>
      <c r="G73" s="5">
        <f>Table4[[#This Row],[May]]*$B73</f>
        <v>17745.3</v>
      </c>
      <c r="H73" s="5">
        <f>Table4[[#This Row],[Jun]]*$B73</f>
        <v>15502.5</v>
      </c>
      <c r="I73" s="5">
        <f>Table4[[#This Row],[Jul]]*$B73</f>
        <v>17358.3</v>
      </c>
      <c r="J73" s="5">
        <f>Table4[[#This Row],[Aug]]*$B73</f>
        <v>20842.2</v>
      </c>
      <c r="K73" s="5">
        <f>Table4[[#This Row],[Sep]]*$B73</f>
        <v>23841</v>
      </c>
      <c r="L73" s="5">
        <f>Table4[[#This Row],[Oct]]*$B73</f>
        <v>27285.3</v>
      </c>
      <c r="M73" s="5">
        <f>Table4[[#This Row],[Nov]]*$B73</f>
        <v>27841.5</v>
      </c>
      <c r="N73" s="5">
        <f>Table4[[#This Row],[Dec]]*$B73</f>
        <v>28779.3</v>
      </c>
    </row>
    <row r="74" spans="1:14" ht="14.25" customHeight="1" x14ac:dyDescent="0.3">
      <c r="A74" t="s">
        <v>228</v>
      </c>
      <c r="B74">
        <v>0.9</v>
      </c>
      <c r="C74" s="5">
        <f>Table4[[#This Row],[Jan]]*$B74</f>
        <v>29074.5</v>
      </c>
      <c r="D74" s="5">
        <f>Table4[[#This Row],[Feb]]*$B74</f>
        <v>26716.5</v>
      </c>
      <c r="E74" s="5">
        <f>Table4[[#This Row],[Mar]]*$B74</f>
        <v>27941.4</v>
      </c>
      <c r="F74" s="5">
        <f>Table4[[#This Row],[Apr]]*$B74</f>
        <v>25610.400000000001</v>
      </c>
      <c r="G74" s="5">
        <f>Table4[[#This Row],[May]]*$B74</f>
        <v>25802.100000000002</v>
      </c>
      <c r="H74" s="5">
        <f>Table4[[#This Row],[Jun]]*$B74</f>
        <v>23428.799999999999</v>
      </c>
      <c r="I74" s="5">
        <f>Table4[[#This Row],[Jul]]*$B74</f>
        <v>25632</v>
      </c>
      <c r="J74" s="5">
        <f>Table4[[#This Row],[Aug]]*$B74</f>
        <v>28549.8</v>
      </c>
      <c r="K74" s="5">
        <f>Table4[[#This Row],[Sep]]*$B74</f>
        <v>29561.4</v>
      </c>
      <c r="L74" s="5">
        <f>Table4[[#This Row],[Oct]]*$B74</f>
        <v>31417.200000000001</v>
      </c>
      <c r="M74" s="5">
        <f>Table4[[#This Row],[Nov]]*$B74</f>
        <v>30121.200000000001</v>
      </c>
      <c r="N74" s="5">
        <f>Table4[[#This Row],[Dec]]*$B74</f>
        <v>29445.3</v>
      </c>
    </row>
    <row r="75" spans="1:14" ht="14.25" customHeight="1" x14ac:dyDescent="0.3">
      <c r="A75" t="s">
        <v>244</v>
      </c>
      <c r="B75">
        <v>1</v>
      </c>
      <c r="C75" s="5">
        <f>Table4[[#This Row],[Jan]]*$B75</f>
        <v>20178</v>
      </c>
      <c r="D75" s="5">
        <f>Table4[[#This Row],[Feb]]*$B75</f>
        <v>17954</v>
      </c>
      <c r="E75" s="5">
        <f>Table4[[#This Row],[Mar]]*$B75</f>
        <v>19150</v>
      </c>
      <c r="F75" s="5">
        <f>Table4[[#This Row],[Apr]]*$B75</f>
        <v>18060</v>
      </c>
      <c r="G75" s="5">
        <f>Table4[[#This Row],[May]]*$B75</f>
        <v>18124</v>
      </c>
      <c r="H75" s="5">
        <f>Table4[[#This Row],[Jun]]*$B75</f>
        <v>15908</v>
      </c>
      <c r="I75" s="5">
        <f>Table4[[#This Row],[Jul]]*$B75</f>
        <v>16827</v>
      </c>
      <c r="J75" s="5">
        <f>Table4[[#This Row],[Aug]]*$B75</f>
        <v>19405</v>
      </c>
      <c r="K75" s="5">
        <f>Table4[[#This Row],[Sep]]*$B75</f>
        <v>19981</v>
      </c>
      <c r="L75" s="5">
        <f>Table4[[#This Row],[Oct]]*$B75</f>
        <v>22401</v>
      </c>
      <c r="M75" s="5">
        <f>Table4[[#This Row],[Nov]]*$B75</f>
        <v>20125</v>
      </c>
      <c r="N75" s="5">
        <f>Table4[[#This Row],[Dec]]*$B75</f>
        <v>20771</v>
      </c>
    </row>
    <row r="76" spans="1:14" x14ac:dyDescent="0.3">
      <c r="A76" t="s">
        <v>271</v>
      </c>
      <c r="B76">
        <v>0.9</v>
      </c>
      <c r="C76" s="5">
        <f>Table4[[#This Row],[Jan]]*$B76</f>
        <v>17370.900000000001</v>
      </c>
      <c r="D76" s="5">
        <f>Table4[[#This Row],[Feb]]*$B76</f>
        <v>15077.7</v>
      </c>
      <c r="E76" s="5">
        <f>Table4[[#This Row],[Mar]]*$B76</f>
        <v>14634</v>
      </c>
      <c r="F76" s="5">
        <f>Table4[[#This Row],[Apr]]*$B76</f>
        <v>12420</v>
      </c>
      <c r="G76" s="5">
        <f>Table4[[#This Row],[May]]*$B76</f>
        <v>11402.1</v>
      </c>
      <c r="H76" s="5">
        <f>Table4[[#This Row],[Jun]]*$B76</f>
        <v>9989.1</v>
      </c>
      <c r="I76" s="5">
        <f>Table4[[#This Row],[Jul]]*$B76</f>
        <v>10986.300000000001</v>
      </c>
      <c r="J76" s="5">
        <f>Table4[[#This Row],[Aug]]*$B76</f>
        <v>13108.77</v>
      </c>
      <c r="K76" s="5">
        <f>Table4[[#This Row],[Sep]]*$B76</f>
        <v>14833.17</v>
      </c>
      <c r="L76" s="5">
        <f>Table4[[#This Row],[Oct]]*$B76</f>
        <v>17053.2</v>
      </c>
      <c r="M76" s="5">
        <f>Table4[[#This Row],[Nov]]*$B76</f>
        <v>17239.5</v>
      </c>
      <c r="N76" s="5">
        <f>Table4[[#This Row],[Dec]]*$B76</f>
        <v>17465.400000000001</v>
      </c>
    </row>
    <row r="77" spans="1:14" x14ac:dyDescent="0.3">
      <c r="A77" t="s">
        <v>251</v>
      </c>
      <c r="B77">
        <v>0.9</v>
      </c>
      <c r="C77" s="5">
        <f>Table4[[#This Row],[Jan]]*$B77</f>
        <v>26451</v>
      </c>
      <c r="D77" s="5">
        <f>Table4[[#This Row],[Feb]]*$B77</f>
        <v>23215.5</v>
      </c>
      <c r="E77" s="5">
        <f>Table4[[#This Row],[Mar]]*$B77</f>
        <v>23034.600000000002</v>
      </c>
      <c r="F77" s="5">
        <f>Table4[[#This Row],[Apr]]*$B77</f>
        <v>19930.5</v>
      </c>
      <c r="G77" s="5">
        <f>Table4[[#This Row],[May]]*$B77</f>
        <v>18754.2</v>
      </c>
      <c r="H77" s="5">
        <f>Table4[[#This Row],[Jun]]*$B77</f>
        <v>16767.900000000001</v>
      </c>
      <c r="I77" s="5">
        <f>Table4[[#This Row],[Jul]]*$B77</f>
        <v>18261</v>
      </c>
      <c r="J77" s="5">
        <f>Table4[[#This Row],[Aug]]*$B77</f>
        <v>21311.100000000002</v>
      </c>
      <c r="K77" s="5">
        <f>Table4[[#This Row],[Sep]]*$B77</f>
        <v>23659.200000000001</v>
      </c>
      <c r="L77" s="5">
        <f>Table4[[#This Row],[Oct]]*$B77</f>
        <v>26865.9</v>
      </c>
      <c r="M77" s="5">
        <f>Table4[[#This Row],[Nov]]*$B77</f>
        <v>27153.9</v>
      </c>
      <c r="N77" s="5">
        <f>Table4[[#This Row],[Dec]]*$B77</f>
        <v>27402.3</v>
      </c>
    </row>
    <row r="78" spans="1:14" x14ac:dyDescent="0.3">
      <c r="A78" t="s">
        <v>250</v>
      </c>
      <c r="B78">
        <v>0.9</v>
      </c>
      <c r="C78" s="5">
        <f>Table4[[#This Row],[Jan]]*$B78</f>
        <v>28877.4</v>
      </c>
      <c r="D78" s="5">
        <f>Table4[[#This Row],[Feb]]*$B78</f>
        <v>25884.9</v>
      </c>
      <c r="E78" s="5">
        <f>Table4[[#This Row],[Mar]]*$B78</f>
        <v>27341.100000000002</v>
      </c>
      <c r="F78" s="5">
        <f>Table4[[#This Row],[Apr]]*$B78</f>
        <v>27823.5</v>
      </c>
      <c r="G78" s="5">
        <f>Table4[[#This Row],[May]]*$B78</f>
        <v>29920.5</v>
      </c>
      <c r="H78" s="5">
        <f>Table4[[#This Row],[Jun]]*$B78</f>
        <v>28644.3</v>
      </c>
      <c r="I78" s="5">
        <f>Table4[[#This Row],[Jul]]*$B78</f>
        <v>28051.200000000001</v>
      </c>
      <c r="J78" s="5">
        <f>Table4[[#This Row],[Aug]]*$B78</f>
        <v>31649.4</v>
      </c>
      <c r="K78" s="5">
        <f>Table4[[#This Row],[Sep]]*$B78</f>
        <v>28250.100000000002</v>
      </c>
      <c r="L78" s="5">
        <f>Table4[[#This Row],[Oct]]*$B78</f>
        <v>28466.100000000002</v>
      </c>
      <c r="M78" s="5">
        <f>Table4[[#This Row],[Nov]]*$B78</f>
        <v>28991.7</v>
      </c>
      <c r="N78" s="5">
        <f>Table4[[#This Row],[Dec]]*$B78</f>
        <v>28903.5</v>
      </c>
    </row>
    <row r="79" spans="1:14" x14ac:dyDescent="0.3">
      <c r="A79" t="s">
        <v>1004</v>
      </c>
      <c r="B79">
        <v>0.9</v>
      </c>
      <c r="C79">
        <f>Table4[[#This Row],[Jan]]*$B79</f>
        <v>5973.3</v>
      </c>
      <c r="D79">
        <f>Table4[[#This Row],[Feb]]*$B79</f>
        <v>5271.3</v>
      </c>
      <c r="E79">
        <f>Table4[[#This Row],[Mar]]*$B79</f>
        <v>5330.7</v>
      </c>
      <c r="F79">
        <f>Table4[[#This Row],[Apr]]*$B79</f>
        <v>4826.7</v>
      </c>
      <c r="G79">
        <f>Table4[[#This Row],[May]]*$B79</f>
        <v>4649.4000000000005</v>
      </c>
      <c r="H79">
        <f>Table4[[#This Row],[Jun]]*$B79</f>
        <v>4253.4000000000005</v>
      </c>
      <c r="I79">
        <f>Table4[[#This Row],[Jul]]*$B79</f>
        <v>4644.9000000000005</v>
      </c>
      <c r="J79">
        <f>Table4[[#This Row],[Aug]]*$B79</f>
        <v>5254.2</v>
      </c>
      <c r="K79">
        <f>Table4[[#This Row],[Sep]]*$B79</f>
        <v>5567.4000000000005</v>
      </c>
      <c r="L79">
        <f>Table4[[#This Row],[Oct]]*$B79</f>
        <v>6030.9000000000005</v>
      </c>
      <c r="M79">
        <f>Table4[[#This Row],[Nov]]*$B79</f>
        <v>5897.7</v>
      </c>
      <c r="N79">
        <f>Table4[[#This Row],[Dec]]*$B79</f>
        <v>5989.5</v>
      </c>
    </row>
    <row r="84" spans="6:6" x14ac:dyDescent="0.3">
      <c r="F84">
        <f>19931/30</f>
        <v>664.36666666666667</v>
      </c>
    </row>
  </sheetData>
  <phoneticPr fontId="4" type="noConversion"/>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780"/>
  <sheetViews>
    <sheetView zoomScaleNormal="100" workbookViewId="0">
      <pane xSplit="1" ySplit="1" topLeftCell="B250" activePane="bottomRight" state="frozen"/>
      <selection pane="topRight" activeCell="B1" sqref="B1"/>
      <selection pane="bottomLeft" activeCell="A2" sqref="A2"/>
      <selection pane="bottomRight" activeCell="G2800" sqref="G2800"/>
    </sheetView>
  </sheetViews>
  <sheetFormatPr defaultColWidth="8.6640625" defaultRowHeight="14.4" x14ac:dyDescent="0.3"/>
  <cols>
    <col min="1" max="1" width="31" customWidth="1"/>
    <col min="2" max="2" width="23" customWidth="1"/>
    <col min="3" max="3" width="21.5546875" bestFit="1" customWidth="1"/>
    <col min="4" max="4" width="20.6640625" bestFit="1" customWidth="1"/>
    <col min="5" max="5" width="10.77734375" bestFit="1" customWidth="1"/>
    <col min="6" max="6" width="19.6640625" bestFit="1" customWidth="1"/>
    <col min="7" max="7" width="27.21875" bestFit="1" customWidth="1"/>
    <col min="9" max="9" width="22.21875" bestFit="1" customWidth="1"/>
    <col min="10" max="10" width="5" bestFit="1" customWidth="1"/>
  </cols>
  <sheetData>
    <row r="1" spans="1:10" ht="15" customHeight="1" x14ac:dyDescent="0.3">
      <c r="A1" t="s">
        <v>268</v>
      </c>
      <c r="B1" t="s">
        <v>266</v>
      </c>
      <c r="C1" t="s">
        <v>1103</v>
      </c>
      <c r="D1" t="s">
        <v>1104</v>
      </c>
      <c r="E1" t="s">
        <v>1105</v>
      </c>
      <c r="F1" t="s">
        <v>1106</v>
      </c>
      <c r="G1" t="s">
        <v>269</v>
      </c>
      <c r="I1" s="51" t="s">
        <v>1107</v>
      </c>
      <c r="J1" s="50">
        <v>7.0000000000000001E-3</v>
      </c>
    </row>
    <row r="2" spans="1:10" ht="15" hidden="1" customHeight="1" x14ac:dyDescent="0.3">
      <c r="A2" t="s">
        <v>31</v>
      </c>
      <c r="B2" s="2">
        <v>45292</v>
      </c>
      <c r="C2" s="52">
        <v>2370.6</v>
      </c>
      <c r="D2" s="48">
        <f>_xlfn.XLOOKUP(expected_production[[#This Row],[Site Name]],Table1[[Site Name ]],Table1[Commisioned Date],"")</f>
        <v>44963</v>
      </c>
      <c r="E2" s="47">
        <f>IF(ISNUMBER(expected_production[[#This Row],[Commissioned Date]]),MAX(0,(expected_production[[#This Row],[Date]]-expected_production[[#This Row],[Commissioned Date]])/365.25),"")</f>
        <v>0.90075290896646132</v>
      </c>
      <c r="F2" s="49">
        <f>IF(expected_production[[#This Row],[Age (yrs)]]="",1,(1-DegradationRate)^expected_production[[#This Row],[Age (yrs)]])</f>
        <v>0.99369253376967082</v>
      </c>
      <c r="G2" s="52">
        <f>IF(expected_production[[#This Row],[Base Expected (kWh)]]="","",expected_production[[#This Row],[Base Expected (kWh)]]*expected_production[[#This Row],[Degradation Factor]])</f>
        <v>2355.6475205543816</v>
      </c>
    </row>
    <row r="3" spans="1:10" ht="15" hidden="1" customHeight="1" x14ac:dyDescent="0.3">
      <c r="A3" t="s">
        <v>31</v>
      </c>
      <c r="B3" s="2">
        <v>45323</v>
      </c>
      <c r="C3" s="52">
        <v>2680.2</v>
      </c>
      <c r="D3" s="48">
        <f>_xlfn.XLOOKUP(expected_production[[#This Row],[Site Name]],Table1[[Site Name ]],Table1[Commisioned Date],"")</f>
        <v>44963</v>
      </c>
      <c r="E3" s="47">
        <f>IF(ISNUMBER(expected_production[[#This Row],[Commissioned Date]]),MAX(0,(expected_production[[#This Row],[Date]]-expected_production[[#This Row],[Commissioned Date]])/365.25),"")</f>
        <v>0.98562628336755642</v>
      </c>
      <c r="F3" s="49">
        <f>IF(expected_production[[#This Row],[Age (yrs)]]="",1,(1-DegradationRate)^expected_production[[#This Row],[Age (yrs)]])</f>
        <v>0.993100268097725</v>
      </c>
      <c r="G3" s="52">
        <f>IF(expected_production[[#This Row],[Base Expected (kWh)]]="","",expected_production[[#This Row],[Base Expected (kWh)]]*expected_production[[#This Row],[Degradation Factor]])</f>
        <v>2661.7073385555223</v>
      </c>
    </row>
    <row r="4" spans="1:10" ht="15" hidden="1" customHeight="1" x14ac:dyDescent="0.3">
      <c r="A4" t="s">
        <v>31</v>
      </c>
      <c r="B4" s="2">
        <v>45352</v>
      </c>
      <c r="C4" s="52">
        <v>2183.4</v>
      </c>
      <c r="D4" s="48">
        <f>_xlfn.XLOOKUP(expected_production[[#This Row],[Site Name]],Table1[[Site Name ]],Table1[Commisioned Date],"")</f>
        <v>44963</v>
      </c>
      <c r="E4" s="47">
        <f>IF(ISNUMBER(expected_production[[#This Row],[Commissioned Date]]),MAX(0,(expected_production[[#This Row],[Date]]-expected_production[[#This Row],[Commissioned Date]])/365.25),"")</f>
        <v>1.0650239561943875</v>
      </c>
      <c r="F4" s="49">
        <f>IF(expected_production[[#This Row],[Age (yrs)]]="",1,(1-DegradationRate)^expected_production[[#This Row],[Age (yrs)]])</f>
        <v>0.99254653269645243</v>
      </c>
      <c r="G4" s="52">
        <f>IF(expected_production[[#This Row],[Base Expected (kWh)]]="","",expected_production[[#This Row],[Base Expected (kWh)]]*expected_production[[#This Row],[Degradation Factor]])</f>
        <v>2167.1260994894342</v>
      </c>
    </row>
    <row r="5" spans="1:10" ht="15" hidden="1" customHeight="1" x14ac:dyDescent="0.3">
      <c r="A5" t="s">
        <v>31</v>
      </c>
      <c r="B5" s="2">
        <v>45383</v>
      </c>
      <c r="C5" s="52">
        <v>1873.8</v>
      </c>
      <c r="D5" s="48">
        <f>_xlfn.XLOOKUP(expected_production[[#This Row],[Site Name]],Table1[[Site Name ]],Table1[Commisioned Date],"")</f>
        <v>44963</v>
      </c>
      <c r="E5" s="47">
        <f>IF(ISNUMBER(expected_production[[#This Row],[Commissioned Date]]),MAX(0,(expected_production[[#This Row],[Date]]-expected_production[[#This Row],[Commissioned Date]])/365.25),"")</f>
        <v>1.1498973305954825</v>
      </c>
      <c r="F5" s="49">
        <f>IF(expected_production[[#This Row],[Age (yrs)]]="",1,(1-DegradationRate)^expected_production[[#This Row],[Age (yrs)]])</f>
        <v>0.99195495006988788</v>
      </c>
      <c r="G5" s="52">
        <f>IF(expected_production[[#This Row],[Base Expected (kWh)]]="","",expected_production[[#This Row],[Base Expected (kWh)]]*expected_production[[#This Row],[Degradation Factor]])</f>
        <v>1858.7251854409558</v>
      </c>
    </row>
    <row r="6" spans="1:10" ht="15" hidden="1" customHeight="1" x14ac:dyDescent="0.3">
      <c r="A6" t="s">
        <v>31</v>
      </c>
      <c r="B6" s="2">
        <v>45413</v>
      </c>
      <c r="C6" s="52">
        <v>1822.5</v>
      </c>
      <c r="D6" s="48">
        <f>_xlfn.XLOOKUP(expected_production[[#This Row],[Site Name]],Table1[[Site Name ]],Table1[Commisioned Date],"")</f>
        <v>44963</v>
      </c>
      <c r="E6" s="47">
        <f>IF(ISNUMBER(expected_production[[#This Row],[Commissioned Date]]),MAX(0,(expected_production[[#This Row],[Date]]-expected_production[[#This Row],[Commissioned Date]])/365.25),"")</f>
        <v>1.2320328542094456</v>
      </c>
      <c r="F6" s="49">
        <f>IF(expected_production[[#This Row],[Age (yrs)]]="",1,(1-DegradationRate)^expected_production[[#This Row],[Age (yrs)]])</f>
        <v>0.99138278647634814</v>
      </c>
      <c r="G6" s="52">
        <f>IF(expected_production[[#This Row],[Base Expected (kWh)]]="","",expected_production[[#This Row],[Base Expected (kWh)]]*expected_production[[#This Row],[Degradation Factor]])</f>
        <v>1806.7951283531445</v>
      </c>
    </row>
    <row r="7" spans="1:10" ht="15" hidden="1" customHeight="1" x14ac:dyDescent="0.3">
      <c r="A7" t="s">
        <v>31</v>
      </c>
      <c r="B7" s="2">
        <v>45444</v>
      </c>
      <c r="C7" s="52">
        <v>1629</v>
      </c>
      <c r="D7" s="48">
        <f>_xlfn.XLOOKUP(expected_production[[#This Row],[Site Name]],Table1[[Site Name ]],Table1[Commisioned Date],"")</f>
        <v>44963</v>
      </c>
      <c r="E7" s="47">
        <f>IF(ISNUMBER(expected_production[[#This Row],[Commissioned Date]]),MAX(0,(expected_production[[#This Row],[Date]]-expected_production[[#This Row],[Commissioned Date]])/365.25),"")</f>
        <v>1.3169062286105406</v>
      </c>
      <c r="F7" s="49">
        <f>IF(expected_production[[#This Row],[Age (yrs)]]="",1,(1-DegradationRate)^expected_production[[#This Row],[Age (yrs)]])</f>
        <v>0.99079189747171759</v>
      </c>
      <c r="G7" s="52">
        <f>IF(expected_production[[#This Row],[Base Expected (kWh)]]="","",expected_production[[#This Row],[Base Expected (kWh)]]*expected_production[[#This Row],[Degradation Factor]])</f>
        <v>1614.000000981428</v>
      </c>
    </row>
    <row r="8" spans="1:10" ht="15" hidden="1" customHeight="1" x14ac:dyDescent="0.3">
      <c r="A8" t="s">
        <v>31</v>
      </c>
      <c r="B8" s="2">
        <v>45474</v>
      </c>
      <c r="C8" s="52">
        <v>1814.4</v>
      </c>
      <c r="D8" s="48">
        <f>_xlfn.XLOOKUP(expected_production[[#This Row],[Site Name]],Table1[[Site Name ]],Table1[Commisioned Date],"")</f>
        <v>44963</v>
      </c>
      <c r="E8" s="47">
        <f>IF(ISNUMBER(expected_production[[#This Row],[Commissioned Date]]),MAX(0,(expected_production[[#This Row],[Date]]-expected_production[[#This Row],[Commissioned Date]])/365.25),"")</f>
        <v>1.3990417522245038</v>
      </c>
      <c r="F8" s="49">
        <f>IF(expected_production[[#This Row],[Age (yrs)]]="",1,(1-DegradationRate)^expected_production[[#This Row],[Age (yrs)]])</f>
        <v>0.99022040473158113</v>
      </c>
      <c r="G8" s="52">
        <f>IF(expected_production[[#This Row],[Base Expected (kWh)]]="","",expected_production[[#This Row],[Base Expected (kWh)]]*expected_production[[#This Row],[Degradation Factor]])</f>
        <v>1796.6559023449809</v>
      </c>
    </row>
    <row r="9" spans="1:10" ht="15" hidden="1" customHeight="1" x14ac:dyDescent="0.3">
      <c r="A9" t="s">
        <v>31</v>
      </c>
      <c r="B9" s="2">
        <v>45505</v>
      </c>
      <c r="C9" s="52">
        <v>2116.8000000000002</v>
      </c>
      <c r="D9" s="48">
        <f>_xlfn.XLOOKUP(expected_production[[#This Row],[Site Name]],Table1[[Site Name ]],Table1[Commisioned Date],"")</f>
        <v>44963</v>
      </c>
      <c r="E9" s="47">
        <f>IF(ISNUMBER(expected_production[[#This Row],[Commissioned Date]]),MAX(0,(expected_production[[#This Row],[Date]]-expected_production[[#This Row],[Commissioned Date]])/365.25),"")</f>
        <v>1.483915126625599</v>
      </c>
      <c r="F9" s="49">
        <f>IF(expected_production[[#This Row],[Age (yrs)]]="",1,(1-DegradationRate)^expected_production[[#This Row],[Age (yrs)]])</f>
        <v>0.989630208535623</v>
      </c>
      <c r="G9" s="52">
        <f>IF(expected_production[[#This Row],[Base Expected (kWh)]]="","",expected_production[[#This Row],[Base Expected (kWh)]]*expected_production[[#This Row],[Degradation Factor]])</f>
        <v>2094.8492254282069</v>
      </c>
    </row>
    <row r="10" spans="1:10" ht="15" hidden="1" customHeight="1" x14ac:dyDescent="0.3">
      <c r="A10" t="s">
        <v>31</v>
      </c>
      <c r="B10" s="2">
        <v>45536</v>
      </c>
      <c r="C10" s="52">
        <v>2275.1999999999998</v>
      </c>
      <c r="D10" s="48">
        <f>_xlfn.XLOOKUP(expected_production[[#This Row],[Site Name]],Table1[[Site Name ]],Table1[Commisioned Date],"")</f>
        <v>44963</v>
      </c>
      <c r="E10" s="47">
        <f>IF(ISNUMBER(expected_production[[#This Row],[Commissioned Date]]),MAX(0,(expected_production[[#This Row],[Date]]-expected_production[[#This Row],[Commissioned Date]])/365.25),"")</f>
        <v>1.568788501026694</v>
      </c>
      <c r="F10" s="49">
        <f>IF(expected_production[[#This Row],[Age (yrs)]]="",1,(1-DegradationRate)^expected_production[[#This Row],[Age (yrs)]])</f>
        <v>0.98904036411139973</v>
      </c>
      <c r="G10" s="52">
        <f>IF(expected_production[[#This Row],[Base Expected (kWh)]]="","",expected_production[[#This Row],[Base Expected (kWh)]]*expected_production[[#This Row],[Degradation Factor]])</f>
        <v>2250.2646364262564</v>
      </c>
    </row>
    <row r="11" spans="1:10" ht="15" hidden="1" customHeight="1" x14ac:dyDescent="0.3">
      <c r="A11" t="s">
        <v>31</v>
      </c>
      <c r="B11" s="2">
        <v>45566</v>
      </c>
      <c r="C11" s="52">
        <v>2407.5</v>
      </c>
      <c r="D11" s="48">
        <f>_xlfn.XLOOKUP(expected_production[[#This Row],[Site Name]],Table1[[Site Name ]],Table1[Commisioned Date],"")</f>
        <v>44963</v>
      </c>
      <c r="E11" s="47">
        <f>IF(ISNUMBER(expected_production[[#This Row],[Commissioned Date]]),MAX(0,(expected_production[[#This Row],[Date]]-expected_production[[#This Row],[Commissioned Date]])/365.25),"")</f>
        <v>1.6509240246406571</v>
      </c>
      <c r="F11" s="49">
        <f>IF(expected_production[[#This Row],[Age (yrs)]]="",1,(1-DegradationRate)^expected_production[[#This Row],[Age (yrs)]])</f>
        <v>0.98846988166273009</v>
      </c>
      <c r="G11" s="52">
        <f>IF(expected_production[[#This Row],[Base Expected (kWh)]]="","",expected_production[[#This Row],[Base Expected (kWh)]]*expected_production[[#This Row],[Degradation Factor]])</f>
        <v>2379.7412401030228</v>
      </c>
    </row>
    <row r="12" spans="1:10" ht="15" hidden="1" customHeight="1" x14ac:dyDescent="0.3">
      <c r="A12" t="s">
        <v>31</v>
      </c>
      <c r="B12" s="2">
        <v>45597</v>
      </c>
      <c r="C12" s="52">
        <v>2356.1999999999998</v>
      </c>
      <c r="D12" s="48">
        <f>_xlfn.XLOOKUP(expected_production[[#This Row],[Site Name]],Table1[[Site Name ]],Table1[Commisioned Date],"")</f>
        <v>44963</v>
      </c>
      <c r="E12" s="47">
        <f>IF(ISNUMBER(expected_production[[#This Row],[Commissioned Date]]),MAX(0,(expected_production[[#This Row],[Date]]-expected_production[[#This Row],[Commissioned Date]])/365.25),"")</f>
        <v>1.7357973990417521</v>
      </c>
      <c r="F12" s="49">
        <f>IF(expected_production[[#This Row],[Age (yrs)]]="",1,(1-DegradationRate)^expected_production[[#This Row],[Age (yrs)]])</f>
        <v>0.98788072882242417</v>
      </c>
      <c r="G12" s="52">
        <f>IF(expected_production[[#This Row],[Base Expected (kWh)]]="","",expected_production[[#This Row],[Base Expected (kWh)]]*expected_production[[#This Row],[Degradation Factor]])</f>
        <v>2327.6445732513957</v>
      </c>
    </row>
    <row r="13" spans="1:10" ht="15" hidden="1" customHeight="1" x14ac:dyDescent="0.3">
      <c r="A13" t="s">
        <v>31</v>
      </c>
      <c r="B13" s="2">
        <v>45627</v>
      </c>
      <c r="C13" s="52">
        <v>2482.1999999999998</v>
      </c>
      <c r="D13" s="48">
        <f>_xlfn.XLOOKUP(expected_production[[#This Row],[Site Name]],Table1[[Site Name ]],Table1[Commisioned Date],"")</f>
        <v>44963</v>
      </c>
      <c r="E13" s="47">
        <f>IF(ISNUMBER(expected_production[[#This Row],[Commissioned Date]]),MAX(0,(expected_production[[#This Row],[Date]]-expected_production[[#This Row],[Commissioned Date]])/365.25),"")</f>
        <v>1.8179329226557153</v>
      </c>
      <c r="F13" s="49">
        <f>IF(expected_production[[#This Row],[Age (yrs)]]="",1,(1-DegradationRate)^expected_production[[#This Row],[Age (yrs)]])</f>
        <v>0.98731091525604009</v>
      </c>
      <c r="G13" s="52">
        <f>IF(expected_production[[#This Row],[Base Expected (kWh)]]="","",expected_production[[#This Row],[Base Expected (kWh)]]*expected_production[[#This Row],[Degradation Factor]])</f>
        <v>2450.7031538485426</v>
      </c>
    </row>
    <row r="14" spans="1:10" ht="15" hidden="1" customHeight="1" x14ac:dyDescent="0.3">
      <c r="A14" t="s">
        <v>31</v>
      </c>
      <c r="B14" s="2">
        <v>45658</v>
      </c>
      <c r="C14" s="52">
        <v>2370.6</v>
      </c>
      <c r="D14" s="48">
        <f>_xlfn.XLOOKUP(expected_production[[#This Row],[Site Name]],Table1[[Site Name ]],Table1[Commisioned Date],"")</f>
        <v>44963</v>
      </c>
      <c r="E14" s="47">
        <f>IF(ISNUMBER(expected_production[[#This Row],[Commissioned Date]]),MAX(0,(expected_production[[#This Row],[Date]]-expected_production[[#This Row],[Commissioned Date]])/365.25),"")</f>
        <v>1.9028062970568105</v>
      </c>
      <c r="F14" s="49">
        <f>IF(expected_production[[#This Row],[Age (yrs)]]="",1,(1-DegradationRate)^expected_production[[#This Row],[Age (yrs)]])</f>
        <v>0.98672245318877938</v>
      </c>
      <c r="G14" s="52">
        <f>IF(expected_production[[#This Row],[Base Expected (kWh)]]="","",expected_production[[#This Row],[Base Expected (kWh)]]*expected_production[[#This Row],[Degradation Factor]])</f>
        <v>2339.1242475293202</v>
      </c>
    </row>
    <row r="15" spans="1:10" ht="15" hidden="1" customHeight="1" x14ac:dyDescent="0.3">
      <c r="A15" t="s">
        <v>31</v>
      </c>
      <c r="B15" s="2">
        <v>45689</v>
      </c>
      <c r="C15" s="52">
        <v>2680.2</v>
      </c>
      <c r="D15" s="48">
        <f>_xlfn.XLOOKUP(expected_production[[#This Row],[Site Name]],Table1[[Site Name ]],Table1[Commisioned Date],"")</f>
        <v>44963</v>
      </c>
      <c r="E15" s="47">
        <f>IF(ISNUMBER(expected_production[[#This Row],[Commissioned Date]]),MAX(0,(expected_production[[#This Row],[Date]]-expected_production[[#This Row],[Commissioned Date]])/365.25),"")</f>
        <v>1.9876796714579055</v>
      </c>
      <c r="F15" s="49">
        <f>IF(expected_production[[#This Row],[Age (yrs)]]="",1,(1-DegradationRate)^expected_production[[#This Row],[Age (yrs)]])</f>
        <v>0.98613434185966942</v>
      </c>
      <c r="G15" s="52">
        <f>IF(expected_production[[#This Row],[Base Expected (kWh)]]="","",expected_production[[#This Row],[Base Expected (kWh)]]*expected_production[[#This Row],[Degradation Factor]])</f>
        <v>2643.0372630522857</v>
      </c>
    </row>
    <row r="16" spans="1:10" ht="15" hidden="1" customHeight="1" x14ac:dyDescent="0.3">
      <c r="A16" t="s">
        <v>31</v>
      </c>
      <c r="B16" s="2">
        <v>45717</v>
      </c>
      <c r="C16" s="52">
        <v>2183.4</v>
      </c>
      <c r="D16" s="48">
        <f>_xlfn.XLOOKUP(expected_production[[#This Row],[Site Name]],Table1[[Site Name ]],Table1[Commisioned Date],"")</f>
        <v>44963</v>
      </c>
      <c r="E16" s="47">
        <f>IF(ISNUMBER(expected_production[[#This Row],[Commissioned Date]]),MAX(0,(expected_production[[#This Row],[Date]]-expected_production[[#This Row],[Commissioned Date]])/365.25),"")</f>
        <v>2.0643394934976045</v>
      </c>
      <c r="F16" s="49">
        <f>IF(expected_production[[#This Row],[Age (yrs)]]="",1,(1-DegradationRate)^expected_production[[#This Row],[Age (yrs)]])</f>
        <v>0.98560344582318515</v>
      </c>
      <c r="G16" s="52">
        <f>IF(expected_production[[#This Row],[Base Expected (kWh)]]="","",expected_production[[#This Row],[Base Expected (kWh)]]*expected_production[[#This Row],[Degradation Factor]])</f>
        <v>2151.9665636103427</v>
      </c>
    </row>
    <row r="17" spans="1:7" ht="15" hidden="1" customHeight="1" x14ac:dyDescent="0.3">
      <c r="A17" t="s">
        <v>31</v>
      </c>
      <c r="B17" s="2">
        <v>45748</v>
      </c>
      <c r="C17" s="52">
        <v>1873.8</v>
      </c>
      <c r="D17" s="48">
        <f>_xlfn.XLOOKUP(expected_production[[#This Row],[Site Name]],Table1[[Site Name ]],Table1[Commisioned Date],"")</f>
        <v>44963</v>
      </c>
      <c r="E17" s="47">
        <f>IF(ISNUMBER(expected_production[[#This Row],[Commissioned Date]]),MAX(0,(expected_production[[#This Row],[Date]]-expected_production[[#This Row],[Commissioned Date]])/365.25),"")</f>
        <v>2.1492128678986995</v>
      </c>
      <c r="F17" s="49">
        <f>IF(expected_production[[#This Row],[Age (yrs)]]="",1,(1-DegradationRate)^expected_production[[#This Row],[Age (yrs)]])</f>
        <v>0.98501600145052981</v>
      </c>
      <c r="G17" s="52">
        <f>IF(expected_production[[#This Row],[Base Expected (kWh)]]="","",expected_production[[#This Row],[Base Expected (kWh)]]*expected_production[[#This Row],[Degradation Factor]])</f>
        <v>1845.7229835180028</v>
      </c>
    </row>
    <row r="18" spans="1:7" ht="15" hidden="1" customHeight="1" x14ac:dyDescent="0.3">
      <c r="A18" t="s">
        <v>31</v>
      </c>
      <c r="B18" s="2">
        <v>45778</v>
      </c>
      <c r="C18" s="52">
        <v>1822.5</v>
      </c>
      <c r="D18" s="48">
        <f>_xlfn.XLOOKUP(expected_production[[#This Row],[Site Name]],Table1[[Site Name ]],Table1[Commisioned Date],"")</f>
        <v>44963</v>
      </c>
      <c r="E18" s="47">
        <f>IF(ISNUMBER(expected_production[[#This Row],[Commissioned Date]]),MAX(0,(expected_production[[#This Row],[Date]]-expected_production[[#This Row],[Commissioned Date]])/365.25),"")</f>
        <v>2.2313483915126624</v>
      </c>
      <c r="F18" s="49">
        <f>IF(expected_production[[#This Row],[Age (yrs)]]="",1,(1-DegradationRate)^expected_production[[#This Row],[Age (yrs)]])</f>
        <v>0.98444784027038312</v>
      </c>
      <c r="G18" s="52">
        <f>IF(expected_production[[#This Row],[Base Expected (kWh)]]="","",expected_production[[#This Row],[Base Expected (kWh)]]*expected_production[[#This Row],[Degradation Factor]])</f>
        <v>1794.1561888927733</v>
      </c>
    </row>
    <row r="19" spans="1:7" ht="15" hidden="1" customHeight="1" x14ac:dyDescent="0.3">
      <c r="A19" t="s">
        <v>31</v>
      </c>
      <c r="B19" s="2">
        <v>45809</v>
      </c>
      <c r="C19" s="52">
        <v>1629</v>
      </c>
      <c r="D19" s="48">
        <f>_xlfn.XLOOKUP(expected_production[[#This Row],[Site Name]],Table1[[Site Name ]],Table1[Commisioned Date],"")</f>
        <v>44963</v>
      </c>
      <c r="E19" s="47">
        <f>IF(ISNUMBER(expected_production[[#This Row],[Commissioned Date]]),MAX(0,(expected_production[[#This Row],[Date]]-expected_production[[#This Row],[Commissioned Date]])/365.25),"")</f>
        <v>2.3162217659137578</v>
      </c>
      <c r="F19" s="49">
        <f>IF(expected_production[[#This Row],[Age (yrs)]]="",1,(1-DegradationRate)^expected_production[[#This Row],[Age (yrs)]])</f>
        <v>0.98386108466761979</v>
      </c>
      <c r="G19" s="52">
        <f>IF(expected_production[[#This Row],[Base Expected (kWh)]]="","",expected_production[[#This Row],[Base Expected (kWh)]]*expected_production[[#This Row],[Degradation Factor]])</f>
        <v>1602.7097069235526</v>
      </c>
    </row>
    <row r="20" spans="1:7" ht="15" hidden="1" customHeight="1" x14ac:dyDescent="0.3">
      <c r="A20" t="s">
        <v>31</v>
      </c>
      <c r="B20" s="2">
        <v>45839</v>
      </c>
      <c r="C20" s="52">
        <v>1814.4</v>
      </c>
      <c r="D20" s="48">
        <f>_xlfn.XLOOKUP(expected_production[[#This Row],[Site Name]],Table1[[Site Name ]],Table1[Commisioned Date],"")</f>
        <v>44963</v>
      </c>
      <c r="E20" s="47">
        <f>IF(ISNUMBER(expected_production[[#This Row],[Commissioned Date]]),MAX(0,(expected_production[[#This Row],[Date]]-expected_production[[#This Row],[Commissioned Date]])/365.25),"")</f>
        <v>2.3983572895277208</v>
      </c>
      <c r="F20" s="49">
        <f>IF(expected_production[[#This Row],[Age (yrs)]]="",1,(1-DegradationRate)^expected_production[[#This Row],[Age (yrs)]])</f>
        <v>0.98329358964810543</v>
      </c>
      <c r="G20" s="52">
        <f>IF(expected_production[[#This Row],[Base Expected (kWh)]]="","",expected_production[[#This Row],[Base Expected (kWh)]]*expected_production[[#This Row],[Degradation Factor]])</f>
        <v>1784.0878890575225</v>
      </c>
    </row>
    <row r="21" spans="1:7" ht="15" hidden="1" customHeight="1" x14ac:dyDescent="0.3">
      <c r="A21" t="s">
        <v>31</v>
      </c>
      <c r="B21" s="2">
        <v>45870</v>
      </c>
      <c r="C21" s="52">
        <v>2116.8000000000002</v>
      </c>
      <c r="D21" s="48">
        <f>_xlfn.XLOOKUP(expected_production[[#This Row],[Site Name]],Table1[[Site Name ]],Table1[Commisioned Date],"")</f>
        <v>44963</v>
      </c>
      <c r="E21" s="47">
        <f>IF(ISNUMBER(expected_production[[#This Row],[Commissioned Date]]),MAX(0,(expected_production[[#This Row],[Date]]-expected_production[[#This Row],[Commissioned Date]])/365.25),"")</f>
        <v>2.4832306639288158</v>
      </c>
      <c r="F21" s="49">
        <f>IF(expected_production[[#This Row],[Age (yrs)]]="",1,(1-DegradationRate)^expected_production[[#This Row],[Age (yrs)]])</f>
        <v>0.98270752200766165</v>
      </c>
      <c r="G21" s="52">
        <f>IF(expected_production[[#This Row],[Base Expected (kWh)]]="","",expected_production[[#This Row],[Base Expected (kWh)]]*expected_production[[#This Row],[Degradation Factor]])</f>
        <v>2080.1952825858184</v>
      </c>
    </row>
    <row r="22" spans="1:7" ht="15" hidden="1" customHeight="1" x14ac:dyDescent="0.3">
      <c r="A22" t="s">
        <v>31</v>
      </c>
      <c r="B22" s="2">
        <v>45901</v>
      </c>
      <c r="C22" s="52">
        <v>2275.1999999999998</v>
      </c>
      <c r="D22" s="48">
        <f>_xlfn.XLOOKUP(expected_production[[#This Row],[Site Name]],Table1[[Site Name ]],Table1[Commisioned Date],"")</f>
        <v>44963</v>
      </c>
      <c r="E22" s="47">
        <f>IF(ISNUMBER(expected_production[[#This Row],[Commissioned Date]]),MAX(0,(expected_production[[#This Row],[Date]]-expected_production[[#This Row],[Commissioned Date]])/365.25),"")</f>
        <v>2.5681040383299112</v>
      </c>
      <c r="F22" s="49">
        <f>IF(expected_production[[#This Row],[Age (yrs)]]="",1,(1-DegradationRate)^expected_production[[#This Row],[Age (yrs)]])</f>
        <v>0.9821218036782301</v>
      </c>
      <c r="G22" s="52">
        <f>IF(expected_production[[#This Row],[Base Expected (kWh)]]="","",expected_production[[#This Row],[Base Expected (kWh)]]*expected_production[[#This Row],[Degradation Factor]])</f>
        <v>2234.5235277287088</v>
      </c>
    </row>
    <row r="23" spans="1:7" ht="15" hidden="1" customHeight="1" x14ac:dyDescent="0.3">
      <c r="A23" t="s">
        <v>31</v>
      </c>
      <c r="B23" s="2">
        <v>45931</v>
      </c>
      <c r="C23" s="52">
        <v>2407.5</v>
      </c>
      <c r="D23" s="48">
        <f>_xlfn.XLOOKUP(expected_production[[#This Row],[Site Name]],Table1[[Site Name ]],Table1[Commisioned Date],"")</f>
        <v>44963</v>
      </c>
      <c r="E23" s="47">
        <f>IF(ISNUMBER(expected_production[[#This Row],[Commissioned Date]]),MAX(0,(expected_production[[#This Row],[Date]]-expected_production[[#This Row],[Commissioned Date]])/365.25),"")</f>
        <v>2.6502395619438741</v>
      </c>
      <c r="F23" s="49">
        <f>IF(expected_production[[#This Row],[Age (yrs)]]="",1,(1-DegradationRate)^expected_production[[#This Row],[Age (yrs)]])</f>
        <v>0.98155531188296596</v>
      </c>
      <c r="G23" s="52">
        <f>IF(expected_production[[#This Row],[Base Expected (kWh)]]="","",expected_production[[#This Row],[Base Expected (kWh)]]*expected_production[[#This Row],[Degradation Factor]])</f>
        <v>2363.0944133582407</v>
      </c>
    </row>
    <row r="24" spans="1:7" ht="15" hidden="1" customHeight="1" x14ac:dyDescent="0.3">
      <c r="A24" t="s">
        <v>31</v>
      </c>
      <c r="B24" s="2">
        <v>45962</v>
      </c>
      <c r="C24" s="52">
        <v>2356.1999999999998</v>
      </c>
      <c r="D24" s="48">
        <f>_xlfn.XLOOKUP(expected_production[[#This Row],[Site Name]],Table1[[Site Name ]],Table1[Commisioned Date],"")</f>
        <v>44963</v>
      </c>
      <c r="E24" s="47">
        <f>IF(ISNUMBER(expected_production[[#This Row],[Commissioned Date]]),MAX(0,(expected_production[[#This Row],[Date]]-expected_production[[#This Row],[Commissioned Date]])/365.25),"")</f>
        <v>2.7351129363449691</v>
      </c>
      <c r="F24" s="49">
        <f>IF(expected_production[[#This Row],[Age (yrs)]]="",1,(1-DegradationRate)^expected_production[[#This Row],[Age (yrs)]])</f>
        <v>0.98097028029966626</v>
      </c>
      <c r="G24" s="52">
        <f>IF(expected_production[[#This Row],[Base Expected (kWh)]]="","",expected_production[[#This Row],[Base Expected (kWh)]]*expected_production[[#This Row],[Degradation Factor]])</f>
        <v>2311.3621744420734</v>
      </c>
    </row>
    <row r="25" spans="1:7" ht="15" hidden="1" customHeight="1" x14ac:dyDescent="0.3">
      <c r="A25" t="s">
        <v>31</v>
      </c>
      <c r="B25" s="2">
        <v>45992</v>
      </c>
      <c r="C25" s="52">
        <v>2482.1999999999998</v>
      </c>
      <c r="D25" s="48">
        <f>_xlfn.XLOOKUP(expected_production[[#This Row],[Site Name]],Table1[[Site Name ]],Table1[Commisioned Date],"")</f>
        <v>44963</v>
      </c>
      <c r="E25" s="47">
        <f>IF(ISNUMBER(expected_production[[#This Row],[Commissioned Date]]),MAX(0,(expected_production[[#This Row],[Date]]-expected_production[[#This Row],[Commissioned Date]])/365.25),"")</f>
        <v>2.817248459958932</v>
      </c>
      <c r="F25" s="49">
        <f>IF(expected_production[[#This Row],[Age (yrs)]]="",1,(1-DegradationRate)^expected_production[[#This Row],[Age (yrs)]])</f>
        <v>0.98040445270770515</v>
      </c>
      <c r="G25" s="52">
        <f>IF(expected_production[[#This Row],[Base Expected (kWh)]]="","",expected_production[[#This Row],[Base Expected (kWh)]]*expected_production[[#This Row],[Degradation Factor]])</f>
        <v>2433.5599325110657</v>
      </c>
    </row>
    <row r="26" spans="1:7" ht="15" hidden="1" customHeight="1" x14ac:dyDescent="0.3">
      <c r="A26" t="s">
        <v>31</v>
      </c>
      <c r="B26" s="2">
        <v>46023</v>
      </c>
      <c r="C26" s="52">
        <v>2370.6</v>
      </c>
      <c r="D26" s="48">
        <f>_xlfn.XLOOKUP(expected_production[[#This Row],[Site Name]],Table1[[Site Name ]],Table1[Commisioned Date],"")</f>
        <v>44963</v>
      </c>
      <c r="E26" s="47">
        <f>IF(ISNUMBER(expected_production[[#This Row],[Commissioned Date]]),MAX(0,(expected_production[[#This Row],[Date]]-expected_production[[#This Row],[Commissioned Date]])/365.25),"")</f>
        <v>2.9021218343600275</v>
      </c>
      <c r="F26" s="49">
        <f>IF(expected_production[[#This Row],[Age (yrs)]]="",1,(1-DegradationRate)^expected_production[[#This Row],[Age (yrs)]])</f>
        <v>0.97982010706533751</v>
      </c>
      <c r="G26" s="52">
        <f>IF(expected_production[[#This Row],[Base Expected (kWh)]]="","",expected_production[[#This Row],[Base Expected (kWh)]]*expected_production[[#This Row],[Degradation Factor]])</f>
        <v>2322.7615458090891</v>
      </c>
    </row>
    <row r="27" spans="1:7" ht="15" hidden="1" customHeight="1" x14ac:dyDescent="0.3">
      <c r="A27" t="s">
        <v>31</v>
      </c>
      <c r="B27" s="2">
        <v>46054</v>
      </c>
      <c r="C27" s="52">
        <v>2680.2</v>
      </c>
      <c r="D27" s="48">
        <f>_xlfn.XLOOKUP(expected_production[[#This Row],[Site Name]],Table1[[Site Name ]],Table1[Commisioned Date],"")</f>
        <v>44963</v>
      </c>
      <c r="E27" s="47">
        <f>IF(ISNUMBER(expected_production[[#This Row],[Commissioned Date]]),MAX(0,(expected_production[[#This Row],[Date]]-expected_production[[#This Row],[Commissioned Date]])/365.25),"")</f>
        <v>2.9869952087611225</v>
      </c>
      <c r="F27" s="49">
        <f>IF(expected_production[[#This Row],[Age (yrs)]]="",1,(1-DegradationRate)^expected_production[[#This Row],[Age (yrs)]])</f>
        <v>0.97923610970762798</v>
      </c>
      <c r="G27" s="52">
        <f>IF(expected_production[[#This Row],[Base Expected (kWh)]]="","",expected_production[[#This Row],[Base Expected (kWh)]]*expected_production[[#This Row],[Degradation Factor]])</f>
        <v>2624.5486212383844</v>
      </c>
    </row>
    <row r="28" spans="1:7" ht="15" hidden="1" customHeight="1" x14ac:dyDescent="0.3">
      <c r="A28" t="s">
        <v>31</v>
      </c>
      <c r="B28" s="2">
        <v>46082</v>
      </c>
      <c r="C28" s="52">
        <v>2183.4</v>
      </c>
      <c r="D28" s="48">
        <f>_xlfn.XLOOKUP(expected_production[[#This Row],[Site Name]],Table1[[Site Name ]],Table1[Commisioned Date],"")</f>
        <v>44963</v>
      </c>
      <c r="E28" s="47">
        <f>IF(ISNUMBER(expected_production[[#This Row],[Commissioned Date]]),MAX(0,(expected_production[[#This Row],[Date]]-expected_production[[#This Row],[Commissioned Date]])/365.25),"")</f>
        <v>3.0636550308008212</v>
      </c>
      <c r="F28" s="49">
        <f>IF(expected_production[[#This Row],[Age (yrs)]]="",1,(1-DegradationRate)^expected_production[[#This Row],[Age (yrs)]])</f>
        <v>0.97870892740866677</v>
      </c>
      <c r="G28" s="52">
        <f>IF(expected_production[[#This Row],[Base Expected (kWh)]]="","",expected_production[[#This Row],[Base Expected (kWh)]]*expected_production[[#This Row],[Degradation Factor]])</f>
        <v>2136.9130721040833</v>
      </c>
    </row>
    <row r="29" spans="1:7" ht="15" hidden="1" customHeight="1" x14ac:dyDescent="0.3">
      <c r="A29" t="s">
        <v>31</v>
      </c>
      <c r="B29" s="2">
        <v>46113</v>
      </c>
      <c r="C29" s="52">
        <v>1873.8</v>
      </c>
      <c r="D29" s="48">
        <f>_xlfn.XLOOKUP(expected_production[[#This Row],[Site Name]],Table1[[Site Name ]],Table1[Commisioned Date],"")</f>
        <v>44963</v>
      </c>
      <c r="E29" s="47">
        <f>IF(ISNUMBER(expected_production[[#This Row],[Commissioned Date]]),MAX(0,(expected_production[[#This Row],[Date]]-expected_production[[#This Row],[Commissioned Date]])/365.25),"")</f>
        <v>3.1485284052019167</v>
      </c>
      <c r="F29" s="49">
        <f>IF(expected_production[[#This Row],[Age (yrs)]]="",1,(1-DegradationRate)^expected_production[[#This Row],[Age (yrs)]])</f>
        <v>0.97812559234190111</v>
      </c>
      <c r="G29" s="52">
        <f>IF(expected_production[[#This Row],[Base Expected (kWh)]]="","",expected_production[[#This Row],[Base Expected (kWh)]]*expected_production[[#This Row],[Degradation Factor]])</f>
        <v>1832.8117349302543</v>
      </c>
    </row>
    <row r="30" spans="1:7" ht="15" hidden="1" customHeight="1" x14ac:dyDescent="0.3">
      <c r="A30" t="s">
        <v>31</v>
      </c>
      <c r="B30" s="2">
        <v>46143</v>
      </c>
      <c r="C30" s="52">
        <v>1822.5</v>
      </c>
      <c r="D30" s="48">
        <f>_xlfn.XLOOKUP(expected_production[[#This Row],[Site Name]],Table1[[Site Name ]],Table1[Commisioned Date],"")</f>
        <v>44963</v>
      </c>
      <c r="E30" s="47">
        <f>IF(ISNUMBER(expected_production[[#This Row],[Commissioned Date]]),MAX(0,(expected_production[[#This Row],[Date]]-expected_production[[#This Row],[Commissioned Date]])/365.25),"")</f>
        <v>3.2306639288158796</v>
      </c>
      <c r="F30" s="49">
        <f>IF(expected_production[[#This Row],[Age (yrs)]]="",1,(1-DegradationRate)^expected_production[[#This Row],[Age (yrs)]])</f>
        <v>0.97756140557736304</v>
      </c>
      <c r="G30" s="52">
        <f>IF(expected_production[[#This Row],[Base Expected (kWh)]]="","",expected_production[[#This Row],[Base Expected (kWh)]]*expected_production[[#This Row],[Degradation Factor]])</f>
        <v>1781.605661664744</v>
      </c>
    </row>
    <row r="31" spans="1:7" ht="15" hidden="1" customHeight="1" x14ac:dyDescent="0.3">
      <c r="A31" t="s">
        <v>31</v>
      </c>
      <c r="B31" s="2">
        <v>46174</v>
      </c>
      <c r="C31" s="52">
        <v>1629</v>
      </c>
      <c r="D31" s="48">
        <f>_xlfn.XLOOKUP(expected_production[[#This Row],[Site Name]],Table1[[Site Name ]],Table1[Commisioned Date],"")</f>
        <v>44963</v>
      </c>
      <c r="E31" s="47">
        <f>IF(ISNUMBER(expected_production[[#This Row],[Commissioned Date]]),MAX(0,(expected_production[[#This Row],[Date]]-expected_production[[#This Row],[Commissioned Date]])/365.25),"")</f>
        <v>3.3155373032169746</v>
      </c>
      <c r="F31" s="49">
        <f>IF(expected_production[[#This Row],[Age (yrs)]]="",1,(1-DegradationRate)^expected_production[[#This Row],[Age (yrs)]])</f>
        <v>0.97697875446238858</v>
      </c>
      <c r="G31" s="52">
        <f>IF(expected_production[[#This Row],[Base Expected (kWh)]]="","",expected_production[[#This Row],[Base Expected (kWh)]]*expected_production[[#This Row],[Degradation Factor]])</f>
        <v>1591.4983910192309</v>
      </c>
    </row>
    <row r="32" spans="1:7" ht="15" hidden="1" customHeight="1" x14ac:dyDescent="0.3">
      <c r="A32" t="s">
        <v>31</v>
      </c>
      <c r="B32" s="2">
        <v>46204</v>
      </c>
      <c r="C32" s="52">
        <v>1814.4</v>
      </c>
      <c r="D32" s="48">
        <f>_xlfn.XLOOKUP(expected_production[[#This Row],[Site Name]],Table1[[Site Name ]],Table1[Commisioned Date],"")</f>
        <v>44963</v>
      </c>
      <c r="E32" s="47">
        <f>IF(ISNUMBER(expected_production[[#This Row],[Commissioned Date]]),MAX(0,(expected_production[[#This Row],[Date]]-expected_production[[#This Row],[Commissioned Date]])/365.25),"")</f>
        <v>3.3976728268309375</v>
      </c>
      <c r="F32" s="49">
        <f>IF(expected_production[[#This Row],[Age (yrs)]]="",1,(1-DegradationRate)^expected_production[[#This Row],[Age (yrs)]])</f>
        <v>0.97641522919853896</v>
      </c>
      <c r="G32" s="52">
        <f>IF(expected_production[[#This Row],[Base Expected (kWh)]]="","",expected_production[[#This Row],[Base Expected (kWh)]]*expected_production[[#This Row],[Degradation Factor]])</f>
        <v>1771.6077918578292</v>
      </c>
    </row>
    <row r="33" spans="1:7" ht="15" hidden="1" customHeight="1" x14ac:dyDescent="0.3">
      <c r="A33" t="s">
        <v>31</v>
      </c>
      <c r="B33" s="2">
        <v>46235</v>
      </c>
      <c r="C33" s="52">
        <v>2116.8000000000002</v>
      </c>
      <c r="D33" s="48">
        <f>_xlfn.XLOOKUP(expected_production[[#This Row],[Site Name]],Table1[[Site Name ]],Table1[Commisioned Date],"")</f>
        <v>44963</v>
      </c>
      <c r="E33" s="47">
        <f>IF(ISNUMBER(expected_production[[#This Row],[Commissioned Date]]),MAX(0,(expected_production[[#This Row],[Date]]-expected_production[[#This Row],[Commissioned Date]])/365.25),"")</f>
        <v>3.482546201232033</v>
      </c>
      <c r="F33" s="49">
        <f>IF(expected_production[[#This Row],[Age (yrs)]]="",1,(1-DegradationRate)^expected_production[[#This Row],[Age (yrs)]])</f>
        <v>0.97583326123343239</v>
      </c>
      <c r="G33" s="52">
        <f>IF(expected_production[[#This Row],[Base Expected (kWh)]]="","",expected_production[[#This Row],[Base Expected (kWh)]]*expected_production[[#This Row],[Degradation Factor]])</f>
        <v>2065.6438473789299</v>
      </c>
    </row>
    <row r="34" spans="1:7" ht="15" hidden="1" customHeight="1" x14ac:dyDescent="0.3">
      <c r="A34" t="s">
        <v>31</v>
      </c>
      <c r="B34" s="2">
        <v>46266</v>
      </c>
      <c r="C34" s="52">
        <v>2275.1999999999998</v>
      </c>
      <c r="D34" s="48">
        <f>_xlfn.XLOOKUP(expected_production[[#This Row],[Site Name]],Table1[[Site Name ]],Table1[Commisioned Date],"")</f>
        <v>44963</v>
      </c>
      <c r="E34" s="47">
        <f>IF(ISNUMBER(expected_production[[#This Row],[Commissioned Date]]),MAX(0,(expected_production[[#This Row],[Date]]-expected_production[[#This Row],[Commissioned Date]])/365.25),"")</f>
        <v>3.5674195756331279</v>
      </c>
      <c r="F34" s="49">
        <f>IF(expected_production[[#This Row],[Age (yrs)]]="",1,(1-DegradationRate)^expected_production[[#This Row],[Age (yrs)]])</f>
        <v>0.97525164013582888</v>
      </c>
      <c r="G34" s="52">
        <f>IF(expected_production[[#This Row],[Base Expected (kWh)]]="","",expected_production[[#This Row],[Base Expected (kWh)]]*expected_production[[#This Row],[Degradation Factor]])</f>
        <v>2218.8925316370378</v>
      </c>
    </row>
    <row r="35" spans="1:7" ht="15" hidden="1" customHeight="1" x14ac:dyDescent="0.3">
      <c r="A35" t="s">
        <v>31</v>
      </c>
      <c r="B35" s="2">
        <v>46296</v>
      </c>
      <c r="C35" s="52">
        <v>2407.5</v>
      </c>
      <c r="D35" s="48">
        <f>_xlfn.XLOOKUP(expected_production[[#This Row],[Site Name]],Table1[[Site Name ]],Table1[Commisioned Date],"")</f>
        <v>44963</v>
      </c>
      <c r="E35" s="47">
        <f>IF(ISNUMBER(expected_production[[#This Row],[Commissioned Date]]),MAX(0,(expected_production[[#This Row],[Date]]-expected_production[[#This Row],[Commissioned Date]])/365.25),"")</f>
        <v>3.6495550992470909</v>
      </c>
      <c r="F35" s="49">
        <f>IF(expected_production[[#This Row],[Age (yrs)]]="",1,(1-DegradationRate)^expected_production[[#This Row],[Age (yrs)]])</f>
        <v>0.97468911107844958</v>
      </c>
      <c r="G35" s="52">
        <f>IF(expected_production[[#This Row],[Base Expected (kWh)]]="","",expected_production[[#This Row],[Base Expected (kWh)]]*expected_production[[#This Row],[Degradation Factor]])</f>
        <v>2346.5640349213672</v>
      </c>
    </row>
    <row r="36" spans="1:7" ht="15" hidden="1" customHeight="1" x14ac:dyDescent="0.3">
      <c r="A36" t="s">
        <v>31</v>
      </c>
      <c r="B36" s="2">
        <v>46327</v>
      </c>
      <c r="C36" s="52">
        <v>2356.1999999999998</v>
      </c>
      <c r="D36" s="48">
        <f>_xlfn.XLOOKUP(expected_production[[#This Row],[Site Name]],Table1[[Site Name ]],Table1[Commisioned Date],"")</f>
        <v>44963</v>
      </c>
      <c r="E36" s="47">
        <f>IF(ISNUMBER(expected_production[[#This Row],[Commissioned Date]]),MAX(0,(expected_production[[#This Row],[Date]]-expected_production[[#This Row],[Commissioned Date]])/365.25),"")</f>
        <v>3.7344284736481863</v>
      </c>
      <c r="F36" s="49">
        <f>IF(expected_production[[#This Row],[Age (yrs)]]="",1,(1-DegradationRate)^expected_production[[#This Row],[Age (yrs)]])</f>
        <v>0.97410817192303367</v>
      </c>
      <c r="G36" s="52">
        <f>IF(expected_production[[#This Row],[Base Expected (kWh)]]="","",expected_production[[#This Row],[Base Expected (kWh)]]*expected_production[[#This Row],[Degradation Factor]])</f>
        <v>2295.193674685052</v>
      </c>
    </row>
    <row r="37" spans="1:7" ht="15" hidden="1" customHeight="1" x14ac:dyDescent="0.3">
      <c r="A37" t="s">
        <v>31</v>
      </c>
      <c r="B37" s="2">
        <v>46357</v>
      </c>
      <c r="C37" s="52">
        <v>2482.1999999999998</v>
      </c>
      <c r="D37" s="48">
        <f>_xlfn.XLOOKUP(expected_production[[#This Row],[Site Name]],Table1[[Site Name ]],Table1[Commisioned Date],"")</f>
        <v>44963</v>
      </c>
      <c r="E37" s="47">
        <f>IF(ISNUMBER(expected_production[[#This Row],[Commissioned Date]]),MAX(0,(expected_production[[#This Row],[Date]]-expected_production[[#This Row],[Commissioned Date]])/365.25),"")</f>
        <v>3.8165639972621492</v>
      </c>
      <c r="F37" s="49">
        <f>IF(expected_production[[#This Row],[Age (yrs)]]="",1,(1-DegradationRate)^expected_production[[#This Row],[Age (yrs)]])</f>
        <v>0.97354630242270546</v>
      </c>
      <c r="G37" s="52">
        <f>IF(expected_production[[#This Row],[Base Expected (kWh)]]="","",expected_production[[#This Row],[Base Expected (kWh)]]*expected_production[[#This Row],[Degradation Factor]])</f>
        <v>2416.5366318736392</v>
      </c>
    </row>
    <row r="38" spans="1:7" ht="15" hidden="1" customHeight="1" x14ac:dyDescent="0.3">
      <c r="A38" t="s">
        <v>43</v>
      </c>
      <c r="B38" s="2">
        <v>45292</v>
      </c>
      <c r="C38" s="52">
        <v>22515.904999999999</v>
      </c>
      <c r="D38" s="48">
        <f>_xlfn.XLOOKUP(expected_production[[#This Row],[Site Name]],Table1[[Site Name ]],Table1[Commisioned Date],"")</f>
        <v>45196</v>
      </c>
      <c r="E38" s="47">
        <f>IF(ISNUMBER(expected_production[[#This Row],[Commissioned Date]]),MAX(0,(expected_production[[#This Row],[Date]]-expected_production[[#This Row],[Commissioned Date]])/365.25),"")</f>
        <v>0.26283367556468173</v>
      </c>
      <c r="F38" s="49">
        <f>IF(expected_production[[#This Row],[Age (yrs)]]="",1,(1-DegradationRate)^expected_production[[#This Row],[Age (yrs)]])</f>
        <v>0.99815539800996134</v>
      </c>
      <c r="G38" s="52">
        <f>IF(expected_production[[#This Row],[Base Expected (kWh)]]="","",expected_production[[#This Row],[Base Expected (kWh)]]*expected_production[[#This Row],[Degradation Factor]])</f>
        <v>22474.372116829476</v>
      </c>
    </row>
    <row r="39" spans="1:7" ht="15" hidden="1" customHeight="1" x14ac:dyDescent="0.3">
      <c r="A39" t="s">
        <v>43</v>
      </c>
      <c r="B39" s="2">
        <v>45323</v>
      </c>
      <c r="C39" s="52">
        <v>19786.13</v>
      </c>
      <c r="D39" s="48">
        <f>_xlfn.XLOOKUP(expected_production[[#This Row],[Site Name]],Table1[[Site Name ]],Table1[Commisioned Date],"")</f>
        <v>45196</v>
      </c>
      <c r="E39" s="47">
        <f>IF(ISNUMBER(expected_production[[#This Row],[Commissioned Date]]),MAX(0,(expected_production[[#This Row],[Date]]-expected_production[[#This Row],[Commissioned Date]])/365.25),"")</f>
        <v>0.34770704996577684</v>
      </c>
      <c r="F39" s="49">
        <f>IF(expected_production[[#This Row],[Age (yrs)]]="",1,(1-DegradationRate)^expected_production[[#This Row],[Age (yrs)]])</f>
        <v>0.99756047235899958</v>
      </c>
      <c r="G39" s="52">
        <f>IF(expected_production[[#This Row],[Base Expected (kWh)]]="","",expected_production[[#This Row],[Base Expected (kWh)]]*expected_production[[#This Row],[Degradation Factor]])</f>
        <v>19737.861188956573</v>
      </c>
    </row>
    <row r="40" spans="1:7" ht="15" hidden="1" customHeight="1" x14ac:dyDescent="0.3">
      <c r="A40" t="s">
        <v>43</v>
      </c>
      <c r="B40" s="2">
        <v>45352</v>
      </c>
      <c r="C40" s="52">
        <v>20148.400000000001</v>
      </c>
      <c r="D40" s="48">
        <f>_xlfn.XLOOKUP(expected_production[[#This Row],[Site Name]],Table1[[Site Name ]],Table1[Commisioned Date],"")</f>
        <v>45196</v>
      </c>
      <c r="E40" s="47">
        <f>IF(ISNUMBER(expected_production[[#This Row],[Commissioned Date]]),MAX(0,(expected_production[[#This Row],[Date]]-expected_production[[#This Row],[Commissioned Date]])/365.25),"")</f>
        <v>0.4271047227926078</v>
      </c>
      <c r="F40" s="49">
        <f>IF(expected_production[[#This Row],[Age (yrs)]]="",1,(1-DegradationRate)^expected_production[[#This Row],[Age (yrs)]])</f>
        <v>0.99700425002556547</v>
      </c>
      <c r="G40" s="52">
        <f>IF(expected_production[[#This Row],[Base Expected (kWh)]]="","",expected_production[[#This Row],[Base Expected (kWh)]]*expected_production[[#This Row],[Degradation Factor]])</f>
        <v>20088.040431215104</v>
      </c>
    </row>
    <row r="41" spans="1:7" ht="15" hidden="1" customHeight="1" x14ac:dyDescent="0.3">
      <c r="A41" t="s">
        <v>43</v>
      </c>
      <c r="B41" s="2">
        <v>45383</v>
      </c>
      <c r="C41" s="52">
        <v>16764.89</v>
      </c>
      <c r="D41" s="48">
        <f>_xlfn.XLOOKUP(expected_production[[#This Row],[Site Name]],Table1[[Site Name ]],Table1[Commisioned Date],"")</f>
        <v>45196</v>
      </c>
      <c r="E41" s="47">
        <f>IF(ISNUMBER(expected_production[[#This Row],[Commissioned Date]]),MAX(0,(expected_production[[#This Row],[Date]]-expected_production[[#This Row],[Commissioned Date]])/365.25),"")</f>
        <v>0.51197809719370291</v>
      </c>
      <c r="F41" s="49">
        <f>IF(expected_production[[#This Row],[Age (yrs)]]="",1,(1-DegradationRate)^expected_production[[#This Row],[Age (yrs)]])</f>
        <v>0.99641001048767319</v>
      </c>
      <c r="G41" s="52">
        <f>IF(expected_production[[#This Row],[Base Expected (kWh)]]="","",expected_production[[#This Row],[Base Expected (kWh)]]*expected_production[[#This Row],[Degradation Factor]])</f>
        <v>16704.704220724689</v>
      </c>
    </row>
    <row r="42" spans="1:7" ht="15" hidden="1" customHeight="1" x14ac:dyDescent="0.3">
      <c r="A42" t="s">
        <v>43</v>
      </c>
      <c r="B42" s="2">
        <v>45413</v>
      </c>
      <c r="C42" s="52">
        <v>15972.094999999999</v>
      </c>
      <c r="D42" s="48">
        <f>_xlfn.XLOOKUP(expected_production[[#This Row],[Site Name]],Table1[[Site Name ]],Table1[Commisioned Date],"")</f>
        <v>45196</v>
      </c>
      <c r="E42" s="47">
        <f>IF(ISNUMBER(expected_production[[#This Row],[Commissioned Date]]),MAX(0,(expected_production[[#This Row],[Date]]-expected_production[[#This Row],[Commissioned Date]])/365.25),"")</f>
        <v>0.59411362080766594</v>
      </c>
      <c r="F42" s="49">
        <f>IF(expected_production[[#This Row],[Age (yrs)]]="",1,(1-DegradationRate)^expected_production[[#This Row],[Age (yrs)]])</f>
        <v>0.99583527719741705</v>
      </c>
      <c r="G42" s="52">
        <f>IF(expected_production[[#This Row],[Base Expected (kWh)]]="","",expected_production[[#This Row],[Base Expected (kWh)]]*expected_production[[#This Row],[Degradation Factor]])</f>
        <v>15905.575651748479</v>
      </c>
    </row>
    <row r="43" spans="1:7" ht="15" hidden="1" customHeight="1" x14ac:dyDescent="0.3">
      <c r="A43" t="s">
        <v>43</v>
      </c>
      <c r="B43" s="2">
        <v>45444</v>
      </c>
      <c r="C43" s="52">
        <v>14367.21</v>
      </c>
      <c r="D43" s="48">
        <f>_xlfn.XLOOKUP(expected_production[[#This Row],[Site Name]],Table1[[Site Name ]],Table1[Commisioned Date],"")</f>
        <v>45196</v>
      </c>
      <c r="E43" s="47">
        <f>IF(ISNUMBER(expected_production[[#This Row],[Commissioned Date]]),MAX(0,(expected_production[[#This Row],[Date]]-expected_production[[#This Row],[Commissioned Date]])/365.25),"")</f>
        <v>0.67898699520876116</v>
      </c>
      <c r="F43" s="49">
        <f>IF(expected_production[[#This Row],[Age (yrs)]]="",1,(1-DegradationRate)^expected_production[[#This Row],[Age (yrs)]])</f>
        <v>0.9952417343966482</v>
      </c>
      <c r="G43" s="52">
        <f>IF(expected_production[[#This Row],[Base Expected (kWh)]]="","",expected_production[[#This Row],[Base Expected (kWh)]]*expected_production[[#This Row],[Degradation Factor]])</f>
        <v>14298.846998840867</v>
      </c>
    </row>
    <row r="44" spans="1:7" ht="15" hidden="1" customHeight="1" x14ac:dyDescent="0.3">
      <c r="A44" t="s">
        <v>43</v>
      </c>
      <c r="B44" s="2">
        <v>45474</v>
      </c>
      <c r="C44" s="52">
        <v>15907.665000000001</v>
      </c>
      <c r="D44" s="48">
        <f>_xlfn.XLOOKUP(expected_production[[#This Row],[Site Name]],Table1[[Site Name ]],Table1[Commisioned Date],"")</f>
        <v>45196</v>
      </c>
      <c r="E44" s="47">
        <f>IF(ISNUMBER(expected_production[[#This Row],[Commissioned Date]]),MAX(0,(expected_production[[#This Row],[Date]]-expected_production[[#This Row],[Commissioned Date]])/365.25),"")</f>
        <v>0.76112251882272419</v>
      </c>
      <c r="F44" s="49">
        <f>IF(expected_production[[#This Row],[Age (yrs)]]="",1,(1-DegradationRate)^expected_production[[#This Row],[Age (yrs)]])</f>
        <v>0.99466767497272679</v>
      </c>
      <c r="G44" s="52">
        <f>IF(expected_production[[#This Row],[Base Expected (kWh)]]="","",expected_production[[#This Row],[Base Expected (kWh)]]*expected_production[[#This Row],[Degradation Factor]])</f>
        <v>15822.840159795023</v>
      </c>
    </row>
    <row r="45" spans="1:7" ht="15" hidden="1" customHeight="1" x14ac:dyDescent="0.3">
      <c r="A45" t="s">
        <v>43</v>
      </c>
      <c r="B45" s="2">
        <v>45505</v>
      </c>
      <c r="C45" s="52">
        <v>18527.365000000002</v>
      </c>
      <c r="D45" s="48">
        <f>_xlfn.XLOOKUP(expected_production[[#This Row],[Site Name]],Table1[[Site Name ]],Table1[Commisioned Date],"")</f>
        <v>45196</v>
      </c>
      <c r="E45" s="47">
        <f>IF(ISNUMBER(expected_production[[#This Row],[Commissioned Date]]),MAX(0,(expected_production[[#This Row],[Date]]-expected_production[[#This Row],[Commissioned Date]])/365.25),"")</f>
        <v>0.8459958932238193</v>
      </c>
      <c r="F45" s="49">
        <f>IF(expected_production[[#This Row],[Age (yrs)]]="",1,(1-DegradationRate)^expected_production[[#This Row],[Age (yrs)]])</f>
        <v>0.99407482809216741</v>
      </c>
      <c r="G45" s="52">
        <f>IF(expected_production[[#This Row],[Base Expected (kWh)]]="","",expected_production[[#This Row],[Base Expected (kWh)]]*expected_production[[#This Row],[Degradation Factor]])</f>
        <v>18417.587177375841</v>
      </c>
    </row>
    <row r="46" spans="1:7" ht="15" hidden="1" customHeight="1" x14ac:dyDescent="0.3">
      <c r="A46" t="s">
        <v>43</v>
      </c>
      <c r="B46" s="2">
        <v>45536</v>
      </c>
      <c r="C46" s="52">
        <v>20404.334999999999</v>
      </c>
      <c r="D46" s="48">
        <f>_xlfn.XLOOKUP(expected_production[[#This Row],[Site Name]],Table1[[Site Name ]],Table1[Commisioned Date],"")</f>
        <v>45196</v>
      </c>
      <c r="E46" s="47">
        <f>IF(ISNUMBER(expected_production[[#This Row],[Commissioned Date]]),MAX(0,(expected_production[[#This Row],[Date]]-expected_production[[#This Row],[Commissioned Date]])/365.25),"")</f>
        <v>0.9308692676249144</v>
      </c>
      <c r="F46" s="49">
        <f>IF(expected_production[[#This Row],[Age (yrs)]]="",1,(1-DegradationRate)^expected_production[[#This Row],[Age (yrs)]])</f>
        <v>0.99348233456321733</v>
      </c>
      <c r="G46" s="52">
        <f>IF(expected_production[[#This Row],[Base Expected (kWh)]]="","",expected_production[[#This Row],[Base Expected (kWh)]]*expected_production[[#This Row],[Degradation Factor]])</f>
        <v>20271.346371009964</v>
      </c>
    </row>
    <row r="47" spans="1:7" ht="15" hidden="1" customHeight="1" x14ac:dyDescent="0.3">
      <c r="A47" t="s">
        <v>43</v>
      </c>
      <c r="B47" s="2">
        <v>45566</v>
      </c>
      <c r="C47" s="52">
        <v>22320.66</v>
      </c>
      <c r="D47" s="48">
        <f>_xlfn.XLOOKUP(expected_production[[#This Row],[Site Name]],Table1[[Site Name ]],Table1[Commisioned Date],"")</f>
        <v>45196</v>
      </c>
      <c r="E47" s="47">
        <f>IF(ISNUMBER(expected_production[[#This Row],[Commissioned Date]]),MAX(0,(expected_production[[#This Row],[Date]]-expected_production[[#This Row],[Commissioned Date]])/365.25),"")</f>
        <v>1.0130047912388775</v>
      </c>
      <c r="F47" s="49">
        <f>IF(expected_production[[#This Row],[Age (yrs)]]="",1,(1-DegradationRate)^expected_production[[#This Row],[Age (yrs)]])</f>
        <v>0.99290928996817618</v>
      </c>
      <c r="G47" s="52">
        <f>IF(expected_production[[#This Row],[Base Expected (kWh)]]="","",expected_production[[#This Row],[Base Expected (kWh)]]*expected_production[[#This Row],[Degradation Factor]])</f>
        <v>22162.39067222107</v>
      </c>
    </row>
    <row r="48" spans="1:7" ht="15" hidden="1" customHeight="1" x14ac:dyDescent="0.3">
      <c r="A48" t="s">
        <v>43</v>
      </c>
      <c r="B48" s="2">
        <v>45597</v>
      </c>
      <c r="C48" s="52">
        <v>22520.665000000001</v>
      </c>
      <c r="D48" s="48">
        <f>_xlfn.XLOOKUP(expected_production[[#This Row],[Site Name]],Table1[[Site Name ]],Table1[Commisioned Date],"")</f>
        <v>45196</v>
      </c>
      <c r="E48" s="47">
        <f>IF(ISNUMBER(expected_production[[#This Row],[Commissioned Date]]),MAX(0,(expected_production[[#This Row],[Date]]-expected_production[[#This Row],[Commissioned Date]])/365.25),"")</f>
        <v>1.0978781656399725</v>
      </c>
      <c r="F48" s="49">
        <f>IF(expected_production[[#This Row],[Age (yrs)]]="",1,(1-DegradationRate)^expected_production[[#This Row],[Age (yrs)]])</f>
        <v>0.99231749112917977</v>
      </c>
      <c r="G48" s="52">
        <f>IF(expected_production[[#This Row],[Base Expected (kWh)]]="","",expected_production[[#This Row],[Base Expected (kWh)]]*expected_production[[#This Row],[Degradation Factor]])</f>
        <v>22347.649791360731</v>
      </c>
    </row>
    <row r="49" spans="1:7" ht="15" hidden="1" customHeight="1" x14ac:dyDescent="0.3">
      <c r="A49" t="s">
        <v>43</v>
      </c>
      <c r="B49" s="2">
        <v>45627</v>
      </c>
      <c r="C49" s="52">
        <v>23777.985000000001</v>
      </c>
      <c r="D49" s="48">
        <f>_xlfn.XLOOKUP(expected_production[[#This Row],[Site Name]],Table1[[Site Name ]],Table1[Commisioned Date],"")</f>
        <v>45196</v>
      </c>
      <c r="E49" s="47">
        <f>IF(ISNUMBER(expected_production[[#This Row],[Commissioned Date]]),MAX(0,(expected_production[[#This Row],[Date]]-expected_production[[#This Row],[Commissioned Date]])/365.25),"")</f>
        <v>1.1800136892539357</v>
      </c>
      <c r="F49" s="49">
        <f>IF(expected_production[[#This Row],[Age (yrs)]]="",1,(1-DegradationRate)^expected_production[[#This Row],[Age (yrs)]])</f>
        <v>0.99174511842050306</v>
      </c>
      <c r="G49" s="52">
        <f>IF(expected_production[[#This Row],[Base Expected (kWh)]]="","",expected_production[[#This Row],[Base Expected (kWh)]]*expected_production[[#This Row],[Degradation Factor]])</f>
        <v>23581.700549625944</v>
      </c>
    </row>
    <row r="50" spans="1:7" ht="15" hidden="1" customHeight="1" x14ac:dyDescent="0.3">
      <c r="A50" t="s">
        <v>43</v>
      </c>
      <c r="B50" s="2">
        <v>45658</v>
      </c>
      <c r="C50" s="52">
        <v>22515.904999999999</v>
      </c>
      <c r="D50" s="48">
        <f>_xlfn.XLOOKUP(expected_production[[#This Row],[Site Name]],Table1[[Site Name ]],Table1[Commisioned Date],"")</f>
        <v>45196</v>
      </c>
      <c r="E50" s="47">
        <f>IF(ISNUMBER(expected_production[[#This Row],[Commissioned Date]]),MAX(0,(expected_production[[#This Row],[Date]]-expected_production[[#This Row],[Commissioned Date]])/365.25),"")</f>
        <v>1.2648870636550309</v>
      </c>
      <c r="F50" s="49">
        <f>IF(expected_production[[#This Row],[Age (yrs)]]="",1,(1-DegradationRate)^expected_production[[#This Row],[Age (yrs)]])</f>
        <v>0.99115401345694643</v>
      </c>
      <c r="G50" s="52">
        <f>IF(expected_production[[#This Row],[Base Expected (kWh)]]="","",expected_production[[#This Row],[Base Expected (kWh)]]*expected_production[[#This Row],[Degradation Factor]])</f>
        <v>22316.729607365327</v>
      </c>
    </row>
    <row r="51" spans="1:7" ht="15" hidden="1" customHeight="1" x14ac:dyDescent="0.3">
      <c r="A51" t="s">
        <v>43</v>
      </c>
      <c r="B51" s="2">
        <v>45689</v>
      </c>
      <c r="C51" s="52">
        <v>19786.13</v>
      </c>
      <c r="D51" s="48">
        <f>_xlfn.XLOOKUP(expected_production[[#This Row],[Site Name]],Table1[[Site Name ]],Table1[Commisioned Date],"")</f>
        <v>45196</v>
      </c>
      <c r="E51" s="47">
        <f>IF(ISNUMBER(expected_production[[#This Row],[Commissioned Date]]),MAX(0,(expected_production[[#This Row],[Date]]-expected_production[[#This Row],[Commissioned Date]])/365.25),"")</f>
        <v>1.3497604380561259</v>
      </c>
      <c r="F51" s="49">
        <f>IF(expected_production[[#This Row],[Age (yrs)]]="",1,(1-DegradationRate)^expected_production[[#This Row],[Age (yrs)]])</f>
        <v>0.99056326080677315</v>
      </c>
      <c r="G51" s="52">
        <f>IF(expected_production[[#This Row],[Base Expected (kWh)]]="","",expected_production[[#This Row],[Base Expected (kWh)]]*expected_production[[#This Row],[Degradation Factor]])</f>
        <v>19599.413451546719</v>
      </c>
    </row>
    <row r="52" spans="1:7" ht="15" hidden="1" customHeight="1" x14ac:dyDescent="0.3">
      <c r="A52" t="s">
        <v>43</v>
      </c>
      <c r="B52" s="2">
        <v>45717</v>
      </c>
      <c r="C52" s="52">
        <v>20148.400000000001</v>
      </c>
      <c r="D52" s="48">
        <f>_xlfn.XLOOKUP(expected_production[[#This Row],[Site Name]],Table1[[Site Name ]],Table1[Commisioned Date],"")</f>
        <v>45196</v>
      </c>
      <c r="E52" s="47">
        <f>IF(ISNUMBER(expected_production[[#This Row],[Commissioned Date]]),MAX(0,(expected_production[[#This Row],[Date]]-expected_production[[#This Row],[Commissioned Date]])/365.25),"")</f>
        <v>1.4264202600958247</v>
      </c>
      <c r="F52" s="49">
        <f>IF(expected_production[[#This Row],[Age (yrs)]]="",1,(1-DegradationRate)^expected_production[[#This Row],[Age (yrs)]])</f>
        <v>0.99002998041410606</v>
      </c>
      <c r="G52" s="52">
        <f>IF(expected_production[[#This Row],[Base Expected (kWh)]]="","",expected_production[[#This Row],[Base Expected (kWh)]]*expected_production[[#This Row],[Degradation Factor]])</f>
        <v>19947.520057375576</v>
      </c>
    </row>
    <row r="53" spans="1:7" ht="15" hidden="1" customHeight="1" x14ac:dyDescent="0.3">
      <c r="A53" t="s">
        <v>43</v>
      </c>
      <c r="B53" s="2">
        <v>45748</v>
      </c>
      <c r="C53" s="52">
        <v>16764.89</v>
      </c>
      <c r="D53" s="48">
        <f>_xlfn.XLOOKUP(expected_production[[#This Row],[Site Name]],Table1[[Site Name ]],Table1[Commisioned Date],"")</f>
        <v>45196</v>
      </c>
      <c r="E53" s="47">
        <f>IF(ISNUMBER(expected_production[[#This Row],[Commissioned Date]]),MAX(0,(expected_production[[#This Row],[Date]]-expected_production[[#This Row],[Commissioned Date]])/365.25),"")</f>
        <v>1.5112936344969199</v>
      </c>
      <c r="F53" s="49">
        <f>IF(expected_production[[#This Row],[Age (yrs)]]="",1,(1-DegradationRate)^expected_production[[#This Row],[Age (yrs)]])</f>
        <v>0.98943989771581708</v>
      </c>
      <c r="G53" s="52">
        <f>IF(expected_production[[#This Row],[Base Expected (kWh)]]="","",expected_production[[#This Row],[Base Expected (kWh)]]*expected_production[[#This Row],[Degradation Factor]])</f>
        <v>16587.851046816922</v>
      </c>
    </row>
    <row r="54" spans="1:7" ht="15" hidden="1" customHeight="1" x14ac:dyDescent="0.3">
      <c r="A54" t="s">
        <v>43</v>
      </c>
      <c r="B54" s="2">
        <v>45778</v>
      </c>
      <c r="C54" s="52">
        <v>15972.094999999999</v>
      </c>
      <c r="D54" s="48">
        <f>_xlfn.XLOOKUP(expected_production[[#This Row],[Site Name]],Table1[[Site Name ]],Table1[Commisioned Date],"")</f>
        <v>45196</v>
      </c>
      <c r="E54" s="47">
        <f>IF(ISNUMBER(expected_production[[#This Row],[Commissioned Date]]),MAX(0,(expected_production[[#This Row],[Date]]-expected_production[[#This Row],[Commissioned Date]])/365.25),"")</f>
        <v>1.593429158110883</v>
      </c>
      <c r="F54" s="49">
        <f>IF(expected_production[[#This Row],[Age (yrs)]]="",1,(1-DegradationRate)^expected_production[[#This Row],[Age (yrs)]])</f>
        <v>0.98886918481456199</v>
      </c>
      <c r="G54" s="52">
        <f>IF(expected_production[[#This Row],[Base Expected (kWh)]]="","",expected_production[[#This Row],[Base Expected (kWh)]]*expected_production[[#This Row],[Degradation Factor]])</f>
        <v>15794.312562430741</v>
      </c>
    </row>
    <row r="55" spans="1:7" ht="15" hidden="1" customHeight="1" x14ac:dyDescent="0.3">
      <c r="A55" t="s">
        <v>43</v>
      </c>
      <c r="B55" s="2">
        <v>45809</v>
      </c>
      <c r="C55" s="52">
        <v>14367.21</v>
      </c>
      <c r="D55" s="48">
        <f>_xlfn.XLOOKUP(expected_production[[#This Row],[Site Name]],Table1[[Site Name ]],Table1[Commisioned Date],"")</f>
        <v>45196</v>
      </c>
      <c r="E55" s="47">
        <f>IF(ISNUMBER(expected_production[[#This Row],[Commissioned Date]]),MAX(0,(expected_production[[#This Row],[Date]]-expected_production[[#This Row],[Commissioned Date]])/365.25),"")</f>
        <v>1.678302532511978</v>
      </c>
      <c r="F55" s="49">
        <f>IF(expected_production[[#This Row],[Age (yrs)]]="",1,(1-DegradationRate)^expected_production[[#This Row],[Age (yrs)]])</f>
        <v>0.98827979397956311</v>
      </c>
      <c r="G55" s="52">
        <f>IF(expected_production[[#This Row],[Base Expected (kWh)]]="","",expected_production[[#This Row],[Base Expected (kWh)]]*expected_production[[#This Row],[Degradation Factor]])</f>
        <v>14198.823338861119</v>
      </c>
    </row>
    <row r="56" spans="1:7" ht="15" hidden="1" customHeight="1" x14ac:dyDescent="0.3">
      <c r="A56" t="s">
        <v>43</v>
      </c>
      <c r="B56" s="2">
        <v>45839</v>
      </c>
      <c r="C56" s="52">
        <v>15907.665000000001</v>
      </c>
      <c r="D56" s="48">
        <f>_xlfn.XLOOKUP(expected_production[[#This Row],[Site Name]],Table1[[Site Name ]],Table1[Commisioned Date],"")</f>
        <v>45196</v>
      </c>
      <c r="E56" s="47">
        <f>IF(ISNUMBER(expected_production[[#This Row],[Commissioned Date]]),MAX(0,(expected_production[[#This Row],[Date]]-expected_production[[#This Row],[Commissioned Date]])/365.25),"")</f>
        <v>1.7604380561259412</v>
      </c>
      <c r="F56" s="49">
        <f>IF(expected_production[[#This Row],[Age (yrs)]]="",1,(1-DegradationRate)^expected_production[[#This Row],[Age (yrs)]])</f>
        <v>0.98770975023079588</v>
      </c>
      <c r="G56" s="52">
        <f>IF(expected_production[[#This Row],[Base Expected (kWh)]]="","",expected_production[[#This Row],[Base Expected (kWh)]]*expected_production[[#This Row],[Degradation Factor]])</f>
        <v>15712.155823905174</v>
      </c>
    </row>
    <row r="57" spans="1:7" ht="15" hidden="1" customHeight="1" x14ac:dyDescent="0.3">
      <c r="A57" t="s">
        <v>43</v>
      </c>
      <c r="B57" s="2">
        <v>45870</v>
      </c>
      <c r="C57" s="52">
        <v>18527.365000000002</v>
      </c>
      <c r="D57" s="48">
        <f>_xlfn.XLOOKUP(expected_production[[#This Row],[Site Name]],Table1[[Site Name ]],Table1[Commisioned Date],"")</f>
        <v>45196</v>
      </c>
      <c r="E57" s="47">
        <f>IF(ISNUMBER(expected_production[[#This Row],[Commissioned Date]]),MAX(0,(expected_production[[#This Row],[Date]]-expected_production[[#This Row],[Commissioned Date]])/365.25),"")</f>
        <v>1.8453114305270362</v>
      </c>
      <c r="F57" s="49">
        <f>IF(expected_production[[#This Row],[Age (yrs)]]="",1,(1-DegradationRate)^expected_production[[#This Row],[Age (yrs)]])</f>
        <v>0.98712105044788745</v>
      </c>
      <c r="G57" s="52">
        <f>IF(expected_production[[#This Row],[Base Expected (kWh)]]="","",expected_production[[#This Row],[Base Expected (kWh)]]*expected_production[[#This Row],[Degradation Factor]])</f>
        <v>18288.752000831424</v>
      </c>
    </row>
    <row r="58" spans="1:7" ht="15" hidden="1" customHeight="1" x14ac:dyDescent="0.3">
      <c r="A58" t="s">
        <v>43</v>
      </c>
      <c r="B58" s="2">
        <v>45901</v>
      </c>
      <c r="C58" s="52">
        <v>20404.334999999999</v>
      </c>
      <c r="D58" s="48">
        <f>_xlfn.XLOOKUP(expected_production[[#This Row],[Site Name]],Table1[[Site Name ]],Table1[Commisioned Date],"")</f>
        <v>45196</v>
      </c>
      <c r="E58" s="47">
        <f>IF(ISNUMBER(expected_production[[#This Row],[Commissioned Date]]),MAX(0,(expected_production[[#This Row],[Date]]-expected_production[[#This Row],[Commissioned Date]])/365.25),"")</f>
        <v>1.9301848049281314</v>
      </c>
      <c r="F58" s="49">
        <f>IF(expected_production[[#This Row],[Age (yrs)]]="",1,(1-DegradationRate)^expected_production[[#This Row],[Age (yrs)]])</f>
        <v>0.98653270154481421</v>
      </c>
      <c r="G58" s="52">
        <f>IF(expected_production[[#This Row],[Base Expected (kWh)]]="","",expected_production[[#This Row],[Base Expected (kWh)]]*expected_production[[#This Row],[Degradation Factor]])</f>
        <v>20129.543730775407</v>
      </c>
    </row>
    <row r="59" spans="1:7" ht="15" hidden="1" customHeight="1" x14ac:dyDescent="0.3">
      <c r="A59" t="s">
        <v>43</v>
      </c>
      <c r="B59" s="2">
        <v>45931</v>
      </c>
      <c r="C59" s="52">
        <v>22320.66</v>
      </c>
      <c r="D59" s="48">
        <f>_xlfn.XLOOKUP(expected_production[[#This Row],[Site Name]],Table1[[Site Name ]],Table1[Commisioned Date],"")</f>
        <v>45196</v>
      </c>
      <c r="E59" s="47">
        <f>IF(ISNUMBER(expected_production[[#This Row],[Commissioned Date]]),MAX(0,(expected_production[[#This Row],[Date]]-expected_production[[#This Row],[Commissioned Date]])/365.25),"")</f>
        <v>2.0123203285420943</v>
      </c>
      <c r="F59" s="49">
        <f>IF(expected_production[[#This Row],[Age (yrs)]]="",1,(1-DegradationRate)^expected_production[[#This Row],[Age (yrs)]])</f>
        <v>0.98596366552597026</v>
      </c>
      <c r="G59" s="52">
        <f>IF(expected_production[[#This Row],[Base Expected (kWh)]]="","",expected_production[[#This Row],[Base Expected (kWh)]]*expected_production[[#This Row],[Degradation Factor]])</f>
        <v>22007.359750558902</v>
      </c>
    </row>
    <row r="60" spans="1:7" ht="15" hidden="1" customHeight="1" x14ac:dyDescent="0.3">
      <c r="A60" t="s">
        <v>43</v>
      </c>
      <c r="B60" s="2">
        <v>45962</v>
      </c>
      <c r="C60" s="52">
        <v>22520.665000000001</v>
      </c>
      <c r="D60" s="48">
        <f>_xlfn.XLOOKUP(expected_production[[#This Row],[Site Name]],Table1[[Site Name ]],Table1[Commisioned Date],"")</f>
        <v>45196</v>
      </c>
      <c r="E60" s="47">
        <f>IF(ISNUMBER(expected_production[[#This Row],[Commissioned Date]]),MAX(0,(expected_production[[#This Row],[Date]]-expected_production[[#This Row],[Commissioned Date]])/365.25),"")</f>
        <v>2.0971937029431897</v>
      </c>
      <c r="F60" s="49">
        <f>IF(expected_production[[#This Row],[Age (yrs)]]="",1,(1-DegradationRate)^expected_production[[#This Row],[Age (yrs)]])</f>
        <v>0.98537600645333778</v>
      </c>
      <c r="G60" s="52">
        <f>IF(expected_production[[#This Row],[Base Expected (kWh)]]="","",expected_production[[#This Row],[Base Expected (kWh)]]*expected_production[[#This Row],[Degradation Factor]])</f>
        <v>22191.322940373459</v>
      </c>
    </row>
    <row r="61" spans="1:7" ht="15" hidden="1" customHeight="1" x14ac:dyDescent="0.3">
      <c r="A61" t="s">
        <v>43</v>
      </c>
      <c r="B61" s="2">
        <v>45992</v>
      </c>
      <c r="C61" s="52">
        <v>23777.985000000001</v>
      </c>
      <c r="D61" s="48">
        <f>_xlfn.XLOOKUP(expected_production[[#This Row],[Site Name]],Table1[[Site Name ]],Table1[Commisioned Date],"")</f>
        <v>45196</v>
      </c>
      <c r="E61" s="47">
        <f>IF(ISNUMBER(expected_production[[#This Row],[Commissioned Date]]),MAX(0,(expected_production[[#This Row],[Date]]-expected_production[[#This Row],[Commissioned Date]])/365.25),"")</f>
        <v>2.1793292265571527</v>
      </c>
      <c r="F61" s="49">
        <f>IF(expected_production[[#This Row],[Age (yrs)]]="",1,(1-DegradationRate)^expected_production[[#This Row],[Age (yrs)]])</f>
        <v>0.98480763762086165</v>
      </c>
      <c r="G61" s="52">
        <f>IF(expected_production[[#This Row],[Base Expected (kWh)]]="","",expected_production[[#This Row],[Base Expected (kWh)]]*expected_production[[#This Row],[Degradation Factor]])</f>
        <v>23416.741235234284</v>
      </c>
    </row>
    <row r="62" spans="1:7" ht="15" hidden="1" customHeight="1" x14ac:dyDescent="0.3">
      <c r="A62" t="s">
        <v>43</v>
      </c>
      <c r="B62" s="2">
        <v>46023</v>
      </c>
      <c r="C62" s="52">
        <v>22515.904999999999</v>
      </c>
      <c r="D62" s="48">
        <f>_xlfn.XLOOKUP(expected_production[[#This Row],[Site Name]],Table1[[Site Name ]],Table1[Commisioned Date],"")</f>
        <v>45196</v>
      </c>
      <c r="E62" s="47">
        <f>IF(ISNUMBER(expected_production[[#This Row],[Commissioned Date]]),MAX(0,(expected_production[[#This Row],[Date]]-expected_production[[#This Row],[Commissioned Date]])/365.25),"")</f>
        <v>2.2642026009582477</v>
      </c>
      <c r="F62" s="49">
        <f>IF(expected_production[[#This Row],[Age (yrs)]]="",1,(1-DegradationRate)^expected_production[[#This Row],[Age (yrs)]])</f>
        <v>0.98422066756985371</v>
      </c>
      <c r="G62" s="52">
        <f>IF(expected_production[[#This Row],[Base Expected (kWh)]]="","",expected_production[[#This Row],[Base Expected (kWh)]]*expected_production[[#This Row],[Degradation Factor]])</f>
        <v>22160.619050039408</v>
      </c>
    </row>
    <row r="63" spans="1:7" ht="15" hidden="1" customHeight="1" x14ac:dyDescent="0.3">
      <c r="A63" t="s">
        <v>43</v>
      </c>
      <c r="B63" s="2">
        <v>46054</v>
      </c>
      <c r="C63" s="52">
        <v>19786.13</v>
      </c>
      <c r="D63" s="48">
        <f>_xlfn.XLOOKUP(expected_production[[#This Row],[Site Name]],Table1[[Site Name ]],Table1[Commisioned Date],"")</f>
        <v>45196</v>
      </c>
      <c r="E63" s="47">
        <f>IF(ISNUMBER(expected_production[[#This Row],[Commissioned Date]]),MAX(0,(expected_production[[#This Row],[Date]]-expected_production[[#This Row],[Commissioned Date]])/365.25),"")</f>
        <v>2.3490759753593431</v>
      </c>
      <c r="F63" s="49">
        <f>IF(expected_production[[#This Row],[Age (yrs)]]="",1,(1-DegradationRate)^expected_production[[#This Row],[Age (yrs)]])</f>
        <v>0.98363404736771742</v>
      </c>
      <c r="G63" s="52">
        <f>IF(expected_production[[#This Row],[Base Expected (kWh)]]="","",expected_production[[#This Row],[Base Expected (kWh)]]*expected_production[[#This Row],[Degradation Factor]])</f>
        <v>19462.311133643816</v>
      </c>
    </row>
    <row r="64" spans="1:7" ht="15" hidden="1" customHeight="1" x14ac:dyDescent="0.3">
      <c r="A64" t="s">
        <v>43</v>
      </c>
      <c r="B64" s="2">
        <v>46082</v>
      </c>
      <c r="C64" s="52">
        <v>20148.400000000001</v>
      </c>
      <c r="D64" s="48">
        <f>_xlfn.XLOOKUP(expected_production[[#This Row],[Site Name]],Table1[[Site Name ]],Table1[Commisioned Date],"")</f>
        <v>45196</v>
      </c>
      <c r="E64" s="47">
        <f>IF(ISNUMBER(expected_production[[#This Row],[Commissioned Date]]),MAX(0,(expected_production[[#This Row],[Date]]-expected_production[[#This Row],[Commissioned Date]])/365.25),"")</f>
        <v>2.4257357973990419</v>
      </c>
      <c r="F64" s="49">
        <f>IF(expected_production[[#This Row],[Age (yrs)]]="",1,(1-DegradationRate)^expected_production[[#This Row],[Age (yrs)]])</f>
        <v>0.98310449739168293</v>
      </c>
      <c r="G64" s="52">
        <f>IF(expected_production[[#This Row],[Base Expected (kWh)]]="","",expected_production[[#This Row],[Base Expected (kWh)]]*expected_production[[#This Row],[Degradation Factor]])</f>
        <v>19807.982655246586</v>
      </c>
    </row>
    <row r="65" spans="1:7" ht="15" hidden="1" customHeight="1" x14ac:dyDescent="0.3">
      <c r="A65" t="s">
        <v>43</v>
      </c>
      <c r="B65" s="2">
        <v>46113</v>
      </c>
      <c r="C65" s="52">
        <v>16764.89</v>
      </c>
      <c r="D65" s="48">
        <f>_xlfn.XLOOKUP(expected_production[[#This Row],[Site Name]],Table1[[Site Name ]],Table1[Commisioned Date],"")</f>
        <v>45196</v>
      </c>
      <c r="E65" s="47">
        <f>IF(ISNUMBER(expected_production[[#This Row],[Commissioned Date]]),MAX(0,(expected_production[[#This Row],[Date]]-expected_production[[#This Row],[Commissioned Date]])/365.25),"")</f>
        <v>2.5106091718001369</v>
      </c>
      <c r="F65" s="49">
        <f>IF(expected_production[[#This Row],[Age (yrs)]]="",1,(1-DegradationRate)^expected_production[[#This Row],[Age (yrs)]])</f>
        <v>0.98251854245496639</v>
      </c>
      <c r="G65" s="52">
        <f>IF(expected_production[[#This Row],[Base Expected (kWh)]]="","",expected_production[[#This Row],[Base Expected (kWh)]]*expected_production[[#This Row],[Degradation Factor]])</f>
        <v>16471.81528721784</v>
      </c>
    </row>
    <row r="66" spans="1:7" ht="15" hidden="1" customHeight="1" x14ac:dyDescent="0.3">
      <c r="A66" t="s">
        <v>43</v>
      </c>
      <c r="B66" s="2">
        <v>46143</v>
      </c>
      <c r="C66" s="52">
        <v>15972.094999999999</v>
      </c>
      <c r="D66" s="48">
        <f>_xlfn.XLOOKUP(expected_production[[#This Row],[Site Name]],Table1[[Site Name ]],Table1[Commisioned Date],"")</f>
        <v>45196</v>
      </c>
      <c r="E66" s="47">
        <f>IF(ISNUMBER(expected_production[[#This Row],[Commissioned Date]]),MAX(0,(expected_production[[#This Row],[Date]]-expected_production[[#This Row],[Commissioned Date]])/365.25),"")</f>
        <v>2.5927446954140998</v>
      </c>
      <c r="F66" s="49">
        <f>IF(expected_production[[#This Row],[Age (yrs)]]="",1,(1-DegradationRate)^expected_production[[#This Row],[Age (yrs)]])</f>
        <v>0.98195182181918472</v>
      </c>
      <c r="G66" s="52">
        <f>IF(expected_production[[#This Row],[Base Expected (kWh)]]="","",expected_production[[#This Row],[Base Expected (kWh)]]*expected_production[[#This Row],[Degradation Factor]])</f>
        <v>15683.827783519091</v>
      </c>
    </row>
    <row r="67" spans="1:7" ht="15" hidden="1" customHeight="1" x14ac:dyDescent="0.3">
      <c r="A67" t="s">
        <v>43</v>
      </c>
      <c r="B67" s="2">
        <v>46174</v>
      </c>
      <c r="C67" s="52">
        <v>14367.21</v>
      </c>
      <c r="D67" s="48">
        <f>_xlfn.XLOOKUP(expected_production[[#This Row],[Site Name]],Table1[[Site Name ]],Table1[Commisioned Date],"")</f>
        <v>45196</v>
      </c>
      <c r="E67" s="47">
        <f>IF(ISNUMBER(expected_production[[#This Row],[Commissioned Date]]),MAX(0,(expected_production[[#This Row],[Date]]-expected_production[[#This Row],[Commissioned Date]])/365.25),"")</f>
        <v>2.6776180698151952</v>
      </c>
      <c r="F67" s="49">
        <f>IF(expected_production[[#This Row],[Age (yrs)]]="",1,(1-DegradationRate)^expected_production[[#This Row],[Age (yrs)]])</f>
        <v>0.98136655390601857</v>
      </c>
      <c r="G67" s="52">
        <f>IF(expected_production[[#This Row],[Base Expected (kWh)]]="","",expected_production[[#This Row],[Base Expected (kWh)]]*expected_production[[#This Row],[Degradation Factor]])</f>
        <v>14099.499366944088</v>
      </c>
    </row>
    <row r="68" spans="1:7" ht="15" hidden="1" customHeight="1" x14ac:dyDescent="0.3">
      <c r="A68" t="s">
        <v>43</v>
      </c>
      <c r="B68" s="2">
        <v>46204</v>
      </c>
      <c r="C68" s="52">
        <v>15907.665000000001</v>
      </c>
      <c r="D68" s="48">
        <f>_xlfn.XLOOKUP(expected_production[[#This Row],[Site Name]],Table1[[Site Name ]],Table1[Commisioned Date],"")</f>
        <v>45196</v>
      </c>
      <c r="E68" s="47">
        <f>IF(ISNUMBER(expected_production[[#This Row],[Commissioned Date]]),MAX(0,(expected_production[[#This Row],[Date]]-expected_production[[#This Row],[Commissioned Date]])/365.25),"")</f>
        <v>2.7597535934291582</v>
      </c>
      <c r="F68" s="49">
        <f>IF(expected_production[[#This Row],[Age (yrs)]]="",1,(1-DegradationRate)^expected_production[[#This Row],[Age (yrs)]])</f>
        <v>0.98080049774185196</v>
      </c>
      <c r="G68" s="52">
        <f>IF(expected_production[[#This Row],[Base Expected (kWh)]]="","",expected_production[[#This Row],[Base Expected (kWh)]]*expected_production[[#This Row],[Degradation Factor]])</f>
        <v>15602.245749910639</v>
      </c>
    </row>
    <row r="69" spans="1:7" ht="15" hidden="1" customHeight="1" x14ac:dyDescent="0.3">
      <c r="A69" t="s">
        <v>43</v>
      </c>
      <c r="B69" s="2">
        <v>46235</v>
      </c>
      <c r="C69" s="52">
        <v>18527.365000000002</v>
      </c>
      <c r="D69" s="48">
        <f>_xlfn.XLOOKUP(expected_production[[#This Row],[Site Name]],Table1[[Site Name ]],Table1[Commisioned Date],"")</f>
        <v>45196</v>
      </c>
      <c r="E69" s="47">
        <f>IF(ISNUMBER(expected_production[[#This Row],[Commissioned Date]]),MAX(0,(expected_production[[#This Row],[Date]]-expected_production[[#This Row],[Commissioned Date]])/365.25),"")</f>
        <v>2.8446269678302532</v>
      </c>
      <c r="F69" s="49">
        <f>IF(expected_production[[#This Row],[Age (yrs)]]="",1,(1-DegradationRate)^expected_production[[#This Row],[Age (yrs)]])</f>
        <v>0.9802159160467111</v>
      </c>
      <c r="G69" s="52">
        <f>IF(expected_production[[#This Row],[Base Expected (kWh)]]="","",expected_production[[#This Row],[Base Expected (kWh)]]*expected_production[[#This Row],[Degradation Factor]])</f>
        <v>18160.818055406777</v>
      </c>
    </row>
    <row r="70" spans="1:7" ht="15" hidden="1" customHeight="1" x14ac:dyDescent="0.3">
      <c r="A70" t="s">
        <v>43</v>
      </c>
      <c r="B70" s="2">
        <v>46266</v>
      </c>
      <c r="C70" s="52">
        <v>20404.334999999999</v>
      </c>
      <c r="D70" s="48">
        <f>_xlfn.XLOOKUP(expected_production[[#This Row],[Site Name]],Table1[[Site Name ]],Table1[Commisioned Date],"")</f>
        <v>45196</v>
      </c>
      <c r="E70" s="47">
        <f>IF(ISNUMBER(expected_production[[#This Row],[Commissioned Date]]),MAX(0,(expected_production[[#This Row],[Date]]-expected_production[[#This Row],[Commissioned Date]])/365.25),"")</f>
        <v>2.9295003422313486</v>
      </c>
      <c r="F70" s="49">
        <f>IF(expected_production[[#This Row],[Age (yrs)]]="",1,(1-DegradationRate)^expected_production[[#This Row],[Age (yrs)]])</f>
        <v>0.97963168277692181</v>
      </c>
      <c r="G70" s="52">
        <f>IF(expected_production[[#This Row],[Base Expected (kWh)]]="","",expected_production[[#This Row],[Base Expected (kWh)]]*expected_production[[#This Row],[Degradation Factor]])</f>
        <v>19988.733031994041</v>
      </c>
    </row>
    <row r="71" spans="1:7" ht="15" hidden="1" customHeight="1" x14ac:dyDescent="0.3">
      <c r="A71" t="s">
        <v>43</v>
      </c>
      <c r="B71" s="2">
        <v>46296</v>
      </c>
      <c r="C71" s="52">
        <v>22320.66</v>
      </c>
      <c r="D71" s="48">
        <f>_xlfn.XLOOKUP(expected_production[[#This Row],[Site Name]],Table1[[Site Name ]],Table1[Commisioned Date],"")</f>
        <v>45196</v>
      </c>
      <c r="E71" s="47">
        <f>IF(ISNUMBER(expected_production[[#This Row],[Commissioned Date]]),MAX(0,(expected_production[[#This Row],[Date]]-expected_production[[#This Row],[Commissioned Date]])/365.25),"")</f>
        <v>3.0116358658453115</v>
      </c>
      <c r="F71" s="49">
        <f>IF(expected_production[[#This Row],[Age (yrs)]]="",1,(1-DegradationRate)^expected_production[[#This Row],[Age (yrs)]])</f>
        <v>0.97906662729338045</v>
      </c>
      <c r="G71" s="52">
        <f>IF(expected_production[[#This Row],[Base Expected (kWh)]]="","",expected_production[[#This Row],[Base Expected (kWh)]]*expected_production[[#This Row],[Degradation Factor]])</f>
        <v>21853.413305162267</v>
      </c>
    </row>
    <row r="72" spans="1:7" ht="15" hidden="1" customHeight="1" x14ac:dyDescent="0.3">
      <c r="A72" t="s">
        <v>43</v>
      </c>
      <c r="B72" s="2">
        <v>46327</v>
      </c>
      <c r="C72" s="52">
        <v>22520.665000000001</v>
      </c>
      <c r="D72" s="48">
        <f>_xlfn.XLOOKUP(expected_production[[#This Row],[Site Name]],Table1[[Site Name ]],Table1[Commisioned Date],"")</f>
        <v>45196</v>
      </c>
      <c r="E72" s="47">
        <f>IF(ISNUMBER(expected_production[[#This Row],[Commissioned Date]]),MAX(0,(expected_production[[#This Row],[Date]]-expected_production[[#This Row],[Commissioned Date]])/365.25),"")</f>
        <v>3.0965092402464065</v>
      </c>
      <c r="F72" s="49">
        <f>IF(expected_production[[#This Row],[Age (yrs)]]="",1,(1-DegradationRate)^expected_production[[#This Row],[Age (yrs)]])</f>
        <v>0.97848307902851239</v>
      </c>
      <c r="G72" s="52">
        <f>IF(expected_production[[#This Row],[Base Expected (kWh)]]="","",expected_production[[#This Row],[Base Expected (kWh)]]*expected_production[[#This Row],[Degradation Factor]])</f>
        <v>22036.089630969655</v>
      </c>
    </row>
    <row r="73" spans="1:7" ht="15" hidden="1" customHeight="1" x14ac:dyDescent="0.3">
      <c r="A73" t="s">
        <v>43</v>
      </c>
      <c r="B73" s="2">
        <v>46357</v>
      </c>
      <c r="C73" s="52">
        <v>23777.985000000001</v>
      </c>
      <c r="D73" s="48">
        <f>_xlfn.XLOOKUP(expected_production[[#This Row],[Site Name]],Table1[[Site Name ]],Table1[Commisioned Date],"")</f>
        <v>45196</v>
      </c>
      <c r="E73" s="47">
        <f>IF(ISNUMBER(expected_production[[#This Row],[Commissioned Date]]),MAX(0,(expected_production[[#This Row],[Date]]-expected_production[[#This Row],[Commissioned Date]])/365.25),"")</f>
        <v>3.1786447638603694</v>
      </c>
      <c r="F73" s="49">
        <f>IF(expected_production[[#This Row],[Age (yrs)]]="",1,(1-DegradationRate)^expected_production[[#This Row],[Age (yrs)]])</f>
        <v>0.97791868606421972</v>
      </c>
      <c r="G73" s="52">
        <f>IF(expected_production[[#This Row],[Base Expected (kWh)]]="","",expected_production[[#This Row],[Base Expected (kWh)]]*expected_production[[#This Row],[Degradation Factor]])</f>
        <v>23252.935848454727</v>
      </c>
    </row>
    <row r="74" spans="1:7" ht="15" hidden="1" customHeight="1" x14ac:dyDescent="0.3">
      <c r="A74" t="s">
        <v>49</v>
      </c>
      <c r="B74" s="2">
        <v>45292</v>
      </c>
      <c r="C74" s="52">
        <v>4801.5</v>
      </c>
      <c r="D74" s="48">
        <f>_xlfn.XLOOKUP(expected_production[[#This Row],[Site Name]],Table1[[Site Name ]],Table1[Commisioned Date],"")</f>
        <v>45658</v>
      </c>
      <c r="E74" s="47">
        <f>IF(ISNUMBER(expected_production[[#This Row],[Commissioned Date]]),MAX(0,(expected_production[[#This Row],[Date]]-expected_production[[#This Row],[Commissioned Date]])/365.25),"")</f>
        <v>0</v>
      </c>
      <c r="F74" s="49">
        <f>IF(expected_production[[#This Row],[Age (yrs)]]="",1,(1-DegradationRate)^expected_production[[#This Row],[Age (yrs)]])</f>
        <v>1</v>
      </c>
      <c r="G74" s="52">
        <f>IF(expected_production[[#This Row],[Base Expected (kWh)]]="","",expected_production[[#This Row],[Base Expected (kWh)]]*expected_production[[#This Row],[Degradation Factor]])</f>
        <v>4801.5</v>
      </c>
    </row>
    <row r="75" spans="1:7" ht="15" hidden="1" customHeight="1" x14ac:dyDescent="0.3">
      <c r="A75" t="s">
        <v>49</v>
      </c>
      <c r="B75" s="2">
        <v>45323</v>
      </c>
      <c r="C75" s="52">
        <v>4303.8</v>
      </c>
      <c r="D75" s="48">
        <f>_xlfn.XLOOKUP(expected_production[[#This Row],[Site Name]],Table1[[Site Name ]],Table1[Commisioned Date],"")</f>
        <v>45658</v>
      </c>
      <c r="E75" s="47">
        <f>IF(ISNUMBER(expected_production[[#This Row],[Commissioned Date]]),MAX(0,(expected_production[[#This Row],[Date]]-expected_production[[#This Row],[Commissioned Date]])/365.25),"")</f>
        <v>0</v>
      </c>
      <c r="F75" s="49">
        <f>IF(expected_production[[#This Row],[Age (yrs)]]="",1,(1-DegradationRate)^expected_production[[#This Row],[Age (yrs)]])</f>
        <v>1</v>
      </c>
      <c r="G75" s="52">
        <f>IF(expected_production[[#This Row],[Base Expected (kWh)]]="","",expected_production[[#This Row],[Base Expected (kWh)]]*expected_production[[#This Row],[Degradation Factor]])</f>
        <v>4303.8</v>
      </c>
    </row>
    <row r="76" spans="1:7" ht="15" hidden="1" customHeight="1" x14ac:dyDescent="0.3">
      <c r="A76" t="s">
        <v>49</v>
      </c>
      <c r="B76" s="2">
        <v>45352</v>
      </c>
      <c r="C76" s="52">
        <v>4545.8999999999996</v>
      </c>
      <c r="D76" s="48">
        <f>_xlfn.XLOOKUP(expected_production[[#This Row],[Site Name]],Table1[[Site Name ]],Table1[Commisioned Date],"")</f>
        <v>45658</v>
      </c>
      <c r="E76" s="47">
        <f>IF(ISNUMBER(expected_production[[#This Row],[Commissioned Date]]),MAX(0,(expected_production[[#This Row],[Date]]-expected_production[[#This Row],[Commissioned Date]])/365.25),"")</f>
        <v>0</v>
      </c>
      <c r="F76" s="49">
        <f>IF(expected_production[[#This Row],[Age (yrs)]]="",1,(1-DegradationRate)^expected_production[[#This Row],[Age (yrs)]])</f>
        <v>1</v>
      </c>
      <c r="G76" s="52">
        <f>IF(expected_production[[#This Row],[Base Expected (kWh)]]="","",expected_production[[#This Row],[Base Expected (kWh)]]*expected_production[[#This Row],[Degradation Factor]])</f>
        <v>4545.8999999999996</v>
      </c>
    </row>
    <row r="77" spans="1:7" ht="15" hidden="1" customHeight="1" x14ac:dyDescent="0.3">
      <c r="A77" t="s">
        <v>49</v>
      </c>
      <c r="B77" s="2">
        <v>45383</v>
      </c>
      <c r="C77" s="52">
        <v>4619.7</v>
      </c>
      <c r="D77" s="48">
        <f>_xlfn.XLOOKUP(expected_production[[#This Row],[Site Name]],Table1[[Site Name ]],Table1[Commisioned Date],"")</f>
        <v>45658</v>
      </c>
      <c r="E77" s="47">
        <f>IF(ISNUMBER(expected_production[[#This Row],[Commissioned Date]]),MAX(0,(expected_production[[#This Row],[Date]]-expected_production[[#This Row],[Commissioned Date]])/365.25),"")</f>
        <v>0</v>
      </c>
      <c r="F77" s="49">
        <f>IF(expected_production[[#This Row],[Age (yrs)]]="",1,(1-DegradationRate)^expected_production[[#This Row],[Age (yrs)]])</f>
        <v>1</v>
      </c>
      <c r="G77" s="52">
        <f>IF(expected_production[[#This Row],[Base Expected (kWh)]]="","",expected_production[[#This Row],[Base Expected (kWh)]]*expected_production[[#This Row],[Degradation Factor]])</f>
        <v>4619.7</v>
      </c>
    </row>
    <row r="78" spans="1:7" ht="15" hidden="1" customHeight="1" x14ac:dyDescent="0.3">
      <c r="A78" t="s">
        <v>49</v>
      </c>
      <c r="B78" s="2">
        <v>45413</v>
      </c>
      <c r="C78" s="52">
        <v>4990.5</v>
      </c>
      <c r="D78" s="48">
        <f>_xlfn.XLOOKUP(expected_production[[#This Row],[Site Name]],Table1[[Site Name ]],Table1[Commisioned Date],"")</f>
        <v>45658</v>
      </c>
      <c r="E78" s="47">
        <f>IF(ISNUMBER(expected_production[[#This Row],[Commissioned Date]]),MAX(0,(expected_production[[#This Row],[Date]]-expected_production[[#This Row],[Commissioned Date]])/365.25),"")</f>
        <v>0</v>
      </c>
      <c r="F78" s="49">
        <f>IF(expected_production[[#This Row],[Age (yrs)]]="",1,(1-DegradationRate)^expected_production[[#This Row],[Age (yrs)]])</f>
        <v>1</v>
      </c>
      <c r="G78" s="52">
        <f>IF(expected_production[[#This Row],[Base Expected (kWh)]]="","",expected_production[[#This Row],[Base Expected (kWh)]]*expected_production[[#This Row],[Degradation Factor]])</f>
        <v>4990.5</v>
      </c>
    </row>
    <row r="79" spans="1:7" ht="15" hidden="1" customHeight="1" x14ac:dyDescent="0.3">
      <c r="A79" t="s">
        <v>49</v>
      </c>
      <c r="B79" s="2">
        <v>45444</v>
      </c>
      <c r="C79" s="52">
        <v>4761.8999999999996</v>
      </c>
      <c r="D79" s="48">
        <f>_xlfn.XLOOKUP(expected_production[[#This Row],[Site Name]],Table1[[Site Name ]],Table1[Commisioned Date],"")</f>
        <v>45658</v>
      </c>
      <c r="E79" s="47">
        <f>IF(ISNUMBER(expected_production[[#This Row],[Commissioned Date]]),MAX(0,(expected_production[[#This Row],[Date]]-expected_production[[#This Row],[Commissioned Date]])/365.25),"")</f>
        <v>0</v>
      </c>
      <c r="F79" s="49">
        <f>IF(expected_production[[#This Row],[Age (yrs)]]="",1,(1-DegradationRate)^expected_production[[#This Row],[Age (yrs)]])</f>
        <v>1</v>
      </c>
      <c r="G79" s="52">
        <f>IF(expected_production[[#This Row],[Base Expected (kWh)]]="","",expected_production[[#This Row],[Base Expected (kWh)]]*expected_production[[#This Row],[Degradation Factor]])</f>
        <v>4761.8999999999996</v>
      </c>
    </row>
    <row r="80" spans="1:7" ht="15" hidden="1" customHeight="1" x14ac:dyDescent="0.3">
      <c r="A80" t="s">
        <v>49</v>
      </c>
      <c r="B80" s="2">
        <v>45474</v>
      </c>
      <c r="C80" s="52">
        <v>4680.8999999999996</v>
      </c>
      <c r="D80" s="48">
        <f>_xlfn.XLOOKUP(expected_production[[#This Row],[Site Name]],Table1[[Site Name ]],Table1[Commisioned Date],"")</f>
        <v>45658</v>
      </c>
      <c r="E80" s="47">
        <f>IF(ISNUMBER(expected_production[[#This Row],[Commissioned Date]]),MAX(0,(expected_production[[#This Row],[Date]]-expected_production[[#This Row],[Commissioned Date]])/365.25),"")</f>
        <v>0</v>
      </c>
      <c r="F80" s="49">
        <f>IF(expected_production[[#This Row],[Age (yrs)]]="",1,(1-DegradationRate)^expected_production[[#This Row],[Age (yrs)]])</f>
        <v>1</v>
      </c>
      <c r="G80" s="52">
        <f>IF(expected_production[[#This Row],[Base Expected (kWh)]]="","",expected_production[[#This Row],[Base Expected (kWh)]]*expected_production[[#This Row],[Degradation Factor]])</f>
        <v>4680.8999999999996</v>
      </c>
    </row>
    <row r="81" spans="1:7" ht="15" hidden="1" customHeight="1" x14ac:dyDescent="0.3">
      <c r="A81" t="s">
        <v>49</v>
      </c>
      <c r="B81" s="2">
        <v>45505</v>
      </c>
      <c r="C81" s="52">
        <v>5249.7</v>
      </c>
      <c r="D81" s="48">
        <f>_xlfn.XLOOKUP(expected_production[[#This Row],[Site Name]],Table1[[Site Name ]],Table1[Commisioned Date],"")</f>
        <v>45658</v>
      </c>
      <c r="E81" s="47">
        <f>IF(ISNUMBER(expected_production[[#This Row],[Commissioned Date]]),MAX(0,(expected_production[[#This Row],[Date]]-expected_production[[#This Row],[Commissioned Date]])/365.25),"")</f>
        <v>0</v>
      </c>
      <c r="F81" s="49">
        <f>IF(expected_production[[#This Row],[Age (yrs)]]="",1,(1-DegradationRate)^expected_production[[#This Row],[Age (yrs)]])</f>
        <v>1</v>
      </c>
      <c r="G81" s="52">
        <f>IF(expected_production[[#This Row],[Base Expected (kWh)]]="","",expected_production[[#This Row],[Base Expected (kWh)]]*expected_production[[#This Row],[Degradation Factor]])</f>
        <v>5249.7</v>
      </c>
    </row>
    <row r="82" spans="1:7" ht="15" hidden="1" customHeight="1" x14ac:dyDescent="0.3">
      <c r="A82" t="s">
        <v>49</v>
      </c>
      <c r="B82" s="2">
        <v>45536</v>
      </c>
      <c r="C82" s="52">
        <v>4694.3999999999996</v>
      </c>
      <c r="D82" s="48">
        <f>_xlfn.XLOOKUP(expected_production[[#This Row],[Site Name]],Table1[[Site Name ]],Table1[Commisioned Date],"")</f>
        <v>45658</v>
      </c>
      <c r="E82" s="47">
        <f>IF(ISNUMBER(expected_production[[#This Row],[Commissioned Date]]),MAX(0,(expected_production[[#This Row],[Date]]-expected_production[[#This Row],[Commissioned Date]])/365.25),"")</f>
        <v>0</v>
      </c>
      <c r="F82" s="49">
        <f>IF(expected_production[[#This Row],[Age (yrs)]]="",1,(1-DegradationRate)^expected_production[[#This Row],[Age (yrs)]])</f>
        <v>1</v>
      </c>
      <c r="G82" s="52">
        <f>IF(expected_production[[#This Row],[Base Expected (kWh)]]="","",expected_production[[#This Row],[Base Expected (kWh)]]*expected_production[[#This Row],[Degradation Factor]])</f>
        <v>4694.3999999999996</v>
      </c>
    </row>
    <row r="83" spans="1:7" ht="15" hidden="1" customHeight="1" x14ac:dyDescent="0.3">
      <c r="A83" t="s">
        <v>49</v>
      </c>
      <c r="B83" s="2">
        <v>45566</v>
      </c>
      <c r="C83" s="52">
        <v>4732.2</v>
      </c>
      <c r="D83" s="48">
        <f>_xlfn.XLOOKUP(expected_production[[#This Row],[Site Name]],Table1[[Site Name ]],Table1[Commisioned Date],"")</f>
        <v>45658</v>
      </c>
      <c r="E83" s="47">
        <f>IF(ISNUMBER(expected_production[[#This Row],[Commissioned Date]]),MAX(0,(expected_production[[#This Row],[Date]]-expected_production[[#This Row],[Commissioned Date]])/365.25),"")</f>
        <v>0</v>
      </c>
      <c r="F83" s="49">
        <f>IF(expected_production[[#This Row],[Age (yrs)]]="",1,(1-DegradationRate)^expected_production[[#This Row],[Age (yrs)]])</f>
        <v>1</v>
      </c>
      <c r="G83" s="52">
        <f>IF(expected_production[[#This Row],[Base Expected (kWh)]]="","",expected_production[[#This Row],[Base Expected (kWh)]]*expected_production[[#This Row],[Degradation Factor]])</f>
        <v>4732.2</v>
      </c>
    </row>
    <row r="84" spans="1:7" ht="15" hidden="1" customHeight="1" x14ac:dyDescent="0.3">
      <c r="A84" t="s">
        <v>49</v>
      </c>
      <c r="B84" s="2">
        <v>45597</v>
      </c>
      <c r="C84" s="52">
        <v>4822.2</v>
      </c>
      <c r="D84" s="48">
        <f>_xlfn.XLOOKUP(expected_production[[#This Row],[Site Name]],Table1[[Site Name ]],Table1[Commisioned Date],"")</f>
        <v>45658</v>
      </c>
      <c r="E84" s="47">
        <f>IF(ISNUMBER(expected_production[[#This Row],[Commissioned Date]]),MAX(0,(expected_production[[#This Row],[Date]]-expected_production[[#This Row],[Commissioned Date]])/365.25),"")</f>
        <v>0</v>
      </c>
      <c r="F84" s="49">
        <f>IF(expected_production[[#This Row],[Age (yrs)]]="",1,(1-DegradationRate)^expected_production[[#This Row],[Age (yrs)]])</f>
        <v>1</v>
      </c>
      <c r="G84" s="52">
        <f>IF(expected_production[[#This Row],[Base Expected (kWh)]]="","",expected_production[[#This Row],[Base Expected (kWh)]]*expected_production[[#This Row],[Degradation Factor]])</f>
        <v>4822.2</v>
      </c>
    </row>
    <row r="85" spans="1:7" ht="15" hidden="1" customHeight="1" x14ac:dyDescent="0.3">
      <c r="A85" t="s">
        <v>49</v>
      </c>
      <c r="B85" s="2">
        <v>45627</v>
      </c>
      <c r="C85" s="52">
        <v>4805.1000000000004</v>
      </c>
      <c r="D85" s="48">
        <f>_xlfn.XLOOKUP(expected_production[[#This Row],[Site Name]],Table1[[Site Name ]],Table1[Commisioned Date],"")</f>
        <v>45658</v>
      </c>
      <c r="E85" s="47">
        <f>IF(ISNUMBER(expected_production[[#This Row],[Commissioned Date]]),MAX(0,(expected_production[[#This Row],[Date]]-expected_production[[#This Row],[Commissioned Date]])/365.25),"")</f>
        <v>0</v>
      </c>
      <c r="F85" s="49">
        <f>IF(expected_production[[#This Row],[Age (yrs)]]="",1,(1-DegradationRate)^expected_production[[#This Row],[Age (yrs)]])</f>
        <v>1</v>
      </c>
      <c r="G85" s="52">
        <f>IF(expected_production[[#This Row],[Base Expected (kWh)]]="","",expected_production[[#This Row],[Base Expected (kWh)]]*expected_production[[#This Row],[Degradation Factor]])</f>
        <v>4805.1000000000004</v>
      </c>
    </row>
    <row r="86" spans="1:7" ht="15" hidden="1" customHeight="1" x14ac:dyDescent="0.3">
      <c r="A86" t="s">
        <v>49</v>
      </c>
      <c r="B86" s="2">
        <v>45658</v>
      </c>
      <c r="C86" s="52">
        <v>4801.5</v>
      </c>
      <c r="D86" s="48">
        <f>_xlfn.XLOOKUP(expected_production[[#This Row],[Site Name]],Table1[[Site Name ]],Table1[Commisioned Date],"")</f>
        <v>45658</v>
      </c>
      <c r="E86" s="47">
        <f>IF(ISNUMBER(expected_production[[#This Row],[Commissioned Date]]),MAX(0,(expected_production[[#This Row],[Date]]-expected_production[[#This Row],[Commissioned Date]])/365.25),"")</f>
        <v>0</v>
      </c>
      <c r="F86" s="49">
        <f>IF(expected_production[[#This Row],[Age (yrs)]]="",1,(1-DegradationRate)^expected_production[[#This Row],[Age (yrs)]])</f>
        <v>1</v>
      </c>
      <c r="G86" s="52">
        <f>IF(expected_production[[#This Row],[Base Expected (kWh)]]="","",expected_production[[#This Row],[Base Expected (kWh)]]*expected_production[[#This Row],[Degradation Factor]])</f>
        <v>4801.5</v>
      </c>
    </row>
    <row r="87" spans="1:7" ht="15" hidden="1" customHeight="1" x14ac:dyDescent="0.3">
      <c r="A87" t="s">
        <v>49</v>
      </c>
      <c r="B87" s="2">
        <v>45689</v>
      </c>
      <c r="C87" s="52">
        <v>4303.8</v>
      </c>
      <c r="D87" s="48">
        <f>_xlfn.XLOOKUP(expected_production[[#This Row],[Site Name]],Table1[[Site Name ]],Table1[Commisioned Date],"")</f>
        <v>45658</v>
      </c>
      <c r="E87" s="47">
        <f>IF(ISNUMBER(expected_production[[#This Row],[Commissioned Date]]),MAX(0,(expected_production[[#This Row],[Date]]-expected_production[[#This Row],[Commissioned Date]])/365.25),"")</f>
        <v>8.4873374401095145E-2</v>
      </c>
      <c r="F87" s="49">
        <f>IF(expected_production[[#This Row],[Age (yrs)]]="",1,(1-DegradationRate)^expected_production[[#This Row],[Age (yrs)]])</f>
        <v>0.99940397491998956</v>
      </c>
      <c r="G87" s="52">
        <f>IF(expected_production[[#This Row],[Base Expected (kWh)]]="","",expected_production[[#This Row],[Base Expected (kWh)]]*expected_production[[#This Row],[Degradation Factor]])</f>
        <v>4301.2348272606514</v>
      </c>
    </row>
    <row r="88" spans="1:7" ht="15" hidden="1" customHeight="1" x14ac:dyDescent="0.3">
      <c r="A88" t="s">
        <v>49</v>
      </c>
      <c r="B88" s="2">
        <v>45717</v>
      </c>
      <c r="C88" s="52">
        <v>4545.8999999999996</v>
      </c>
      <c r="D88" s="48">
        <f>_xlfn.XLOOKUP(expected_production[[#This Row],[Site Name]],Table1[[Site Name ]],Table1[Commisioned Date],"")</f>
        <v>45658</v>
      </c>
      <c r="E88" s="47">
        <f>IF(ISNUMBER(expected_production[[#This Row],[Commissioned Date]]),MAX(0,(expected_production[[#This Row],[Date]]-expected_production[[#This Row],[Commissioned Date]])/365.25),"")</f>
        <v>0.16153319644079397</v>
      </c>
      <c r="F88" s="49">
        <f>IF(expected_production[[#This Row],[Age (yrs)]]="",1,(1-DegradationRate)^expected_production[[#This Row],[Age (yrs)]])</f>
        <v>0.998865935033729</v>
      </c>
      <c r="G88" s="52">
        <f>IF(expected_production[[#This Row],[Base Expected (kWh)]]="","",expected_production[[#This Row],[Base Expected (kWh)]]*expected_production[[#This Row],[Degradation Factor]])</f>
        <v>4540.7446540698284</v>
      </c>
    </row>
    <row r="89" spans="1:7" ht="15" hidden="1" customHeight="1" x14ac:dyDescent="0.3">
      <c r="A89" t="s">
        <v>49</v>
      </c>
      <c r="B89" s="2">
        <v>45748</v>
      </c>
      <c r="C89" s="52">
        <v>4619.7</v>
      </c>
      <c r="D89" s="48">
        <f>_xlfn.XLOOKUP(expected_production[[#This Row],[Site Name]],Table1[[Site Name ]],Table1[Commisioned Date],"")</f>
        <v>45658</v>
      </c>
      <c r="E89" s="47">
        <f>IF(ISNUMBER(expected_production[[#This Row],[Commissioned Date]]),MAX(0,(expected_production[[#This Row],[Date]]-expected_production[[#This Row],[Commissioned Date]])/365.25),"")</f>
        <v>0.24640657084188911</v>
      </c>
      <c r="F89" s="49">
        <f>IF(expected_production[[#This Row],[Age (yrs)]]="",1,(1-DegradationRate)^expected_production[[#This Row],[Age (yrs)]])</f>
        <v>0.99827058588488082</v>
      </c>
      <c r="G89" s="52">
        <f>IF(expected_production[[#This Row],[Base Expected (kWh)]]="","",expected_production[[#This Row],[Base Expected (kWh)]]*expected_production[[#This Row],[Degradation Factor]])</f>
        <v>4611.7106256123834</v>
      </c>
    </row>
    <row r="90" spans="1:7" ht="15" hidden="1" customHeight="1" x14ac:dyDescent="0.3">
      <c r="A90" t="s">
        <v>49</v>
      </c>
      <c r="B90" s="2">
        <v>45778</v>
      </c>
      <c r="C90" s="52">
        <v>4990.5</v>
      </c>
      <c r="D90" s="48">
        <f>_xlfn.XLOOKUP(expected_production[[#This Row],[Site Name]],Table1[[Site Name ]],Table1[Commisioned Date],"")</f>
        <v>45658</v>
      </c>
      <c r="E90" s="47">
        <f>IF(ISNUMBER(expected_production[[#This Row],[Commissioned Date]]),MAX(0,(expected_production[[#This Row],[Date]]-expected_production[[#This Row],[Commissioned Date]])/365.25),"")</f>
        <v>0.32854209445585214</v>
      </c>
      <c r="F90" s="49">
        <f>IF(expected_production[[#This Row],[Age (yrs)]]="",1,(1-DegradationRate)^expected_production[[#This Row],[Age (yrs)]])</f>
        <v>0.99769477940727358</v>
      </c>
      <c r="G90" s="52">
        <f>IF(expected_production[[#This Row],[Base Expected (kWh)]]="","",expected_production[[#This Row],[Base Expected (kWh)]]*expected_production[[#This Row],[Degradation Factor]])</f>
        <v>4978.9957966319989</v>
      </c>
    </row>
    <row r="91" spans="1:7" ht="15" hidden="1" customHeight="1" x14ac:dyDescent="0.3">
      <c r="A91" t="s">
        <v>49</v>
      </c>
      <c r="B91" s="2">
        <v>45809</v>
      </c>
      <c r="C91" s="52">
        <v>4761.8999999999996</v>
      </c>
      <c r="D91" s="48">
        <f>_xlfn.XLOOKUP(expected_production[[#This Row],[Site Name]],Table1[[Site Name ]],Table1[Commisioned Date],"")</f>
        <v>45658</v>
      </c>
      <c r="E91" s="47">
        <f>IF(ISNUMBER(expected_production[[#This Row],[Commissioned Date]]),MAX(0,(expected_production[[#This Row],[Date]]-expected_production[[#This Row],[Commissioned Date]])/365.25),"")</f>
        <v>0.4134154688569473</v>
      </c>
      <c r="F91" s="49">
        <f>IF(expected_production[[#This Row],[Age (yrs)]]="",1,(1-DegradationRate)^expected_production[[#This Row],[Age (yrs)]])</f>
        <v>0.99710012829655126</v>
      </c>
      <c r="G91" s="52">
        <f>IF(expected_production[[#This Row],[Base Expected (kWh)]]="","",expected_production[[#This Row],[Base Expected (kWh)]]*expected_production[[#This Row],[Degradation Factor]])</f>
        <v>4748.0911009353467</v>
      </c>
    </row>
    <row r="92" spans="1:7" ht="15" hidden="1" customHeight="1" x14ac:dyDescent="0.3">
      <c r="A92" t="s">
        <v>49</v>
      </c>
      <c r="B92" s="2">
        <v>45839</v>
      </c>
      <c r="C92" s="52">
        <v>4680.8999999999996</v>
      </c>
      <c r="D92" s="48">
        <f>_xlfn.XLOOKUP(expected_production[[#This Row],[Site Name]],Table1[[Site Name ]],Table1[Commisioned Date],"")</f>
        <v>45658</v>
      </c>
      <c r="E92" s="47">
        <f>IF(ISNUMBER(expected_production[[#This Row],[Commissioned Date]]),MAX(0,(expected_production[[#This Row],[Date]]-expected_production[[#This Row],[Commissioned Date]])/365.25),"")</f>
        <v>0.49555099247091033</v>
      </c>
      <c r="F92" s="49">
        <f>IF(expected_production[[#This Row],[Age (yrs)]]="",1,(1-DegradationRate)^expected_production[[#This Row],[Age (yrs)]])</f>
        <v>0.99652499694357521</v>
      </c>
      <c r="G92" s="52">
        <f>IF(expected_production[[#This Row],[Base Expected (kWh)]]="","",expected_production[[#This Row],[Base Expected (kWh)]]*expected_production[[#This Row],[Degradation Factor]])</f>
        <v>4664.6338581931805</v>
      </c>
    </row>
    <row r="93" spans="1:7" ht="15" hidden="1" customHeight="1" x14ac:dyDescent="0.3">
      <c r="A93" t="s">
        <v>49</v>
      </c>
      <c r="B93" s="2">
        <v>45870</v>
      </c>
      <c r="C93" s="52">
        <v>5249.7</v>
      </c>
      <c r="D93" s="48">
        <f>_xlfn.XLOOKUP(expected_production[[#This Row],[Site Name]],Table1[[Site Name ]],Table1[Commisioned Date],"")</f>
        <v>45658</v>
      </c>
      <c r="E93" s="47">
        <f>IF(ISNUMBER(expected_production[[#This Row],[Commissioned Date]]),MAX(0,(expected_production[[#This Row],[Date]]-expected_production[[#This Row],[Commissioned Date]])/365.25),"")</f>
        <v>0.58042436687200549</v>
      </c>
      <c r="F93" s="49">
        <f>IF(expected_production[[#This Row],[Age (yrs)]]="",1,(1-DegradationRate)^expected_production[[#This Row],[Age (yrs)]])</f>
        <v>0.99593104305253943</v>
      </c>
      <c r="G93" s="52">
        <f>IF(expected_production[[#This Row],[Base Expected (kWh)]]="","",expected_production[[#This Row],[Base Expected (kWh)]]*expected_production[[#This Row],[Degradation Factor]])</f>
        <v>5228.3391967129164</v>
      </c>
    </row>
    <row r="94" spans="1:7" ht="15" hidden="1" customHeight="1" x14ac:dyDescent="0.3">
      <c r="A94" t="s">
        <v>49</v>
      </c>
      <c r="B94" s="2">
        <v>45901</v>
      </c>
      <c r="C94" s="52">
        <v>4694.3999999999996</v>
      </c>
      <c r="D94" s="48">
        <f>_xlfn.XLOOKUP(expected_production[[#This Row],[Site Name]],Table1[[Site Name ]],Table1[Commisioned Date],"")</f>
        <v>45658</v>
      </c>
      <c r="E94" s="47">
        <f>IF(ISNUMBER(expected_production[[#This Row],[Commissioned Date]]),MAX(0,(expected_production[[#This Row],[Date]]-expected_production[[#This Row],[Commissioned Date]])/365.25),"")</f>
        <v>0.6652977412731006</v>
      </c>
      <c r="F94" s="49">
        <f>IF(expected_production[[#This Row],[Age (yrs)]]="",1,(1-DegradationRate)^expected_production[[#This Row],[Age (yrs)]])</f>
        <v>0.99533744317291917</v>
      </c>
      <c r="G94" s="52">
        <f>IF(expected_production[[#This Row],[Base Expected (kWh)]]="","",expected_production[[#This Row],[Base Expected (kWh)]]*expected_production[[#This Row],[Degradation Factor]])</f>
        <v>4672.512093230951</v>
      </c>
    </row>
    <row r="95" spans="1:7" ht="15" hidden="1" customHeight="1" x14ac:dyDescent="0.3">
      <c r="A95" t="s">
        <v>49</v>
      </c>
      <c r="B95" s="2">
        <v>45931</v>
      </c>
      <c r="C95" s="52">
        <v>4732.2</v>
      </c>
      <c r="D95" s="48">
        <f>_xlfn.XLOOKUP(expected_production[[#This Row],[Site Name]],Table1[[Site Name ]],Table1[Commisioned Date],"")</f>
        <v>45658</v>
      </c>
      <c r="E95" s="47">
        <f>IF(ISNUMBER(expected_production[[#This Row],[Commissioned Date]]),MAX(0,(expected_production[[#This Row],[Date]]-expected_production[[#This Row],[Commissioned Date]])/365.25),"")</f>
        <v>0.74743326488706363</v>
      </c>
      <c r="F95" s="49">
        <f>IF(expected_production[[#This Row],[Age (yrs)]]="",1,(1-DegradationRate)^expected_production[[#This Row],[Age (yrs)]])</f>
        <v>0.99476332854379179</v>
      </c>
      <c r="G95" s="52">
        <f>IF(expected_production[[#This Row],[Base Expected (kWh)]]="","",expected_production[[#This Row],[Base Expected (kWh)]]*expected_production[[#This Row],[Degradation Factor]])</f>
        <v>4707.4190233349309</v>
      </c>
    </row>
    <row r="96" spans="1:7" ht="15" hidden="1" customHeight="1" x14ac:dyDescent="0.3">
      <c r="A96" t="s">
        <v>49</v>
      </c>
      <c r="B96" s="2">
        <v>45962</v>
      </c>
      <c r="C96" s="52">
        <v>4822.2</v>
      </c>
      <c r="D96" s="48">
        <f>_xlfn.XLOOKUP(expected_production[[#This Row],[Site Name]],Table1[[Site Name ]],Table1[Commisioned Date],"")</f>
        <v>45658</v>
      </c>
      <c r="E96" s="47">
        <f>IF(ISNUMBER(expected_production[[#This Row],[Commissioned Date]]),MAX(0,(expected_production[[#This Row],[Date]]-expected_production[[#This Row],[Commissioned Date]])/365.25),"")</f>
        <v>0.83230663928815884</v>
      </c>
      <c r="F96" s="49">
        <f>IF(expected_production[[#This Row],[Age (yrs)]]="",1,(1-DegradationRate)^expected_production[[#This Row],[Age (yrs)]])</f>
        <v>0.99417042465130501</v>
      </c>
      <c r="G96" s="52">
        <f>IF(expected_production[[#This Row],[Base Expected (kWh)]]="","",expected_production[[#This Row],[Base Expected (kWh)]]*expected_production[[#This Row],[Degradation Factor]])</f>
        <v>4794.0886217535226</v>
      </c>
    </row>
    <row r="97" spans="1:7" ht="15" hidden="1" customHeight="1" x14ac:dyDescent="0.3">
      <c r="A97" t="s">
        <v>49</v>
      </c>
      <c r="B97" s="2">
        <v>45992</v>
      </c>
      <c r="C97" s="52">
        <v>4805.1000000000004</v>
      </c>
      <c r="D97" s="48">
        <f>_xlfn.XLOOKUP(expected_production[[#This Row],[Site Name]],Table1[[Site Name ]],Table1[Commisioned Date],"")</f>
        <v>45658</v>
      </c>
      <c r="E97" s="47">
        <f>IF(ISNUMBER(expected_production[[#This Row],[Commissioned Date]]),MAX(0,(expected_production[[#This Row],[Date]]-expected_production[[#This Row],[Commissioned Date]])/365.25),"")</f>
        <v>0.91444216290212188</v>
      </c>
      <c r="F97" s="49">
        <f>IF(expected_production[[#This Row],[Age (yrs)]]="",1,(1-DegradationRate)^expected_production[[#This Row],[Age (yrs)]])</f>
        <v>0.99359698316314138</v>
      </c>
      <c r="G97" s="52">
        <f>IF(expected_production[[#This Row],[Base Expected (kWh)]]="","",expected_production[[#This Row],[Base Expected (kWh)]]*expected_production[[#This Row],[Degradation Factor]])</f>
        <v>4774.3328637972108</v>
      </c>
    </row>
    <row r="98" spans="1:7" ht="15" hidden="1" customHeight="1" x14ac:dyDescent="0.3">
      <c r="A98" t="s">
        <v>49</v>
      </c>
      <c r="B98" s="2">
        <v>46023</v>
      </c>
      <c r="C98" s="52">
        <v>4801.5</v>
      </c>
      <c r="D98" s="48">
        <f>_xlfn.XLOOKUP(expected_production[[#This Row],[Site Name]],Table1[[Site Name ]],Table1[Commisioned Date],"")</f>
        <v>45658</v>
      </c>
      <c r="E98" s="47">
        <f>IF(ISNUMBER(expected_production[[#This Row],[Commissioned Date]]),MAX(0,(expected_production[[#This Row],[Date]]-expected_production[[#This Row],[Commissioned Date]])/365.25),"")</f>
        <v>0.99931553730321698</v>
      </c>
      <c r="F98" s="49">
        <f>IF(expected_production[[#This Row],[Age (yrs)]]="",1,(1-DegradationRate)^expected_production[[#This Row],[Age (yrs)]])</f>
        <v>0.99300477444175339</v>
      </c>
      <c r="G98" s="52">
        <f>IF(expected_production[[#This Row],[Base Expected (kWh)]]="","",expected_production[[#This Row],[Base Expected (kWh)]]*expected_production[[#This Row],[Degradation Factor]])</f>
        <v>4767.9124244820787</v>
      </c>
    </row>
    <row r="99" spans="1:7" ht="15" hidden="1" customHeight="1" x14ac:dyDescent="0.3">
      <c r="A99" t="s">
        <v>49</v>
      </c>
      <c r="B99" s="2">
        <v>46054</v>
      </c>
      <c r="C99" s="52">
        <v>4303.8</v>
      </c>
      <c r="D99" s="48">
        <f>_xlfn.XLOOKUP(expected_production[[#This Row],[Site Name]],Table1[[Site Name ]],Table1[Commisioned Date],"")</f>
        <v>45658</v>
      </c>
      <c r="E99" s="47">
        <f>IF(ISNUMBER(expected_production[[#This Row],[Commissioned Date]]),MAX(0,(expected_production[[#This Row],[Date]]-expected_production[[#This Row],[Commissioned Date]])/365.25),"")</f>
        <v>1.0841889117043122</v>
      </c>
      <c r="F99" s="49">
        <f>IF(expected_production[[#This Row],[Age (yrs)]]="",1,(1-DegradationRate)^expected_production[[#This Row],[Age (yrs)]])</f>
        <v>0.99241291869161596</v>
      </c>
      <c r="G99" s="52">
        <f>IF(expected_production[[#This Row],[Base Expected (kWh)]]="","",expected_production[[#This Row],[Base Expected (kWh)]]*expected_production[[#This Row],[Degradation Factor]])</f>
        <v>4271.1467194649767</v>
      </c>
    </row>
    <row r="100" spans="1:7" ht="15" hidden="1" customHeight="1" x14ac:dyDescent="0.3">
      <c r="A100" t="s">
        <v>49</v>
      </c>
      <c r="B100" s="2">
        <v>46082</v>
      </c>
      <c r="C100" s="52">
        <v>4545.8999999999996</v>
      </c>
      <c r="D100" s="48">
        <f>_xlfn.XLOOKUP(expected_production[[#This Row],[Site Name]],Table1[[Site Name ]],Table1[Commisioned Date],"")</f>
        <v>45658</v>
      </c>
      <c r="E100" s="47">
        <f>IF(ISNUMBER(expected_production[[#This Row],[Commissioned Date]]),MAX(0,(expected_production[[#This Row],[Date]]-expected_production[[#This Row],[Commissioned Date]])/365.25),"")</f>
        <v>1.160848733744011</v>
      </c>
      <c r="F100" s="49">
        <f>IF(expected_production[[#This Row],[Age (yrs)]]="",1,(1-DegradationRate)^expected_production[[#This Row],[Age (yrs)]])</f>
        <v>0.99187864251571922</v>
      </c>
      <c r="G100" s="52">
        <f>IF(expected_production[[#This Row],[Base Expected (kWh)]]="","",expected_production[[#This Row],[Base Expected (kWh)]]*expected_production[[#This Row],[Degradation Factor]])</f>
        <v>4508.981121012208</v>
      </c>
    </row>
    <row r="101" spans="1:7" ht="15" hidden="1" customHeight="1" x14ac:dyDescent="0.3">
      <c r="A101" t="s">
        <v>49</v>
      </c>
      <c r="B101" s="2">
        <v>46113</v>
      </c>
      <c r="C101" s="52">
        <v>4619.7</v>
      </c>
      <c r="D101" s="48">
        <f>_xlfn.XLOOKUP(expected_production[[#This Row],[Site Name]],Table1[[Site Name ]],Table1[Commisioned Date],"")</f>
        <v>45658</v>
      </c>
      <c r="E101" s="47">
        <f>IF(ISNUMBER(expected_production[[#This Row],[Commissioned Date]]),MAX(0,(expected_production[[#This Row],[Date]]-expected_production[[#This Row],[Commissioned Date]])/365.25),"")</f>
        <v>1.2457221081451062</v>
      </c>
      <c r="F101" s="49">
        <f>IF(expected_production[[#This Row],[Age (yrs)]]="",1,(1-DegradationRate)^expected_production[[#This Row],[Age (yrs)]])</f>
        <v>0.99128745796845308</v>
      </c>
      <c r="G101" s="52">
        <f>IF(expected_production[[#This Row],[Base Expected (kWh)]]="","",expected_production[[#This Row],[Base Expected (kWh)]]*expected_production[[#This Row],[Degradation Factor]])</f>
        <v>4579.4506695768623</v>
      </c>
    </row>
    <row r="102" spans="1:7" ht="15" hidden="1" customHeight="1" x14ac:dyDescent="0.3">
      <c r="A102" t="s">
        <v>49</v>
      </c>
      <c r="B102" s="2">
        <v>46143</v>
      </c>
      <c r="C102" s="52">
        <v>4990.5</v>
      </c>
      <c r="D102" s="48">
        <f>_xlfn.XLOOKUP(expected_production[[#This Row],[Site Name]],Table1[[Site Name ]],Table1[Commisioned Date],"")</f>
        <v>45658</v>
      </c>
      <c r="E102" s="47">
        <f>IF(ISNUMBER(expected_production[[#This Row],[Commissioned Date]]),MAX(0,(expected_production[[#This Row],[Date]]-expected_production[[#This Row],[Commissioned Date]])/365.25),"")</f>
        <v>1.3278576317590691</v>
      </c>
      <c r="F102" s="49">
        <f>IF(expected_production[[#This Row],[Age (yrs)]]="",1,(1-DegradationRate)^expected_production[[#This Row],[Age (yrs)]])</f>
        <v>0.99071567938703453</v>
      </c>
      <c r="G102" s="52">
        <f>IF(expected_production[[#This Row],[Base Expected (kWh)]]="","",expected_production[[#This Row],[Base Expected (kWh)]]*expected_production[[#This Row],[Degradation Factor]])</f>
        <v>4944.1665979809959</v>
      </c>
    </row>
    <row r="103" spans="1:7" ht="15" hidden="1" customHeight="1" x14ac:dyDescent="0.3">
      <c r="A103" t="s">
        <v>49</v>
      </c>
      <c r="B103" s="2">
        <v>46174</v>
      </c>
      <c r="C103" s="52">
        <v>4761.8999999999996</v>
      </c>
      <c r="D103" s="48">
        <f>_xlfn.XLOOKUP(expected_production[[#This Row],[Site Name]],Table1[[Site Name ]],Table1[Commisioned Date],"")</f>
        <v>45658</v>
      </c>
      <c r="E103" s="47">
        <f>IF(ISNUMBER(expected_production[[#This Row],[Commissioned Date]]),MAX(0,(expected_production[[#This Row],[Date]]-expected_production[[#This Row],[Commissioned Date]])/365.25),"")</f>
        <v>1.4127310061601643</v>
      </c>
      <c r="F103" s="49">
        <f>IF(expected_production[[#This Row],[Age (yrs)]]="",1,(1-DegradationRate)^expected_production[[#This Row],[Age (yrs)]])</f>
        <v>0.9901251879949603</v>
      </c>
      <c r="G103" s="52">
        <f>IF(expected_production[[#This Row],[Base Expected (kWh)]]="","",expected_production[[#This Row],[Base Expected (kWh)]]*expected_production[[#This Row],[Degradation Factor]])</f>
        <v>4714.8771327132008</v>
      </c>
    </row>
    <row r="104" spans="1:7" ht="15" hidden="1" customHeight="1" x14ac:dyDescent="0.3">
      <c r="A104" t="s">
        <v>49</v>
      </c>
      <c r="B104" s="2">
        <v>46204</v>
      </c>
      <c r="C104" s="52">
        <v>4680.8999999999996</v>
      </c>
      <c r="D104" s="48">
        <f>_xlfn.XLOOKUP(expected_production[[#This Row],[Site Name]],Table1[[Site Name ]],Table1[Commisioned Date],"")</f>
        <v>45658</v>
      </c>
      <c r="E104" s="47">
        <f>IF(ISNUMBER(expected_production[[#This Row],[Commissioned Date]]),MAX(0,(expected_production[[#This Row],[Date]]-expected_production[[#This Row],[Commissioned Date]])/365.25),"")</f>
        <v>1.4948665297741273</v>
      </c>
      <c r="F104" s="49">
        <f>IF(expected_production[[#This Row],[Age (yrs)]]="",1,(1-DegradationRate)^expected_production[[#This Row],[Age (yrs)]])</f>
        <v>0.98955407981552379</v>
      </c>
      <c r="G104" s="52">
        <f>IF(expected_production[[#This Row],[Base Expected (kWh)]]="","",expected_production[[#This Row],[Base Expected (kWh)]]*expected_production[[#This Row],[Degradation Factor]])</f>
        <v>4632.0036922084846</v>
      </c>
    </row>
    <row r="105" spans="1:7" ht="15" hidden="1" customHeight="1" x14ac:dyDescent="0.3">
      <c r="A105" t="s">
        <v>49</v>
      </c>
      <c r="B105" s="2">
        <v>46235</v>
      </c>
      <c r="C105" s="52">
        <v>5249.7</v>
      </c>
      <c r="D105" s="48">
        <f>_xlfn.XLOOKUP(expected_production[[#This Row],[Site Name]],Table1[[Site Name ]],Table1[Commisioned Date],"")</f>
        <v>45658</v>
      </c>
      <c r="E105" s="47">
        <f>IF(ISNUMBER(expected_production[[#This Row],[Commissioned Date]]),MAX(0,(expected_production[[#This Row],[Date]]-expected_production[[#This Row],[Commissioned Date]])/365.25),"")</f>
        <v>1.5797399041752225</v>
      </c>
      <c r="F105" s="49">
        <f>IF(expected_production[[#This Row],[Age (yrs)]]="",1,(1-DegradationRate)^expected_production[[#This Row],[Age (yrs)]])</f>
        <v>0.98896428076592713</v>
      </c>
      <c r="G105" s="52">
        <f>IF(expected_production[[#This Row],[Base Expected (kWh)]]="","",expected_production[[#This Row],[Base Expected (kWh)]]*expected_production[[#This Row],[Degradation Factor]])</f>
        <v>5191.7657847368873</v>
      </c>
    </row>
    <row r="106" spans="1:7" ht="15" hidden="1" customHeight="1" x14ac:dyDescent="0.3">
      <c r="A106" t="s">
        <v>49</v>
      </c>
      <c r="B106" s="2">
        <v>46266</v>
      </c>
      <c r="C106" s="52">
        <v>4694.3999999999996</v>
      </c>
      <c r="D106" s="48">
        <f>_xlfn.XLOOKUP(expected_production[[#This Row],[Site Name]],Table1[[Site Name ]],Table1[Commisioned Date],"")</f>
        <v>45658</v>
      </c>
      <c r="E106" s="47">
        <f>IF(ISNUMBER(expected_production[[#This Row],[Commissioned Date]]),MAX(0,(expected_production[[#This Row],[Date]]-expected_production[[#This Row],[Commissioned Date]])/365.25),"")</f>
        <v>1.6646132785763177</v>
      </c>
      <c r="F106" s="49">
        <f>IF(expected_production[[#This Row],[Age (yrs)]]="",1,(1-DegradationRate)^expected_production[[#This Row],[Age (yrs)]])</f>
        <v>0.98837483325135611</v>
      </c>
      <c r="G106" s="52">
        <f>IF(expected_production[[#This Row],[Base Expected (kWh)]]="","",expected_production[[#This Row],[Base Expected (kWh)]]*expected_production[[#This Row],[Degradation Factor]])</f>
        <v>4639.8268172151656</v>
      </c>
    </row>
    <row r="107" spans="1:7" ht="15" hidden="1" customHeight="1" x14ac:dyDescent="0.3">
      <c r="A107" t="s">
        <v>49</v>
      </c>
      <c r="B107" s="2">
        <v>46296</v>
      </c>
      <c r="C107" s="52">
        <v>4732.2</v>
      </c>
      <c r="D107" s="48">
        <f>_xlfn.XLOOKUP(expected_production[[#This Row],[Site Name]],Table1[[Site Name ]],Table1[Commisioned Date],"")</f>
        <v>45658</v>
      </c>
      <c r="E107" s="47">
        <f>IF(ISNUMBER(expected_production[[#This Row],[Commissioned Date]]),MAX(0,(expected_production[[#This Row],[Date]]-expected_production[[#This Row],[Commissioned Date]])/365.25),"")</f>
        <v>1.7467488021902806</v>
      </c>
      <c r="F107" s="49">
        <f>IF(expected_production[[#This Row],[Age (yrs)]]="",1,(1-DegradationRate)^expected_production[[#This Row],[Age (yrs)]])</f>
        <v>0.98780473468355579</v>
      </c>
      <c r="G107" s="52">
        <f>IF(expected_production[[#This Row],[Base Expected (kWh)]]="","",expected_production[[#This Row],[Base Expected (kWh)]]*expected_production[[#This Row],[Degradation Factor]])</f>
        <v>4674.4895654695229</v>
      </c>
    </row>
    <row r="108" spans="1:7" ht="15" hidden="1" customHeight="1" x14ac:dyDescent="0.3">
      <c r="A108" t="s">
        <v>49</v>
      </c>
      <c r="B108" s="2">
        <v>46327</v>
      </c>
      <c r="C108" s="52">
        <v>4822.2</v>
      </c>
      <c r="D108" s="48">
        <f>_xlfn.XLOOKUP(expected_production[[#This Row],[Site Name]],Table1[[Site Name ]],Table1[Commisioned Date],"")</f>
        <v>45658</v>
      </c>
      <c r="E108" s="47">
        <f>IF(ISNUMBER(expected_production[[#This Row],[Commissioned Date]]),MAX(0,(expected_production[[#This Row],[Date]]-expected_production[[#This Row],[Commissioned Date]])/365.25),"")</f>
        <v>1.8316221765913758</v>
      </c>
      <c r="F108" s="49">
        <f>IF(expected_production[[#This Row],[Age (yrs)]]="",1,(1-DegradationRate)^expected_production[[#This Row],[Age (yrs)]])</f>
        <v>0.98721597828753127</v>
      </c>
      <c r="G108" s="52">
        <f>IF(expected_production[[#This Row],[Base Expected (kWh)]]="","",expected_production[[#This Row],[Base Expected (kWh)]]*expected_production[[#This Row],[Degradation Factor]])</f>
        <v>4760.5528904981329</v>
      </c>
    </row>
    <row r="109" spans="1:7" ht="15" hidden="1" customHeight="1" x14ac:dyDescent="0.3">
      <c r="A109" t="s">
        <v>49</v>
      </c>
      <c r="B109" s="2">
        <v>46357</v>
      </c>
      <c r="C109" s="52">
        <v>4805.1000000000004</v>
      </c>
      <c r="D109" s="48">
        <f>_xlfn.XLOOKUP(expected_production[[#This Row],[Site Name]],Table1[[Site Name ]],Table1[Commisioned Date],"")</f>
        <v>45658</v>
      </c>
      <c r="E109" s="47">
        <f>IF(ISNUMBER(expected_production[[#This Row],[Commissioned Date]]),MAX(0,(expected_production[[#This Row],[Date]]-expected_production[[#This Row],[Commissioned Date]])/365.25),"")</f>
        <v>1.9137577002053388</v>
      </c>
      <c r="F109" s="49">
        <f>IF(expected_production[[#This Row],[Age (yrs)]]="",1,(1-DegradationRate)^expected_production[[#This Row],[Age (yrs)]])</f>
        <v>0.98664654815192177</v>
      </c>
      <c r="G109" s="52">
        <f>IF(expected_production[[#This Row],[Base Expected (kWh)]]="","",expected_production[[#This Row],[Base Expected (kWh)]]*expected_production[[#This Row],[Degradation Factor]])</f>
        <v>4740.9353285247998</v>
      </c>
    </row>
    <row r="110" spans="1:7" ht="15" hidden="1" customHeight="1" x14ac:dyDescent="0.3">
      <c r="A110" t="s">
        <v>64</v>
      </c>
      <c r="B110" s="2">
        <v>45292</v>
      </c>
      <c r="C110" s="52">
        <v>8151.3</v>
      </c>
      <c r="D110" s="48">
        <f>_xlfn.XLOOKUP(expected_production[[#This Row],[Site Name]],Table1[[Site Name ]],Table1[Commisioned Date],"")</f>
        <v>45610</v>
      </c>
      <c r="E110" s="47">
        <f>IF(ISNUMBER(expected_production[[#This Row],[Commissioned Date]]),MAX(0,(expected_production[[#This Row],[Date]]-expected_production[[#This Row],[Commissioned Date]])/365.25),"")</f>
        <v>0</v>
      </c>
      <c r="F110" s="49">
        <f>IF(expected_production[[#This Row],[Age (yrs)]]="",1,(1-DegradationRate)^expected_production[[#This Row],[Age (yrs)]])</f>
        <v>1</v>
      </c>
      <c r="G110" s="52">
        <f>IF(expected_production[[#This Row],[Base Expected (kWh)]]="","",expected_production[[#This Row],[Base Expected (kWh)]]*expected_production[[#This Row],[Degradation Factor]])</f>
        <v>8151.3</v>
      </c>
    </row>
    <row r="111" spans="1:7" ht="15" hidden="1" customHeight="1" x14ac:dyDescent="0.3">
      <c r="A111" t="s">
        <v>64</v>
      </c>
      <c r="B111" s="2">
        <v>45323</v>
      </c>
      <c r="C111" s="52">
        <v>7235.1</v>
      </c>
      <c r="D111" s="48">
        <f>_xlfn.XLOOKUP(expected_production[[#This Row],[Site Name]],Table1[[Site Name ]],Table1[Commisioned Date],"")</f>
        <v>45610</v>
      </c>
      <c r="E111" s="47">
        <f>IF(ISNUMBER(expected_production[[#This Row],[Commissioned Date]]),MAX(0,(expected_production[[#This Row],[Date]]-expected_production[[#This Row],[Commissioned Date]])/365.25),"")</f>
        <v>0</v>
      </c>
      <c r="F111" s="49">
        <f>IF(expected_production[[#This Row],[Age (yrs)]]="",1,(1-DegradationRate)^expected_production[[#This Row],[Age (yrs)]])</f>
        <v>1</v>
      </c>
      <c r="G111" s="52">
        <f>IF(expected_production[[#This Row],[Base Expected (kWh)]]="","",expected_production[[#This Row],[Base Expected (kWh)]]*expected_production[[#This Row],[Degradation Factor]])</f>
        <v>7235.1</v>
      </c>
    </row>
    <row r="112" spans="1:7" ht="15" hidden="1" customHeight="1" x14ac:dyDescent="0.3">
      <c r="A112" t="s">
        <v>64</v>
      </c>
      <c r="B112" s="2">
        <v>45352</v>
      </c>
      <c r="C112" s="52">
        <v>7075.8</v>
      </c>
      <c r="D112" s="48">
        <f>_xlfn.XLOOKUP(expected_production[[#This Row],[Site Name]],Table1[[Site Name ]],Table1[Commisioned Date],"")</f>
        <v>45610</v>
      </c>
      <c r="E112" s="47">
        <f>IF(ISNUMBER(expected_production[[#This Row],[Commissioned Date]]),MAX(0,(expected_production[[#This Row],[Date]]-expected_production[[#This Row],[Commissioned Date]])/365.25),"")</f>
        <v>0</v>
      </c>
      <c r="F112" s="49">
        <f>IF(expected_production[[#This Row],[Age (yrs)]]="",1,(1-DegradationRate)^expected_production[[#This Row],[Age (yrs)]])</f>
        <v>1</v>
      </c>
      <c r="G112" s="52">
        <f>IF(expected_production[[#This Row],[Base Expected (kWh)]]="","",expected_production[[#This Row],[Base Expected (kWh)]]*expected_production[[#This Row],[Degradation Factor]])</f>
        <v>7075.8</v>
      </c>
    </row>
    <row r="113" spans="1:7" ht="15" hidden="1" customHeight="1" x14ac:dyDescent="0.3">
      <c r="A113" t="s">
        <v>64</v>
      </c>
      <c r="B113" s="2">
        <v>45383</v>
      </c>
      <c r="C113" s="52">
        <v>5754.6</v>
      </c>
      <c r="D113" s="48">
        <f>_xlfn.XLOOKUP(expected_production[[#This Row],[Site Name]],Table1[[Site Name ]],Table1[Commisioned Date],"")</f>
        <v>45610</v>
      </c>
      <c r="E113" s="47">
        <f>IF(ISNUMBER(expected_production[[#This Row],[Commissioned Date]]),MAX(0,(expected_production[[#This Row],[Date]]-expected_production[[#This Row],[Commissioned Date]])/365.25),"")</f>
        <v>0</v>
      </c>
      <c r="F113" s="49">
        <f>IF(expected_production[[#This Row],[Age (yrs)]]="",1,(1-DegradationRate)^expected_production[[#This Row],[Age (yrs)]])</f>
        <v>1</v>
      </c>
      <c r="G113" s="52">
        <f>IF(expected_production[[#This Row],[Base Expected (kWh)]]="","",expected_production[[#This Row],[Base Expected (kWh)]]*expected_production[[#This Row],[Degradation Factor]])</f>
        <v>5754.6</v>
      </c>
    </row>
    <row r="114" spans="1:7" ht="15" hidden="1" customHeight="1" x14ac:dyDescent="0.3">
      <c r="A114" t="s">
        <v>64</v>
      </c>
      <c r="B114" s="2">
        <v>45413</v>
      </c>
      <c r="C114" s="52">
        <v>5424.3</v>
      </c>
      <c r="D114" s="48">
        <f>_xlfn.XLOOKUP(expected_production[[#This Row],[Site Name]],Table1[[Site Name ]],Table1[Commisioned Date],"")</f>
        <v>45610</v>
      </c>
      <c r="E114" s="47">
        <f>IF(ISNUMBER(expected_production[[#This Row],[Commissioned Date]]),MAX(0,(expected_production[[#This Row],[Date]]-expected_production[[#This Row],[Commissioned Date]])/365.25),"")</f>
        <v>0</v>
      </c>
      <c r="F114" s="49">
        <f>IF(expected_production[[#This Row],[Age (yrs)]]="",1,(1-DegradationRate)^expected_production[[#This Row],[Age (yrs)]])</f>
        <v>1</v>
      </c>
      <c r="G114" s="52">
        <f>IF(expected_production[[#This Row],[Base Expected (kWh)]]="","",expected_production[[#This Row],[Base Expected (kWh)]]*expected_production[[#This Row],[Degradation Factor]])</f>
        <v>5424.3</v>
      </c>
    </row>
    <row r="115" spans="1:7" ht="15" hidden="1" customHeight="1" x14ac:dyDescent="0.3">
      <c r="A115" t="s">
        <v>64</v>
      </c>
      <c r="B115" s="2">
        <v>45444</v>
      </c>
      <c r="C115" s="52">
        <v>4787.1000000000004</v>
      </c>
      <c r="D115" s="48">
        <f>_xlfn.XLOOKUP(expected_production[[#This Row],[Site Name]],Table1[[Site Name ]],Table1[Commisioned Date],"")</f>
        <v>45610</v>
      </c>
      <c r="E115" s="47">
        <f>IF(ISNUMBER(expected_production[[#This Row],[Commissioned Date]]),MAX(0,(expected_production[[#This Row],[Date]]-expected_production[[#This Row],[Commissioned Date]])/365.25),"")</f>
        <v>0</v>
      </c>
      <c r="F115" s="49">
        <f>IF(expected_production[[#This Row],[Age (yrs)]]="",1,(1-DegradationRate)^expected_production[[#This Row],[Age (yrs)]])</f>
        <v>1</v>
      </c>
      <c r="G115" s="52">
        <f>IF(expected_production[[#This Row],[Base Expected (kWh)]]="","",expected_production[[#This Row],[Base Expected (kWh)]]*expected_production[[#This Row],[Degradation Factor]])</f>
        <v>4787.1000000000004</v>
      </c>
    </row>
    <row r="116" spans="1:7" ht="15" hidden="1" customHeight="1" x14ac:dyDescent="0.3">
      <c r="A116" t="s">
        <v>64</v>
      </c>
      <c r="B116" s="2">
        <v>45474</v>
      </c>
      <c r="C116" s="52">
        <v>5360.4</v>
      </c>
      <c r="D116" s="48">
        <f>_xlfn.XLOOKUP(expected_production[[#This Row],[Site Name]],Table1[[Site Name ]],Table1[Commisioned Date],"")</f>
        <v>45610</v>
      </c>
      <c r="E116" s="47">
        <f>IF(ISNUMBER(expected_production[[#This Row],[Commissioned Date]]),MAX(0,(expected_production[[#This Row],[Date]]-expected_production[[#This Row],[Commissioned Date]])/365.25),"")</f>
        <v>0</v>
      </c>
      <c r="F116" s="49">
        <f>IF(expected_production[[#This Row],[Age (yrs)]]="",1,(1-DegradationRate)^expected_production[[#This Row],[Age (yrs)]])</f>
        <v>1</v>
      </c>
      <c r="G116" s="52">
        <f>IF(expected_production[[#This Row],[Base Expected (kWh)]]="","",expected_production[[#This Row],[Base Expected (kWh)]]*expected_production[[#This Row],[Degradation Factor]])</f>
        <v>5360.4</v>
      </c>
    </row>
    <row r="117" spans="1:7" ht="15" hidden="1" customHeight="1" x14ac:dyDescent="0.3">
      <c r="A117" t="s">
        <v>64</v>
      </c>
      <c r="B117" s="2">
        <v>45505</v>
      </c>
      <c r="C117" s="52">
        <v>6363</v>
      </c>
      <c r="D117" s="48">
        <f>_xlfn.XLOOKUP(expected_production[[#This Row],[Site Name]],Table1[[Site Name ]],Table1[Commisioned Date],"")</f>
        <v>45610</v>
      </c>
      <c r="E117" s="47">
        <f>IF(ISNUMBER(expected_production[[#This Row],[Commissioned Date]]),MAX(0,(expected_production[[#This Row],[Date]]-expected_production[[#This Row],[Commissioned Date]])/365.25),"")</f>
        <v>0</v>
      </c>
      <c r="F117" s="49">
        <f>IF(expected_production[[#This Row],[Age (yrs)]]="",1,(1-DegradationRate)^expected_production[[#This Row],[Age (yrs)]])</f>
        <v>1</v>
      </c>
      <c r="G117" s="52">
        <f>IF(expected_production[[#This Row],[Base Expected (kWh)]]="","",expected_production[[#This Row],[Base Expected (kWh)]]*expected_production[[#This Row],[Degradation Factor]])</f>
        <v>6363</v>
      </c>
    </row>
    <row r="118" spans="1:7" ht="15" hidden="1" customHeight="1" x14ac:dyDescent="0.3">
      <c r="A118" t="s">
        <v>64</v>
      </c>
      <c r="B118" s="2">
        <v>45536</v>
      </c>
      <c r="C118" s="52">
        <v>7218.9</v>
      </c>
      <c r="D118" s="48">
        <f>_xlfn.XLOOKUP(expected_production[[#This Row],[Site Name]],Table1[[Site Name ]],Table1[Commisioned Date],"")</f>
        <v>45610</v>
      </c>
      <c r="E118" s="47">
        <f>IF(ISNUMBER(expected_production[[#This Row],[Commissioned Date]]),MAX(0,(expected_production[[#This Row],[Date]]-expected_production[[#This Row],[Commissioned Date]])/365.25),"")</f>
        <v>0</v>
      </c>
      <c r="F118" s="49">
        <f>IF(expected_production[[#This Row],[Age (yrs)]]="",1,(1-DegradationRate)^expected_production[[#This Row],[Age (yrs)]])</f>
        <v>1</v>
      </c>
      <c r="G118" s="52">
        <f>IF(expected_production[[#This Row],[Base Expected (kWh)]]="","",expected_production[[#This Row],[Base Expected (kWh)]]*expected_production[[#This Row],[Degradation Factor]])</f>
        <v>7218.9</v>
      </c>
    </row>
    <row r="119" spans="1:7" ht="15" hidden="1" customHeight="1" x14ac:dyDescent="0.3">
      <c r="A119" t="s">
        <v>64</v>
      </c>
      <c r="B119" s="2">
        <v>45566</v>
      </c>
      <c r="C119" s="52">
        <v>7839</v>
      </c>
      <c r="D119" s="48">
        <f>_xlfn.XLOOKUP(expected_production[[#This Row],[Site Name]],Table1[[Site Name ]],Table1[Commisioned Date],"")</f>
        <v>45610</v>
      </c>
      <c r="E119" s="47">
        <f>IF(ISNUMBER(expected_production[[#This Row],[Commissioned Date]]),MAX(0,(expected_production[[#This Row],[Date]]-expected_production[[#This Row],[Commissioned Date]])/365.25),"")</f>
        <v>0</v>
      </c>
      <c r="F119" s="49">
        <f>IF(expected_production[[#This Row],[Age (yrs)]]="",1,(1-DegradationRate)^expected_production[[#This Row],[Age (yrs)]])</f>
        <v>1</v>
      </c>
      <c r="G119" s="52">
        <f>IF(expected_production[[#This Row],[Base Expected (kWh)]]="","",expected_production[[#This Row],[Base Expected (kWh)]]*expected_production[[#This Row],[Degradation Factor]])</f>
        <v>7839</v>
      </c>
    </row>
    <row r="120" spans="1:7" ht="15" hidden="1" customHeight="1" x14ac:dyDescent="0.3">
      <c r="A120" t="s">
        <v>64</v>
      </c>
      <c r="B120" s="2">
        <v>45597</v>
      </c>
      <c r="C120" s="52">
        <v>8191.8</v>
      </c>
      <c r="D120" s="48">
        <f>_xlfn.XLOOKUP(expected_production[[#This Row],[Site Name]],Table1[[Site Name ]],Table1[Commisioned Date],"")</f>
        <v>45610</v>
      </c>
      <c r="E120" s="47">
        <f>IF(ISNUMBER(expected_production[[#This Row],[Commissioned Date]]),MAX(0,(expected_production[[#This Row],[Date]]-expected_production[[#This Row],[Commissioned Date]])/365.25),"")</f>
        <v>0</v>
      </c>
      <c r="F120" s="49">
        <f>IF(expected_production[[#This Row],[Age (yrs)]]="",1,(1-DegradationRate)^expected_production[[#This Row],[Age (yrs)]])</f>
        <v>1</v>
      </c>
      <c r="G120" s="52">
        <f>IF(expected_production[[#This Row],[Base Expected (kWh)]]="","",expected_production[[#This Row],[Base Expected (kWh)]]*expected_production[[#This Row],[Degradation Factor]])</f>
        <v>8191.8</v>
      </c>
    </row>
    <row r="121" spans="1:7" ht="15" hidden="1" customHeight="1" x14ac:dyDescent="0.3">
      <c r="A121" t="s">
        <v>64</v>
      </c>
      <c r="B121" s="2">
        <v>45627</v>
      </c>
      <c r="C121" s="52">
        <v>8227.7999999999993</v>
      </c>
      <c r="D121" s="48">
        <f>_xlfn.XLOOKUP(expected_production[[#This Row],[Site Name]],Table1[[Site Name ]],Table1[Commisioned Date],"")</f>
        <v>45610</v>
      </c>
      <c r="E121" s="47">
        <f>IF(ISNUMBER(expected_production[[#This Row],[Commissioned Date]]),MAX(0,(expected_production[[#This Row],[Date]]-expected_production[[#This Row],[Commissioned Date]])/365.25),"")</f>
        <v>4.6543463381245723E-2</v>
      </c>
      <c r="F121" s="49">
        <f>IF(expected_production[[#This Row],[Age (yrs)]]="",1,(1-DegradationRate)^expected_production[[#This Row],[Age (yrs)]])</f>
        <v>0.99967310353421079</v>
      </c>
      <c r="G121" s="52">
        <f>IF(expected_production[[#This Row],[Base Expected (kWh)]]="","",expected_production[[#This Row],[Base Expected (kWh)]]*expected_production[[#This Row],[Degradation Factor]])</f>
        <v>8225.1103612587794</v>
      </c>
    </row>
    <row r="122" spans="1:7" ht="15" hidden="1" customHeight="1" x14ac:dyDescent="0.3">
      <c r="A122" t="s">
        <v>64</v>
      </c>
      <c r="B122" s="2">
        <v>45658</v>
      </c>
      <c r="C122" s="52">
        <v>8151.3</v>
      </c>
      <c r="D122" s="48">
        <f>_xlfn.XLOOKUP(expected_production[[#This Row],[Site Name]],Table1[[Site Name ]],Table1[Commisioned Date],"")</f>
        <v>45610</v>
      </c>
      <c r="E122" s="47">
        <f>IF(ISNUMBER(expected_production[[#This Row],[Commissioned Date]]),MAX(0,(expected_production[[#This Row],[Date]]-expected_production[[#This Row],[Commissioned Date]])/365.25),"")</f>
        <v>0.13141683778234087</v>
      </c>
      <c r="F122" s="49">
        <f>IF(expected_production[[#This Row],[Age (yrs)]]="",1,(1-DegradationRate)^expected_production[[#This Row],[Age (yrs)]])</f>
        <v>0.99907727329269247</v>
      </c>
      <c r="G122" s="52">
        <f>IF(expected_production[[#This Row],[Base Expected (kWh)]]="","",expected_production[[#This Row],[Base Expected (kWh)]]*expected_production[[#This Row],[Degradation Factor]])</f>
        <v>8143.7785777907247</v>
      </c>
    </row>
    <row r="123" spans="1:7" ht="15" hidden="1" customHeight="1" x14ac:dyDescent="0.3">
      <c r="A123" t="s">
        <v>64</v>
      </c>
      <c r="B123" s="2">
        <v>45689</v>
      </c>
      <c r="C123" s="52">
        <v>7235.1</v>
      </c>
      <c r="D123" s="48">
        <f>_xlfn.XLOOKUP(expected_production[[#This Row],[Site Name]],Table1[[Site Name ]],Table1[Commisioned Date],"")</f>
        <v>45610</v>
      </c>
      <c r="E123" s="47">
        <f>IF(ISNUMBER(expected_production[[#This Row],[Commissioned Date]]),MAX(0,(expected_production[[#This Row],[Date]]-expected_production[[#This Row],[Commissioned Date]])/365.25),"")</f>
        <v>0.216290212183436</v>
      </c>
      <c r="F123" s="49">
        <f>IF(expected_production[[#This Row],[Age (yrs)]]="",1,(1-DegradationRate)^expected_production[[#This Row],[Age (yrs)]])</f>
        <v>0.99848179818094163</v>
      </c>
      <c r="G123" s="52">
        <f>IF(expected_production[[#This Row],[Base Expected (kWh)]]="","",expected_production[[#This Row],[Base Expected (kWh)]]*expected_production[[#This Row],[Degradation Factor]])</f>
        <v>7224.1156580189308</v>
      </c>
    </row>
    <row r="124" spans="1:7" ht="15" hidden="1" customHeight="1" x14ac:dyDescent="0.3">
      <c r="A124" t="s">
        <v>64</v>
      </c>
      <c r="B124" s="2">
        <v>45717</v>
      </c>
      <c r="C124" s="52">
        <v>7075.8</v>
      </c>
      <c r="D124" s="48">
        <f>_xlfn.XLOOKUP(expected_production[[#This Row],[Site Name]],Table1[[Site Name ]],Table1[Commisioned Date],"")</f>
        <v>45610</v>
      </c>
      <c r="E124" s="47">
        <f>IF(ISNUMBER(expected_production[[#This Row],[Commissioned Date]]),MAX(0,(expected_production[[#This Row],[Date]]-expected_production[[#This Row],[Commissioned Date]])/365.25),"")</f>
        <v>0.29295003422313481</v>
      </c>
      <c r="F124" s="49">
        <f>IF(expected_production[[#This Row],[Age (yrs)]]="",1,(1-DegradationRate)^expected_production[[#This Row],[Age (yrs)]])</f>
        <v>0.99794425475845372</v>
      </c>
      <c r="G124" s="52">
        <f>IF(expected_production[[#This Row],[Base Expected (kWh)]]="","",expected_production[[#This Row],[Base Expected (kWh)]]*expected_production[[#This Row],[Degradation Factor]])</f>
        <v>7061.2539578198666</v>
      </c>
    </row>
    <row r="125" spans="1:7" ht="15" hidden="1" customHeight="1" x14ac:dyDescent="0.3">
      <c r="A125" t="s">
        <v>64</v>
      </c>
      <c r="B125" s="2">
        <v>45748</v>
      </c>
      <c r="C125" s="52">
        <v>5754.6</v>
      </c>
      <c r="D125" s="48">
        <f>_xlfn.XLOOKUP(expected_production[[#This Row],[Site Name]],Table1[[Site Name ]],Table1[Commisioned Date],"")</f>
        <v>45610</v>
      </c>
      <c r="E125" s="47">
        <f>IF(ISNUMBER(expected_production[[#This Row],[Commissioned Date]]),MAX(0,(expected_production[[#This Row],[Date]]-expected_production[[#This Row],[Commissioned Date]])/365.25),"")</f>
        <v>0.37782340862422997</v>
      </c>
      <c r="F125" s="49">
        <f>IF(expected_production[[#This Row],[Age (yrs)]]="",1,(1-DegradationRate)^expected_production[[#This Row],[Age (yrs)]])</f>
        <v>0.99734945495416538</v>
      </c>
      <c r="G125" s="52">
        <f>IF(expected_production[[#This Row],[Base Expected (kWh)]]="","",expected_production[[#This Row],[Base Expected (kWh)]]*expected_production[[#This Row],[Degradation Factor]])</f>
        <v>5739.3471734792402</v>
      </c>
    </row>
    <row r="126" spans="1:7" ht="15" hidden="1" customHeight="1" x14ac:dyDescent="0.3">
      <c r="A126" t="s">
        <v>64</v>
      </c>
      <c r="B126" s="2">
        <v>45778</v>
      </c>
      <c r="C126" s="52">
        <v>5424.3</v>
      </c>
      <c r="D126" s="48">
        <f>_xlfn.XLOOKUP(expected_production[[#This Row],[Site Name]],Table1[[Site Name ]],Table1[Commisioned Date],"")</f>
        <v>45610</v>
      </c>
      <c r="E126" s="47">
        <f>IF(ISNUMBER(expected_production[[#This Row],[Commissioned Date]]),MAX(0,(expected_production[[#This Row],[Date]]-expected_production[[#This Row],[Commissioned Date]])/365.25),"")</f>
        <v>0.45995893223819301</v>
      </c>
      <c r="F126" s="49">
        <f>IF(expected_production[[#This Row],[Age (yrs)]]="",1,(1-DegradationRate)^expected_production[[#This Row],[Age (yrs)]])</f>
        <v>0.99677417978857319</v>
      </c>
      <c r="G126" s="52">
        <f>IF(expected_production[[#This Row],[Base Expected (kWh)]]="","",expected_production[[#This Row],[Base Expected (kWh)]]*expected_production[[#This Row],[Degradation Factor]])</f>
        <v>5406.8021834271576</v>
      </c>
    </row>
    <row r="127" spans="1:7" ht="15" hidden="1" customHeight="1" x14ac:dyDescent="0.3">
      <c r="A127" t="s">
        <v>64</v>
      </c>
      <c r="B127" s="2">
        <v>45809</v>
      </c>
      <c r="C127" s="52">
        <v>4787.1000000000004</v>
      </c>
      <c r="D127" s="48">
        <f>_xlfn.XLOOKUP(expected_production[[#This Row],[Site Name]],Table1[[Site Name ]],Table1[Commisioned Date],"")</f>
        <v>45610</v>
      </c>
      <c r="E127" s="47">
        <f>IF(ISNUMBER(expected_production[[#This Row],[Commissioned Date]]),MAX(0,(expected_production[[#This Row],[Date]]-expected_production[[#This Row],[Commissioned Date]])/365.25),"")</f>
        <v>0.54483230663928817</v>
      </c>
      <c r="F127" s="49">
        <f>IF(expected_production[[#This Row],[Age (yrs)]]="",1,(1-DegradationRate)^expected_production[[#This Row],[Age (yrs)]])</f>
        <v>0.99618007737831227</v>
      </c>
      <c r="G127" s="52">
        <f>IF(expected_production[[#This Row],[Base Expected (kWh)]]="","",expected_production[[#This Row],[Base Expected (kWh)]]*expected_production[[#This Row],[Degradation Factor]])</f>
        <v>4768.8136484177194</v>
      </c>
    </row>
    <row r="128" spans="1:7" ht="15" hidden="1" customHeight="1" x14ac:dyDescent="0.3">
      <c r="A128" t="s">
        <v>64</v>
      </c>
      <c r="B128" s="2">
        <v>45839</v>
      </c>
      <c r="C128" s="52">
        <v>5360.4</v>
      </c>
      <c r="D128" s="48">
        <f>_xlfn.XLOOKUP(expected_production[[#This Row],[Site Name]],Table1[[Site Name ]],Table1[Commisioned Date],"")</f>
        <v>45610</v>
      </c>
      <c r="E128" s="47">
        <f>IF(ISNUMBER(expected_production[[#This Row],[Commissioned Date]]),MAX(0,(expected_production[[#This Row],[Date]]-expected_production[[#This Row],[Commissioned Date]])/365.25),"")</f>
        <v>0.6269678302532512</v>
      </c>
      <c r="F128" s="49">
        <f>IF(expected_production[[#This Row],[Age (yrs)]]="",1,(1-DegradationRate)^expected_production[[#This Row],[Age (yrs)]])</f>
        <v>0.99560547671439581</v>
      </c>
      <c r="G128" s="52">
        <f>IF(expected_production[[#This Row],[Base Expected (kWh)]]="","",expected_production[[#This Row],[Base Expected (kWh)]]*expected_production[[#This Row],[Degradation Factor]])</f>
        <v>5336.8435973798469</v>
      </c>
    </row>
    <row r="129" spans="1:7" ht="15" hidden="1" customHeight="1" x14ac:dyDescent="0.3">
      <c r="A129" t="s">
        <v>64</v>
      </c>
      <c r="B129" s="2">
        <v>45870</v>
      </c>
      <c r="C129" s="52">
        <v>6363</v>
      </c>
      <c r="D129" s="48">
        <f>_xlfn.XLOOKUP(expected_production[[#This Row],[Site Name]],Table1[[Site Name ]],Table1[Commisioned Date],"")</f>
        <v>45610</v>
      </c>
      <c r="E129" s="47">
        <f>IF(ISNUMBER(expected_production[[#This Row],[Commissioned Date]]),MAX(0,(expected_production[[#This Row],[Date]]-expected_production[[#This Row],[Commissioned Date]])/365.25),"")</f>
        <v>0.7118412046543463</v>
      </c>
      <c r="F129" s="49">
        <f>IF(expected_production[[#This Row],[Age (yrs)]]="",1,(1-DegradationRate)^expected_production[[#This Row],[Age (yrs)]])</f>
        <v>0.99501207088047827</v>
      </c>
      <c r="G129" s="52">
        <f>IF(expected_production[[#This Row],[Base Expected (kWh)]]="","",expected_production[[#This Row],[Base Expected (kWh)]]*expected_production[[#This Row],[Degradation Factor]])</f>
        <v>6331.2618070124836</v>
      </c>
    </row>
    <row r="130" spans="1:7" ht="15" hidden="1" customHeight="1" x14ac:dyDescent="0.3">
      <c r="A130" t="s">
        <v>64</v>
      </c>
      <c r="B130" s="2">
        <v>45901</v>
      </c>
      <c r="C130" s="52">
        <v>7218.9</v>
      </c>
      <c r="D130" s="48">
        <f>_xlfn.XLOOKUP(expected_production[[#This Row],[Site Name]],Table1[[Site Name ]],Table1[Commisioned Date],"")</f>
        <v>45610</v>
      </c>
      <c r="E130" s="47">
        <f>IF(ISNUMBER(expected_production[[#This Row],[Commissioned Date]]),MAX(0,(expected_production[[#This Row],[Date]]-expected_production[[#This Row],[Commissioned Date]])/365.25),"")</f>
        <v>0.79671457905544152</v>
      </c>
      <c r="F130" s="49">
        <f>IF(expected_production[[#This Row],[Age (yrs)]]="",1,(1-DegradationRate)^expected_production[[#This Row],[Age (yrs)]])</f>
        <v>0.99441901873132033</v>
      </c>
      <c r="G130" s="52">
        <f>IF(expected_production[[#This Row],[Base Expected (kWh)]]="","",expected_production[[#This Row],[Base Expected (kWh)]]*expected_production[[#This Row],[Degradation Factor]])</f>
        <v>7178.6114543195281</v>
      </c>
    </row>
    <row r="131" spans="1:7" ht="15" hidden="1" customHeight="1" x14ac:dyDescent="0.3">
      <c r="A131" t="s">
        <v>64</v>
      </c>
      <c r="B131" s="2">
        <v>45931</v>
      </c>
      <c r="C131" s="52">
        <v>7839</v>
      </c>
      <c r="D131" s="48">
        <f>_xlfn.XLOOKUP(expected_production[[#This Row],[Site Name]],Table1[[Site Name ]],Table1[Commisioned Date],"")</f>
        <v>45610</v>
      </c>
      <c r="E131" s="47">
        <f>IF(ISNUMBER(expected_production[[#This Row],[Commissioned Date]]),MAX(0,(expected_production[[#This Row],[Date]]-expected_production[[#This Row],[Commissioned Date]])/365.25),"")</f>
        <v>0.87885010266940455</v>
      </c>
      <c r="F131" s="49">
        <f>IF(expected_production[[#This Row],[Age (yrs)]]="",1,(1-DegradationRate)^expected_production[[#This Row],[Age (yrs)]])</f>
        <v>0.99384543385309432</v>
      </c>
      <c r="G131" s="52">
        <f>IF(expected_production[[#This Row],[Base Expected (kWh)]]="","",expected_production[[#This Row],[Base Expected (kWh)]]*expected_production[[#This Row],[Degradation Factor]])</f>
        <v>7790.7543559744063</v>
      </c>
    </row>
    <row r="132" spans="1:7" ht="15" hidden="1" customHeight="1" x14ac:dyDescent="0.3">
      <c r="A132" t="s">
        <v>64</v>
      </c>
      <c r="B132" s="2">
        <v>45962</v>
      </c>
      <c r="C132" s="52">
        <v>8191.8</v>
      </c>
      <c r="D132" s="48">
        <f>_xlfn.XLOOKUP(expected_production[[#This Row],[Site Name]],Table1[[Site Name ]],Table1[Commisioned Date],"")</f>
        <v>45610</v>
      </c>
      <c r="E132" s="47">
        <f>IF(ISNUMBER(expected_production[[#This Row],[Commissioned Date]]),MAX(0,(expected_production[[#This Row],[Date]]-expected_production[[#This Row],[Commissioned Date]])/365.25),"")</f>
        <v>0.96372347707049966</v>
      </c>
      <c r="F132" s="49">
        <f>IF(expected_production[[#This Row],[Age (yrs)]]="",1,(1-DegradationRate)^expected_production[[#This Row],[Age (yrs)]])</f>
        <v>0.99325307704886401</v>
      </c>
      <c r="G132" s="52">
        <f>IF(expected_production[[#This Row],[Base Expected (kWh)]]="","",expected_production[[#This Row],[Base Expected (kWh)]]*expected_production[[#This Row],[Degradation Factor]])</f>
        <v>8136.5305565688841</v>
      </c>
    </row>
    <row r="133" spans="1:7" ht="15" hidden="1" customHeight="1" x14ac:dyDescent="0.3">
      <c r="A133" t="s">
        <v>64</v>
      </c>
      <c r="B133" s="2">
        <v>45992</v>
      </c>
      <c r="C133" s="52">
        <v>8227.7999999999993</v>
      </c>
      <c r="D133" s="48">
        <f>_xlfn.XLOOKUP(expected_production[[#This Row],[Site Name]],Table1[[Site Name ]],Table1[Commisioned Date],"")</f>
        <v>45610</v>
      </c>
      <c r="E133" s="47">
        <f>IF(ISNUMBER(expected_production[[#This Row],[Commissioned Date]]),MAX(0,(expected_production[[#This Row],[Date]]-expected_production[[#This Row],[Commissioned Date]])/365.25),"")</f>
        <v>1.0458590006844628</v>
      </c>
      <c r="F133" s="49">
        <f>IF(expected_production[[#This Row],[Age (yrs)]]="",1,(1-DegradationRate)^expected_production[[#This Row],[Age (yrs)]])</f>
        <v>0.99268016469047649</v>
      </c>
      <c r="G133" s="52">
        <f>IF(expected_production[[#This Row],[Base Expected (kWh)]]="","",expected_production[[#This Row],[Base Expected (kWh)]]*expected_production[[#This Row],[Degradation Factor]])</f>
        <v>8167.5738590403016</v>
      </c>
    </row>
    <row r="134" spans="1:7" ht="15" hidden="1" customHeight="1" x14ac:dyDescent="0.3">
      <c r="A134" t="s">
        <v>64</v>
      </c>
      <c r="B134" s="2">
        <v>46023</v>
      </c>
      <c r="C134" s="52">
        <v>8151.3</v>
      </c>
      <c r="D134" s="48">
        <f>_xlfn.XLOOKUP(expected_production[[#This Row],[Site Name]],Table1[[Site Name ]],Table1[Commisioned Date],"")</f>
        <v>45610</v>
      </c>
      <c r="E134" s="47">
        <f>IF(ISNUMBER(expected_production[[#This Row],[Commissioned Date]]),MAX(0,(expected_production[[#This Row],[Date]]-expected_production[[#This Row],[Commissioned Date]])/365.25),"")</f>
        <v>1.1307323750855578</v>
      </c>
      <c r="F134" s="49">
        <f>IF(expected_production[[#This Row],[Age (yrs)]]="",1,(1-DegradationRate)^expected_production[[#This Row],[Age (yrs)]])</f>
        <v>0.99208850241589208</v>
      </c>
      <c r="G134" s="52">
        <f>IF(expected_production[[#This Row],[Base Expected (kWh)]]="","",expected_production[[#This Row],[Base Expected (kWh)]]*expected_production[[#This Row],[Degradation Factor]])</f>
        <v>8086.8110097426616</v>
      </c>
    </row>
    <row r="135" spans="1:7" ht="15" hidden="1" customHeight="1" x14ac:dyDescent="0.3">
      <c r="A135" t="s">
        <v>64</v>
      </c>
      <c r="B135" s="2">
        <v>46054</v>
      </c>
      <c r="C135" s="52">
        <v>7235.1</v>
      </c>
      <c r="D135" s="48">
        <f>_xlfn.XLOOKUP(expected_production[[#This Row],[Site Name]],Table1[[Site Name ]],Table1[Commisioned Date],"")</f>
        <v>45610</v>
      </c>
      <c r="E135" s="47">
        <f>IF(ISNUMBER(expected_production[[#This Row],[Commissioned Date]]),MAX(0,(expected_production[[#This Row],[Date]]-expected_production[[#This Row],[Commissioned Date]])/365.25),"")</f>
        <v>1.215605749486653</v>
      </c>
      <c r="F135" s="49">
        <f>IF(expected_production[[#This Row],[Age (yrs)]]="",1,(1-DegradationRate)^expected_production[[#This Row],[Age (yrs)]])</f>
        <v>0.99149719278686221</v>
      </c>
      <c r="G135" s="52">
        <f>IF(expected_production[[#This Row],[Base Expected (kWh)]]="","",expected_production[[#This Row],[Base Expected (kWh)]]*expected_production[[#This Row],[Degradation Factor]])</f>
        <v>7173.5813395322275</v>
      </c>
    </row>
    <row r="136" spans="1:7" ht="15" hidden="1" customHeight="1" x14ac:dyDescent="0.3">
      <c r="A136" t="s">
        <v>64</v>
      </c>
      <c r="B136" s="2">
        <v>46082</v>
      </c>
      <c r="C136" s="52">
        <v>7075.8</v>
      </c>
      <c r="D136" s="48">
        <f>_xlfn.XLOOKUP(expected_production[[#This Row],[Site Name]],Table1[[Site Name ]],Table1[Commisioned Date],"")</f>
        <v>45610</v>
      </c>
      <c r="E136" s="47">
        <f>IF(ISNUMBER(expected_production[[#This Row],[Commissioned Date]]),MAX(0,(expected_production[[#This Row],[Date]]-expected_production[[#This Row],[Commissioned Date]])/365.25),"")</f>
        <v>1.2922655715263518</v>
      </c>
      <c r="F136" s="49">
        <f>IF(expected_production[[#This Row],[Age (yrs)]]="",1,(1-DegradationRate)^expected_production[[#This Row],[Age (yrs)]])</f>
        <v>0.99096340960186202</v>
      </c>
      <c r="G136" s="52">
        <f>IF(expected_production[[#This Row],[Base Expected (kWh)]]="","",expected_production[[#This Row],[Base Expected (kWh)]]*expected_production[[#This Row],[Degradation Factor]])</f>
        <v>7011.8588936608558</v>
      </c>
    </row>
    <row r="137" spans="1:7" ht="15" hidden="1" customHeight="1" x14ac:dyDescent="0.3">
      <c r="A137" t="s">
        <v>64</v>
      </c>
      <c r="B137" s="2">
        <v>46113</v>
      </c>
      <c r="C137" s="52">
        <v>5754.6</v>
      </c>
      <c r="D137" s="48">
        <f>_xlfn.XLOOKUP(expected_production[[#This Row],[Site Name]],Table1[[Site Name ]],Table1[Commisioned Date],"")</f>
        <v>45610</v>
      </c>
      <c r="E137" s="47">
        <f>IF(ISNUMBER(expected_production[[#This Row],[Commissioned Date]]),MAX(0,(expected_production[[#This Row],[Date]]-expected_production[[#This Row],[Commissioned Date]])/365.25),"")</f>
        <v>1.377138945927447</v>
      </c>
      <c r="F137" s="49">
        <f>IF(expected_production[[#This Row],[Age (yrs)]]="",1,(1-DegradationRate)^expected_production[[#This Row],[Age (yrs)]])</f>
        <v>0.99037277055636663</v>
      </c>
      <c r="G137" s="52">
        <f>IF(expected_production[[#This Row],[Base Expected (kWh)]]="","",expected_production[[#This Row],[Base Expected (kWh)]]*expected_production[[#This Row],[Degradation Factor]])</f>
        <v>5699.1991454436675</v>
      </c>
    </row>
    <row r="138" spans="1:7" ht="15" hidden="1" customHeight="1" x14ac:dyDescent="0.3">
      <c r="A138" t="s">
        <v>64</v>
      </c>
      <c r="B138" s="2">
        <v>46143</v>
      </c>
      <c r="C138" s="52">
        <v>5424.3</v>
      </c>
      <c r="D138" s="48">
        <f>_xlfn.XLOOKUP(expected_production[[#This Row],[Site Name]],Table1[[Site Name ]],Table1[Commisioned Date],"")</f>
        <v>45610</v>
      </c>
      <c r="E138" s="47">
        <f>IF(ISNUMBER(expected_production[[#This Row],[Commissioned Date]]),MAX(0,(expected_production[[#This Row],[Date]]-expected_production[[#This Row],[Commissioned Date]])/365.25),"")</f>
        <v>1.4592744695414099</v>
      </c>
      <c r="F138" s="49">
        <f>IF(expected_production[[#This Row],[Age (yrs)]]="",1,(1-DegradationRate)^expected_production[[#This Row],[Age (yrs)]])</f>
        <v>0.98980151957031581</v>
      </c>
      <c r="G138" s="52">
        <f>IF(expected_production[[#This Row],[Base Expected (kWh)]]="","",expected_production[[#This Row],[Base Expected (kWh)]]*expected_production[[#This Row],[Degradation Factor]])</f>
        <v>5368.9803826052639</v>
      </c>
    </row>
    <row r="139" spans="1:7" ht="15" hidden="1" customHeight="1" x14ac:dyDescent="0.3">
      <c r="A139" t="s">
        <v>64</v>
      </c>
      <c r="B139" s="2">
        <v>46174</v>
      </c>
      <c r="C139" s="52">
        <v>4787.1000000000004</v>
      </c>
      <c r="D139" s="48">
        <f>_xlfn.XLOOKUP(expected_production[[#This Row],[Site Name]],Table1[[Site Name ]],Table1[Commisioned Date],"")</f>
        <v>45610</v>
      </c>
      <c r="E139" s="47">
        <f>IF(ISNUMBER(expected_production[[#This Row],[Commissioned Date]]),MAX(0,(expected_production[[#This Row],[Date]]-expected_production[[#This Row],[Commissioned Date]])/365.25),"")</f>
        <v>1.5441478439425051</v>
      </c>
      <c r="F139" s="49">
        <f>IF(expected_production[[#This Row],[Age (yrs)]]="",1,(1-DegradationRate)^expected_production[[#This Row],[Age (yrs)]])</f>
        <v>0.98921157304041951</v>
      </c>
      <c r="G139" s="52">
        <f>IF(expected_production[[#This Row],[Base Expected (kWh)]]="","",expected_production[[#This Row],[Base Expected (kWh)]]*expected_production[[#This Row],[Degradation Factor]])</f>
        <v>4735.4547213017922</v>
      </c>
    </row>
    <row r="140" spans="1:7" ht="15" hidden="1" customHeight="1" x14ac:dyDescent="0.3">
      <c r="A140" t="s">
        <v>64</v>
      </c>
      <c r="B140" s="2">
        <v>46204</v>
      </c>
      <c r="C140" s="52">
        <v>5360.4</v>
      </c>
      <c r="D140" s="48">
        <f>_xlfn.XLOOKUP(expected_production[[#This Row],[Site Name]],Table1[[Site Name ]],Table1[Commisioned Date],"")</f>
        <v>45610</v>
      </c>
      <c r="E140" s="47">
        <f>IF(ISNUMBER(expected_production[[#This Row],[Commissioned Date]]),MAX(0,(expected_production[[#This Row],[Date]]-expected_production[[#This Row],[Commissioned Date]])/365.25),"")</f>
        <v>1.6262833675564681</v>
      </c>
      <c r="F140" s="49">
        <f>IF(expected_production[[#This Row],[Age (yrs)]]="",1,(1-DegradationRate)^expected_production[[#This Row],[Age (yrs)]])</f>
        <v>0.988640991837753</v>
      </c>
      <c r="G140" s="52">
        <f>IF(expected_production[[#This Row],[Base Expected (kWh)]]="","",expected_production[[#This Row],[Base Expected (kWh)]]*expected_production[[#This Row],[Degradation Factor]])</f>
        <v>5299.5111726470905</v>
      </c>
    </row>
    <row r="141" spans="1:7" ht="15" hidden="1" customHeight="1" x14ac:dyDescent="0.3">
      <c r="A141" t="s">
        <v>64</v>
      </c>
      <c r="B141" s="2">
        <v>46235</v>
      </c>
      <c r="C141" s="52">
        <v>6363</v>
      </c>
      <c r="D141" s="48">
        <f>_xlfn.XLOOKUP(expected_production[[#This Row],[Site Name]],Table1[[Site Name ]],Table1[Commisioned Date],"")</f>
        <v>45610</v>
      </c>
      <c r="E141" s="47">
        <f>IF(ISNUMBER(expected_production[[#This Row],[Commissioned Date]]),MAX(0,(expected_production[[#This Row],[Date]]-expected_production[[#This Row],[Commissioned Date]])/365.25),"")</f>
        <v>1.7111567419575633</v>
      </c>
      <c r="F141" s="49">
        <f>IF(expected_production[[#This Row],[Age (yrs)]]="",1,(1-DegradationRate)^expected_production[[#This Row],[Age (yrs)]])</f>
        <v>0.98805173701149118</v>
      </c>
      <c r="G141" s="52">
        <f>IF(expected_production[[#This Row],[Base Expected (kWh)]]="","",expected_production[[#This Row],[Base Expected (kWh)]]*expected_production[[#This Row],[Degradation Factor]])</f>
        <v>6286.9732026041183</v>
      </c>
    </row>
    <row r="142" spans="1:7" ht="15" hidden="1" customHeight="1" x14ac:dyDescent="0.3">
      <c r="A142" t="s">
        <v>64</v>
      </c>
      <c r="B142" s="2">
        <v>46266</v>
      </c>
      <c r="C142" s="52">
        <v>7218.9</v>
      </c>
      <c r="D142" s="48">
        <f>_xlfn.XLOOKUP(expected_production[[#This Row],[Site Name]],Table1[[Site Name ]],Table1[Commisioned Date],"")</f>
        <v>45610</v>
      </c>
      <c r="E142" s="47">
        <f>IF(ISNUMBER(expected_production[[#This Row],[Commissioned Date]]),MAX(0,(expected_production[[#This Row],[Date]]-expected_production[[#This Row],[Commissioned Date]])/365.25),"")</f>
        <v>1.7960301163586585</v>
      </c>
      <c r="F142" s="49">
        <f>IF(expected_production[[#This Row],[Age (yrs)]]="",1,(1-DegradationRate)^expected_production[[#This Row],[Age (yrs)]])</f>
        <v>0.98746283339588448</v>
      </c>
      <c r="G142" s="52">
        <f>IF(expected_production[[#This Row],[Base Expected (kWh)]]="","",expected_production[[#This Row],[Base Expected (kWh)]]*expected_production[[#This Row],[Degradation Factor]])</f>
        <v>7128.39544800155</v>
      </c>
    </row>
    <row r="143" spans="1:7" ht="15" hidden="1" customHeight="1" x14ac:dyDescent="0.3">
      <c r="A143" t="s">
        <v>64</v>
      </c>
      <c r="B143" s="2">
        <v>46296</v>
      </c>
      <c r="C143" s="52">
        <v>7839</v>
      </c>
      <c r="D143" s="48">
        <f>_xlfn.XLOOKUP(expected_production[[#This Row],[Site Name]],Table1[[Site Name ]],Table1[Commisioned Date],"")</f>
        <v>45610</v>
      </c>
      <c r="E143" s="47">
        <f>IF(ISNUMBER(expected_production[[#This Row],[Commissioned Date]]),MAX(0,(expected_production[[#This Row],[Date]]-expected_production[[#This Row],[Commissioned Date]])/365.25),"")</f>
        <v>1.8781656399726214</v>
      </c>
      <c r="F143" s="49">
        <f>IF(expected_production[[#This Row],[Age (yrs)]]="",1,(1-DegradationRate)^expected_production[[#This Row],[Age (yrs)]])</f>
        <v>0.98689326087325846</v>
      </c>
      <c r="G143" s="52">
        <f>IF(expected_production[[#This Row],[Base Expected (kWh)]]="","",expected_production[[#This Row],[Base Expected (kWh)]]*expected_production[[#This Row],[Degradation Factor]])</f>
        <v>7736.2562719854732</v>
      </c>
    </row>
    <row r="144" spans="1:7" ht="15" hidden="1" customHeight="1" x14ac:dyDescent="0.3">
      <c r="A144" t="s">
        <v>64</v>
      </c>
      <c r="B144" s="2">
        <v>46327</v>
      </c>
      <c r="C144" s="52">
        <v>8191.8</v>
      </c>
      <c r="D144" s="48">
        <f>_xlfn.XLOOKUP(expected_production[[#This Row],[Site Name]],Table1[[Site Name ]],Table1[Commisioned Date],"")</f>
        <v>45610</v>
      </c>
      <c r="E144" s="47">
        <f>IF(ISNUMBER(expected_production[[#This Row],[Commissioned Date]]),MAX(0,(expected_production[[#This Row],[Date]]-expected_production[[#This Row],[Commissioned Date]])/365.25),"")</f>
        <v>1.9630390143737166</v>
      </c>
      <c r="F144" s="49">
        <f>IF(expected_production[[#This Row],[Age (yrs)]]="",1,(1-DegradationRate)^expected_production[[#This Row],[Age (yrs)]])</f>
        <v>0.98630504773848471</v>
      </c>
      <c r="G144" s="52">
        <f>IF(expected_production[[#This Row],[Base Expected (kWh)]]="","",expected_production[[#This Row],[Base Expected (kWh)]]*expected_production[[#This Row],[Degradation Factor]])</f>
        <v>8079.6136900641195</v>
      </c>
    </row>
    <row r="145" spans="1:7" ht="15" hidden="1" customHeight="1" x14ac:dyDescent="0.3">
      <c r="A145" t="s">
        <v>64</v>
      </c>
      <c r="B145" s="2">
        <v>46357</v>
      </c>
      <c r="C145" s="52">
        <v>8227.7999999999993</v>
      </c>
      <c r="D145" s="48">
        <f>_xlfn.XLOOKUP(expected_production[[#This Row],[Site Name]],Table1[[Site Name ]],Table1[Commisioned Date],"")</f>
        <v>45610</v>
      </c>
      <c r="E145" s="47">
        <f>IF(ISNUMBER(expected_production[[#This Row],[Commissioned Date]]),MAX(0,(expected_production[[#This Row],[Date]]-expected_production[[#This Row],[Commissioned Date]])/365.25),"")</f>
        <v>2.0451745379876796</v>
      </c>
      <c r="F145" s="49">
        <f>IF(expected_production[[#This Row],[Age (yrs)]]="",1,(1-DegradationRate)^expected_production[[#This Row],[Age (yrs)]])</f>
        <v>0.98573614303126922</v>
      </c>
      <c r="G145" s="52">
        <f>IF(expected_production[[#This Row],[Base Expected (kWh)]]="","",expected_production[[#This Row],[Base Expected (kWh)]]*expected_production[[#This Row],[Degradation Factor]])</f>
        <v>8110.4398376326762</v>
      </c>
    </row>
    <row r="146" spans="1:7" ht="15" hidden="1" customHeight="1" x14ac:dyDescent="0.3">
      <c r="A146" t="s">
        <v>55</v>
      </c>
      <c r="B146" s="2">
        <v>45292</v>
      </c>
      <c r="C146" s="52">
        <v>16262.2</v>
      </c>
      <c r="D146" s="48">
        <f>_xlfn.XLOOKUP(expected_production[[#This Row],[Site Name]],Table1[[Site Name ]],Table1[Commisioned Date],"")</f>
        <v>44908</v>
      </c>
      <c r="E146" s="47">
        <f>IF(ISNUMBER(expected_production[[#This Row],[Commissioned Date]]),MAX(0,(expected_production[[#This Row],[Date]]-expected_production[[#This Row],[Commissioned Date]])/365.25),"")</f>
        <v>1.0513347022587269</v>
      </c>
      <c r="F146" s="49">
        <f>IF(expected_production[[#This Row],[Age (yrs)]]="",1,(1-DegradationRate)^expected_production[[#This Row],[Age (yrs)]])</f>
        <v>0.99264198228498268</v>
      </c>
      <c r="G146" s="52">
        <f>IF(expected_production[[#This Row],[Base Expected (kWh)]]="","",expected_production[[#This Row],[Base Expected (kWh)]]*expected_production[[#This Row],[Degradation Factor]])</f>
        <v>16142.542444314846</v>
      </c>
    </row>
    <row r="147" spans="1:7" ht="15" hidden="1" customHeight="1" x14ac:dyDescent="0.3">
      <c r="A147" t="s">
        <v>55</v>
      </c>
      <c r="B147" s="2">
        <v>45323</v>
      </c>
      <c r="C147" s="52">
        <v>13986.75</v>
      </c>
      <c r="D147" s="48">
        <f>_xlfn.XLOOKUP(expected_production[[#This Row],[Site Name]],Table1[[Site Name ]],Table1[Commisioned Date],"")</f>
        <v>44908</v>
      </c>
      <c r="E147" s="47">
        <f>IF(ISNUMBER(expected_production[[#This Row],[Commissioned Date]]),MAX(0,(expected_production[[#This Row],[Date]]-expected_production[[#This Row],[Commissioned Date]])/365.25),"")</f>
        <v>1.1362080766598219</v>
      </c>
      <c r="F147" s="49">
        <f>IF(expected_production[[#This Row],[Age (yrs)]]="",1,(1-DegradationRate)^expected_production[[#This Row],[Age (yrs)]])</f>
        <v>0.99205034276806958</v>
      </c>
      <c r="G147" s="52">
        <f>IF(expected_production[[#This Row],[Base Expected (kWh)]]="","",expected_production[[#This Row],[Base Expected (kWh)]]*expected_production[[#This Row],[Degradation Factor]])</f>
        <v>13875.560131711298</v>
      </c>
    </row>
    <row r="148" spans="1:7" ht="15" hidden="1" customHeight="1" x14ac:dyDescent="0.3">
      <c r="A148" t="s">
        <v>55</v>
      </c>
      <c r="B148" s="2">
        <v>45352</v>
      </c>
      <c r="C148" s="52">
        <v>15463.2</v>
      </c>
      <c r="D148" s="48">
        <f>_xlfn.XLOOKUP(expected_production[[#This Row],[Site Name]],Table1[[Site Name ]],Table1[Commisioned Date],"")</f>
        <v>44908</v>
      </c>
      <c r="E148" s="47">
        <f>IF(ISNUMBER(expected_production[[#This Row],[Commissioned Date]]),MAX(0,(expected_production[[#This Row],[Date]]-expected_production[[#This Row],[Commissioned Date]])/365.25),"")</f>
        <v>1.215605749486653</v>
      </c>
      <c r="F148" s="49">
        <f>IF(expected_production[[#This Row],[Age (yrs)]]="",1,(1-DegradationRate)^expected_production[[#This Row],[Age (yrs)]])</f>
        <v>0.99149719278686221</v>
      </c>
      <c r="G148" s="52">
        <f>IF(expected_production[[#This Row],[Base Expected (kWh)]]="","",expected_production[[#This Row],[Base Expected (kWh)]]*expected_production[[#This Row],[Degradation Factor]])</f>
        <v>15331.719391501809</v>
      </c>
    </row>
    <row r="149" spans="1:7" ht="15" hidden="1" customHeight="1" x14ac:dyDescent="0.3">
      <c r="A149" t="s">
        <v>55</v>
      </c>
      <c r="B149" s="2">
        <v>45383</v>
      </c>
      <c r="C149" s="52">
        <v>14886.05</v>
      </c>
      <c r="D149" s="48">
        <f>_xlfn.XLOOKUP(expected_production[[#This Row],[Site Name]],Table1[[Site Name ]],Table1[Commisioned Date],"")</f>
        <v>44908</v>
      </c>
      <c r="E149" s="47">
        <f>IF(ISNUMBER(expected_production[[#This Row],[Commissioned Date]]),MAX(0,(expected_production[[#This Row],[Date]]-expected_production[[#This Row],[Commissioned Date]])/365.25),"")</f>
        <v>1.3004791238877482</v>
      </c>
      <c r="F149" s="49">
        <f>IF(expected_production[[#This Row],[Age (yrs)]]="",1,(1-DegradationRate)^expected_production[[#This Row],[Age (yrs)]])</f>
        <v>0.99090623559320123</v>
      </c>
      <c r="G149" s="52">
        <f>IF(expected_production[[#This Row],[Base Expected (kWh)]]="","",expected_production[[#This Row],[Base Expected (kWh)]]*expected_production[[#This Row],[Degradation Factor]])</f>
        <v>14750.679768352173</v>
      </c>
    </row>
    <row r="150" spans="1:7" ht="15" hidden="1" customHeight="1" x14ac:dyDescent="0.3">
      <c r="A150" t="s">
        <v>55</v>
      </c>
      <c r="B150" s="2">
        <v>45413</v>
      </c>
      <c r="C150" s="52">
        <v>14411.75</v>
      </c>
      <c r="D150" s="48">
        <f>_xlfn.XLOOKUP(expected_production[[#This Row],[Site Name]],Table1[[Site Name ]],Table1[Commisioned Date],"")</f>
        <v>44908</v>
      </c>
      <c r="E150" s="47">
        <f>IF(ISNUMBER(expected_production[[#This Row],[Commissioned Date]]),MAX(0,(expected_production[[#This Row],[Date]]-expected_production[[#This Row],[Commissioned Date]])/365.25),"")</f>
        <v>1.3826146475017111</v>
      </c>
      <c r="F150" s="49">
        <f>IF(expected_production[[#This Row],[Age (yrs)]]="",1,(1-DegradationRate)^expected_production[[#This Row],[Age (yrs)]])</f>
        <v>0.99033467690237775</v>
      </c>
      <c r="G150" s="52">
        <f>IF(expected_production[[#This Row],[Base Expected (kWh)]]="","",expected_production[[#This Row],[Base Expected (kWh)]]*expected_production[[#This Row],[Degradation Factor]])</f>
        <v>14272.455779847842</v>
      </c>
    </row>
    <row r="151" spans="1:7" ht="15" hidden="1" customHeight="1" x14ac:dyDescent="0.3">
      <c r="A151" t="s">
        <v>55</v>
      </c>
      <c r="B151" s="2">
        <v>45444</v>
      </c>
      <c r="C151" s="52">
        <v>13050.05</v>
      </c>
      <c r="D151" s="48">
        <f>_xlfn.XLOOKUP(expected_production[[#This Row],[Site Name]],Table1[[Site Name ]],Table1[Commisioned Date],"")</f>
        <v>44908</v>
      </c>
      <c r="E151" s="47">
        <f>IF(ISNUMBER(expected_production[[#This Row],[Commissioned Date]]),MAX(0,(expected_production[[#This Row],[Date]]-expected_production[[#This Row],[Commissioned Date]])/365.25),"")</f>
        <v>1.4674880219028064</v>
      </c>
      <c r="F151" s="49">
        <f>IF(expected_production[[#This Row],[Age (yrs)]]="",1,(1-DegradationRate)^expected_production[[#This Row],[Age (yrs)]])</f>
        <v>0.98974441259733981</v>
      </c>
      <c r="G151" s="52">
        <f>IF(expected_production[[#This Row],[Base Expected (kWh)]]="","",expected_production[[#This Row],[Base Expected (kWh)]]*expected_production[[#This Row],[Degradation Factor]])</f>
        <v>12916.214071615914</v>
      </c>
    </row>
    <row r="152" spans="1:7" ht="15" hidden="1" customHeight="1" x14ac:dyDescent="0.3">
      <c r="A152" t="s">
        <v>55</v>
      </c>
      <c r="B152" s="2">
        <v>45474</v>
      </c>
      <c r="C152" s="52">
        <v>13735.15</v>
      </c>
      <c r="D152" s="48">
        <f>_xlfn.XLOOKUP(expected_production[[#This Row],[Site Name]],Table1[[Site Name ]],Table1[Commisioned Date],"")</f>
        <v>44908</v>
      </c>
      <c r="E152" s="47">
        <f>IF(ISNUMBER(expected_production[[#This Row],[Commissioned Date]]),MAX(0,(expected_production[[#This Row],[Date]]-expected_production[[#This Row],[Commissioned Date]])/365.25),"")</f>
        <v>1.5496235455167693</v>
      </c>
      <c r="F152" s="49">
        <f>IF(expected_production[[#This Row],[Age (yrs)]]="",1,(1-DegradationRate)^expected_production[[#This Row],[Age (yrs)]])</f>
        <v>0.98917352405067993</v>
      </c>
      <c r="G152" s="52">
        <f>IF(expected_production[[#This Row],[Base Expected (kWh)]]="","",expected_production[[#This Row],[Base Expected (kWh)]]*expected_production[[#This Row],[Degradation Factor]])</f>
        <v>13586.446728864696</v>
      </c>
    </row>
    <row r="153" spans="1:7" ht="15" hidden="1" customHeight="1" x14ac:dyDescent="0.3">
      <c r="A153" t="s">
        <v>55</v>
      </c>
      <c r="B153" s="2">
        <v>45505</v>
      </c>
      <c r="C153" s="52">
        <v>15350.15</v>
      </c>
      <c r="D153" s="48">
        <f>_xlfn.XLOOKUP(expected_production[[#This Row],[Site Name]],Table1[[Site Name ]],Table1[Commisioned Date],"")</f>
        <v>44908</v>
      </c>
      <c r="E153" s="47">
        <f>IF(ISNUMBER(expected_production[[#This Row],[Commissioned Date]]),MAX(0,(expected_production[[#This Row],[Date]]-expected_production[[#This Row],[Commissioned Date]])/365.25),"")</f>
        <v>1.6344969199178645</v>
      </c>
      <c r="F153" s="49">
        <f>IF(expected_production[[#This Row],[Age (yrs)]]="",1,(1-DegradationRate)^expected_production[[#This Row],[Age (yrs)]])</f>
        <v>0.98858395182186332</v>
      </c>
      <c r="G153" s="52">
        <f>IF(expected_production[[#This Row],[Base Expected (kWh)]]="","",expected_production[[#This Row],[Base Expected (kWh)]]*expected_production[[#This Row],[Degradation Factor]])</f>
        <v>15174.911948058374</v>
      </c>
    </row>
    <row r="154" spans="1:7" ht="15" hidden="1" customHeight="1" x14ac:dyDescent="0.3">
      <c r="A154" t="s">
        <v>55</v>
      </c>
      <c r="B154" s="2">
        <v>45536</v>
      </c>
      <c r="C154" s="52">
        <v>15431.75</v>
      </c>
      <c r="D154" s="48">
        <f>_xlfn.XLOOKUP(expected_production[[#This Row],[Site Name]],Table1[[Site Name ]],Table1[Commisioned Date],"")</f>
        <v>44908</v>
      </c>
      <c r="E154" s="47">
        <f>IF(ISNUMBER(expected_production[[#This Row],[Commissioned Date]]),MAX(0,(expected_production[[#This Row],[Date]]-expected_production[[#This Row],[Commissioned Date]])/365.25),"")</f>
        <v>1.7193702943189597</v>
      </c>
      <c r="F154" s="49">
        <f>IF(expected_production[[#This Row],[Age (yrs)]]="",1,(1-DegradationRate)^expected_production[[#This Row],[Age (yrs)]])</f>
        <v>0.98799473099288171</v>
      </c>
      <c r="G154" s="52">
        <f>IF(expected_production[[#This Row],[Base Expected (kWh)]]="","",expected_production[[#This Row],[Base Expected (kWh)]]*expected_production[[#This Row],[Degradation Factor]])</f>
        <v>15246.487689999401</v>
      </c>
    </row>
    <row r="155" spans="1:7" ht="15" hidden="1" customHeight="1" x14ac:dyDescent="0.3">
      <c r="A155" t="s">
        <v>55</v>
      </c>
      <c r="B155" s="2">
        <v>45566</v>
      </c>
      <c r="C155" s="52">
        <v>14821.45</v>
      </c>
      <c r="D155" s="48">
        <f>_xlfn.XLOOKUP(expected_production[[#This Row],[Site Name]],Table1[[Site Name ]],Table1[Commisioned Date],"")</f>
        <v>44908</v>
      </c>
      <c r="E155" s="47">
        <f>IF(ISNUMBER(expected_production[[#This Row],[Commissioned Date]]),MAX(0,(expected_production[[#This Row],[Date]]-expected_production[[#This Row],[Commissioned Date]])/365.25),"")</f>
        <v>1.8015058179329226</v>
      </c>
      <c r="F155" s="49">
        <f>IF(expected_production[[#This Row],[Age (yrs)]]="",1,(1-DegradationRate)^expected_production[[#This Row],[Age (yrs)]])</f>
        <v>0.98742485166958849</v>
      </c>
      <c r="G155" s="52">
        <f>IF(expected_production[[#This Row],[Base Expected (kWh)]]="","",expected_production[[#This Row],[Base Expected (kWh)]]*expected_production[[#This Row],[Degradation Factor]])</f>
        <v>14635.068067778224</v>
      </c>
    </row>
    <row r="156" spans="1:7" ht="15" hidden="1" customHeight="1" x14ac:dyDescent="0.3">
      <c r="A156" t="s">
        <v>55</v>
      </c>
      <c r="B156" s="2">
        <v>45597</v>
      </c>
      <c r="C156" s="52">
        <v>14695.65</v>
      </c>
      <c r="D156" s="48">
        <f>_xlfn.XLOOKUP(expected_production[[#This Row],[Site Name]],Table1[[Site Name ]],Table1[Commisioned Date],"")</f>
        <v>44908</v>
      </c>
      <c r="E156" s="47">
        <f>IF(ISNUMBER(expected_production[[#This Row],[Commissioned Date]]),MAX(0,(expected_production[[#This Row],[Date]]-expected_production[[#This Row],[Commissioned Date]])/365.25),"")</f>
        <v>1.8863791923340179</v>
      </c>
      <c r="F156" s="49">
        <f>IF(expected_production[[#This Row],[Age (yrs)]]="",1,(1-DegradationRate)^expected_production[[#This Row],[Age (yrs)]])</f>
        <v>0.98683632169336777</v>
      </c>
      <c r="G156" s="52">
        <f>IF(expected_production[[#This Row],[Base Expected (kWh)]]="","",expected_production[[#This Row],[Base Expected (kWh)]]*expected_production[[#This Row],[Degradation Factor]])</f>
        <v>14502.20119089314</v>
      </c>
    </row>
    <row r="157" spans="1:7" ht="15" hidden="1" customHeight="1" x14ac:dyDescent="0.3">
      <c r="A157" t="s">
        <v>55</v>
      </c>
      <c r="B157" s="2">
        <v>45627</v>
      </c>
      <c r="C157" s="52">
        <v>16154.25</v>
      </c>
      <c r="D157" s="48">
        <f>_xlfn.XLOOKUP(expected_production[[#This Row],[Site Name]],Table1[[Site Name ]],Table1[Commisioned Date],"")</f>
        <v>44908</v>
      </c>
      <c r="E157" s="47">
        <f>IF(ISNUMBER(expected_production[[#This Row],[Commissioned Date]]),MAX(0,(expected_production[[#This Row],[Date]]-expected_production[[#This Row],[Commissioned Date]])/365.25),"")</f>
        <v>1.9685147159479808</v>
      </c>
      <c r="F157" s="49">
        <f>IF(expected_production[[#This Row],[Age (yrs)]]="",1,(1-DegradationRate)^expected_production[[#This Row],[Age (yrs)]])</f>
        <v>0.98626711054520444</v>
      </c>
      <c r="G157" s="52">
        <f>IF(expected_production[[#This Row],[Base Expected (kWh)]]="","",expected_production[[#This Row],[Base Expected (kWh)]]*expected_production[[#This Row],[Degradation Factor]])</f>
        <v>15932.405470524869</v>
      </c>
    </row>
    <row r="158" spans="1:7" ht="15" hidden="1" customHeight="1" x14ac:dyDescent="0.3">
      <c r="A158" t="s">
        <v>55</v>
      </c>
      <c r="B158" s="2">
        <v>45658</v>
      </c>
      <c r="C158" s="52">
        <v>16262.2</v>
      </c>
      <c r="D158" s="48">
        <f>_xlfn.XLOOKUP(expected_production[[#This Row],[Site Name]],Table1[[Site Name ]],Table1[Commisioned Date],"")</f>
        <v>44908</v>
      </c>
      <c r="E158" s="47">
        <f>IF(ISNUMBER(expected_production[[#This Row],[Commissioned Date]]),MAX(0,(expected_production[[#This Row],[Date]]-expected_production[[#This Row],[Commissioned Date]])/365.25),"")</f>
        <v>2.0533880903490758</v>
      </c>
      <c r="F158" s="49">
        <f>IF(expected_production[[#This Row],[Age (yrs)]]="",1,(1-DegradationRate)^expected_production[[#This Row],[Age (yrs)]])</f>
        <v>0.98567927061173</v>
      </c>
      <c r="G158" s="52">
        <f>IF(expected_production[[#This Row],[Base Expected (kWh)]]="","",expected_production[[#This Row],[Base Expected (kWh)]]*expected_production[[#This Row],[Degradation Factor]])</f>
        <v>16029.313434542077</v>
      </c>
    </row>
    <row r="159" spans="1:7" ht="15" hidden="1" customHeight="1" x14ac:dyDescent="0.3">
      <c r="A159" t="s">
        <v>55</v>
      </c>
      <c r="B159" s="2">
        <v>45689</v>
      </c>
      <c r="C159" s="52">
        <v>13986.75</v>
      </c>
      <c r="D159" s="48">
        <f>_xlfn.XLOOKUP(expected_production[[#This Row],[Site Name]],Table1[[Site Name ]],Table1[Commisioned Date],"")</f>
        <v>44908</v>
      </c>
      <c r="E159" s="47">
        <f>IF(ISNUMBER(expected_production[[#This Row],[Commissioned Date]]),MAX(0,(expected_production[[#This Row],[Date]]-expected_production[[#This Row],[Commissioned Date]])/365.25),"")</f>
        <v>2.1382614647501712</v>
      </c>
      <c r="F159" s="49">
        <f>IF(expected_production[[#This Row],[Age (yrs)]]="",1,(1-DegradationRate)^expected_production[[#This Row],[Age (yrs)]])</f>
        <v>0.98509178104559902</v>
      </c>
      <c r="G159" s="52">
        <f>IF(expected_production[[#This Row],[Base Expected (kWh)]]="","",expected_production[[#This Row],[Base Expected (kWh)]]*expected_production[[#This Row],[Degradation Factor]])</f>
        <v>13778.232468539532</v>
      </c>
    </row>
    <row r="160" spans="1:7" ht="15" hidden="1" customHeight="1" x14ac:dyDescent="0.3">
      <c r="A160" t="s">
        <v>55</v>
      </c>
      <c r="B160" s="2">
        <v>45717</v>
      </c>
      <c r="C160" s="52">
        <v>15463.2</v>
      </c>
      <c r="D160" s="48">
        <f>_xlfn.XLOOKUP(expected_production[[#This Row],[Site Name]],Table1[[Site Name ]],Table1[Commisioned Date],"")</f>
        <v>44908</v>
      </c>
      <c r="E160" s="47">
        <f>IF(ISNUMBER(expected_production[[#This Row],[Commissioned Date]]),MAX(0,(expected_production[[#This Row],[Date]]-expected_production[[#This Row],[Commissioned Date]])/365.25),"")</f>
        <v>2.21492128678987</v>
      </c>
      <c r="F160" s="49">
        <f>IF(expected_production[[#This Row],[Age (yrs)]]="",1,(1-DegradationRate)^expected_production[[#This Row],[Age (yrs)]])</f>
        <v>0.98456144628294973</v>
      </c>
      <c r="G160" s="52">
        <f>IF(expected_production[[#This Row],[Base Expected (kWh)]]="","",expected_production[[#This Row],[Base Expected (kWh)]]*expected_production[[#This Row],[Degradation Factor]])</f>
        <v>15224.470556162509</v>
      </c>
    </row>
    <row r="161" spans="1:7" ht="15" hidden="1" customHeight="1" x14ac:dyDescent="0.3">
      <c r="A161" t="s">
        <v>55</v>
      </c>
      <c r="B161" s="2">
        <v>45748</v>
      </c>
      <c r="C161" s="52">
        <v>14886.05</v>
      </c>
      <c r="D161" s="48">
        <f>_xlfn.XLOOKUP(expected_production[[#This Row],[Site Name]],Table1[[Site Name ]],Table1[Commisioned Date],"")</f>
        <v>44908</v>
      </c>
      <c r="E161" s="47">
        <f>IF(ISNUMBER(expected_production[[#This Row],[Commissioned Date]]),MAX(0,(expected_production[[#This Row],[Date]]-expected_production[[#This Row],[Commissioned Date]])/365.25),"")</f>
        <v>2.299794661190965</v>
      </c>
      <c r="F161" s="49">
        <f>IF(expected_production[[#This Row],[Age (yrs)]]="",1,(1-DegradationRate)^expected_production[[#This Row],[Age (yrs)]])</f>
        <v>0.98397462296815374</v>
      </c>
      <c r="G161" s="52">
        <f>IF(expected_production[[#This Row],[Base Expected (kWh)]]="","",expected_production[[#This Row],[Base Expected (kWh)]]*expected_production[[#This Row],[Degradation Factor]])</f>
        <v>14647.495436235084</v>
      </c>
    </row>
    <row r="162" spans="1:7" ht="15" hidden="1" customHeight="1" x14ac:dyDescent="0.3">
      <c r="A162" t="s">
        <v>55</v>
      </c>
      <c r="B162" s="2">
        <v>45778</v>
      </c>
      <c r="C162" s="52">
        <v>14411.75</v>
      </c>
      <c r="D162" s="48">
        <f>_xlfn.XLOOKUP(expected_production[[#This Row],[Site Name]],Table1[[Site Name ]],Table1[Commisioned Date],"")</f>
        <v>44908</v>
      </c>
      <c r="E162" s="47">
        <f>IF(ISNUMBER(expected_production[[#This Row],[Commissioned Date]]),MAX(0,(expected_production[[#This Row],[Date]]-expected_production[[#This Row],[Commissioned Date]])/365.25),"")</f>
        <v>2.3819301848049284</v>
      </c>
      <c r="F162" s="49">
        <f>IF(expected_production[[#This Row],[Age (yrs)]]="",1,(1-DegradationRate)^expected_production[[#This Row],[Age (yrs)]])</f>
        <v>0.98340706245929232</v>
      </c>
      <c r="G162" s="52">
        <f>IF(expected_production[[#This Row],[Base Expected (kWh)]]="","",expected_production[[#This Row],[Base Expected (kWh)]]*expected_production[[#This Row],[Degradation Factor]])</f>
        <v>14172.616732397706</v>
      </c>
    </row>
    <row r="163" spans="1:7" ht="15" hidden="1" customHeight="1" x14ac:dyDescent="0.3">
      <c r="A163" t="s">
        <v>55</v>
      </c>
      <c r="B163" s="2">
        <v>45809</v>
      </c>
      <c r="C163" s="52">
        <v>13050.05</v>
      </c>
      <c r="D163" s="48">
        <f>_xlfn.XLOOKUP(expected_production[[#This Row],[Site Name]],Table1[[Site Name ]],Table1[Commisioned Date],"")</f>
        <v>44908</v>
      </c>
      <c r="E163" s="47">
        <f>IF(ISNUMBER(expected_production[[#This Row],[Commissioned Date]]),MAX(0,(expected_production[[#This Row],[Date]]-expected_production[[#This Row],[Commissioned Date]])/365.25),"")</f>
        <v>2.4668035592060233</v>
      </c>
      <c r="F163" s="49">
        <f>IF(expected_production[[#This Row],[Age (yrs)]]="",1,(1-DegradationRate)^expected_production[[#This Row],[Age (yrs)]])</f>
        <v>0.98282092718620717</v>
      </c>
      <c r="G163" s="52">
        <f>IF(expected_production[[#This Row],[Base Expected (kWh)]]="","",expected_production[[#This Row],[Base Expected (kWh)]]*expected_production[[#This Row],[Degradation Factor]])</f>
        <v>12825.862240826362</v>
      </c>
    </row>
    <row r="164" spans="1:7" ht="15" hidden="1" customHeight="1" x14ac:dyDescent="0.3">
      <c r="A164" t="s">
        <v>55</v>
      </c>
      <c r="B164" s="2">
        <v>45839</v>
      </c>
      <c r="C164" s="52">
        <v>13735.15</v>
      </c>
      <c r="D164" s="48">
        <f>_xlfn.XLOOKUP(expected_production[[#This Row],[Site Name]],Table1[[Site Name ]],Table1[Commisioned Date],"")</f>
        <v>44908</v>
      </c>
      <c r="E164" s="47">
        <f>IF(ISNUMBER(expected_production[[#This Row],[Commissioned Date]]),MAX(0,(expected_production[[#This Row],[Date]]-expected_production[[#This Row],[Commissioned Date]])/365.25),"")</f>
        <v>2.5489390828199863</v>
      </c>
      <c r="F164" s="49">
        <f>IF(expected_production[[#This Row],[Age (yrs)]]="",1,(1-DegradationRate)^expected_production[[#This Row],[Age (yrs)]])</f>
        <v>0.98225403213369966</v>
      </c>
      <c r="G164" s="52">
        <f>IF(expected_production[[#This Row],[Base Expected (kWh)]]="","",expected_production[[#This Row],[Base Expected (kWh)]]*expected_production[[#This Row],[Degradation Factor]])</f>
        <v>13491.406469461184</v>
      </c>
    </row>
    <row r="165" spans="1:7" ht="15" hidden="1" customHeight="1" x14ac:dyDescent="0.3">
      <c r="A165" t="s">
        <v>55</v>
      </c>
      <c r="B165" s="2">
        <v>45870</v>
      </c>
      <c r="C165" s="52">
        <v>15350.15</v>
      </c>
      <c r="D165" s="48">
        <f>_xlfn.XLOOKUP(expected_production[[#This Row],[Site Name]],Table1[[Site Name ]],Table1[Commisioned Date],"")</f>
        <v>44908</v>
      </c>
      <c r="E165" s="47">
        <f>IF(ISNUMBER(expected_production[[#This Row],[Commissioned Date]]),MAX(0,(expected_production[[#This Row],[Date]]-expected_production[[#This Row],[Commissioned Date]])/365.25),"")</f>
        <v>2.6338124572210813</v>
      </c>
      <c r="F165" s="49">
        <f>IF(expected_production[[#This Row],[Age (yrs)]]="",1,(1-DegradationRate)^expected_production[[#This Row],[Age (yrs)]])</f>
        <v>0.98166858409560664</v>
      </c>
      <c r="G165" s="52">
        <f>IF(expected_production[[#This Row],[Base Expected (kWh)]]="","",expected_production[[#This Row],[Base Expected (kWh)]]*expected_production[[#This Row],[Degradation Factor]])</f>
        <v>15068.760016155176</v>
      </c>
    </row>
    <row r="166" spans="1:7" ht="15" hidden="1" customHeight="1" x14ac:dyDescent="0.3">
      <c r="A166" t="s">
        <v>55</v>
      </c>
      <c r="B166" s="2">
        <v>45901</v>
      </c>
      <c r="C166" s="52">
        <v>15431.75</v>
      </c>
      <c r="D166" s="48">
        <f>_xlfn.XLOOKUP(expected_production[[#This Row],[Site Name]],Table1[[Site Name ]],Table1[Commisioned Date],"")</f>
        <v>44908</v>
      </c>
      <c r="E166" s="47">
        <f>IF(ISNUMBER(expected_production[[#This Row],[Commissioned Date]]),MAX(0,(expected_production[[#This Row],[Date]]-expected_production[[#This Row],[Commissioned Date]])/365.25),"")</f>
        <v>2.7186858316221767</v>
      </c>
      <c r="F166" s="49">
        <f>IF(expected_production[[#This Row],[Age (yrs)]]="",1,(1-DegradationRate)^expected_production[[#This Row],[Age (yrs)]])</f>
        <v>0.98108348499922726</v>
      </c>
      <c r="G166" s="52">
        <f>IF(expected_production[[#This Row],[Base Expected (kWh)]]="","",expected_production[[#This Row],[Base Expected (kWh)]]*expected_production[[#This Row],[Degradation Factor]])</f>
        <v>15139.835069636825</v>
      </c>
    </row>
    <row r="167" spans="1:7" ht="15" hidden="1" customHeight="1" x14ac:dyDescent="0.3">
      <c r="A167" t="s">
        <v>55</v>
      </c>
      <c r="B167" s="2">
        <v>45931</v>
      </c>
      <c r="C167" s="52">
        <v>14821.45</v>
      </c>
      <c r="D167" s="48">
        <f>_xlfn.XLOOKUP(expected_production[[#This Row],[Site Name]],Table1[[Site Name ]],Table1[Commisioned Date],"")</f>
        <v>44908</v>
      </c>
      <c r="E167" s="47">
        <f>IF(ISNUMBER(expected_production[[#This Row],[Commissioned Date]]),MAX(0,(expected_production[[#This Row],[Date]]-expected_production[[#This Row],[Commissioned Date]])/365.25),"")</f>
        <v>2.8008213552361396</v>
      </c>
      <c r="F167" s="49">
        <f>IF(expected_production[[#This Row],[Age (yrs)]]="",1,(1-DegradationRate)^expected_production[[#This Row],[Age (yrs)]])</f>
        <v>0.98051759211034151</v>
      </c>
      <c r="G167" s="52">
        <f>IF(expected_production[[#This Row],[Base Expected (kWh)]]="","",expected_production[[#This Row],[Base Expected (kWh)]]*expected_production[[#This Row],[Degradation Factor]])</f>
        <v>14532.692465583821</v>
      </c>
    </row>
    <row r="168" spans="1:7" ht="15" hidden="1" customHeight="1" x14ac:dyDescent="0.3">
      <c r="A168" t="s">
        <v>55</v>
      </c>
      <c r="B168" s="2">
        <v>45962</v>
      </c>
      <c r="C168" s="52">
        <v>14695.65</v>
      </c>
      <c r="D168" s="48">
        <f>_xlfn.XLOOKUP(expected_production[[#This Row],[Site Name]],Table1[[Site Name ]],Table1[Commisioned Date],"")</f>
        <v>44908</v>
      </c>
      <c r="E168" s="47">
        <f>IF(ISNUMBER(expected_production[[#This Row],[Commissioned Date]]),MAX(0,(expected_production[[#This Row],[Date]]-expected_production[[#This Row],[Commissioned Date]])/365.25),"")</f>
        <v>2.8856947296372346</v>
      </c>
      <c r="F168" s="49">
        <f>IF(expected_production[[#This Row],[Age (yrs)]]="",1,(1-DegradationRate)^expected_production[[#This Row],[Age (yrs)]])</f>
        <v>0.97993317903405219</v>
      </c>
      <c r="G168" s="52">
        <f>IF(expected_production[[#This Row],[Base Expected (kWh)]]="","",expected_production[[#This Row],[Base Expected (kWh)]]*expected_production[[#This Row],[Degradation Factor]])</f>
        <v>14400.755022471769</v>
      </c>
    </row>
    <row r="169" spans="1:7" ht="15" hidden="1" customHeight="1" x14ac:dyDescent="0.3">
      <c r="A169" t="s">
        <v>55</v>
      </c>
      <c r="B169" s="2">
        <v>45992</v>
      </c>
      <c r="C169" s="52">
        <v>16154.25</v>
      </c>
      <c r="D169" s="48">
        <f>_xlfn.XLOOKUP(expected_production[[#This Row],[Site Name]],Table1[[Site Name ]],Table1[Commisioned Date],"")</f>
        <v>44908</v>
      </c>
      <c r="E169" s="47">
        <f>IF(ISNUMBER(expected_production[[#This Row],[Commissioned Date]]),MAX(0,(expected_production[[#This Row],[Date]]-expected_production[[#This Row],[Commissioned Date]])/365.25),"")</f>
        <v>2.967830253251198</v>
      </c>
      <c r="F169" s="49">
        <f>IF(expected_production[[#This Row],[Age (yrs)]]="",1,(1-DegradationRate)^expected_production[[#This Row],[Age (yrs)]])</f>
        <v>0.97936794964626062</v>
      </c>
      <c r="G169" s="52">
        <f>IF(expected_production[[#This Row],[Base Expected (kWh)]]="","",expected_production[[#This Row],[Base Expected (kWh)]]*expected_production[[#This Row],[Degradation Factor]])</f>
        <v>15820.954700573106</v>
      </c>
    </row>
    <row r="170" spans="1:7" ht="15" hidden="1" customHeight="1" x14ac:dyDescent="0.3">
      <c r="A170" t="s">
        <v>55</v>
      </c>
      <c r="B170" s="2">
        <v>46023</v>
      </c>
      <c r="C170" s="52">
        <v>16262.2</v>
      </c>
      <c r="D170" s="48">
        <f>_xlfn.XLOOKUP(expected_production[[#This Row],[Site Name]],Table1[[Site Name ]],Table1[Commisioned Date],"")</f>
        <v>44908</v>
      </c>
      <c r="E170" s="47">
        <f>IF(ISNUMBER(expected_production[[#This Row],[Commissioned Date]]),MAX(0,(expected_production[[#This Row],[Date]]-expected_production[[#This Row],[Commissioned Date]])/365.25),"")</f>
        <v>3.052703627652293</v>
      </c>
      <c r="F170" s="49">
        <f>IF(expected_production[[#This Row],[Age (yrs)]]="",1,(1-DegradationRate)^expected_production[[#This Row],[Age (yrs)]])</f>
        <v>0.978784221785713</v>
      </c>
      <c r="G170" s="52">
        <f>IF(expected_production[[#This Row],[Base Expected (kWh)]]="","",expected_production[[#This Row],[Base Expected (kWh)]]*expected_production[[#This Row],[Degradation Factor]])</f>
        <v>15917.184771523624</v>
      </c>
    </row>
    <row r="171" spans="1:7" ht="15" hidden="1" customHeight="1" x14ac:dyDescent="0.3">
      <c r="A171" t="s">
        <v>55</v>
      </c>
      <c r="B171" s="2">
        <v>46054</v>
      </c>
      <c r="C171" s="52">
        <v>13986.75</v>
      </c>
      <c r="D171" s="48">
        <f>_xlfn.XLOOKUP(expected_production[[#This Row],[Site Name]],Table1[[Site Name ]],Table1[Commisioned Date],"")</f>
        <v>44908</v>
      </c>
      <c r="E171" s="47">
        <f>IF(ISNUMBER(expected_production[[#This Row],[Commissioned Date]]),MAX(0,(expected_production[[#This Row],[Date]]-expected_production[[#This Row],[Commissioned Date]])/365.25),"")</f>
        <v>3.137577002053388</v>
      </c>
      <c r="F171" s="49">
        <f>IF(expected_production[[#This Row],[Age (yrs)]]="",1,(1-DegradationRate)^expected_production[[#This Row],[Age (yrs)]])</f>
        <v>0.97820084184161016</v>
      </c>
      <c r="G171" s="52">
        <f>IF(expected_production[[#This Row],[Base Expected (kWh)]]="","",expected_production[[#This Row],[Base Expected (kWh)]]*expected_production[[#This Row],[Degradation Factor]])</f>
        <v>13681.850624628141</v>
      </c>
    </row>
    <row r="172" spans="1:7" ht="15" hidden="1" customHeight="1" x14ac:dyDescent="0.3">
      <c r="A172" t="s">
        <v>55</v>
      </c>
      <c r="B172" s="2">
        <v>46082</v>
      </c>
      <c r="C172" s="52">
        <v>15463.2</v>
      </c>
      <c r="D172" s="48">
        <f>_xlfn.XLOOKUP(expected_production[[#This Row],[Site Name]],Table1[[Site Name ]],Table1[Commisioned Date],"")</f>
        <v>44908</v>
      </c>
      <c r="E172" s="47">
        <f>IF(ISNUMBER(expected_production[[#This Row],[Commissioned Date]]),MAX(0,(expected_production[[#This Row],[Date]]-expected_production[[#This Row],[Commissioned Date]])/365.25),"")</f>
        <v>3.2142368240930868</v>
      </c>
      <c r="F172" s="49">
        <f>IF(expected_production[[#This Row],[Age (yrs)]]="",1,(1-DegradationRate)^expected_production[[#This Row],[Age (yrs)]])</f>
        <v>0.97767421689024703</v>
      </c>
      <c r="G172" s="52">
        <f>IF(expected_production[[#This Row],[Base Expected (kWh)]]="","",expected_production[[#This Row],[Base Expected (kWh)]]*expected_production[[#This Row],[Degradation Factor]])</f>
        <v>15117.971950617268</v>
      </c>
    </row>
    <row r="173" spans="1:7" ht="15" hidden="1" customHeight="1" x14ac:dyDescent="0.3">
      <c r="A173" t="s">
        <v>55</v>
      </c>
      <c r="B173" s="2">
        <v>46113</v>
      </c>
      <c r="C173" s="52">
        <v>14886.05</v>
      </c>
      <c r="D173" s="48">
        <f>_xlfn.XLOOKUP(expected_production[[#This Row],[Site Name]],Table1[[Site Name ]],Table1[Commisioned Date],"")</f>
        <v>44908</v>
      </c>
      <c r="E173" s="47">
        <f>IF(ISNUMBER(expected_production[[#This Row],[Commissioned Date]]),MAX(0,(expected_production[[#This Row],[Date]]-expected_production[[#This Row],[Commissioned Date]])/365.25),"")</f>
        <v>3.2991101984941822</v>
      </c>
      <c r="F173" s="49">
        <f>IF(expected_production[[#This Row],[Age (yrs)]]="",1,(1-DegradationRate)^expected_production[[#This Row],[Age (yrs)]])</f>
        <v>0.97709149853690092</v>
      </c>
      <c r="G173" s="52">
        <f>IF(expected_production[[#This Row],[Base Expected (kWh)]]="","",expected_production[[#This Row],[Base Expected (kWh)]]*expected_production[[#This Row],[Degradation Factor]])</f>
        <v>14545.032901795234</v>
      </c>
    </row>
    <row r="174" spans="1:7" ht="15" hidden="1" customHeight="1" x14ac:dyDescent="0.3">
      <c r="A174" t="s">
        <v>55</v>
      </c>
      <c r="B174" s="2">
        <v>46143</v>
      </c>
      <c r="C174" s="52">
        <v>14411.75</v>
      </c>
      <c r="D174" s="48">
        <f>_xlfn.XLOOKUP(expected_production[[#This Row],[Site Name]],Table1[[Site Name ]],Table1[Commisioned Date],"")</f>
        <v>44908</v>
      </c>
      <c r="E174" s="47">
        <f>IF(ISNUMBER(expected_production[[#This Row],[Commissioned Date]]),MAX(0,(expected_production[[#This Row],[Date]]-expected_production[[#This Row],[Commissioned Date]])/365.25),"")</f>
        <v>3.3812457221081451</v>
      </c>
      <c r="F174" s="49">
        <f>IF(expected_production[[#This Row],[Age (yrs)]]="",1,(1-DegradationRate)^expected_production[[#This Row],[Age (yrs)]])</f>
        <v>0.97652790824181679</v>
      </c>
      <c r="G174" s="52">
        <f>IF(expected_production[[#This Row],[Base Expected (kWh)]]="","",expected_production[[#This Row],[Base Expected (kWh)]]*expected_production[[#This Row],[Degradation Factor]])</f>
        <v>14073.476081604003</v>
      </c>
    </row>
    <row r="175" spans="1:7" ht="15" hidden="1" customHeight="1" x14ac:dyDescent="0.3">
      <c r="A175" t="s">
        <v>55</v>
      </c>
      <c r="B175" s="2">
        <v>46174</v>
      </c>
      <c r="C175" s="52">
        <v>13050.05</v>
      </c>
      <c r="D175" s="48">
        <f>_xlfn.XLOOKUP(expected_production[[#This Row],[Site Name]],Table1[[Site Name ]],Table1[Commisioned Date],"")</f>
        <v>44908</v>
      </c>
      <c r="E175" s="47">
        <f>IF(ISNUMBER(expected_production[[#This Row],[Commissioned Date]]),MAX(0,(expected_production[[#This Row],[Date]]-expected_production[[#This Row],[Commissioned Date]])/365.25),"")</f>
        <v>3.4661190965092401</v>
      </c>
      <c r="F175" s="49">
        <f>IF(expected_production[[#This Row],[Age (yrs)]]="",1,(1-DegradationRate)^expected_production[[#This Row],[Age (yrs)]])</f>
        <v>0.97594587311717451</v>
      </c>
      <c r="G175" s="52">
        <f>IF(expected_production[[#This Row],[Base Expected (kWh)]]="","",expected_production[[#This Row],[Base Expected (kWh)]]*expected_production[[#This Row],[Degradation Factor]])</f>
        <v>12736.142441472783</v>
      </c>
    </row>
    <row r="176" spans="1:7" ht="15" hidden="1" customHeight="1" x14ac:dyDescent="0.3">
      <c r="A176" t="s">
        <v>55</v>
      </c>
      <c r="B176" s="2">
        <v>46204</v>
      </c>
      <c r="C176" s="52">
        <v>13735.15</v>
      </c>
      <c r="D176" s="48">
        <f>_xlfn.XLOOKUP(expected_production[[#This Row],[Site Name]],Table1[[Site Name ]],Table1[Commisioned Date],"")</f>
        <v>44908</v>
      </c>
      <c r="E176" s="47">
        <f>IF(ISNUMBER(expected_production[[#This Row],[Commissioned Date]]),MAX(0,(expected_production[[#This Row],[Date]]-expected_production[[#This Row],[Commissioned Date]])/365.25),"")</f>
        <v>3.5482546201232035</v>
      </c>
      <c r="F176" s="49">
        <f>IF(expected_production[[#This Row],[Age (yrs)]]="",1,(1-DegradationRate)^expected_production[[#This Row],[Age (yrs)]])</f>
        <v>0.97538294362342726</v>
      </c>
      <c r="G176" s="52">
        <f>IF(expected_production[[#This Row],[Base Expected (kWh)]]="","",expected_production[[#This Row],[Base Expected (kWh)]]*expected_production[[#This Row],[Degradation Factor]])</f>
        <v>13397.031038109317</v>
      </c>
    </row>
    <row r="177" spans="1:7" ht="15" hidden="1" customHeight="1" x14ac:dyDescent="0.3">
      <c r="A177" t="s">
        <v>55</v>
      </c>
      <c r="B177" s="2">
        <v>46235</v>
      </c>
      <c r="C177" s="52">
        <v>15350.15</v>
      </c>
      <c r="D177" s="48">
        <f>_xlfn.XLOOKUP(expected_production[[#This Row],[Site Name]],Table1[[Site Name ]],Table1[Commisioned Date],"")</f>
        <v>44908</v>
      </c>
      <c r="E177" s="47">
        <f>IF(ISNUMBER(expected_production[[#This Row],[Commissioned Date]]),MAX(0,(expected_production[[#This Row],[Date]]-expected_production[[#This Row],[Commissioned Date]])/365.25),"")</f>
        <v>3.6331279945242985</v>
      </c>
      <c r="F177" s="49">
        <f>IF(expected_production[[#This Row],[Age (yrs)]]="",1,(1-DegradationRate)^expected_production[[#This Row],[Age (yrs)]])</f>
        <v>0.97480159092641328</v>
      </c>
      <c r="G177" s="52">
        <f>IF(expected_production[[#This Row],[Base Expected (kWh)]]="","",expected_production[[#This Row],[Base Expected (kWh)]]*expected_production[[#This Row],[Degradation Factor]])</f>
        <v>14963.350640959083</v>
      </c>
    </row>
    <row r="178" spans="1:7" ht="15" hidden="1" customHeight="1" x14ac:dyDescent="0.3">
      <c r="A178" t="s">
        <v>55</v>
      </c>
      <c r="B178" s="2">
        <v>46266</v>
      </c>
      <c r="C178" s="52">
        <v>15431.75</v>
      </c>
      <c r="D178" s="48">
        <f>_xlfn.XLOOKUP(expected_production[[#This Row],[Site Name]],Table1[[Site Name ]],Table1[Commisioned Date],"")</f>
        <v>44908</v>
      </c>
      <c r="E178" s="47">
        <f>IF(ISNUMBER(expected_production[[#This Row],[Commissioned Date]]),MAX(0,(expected_production[[#This Row],[Date]]-expected_production[[#This Row],[Commissioned Date]])/365.25),"")</f>
        <v>3.7180013689253935</v>
      </c>
      <c r="F178" s="49">
        <f>IF(expected_production[[#This Row],[Age (yrs)]]="",1,(1-DegradationRate)^expected_production[[#This Row],[Age (yrs)]])</f>
        <v>0.97422058473018702</v>
      </c>
      <c r="G178" s="52">
        <f>IF(expected_production[[#This Row],[Base Expected (kWh)]]="","",expected_production[[#This Row],[Base Expected (kWh)]]*expected_production[[#This Row],[Degradation Factor]])</f>
        <v>15033.928508410063</v>
      </c>
    </row>
    <row r="179" spans="1:7" ht="15" hidden="1" customHeight="1" x14ac:dyDescent="0.3">
      <c r="A179" t="s">
        <v>55</v>
      </c>
      <c r="B179" s="2">
        <v>46296</v>
      </c>
      <c r="C179" s="52">
        <v>14821.45</v>
      </c>
      <c r="D179" s="48">
        <f>_xlfn.XLOOKUP(expected_production[[#This Row],[Site Name]],Table1[[Site Name ]],Table1[Commisioned Date],"")</f>
        <v>44908</v>
      </c>
      <c r="E179" s="47">
        <f>IF(ISNUMBER(expected_production[[#This Row],[Commissioned Date]]),MAX(0,(expected_production[[#This Row],[Date]]-expected_production[[#This Row],[Commissioned Date]])/365.25),"")</f>
        <v>3.8001368925393568</v>
      </c>
      <c r="F179" s="49">
        <f>IF(expected_production[[#This Row],[Age (yrs)]]="",1,(1-DegradationRate)^expected_production[[#This Row],[Age (yrs)]])</f>
        <v>0.97365865038970079</v>
      </c>
      <c r="G179" s="52">
        <f>IF(expected_production[[#This Row],[Base Expected (kWh)]]="","",expected_production[[#This Row],[Base Expected (kWh)]]*expected_production[[#This Row],[Degradation Factor]])</f>
        <v>14431.033003818431</v>
      </c>
    </row>
    <row r="180" spans="1:7" ht="15" hidden="1" customHeight="1" x14ac:dyDescent="0.3">
      <c r="A180" t="s">
        <v>55</v>
      </c>
      <c r="B180" s="2">
        <v>46327</v>
      </c>
      <c r="C180" s="52">
        <v>14695.65</v>
      </c>
      <c r="D180" s="48">
        <f>_xlfn.XLOOKUP(expected_production[[#This Row],[Site Name]],Table1[[Site Name ]],Table1[Commisioned Date],"")</f>
        <v>44908</v>
      </c>
      <c r="E180" s="47">
        <f>IF(ISNUMBER(expected_production[[#This Row],[Commissioned Date]]),MAX(0,(expected_production[[#This Row],[Date]]-expected_production[[#This Row],[Commissioned Date]])/365.25),"")</f>
        <v>3.8850102669404518</v>
      </c>
      <c r="F180" s="49">
        <f>IF(expected_production[[#This Row],[Age (yrs)]]="",1,(1-DegradationRate)^expected_production[[#This Row],[Age (yrs)]])</f>
        <v>0.97307832541469941</v>
      </c>
      <c r="G180" s="52">
        <f>IF(expected_production[[#This Row],[Base Expected (kWh)]]="","",expected_production[[#This Row],[Base Expected (kWh)]]*expected_production[[#This Row],[Degradation Factor]])</f>
        <v>14300.018492880527</v>
      </c>
    </row>
    <row r="181" spans="1:7" ht="15" hidden="1" customHeight="1" x14ac:dyDescent="0.3">
      <c r="A181" t="s">
        <v>55</v>
      </c>
      <c r="B181" s="2">
        <v>46357</v>
      </c>
      <c r="C181" s="52">
        <v>16154.25</v>
      </c>
      <c r="D181" s="48">
        <f>_xlfn.XLOOKUP(expected_production[[#This Row],[Site Name]],Table1[[Site Name ]],Table1[Commisioned Date],"")</f>
        <v>44908</v>
      </c>
      <c r="E181" s="47">
        <f>IF(ISNUMBER(expected_production[[#This Row],[Commissioned Date]]),MAX(0,(expected_production[[#This Row],[Date]]-expected_production[[#This Row],[Commissioned Date]])/365.25),"")</f>
        <v>3.9671457905544147</v>
      </c>
      <c r="F181" s="49">
        <f>IF(expected_production[[#This Row],[Age (yrs)]]="",1,(1-DegradationRate)^expected_production[[#This Row],[Age (yrs)]])</f>
        <v>0.97251704993396748</v>
      </c>
      <c r="G181" s="52">
        <f>IF(expected_production[[#This Row],[Base Expected (kWh)]]="","",expected_production[[#This Row],[Base Expected (kWh)]]*expected_production[[#This Row],[Degradation Factor]])</f>
        <v>15710.283553895793</v>
      </c>
    </row>
    <row r="182" spans="1:7" ht="15" hidden="1" customHeight="1" x14ac:dyDescent="0.3">
      <c r="A182" t="s">
        <v>60</v>
      </c>
      <c r="B182" s="2">
        <v>45292</v>
      </c>
      <c r="C182" s="52">
        <v>51314.734709999997</v>
      </c>
      <c r="D182" s="48">
        <f>_xlfn.XLOOKUP(expected_production[[#This Row],[Site Name]],Table1[[Site Name ]],Table1[Commisioned Date],"")</f>
        <v>45272</v>
      </c>
      <c r="E182" s="47">
        <f>IF(ISNUMBER(expected_production[[#This Row],[Commissioned Date]]),MAX(0,(expected_production[[#This Row],[Date]]-expected_production[[#This Row],[Commissioned Date]])/365.25),"")</f>
        <v>5.4757015742642023E-2</v>
      </c>
      <c r="F182" s="49">
        <f>IF(expected_production[[#This Row],[Age (yrs)]]="",1,(1-DegradationRate)^expected_production[[#This Row],[Age (yrs)]])</f>
        <v>0.99961542701646489</v>
      </c>
      <c r="G182" s="52">
        <f>IF(expected_production[[#This Row],[Base Expected (kWh)]]="","",expected_production[[#This Row],[Base Expected (kWh)]]*expected_production[[#This Row],[Degradation Factor]])</f>
        <v>51295.000449373256</v>
      </c>
    </row>
    <row r="183" spans="1:7" ht="15" hidden="1" customHeight="1" x14ac:dyDescent="0.3">
      <c r="A183" t="s">
        <v>60</v>
      </c>
      <c r="B183" s="2">
        <v>45323</v>
      </c>
      <c r="C183" s="52">
        <v>44103.290670000002</v>
      </c>
      <c r="D183" s="48">
        <f>_xlfn.XLOOKUP(expected_production[[#This Row],[Site Name]],Table1[[Site Name ]],Table1[Commisioned Date],"")</f>
        <v>45272</v>
      </c>
      <c r="E183" s="47">
        <f>IF(ISNUMBER(expected_production[[#This Row],[Commissioned Date]]),MAX(0,(expected_production[[#This Row],[Date]]-expected_production[[#This Row],[Commissioned Date]])/365.25),"")</f>
        <v>0.13963039014373715</v>
      </c>
      <c r="F183" s="49">
        <f>IF(expected_production[[#This Row],[Age (yrs)]]="",1,(1-DegradationRate)^expected_production[[#This Row],[Age (yrs)]])</f>
        <v>0.99901963115159775</v>
      </c>
      <c r="G183" s="52">
        <f>IF(expected_production[[#This Row],[Base Expected (kWh)]]="","",expected_production[[#This Row],[Base Expected (kWh)]]*expected_production[[#This Row],[Degradation Factor]])</f>
        <v>44060.053177715105</v>
      </c>
    </row>
    <row r="184" spans="1:7" ht="15" hidden="1" customHeight="1" x14ac:dyDescent="0.3">
      <c r="A184" t="s">
        <v>60</v>
      </c>
      <c r="B184" s="2">
        <v>45352</v>
      </c>
      <c r="C184" s="52">
        <v>48739.270049999999</v>
      </c>
      <c r="D184" s="48">
        <f>_xlfn.XLOOKUP(expected_production[[#This Row],[Site Name]],Table1[[Site Name ]],Table1[Commisioned Date],"")</f>
        <v>45272</v>
      </c>
      <c r="E184" s="47">
        <f>IF(ISNUMBER(expected_production[[#This Row],[Commissioned Date]]),MAX(0,(expected_production[[#This Row],[Date]]-expected_production[[#This Row],[Commissioned Date]])/365.25),"")</f>
        <v>0.21902806297056809</v>
      </c>
      <c r="F184" s="49">
        <f>IF(expected_production[[#This Row],[Age (yrs)]]="",1,(1-DegradationRate)^expected_production[[#This Row],[Age (yrs)]])</f>
        <v>0.9984625952166517</v>
      </c>
      <c r="G184" s="52">
        <f>IF(expected_production[[#This Row],[Base Expected (kWh)]]="","",expected_production[[#This Row],[Base Expected (kWh)]]*expected_production[[#This Row],[Degradation Factor]])</f>
        <v>48664.338063088224</v>
      </c>
    </row>
    <row r="185" spans="1:7" ht="15" hidden="1" customHeight="1" x14ac:dyDescent="0.3">
      <c r="A185" t="s">
        <v>60</v>
      </c>
      <c r="B185" s="2">
        <v>45383</v>
      </c>
      <c r="C185" s="52">
        <v>46849.898880000001</v>
      </c>
      <c r="D185" s="48">
        <f>_xlfn.XLOOKUP(expected_production[[#This Row],[Site Name]],Table1[[Site Name ]],Table1[Commisioned Date],"")</f>
        <v>45272</v>
      </c>
      <c r="E185" s="47">
        <f>IF(ISNUMBER(expected_production[[#This Row],[Commissioned Date]]),MAX(0,(expected_production[[#This Row],[Date]]-expected_production[[#This Row],[Commissioned Date]])/365.25),"")</f>
        <v>0.30390143737166325</v>
      </c>
      <c r="F185" s="49">
        <f>IF(expected_production[[#This Row],[Age (yrs)]]="",1,(1-DegradationRate)^expected_production[[#This Row],[Age (yrs)]])</f>
        <v>0.99786748646845025</v>
      </c>
      <c r="G185" s="52">
        <f>IF(expected_production[[#This Row],[Base Expected (kWh)]]="","",expected_production[[#This Row],[Base Expected (kWh)]]*expected_production[[#This Row],[Degradation Factor]])</f>
        <v>46749.990836686666</v>
      </c>
    </row>
    <row r="186" spans="1:7" ht="15" hidden="1" customHeight="1" x14ac:dyDescent="0.3">
      <c r="A186" t="s">
        <v>60</v>
      </c>
      <c r="B186" s="2">
        <v>45413</v>
      </c>
      <c r="C186" s="52">
        <v>45273.233339999999</v>
      </c>
      <c r="D186" s="48">
        <f>_xlfn.XLOOKUP(expected_production[[#This Row],[Site Name]],Table1[[Site Name ]],Table1[Commisioned Date],"")</f>
        <v>45272</v>
      </c>
      <c r="E186" s="47">
        <f>IF(ISNUMBER(expected_production[[#This Row],[Commissioned Date]]),MAX(0,(expected_production[[#This Row],[Date]]-expected_production[[#This Row],[Commissioned Date]])/365.25),"")</f>
        <v>0.38603696098562629</v>
      </c>
      <c r="F186" s="49">
        <f>IF(expected_production[[#This Row],[Age (yrs)]]="",1,(1-DegradationRate)^expected_production[[#This Row],[Age (yrs)]])</f>
        <v>0.9972919125002031</v>
      </c>
      <c r="G186" s="52">
        <f>IF(expected_production[[#This Row],[Base Expected (kWh)]]="","",expected_production[[#This Row],[Base Expected (kWh)]]*expected_production[[#This Row],[Degradation Factor]])</f>
        <v>45150.629462716555</v>
      </c>
    </row>
    <row r="187" spans="1:7" ht="15" hidden="1" customHeight="1" x14ac:dyDescent="0.3">
      <c r="A187" t="s">
        <v>60</v>
      </c>
      <c r="B187" s="2">
        <v>45444</v>
      </c>
      <c r="C187" s="52">
        <v>40943.971799999999</v>
      </c>
      <c r="D187" s="48">
        <f>_xlfn.XLOOKUP(expected_production[[#This Row],[Site Name]],Table1[[Site Name ]],Table1[Commisioned Date],"")</f>
        <v>45272</v>
      </c>
      <c r="E187" s="47">
        <f>IF(ISNUMBER(expected_production[[#This Row],[Commissioned Date]]),MAX(0,(expected_production[[#This Row],[Date]]-expected_production[[#This Row],[Commissioned Date]])/365.25),"")</f>
        <v>0.47091033538672145</v>
      </c>
      <c r="F187" s="49">
        <f>IF(expected_production[[#This Row],[Age (yrs)]]="",1,(1-DegradationRate)^expected_production[[#This Row],[Age (yrs)]])</f>
        <v>0.99669750150826131</v>
      </c>
      <c r="G187" s="52">
        <f>IF(expected_production[[#This Row],[Base Expected (kWh)]]="","",expected_production[[#This Row],[Base Expected (kWh)]]*expected_production[[#This Row],[Degradation Factor]])</f>
        <v>40808.754394884709</v>
      </c>
    </row>
    <row r="188" spans="1:7" ht="15" hidden="1" customHeight="1" x14ac:dyDescent="0.3">
      <c r="A188" t="s">
        <v>60</v>
      </c>
      <c r="B188" s="2">
        <v>45474</v>
      </c>
      <c r="C188" s="52">
        <v>43112.802960000001</v>
      </c>
      <c r="D188" s="48">
        <f>_xlfn.XLOOKUP(expected_production[[#This Row],[Site Name]],Table1[[Site Name ]],Table1[Commisioned Date],"")</f>
        <v>45272</v>
      </c>
      <c r="E188" s="47">
        <f>IF(ISNUMBER(expected_production[[#This Row],[Commissioned Date]]),MAX(0,(expected_production[[#This Row],[Date]]-expected_production[[#This Row],[Commissioned Date]])/365.25),"")</f>
        <v>0.55304585900068448</v>
      </c>
      <c r="F188" s="49">
        <f>IF(expected_production[[#This Row],[Age (yrs)]]="",1,(1-DegradationRate)^expected_production[[#This Row],[Age (yrs)]])</f>
        <v>0.99612260239203143</v>
      </c>
      <c r="G188" s="52">
        <f>IF(expected_production[[#This Row],[Base Expected (kWh)]]="","",expected_production[[#This Row],[Base Expected (kWh)]]*expected_production[[#This Row],[Degradation Factor]])</f>
        <v>42945.637480930076</v>
      </c>
    </row>
    <row r="189" spans="1:7" ht="15" hidden="1" customHeight="1" x14ac:dyDescent="0.3">
      <c r="A189" t="s">
        <v>60</v>
      </c>
      <c r="B189" s="2">
        <v>45505</v>
      </c>
      <c r="C189" s="52">
        <v>48266.50275</v>
      </c>
      <c r="D189" s="48">
        <f>_xlfn.XLOOKUP(expected_production[[#This Row],[Site Name]],Table1[[Site Name ]],Table1[Commisioned Date],"")</f>
        <v>45272</v>
      </c>
      <c r="E189" s="47">
        <f>IF(ISNUMBER(expected_production[[#This Row],[Commissioned Date]]),MAX(0,(expected_production[[#This Row],[Date]]-expected_production[[#This Row],[Commissioned Date]])/365.25),"")</f>
        <v>0.63791923340177958</v>
      </c>
      <c r="F189" s="49">
        <f>IF(expected_production[[#This Row],[Age (yrs)]]="",1,(1-DegradationRate)^expected_production[[#This Row],[Age (yrs)]])</f>
        <v>0.99552888833824049</v>
      </c>
      <c r="G189" s="52">
        <f>IF(expected_production[[#This Row],[Base Expected (kWh)]]="","",expected_production[[#This Row],[Base Expected (kWh)]]*expected_production[[#This Row],[Degradation Factor]])</f>
        <v>48050.697826682124</v>
      </c>
    </row>
    <row r="190" spans="1:7" ht="15" hidden="1" customHeight="1" x14ac:dyDescent="0.3">
      <c r="A190" t="s">
        <v>60</v>
      </c>
      <c r="B190" s="2">
        <v>45536</v>
      </c>
      <c r="C190" s="52">
        <v>48602.891430000003</v>
      </c>
      <c r="D190" s="48">
        <f>_xlfn.XLOOKUP(expected_production[[#This Row],[Site Name]],Table1[[Site Name ]],Table1[Commisioned Date],"")</f>
        <v>45272</v>
      </c>
      <c r="E190" s="47">
        <f>IF(ISNUMBER(expected_production[[#This Row],[Commissioned Date]]),MAX(0,(expected_production[[#This Row],[Date]]-expected_production[[#This Row],[Commissioned Date]])/365.25),"")</f>
        <v>0.7227926078028748</v>
      </c>
      <c r="F190" s="49">
        <f>IF(expected_production[[#This Row],[Age (yrs)]]="",1,(1-DegradationRate)^expected_production[[#This Row],[Age (yrs)]])</f>
        <v>0.99493552815291597</v>
      </c>
      <c r="G190" s="52">
        <f>IF(expected_production[[#This Row],[Base Expected (kWh)]]="","",expected_production[[#This Row],[Base Expected (kWh)]]*expected_production[[#This Row],[Degradation Factor]])</f>
        <v>48356.743454665884</v>
      </c>
    </row>
    <row r="191" spans="1:7" ht="15" hidden="1" customHeight="1" x14ac:dyDescent="0.3">
      <c r="A191" t="s">
        <v>60</v>
      </c>
      <c r="B191" s="2">
        <v>45566</v>
      </c>
      <c r="C191" s="52">
        <v>46748.910779999998</v>
      </c>
      <c r="D191" s="48">
        <f>_xlfn.XLOOKUP(expected_production[[#This Row],[Site Name]],Table1[[Site Name ]],Table1[Commisioned Date],"")</f>
        <v>45272</v>
      </c>
      <c r="E191" s="47">
        <f>IF(ISNUMBER(expected_production[[#This Row],[Commissioned Date]]),MAX(0,(expected_production[[#This Row],[Date]]-expected_production[[#This Row],[Commissioned Date]])/365.25),"")</f>
        <v>0.80492813141683783</v>
      </c>
      <c r="F191" s="49">
        <f>IF(expected_production[[#This Row],[Age (yrs)]]="",1,(1-DegradationRate)^expected_production[[#This Row],[Age (yrs)]])</f>
        <v>0.99436164534998406</v>
      </c>
      <c r="G191" s="52">
        <f>IF(expected_production[[#This Row],[Base Expected (kWh)]]="","",expected_production[[#This Row],[Base Expected (kWh)]]*expected_production[[#This Row],[Degradation Factor]])</f>
        <v>46485.323841520403</v>
      </c>
    </row>
    <row r="192" spans="1:7" ht="15" hidden="1" customHeight="1" x14ac:dyDescent="0.3">
      <c r="A192" t="s">
        <v>60</v>
      </c>
      <c r="B192" s="2">
        <v>45597</v>
      </c>
      <c r="C192" s="52">
        <v>46388.481570000004</v>
      </c>
      <c r="D192" s="48">
        <f>_xlfn.XLOOKUP(expected_production[[#This Row],[Site Name]],Table1[[Site Name ]],Table1[Commisioned Date],"")</f>
        <v>45272</v>
      </c>
      <c r="E192" s="47">
        <f>IF(ISNUMBER(expected_production[[#This Row],[Commissioned Date]]),MAX(0,(expected_production[[#This Row],[Date]]-expected_production[[#This Row],[Commissioned Date]])/365.25),"")</f>
        <v>0.88980150581793294</v>
      </c>
      <c r="F192" s="49">
        <f>IF(expected_production[[#This Row],[Age (yrs)]]="",1,(1-DegradationRate)^expected_production[[#This Row],[Age (yrs)]])</f>
        <v>0.99376898087075505</v>
      </c>
      <c r="G192" s="52">
        <f>IF(expected_production[[#This Row],[Base Expected (kWh)]]="","",expected_production[[#This Row],[Base Expected (kWh)]]*expected_production[[#This Row],[Degradation Factor]])</f>
        <v>46099.434053960707</v>
      </c>
    </row>
    <row r="193" spans="1:7" ht="15" hidden="1" customHeight="1" x14ac:dyDescent="0.3">
      <c r="A193" t="s">
        <v>60</v>
      </c>
      <c r="B193" s="2">
        <v>45627</v>
      </c>
      <c r="C193" s="52">
        <v>50640.311422710001</v>
      </c>
      <c r="D193" s="48">
        <f>_xlfn.XLOOKUP(expected_production[[#This Row],[Site Name]],Table1[[Site Name ]],Table1[Commisioned Date],"")</f>
        <v>45272</v>
      </c>
      <c r="E193" s="47">
        <f>IF(ISNUMBER(expected_production[[#This Row],[Commissioned Date]]),MAX(0,(expected_production[[#This Row],[Date]]-expected_production[[#This Row],[Commissioned Date]])/365.25),"")</f>
        <v>0.97193702943189597</v>
      </c>
      <c r="F193" s="49">
        <f>IF(expected_production[[#This Row],[Age (yrs)]]="",1,(1-DegradationRate)^expected_production[[#This Row],[Age (yrs)]])</f>
        <v>0.99319577093697398</v>
      </c>
      <c r="G193" s="52">
        <f>IF(expected_production[[#This Row],[Base Expected (kWh)]]="","",expected_production[[#This Row],[Base Expected (kWh)]]*expected_production[[#This Row],[Degradation Factor]])</f>
        <v>50295.743143966909</v>
      </c>
    </row>
    <row r="194" spans="1:7" ht="15" hidden="1" customHeight="1" x14ac:dyDescent="0.3">
      <c r="A194" t="s">
        <v>60</v>
      </c>
      <c r="B194" s="2">
        <v>45658</v>
      </c>
      <c r="C194" s="52">
        <v>51314.734709999997</v>
      </c>
      <c r="D194" s="48">
        <f>_xlfn.XLOOKUP(expected_production[[#This Row],[Site Name]],Table1[[Site Name ]],Table1[Commisioned Date],"")</f>
        <v>45272</v>
      </c>
      <c r="E194" s="47">
        <f>IF(ISNUMBER(expected_production[[#This Row],[Commissioned Date]]),MAX(0,(expected_production[[#This Row],[Date]]-expected_production[[#This Row],[Commissioned Date]])/365.25),"")</f>
        <v>1.0568104038329911</v>
      </c>
      <c r="F194" s="49">
        <f>IF(expected_production[[#This Row],[Age (yrs)]]="",1,(1-DegradationRate)^expected_production[[#This Row],[Age (yrs)]])</f>
        <v>0.99260380134813531</v>
      </c>
      <c r="G194" s="52">
        <f>IF(expected_production[[#This Row],[Base Expected (kWh)]]="","",expected_production[[#This Row],[Base Expected (kWh)]]*expected_production[[#This Row],[Degradation Factor]])</f>
        <v>50935.2007383171</v>
      </c>
    </row>
    <row r="195" spans="1:7" ht="15" hidden="1" customHeight="1" x14ac:dyDescent="0.3">
      <c r="A195" t="s">
        <v>60</v>
      </c>
      <c r="B195" s="2">
        <v>45689</v>
      </c>
      <c r="C195" s="52">
        <v>44103.290670000002</v>
      </c>
      <c r="D195" s="48">
        <f>_xlfn.XLOOKUP(expected_production[[#This Row],[Site Name]],Table1[[Site Name ]],Table1[Commisioned Date],"")</f>
        <v>45272</v>
      </c>
      <c r="E195" s="47">
        <f>IF(ISNUMBER(expected_production[[#This Row],[Commissioned Date]]),MAX(0,(expected_production[[#This Row],[Date]]-expected_production[[#This Row],[Commissioned Date]])/365.25),"")</f>
        <v>1.1416837782340863</v>
      </c>
      <c r="F195" s="49">
        <f>IF(expected_production[[#This Row],[Age (yrs)]]="",1,(1-DegradationRate)^expected_production[[#This Row],[Age (yrs)]])</f>
        <v>0.9920121845880181</v>
      </c>
      <c r="G195" s="52">
        <f>IF(expected_production[[#This Row],[Base Expected (kWh)]]="","",expected_production[[#This Row],[Base Expected (kWh)]]*expected_production[[#This Row],[Degradation Factor]])</f>
        <v>43751.001725067057</v>
      </c>
    </row>
    <row r="196" spans="1:7" ht="15" hidden="1" customHeight="1" x14ac:dyDescent="0.3">
      <c r="A196" t="s">
        <v>60</v>
      </c>
      <c r="B196" s="2">
        <v>45717</v>
      </c>
      <c r="C196" s="52">
        <v>48739.270049999999</v>
      </c>
      <c r="D196" s="48">
        <f>_xlfn.XLOOKUP(expected_production[[#This Row],[Site Name]],Table1[[Site Name ]],Table1[Commisioned Date],"")</f>
        <v>45272</v>
      </c>
      <c r="E196" s="47">
        <f>IF(ISNUMBER(expected_production[[#This Row],[Commissioned Date]]),MAX(0,(expected_production[[#This Row],[Date]]-expected_production[[#This Row],[Commissioned Date]])/365.25),"")</f>
        <v>1.2183436002737851</v>
      </c>
      <c r="F196" s="49">
        <f>IF(expected_production[[#This Row],[Age (yrs)]]="",1,(1-DegradationRate)^expected_production[[#This Row],[Age (yrs)]])</f>
        <v>0.99147812415163894</v>
      </c>
      <c r="G196" s="52">
        <f>IF(expected_production[[#This Row],[Base Expected (kWh)]]="","",expected_production[[#This Row],[Base Expected (kWh)]]*expected_production[[#This Row],[Degradation Factor]])</f>
        <v>48323.920041694153</v>
      </c>
    </row>
    <row r="197" spans="1:7" ht="15" hidden="1" customHeight="1" x14ac:dyDescent="0.3">
      <c r="A197" t="s">
        <v>60</v>
      </c>
      <c r="B197" s="2">
        <v>45748</v>
      </c>
      <c r="C197" s="52">
        <v>46849.898880000001</v>
      </c>
      <c r="D197" s="48">
        <f>_xlfn.XLOOKUP(expected_production[[#This Row],[Site Name]],Table1[[Site Name ]],Table1[Commisioned Date],"")</f>
        <v>45272</v>
      </c>
      <c r="E197" s="47">
        <f>IF(ISNUMBER(expected_production[[#This Row],[Commissioned Date]]),MAX(0,(expected_production[[#This Row],[Date]]-expected_production[[#This Row],[Commissioned Date]])/365.25),"")</f>
        <v>1.3032169746748803</v>
      </c>
      <c r="F197" s="49">
        <f>IF(expected_production[[#This Row],[Age (yrs)]]="",1,(1-DegradationRate)^expected_production[[#This Row],[Age (yrs)]])</f>
        <v>0.99088717832336293</v>
      </c>
      <c r="G197" s="52">
        <f>IF(expected_production[[#This Row],[Base Expected (kWh)]]="","",expected_production[[#This Row],[Base Expected (kWh)]]*expected_production[[#This Row],[Degradation Factor]])</f>
        <v>46422.964105938081</v>
      </c>
    </row>
    <row r="198" spans="1:7" ht="15" hidden="1" customHeight="1" x14ac:dyDescent="0.3">
      <c r="A198" t="s">
        <v>60</v>
      </c>
      <c r="B198" s="2">
        <v>45778</v>
      </c>
      <c r="C198" s="52">
        <v>45273.233339999999</v>
      </c>
      <c r="D198" s="48">
        <f>_xlfn.XLOOKUP(expected_production[[#This Row],[Site Name]],Table1[[Site Name ]],Table1[Commisioned Date],"")</f>
        <v>45272</v>
      </c>
      <c r="E198" s="47">
        <f>IF(ISNUMBER(expected_production[[#This Row],[Commissioned Date]]),MAX(0,(expected_production[[#This Row],[Date]]-expected_production[[#This Row],[Commissioned Date]])/365.25),"")</f>
        <v>1.3853524982888432</v>
      </c>
      <c r="F198" s="49">
        <f>IF(expected_production[[#This Row],[Age (yrs)]]="",1,(1-DegradationRate)^expected_production[[#This Row],[Age (yrs)]])</f>
        <v>0.99031563062484895</v>
      </c>
      <c r="G198" s="52">
        <f>IF(expected_production[[#This Row],[Base Expected (kWh)]]="","",expected_production[[#This Row],[Base Expected (kWh)]]*expected_production[[#This Row],[Degradation Factor]])</f>
        <v>44834.790625528032</v>
      </c>
    </row>
    <row r="199" spans="1:7" ht="15" hidden="1" customHeight="1" x14ac:dyDescent="0.3">
      <c r="A199" t="s">
        <v>60</v>
      </c>
      <c r="B199" s="2">
        <v>45809</v>
      </c>
      <c r="C199" s="52">
        <v>40943.971799999999</v>
      </c>
      <c r="D199" s="48">
        <f>_xlfn.XLOOKUP(expected_production[[#This Row],[Site Name]],Table1[[Site Name ]],Table1[Commisioned Date],"")</f>
        <v>45272</v>
      </c>
      <c r="E199" s="47">
        <f>IF(ISNUMBER(expected_production[[#This Row],[Commissioned Date]]),MAX(0,(expected_production[[#This Row],[Date]]-expected_production[[#This Row],[Commissioned Date]])/365.25),"")</f>
        <v>1.4702258726899384</v>
      </c>
      <c r="F199" s="49">
        <f>IF(expected_production[[#This Row],[Age (yrs)]]="",1,(1-DegradationRate)^expected_production[[#This Row],[Age (yrs)]])</f>
        <v>0.98972537767187019</v>
      </c>
      <c r="G199" s="52">
        <f>IF(expected_production[[#This Row],[Base Expected (kWh)]]="","",expected_production[[#This Row],[Base Expected (kWh)]]*expected_production[[#This Row],[Degradation Factor]])</f>
        <v>40523.2879531414</v>
      </c>
    </row>
    <row r="200" spans="1:7" ht="15" hidden="1" customHeight="1" x14ac:dyDescent="0.3">
      <c r="A200" t="s">
        <v>60</v>
      </c>
      <c r="B200" s="2">
        <v>45839</v>
      </c>
      <c r="C200" s="52">
        <v>43112.802960000001</v>
      </c>
      <c r="D200" s="48">
        <f>_xlfn.XLOOKUP(expected_production[[#This Row],[Site Name]],Table1[[Site Name ]],Table1[Commisioned Date],"")</f>
        <v>45272</v>
      </c>
      <c r="E200" s="47">
        <f>IF(ISNUMBER(expected_production[[#This Row],[Commissioned Date]]),MAX(0,(expected_production[[#This Row],[Date]]-expected_production[[#This Row],[Commissioned Date]])/365.25),"")</f>
        <v>1.5523613963039014</v>
      </c>
      <c r="F200" s="49">
        <f>IF(expected_production[[#This Row],[Age (yrs)]]="",1,(1-DegradationRate)^expected_production[[#This Row],[Age (yrs)]])</f>
        <v>0.98915450010463157</v>
      </c>
      <c r="G200" s="52">
        <f>IF(expected_production[[#This Row],[Base Expected (kWh)]]="","",expected_production[[#This Row],[Base Expected (kWh)]]*expected_production[[#This Row],[Degradation Factor]])</f>
        <v>42645.223060008284</v>
      </c>
    </row>
    <row r="201" spans="1:7" ht="15" hidden="1" customHeight="1" x14ac:dyDescent="0.3">
      <c r="A201" t="s">
        <v>60</v>
      </c>
      <c r="B201" s="2">
        <v>45870</v>
      </c>
      <c r="C201" s="52">
        <v>48266.50275</v>
      </c>
      <c r="D201" s="48">
        <f>_xlfn.XLOOKUP(expected_production[[#This Row],[Site Name]],Table1[[Site Name ]],Table1[Commisioned Date],"")</f>
        <v>45272</v>
      </c>
      <c r="E201" s="47">
        <f>IF(ISNUMBER(expected_production[[#This Row],[Commissioned Date]]),MAX(0,(expected_production[[#This Row],[Date]]-expected_production[[#This Row],[Commissioned Date]])/365.25),"")</f>
        <v>1.6372347707049966</v>
      </c>
      <c r="F201" s="49">
        <f>IF(expected_production[[#This Row],[Age (yrs)]]="",1,(1-DegradationRate)^expected_production[[#This Row],[Age (yrs)]])</f>
        <v>0.98856493921456401</v>
      </c>
      <c r="G201" s="52">
        <f>IF(expected_production[[#This Row],[Base Expected (kWh)]]="","",expected_production[[#This Row],[Base Expected (kWh)]]*expected_production[[#This Row],[Degradation Factor]])</f>
        <v>47714.572357153338</v>
      </c>
    </row>
    <row r="202" spans="1:7" ht="15" hidden="1" customHeight="1" x14ac:dyDescent="0.3">
      <c r="A202" t="s">
        <v>60</v>
      </c>
      <c r="B202" s="2">
        <v>45901</v>
      </c>
      <c r="C202" s="52">
        <v>48602.891430000003</v>
      </c>
      <c r="D202" s="48">
        <f>_xlfn.XLOOKUP(expected_production[[#This Row],[Site Name]],Table1[[Site Name ]],Table1[Commisioned Date],"")</f>
        <v>45272</v>
      </c>
      <c r="E202" s="47">
        <f>IF(ISNUMBER(expected_production[[#This Row],[Commissioned Date]]),MAX(0,(expected_production[[#This Row],[Date]]-expected_production[[#This Row],[Commissioned Date]])/365.25),"")</f>
        <v>1.7221081451060918</v>
      </c>
      <c r="F202" s="49">
        <f>IF(expected_production[[#This Row],[Age (yrs)]]="",1,(1-DegradationRate)^expected_production[[#This Row],[Age (yrs)]])</f>
        <v>0.98797572971757319</v>
      </c>
      <c r="G202" s="52">
        <f>IF(expected_production[[#This Row],[Base Expected (kWh)]]="","",expected_production[[#This Row],[Base Expected (kWh)]]*expected_production[[#This Row],[Degradation Factor]])</f>
        <v>48018.47712693824</v>
      </c>
    </row>
    <row r="203" spans="1:7" ht="15" hidden="1" customHeight="1" x14ac:dyDescent="0.3">
      <c r="A203" t="s">
        <v>60</v>
      </c>
      <c r="B203" s="2">
        <v>45931</v>
      </c>
      <c r="C203" s="52">
        <v>46748.910779999998</v>
      </c>
      <c r="D203" s="48">
        <f>_xlfn.XLOOKUP(expected_production[[#This Row],[Site Name]],Table1[[Site Name ]],Table1[Commisioned Date],"")</f>
        <v>45272</v>
      </c>
      <c r="E203" s="47">
        <f>IF(ISNUMBER(expected_production[[#This Row],[Commissioned Date]]),MAX(0,(expected_production[[#This Row],[Date]]-expected_production[[#This Row],[Commissioned Date]])/365.25),"")</f>
        <v>1.8042436687200547</v>
      </c>
      <c r="F203" s="49">
        <f>IF(expected_production[[#This Row],[Age (yrs)]]="",1,(1-DegradationRate)^expected_production[[#This Row],[Age (yrs)]])</f>
        <v>0.98740586135429176</v>
      </c>
      <c r="G203" s="52">
        <f>IF(expected_production[[#This Row],[Base Expected (kWh)]]="","",expected_production[[#This Row],[Base Expected (kWh)]]*expected_production[[#This Row],[Degradation Factor]])</f>
        <v>46160.148516100831</v>
      </c>
    </row>
    <row r="204" spans="1:7" ht="15" hidden="1" customHeight="1" x14ac:dyDescent="0.3">
      <c r="A204" t="s">
        <v>60</v>
      </c>
      <c r="B204" s="2">
        <v>45962</v>
      </c>
      <c r="C204" s="52">
        <v>46388.481570000004</v>
      </c>
      <c r="D204" s="48">
        <f>_xlfn.XLOOKUP(expected_production[[#This Row],[Site Name]],Table1[[Site Name ]],Table1[Commisioned Date],"")</f>
        <v>45272</v>
      </c>
      <c r="E204" s="47">
        <f>IF(ISNUMBER(expected_production[[#This Row],[Commissioned Date]]),MAX(0,(expected_production[[#This Row],[Date]]-expected_production[[#This Row],[Commissioned Date]])/365.25),"")</f>
        <v>1.8891170431211499</v>
      </c>
      <c r="F204" s="49">
        <f>IF(expected_production[[#This Row],[Age (yrs)]]="",1,(1-DegradationRate)^expected_production[[#This Row],[Age (yrs)]])</f>
        <v>0.98681734269677523</v>
      </c>
      <c r="G204" s="52">
        <f>IF(expected_production[[#This Row],[Base Expected (kWh)]]="","",expected_production[[#This Row],[Base Expected (kWh)]]*expected_production[[#This Row],[Degradation Factor]])</f>
        <v>45776.958114645735</v>
      </c>
    </row>
    <row r="205" spans="1:7" ht="15" hidden="1" customHeight="1" x14ac:dyDescent="0.3">
      <c r="A205" t="s">
        <v>60</v>
      </c>
      <c r="B205" s="2">
        <v>45992</v>
      </c>
      <c r="C205" s="52">
        <v>50640.311422710001</v>
      </c>
      <c r="D205" s="48">
        <f>_xlfn.XLOOKUP(expected_production[[#This Row],[Site Name]],Table1[[Site Name ]],Table1[Commisioned Date],"")</f>
        <v>45272</v>
      </c>
      <c r="E205" s="47">
        <f>IF(ISNUMBER(expected_production[[#This Row],[Commissioned Date]]),MAX(0,(expected_production[[#This Row],[Date]]-expected_production[[#This Row],[Commissioned Date]])/365.25),"")</f>
        <v>1.9712525667351128</v>
      </c>
      <c r="F205" s="49">
        <f>IF(expected_production[[#This Row],[Age (yrs)]]="",1,(1-DegradationRate)^expected_production[[#This Row],[Age (yrs)]])</f>
        <v>0.98624814249577331</v>
      </c>
      <c r="G205" s="52">
        <f>IF(expected_production[[#This Row],[Base Expected (kWh)]]="","",expected_production[[#This Row],[Base Expected (kWh)]]*expected_production[[#This Row],[Degradation Factor]])</f>
        <v>49943.913076055229</v>
      </c>
    </row>
    <row r="206" spans="1:7" ht="15" hidden="1" customHeight="1" x14ac:dyDescent="0.3">
      <c r="A206" t="s">
        <v>60</v>
      </c>
      <c r="B206" s="2">
        <v>46023</v>
      </c>
      <c r="C206" s="52">
        <v>51314.734709999997</v>
      </c>
      <c r="D206" s="48">
        <f>_xlfn.XLOOKUP(expected_production[[#This Row],[Site Name]],Table1[[Site Name ]],Table1[Commisioned Date],"")</f>
        <v>45272</v>
      </c>
      <c r="E206" s="47">
        <f>IF(ISNUMBER(expected_production[[#This Row],[Commissioned Date]]),MAX(0,(expected_production[[#This Row],[Date]]-expected_production[[#This Row],[Commissioned Date]])/365.25),"")</f>
        <v>2.0561259411362083</v>
      </c>
      <c r="F206" s="49">
        <f>IF(expected_production[[#This Row],[Age (yrs)]]="",1,(1-DegradationRate)^expected_production[[#This Row],[Age (yrs)]])</f>
        <v>0.98566031386773201</v>
      </c>
      <c r="G206" s="52">
        <f>IF(expected_production[[#This Row],[Base Expected (kWh)]]="","",expected_production[[#This Row],[Base Expected (kWh)]]*expected_production[[#This Row],[Degradation Factor]])</f>
        <v>50578.897520298</v>
      </c>
    </row>
    <row r="207" spans="1:7" ht="15" hidden="1" customHeight="1" x14ac:dyDescent="0.3">
      <c r="A207" t="s">
        <v>60</v>
      </c>
      <c r="B207" s="2">
        <v>46054</v>
      </c>
      <c r="C207" s="52">
        <v>44103.290670000002</v>
      </c>
      <c r="D207" s="48">
        <f>_xlfn.XLOOKUP(expected_production[[#This Row],[Site Name]],Table1[[Site Name ]],Table1[Commisioned Date],"")</f>
        <v>45272</v>
      </c>
      <c r="E207" s="47">
        <f>IF(ISNUMBER(expected_production[[#This Row],[Commissioned Date]]),MAX(0,(expected_production[[#This Row],[Date]]-expected_production[[#This Row],[Commissioned Date]])/365.25),"")</f>
        <v>2.1409993155373033</v>
      </c>
      <c r="F207" s="49">
        <f>IF(expected_production[[#This Row],[Age (yrs)]]="",1,(1-DegradationRate)^expected_production[[#This Row],[Age (yrs)]])</f>
        <v>0.9850728356002959</v>
      </c>
      <c r="G207" s="52">
        <f>IF(expected_production[[#This Row],[Base Expected (kWh)]]="","",expected_production[[#This Row],[Base Expected (kWh)]]*expected_production[[#This Row],[Degradation Factor]])</f>
        <v>43444.953599600973</v>
      </c>
    </row>
    <row r="208" spans="1:7" ht="15" hidden="1" customHeight="1" x14ac:dyDescent="0.3">
      <c r="A208" t="s">
        <v>60</v>
      </c>
      <c r="B208" s="2">
        <v>46082</v>
      </c>
      <c r="C208" s="52">
        <v>48739.270049999999</v>
      </c>
      <c r="D208" s="48">
        <f>_xlfn.XLOOKUP(expected_production[[#This Row],[Site Name]],Table1[[Site Name ]],Table1[Commisioned Date],"")</f>
        <v>45272</v>
      </c>
      <c r="E208" s="47">
        <f>IF(ISNUMBER(expected_production[[#This Row],[Commissioned Date]]),MAX(0,(expected_production[[#This Row],[Date]]-expected_production[[#This Row],[Commissioned Date]])/365.25),"")</f>
        <v>2.2176591375770021</v>
      </c>
      <c r="F208" s="49">
        <f>IF(expected_production[[#This Row],[Age (yrs)]]="",1,(1-DegradationRate)^expected_production[[#This Row],[Age (yrs)]])</f>
        <v>0.98454251103713097</v>
      </c>
      <c r="G208" s="52">
        <f>IF(expected_production[[#This Row],[Base Expected (kWh)]]="","",expected_production[[#This Row],[Base Expected (kWh)]]*expected_production[[#This Row],[Degradation Factor]])</f>
        <v>47985.883321143832</v>
      </c>
    </row>
    <row r="209" spans="1:7" ht="15" hidden="1" customHeight="1" x14ac:dyDescent="0.3">
      <c r="A209" t="s">
        <v>60</v>
      </c>
      <c r="B209" s="2">
        <v>46113</v>
      </c>
      <c r="C209" s="52">
        <v>46849.898880000001</v>
      </c>
      <c r="D209" s="48">
        <f>_xlfn.XLOOKUP(expected_production[[#This Row],[Site Name]],Table1[[Site Name ]],Table1[Commisioned Date],"")</f>
        <v>45272</v>
      </c>
      <c r="E209" s="47">
        <f>IF(ISNUMBER(expected_production[[#This Row],[Commissioned Date]]),MAX(0,(expected_production[[#This Row],[Date]]-expected_production[[#This Row],[Commissioned Date]])/365.25),"")</f>
        <v>2.3025325119780971</v>
      </c>
      <c r="F209" s="49">
        <f>IF(expected_production[[#This Row],[Age (yrs)]]="",1,(1-DegradationRate)^expected_production[[#This Row],[Age (yrs)]])</f>
        <v>0.98395569900821644</v>
      </c>
      <c r="G209" s="52">
        <f>IF(expected_production[[#This Row],[Base Expected (kWh)]]="","",expected_production[[#This Row],[Base Expected (kWh)]]*expected_production[[#This Row],[Degradation Factor]])</f>
        <v>46098.225000934661</v>
      </c>
    </row>
    <row r="210" spans="1:7" ht="15" hidden="1" customHeight="1" x14ac:dyDescent="0.3">
      <c r="A210" t="s">
        <v>60</v>
      </c>
      <c r="B210" s="2">
        <v>46143</v>
      </c>
      <c r="C210" s="52">
        <v>45273.233339999999</v>
      </c>
      <c r="D210" s="48">
        <f>_xlfn.XLOOKUP(expected_production[[#This Row],[Site Name]],Table1[[Site Name ]],Table1[Commisioned Date],"")</f>
        <v>45272</v>
      </c>
      <c r="E210" s="47">
        <f>IF(ISNUMBER(expected_production[[#This Row],[Commissioned Date]]),MAX(0,(expected_production[[#This Row],[Date]]-expected_production[[#This Row],[Commissioned Date]])/365.25),"")</f>
        <v>2.3846680355920604</v>
      </c>
      <c r="F210" s="49">
        <f>IF(expected_production[[#This Row],[Age (yrs)]]="",1,(1-DegradationRate)^expected_production[[#This Row],[Age (yrs)]])</f>
        <v>0.98338814941477093</v>
      </c>
      <c r="G210" s="52">
        <f>IF(expected_production[[#This Row],[Base Expected (kWh)]]="","",expected_production[[#This Row],[Base Expected (kWh)]]*expected_production[[#This Row],[Degradation Factor]])</f>
        <v>44521.16115224571</v>
      </c>
    </row>
    <row r="211" spans="1:7" ht="15" hidden="1" customHeight="1" x14ac:dyDescent="0.3">
      <c r="A211" t="s">
        <v>60</v>
      </c>
      <c r="B211" s="2">
        <v>46174</v>
      </c>
      <c r="C211" s="52">
        <v>40943.971799999999</v>
      </c>
      <c r="D211" s="48">
        <f>_xlfn.XLOOKUP(expected_production[[#This Row],[Site Name]],Table1[[Site Name ]],Table1[Commisioned Date],"")</f>
        <v>45272</v>
      </c>
      <c r="E211" s="47">
        <f>IF(ISNUMBER(expected_production[[#This Row],[Commissioned Date]]),MAX(0,(expected_production[[#This Row],[Date]]-expected_production[[#This Row],[Commissioned Date]])/365.25),"")</f>
        <v>2.4695414099931554</v>
      </c>
      <c r="F211" s="49">
        <f>IF(expected_production[[#This Row],[Age (yrs)]]="",1,(1-DegradationRate)^expected_production[[#This Row],[Age (yrs)]])</f>
        <v>0.9828020254143347</v>
      </c>
      <c r="G211" s="52">
        <f>IF(expected_production[[#This Row],[Base Expected (kWh)]]="","",expected_production[[#This Row],[Base Expected (kWh)]]*expected_production[[#This Row],[Degradation Factor]])</f>
        <v>40239.8184135474</v>
      </c>
    </row>
    <row r="212" spans="1:7" ht="15" hidden="1" customHeight="1" x14ac:dyDescent="0.3">
      <c r="A212" t="s">
        <v>60</v>
      </c>
      <c r="B212" s="2">
        <v>46204</v>
      </c>
      <c r="C212" s="52">
        <v>43112.802960000001</v>
      </c>
      <c r="D212" s="48">
        <f>_xlfn.XLOOKUP(expected_production[[#This Row],[Site Name]],Table1[[Site Name ]],Table1[Commisioned Date],"")</f>
        <v>45272</v>
      </c>
      <c r="E212" s="47">
        <f>IF(ISNUMBER(expected_production[[#This Row],[Commissioned Date]]),MAX(0,(expected_production[[#This Row],[Date]]-expected_production[[#This Row],[Commissioned Date]])/365.25),"")</f>
        <v>2.5516769336071183</v>
      </c>
      <c r="F212" s="49">
        <f>IF(expected_production[[#This Row],[Age (yrs)]]="",1,(1-DegradationRate)^expected_production[[#This Row],[Age (yrs)]])</f>
        <v>0.982235141264445</v>
      </c>
      <c r="G212" s="52">
        <f>IF(expected_production[[#This Row],[Base Expected (kWh)]]="","",expected_production[[#This Row],[Base Expected (kWh)]]*expected_production[[#This Row],[Degradation Factor]])</f>
        <v>42346.910105721785</v>
      </c>
    </row>
    <row r="213" spans="1:7" ht="15" hidden="1" customHeight="1" x14ac:dyDescent="0.3">
      <c r="A213" t="s">
        <v>60</v>
      </c>
      <c r="B213" s="2">
        <v>46235</v>
      </c>
      <c r="C213" s="52">
        <v>48266.50275</v>
      </c>
      <c r="D213" s="48">
        <f>_xlfn.XLOOKUP(expected_production[[#This Row],[Site Name]],Table1[[Site Name ]],Table1[Commisioned Date],"")</f>
        <v>45272</v>
      </c>
      <c r="E213" s="47">
        <f>IF(ISNUMBER(expected_production[[#This Row],[Commissioned Date]]),MAX(0,(expected_production[[#This Row],[Date]]-expected_production[[#This Row],[Commissioned Date]])/365.25),"")</f>
        <v>2.6365503080082138</v>
      </c>
      <c r="F213" s="49">
        <f>IF(expected_production[[#This Row],[Age (yrs)]]="",1,(1-DegradationRate)^expected_production[[#This Row],[Age (yrs)]])</f>
        <v>0.98164970448578381</v>
      </c>
      <c r="G213" s="52">
        <f>IF(expected_production[[#This Row],[Base Expected (kWh)]]="","",expected_production[[#This Row],[Base Expected (kWh)]]*expected_production[[#This Row],[Degradation Factor]])</f>
        <v>47380.798161099774</v>
      </c>
    </row>
    <row r="214" spans="1:7" ht="15" hidden="1" customHeight="1" x14ac:dyDescent="0.3">
      <c r="A214" t="s">
        <v>60</v>
      </c>
      <c r="B214" s="2">
        <v>46266</v>
      </c>
      <c r="C214" s="52">
        <v>48602.891430000003</v>
      </c>
      <c r="D214" s="48">
        <f>_xlfn.XLOOKUP(expected_production[[#This Row],[Site Name]],Table1[[Site Name ]],Table1[Commisioned Date],"")</f>
        <v>45272</v>
      </c>
      <c r="E214" s="47">
        <f>IF(ISNUMBER(expected_production[[#This Row],[Commissioned Date]]),MAX(0,(expected_production[[#This Row],[Date]]-expected_production[[#This Row],[Commissioned Date]])/365.25),"")</f>
        <v>2.7214236824093088</v>
      </c>
      <c r="F214" s="49">
        <f>IF(expected_production[[#This Row],[Age (yrs)]]="",1,(1-DegradationRate)^expected_production[[#This Row],[Age (yrs)]])</f>
        <v>0.98106461664212541</v>
      </c>
      <c r="G214" s="52">
        <f>IF(expected_production[[#This Row],[Base Expected (kWh)]]="","",expected_production[[#This Row],[Base Expected (kWh)]]*expected_production[[#This Row],[Degradation Factor]])</f>
        <v>47682.577048471794</v>
      </c>
    </row>
    <row r="215" spans="1:7" ht="15" hidden="1" customHeight="1" x14ac:dyDescent="0.3">
      <c r="A215" t="s">
        <v>60</v>
      </c>
      <c r="B215" s="2">
        <v>46296</v>
      </c>
      <c r="C215" s="52">
        <v>46748.910779999998</v>
      </c>
      <c r="D215" s="48">
        <f>_xlfn.XLOOKUP(expected_production[[#This Row],[Site Name]],Table1[[Site Name ]],Table1[Commisioned Date],"")</f>
        <v>45272</v>
      </c>
      <c r="E215" s="47">
        <f>IF(ISNUMBER(expected_production[[#This Row],[Commissioned Date]]),MAX(0,(expected_production[[#This Row],[Date]]-expected_production[[#This Row],[Commissioned Date]])/365.25),"")</f>
        <v>2.8035592060232717</v>
      </c>
      <c r="F215" s="49">
        <f>IF(expected_production[[#This Row],[Age (yrs)]]="",1,(1-DegradationRate)^expected_production[[#This Row],[Age (yrs)]])</f>
        <v>0.98049873463658366</v>
      </c>
      <c r="G215" s="52">
        <f>IF(expected_production[[#This Row],[Base Expected (kWh)]]="","",expected_production[[#This Row],[Base Expected (kWh)]]*expected_production[[#This Row],[Degradation Factor]])</f>
        <v>45837.247865428544</v>
      </c>
    </row>
    <row r="216" spans="1:7" ht="15" hidden="1" customHeight="1" x14ac:dyDescent="0.3">
      <c r="A216" t="s">
        <v>60</v>
      </c>
      <c r="B216" s="2">
        <v>46327</v>
      </c>
      <c r="C216" s="52">
        <v>46388.481570000004</v>
      </c>
      <c r="D216" s="48">
        <f>_xlfn.XLOOKUP(expected_production[[#This Row],[Site Name]],Table1[[Site Name ]],Table1[Commisioned Date],"")</f>
        <v>45272</v>
      </c>
      <c r="E216" s="47">
        <f>IF(ISNUMBER(expected_production[[#This Row],[Commissioned Date]]),MAX(0,(expected_production[[#This Row],[Date]]-expected_production[[#This Row],[Commissioned Date]])/365.25),"")</f>
        <v>2.8884325804243667</v>
      </c>
      <c r="F216" s="49">
        <f>IF(expected_production[[#This Row],[Age (yrs)]]="",1,(1-DegradationRate)^expected_production[[#This Row],[Age (yrs)]])</f>
        <v>0.97991433279982176</v>
      </c>
      <c r="G216" s="52">
        <f>IF(expected_production[[#This Row],[Base Expected (kWh)]]="","",expected_production[[#This Row],[Base Expected (kWh)]]*expected_production[[#This Row],[Degradation Factor]])</f>
        <v>45456.737967263383</v>
      </c>
    </row>
    <row r="217" spans="1:7" ht="15" hidden="1" customHeight="1" x14ac:dyDescent="0.3">
      <c r="A217" t="s">
        <v>60</v>
      </c>
      <c r="B217" s="2">
        <v>46357</v>
      </c>
      <c r="C217" s="52">
        <v>50640.311422710001</v>
      </c>
      <c r="D217" s="48">
        <f>_xlfn.XLOOKUP(expected_production[[#This Row],[Site Name]],Table1[[Site Name ]],Table1[Commisioned Date],"")</f>
        <v>45272</v>
      </c>
      <c r="E217" s="47">
        <f>IF(ISNUMBER(expected_production[[#This Row],[Commissioned Date]]),MAX(0,(expected_production[[#This Row],[Date]]-expected_production[[#This Row],[Commissioned Date]])/365.25),"")</f>
        <v>2.97056810403833</v>
      </c>
      <c r="F217" s="49">
        <f>IF(expected_production[[#This Row],[Age (yrs)]]="",1,(1-DegradationRate)^expected_production[[#This Row],[Age (yrs)]])</f>
        <v>0.97934911428261362</v>
      </c>
      <c r="G217" s="52">
        <f>IF(expected_production[[#This Row],[Base Expected (kWh)]]="","",expected_production[[#This Row],[Base Expected (kWh)]]*expected_production[[#This Row],[Degradation Factor]])</f>
        <v>49594.544138826765</v>
      </c>
    </row>
    <row r="218" spans="1:7" ht="15" hidden="1" customHeight="1" x14ac:dyDescent="0.3">
      <c r="A218" t="s">
        <v>61</v>
      </c>
      <c r="B218" s="2">
        <v>45292</v>
      </c>
      <c r="C218" s="52">
        <v>13787.1</v>
      </c>
      <c r="D218" s="48">
        <f>_xlfn.XLOOKUP(expected_production[[#This Row],[Site Name]],Table1[[Site Name ]],Table1[Commisioned Date],"")</f>
        <v>45272</v>
      </c>
      <c r="E218" s="47">
        <f>IF(ISNUMBER(expected_production[[#This Row],[Commissioned Date]]),MAX(0,(expected_production[[#This Row],[Date]]-expected_production[[#This Row],[Commissioned Date]])/365.25),"")</f>
        <v>5.4757015742642023E-2</v>
      </c>
      <c r="F218" s="49">
        <f>IF(expected_production[[#This Row],[Age (yrs)]]="",1,(1-DegradationRate)^expected_production[[#This Row],[Age (yrs)]])</f>
        <v>0.99961542701646489</v>
      </c>
      <c r="G218" s="52">
        <f>IF(expected_production[[#This Row],[Base Expected (kWh)]]="","",expected_production[[#This Row],[Base Expected (kWh)]]*expected_production[[#This Row],[Degradation Factor]])</f>
        <v>13781.797853818704</v>
      </c>
    </row>
    <row r="219" spans="1:7" ht="15" hidden="1" customHeight="1" x14ac:dyDescent="0.3">
      <c r="A219" t="s">
        <v>61</v>
      </c>
      <c r="B219" s="2">
        <v>45323</v>
      </c>
      <c r="C219" s="52">
        <v>11359.8</v>
      </c>
      <c r="D219" s="48">
        <f>_xlfn.XLOOKUP(expected_production[[#This Row],[Site Name]],Table1[[Site Name ]],Table1[Commisioned Date],"")</f>
        <v>45272</v>
      </c>
      <c r="E219" s="47">
        <f>IF(ISNUMBER(expected_production[[#This Row],[Commissioned Date]]),MAX(0,(expected_production[[#This Row],[Date]]-expected_production[[#This Row],[Commissioned Date]])/365.25),"")</f>
        <v>0.13963039014373715</v>
      </c>
      <c r="F219" s="49">
        <f>IF(expected_production[[#This Row],[Age (yrs)]]="",1,(1-DegradationRate)^expected_production[[#This Row],[Age (yrs)]])</f>
        <v>0.99901963115159775</v>
      </c>
      <c r="G219" s="52">
        <f>IF(expected_production[[#This Row],[Base Expected (kWh)]]="","",expected_production[[#This Row],[Base Expected (kWh)]]*expected_production[[#This Row],[Degradation Factor]])</f>
        <v>11348.66320595592</v>
      </c>
    </row>
    <row r="220" spans="1:7" ht="15" hidden="1" customHeight="1" x14ac:dyDescent="0.3">
      <c r="A220" t="s">
        <v>61</v>
      </c>
      <c r="B220" s="2">
        <v>45352</v>
      </c>
      <c r="C220" s="52">
        <v>10881</v>
      </c>
      <c r="D220" s="48">
        <f>_xlfn.XLOOKUP(expected_production[[#This Row],[Site Name]],Table1[[Site Name ]],Table1[Commisioned Date],"")</f>
        <v>45272</v>
      </c>
      <c r="E220" s="47">
        <f>IF(ISNUMBER(expected_production[[#This Row],[Commissioned Date]]),MAX(0,(expected_production[[#This Row],[Date]]-expected_production[[#This Row],[Commissioned Date]])/365.25),"")</f>
        <v>0.21902806297056809</v>
      </c>
      <c r="F220" s="49">
        <f>IF(expected_production[[#This Row],[Age (yrs)]]="",1,(1-DegradationRate)^expected_production[[#This Row],[Age (yrs)]])</f>
        <v>0.9984625952166517</v>
      </c>
      <c r="G220" s="52">
        <f>IF(expected_production[[#This Row],[Base Expected (kWh)]]="","",expected_production[[#This Row],[Base Expected (kWh)]]*expected_production[[#This Row],[Degradation Factor]])</f>
        <v>10864.271498552387</v>
      </c>
    </row>
    <row r="221" spans="1:7" ht="15" hidden="1" customHeight="1" x14ac:dyDescent="0.3">
      <c r="A221" t="s">
        <v>61</v>
      </c>
      <c r="B221" s="2">
        <v>45383</v>
      </c>
      <c r="C221" s="52">
        <v>7828.2</v>
      </c>
      <c r="D221" s="48">
        <f>_xlfn.XLOOKUP(expected_production[[#This Row],[Site Name]],Table1[[Site Name ]],Table1[Commisioned Date],"")</f>
        <v>45272</v>
      </c>
      <c r="E221" s="47">
        <f>IF(ISNUMBER(expected_production[[#This Row],[Commissioned Date]]),MAX(0,(expected_production[[#This Row],[Date]]-expected_production[[#This Row],[Commissioned Date]])/365.25),"")</f>
        <v>0.30390143737166325</v>
      </c>
      <c r="F221" s="49">
        <f>IF(expected_production[[#This Row],[Age (yrs)]]="",1,(1-DegradationRate)^expected_production[[#This Row],[Age (yrs)]])</f>
        <v>0.99786748646845025</v>
      </c>
      <c r="G221" s="52">
        <f>IF(expected_production[[#This Row],[Base Expected (kWh)]]="","",expected_production[[#This Row],[Base Expected (kWh)]]*expected_production[[#This Row],[Degradation Factor]])</f>
        <v>7811.5062575723223</v>
      </c>
    </row>
    <row r="222" spans="1:7" ht="15" hidden="1" customHeight="1" x14ac:dyDescent="0.3">
      <c r="A222" t="s">
        <v>61</v>
      </c>
      <c r="B222" s="2">
        <v>45413</v>
      </c>
      <c r="C222" s="52">
        <v>5953.5</v>
      </c>
      <c r="D222" s="48">
        <f>_xlfn.XLOOKUP(expected_production[[#This Row],[Site Name]],Table1[[Site Name ]],Table1[Commisioned Date],"")</f>
        <v>45272</v>
      </c>
      <c r="E222" s="47">
        <f>IF(ISNUMBER(expected_production[[#This Row],[Commissioned Date]]),MAX(0,(expected_production[[#This Row],[Date]]-expected_production[[#This Row],[Commissioned Date]])/365.25),"")</f>
        <v>0.38603696098562629</v>
      </c>
      <c r="F222" s="49">
        <f>IF(expected_production[[#This Row],[Age (yrs)]]="",1,(1-DegradationRate)^expected_production[[#This Row],[Age (yrs)]])</f>
        <v>0.9972919125002031</v>
      </c>
      <c r="G222" s="52">
        <f>IF(expected_production[[#This Row],[Base Expected (kWh)]]="","",expected_production[[#This Row],[Base Expected (kWh)]]*expected_production[[#This Row],[Degradation Factor]])</f>
        <v>5937.377401069959</v>
      </c>
    </row>
    <row r="223" spans="1:7" ht="15" hidden="1" customHeight="1" x14ac:dyDescent="0.3">
      <c r="A223" t="s">
        <v>61</v>
      </c>
      <c r="B223" s="2">
        <v>45444</v>
      </c>
      <c r="C223" s="52">
        <v>5166</v>
      </c>
      <c r="D223" s="48">
        <f>_xlfn.XLOOKUP(expected_production[[#This Row],[Site Name]],Table1[[Site Name ]],Table1[Commisioned Date],"")</f>
        <v>45272</v>
      </c>
      <c r="E223" s="47">
        <f>IF(ISNUMBER(expected_production[[#This Row],[Commissioned Date]]),MAX(0,(expected_production[[#This Row],[Date]]-expected_production[[#This Row],[Commissioned Date]])/365.25),"")</f>
        <v>0.47091033538672145</v>
      </c>
      <c r="F223" s="49">
        <f>IF(expected_production[[#This Row],[Age (yrs)]]="",1,(1-DegradationRate)^expected_production[[#This Row],[Age (yrs)]])</f>
        <v>0.99669750150826131</v>
      </c>
      <c r="G223" s="52">
        <f>IF(expected_production[[#This Row],[Base Expected (kWh)]]="","",expected_production[[#This Row],[Base Expected (kWh)]]*expected_production[[#This Row],[Degradation Factor]])</f>
        <v>5148.9392927916779</v>
      </c>
    </row>
    <row r="224" spans="1:7" ht="15" hidden="1" customHeight="1" x14ac:dyDescent="0.3">
      <c r="A224" t="s">
        <v>61</v>
      </c>
      <c r="B224" s="2">
        <v>45474</v>
      </c>
      <c r="C224" s="52">
        <v>5564.7</v>
      </c>
      <c r="D224" s="48">
        <f>_xlfn.XLOOKUP(expected_production[[#This Row],[Site Name]],Table1[[Site Name ]],Table1[Commisioned Date],"")</f>
        <v>45272</v>
      </c>
      <c r="E224" s="47">
        <f>IF(ISNUMBER(expected_production[[#This Row],[Commissioned Date]]),MAX(0,(expected_production[[#This Row],[Date]]-expected_production[[#This Row],[Commissioned Date]])/365.25),"")</f>
        <v>0.55304585900068448</v>
      </c>
      <c r="F224" s="49">
        <f>IF(expected_production[[#This Row],[Age (yrs)]]="",1,(1-DegradationRate)^expected_production[[#This Row],[Age (yrs)]])</f>
        <v>0.99612260239203143</v>
      </c>
      <c r="G224" s="52">
        <f>IF(expected_production[[#This Row],[Base Expected (kWh)]]="","",expected_production[[#This Row],[Base Expected (kWh)]]*expected_production[[#This Row],[Degradation Factor]])</f>
        <v>5543.1234455309368</v>
      </c>
    </row>
    <row r="225" spans="1:7" ht="15" hidden="1" customHeight="1" x14ac:dyDescent="0.3">
      <c r="A225" t="s">
        <v>61</v>
      </c>
      <c r="B225" s="2">
        <v>45505</v>
      </c>
      <c r="C225" s="52">
        <v>6960.6</v>
      </c>
      <c r="D225" s="48">
        <f>_xlfn.XLOOKUP(expected_production[[#This Row],[Site Name]],Table1[[Site Name ]],Table1[Commisioned Date],"")</f>
        <v>45272</v>
      </c>
      <c r="E225" s="47">
        <f>IF(ISNUMBER(expected_production[[#This Row],[Commissioned Date]]),MAX(0,(expected_production[[#This Row],[Date]]-expected_production[[#This Row],[Commissioned Date]])/365.25),"")</f>
        <v>0.63791923340177958</v>
      </c>
      <c r="F225" s="49">
        <f>IF(expected_production[[#This Row],[Age (yrs)]]="",1,(1-DegradationRate)^expected_production[[#This Row],[Age (yrs)]])</f>
        <v>0.99552888833824049</v>
      </c>
      <c r="G225" s="52">
        <f>IF(expected_production[[#This Row],[Base Expected (kWh)]]="","",expected_production[[#This Row],[Base Expected (kWh)]]*expected_production[[#This Row],[Degradation Factor]])</f>
        <v>6929.4783801671574</v>
      </c>
    </row>
    <row r="226" spans="1:7" ht="15" hidden="1" customHeight="1" x14ac:dyDescent="0.3">
      <c r="A226" t="s">
        <v>61</v>
      </c>
      <c r="B226" s="2">
        <v>45536</v>
      </c>
      <c r="C226" s="52">
        <v>8946</v>
      </c>
      <c r="D226" s="48">
        <f>_xlfn.XLOOKUP(expected_production[[#This Row],[Site Name]],Table1[[Site Name ]],Table1[Commisioned Date],"")</f>
        <v>45272</v>
      </c>
      <c r="E226" s="47">
        <f>IF(ISNUMBER(expected_production[[#This Row],[Commissioned Date]]),MAX(0,(expected_production[[#This Row],[Date]]-expected_production[[#This Row],[Commissioned Date]])/365.25),"")</f>
        <v>0.7227926078028748</v>
      </c>
      <c r="F226" s="49">
        <f>IF(expected_production[[#This Row],[Age (yrs)]]="",1,(1-DegradationRate)^expected_production[[#This Row],[Age (yrs)]])</f>
        <v>0.99493552815291597</v>
      </c>
      <c r="G226" s="52">
        <f>IF(expected_production[[#This Row],[Base Expected (kWh)]]="","",expected_production[[#This Row],[Base Expected (kWh)]]*expected_production[[#This Row],[Degradation Factor]])</f>
        <v>8900.6932348559858</v>
      </c>
    </row>
    <row r="227" spans="1:7" ht="15" hidden="1" customHeight="1" x14ac:dyDescent="0.3">
      <c r="A227" t="s">
        <v>61</v>
      </c>
      <c r="B227" s="2">
        <v>45566</v>
      </c>
      <c r="C227" s="52">
        <v>11314.8</v>
      </c>
      <c r="D227" s="48">
        <f>_xlfn.XLOOKUP(expected_production[[#This Row],[Site Name]],Table1[[Site Name ]],Table1[Commisioned Date],"")</f>
        <v>45272</v>
      </c>
      <c r="E227" s="47">
        <f>IF(ISNUMBER(expected_production[[#This Row],[Commissioned Date]]),MAX(0,(expected_production[[#This Row],[Date]]-expected_production[[#This Row],[Commissioned Date]])/365.25),"")</f>
        <v>0.80492813141683783</v>
      </c>
      <c r="F227" s="49">
        <f>IF(expected_production[[#This Row],[Age (yrs)]]="",1,(1-DegradationRate)^expected_production[[#This Row],[Age (yrs)]])</f>
        <v>0.99436164534998406</v>
      </c>
      <c r="G227" s="52">
        <f>IF(expected_production[[#This Row],[Base Expected (kWh)]]="","",expected_production[[#This Row],[Base Expected (kWh)]]*expected_production[[#This Row],[Degradation Factor]])</f>
        <v>11251.003144805998</v>
      </c>
    </row>
    <row r="228" spans="1:7" ht="15" hidden="1" customHeight="1" x14ac:dyDescent="0.3">
      <c r="A228" t="s">
        <v>61</v>
      </c>
      <c r="B228" s="2">
        <v>45597</v>
      </c>
      <c r="C228" s="52">
        <v>12713.4</v>
      </c>
      <c r="D228" s="48">
        <f>_xlfn.XLOOKUP(expected_production[[#This Row],[Site Name]],Table1[[Site Name ]],Table1[Commisioned Date],"")</f>
        <v>45272</v>
      </c>
      <c r="E228" s="47">
        <f>IF(ISNUMBER(expected_production[[#This Row],[Commissioned Date]]),MAX(0,(expected_production[[#This Row],[Date]]-expected_production[[#This Row],[Commissioned Date]])/365.25),"")</f>
        <v>0.88980150581793294</v>
      </c>
      <c r="F228" s="49">
        <f>IF(expected_production[[#This Row],[Age (yrs)]]="",1,(1-DegradationRate)^expected_production[[#This Row],[Age (yrs)]])</f>
        <v>0.99376898087075505</v>
      </c>
      <c r="G228" s="52">
        <f>IF(expected_production[[#This Row],[Base Expected (kWh)]]="","",expected_production[[#This Row],[Base Expected (kWh)]]*expected_production[[#This Row],[Degradation Factor]])</f>
        <v>12634.182561402256</v>
      </c>
    </row>
    <row r="229" spans="1:7" ht="15" hidden="1" customHeight="1" x14ac:dyDescent="0.3">
      <c r="A229" t="s">
        <v>61</v>
      </c>
      <c r="B229" s="2">
        <v>45627</v>
      </c>
      <c r="C229" s="52">
        <v>13878.9</v>
      </c>
      <c r="D229" s="48">
        <f>_xlfn.XLOOKUP(expected_production[[#This Row],[Site Name]],Table1[[Site Name ]],Table1[Commisioned Date],"")</f>
        <v>45272</v>
      </c>
      <c r="E229" s="47">
        <f>IF(ISNUMBER(expected_production[[#This Row],[Commissioned Date]]),MAX(0,(expected_production[[#This Row],[Date]]-expected_production[[#This Row],[Commissioned Date]])/365.25),"")</f>
        <v>0.97193702943189597</v>
      </c>
      <c r="F229" s="49">
        <f>IF(expected_production[[#This Row],[Age (yrs)]]="",1,(1-DegradationRate)^expected_production[[#This Row],[Age (yrs)]])</f>
        <v>0.99319577093697398</v>
      </c>
      <c r="G229" s="52">
        <f>IF(expected_production[[#This Row],[Base Expected (kWh)]]="","",expected_production[[#This Row],[Base Expected (kWh)]]*expected_production[[#This Row],[Degradation Factor]])</f>
        <v>13784.464785257167</v>
      </c>
    </row>
    <row r="230" spans="1:7" ht="15" hidden="1" customHeight="1" x14ac:dyDescent="0.3">
      <c r="A230" t="s">
        <v>61</v>
      </c>
      <c r="B230" s="2">
        <v>45658</v>
      </c>
      <c r="C230" s="52">
        <v>13787.1</v>
      </c>
      <c r="D230" s="48">
        <f>_xlfn.XLOOKUP(expected_production[[#This Row],[Site Name]],Table1[[Site Name ]],Table1[Commisioned Date],"")</f>
        <v>45272</v>
      </c>
      <c r="E230" s="47">
        <f>IF(ISNUMBER(expected_production[[#This Row],[Commissioned Date]]),MAX(0,(expected_production[[#This Row],[Date]]-expected_production[[#This Row],[Commissioned Date]])/365.25),"")</f>
        <v>1.0568104038329911</v>
      </c>
      <c r="F230" s="49">
        <f>IF(expected_production[[#This Row],[Age (yrs)]]="",1,(1-DegradationRate)^expected_production[[#This Row],[Age (yrs)]])</f>
        <v>0.99260380134813531</v>
      </c>
      <c r="G230" s="52">
        <f>IF(expected_production[[#This Row],[Base Expected (kWh)]]="","",expected_production[[#This Row],[Base Expected (kWh)]]*expected_production[[#This Row],[Degradation Factor]])</f>
        <v>13685.127869566877</v>
      </c>
    </row>
    <row r="231" spans="1:7" ht="15" hidden="1" customHeight="1" x14ac:dyDescent="0.3">
      <c r="A231" t="s">
        <v>61</v>
      </c>
      <c r="B231" s="2">
        <v>45689</v>
      </c>
      <c r="C231" s="52">
        <v>11359.8</v>
      </c>
      <c r="D231" s="48">
        <f>_xlfn.XLOOKUP(expected_production[[#This Row],[Site Name]],Table1[[Site Name ]],Table1[Commisioned Date],"")</f>
        <v>45272</v>
      </c>
      <c r="E231" s="47">
        <f>IF(ISNUMBER(expected_production[[#This Row],[Commissioned Date]]),MAX(0,(expected_production[[#This Row],[Date]]-expected_production[[#This Row],[Commissioned Date]])/365.25),"")</f>
        <v>1.1416837782340863</v>
      </c>
      <c r="F231" s="49">
        <f>IF(expected_production[[#This Row],[Age (yrs)]]="",1,(1-DegradationRate)^expected_production[[#This Row],[Age (yrs)]])</f>
        <v>0.9920121845880181</v>
      </c>
      <c r="G231" s="52">
        <f>IF(expected_production[[#This Row],[Base Expected (kWh)]]="","",expected_production[[#This Row],[Base Expected (kWh)]]*expected_production[[#This Row],[Degradation Factor]])</f>
        <v>11269.060014482968</v>
      </c>
    </row>
    <row r="232" spans="1:7" ht="15" hidden="1" customHeight="1" x14ac:dyDescent="0.3">
      <c r="A232" t="s">
        <v>61</v>
      </c>
      <c r="B232" s="2">
        <v>45717</v>
      </c>
      <c r="C232" s="52">
        <v>10881</v>
      </c>
      <c r="D232" s="48">
        <f>_xlfn.XLOOKUP(expected_production[[#This Row],[Site Name]],Table1[[Site Name ]],Table1[Commisioned Date],"")</f>
        <v>45272</v>
      </c>
      <c r="E232" s="47">
        <f>IF(ISNUMBER(expected_production[[#This Row],[Commissioned Date]]),MAX(0,(expected_production[[#This Row],[Date]]-expected_production[[#This Row],[Commissioned Date]])/365.25),"")</f>
        <v>1.2183436002737851</v>
      </c>
      <c r="F232" s="49">
        <f>IF(expected_production[[#This Row],[Age (yrs)]]="",1,(1-DegradationRate)^expected_production[[#This Row],[Age (yrs)]])</f>
        <v>0.99147812415163894</v>
      </c>
      <c r="G232" s="52">
        <f>IF(expected_production[[#This Row],[Base Expected (kWh)]]="","",expected_production[[#This Row],[Base Expected (kWh)]]*expected_production[[#This Row],[Degradation Factor]])</f>
        <v>10788.273468893984</v>
      </c>
    </row>
    <row r="233" spans="1:7" ht="15" hidden="1" customHeight="1" x14ac:dyDescent="0.3">
      <c r="A233" t="s">
        <v>61</v>
      </c>
      <c r="B233" s="2">
        <v>45748</v>
      </c>
      <c r="C233" s="52">
        <v>7828.2</v>
      </c>
      <c r="D233" s="48">
        <f>_xlfn.XLOOKUP(expected_production[[#This Row],[Site Name]],Table1[[Site Name ]],Table1[Commisioned Date],"")</f>
        <v>45272</v>
      </c>
      <c r="E233" s="47">
        <f>IF(ISNUMBER(expected_production[[#This Row],[Commissioned Date]]),MAX(0,(expected_production[[#This Row],[Date]]-expected_production[[#This Row],[Commissioned Date]])/365.25),"")</f>
        <v>1.3032169746748803</v>
      </c>
      <c r="F233" s="49">
        <f>IF(expected_production[[#This Row],[Age (yrs)]]="",1,(1-DegradationRate)^expected_production[[#This Row],[Age (yrs)]])</f>
        <v>0.99088717832336293</v>
      </c>
      <c r="G233" s="52">
        <f>IF(expected_production[[#This Row],[Base Expected (kWh)]]="","",expected_production[[#This Row],[Base Expected (kWh)]]*expected_production[[#This Row],[Degradation Factor]])</f>
        <v>7756.8630093509491</v>
      </c>
    </row>
    <row r="234" spans="1:7" ht="15" hidden="1" customHeight="1" x14ac:dyDescent="0.3">
      <c r="A234" t="s">
        <v>61</v>
      </c>
      <c r="B234" s="2">
        <v>45778</v>
      </c>
      <c r="C234" s="52">
        <v>5953.5</v>
      </c>
      <c r="D234" s="48">
        <f>_xlfn.XLOOKUP(expected_production[[#This Row],[Site Name]],Table1[[Site Name ]],Table1[Commisioned Date],"")</f>
        <v>45272</v>
      </c>
      <c r="E234" s="47">
        <f>IF(ISNUMBER(expected_production[[#This Row],[Commissioned Date]]),MAX(0,(expected_production[[#This Row],[Date]]-expected_production[[#This Row],[Commissioned Date]])/365.25),"")</f>
        <v>1.3853524982888432</v>
      </c>
      <c r="F234" s="49">
        <f>IF(expected_production[[#This Row],[Age (yrs)]]="",1,(1-DegradationRate)^expected_production[[#This Row],[Age (yrs)]])</f>
        <v>0.99031563062484895</v>
      </c>
      <c r="G234" s="52">
        <f>IF(expected_production[[#This Row],[Base Expected (kWh)]]="","",expected_production[[#This Row],[Base Expected (kWh)]]*expected_production[[#This Row],[Degradation Factor]])</f>
        <v>5895.8441069250384</v>
      </c>
    </row>
    <row r="235" spans="1:7" ht="15" hidden="1" customHeight="1" x14ac:dyDescent="0.3">
      <c r="A235" t="s">
        <v>61</v>
      </c>
      <c r="B235" s="2">
        <v>45809</v>
      </c>
      <c r="C235" s="52">
        <v>5166</v>
      </c>
      <c r="D235" s="48">
        <f>_xlfn.XLOOKUP(expected_production[[#This Row],[Site Name]],Table1[[Site Name ]],Table1[Commisioned Date],"")</f>
        <v>45272</v>
      </c>
      <c r="E235" s="47">
        <f>IF(ISNUMBER(expected_production[[#This Row],[Commissioned Date]]),MAX(0,(expected_production[[#This Row],[Date]]-expected_production[[#This Row],[Commissioned Date]])/365.25),"")</f>
        <v>1.4702258726899384</v>
      </c>
      <c r="F235" s="49">
        <f>IF(expected_production[[#This Row],[Age (yrs)]]="",1,(1-DegradationRate)^expected_production[[#This Row],[Age (yrs)]])</f>
        <v>0.98972537767187019</v>
      </c>
      <c r="G235" s="52">
        <f>IF(expected_production[[#This Row],[Base Expected (kWh)]]="","",expected_production[[#This Row],[Base Expected (kWh)]]*expected_production[[#This Row],[Degradation Factor]])</f>
        <v>5112.9213010528811</v>
      </c>
    </row>
    <row r="236" spans="1:7" ht="15" hidden="1" customHeight="1" x14ac:dyDescent="0.3">
      <c r="A236" t="s">
        <v>61</v>
      </c>
      <c r="B236" s="2">
        <v>45839</v>
      </c>
      <c r="C236" s="52">
        <v>5564.7</v>
      </c>
      <c r="D236" s="48">
        <f>_xlfn.XLOOKUP(expected_production[[#This Row],[Site Name]],Table1[[Site Name ]],Table1[Commisioned Date],"")</f>
        <v>45272</v>
      </c>
      <c r="E236" s="47">
        <f>IF(ISNUMBER(expected_production[[#This Row],[Commissioned Date]]),MAX(0,(expected_production[[#This Row],[Date]]-expected_production[[#This Row],[Commissioned Date]])/365.25),"")</f>
        <v>1.5523613963039014</v>
      </c>
      <c r="F236" s="49">
        <f>IF(expected_production[[#This Row],[Age (yrs)]]="",1,(1-DegradationRate)^expected_production[[#This Row],[Age (yrs)]])</f>
        <v>0.98915450010463157</v>
      </c>
      <c r="G236" s="52">
        <f>IF(expected_production[[#This Row],[Base Expected (kWh)]]="","",expected_production[[#This Row],[Base Expected (kWh)]]*expected_production[[#This Row],[Degradation Factor]])</f>
        <v>5504.3480467322433</v>
      </c>
    </row>
    <row r="237" spans="1:7" ht="15" hidden="1" customHeight="1" x14ac:dyDescent="0.3">
      <c r="A237" t="s">
        <v>61</v>
      </c>
      <c r="B237" s="2">
        <v>45870</v>
      </c>
      <c r="C237" s="52">
        <v>6960.6</v>
      </c>
      <c r="D237" s="48">
        <f>_xlfn.XLOOKUP(expected_production[[#This Row],[Site Name]],Table1[[Site Name ]],Table1[Commisioned Date],"")</f>
        <v>45272</v>
      </c>
      <c r="E237" s="47">
        <f>IF(ISNUMBER(expected_production[[#This Row],[Commissioned Date]]),MAX(0,(expected_production[[#This Row],[Date]]-expected_production[[#This Row],[Commissioned Date]])/365.25),"")</f>
        <v>1.6372347707049966</v>
      </c>
      <c r="F237" s="49">
        <f>IF(expected_production[[#This Row],[Age (yrs)]]="",1,(1-DegradationRate)^expected_production[[#This Row],[Age (yrs)]])</f>
        <v>0.98856493921456401</v>
      </c>
      <c r="G237" s="52">
        <f>IF(expected_production[[#This Row],[Base Expected (kWh)]]="","",expected_production[[#This Row],[Base Expected (kWh)]]*expected_production[[#This Row],[Degradation Factor]])</f>
        <v>6881.0051158968945</v>
      </c>
    </row>
    <row r="238" spans="1:7" ht="15" hidden="1" customHeight="1" x14ac:dyDescent="0.3">
      <c r="A238" t="s">
        <v>61</v>
      </c>
      <c r="B238" s="2">
        <v>45901</v>
      </c>
      <c r="C238" s="52">
        <v>8946</v>
      </c>
      <c r="D238" s="48">
        <f>_xlfn.XLOOKUP(expected_production[[#This Row],[Site Name]],Table1[[Site Name ]],Table1[Commisioned Date],"")</f>
        <v>45272</v>
      </c>
      <c r="E238" s="47">
        <f>IF(ISNUMBER(expected_production[[#This Row],[Commissioned Date]]),MAX(0,(expected_production[[#This Row],[Date]]-expected_production[[#This Row],[Commissioned Date]])/365.25),"")</f>
        <v>1.7221081451060918</v>
      </c>
      <c r="F238" s="49">
        <f>IF(expected_production[[#This Row],[Age (yrs)]]="",1,(1-DegradationRate)^expected_production[[#This Row],[Age (yrs)]])</f>
        <v>0.98797572971757319</v>
      </c>
      <c r="G238" s="52">
        <f>IF(expected_production[[#This Row],[Base Expected (kWh)]]="","",expected_production[[#This Row],[Base Expected (kWh)]]*expected_production[[#This Row],[Degradation Factor]])</f>
        <v>8838.4308780534102</v>
      </c>
    </row>
    <row r="239" spans="1:7" ht="15" hidden="1" customHeight="1" x14ac:dyDescent="0.3">
      <c r="A239" t="s">
        <v>61</v>
      </c>
      <c r="B239" s="2">
        <v>45931</v>
      </c>
      <c r="C239" s="52">
        <v>11314.8</v>
      </c>
      <c r="D239" s="48">
        <f>_xlfn.XLOOKUP(expected_production[[#This Row],[Site Name]],Table1[[Site Name ]],Table1[Commisioned Date],"")</f>
        <v>45272</v>
      </c>
      <c r="E239" s="47">
        <f>IF(ISNUMBER(expected_production[[#This Row],[Commissioned Date]]),MAX(0,(expected_production[[#This Row],[Date]]-expected_production[[#This Row],[Commissioned Date]])/365.25),"")</f>
        <v>1.8042436687200547</v>
      </c>
      <c r="F239" s="49">
        <f>IF(expected_production[[#This Row],[Age (yrs)]]="",1,(1-DegradationRate)^expected_production[[#This Row],[Age (yrs)]])</f>
        <v>0.98740586135429176</v>
      </c>
      <c r="G239" s="52">
        <f>IF(expected_production[[#This Row],[Base Expected (kWh)]]="","",expected_production[[#This Row],[Base Expected (kWh)]]*expected_production[[#This Row],[Degradation Factor]])</f>
        <v>11172.299840051539</v>
      </c>
    </row>
    <row r="240" spans="1:7" ht="15" hidden="1" customHeight="1" x14ac:dyDescent="0.3">
      <c r="A240" t="s">
        <v>61</v>
      </c>
      <c r="B240" s="2">
        <v>45962</v>
      </c>
      <c r="C240" s="52">
        <v>12713.4</v>
      </c>
      <c r="D240" s="48">
        <f>_xlfn.XLOOKUP(expected_production[[#This Row],[Site Name]],Table1[[Site Name ]],Table1[Commisioned Date],"")</f>
        <v>45272</v>
      </c>
      <c r="E240" s="47">
        <f>IF(ISNUMBER(expected_production[[#This Row],[Commissioned Date]]),MAX(0,(expected_production[[#This Row],[Date]]-expected_production[[#This Row],[Commissioned Date]])/365.25),"")</f>
        <v>1.8891170431211499</v>
      </c>
      <c r="F240" s="49">
        <f>IF(expected_production[[#This Row],[Age (yrs)]]="",1,(1-DegradationRate)^expected_production[[#This Row],[Age (yrs)]])</f>
        <v>0.98681734269677523</v>
      </c>
      <c r="G240" s="52">
        <f>IF(expected_production[[#This Row],[Base Expected (kWh)]]="","",expected_production[[#This Row],[Base Expected (kWh)]]*expected_production[[#This Row],[Degradation Factor]])</f>
        <v>12545.803604641182</v>
      </c>
    </row>
    <row r="241" spans="1:7" ht="15" hidden="1" customHeight="1" x14ac:dyDescent="0.3">
      <c r="A241" t="s">
        <v>61</v>
      </c>
      <c r="B241" s="2">
        <v>45992</v>
      </c>
      <c r="C241" s="52">
        <v>13878.9</v>
      </c>
      <c r="D241" s="48">
        <f>_xlfn.XLOOKUP(expected_production[[#This Row],[Site Name]],Table1[[Site Name ]],Table1[Commisioned Date],"")</f>
        <v>45272</v>
      </c>
      <c r="E241" s="47">
        <f>IF(ISNUMBER(expected_production[[#This Row],[Commissioned Date]]),MAX(0,(expected_production[[#This Row],[Date]]-expected_production[[#This Row],[Commissioned Date]])/365.25),"")</f>
        <v>1.9712525667351128</v>
      </c>
      <c r="F241" s="49">
        <f>IF(expected_production[[#This Row],[Age (yrs)]]="",1,(1-DegradationRate)^expected_production[[#This Row],[Age (yrs)]])</f>
        <v>0.98624814249577331</v>
      </c>
      <c r="G241" s="52">
        <f>IF(expected_production[[#This Row],[Base Expected (kWh)]]="","",expected_production[[#This Row],[Base Expected (kWh)]]*expected_production[[#This Row],[Degradation Factor]])</f>
        <v>13688.039344884588</v>
      </c>
    </row>
    <row r="242" spans="1:7" ht="15" hidden="1" customHeight="1" x14ac:dyDescent="0.3">
      <c r="A242" t="s">
        <v>61</v>
      </c>
      <c r="B242" s="2">
        <v>46023</v>
      </c>
      <c r="C242" s="52">
        <v>13787.1</v>
      </c>
      <c r="D242" s="48">
        <f>_xlfn.XLOOKUP(expected_production[[#This Row],[Site Name]],Table1[[Site Name ]],Table1[Commisioned Date],"")</f>
        <v>45272</v>
      </c>
      <c r="E242" s="47">
        <f>IF(ISNUMBER(expected_production[[#This Row],[Commissioned Date]]),MAX(0,(expected_production[[#This Row],[Date]]-expected_production[[#This Row],[Commissioned Date]])/365.25),"")</f>
        <v>2.0561259411362083</v>
      </c>
      <c r="F242" s="49">
        <f>IF(expected_production[[#This Row],[Age (yrs)]]="",1,(1-DegradationRate)^expected_production[[#This Row],[Age (yrs)]])</f>
        <v>0.98566031386773201</v>
      </c>
      <c r="G242" s="52">
        <f>IF(expected_production[[#This Row],[Base Expected (kWh)]]="","",expected_production[[#This Row],[Base Expected (kWh)]]*expected_production[[#This Row],[Degradation Factor]])</f>
        <v>13589.397313325808</v>
      </c>
    </row>
    <row r="243" spans="1:7" ht="15" hidden="1" customHeight="1" x14ac:dyDescent="0.3">
      <c r="A243" t="s">
        <v>61</v>
      </c>
      <c r="B243" s="2">
        <v>46054</v>
      </c>
      <c r="C243" s="52">
        <v>11359.8</v>
      </c>
      <c r="D243" s="48">
        <f>_xlfn.XLOOKUP(expected_production[[#This Row],[Site Name]],Table1[[Site Name ]],Table1[Commisioned Date],"")</f>
        <v>45272</v>
      </c>
      <c r="E243" s="47">
        <f>IF(ISNUMBER(expected_production[[#This Row],[Commissioned Date]]),MAX(0,(expected_production[[#This Row],[Date]]-expected_production[[#This Row],[Commissioned Date]])/365.25),"")</f>
        <v>2.1409993155373033</v>
      </c>
      <c r="F243" s="49">
        <f>IF(expected_production[[#This Row],[Age (yrs)]]="",1,(1-DegradationRate)^expected_production[[#This Row],[Age (yrs)]])</f>
        <v>0.9850728356002959</v>
      </c>
      <c r="G243" s="52">
        <f>IF(expected_production[[#This Row],[Base Expected (kWh)]]="","",expected_production[[#This Row],[Base Expected (kWh)]]*expected_production[[#This Row],[Degradation Factor]])</f>
        <v>11190.230397852241</v>
      </c>
    </row>
    <row r="244" spans="1:7" ht="15" hidden="1" customHeight="1" x14ac:dyDescent="0.3">
      <c r="A244" t="s">
        <v>61</v>
      </c>
      <c r="B244" s="2">
        <v>46082</v>
      </c>
      <c r="C244" s="52">
        <v>10881</v>
      </c>
      <c r="D244" s="48">
        <f>_xlfn.XLOOKUP(expected_production[[#This Row],[Site Name]],Table1[[Site Name ]],Table1[Commisioned Date],"")</f>
        <v>45272</v>
      </c>
      <c r="E244" s="47">
        <f>IF(ISNUMBER(expected_production[[#This Row],[Commissioned Date]]),MAX(0,(expected_production[[#This Row],[Date]]-expected_production[[#This Row],[Commissioned Date]])/365.25),"")</f>
        <v>2.2176591375770021</v>
      </c>
      <c r="F244" s="49">
        <f>IF(expected_production[[#This Row],[Age (yrs)]]="",1,(1-DegradationRate)^expected_production[[#This Row],[Age (yrs)]])</f>
        <v>0.98454251103713097</v>
      </c>
      <c r="G244" s="52">
        <f>IF(expected_production[[#This Row],[Base Expected (kWh)]]="","",expected_production[[#This Row],[Base Expected (kWh)]]*expected_production[[#This Row],[Degradation Factor]])</f>
        <v>10712.807062595022</v>
      </c>
    </row>
    <row r="245" spans="1:7" ht="15" hidden="1" customHeight="1" x14ac:dyDescent="0.3">
      <c r="A245" t="s">
        <v>61</v>
      </c>
      <c r="B245" s="2">
        <v>46113</v>
      </c>
      <c r="C245" s="52">
        <v>7828.2</v>
      </c>
      <c r="D245" s="48">
        <f>_xlfn.XLOOKUP(expected_production[[#This Row],[Site Name]],Table1[[Site Name ]],Table1[Commisioned Date],"")</f>
        <v>45272</v>
      </c>
      <c r="E245" s="47">
        <f>IF(ISNUMBER(expected_production[[#This Row],[Commissioned Date]]),MAX(0,(expected_production[[#This Row],[Date]]-expected_production[[#This Row],[Commissioned Date]])/365.25),"")</f>
        <v>2.3025325119780971</v>
      </c>
      <c r="F245" s="49">
        <f>IF(expected_production[[#This Row],[Age (yrs)]]="",1,(1-DegradationRate)^expected_production[[#This Row],[Age (yrs)]])</f>
        <v>0.98395569900821644</v>
      </c>
      <c r="G245" s="52">
        <f>IF(expected_production[[#This Row],[Base Expected (kWh)]]="","",expected_production[[#This Row],[Base Expected (kWh)]]*expected_production[[#This Row],[Degradation Factor]])</f>
        <v>7702.6020029761194</v>
      </c>
    </row>
    <row r="246" spans="1:7" ht="15" hidden="1" customHeight="1" x14ac:dyDescent="0.3">
      <c r="A246" t="s">
        <v>61</v>
      </c>
      <c r="B246" s="2">
        <v>46143</v>
      </c>
      <c r="C246" s="52">
        <v>5953.5</v>
      </c>
      <c r="D246" s="48">
        <f>_xlfn.XLOOKUP(expected_production[[#This Row],[Site Name]],Table1[[Site Name ]],Table1[Commisioned Date],"")</f>
        <v>45272</v>
      </c>
      <c r="E246" s="47">
        <f>IF(ISNUMBER(expected_production[[#This Row],[Commissioned Date]]),MAX(0,(expected_production[[#This Row],[Date]]-expected_production[[#This Row],[Commissioned Date]])/365.25),"")</f>
        <v>2.3846680355920604</v>
      </c>
      <c r="F246" s="49">
        <f>IF(expected_production[[#This Row],[Age (yrs)]]="",1,(1-DegradationRate)^expected_production[[#This Row],[Age (yrs)]])</f>
        <v>0.98338814941477093</v>
      </c>
      <c r="G246" s="52">
        <f>IF(expected_production[[#This Row],[Base Expected (kWh)]]="","",expected_production[[#This Row],[Base Expected (kWh)]]*expected_production[[#This Row],[Degradation Factor]])</f>
        <v>5854.601347540839</v>
      </c>
    </row>
    <row r="247" spans="1:7" ht="15" hidden="1" customHeight="1" x14ac:dyDescent="0.3">
      <c r="A247" t="s">
        <v>61</v>
      </c>
      <c r="B247" s="2">
        <v>46174</v>
      </c>
      <c r="C247" s="52">
        <v>5166</v>
      </c>
      <c r="D247" s="48">
        <f>_xlfn.XLOOKUP(expected_production[[#This Row],[Site Name]],Table1[[Site Name ]],Table1[Commisioned Date],"")</f>
        <v>45272</v>
      </c>
      <c r="E247" s="47">
        <f>IF(ISNUMBER(expected_production[[#This Row],[Commissioned Date]]),MAX(0,(expected_production[[#This Row],[Date]]-expected_production[[#This Row],[Commissioned Date]])/365.25),"")</f>
        <v>2.4695414099931554</v>
      </c>
      <c r="F247" s="49">
        <f>IF(expected_production[[#This Row],[Age (yrs)]]="",1,(1-DegradationRate)^expected_production[[#This Row],[Age (yrs)]])</f>
        <v>0.9828020254143347</v>
      </c>
      <c r="G247" s="52">
        <f>IF(expected_production[[#This Row],[Base Expected (kWh)]]="","",expected_production[[#This Row],[Base Expected (kWh)]]*expected_production[[#This Row],[Degradation Factor]])</f>
        <v>5077.1552632904531</v>
      </c>
    </row>
    <row r="248" spans="1:7" ht="15" hidden="1" customHeight="1" x14ac:dyDescent="0.3">
      <c r="A248" t="s">
        <v>61</v>
      </c>
      <c r="B248" s="2">
        <v>46204</v>
      </c>
      <c r="C248" s="52">
        <v>5564.7</v>
      </c>
      <c r="D248" s="48">
        <f>_xlfn.XLOOKUP(expected_production[[#This Row],[Site Name]],Table1[[Site Name ]],Table1[Commisioned Date],"")</f>
        <v>45272</v>
      </c>
      <c r="E248" s="47">
        <f>IF(ISNUMBER(expected_production[[#This Row],[Commissioned Date]]),MAX(0,(expected_production[[#This Row],[Date]]-expected_production[[#This Row],[Commissioned Date]])/365.25),"")</f>
        <v>2.5516769336071183</v>
      </c>
      <c r="F248" s="49">
        <f>IF(expected_production[[#This Row],[Age (yrs)]]="",1,(1-DegradationRate)^expected_production[[#This Row],[Age (yrs)]])</f>
        <v>0.982235141264445</v>
      </c>
      <c r="G248" s="52">
        <f>IF(expected_production[[#This Row],[Base Expected (kWh)]]="","",expected_production[[#This Row],[Base Expected (kWh)]]*expected_production[[#This Row],[Degradation Factor]])</f>
        <v>5465.8438905942567</v>
      </c>
    </row>
    <row r="249" spans="1:7" ht="15" hidden="1" customHeight="1" x14ac:dyDescent="0.3">
      <c r="A249" t="s">
        <v>61</v>
      </c>
      <c r="B249" s="2">
        <v>46235</v>
      </c>
      <c r="C249" s="52">
        <v>6960.6</v>
      </c>
      <c r="D249" s="48">
        <f>_xlfn.XLOOKUP(expected_production[[#This Row],[Site Name]],Table1[[Site Name ]],Table1[Commisioned Date],"")</f>
        <v>45272</v>
      </c>
      <c r="E249" s="47">
        <f>IF(ISNUMBER(expected_production[[#This Row],[Commissioned Date]]),MAX(0,(expected_production[[#This Row],[Date]]-expected_production[[#This Row],[Commissioned Date]])/365.25),"")</f>
        <v>2.6365503080082138</v>
      </c>
      <c r="F249" s="49">
        <f>IF(expected_production[[#This Row],[Age (yrs)]]="",1,(1-DegradationRate)^expected_production[[#This Row],[Age (yrs)]])</f>
        <v>0.98164970448578381</v>
      </c>
      <c r="G249" s="52">
        <f>IF(expected_production[[#This Row],[Base Expected (kWh)]]="","",expected_production[[#This Row],[Base Expected (kWh)]]*expected_production[[#This Row],[Degradation Factor]])</f>
        <v>6832.8709330437468</v>
      </c>
    </row>
    <row r="250" spans="1:7" ht="15" customHeight="1" x14ac:dyDescent="0.3">
      <c r="A250" t="s">
        <v>61</v>
      </c>
      <c r="B250" s="2">
        <v>46266</v>
      </c>
      <c r="C250" s="52">
        <v>8946</v>
      </c>
      <c r="D250" s="48">
        <f>_xlfn.XLOOKUP(expected_production[[#This Row],[Site Name]],Table1[[Site Name ]],Table1[Commisioned Date],"")</f>
        <v>45272</v>
      </c>
      <c r="E250" s="47">
        <f>IF(ISNUMBER(expected_production[[#This Row],[Commissioned Date]]),MAX(0,(expected_production[[#This Row],[Date]]-expected_production[[#This Row],[Commissioned Date]])/365.25),"")</f>
        <v>2.7214236824093088</v>
      </c>
      <c r="F250" s="49">
        <f>IF(expected_production[[#This Row],[Age (yrs)]]="",1,(1-DegradationRate)^expected_production[[#This Row],[Age (yrs)]])</f>
        <v>0.98106461664212541</v>
      </c>
      <c r="G250" s="52">
        <f>IF(expected_production[[#This Row],[Base Expected (kWh)]]="","",expected_production[[#This Row],[Base Expected (kWh)]]*expected_production[[#This Row],[Degradation Factor]])</f>
        <v>8776.6040604804548</v>
      </c>
    </row>
    <row r="251" spans="1:7" ht="15" hidden="1" customHeight="1" x14ac:dyDescent="0.3">
      <c r="A251" t="s">
        <v>61</v>
      </c>
      <c r="B251" s="2">
        <v>46296</v>
      </c>
      <c r="C251" s="52">
        <v>11314.8</v>
      </c>
      <c r="D251" s="48">
        <f>_xlfn.XLOOKUP(expected_production[[#This Row],[Site Name]],Table1[[Site Name ]],Table1[Commisioned Date],"")</f>
        <v>45272</v>
      </c>
      <c r="E251" s="47">
        <f>IF(ISNUMBER(expected_production[[#This Row],[Commissioned Date]]),MAX(0,(expected_production[[#This Row],[Date]]-expected_production[[#This Row],[Commissioned Date]])/365.25),"")</f>
        <v>2.8035592060232717</v>
      </c>
      <c r="F251" s="49">
        <f>IF(expected_production[[#This Row],[Age (yrs)]]="",1,(1-DegradationRate)^expected_production[[#This Row],[Age (yrs)]])</f>
        <v>0.98049873463658366</v>
      </c>
      <c r="G251" s="52">
        <f>IF(expected_production[[#This Row],[Base Expected (kWh)]]="","",expected_production[[#This Row],[Base Expected (kWh)]]*expected_production[[#This Row],[Degradation Factor]])</f>
        <v>11094.147082666015</v>
      </c>
    </row>
    <row r="252" spans="1:7" ht="15" hidden="1" customHeight="1" x14ac:dyDescent="0.3">
      <c r="A252" t="s">
        <v>61</v>
      </c>
      <c r="B252" s="2">
        <v>46327</v>
      </c>
      <c r="C252" s="52">
        <v>12713.4</v>
      </c>
      <c r="D252" s="48">
        <f>_xlfn.XLOOKUP(expected_production[[#This Row],[Site Name]],Table1[[Site Name ]],Table1[Commisioned Date],"")</f>
        <v>45272</v>
      </c>
      <c r="E252" s="47">
        <f>IF(ISNUMBER(expected_production[[#This Row],[Commissioned Date]]),MAX(0,(expected_production[[#This Row],[Date]]-expected_production[[#This Row],[Commissioned Date]])/365.25),"")</f>
        <v>2.8884325804243667</v>
      </c>
      <c r="F252" s="49">
        <f>IF(expected_production[[#This Row],[Age (yrs)]]="",1,(1-DegradationRate)^expected_production[[#This Row],[Age (yrs)]])</f>
        <v>0.97991433279982176</v>
      </c>
      <c r="G252" s="52">
        <f>IF(expected_production[[#This Row],[Base Expected (kWh)]]="","",expected_production[[#This Row],[Base Expected (kWh)]]*expected_production[[#This Row],[Degradation Factor]])</f>
        <v>12458.042878617254</v>
      </c>
    </row>
    <row r="253" spans="1:7" ht="15" hidden="1" customHeight="1" x14ac:dyDescent="0.3">
      <c r="A253" t="s">
        <v>61</v>
      </c>
      <c r="B253" s="2">
        <v>46357</v>
      </c>
      <c r="C253" s="52">
        <v>13878.9</v>
      </c>
      <c r="D253" s="48">
        <f>_xlfn.XLOOKUP(expected_production[[#This Row],[Site Name]],Table1[[Site Name ]],Table1[Commisioned Date],"")</f>
        <v>45272</v>
      </c>
      <c r="E253" s="47">
        <f>IF(ISNUMBER(expected_production[[#This Row],[Commissioned Date]]),MAX(0,(expected_production[[#This Row],[Date]]-expected_production[[#This Row],[Commissioned Date]])/365.25),"")</f>
        <v>2.97056810403833</v>
      </c>
      <c r="F253" s="49">
        <f>IF(expected_production[[#This Row],[Age (yrs)]]="",1,(1-DegradationRate)^expected_production[[#This Row],[Age (yrs)]])</f>
        <v>0.97934911428261362</v>
      </c>
      <c r="G253" s="52">
        <f>IF(expected_production[[#This Row],[Base Expected (kWh)]]="","",expected_production[[#This Row],[Base Expected (kWh)]]*expected_production[[#This Row],[Degradation Factor]])</f>
        <v>13592.288422216965</v>
      </c>
    </row>
    <row r="254" spans="1:7" ht="15" hidden="1" customHeight="1" x14ac:dyDescent="0.3">
      <c r="A254" t="s">
        <v>66</v>
      </c>
      <c r="B254" s="2">
        <v>45292</v>
      </c>
      <c r="C254" s="52">
        <v>2202.3000000000002</v>
      </c>
      <c r="D254" s="48">
        <f>_xlfn.XLOOKUP(expected_production[[#This Row],[Site Name]],Table1[[Site Name ]],Table1[Commisioned Date],"")</f>
        <v>45183</v>
      </c>
      <c r="E254" s="47">
        <f>IF(ISNUMBER(expected_production[[#This Row],[Commissioned Date]]),MAX(0,(expected_production[[#This Row],[Date]]-expected_production[[#This Row],[Commissioned Date]])/365.25),"")</f>
        <v>0.29842573579739906</v>
      </c>
      <c r="F254" s="49">
        <f>IF(expected_production[[#This Row],[Age (yrs)]]="",1,(1-DegradationRate)^expected_production[[#This Row],[Age (yrs)]])</f>
        <v>0.99790586987523477</v>
      </c>
      <c r="G254" s="52">
        <f>IF(expected_production[[#This Row],[Base Expected (kWh)]]="","",expected_production[[#This Row],[Base Expected (kWh)]]*expected_production[[#This Row],[Degradation Factor]])</f>
        <v>2197.6880972262297</v>
      </c>
    </row>
    <row r="255" spans="1:7" ht="15" hidden="1" customHeight="1" x14ac:dyDescent="0.3">
      <c r="A255" t="s">
        <v>66</v>
      </c>
      <c r="B255" s="2">
        <v>45323</v>
      </c>
      <c r="C255" s="52">
        <v>1983.6</v>
      </c>
      <c r="D255" s="48">
        <f>_xlfn.XLOOKUP(expected_production[[#This Row],[Site Name]],Table1[[Site Name ]],Table1[Commisioned Date],"")</f>
        <v>45183</v>
      </c>
      <c r="E255" s="47">
        <f>IF(ISNUMBER(expected_production[[#This Row],[Commissioned Date]]),MAX(0,(expected_production[[#This Row],[Date]]-expected_production[[#This Row],[Commissioned Date]])/365.25),"")</f>
        <v>0.38329911019849416</v>
      </c>
      <c r="F255" s="49">
        <f>IF(expected_production[[#This Row],[Age (yrs)]]="",1,(1-DegradationRate)^expected_production[[#This Row],[Age (yrs)]])</f>
        <v>0.99731109294929954</v>
      </c>
      <c r="G255" s="52">
        <f>IF(expected_production[[#This Row],[Base Expected (kWh)]]="","",expected_production[[#This Row],[Base Expected (kWh)]]*expected_production[[#This Row],[Degradation Factor]])</f>
        <v>1978.2662839742304</v>
      </c>
    </row>
    <row r="256" spans="1:7" ht="15" hidden="1" customHeight="1" x14ac:dyDescent="0.3">
      <c r="A256" t="s">
        <v>66</v>
      </c>
      <c r="B256" s="2">
        <v>45352</v>
      </c>
      <c r="C256" s="52">
        <v>2127.6</v>
      </c>
      <c r="D256" s="48">
        <f>_xlfn.XLOOKUP(expected_production[[#This Row],[Site Name]],Table1[[Site Name ]],Table1[Commisioned Date],"")</f>
        <v>45183</v>
      </c>
      <c r="E256" s="47">
        <f>IF(ISNUMBER(expected_production[[#This Row],[Commissioned Date]]),MAX(0,(expected_production[[#This Row],[Date]]-expected_production[[#This Row],[Commissioned Date]])/365.25),"")</f>
        <v>0.46269678302532513</v>
      </c>
      <c r="F256" s="49">
        <f>IF(expected_production[[#This Row],[Age (yrs)]]="",1,(1-DegradationRate)^expected_production[[#This Row],[Age (yrs)]])</f>
        <v>0.99675500966547792</v>
      </c>
      <c r="G256" s="52">
        <f>IF(expected_production[[#This Row],[Base Expected (kWh)]]="","",expected_production[[#This Row],[Base Expected (kWh)]]*expected_production[[#This Row],[Degradation Factor]])</f>
        <v>2120.6959585642708</v>
      </c>
    </row>
    <row r="257" spans="1:7" ht="15" hidden="1" customHeight="1" x14ac:dyDescent="0.3">
      <c r="A257" t="s">
        <v>66</v>
      </c>
      <c r="B257" s="2">
        <v>45383</v>
      </c>
      <c r="C257" s="52">
        <v>1767.6</v>
      </c>
      <c r="D257" s="48">
        <f>_xlfn.XLOOKUP(expected_production[[#This Row],[Site Name]],Table1[[Site Name ]],Table1[Commisioned Date],"")</f>
        <v>45183</v>
      </c>
      <c r="E257" s="47">
        <f>IF(ISNUMBER(expected_production[[#This Row],[Commissioned Date]]),MAX(0,(expected_production[[#This Row],[Date]]-expected_production[[#This Row],[Commissioned Date]])/365.25),"")</f>
        <v>0.54757015742642023</v>
      </c>
      <c r="F257" s="49">
        <f>IF(expected_production[[#This Row],[Age (yrs)]]="",1,(1-DegradationRate)^expected_production[[#This Row],[Age (yrs)]])</f>
        <v>0.99616091868109125</v>
      </c>
      <c r="G257" s="52">
        <f>IF(expected_production[[#This Row],[Base Expected (kWh)]]="","",expected_production[[#This Row],[Base Expected (kWh)]]*expected_production[[#This Row],[Degradation Factor]])</f>
        <v>1760.8140398606968</v>
      </c>
    </row>
    <row r="258" spans="1:7" ht="15" hidden="1" customHeight="1" x14ac:dyDescent="0.3">
      <c r="A258" t="s">
        <v>66</v>
      </c>
      <c r="B258" s="2">
        <v>45413</v>
      </c>
      <c r="C258" s="52">
        <v>1631.7</v>
      </c>
      <c r="D258" s="48">
        <f>_xlfn.XLOOKUP(expected_production[[#This Row],[Site Name]],Table1[[Site Name ]],Table1[Commisioned Date],"")</f>
        <v>45183</v>
      </c>
      <c r="E258" s="47">
        <f>IF(ISNUMBER(expected_production[[#This Row],[Commissioned Date]]),MAX(0,(expected_production[[#This Row],[Date]]-expected_production[[#This Row],[Commissioned Date]])/365.25),"")</f>
        <v>0.62970568104038327</v>
      </c>
      <c r="F258" s="49">
        <f>IF(expected_production[[#This Row],[Age (yrs)]]="",1,(1-DegradationRate)^expected_production[[#This Row],[Age (yrs)]])</f>
        <v>0.99558632906798805</v>
      </c>
      <c r="G258" s="52">
        <f>IF(expected_production[[#This Row],[Base Expected (kWh)]]="","",expected_production[[#This Row],[Base Expected (kWh)]]*expected_production[[#This Row],[Degradation Factor]])</f>
        <v>1624.4982131402362</v>
      </c>
    </row>
    <row r="259" spans="1:7" ht="15" hidden="1" customHeight="1" x14ac:dyDescent="0.3">
      <c r="A259" t="s">
        <v>66</v>
      </c>
      <c r="B259" s="2">
        <v>45444</v>
      </c>
      <c r="C259" s="52">
        <v>1480.5</v>
      </c>
      <c r="D259" s="48">
        <f>_xlfn.XLOOKUP(expected_production[[#This Row],[Site Name]],Table1[[Site Name ]],Table1[Commisioned Date],"")</f>
        <v>45183</v>
      </c>
      <c r="E259" s="47">
        <f>IF(ISNUMBER(expected_production[[#This Row],[Commissioned Date]]),MAX(0,(expected_production[[#This Row],[Date]]-expected_production[[#This Row],[Commissioned Date]])/365.25),"")</f>
        <v>0.71457905544147848</v>
      </c>
      <c r="F259" s="49">
        <f>IF(expected_production[[#This Row],[Age (yrs)]]="",1,(1-DegradationRate)^expected_production[[#This Row],[Age (yrs)]])</f>
        <v>0.99499293464654803</v>
      </c>
      <c r="G259" s="52">
        <f>IF(expected_production[[#This Row],[Base Expected (kWh)]]="","",expected_production[[#This Row],[Base Expected (kWh)]]*expected_production[[#This Row],[Degradation Factor]])</f>
        <v>1473.0870397442143</v>
      </c>
    </row>
    <row r="260" spans="1:7" ht="15" hidden="1" customHeight="1" x14ac:dyDescent="0.3">
      <c r="A260" t="s">
        <v>66</v>
      </c>
      <c r="B260" s="2">
        <v>45474</v>
      </c>
      <c r="C260" s="52">
        <v>1612.8</v>
      </c>
      <c r="D260" s="48">
        <f>_xlfn.XLOOKUP(expected_production[[#This Row],[Site Name]],Table1[[Site Name ]],Table1[Commisioned Date],"")</f>
        <v>45183</v>
      </c>
      <c r="E260" s="47">
        <f>IF(ISNUMBER(expected_production[[#This Row],[Commissioned Date]]),MAX(0,(expected_production[[#This Row],[Date]]-expected_production[[#This Row],[Commissioned Date]])/365.25),"")</f>
        <v>0.79671457905544152</v>
      </c>
      <c r="F260" s="49">
        <f>IF(expected_production[[#This Row],[Age (yrs)]]="",1,(1-DegradationRate)^expected_production[[#This Row],[Age (yrs)]])</f>
        <v>0.99441901873132033</v>
      </c>
      <c r="G260" s="52">
        <f>IF(expected_production[[#This Row],[Base Expected (kWh)]]="","",expected_production[[#This Row],[Base Expected (kWh)]]*expected_production[[#This Row],[Degradation Factor]])</f>
        <v>1603.7989934098734</v>
      </c>
    </row>
    <row r="261" spans="1:7" ht="15" hidden="1" customHeight="1" x14ac:dyDescent="0.3">
      <c r="A261" t="s">
        <v>66</v>
      </c>
      <c r="B261" s="2">
        <v>45505</v>
      </c>
      <c r="C261" s="52">
        <v>1764</v>
      </c>
      <c r="D261" s="48">
        <f>_xlfn.XLOOKUP(expected_production[[#This Row],[Site Name]],Table1[[Site Name ]],Table1[Commisioned Date],"")</f>
        <v>45183</v>
      </c>
      <c r="E261" s="47">
        <f>IF(ISNUMBER(expected_production[[#This Row],[Commissioned Date]]),MAX(0,(expected_production[[#This Row],[Date]]-expected_production[[#This Row],[Commissioned Date]])/365.25),"")</f>
        <v>0.88158795345653662</v>
      </c>
      <c r="F261" s="49">
        <f>IF(expected_production[[#This Row],[Age (yrs)]]="",1,(1-DegradationRate)^expected_production[[#This Row],[Age (yrs)]])</f>
        <v>0.99382632005611704</v>
      </c>
      <c r="G261" s="52">
        <f>IF(expected_production[[#This Row],[Base Expected (kWh)]]="","",expected_production[[#This Row],[Base Expected (kWh)]]*expected_production[[#This Row],[Degradation Factor]])</f>
        <v>1753.1096285789904</v>
      </c>
    </row>
    <row r="262" spans="1:7" ht="15" hidden="1" customHeight="1" x14ac:dyDescent="0.3">
      <c r="A262" t="s">
        <v>66</v>
      </c>
      <c r="B262" s="2">
        <v>45536</v>
      </c>
      <c r="C262" s="52">
        <v>1868.4</v>
      </c>
      <c r="D262" s="48">
        <f>_xlfn.XLOOKUP(expected_production[[#This Row],[Site Name]],Table1[[Site Name ]],Table1[Commisioned Date],"")</f>
        <v>45183</v>
      </c>
      <c r="E262" s="47">
        <f>IF(ISNUMBER(expected_production[[#This Row],[Commissioned Date]]),MAX(0,(expected_production[[#This Row],[Date]]-expected_production[[#This Row],[Commissioned Date]])/365.25),"")</f>
        <v>0.96646132785763172</v>
      </c>
      <c r="F262" s="49">
        <f>IF(expected_production[[#This Row],[Age (yrs)]]="",1,(1-DegradationRate)^expected_production[[#This Row],[Age (yrs)]])</f>
        <v>0.99323397464418917</v>
      </c>
      <c r="G262" s="52">
        <f>IF(expected_production[[#This Row],[Base Expected (kWh)]]="","",expected_production[[#This Row],[Base Expected (kWh)]]*expected_production[[#This Row],[Degradation Factor]])</f>
        <v>1855.7583582252032</v>
      </c>
    </row>
    <row r="263" spans="1:7" ht="15" hidden="1" customHeight="1" x14ac:dyDescent="0.3">
      <c r="A263" t="s">
        <v>66</v>
      </c>
      <c r="B263" s="2">
        <v>45566</v>
      </c>
      <c r="C263" s="52">
        <v>1900.8</v>
      </c>
      <c r="D263" s="48">
        <f>_xlfn.XLOOKUP(expected_production[[#This Row],[Site Name]],Table1[[Site Name ]],Table1[Commisioned Date],"")</f>
        <v>45183</v>
      </c>
      <c r="E263" s="47">
        <f>IF(ISNUMBER(expected_production[[#This Row],[Commissioned Date]]),MAX(0,(expected_production[[#This Row],[Date]]-expected_production[[#This Row],[Commissioned Date]])/365.25),"")</f>
        <v>1.0485968514715949</v>
      </c>
      <c r="F263" s="49">
        <f>IF(expected_production[[#This Row],[Age (yrs)]]="",1,(1-DegradationRate)^expected_production[[#This Row],[Age (yrs)]])</f>
        <v>0.99266107330414532</v>
      </c>
      <c r="G263" s="52">
        <f>IF(expected_production[[#This Row],[Base Expected (kWh)]]="","",expected_production[[#This Row],[Base Expected (kWh)]]*expected_production[[#This Row],[Degradation Factor]])</f>
        <v>1886.8501681365194</v>
      </c>
    </row>
    <row r="264" spans="1:7" ht="15" hidden="1" customHeight="1" x14ac:dyDescent="0.3">
      <c r="A264" t="s">
        <v>66</v>
      </c>
      <c r="B264" s="2">
        <v>45597</v>
      </c>
      <c r="C264" s="52">
        <v>1835.1</v>
      </c>
      <c r="D264" s="48">
        <f>_xlfn.XLOOKUP(expected_production[[#This Row],[Site Name]],Table1[[Site Name ]],Table1[Commisioned Date],"")</f>
        <v>45183</v>
      </c>
      <c r="E264" s="47">
        <f>IF(ISNUMBER(expected_production[[#This Row],[Commissioned Date]]),MAX(0,(expected_production[[#This Row],[Date]]-expected_production[[#This Row],[Commissioned Date]])/365.25),"")</f>
        <v>1.1334702258726899</v>
      </c>
      <c r="F264" s="49">
        <f>IF(expected_production[[#This Row],[Age (yrs)]]="",1,(1-DegradationRate)^expected_production[[#This Row],[Age (yrs)]])</f>
        <v>0.99206942240850593</v>
      </c>
      <c r="G264" s="52">
        <f>IF(expected_production[[#This Row],[Base Expected (kWh)]]="","",expected_production[[#This Row],[Base Expected (kWh)]]*expected_production[[#This Row],[Degradation Factor]])</f>
        <v>1820.5465970618491</v>
      </c>
    </row>
    <row r="265" spans="1:7" ht="15" hidden="1" customHeight="1" x14ac:dyDescent="0.3">
      <c r="A265" t="s">
        <v>66</v>
      </c>
      <c r="B265" s="2">
        <v>45627</v>
      </c>
      <c r="C265" s="52">
        <v>1986.3</v>
      </c>
      <c r="D265" s="48">
        <f>_xlfn.XLOOKUP(expected_production[[#This Row],[Site Name]],Table1[[Site Name ]],Table1[Commisioned Date],"")</f>
        <v>45183</v>
      </c>
      <c r="E265" s="47">
        <f>IF(ISNUMBER(expected_production[[#This Row],[Commissioned Date]]),MAX(0,(expected_production[[#This Row],[Date]]-expected_production[[#This Row],[Commissioned Date]])/365.25),"")</f>
        <v>1.215605749486653</v>
      </c>
      <c r="F265" s="49">
        <f>IF(expected_production[[#This Row],[Age (yrs)]]="",1,(1-DegradationRate)^expected_production[[#This Row],[Age (yrs)]])</f>
        <v>0.99149719278686221</v>
      </c>
      <c r="G265" s="52">
        <f>IF(expected_production[[#This Row],[Base Expected (kWh)]]="","",expected_production[[#This Row],[Base Expected (kWh)]]*expected_production[[#This Row],[Degradation Factor]])</f>
        <v>1969.4108740325444</v>
      </c>
    </row>
    <row r="266" spans="1:7" ht="15" hidden="1" customHeight="1" x14ac:dyDescent="0.3">
      <c r="A266" t="s">
        <v>66</v>
      </c>
      <c r="B266" s="2">
        <v>45658</v>
      </c>
      <c r="C266" s="52">
        <v>2202.3000000000002</v>
      </c>
      <c r="D266" s="48">
        <f>_xlfn.XLOOKUP(expected_production[[#This Row],[Site Name]],Table1[[Site Name ]],Table1[Commisioned Date],"")</f>
        <v>45183</v>
      </c>
      <c r="E266" s="47">
        <f>IF(ISNUMBER(expected_production[[#This Row],[Commissioned Date]]),MAX(0,(expected_production[[#This Row],[Date]]-expected_production[[#This Row],[Commissioned Date]])/365.25),"")</f>
        <v>1.3004791238877482</v>
      </c>
      <c r="F266" s="49">
        <f>IF(expected_production[[#This Row],[Age (yrs)]]="",1,(1-DegradationRate)^expected_production[[#This Row],[Age (yrs)]])</f>
        <v>0.99090623559320123</v>
      </c>
      <c r="G266" s="52">
        <f>IF(expected_production[[#This Row],[Base Expected (kWh)]]="","",expected_production[[#This Row],[Base Expected (kWh)]]*expected_production[[#This Row],[Degradation Factor]])</f>
        <v>2182.2728026469072</v>
      </c>
    </row>
    <row r="267" spans="1:7" ht="15" hidden="1" customHeight="1" x14ac:dyDescent="0.3">
      <c r="A267" t="s">
        <v>66</v>
      </c>
      <c r="B267" s="2">
        <v>45689</v>
      </c>
      <c r="C267" s="52">
        <v>1983.6</v>
      </c>
      <c r="D267" s="48">
        <f>_xlfn.XLOOKUP(expected_production[[#This Row],[Site Name]],Table1[[Site Name ]],Table1[Commisioned Date],"")</f>
        <v>45183</v>
      </c>
      <c r="E267" s="47">
        <f>IF(ISNUMBER(expected_production[[#This Row],[Commissioned Date]]),MAX(0,(expected_production[[#This Row],[Date]]-expected_production[[#This Row],[Commissioned Date]])/365.25),"")</f>
        <v>1.3853524982888432</v>
      </c>
      <c r="F267" s="49">
        <f>IF(expected_production[[#This Row],[Age (yrs)]]="",1,(1-DegradationRate)^expected_production[[#This Row],[Age (yrs)]])</f>
        <v>0.99031563062484895</v>
      </c>
      <c r="G267" s="52">
        <f>IF(expected_production[[#This Row],[Base Expected (kWh)]]="","",expected_production[[#This Row],[Base Expected (kWh)]]*expected_production[[#This Row],[Degradation Factor]])</f>
        <v>1964.3900849074503</v>
      </c>
    </row>
    <row r="268" spans="1:7" ht="15" hidden="1" customHeight="1" x14ac:dyDescent="0.3">
      <c r="A268" t="s">
        <v>66</v>
      </c>
      <c r="B268" s="2">
        <v>45717</v>
      </c>
      <c r="C268" s="52">
        <v>2127.6</v>
      </c>
      <c r="D268" s="48">
        <f>_xlfn.XLOOKUP(expected_production[[#This Row],[Site Name]],Table1[[Site Name ]],Table1[Commisioned Date],"")</f>
        <v>45183</v>
      </c>
      <c r="E268" s="47">
        <f>IF(ISNUMBER(expected_production[[#This Row],[Commissioned Date]]),MAX(0,(expected_production[[#This Row],[Date]]-expected_production[[#This Row],[Commissioned Date]])/365.25),"")</f>
        <v>1.462012320328542</v>
      </c>
      <c r="F268" s="49">
        <f>IF(expected_production[[#This Row],[Age (yrs)]]="",1,(1-DegradationRate)^expected_production[[#This Row],[Age (yrs)]])</f>
        <v>0.98978248354655562</v>
      </c>
      <c r="G268" s="52">
        <f>IF(expected_production[[#This Row],[Base Expected (kWh)]]="","",expected_production[[#This Row],[Base Expected (kWh)]]*expected_production[[#This Row],[Degradation Factor]])</f>
        <v>2105.8612119936515</v>
      </c>
    </row>
    <row r="269" spans="1:7" ht="15" hidden="1" customHeight="1" x14ac:dyDescent="0.3">
      <c r="A269" t="s">
        <v>66</v>
      </c>
      <c r="B269" s="2">
        <v>45748</v>
      </c>
      <c r="C269" s="52">
        <v>1767.6</v>
      </c>
      <c r="D269" s="48">
        <f>_xlfn.XLOOKUP(expected_production[[#This Row],[Site Name]],Table1[[Site Name ]],Table1[Commisioned Date],"")</f>
        <v>45183</v>
      </c>
      <c r="E269" s="47">
        <f>IF(ISNUMBER(expected_production[[#This Row],[Commissioned Date]]),MAX(0,(expected_production[[#This Row],[Date]]-expected_production[[#This Row],[Commissioned Date]])/365.25),"")</f>
        <v>1.5468856947296372</v>
      </c>
      <c r="F269" s="49">
        <f>IF(expected_production[[#This Row],[Age (yrs)]]="",1,(1-DegradationRate)^expected_production[[#This Row],[Age (yrs)]])</f>
        <v>0.98919254836260684</v>
      </c>
      <c r="G269" s="52">
        <f>IF(expected_production[[#This Row],[Base Expected (kWh)]]="","",expected_production[[#This Row],[Base Expected (kWh)]]*expected_production[[#This Row],[Degradation Factor]])</f>
        <v>1748.4967484857439</v>
      </c>
    </row>
    <row r="270" spans="1:7" ht="15" hidden="1" customHeight="1" x14ac:dyDescent="0.3">
      <c r="A270" t="s">
        <v>66</v>
      </c>
      <c r="B270" s="2">
        <v>45778</v>
      </c>
      <c r="C270" s="52">
        <v>1631.7</v>
      </c>
      <c r="D270" s="48">
        <f>_xlfn.XLOOKUP(expected_production[[#This Row],[Site Name]],Table1[[Site Name ]],Table1[Commisioned Date],"")</f>
        <v>45183</v>
      </c>
      <c r="E270" s="47">
        <f>IF(ISNUMBER(expected_production[[#This Row],[Commissioned Date]]),MAX(0,(expected_production[[#This Row],[Date]]-expected_production[[#This Row],[Commissioned Date]])/365.25),"")</f>
        <v>1.6290212183436004</v>
      </c>
      <c r="F270" s="49">
        <f>IF(expected_production[[#This Row],[Age (yrs)]]="",1,(1-DegradationRate)^expected_production[[#This Row],[Age (yrs)]])</f>
        <v>0.98862197813345076</v>
      </c>
      <c r="G270" s="52">
        <f>IF(expected_production[[#This Row],[Base Expected (kWh)]]="","",expected_production[[#This Row],[Base Expected (kWh)]]*expected_production[[#This Row],[Degradation Factor]])</f>
        <v>1613.1344817203517</v>
      </c>
    </row>
    <row r="271" spans="1:7" ht="15" hidden="1" customHeight="1" x14ac:dyDescent="0.3">
      <c r="A271" t="s">
        <v>66</v>
      </c>
      <c r="B271" s="2">
        <v>45809</v>
      </c>
      <c r="C271" s="52">
        <v>1480.5</v>
      </c>
      <c r="D271" s="48">
        <f>_xlfn.XLOOKUP(expected_production[[#This Row],[Site Name]],Table1[[Site Name ]],Table1[Commisioned Date],"")</f>
        <v>45183</v>
      </c>
      <c r="E271" s="47">
        <f>IF(ISNUMBER(expected_production[[#This Row],[Commissioned Date]]),MAX(0,(expected_production[[#This Row],[Date]]-expected_production[[#This Row],[Commissioned Date]])/365.25),"")</f>
        <v>1.7138945927446954</v>
      </c>
      <c r="F271" s="49">
        <f>IF(expected_production[[#This Row],[Age (yrs)]]="",1,(1-DegradationRate)^expected_production[[#This Row],[Age (yrs)]])</f>
        <v>0.98803273463983365</v>
      </c>
      <c r="G271" s="52">
        <f>IF(expected_production[[#This Row],[Base Expected (kWh)]]="","",expected_production[[#This Row],[Base Expected (kWh)]]*expected_production[[#This Row],[Degradation Factor]])</f>
        <v>1462.7824636342737</v>
      </c>
    </row>
    <row r="272" spans="1:7" ht="15" hidden="1" customHeight="1" x14ac:dyDescent="0.3">
      <c r="A272" t="s">
        <v>66</v>
      </c>
      <c r="B272" s="2">
        <v>45839</v>
      </c>
      <c r="C272" s="52">
        <v>1612.8</v>
      </c>
      <c r="D272" s="48">
        <f>_xlfn.XLOOKUP(expected_production[[#This Row],[Site Name]],Table1[[Site Name ]],Table1[Commisioned Date],"")</f>
        <v>45183</v>
      </c>
      <c r="E272" s="47">
        <f>IF(ISNUMBER(expected_production[[#This Row],[Commissioned Date]]),MAX(0,(expected_production[[#This Row],[Date]]-expected_production[[#This Row],[Commissioned Date]])/365.25),"")</f>
        <v>1.7960301163586585</v>
      </c>
      <c r="F272" s="49">
        <f>IF(expected_production[[#This Row],[Age (yrs)]]="",1,(1-DegradationRate)^expected_production[[#This Row],[Age (yrs)]])</f>
        <v>0.98746283339588448</v>
      </c>
      <c r="G272" s="52">
        <f>IF(expected_production[[#This Row],[Base Expected (kWh)]]="","",expected_production[[#This Row],[Base Expected (kWh)]]*expected_production[[#This Row],[Degradation Factor]])</f>
        <v>1592.5800577008824</v>
      </c>
    </row>
    <row r="273" spans="1:7" ht="15" hidden="1" customHeight="1" x14ac:dyDescent="0.3">
      <c r="A273" t="s">
        <v>66</v>
      </c>
      <c r="B273" s="2">
        <v>45870</v>
      </c>
      <c r="C273" s="52">
        <v>1764</v>
      </c>
      <c r="D273" s="48">
        <f>_xlfn.XLOOKUP(expected_production[[#This Row],[Site Name]],Table1[[Site Name ]],Table1[Commisioned Date],"")</f>
        <v>45183</v>
      </c>
      <c r="E273" s="47">
        <f>IF(ISNUMBER(expected_production[[#This Row],[Commissioned Date]]),MAX(0,(expected_production[[#This Row],[Date]]-expected_production[[#This Row],[Commissioned Date]])/365.25),"")</f>
        <v>1.8809034907597535</v>
      </c>
      <c r="F273" s="49">
        <f>IF(expected_production[[#This Row],[Age (yrs)]]="",1,(1-DegradationRate)^expected_production[[#This Row],[Age (yrs)]])</f>
        <v>0.98687428078160233</v>
      </c>
      <c r="G273" s="52">
        <f>IF(expected_production[[#This Row],[Base Expected (kWh)]]="","",expected_production[[#This Row],[Base Expected (kWh)]]*expected_production[[#This Row],[Degradation Factor]])</f>
        <v>1740.8462312987465</v>
      </c>
    </row>
    <row r="274" spans="1:7" ht="15" hidden="1" customHeight="1" x14ac:dyDescent="0.3">
      <c r="A274" t="s">
        <v>66</v>
      </c>
      <c r="B274" s="2">
        <v>45901</v>
      </c>
      <c r="C274" s="52">
        <v>1868.4</v>
      </c>
      <c r="D274" s="48">
        <f>_xlfn.XLOOKUP(expected_production[[#This Row],[Site Name]],Table1[[Site Name ]],Table1[Commisioned Date],"")</f>
        <v>45183</v>
      </c>
      <c r="E274" s="47">
        <f>IF(ISNUMBER(expected_production[[#This Row],[Commissioned Date]]),MAX(0,(expected_production[[#This Row],[Date]]-expected_production[[#This Row],[Commissioned Date]])/365.25),"")</f>
        <v>1.9657768651608487</v>
      </c>
      <c r="F274" s="49">
        <f>IF(expected_production[[#This Row],[Age (yrs)]]="",1,(1-DegradationRate)^expected_production[[#This Row],[Age (yrs)]])</f>
        <v>0.98628607895943921</v>
      </c>
      <c r="G274" s="52">
        <f>IF(expected_production[[#This Row],[Base Expected (kWh)]]="","",expected_production[[#This Row],[Base Expected (kWh)]]*expected_production[[#This Row],[Degradation Factor]])</f>
        <v>1842.7769099278164</v>
      </c>
    </row>
    <row r="275" spans="1:7" ht="15" hidden="1" customHeight="1" x14ac:dyDescent="0.3">
      <c r="A275" t="s">
        <v>66</v>
      </c>
      <c r="B275" s="2">
        <v>45931</v>
      </c>
      <c r="C275" s="52">
        <v>1900.8</v>
      </c>
      <c r="D275" s="48">
        <f>_xlfn.XLOOKUP(expected_production[[#This Row],[Site Name]],Table1[[Site Name ]],Table1[Commisioned Date],"")</f>
        <v>45183</v>
      </c>
      <c r="E275" s="47">
        <f>IF(ISNUMBER(expected_production[[#This Row],[Commissioned Date]]),MAX(0,(expected_production[[#This Row],[Date]]-expected_production[[#This Row],[Commissioned Date]])/365.25),"")</f>
        <v>2.0479123887748116</v>
      </c>
      <c r="F275" s="49">
        <f>IF(expected_production[[#This Row],[Age (yrs)]]="",1,(1-DegradationRate)^expected_production[[#This Row],[Age (yrs)]])</f>
        <v>0.98571718519349161</v>
      </c>
      <c r="G275" s="52">
        <f>IF(expected_production[[#This Row],[Base Expected (kWh)]]="","",expected_production[[#This Row],[Base Expected (kWh)]]*expected_production[[#This Row],[Degradation Factor]])</f>
        <v>1873.6512256157887</v>
      </c>
    </row>
    <row r="276" spans="1:7" ht="15" hidden="1" customHeight="1" x14ac:dyDescent="0.3">
      <c r="A276" t="s">
        <v>66</v>
      </c>
      <c r="B276" s="2">
        <v>45962</v>
      </c>
      <c r="C276" s="52">
        <v>1835.1</v>
      </c>
      <c r="D276" s="48">
        <f>_xlfn.XLOOKUP(expected_production[[#This Row],[Site Name]],Table1[[Site Name ]],Table1[Commisioned Date],"")</f>
        <v>45183</v>
      </c>
      <c r="E276" s="47">
        <f>IF(ISNUMBER(expected_production[[#This Row],[Commissioned Date]]),MAX(0,(expected_production[[#This Row],[Date]]-expected_production[[#This Row],[Commissioned Date]])/365.25),"")</f>
        <v>2.1327857631759071</v>
      </c>
      <c r="F276" s="49">
        <f>IF(expected_production[[#This Row],[Age (yrs)]]="",1,(1-DegradationRate)^expected_production[[#This Row],[Age (yrs)]])</f>
        <v>0.98512967302931898</v>
      </c>
      <c r="G276" s="52">
        <f>IF(expected_production[[#This Row],[Base Expected (kWh)]]="","",expected_production[[#This Row],[Base Expected (kWh)]]*expected_production[[#This Row],[Degradation Factor]])</f>
        <v>1807.8114629761033</v>
      </c>
    </row>
    <row r="277" spans="1:7" ht="15" hidden="1" customHeight="1" x14ac:dyDescent="0.3">
      <c r="A277" t="s">
        <v>66</v>
      </c>
      <c r="B277" s="2">
        <v>45992</v>
      </c>
      <c r="C277" s="52">
        <v>1986.3</v>
      </c>
      <c r="D277" s="48">
        <f>_xlfn.XLOOKUP(expected_production[[#This Row],[Site Name]],Table1[[Site Name ]],Table1[Commisioned Date],"")</f>
        <v>45183</v>
      </c>
      <c r="E277" s="47">
        <f>IF(ISNUMBER(expected_production[[#This Row],[Commissioned Date]]),MAX(0,(expected_production[[#This Row],[Date]]-expected_production[[#This Row],[Commissioned Date]])/365.25),"")</f>
        <v>2.21492128678987</v>
      </c>
      <c r="F277" s="49">
        <f>IF(expected_production[[#This Row],[Age (yrs)]]="",1,(1-DegradationRate)^expected_production[[#This Row],[Age (yrs)]])</f>
        <v>0.98456144628294973</v>
      </c>
      <c r="G277" s="52">
        <f>IF(expected_production[[#This Row],[Base Expected (kWh)]]="","",expected_production[[#This Row],[Base Expected (kWh)]]*expected_production[[#This Row],[Degradation Factor]])</f>
        <v>1955.634400751823</v>
      </c>
    </row>
    <row r="278" spans="1:7" ht="15" hidden="1" customHeight="1" x14ac:dyDescent="0.3">
      <c r="A278" t="s">
        <v>66</v>
      </c>
      <c r="B278" s="2">
        <v>46023</v>
      </c>
      <c r="C278" s="52">
        <v>2202.3000000000002</v>
      </c>
      <c r="D278" s="48">
        <f>_xlfn.XLOOKUP(expected_production[[#This Row],[Site Name]],Table1[[Site Name ]],Table1[Commisioned Date],"")</f>
        <v>45183</v>
      </c>
      <c r="E278" s="47">
        <f>IF(ISNUMBER(expected_production[[#This Row],[Commissioned Date]]),MAX(0,(expected_production[[#This Row],[Date]]-expected_production[[#This Row],[Commissioned Date]])/365.25),"")</f>
        <v>2.299794661190965</v>
      </c>
      <c r="F278" s="49">
        <f>IF(expected_production[[#This Row],[Age (yrs)]]="",1,(1-DegradationRate)^expected_production[[#This Row],[Age (yrs)]])</f>
        <v>0.98397462296815374</v>
      </c>
      <c r="G278" s="52">
        <f>IF(expected_production[[#This Row],[Base Expected (kWh)]]="","",expected_production[[#This Row],[Base Expected (kWh)]]*expected_production[[#This Row],[Degradation Factor]])</f>
        <v>2167.0073121627652</v>
      </c>
    </row>
    <row r="279" spans="1:7" ht="15" hidden="1" customHeight="1" x14ac:dyDescent="0.3">
      <c r="A279" t="s">
        <v>66</v>
      </c>
      <c r="B279" s="2">
        <v>46054</v>
      </c>
      <c r="C279" s="52">
        <v>1983.6</v>
      </c>
      <c r="D279" s="48">
        <f>_xlfn.XLOOKUP(expected_production[[#This Row],[Site Name]],Table1[[Site Name ]],Table1[Commisioned Date],"")</f>
        <v>45183</v>
      </c>
      <c r="E279" s="47">
        <f>IF(ISNUMBER(expected_production[[#This Row],[Commissioned Date]]),MAX(0,(expected_production[[#This Row],[Date]]-expected_production[[#This Row],[Commissioned Date]])/365.25),"")</f>
        <v>2.3846680355920604</v>
      </c>
      <c r="F279" s="49">
        <f>IF(expected_production[[#This Row],[Age (yrs)]]="",1,(1-DegradationRate)^expected_production[[#This Row],[Age (yrs)]])</f>
        <v>0.98338814941477093</v>
      </c>
      <c r="G279" s="52">
        <f>IF(expected_production[[#This Row],[Base Expected (kWh)]]="","",expected_production[[#This Row],[Base Expected (kWh)]]*expected_production[[#This Row],[Degradation Factor]])</f>
        <v>1950.6487331791395</v>
      </c>
    </row>
    <row r="280" spans="1:7" ht="15" hidden="1" customHeight="1" x14ac:dyDescent="0.3">
      <c r="A280" t="s">
        <v>66</v>
      </c>
      <c r="B280" s="2">
        <v>46082</v>
      </c>
      <c r="C280" s="52">
        <v>2127.6</v>
      </c>
      <c r="D280" s="48">
        <f>_xlfn.XLOOKUP(expected_production[[#This Row],[Site Name]],Table1[[Site Name ]],Table1[Commisioned Date],"")</f>
        <v>45183</v>
      </c>
      <c r="E280" s="47">
        <f>IF(ISNUMBER(expected_production[[#This Row],[Commissioned Date]]),MAX(0,(expected_production[[#This Row],[Date]]-expected_production[[#This Row],[Commissioned Date]])/365.25),"")</f>
        <v>2.4613278576317592</v>
      </c>
      <c r="F280" s="49">
        <f>IF(expected_production[[#This Row],[Age (yrs)]]="",1,(1-DegradationRate)^expected_production[[#This Row],[Age (yrs)]])</f>
        <v>0.98285873182054595</v>
      </c>
      <c r="G280" s="52">
        <f>IF(expected_production[[#This Row],[Base Expected (kWh)]]="","",expected_production[[#This Row],[Base Expected (kWh)]]*expected_production[[#This Row],[Degradation Factor]])</f>
        <v>2091.1302378213936</v>
      </c>
    </row>
    <row r="281" spans="1:7" ht="15" hidden="1" customHeight="1" x14ac:dyDescent="0.3">
      <c r="A281" t="s">
        <v>66</v>
      </c>
      <c r="B281" s="2">
        <v>46113</v>
      </c>
      <c r="C281" s="52">
        <v>1767.6</v>
      </c>
      <c r="D281" s="48">
        <f>_xlfn.XLOOKUP(expected_production[[#This Row],[Site Name]],Table1[[Site Name ]],Table1[Commisioned Date],"")</f>
        <v>45183</v>
      </c>
      <c r="E281" s="47">
        <f>IF(ISNUMBER(expected_production[[#This Row],[Commissioned Date]]),MAX(0,(expected_production[[#This Row],[Date]]-expected_production[[#This Row],[Commissioned Date]])/365.25),"")</f>
        <v>2.5462012320328542</v>
      </c>
      <c r="F281" s="49">
        <f>IF(expected_production[[#This Row],[Age (yrs)]]="",1,(1-DegradationRate)^expected_production[[#This Row],[Age (yrs)]])</f>
        <v>0.98227292336627359</v>
      </c>
      <c r="G281" s="52">
        <f>IF(expected_production[[#This Row],[Base Expected (kWh)]]="","",expected_production[[#This Row],[Base Expected (kWh)]]*expected_production[[#This Row],[Degradation Factor]])</f>
        <v>1736.2656193422251</v>
      </c>
    </row>
    <row r="282" spans="1:7" ht="15" hidden="1" customHeight="1" x14ac:dyDescent="0.3">
      <c r="A282" t="s">
        <v>66</v>
      </c>
      <c r="B282" s="2">
        <v>46143</v>
      </c>
      <c r="C282" s="52">
        <v>1631.7</v>
      </c>
      <c r="D282" s="48">
        <f>_xlfn.XLOOKUP(expected_production[[#This Row],[Site Name]],Table1[[Site Name ]],Table1[Commisioned Date],"")</f>
        <v>45183</v>
      </c>
      <c r="E282" s="47">
        <f>IF(ISNUMBER(expected_production[[#This Row],[Commissioned Date]]),MAX(0,(expected_production[[#This Row],[Date]]-expected_production[[#This Row],[Commissioned Date]])/365.25),"")</f>
        <v>2.6283367556468171</v>
      </c>
      <c r="F282" s="49">
        <f>IF(expected_production[[#This Row],[Age (yrs)]]="",1,(1-DegradationRate)^expected_production[[#This Row],[Age (yrs)]])</f>
        <v>0.98170634440456728</v>
      </c>
      <c r="G282" s="52">
        <f>IF(expected_production[[#This Row],[Base Expected (kWh)]]="","",expected_production[[#This Row],[Base Expected (kWh)]]*expected_production[[#This Row],[Degradation Factor]])</f>
        <v>1601.8502421649325</v>
      </c>
    </row>
    <row r="283" spans="1:7" ht="15" hidden="1" customHeight="1" x14ac:dyDescent="0.3">
      <c r="A283" t="s">
        <v>66</v>
      </c>
      <c r="B283" s="2">
        <v>46174</v>
      </c>
      <c r="C283" s="52">
        <v>1480.5</v>
      </c>
      <c r="D283" s="48">
        <f>_xlfn.XLOOKUP(expected_production[[#This Row],[Site Name]],Table1[[Site Name ]],Table1[Commisioned Date],"")</f>
        <v>45183</v>
      </c>
      <c r="E283" s="47">
        <f>IF(ISNUMBER(expected_production[[#This Row],[Commissioned Date]]),MAX(0,(expected_production[[#This Row],[Date]]-expected_production[[#This Row],[Commissioned Date]])/365.25),"")</f>
        <v>2.7132101300479126</v>
      </c>
      <c r="F283" s="49">
        <f>IF(expected_production[[#This Row],[Age (yrs)]]="",1,(1-DegradationRate)^expected_production[[#This Row],[Age (yrs)]])</f>
        <v>0.98112122280209679</v>
      </c>
      <c r="G283" s="52">
        <f>IF(expected_production[[#This Row],[Base Expected (kWh)]]="","",expected_production[[#This Row],[Base Expected (kWh)]]*expected_production[[#This Row],[Degradation Factor]])</f>
        <v>1452.5499703585042</v>
      </c>
    </row>
    <row r="284" spans="1:7" ht="15" hidden="1" customHeight="1" x14ac:dyDescent="0.3">
      <c r="A284" t="s">
        <v>66</v>
      </c>
      <c r="B284" s="2">
        <v>46204</v>
      </c>
      <c r="C284" s="52">
        <v>1612.8</v>
      </c>
      <c r="D284" s="48">
        <f>_xlfn.XLOOKUP(expected_production[[#This Row],[Site Name]],Table1[[Site Name ]],Table1[Commisioned Date],"")</f>
        <v>45183</v>
      </c>
      <c r="E284" s="47">
        <f>IF(ISNUMBER(expected_production[[#This Row],[Commissioned Date]]),MAX(0,(expected_production[[#This Row],[Date]]-expected_production[[#This Row],[Commissioned Date]])/365.25),"")</f>
        <v>2.7953456536618755</v>
      </c>
      <c r="F284" s="49">
        <f>IF(expected_production[[#This Row],[Age (yrs)]]="",1,(1-DegradationRate)^expected_production[[#This Row],[Age (yrs)]])</f>
        <v>0.98055530814589498</v>
      </c>
      <c r="G284" s="52">
        <f>IF(expected_production[[#This Row],[Base Expected (kWh)]]="","",expected_production[[#This Row],[Base Expected (kWh)]]*expected_production[[#This Row],[Degradation Factor]])</f>
        <v>1581.4396009776995</v>
      </c>
    </row>
    <row r="285" spans="1:7" ht="15" hidden="1" customHeight="1" x14ac:dyDescent="0.3">
      <c r="A285" t="s">
        <v>66</v>
      </c>
      <c r="B285" s="2">
        <v>46235</v>
      </c>
      <c r="C285" s="52">
        <v>1764</v>
      </c>
      <c r="D285" s="48">
        <f>_xlfn.XLOOKUP(expected_production[[#This Row],[Site Name]],Table1[[Site Name ]],Table1[Commisioned Date],"")</f>
        <v>45183</v>
      </c>
      <c r="E285" s="47">
        <f>IF(ISNUMBER(expected_production[[#This Row],[Commissioned Date]]),MAX(0,(expected_production[[#This Row],[Date]]-expected_production[[#This Row],[Commissioned Date]])/365.25),"")</f>
        <v>2.8802190280629705</v>
      </c>
      <c r="F285" s="49">
        <f>IF(expected_production[[#This Row],[Age (yrs)]]="",1,(1-DegradationRate)^expected_production[[#This Row],[Age (yrs)]])</f>
        <v>0.97997087258990268</v>
      </c>
      <c r="G285" s="52">
        <f>IF(expected_production[[#This Row],[Base Expected (kWh)]]="","",expected_production[[#This Row],[Base Expected (kWh)]]*expected_production[[#This Row],[Degradation Factor]])</f>
        <v>1728.6686192485884</v>
      </c>
    </row>
    <row r="286" spans="1:7" ht="15" hidden="1" customHeight="1" x14ac:dyDescent="0.3">
      <c r="A286" t="s">
        <v>66</v>
      </c>
      <c r="B286" s="2">
        <v>46266</v>
      </c>
      <c r="C286" s="52">
        <v>1868.4</v>
      </c>
      <c r="D286" s="48">
        <f>_xlfn.XLOOKUP(expected_production[[#This Row],[Site Name]],Table1[[Site Name ]],Table1[Commisioned Date],"")</f>
        <v>45183</v>
      </c>
      <c r="E286" s="47">
        <f>IF(ISNUMBER(expected_production[[#This Row],[Commissioned Date]]),MAX(0,(expected_production[[#This Row],[Date]]-expected_production[[#This Row],[Commissioned Date]])/365.25),"")</f>
        <v>2.9650924024640659</v>
      </c>
      <c r="F286" s="49">
        <f>IF(expected_production[[#This Row],[Age (yrs)]]="",1,(1-DegradationRate)^expected_production[[#This Row],[Age (yrs)]])</f>
        <v>0.97938678537215929</v>
      </c>
      <c r="G286" s="52">
        <f>IF(expected_production[[#This Row],[Base Expected (kWh)]]="","",expected_production[[#This Row],[Base Expected (kWh)]]*expected_production[[#This Row],[Degradation Factor]])</f>
        <v>1829.8862697893426</v>
      </c>
    </row>
    <row r="287" spans="1:7" ht="15" hidden="1" customHeight="1" x14ac:dyDescent="0.3">
      <c r="A287" t="s">
        <v>66</v>
      </c>
      <c r="B287" s="2">
        <v>46296</v>
      </c>
      <c r="C287" s="52">
        <v>1900.8</v>
      </c>
      <c r="D287" s="48">
        <f>_xlfn.XLOOKUP(expected_production[[#This Row],[Site Name]],Table1[[Site Name ]],Table1[Commisioned Date],"")</f>
        <v>45183</v>
      </c>
      <c r="E287" s="47">
        <f>IF(ISNUMBER(expected_production[[#This Row],[Commissioned Date]]),MAX(0,(expected_production[[#This Row],[Date]]-expected_production[[#This Row],[Commissioned Date]])/365.25),"")</f>
        <v>3.0472279260780288</v>
      </c>
      <c r="F287" s="49">
        <f>IF(expected_production[[#This Row],[Age (yrs)]]="",1,(1-DegradationRate)^expected_production[[#This Row],[Age (yrs)]])</f>
        <v>0.97882187114642316</v>
      </c>
      <c r="G287" s="52">
        <f>IF(expected_production[[#This Row],[Base Expected (kWh)]]="","",expected_production[[#This Row],[Base Expected (kWh)]]*expected_production[[#This Row],[Degradation Factor]])</f>
        <v>1860.544612675121</v>
      </c>
    </row>
    <row r="288" spans="1:7" ht="15" hidden="1" customHeight="1" x14ac:dyDescent="0.3">
      <c r="A288" t="s">
        <v>66</v>
      </c>
      <c r="B288" s="2">
        <v>46327</v>
      </c>
      <c r="C288" s="52">
        <v>1835.1</v>
      </c>
      <c r="D288" s="48">
        <f>_xlfn.XLOOKUP(expected_production[[#This Row],[Site Name]],Table1[[Site Name ]],Table1[Commisioned Date],"")</f>
        <v>45183</v>
      </c>
      <c r="E288" s="47">
        <f>IF(ISNUMBER(expected_production[[#This Row],[Commissioned Date]]),MAX(0,(expected_production[[#This Row],[Date]]-expected_production[[#This Row],[Commissioned Date]])/365.25),"")</f>
        <v>3.1321013004791238</v>
      </c>
      <c r="F288" s="49">
        <f>IF(expected_production[[#This Row],[Age (yrs)]]="",1,(1-DegradationRate)^expected_production[[#This Row],[Age (yrs)]])</f>
        <v>0.97823846876235721</v>
      </c>
      <c r="G288" s="52">
        <f>IF(expected_production[[#This Row],[Base Expected (kWh)]]="","",expected_production[[#This Row],[Base Expected (kWh)]]*expected_production[[#This Row],[Degradation Factor]])</f>
        <v>1795.1654140258015</v>
      </c>
    </row>
    <row r="289" spans="1:7" ht="15" hidden="1" customHeight="1" x14ac:dyDescent="0.3">
      <c r="A289" t="s">
        <v>66</v>
      </c>
      <c r="B289" s="2">
        <v>46357</v>
      </c>
      <c r="C289" s="52">
        <v>1986.3</v>
      </c>
      <c r="D289" s="48">
        <f>_xlfn.XLOOKUP(expected_production[[#This Row],[Site Name]],Table1[[Site Name ]],Table1[Commisioned Date],"")</f>
        <v>45183</v>
      </c>
      <c r="E289" s="47">
        <f>IF(ISNUMBER(expected_production[[#This Row],[Commissioned Date]]),MAX(0,(expected_production[[#This Row],[Date]]-expected_production[[#This Row],[Commissioned Date]])/365.25),"")</f>
        <v>3.2142368240930868</v>
      </c>
      <c r="F289" s="49">
        <f>IF(expected_production[[#This Row],[Age (yrs)]]="",1,(1-DegradationRate)^expected_production[[#This Row],[Age (yrs)]])</f>
        <v>0.97767421689024703</v>
      </c>
      <c r="G289" s="52">
        <f>IF(expected_production[[#This Row],[Base Expected (kWh)]]="","",expected_production[[#This Row],[Base Expected (kWh)]]*expected_production[[#This Row],[Degradation Factor]])</f>
        <v>1941.9542970090977</v>
      </c>
    </row>
    <row r="290" spans="1:7" ht="15" hidden="1" customHeight="1" x14ac:dyDescent="0.3">
      <c r="A290" t="s">
        <v>71</v>
      </c>
      <c r="B290" s="2">
        <v>45292</v>
      </c>
      <c r="C290" s="52">
        <v>26689.5</v>
      </c>
      <c r="D290" s="48">
        <f>_xlfn.XLOOKUP(expected_production[[#This Row],[Site Name]],Table1[[Site Name ]],Table1[Commisioned Date],"")</f>
        <v>45449</v>
      </c>
      <c r="E290" s="47">
        <f>IF(ISNUMBER(expected_production[[#This Row],[Commissioned Date]]),MAX(0,(expected_production[[#This Row],[Date]]-expected_production[[#This Row],[Commissioned Date]])/365.25),"")</f>
        <v>0</v>
      </c>
      <c r="F290" s="49">
        <f>IF(expected_production[[#This Row],[Age (yrs)]]="",1,(1-DegradationRate)^expected_production[[#This Row],[Age (yrs)]])</f>
        <v>1</v>
      </c>
      <c r="G290" s="52">
        <f>IF(expected_production[[#This Row],[Base Expected (kWh)]]="","",expected_production[[#This Row],[Base Expected (kWh)]]*expected_production[[#This Row],[Degradation Factor]])</f>
        <v>26689.5</v>
      </c>
    </row>
    <row r="291" spans="1:7" ht="15" hidden="1" customHeight="1" x14ac:dyDescent="0.3">
      <c r="A291" t="s">
        <v>71</v>
      </c>
      <c r="B291" s="2">
        <v>45323</v>
      </c>
      <c r="C291" s="52">
        <v>20674.8</v>
      </c>
      <c r="D291" s="48">
        <f>_xlfn.XLOOKUP(expected_production[[#This Row],[Site Name]],Table1[[Site Name ]],Table1[Commisioned Date],"")</f>
        <v>45449</v>
      </c>
      <c r="E291" s="47">
        <f>IF(ISNUMBER(expected_production[[#This Row],[Commissioned Date]]),MAX(0,(expected_production[[#This Row],[Date]]-expected_production[[#This Row],[Commissioned Date]])/365.25),"")</f>
        <v>0</v>
      </c>
      <c r="F291" s="49">
        <f>IF(expected_production[[#This Row],[Age (yrs)]]="",1,(1-DegradationRate)^expected_production[[#This Row],[Age (yrs)]])</f>
        <v>1</v>
      </c>
      <c r="G291" s="52">
        <f>IF(expected_production[[#This Row],[Base Expected (kWh)]]="","",expected_production[[#This Row],[Base Expected (kWh)]]*expected_production[[#This Row],[Degradation Factor]])</f>
        <v>20674.8</v>
      </c>
    </row>
    <row r="292" spans="1:7" ht="15" hidden="1" customHeight="1" x14ac:dyDescent="0.3">
      <c r="A292" t="s">
        <v>71</v>
      </c>
      <c r="B292" s="2">
        <v>45352</v>
      </c>
      <c r="C292" s="52">
        <v>20095.2</v>
      </c>
      <c r="D292" s="48">
        <f>_xlfn.XLOOKUP(expected_production[[#This Row],[Site Name]],Table1[[Site Name ]],Table1[Commisioned Date],"")</f>
        <v>45449</v>
      </c>
      <c r="E292" s="47">
        <f>IF(ISNUMBER(expected_production[[#This Row],[Commissioned Date]]),MAX(0,(expected_production[[#This Row],[Date]]-expected_production[[#This Row],[Commissioned Date]])/365.25),"")</f>
        <v>0</v>
      </c>
      <c r="F292" s="49">
        <f>IF(expected_production[[#This Row],[Age (yrs)]]="",1,(1-DegradationRate)^expected_production[[#This Row],[Age (yrs)]])</f>
        <v>1</v>
      </c>
      <c r="G292" s="52">
        <f>IF(expected_production[[#This Row],[Base Expected (kWh)]]="","",expected_production[[#This Row],[Base Expected (kWh)]]*expected_production[[#This Row],[Degradation Factor]])</f>
        <v>20095.2</v>
      </c>
    </row>
    <row r="293" spans="1:7" ht="15" hidden="1" customHeight="1" x14ac:dyDescent="0.3">
      <c r="A293" t="s">
        <v>71</v>
      </c>
      <c r="B293" s="2">
        <v>45383</v>
      </c>
      <c r="C293" s="52">
        <v>16286.4</v>
      </c>
      <c r="D293" s="48">
        <f>_xlfn.XLOOKUP(expected_production[[#This Row],[Site Name]],Table1[[Site Name ]],Table1[Commisioned Date],"")</f>
        <v>45449</v>
      </c>
      <c r="E293" s="47">
        <f>IF(ISNUMBER(expected_production[[#This Row],[Commissioned Date]]),MAX(0,(expected_production[[#This Row],[Date]]-expected_production[[#This Row],[Commissioned Date]])/365.25),"")</f>
        <v>0</v>
      </c>
      <c r="F293" s="49">
        <f>IF(expected_production[[#This Row],[Age (yrs)]]="",1,(1-DegradationRate)^expected_production[[#This Row],[Age (yrs)]])</f>
        <v>1</v>
      </c>
      <c r="G293" s="52">
        <f>IF(expected_production[[#This Row],[Base Expected (kWh)]]="","",expected_production[[#This Row],[Base Expected (kWh)]]*expected_production[[#This Row],[Degradation Factor]])</f>
        <v>16286.4</v>
      </c>
    </row>
    <row r="294" spans="1:7" ht="15" hidden="1" customHeight="1" x14ac:dyDescent="0.3">
      <c r="A294" t="s">
        <v>71</v>
      </c>
      <c r="B294" s="2">
        <v>45413</v>
      </c>
      <c r="C294" s="52">
        <v>13518.9</v>
      </c>
      <c r="D294" s="48">
        <f>_xlfn.XLOOKUP(expected_production[[#This Row],[Site Name]],Table1[[Site Name ]],Table1[Commisioned Date],"")</f>
        <v>45449</v>
      </c>
      <c r="E294" s="47">
        <f>IF(ISNUMBER(expected_production[[#This Row],[Commissioned Date]]),MAX(0,(expected_production[[#This Row],[Date]]-expected_production[[#This Row],[Commissioned Date]])/365.25),"")</f>
        <v>0</v>
      </c>
      <c r="F294" s="49">
        <f>IF(expected_production[[#This Row],[Age (yrs)]]="",1,(1-DegradationRate)^expected_production[[#This Row],[Age (yrs)]])</f>
        <v>1</v>
      </c>
      <c r="G294" s="52">
        <f>IF(expected_production[[#This Row],[Base Expected (kWh)]]="","",expected_production[[#This Row],[Base Expected (kWh)]]*expected_production[[#This Row],[Degradation Factor]])</f>
        <v>13518.9</v>
      </c>
    </row>
    <row r="295" spans="1:7" ht="15" hidden="1" customHeight="1" x14ac:dyDescent="0.3">
      <c r="A295" t="s">
        <v>71</v>
      </c>
      <c r="B295" s="2">
        <v>45444</v>
      </c>
      <c r="C295" s="52">
        <v>11864.7</v>
      </c>
      <c r="D295" s="48">
        <f>_xlfn.XLOOKUP(expected_production[[#This Row],[Site Name]],Table1[[Site Name ]],Table1[Commisioned Date],"")</f>
        <v>45449</v>
      </c>
      <c r="E295" s="47">
        <f>IF(ISNUMBER(expected_production[[#This Row],[Commissioned Date]]),MAX(0,(expected_production[[#This Row],[Date]]-expected_production[[#This Row],[Commissioned Date]])/365.25),"")</f>
        <v>0</v>
      </c>
      <c r="F295" s="49">
        <f>IF(expected_production[[#This Row],[Age (yrs)]]="",1,(1-DegradationRate)^expected_production[[#This Row],[Age (yrs)]])</f>
        <v>1</v>
      </c>
      <c r="G295" s="52">
        <f>IF(expected_production[[#This Row],[Base Expected (kWh)]]="","",expected_production[[#This Row],[Base Expected (kWh)]]*expected_production[[#This Row],[Degradation Factor]])</f>
        <v>11864.7</v>
      </c>
    </row>
    <row r="296" spans="1:7" ht="15" hidden="1" customHeight="1" x14ac:dyDescent="0.3">
      <c r="A296" t="s">
        <v>71</v>
      </c>
      <c r="B296" s="2">
        <v>45474</v>
      </c>
      <c r="C296" s="52">
        <v>13589.1</v>
      </c>
      <c r="D296" s="48">
        <f>_xlfn.XLOOKUP(expected_production[[#This Row],[Site Name]],Table1[[Site Name ]],Table1[Commisioned Date],"")</f>
        <v>45449</v>
      </c>
      <c r="E296" s="47">
        <f>IF(ISNUMBER(expected_production[[#This Row],[Commissioned Date]]),MAX(0,(expected_production[[#This Row],[Date]]-expected_production[[#This Row],[Commissioned Date]])/365.25),"")</f>
        <v>6.8446269678302529E-2</v>
      </c>
      <c r="F296" s="49">
        <f>IF(expected_production[[#This Row],[Age (yrs)]]="",1,(1-DegradationRate)^expected_production[[#This Row],[Age (yrs)]])</f>
        <v>0.99951930688161261</v>
      </c>
      <c r="G296" s="52">
        <f>IF(expected_production[[#This Row],[Base Expected (kWh)]]="","",expected_production[[#This Row],[Base Expected (kWh)]]*expected_production[[#This Row],[Degradation Factor]])</f>
        <v>13582.567813144922</v>
      </c>
    </row>
    <row r="297" spans="1:7" ht="15" hidden="1" customHeight="1" x14ac:dyDescent="0.3">
      <c r="A297" t="s">
        <v>71</v>
      </c>
      <c r="B297" s="2">
        <v>45505</v>
      </c>
      <c r="C297" s="52">
        <v>17109</v>
      </c>
      <c r="D297" s="48">
        <f>_xlfn.XLOOKUP(expected_production[[#This Row],[Site Name]],Table1[[Site Name ]],Table1[Commisioned Date],"")</f>
        <v>45449</v>
      </c>
      <c r="E297" s="47">
        <f>IF(ISNUMBER(expected_production[[#This Row],[Commissioned Date]]),MAX(0,(expected_production[[#This Row],[Date]]-expected_production[[#This Row],[Commissioned Date]])/365.25),"")</f>
        <v>0.15331964407939766</v>
      </c>
      <c r="F297" s="49">
        <f>IF(expected_production[[#This Row],[Age (yrs)]]="",1,(1-DegradationRate)^expected_production[[#This Row],[Age (yrs)]])</f>
        <v>0.99892356830675655</v>
      </c>
      <c r="G297" s="52">
        <f>IF(expected_production[[#This Row],[Base Expected (kWh)]]="","",expected_production[[#This Row],[Base Expected (kWh)]]*expected_production[[#This Row],[Degradation Factor]])</f>
        <v>17090.583330160298</v>
      </c>
    </row>
    <row r="298" spans="1:7" ht="15" hidden="1" customHeight="1" x14ac:dyDescent="0.3">
      <c r="A298" t="s">
        <v>71</v>
      </c>
      <c r="B298" s="2">
        <v>45536</v>
      </c>
      <c r="C298" s="52">
        <v>19506.599999999999</v>
      </c>
      <c r="D298" s="48">
        <f>_xlfn.XLOOKUP(expected_production[[#This Row],[Site Name]],Table1[[Site Name ]],Table1[Commisioned Date],"")</f>
        <v>45449</v>
      </c>
      <c r="E298" s="47">
        <f>IF(ISNUMBER(expected_production[[#This Row],[Commissioned Date]]),MAX(0,(expected_production[[#This Row],[Date]]-expected_production[[#This Row],[Commissioned Date]])/365.25),"")</f>
        <v>0.23819301848049282</v>
      </c>
      <c r="F298" s="49">
        <f>IF(expected_production[[#This Row],[Age (yrs)]]="",1,(1-DegradationRate)^expected_production[[#This Row],[Age (yrs)]])</f>
        <v>0.99832818480703212</v>
      </c>
      <c r="G298" s="52">
        <f>IF(expected_production[[#This Row],[Base Expected (kWh)]]="","",expected_production[[#This Row],[Base Expected (kWh)]]*expected_production[[#This Row],[Degradation Factor]])</f>
        <v>19473.98856975685</v>
      </c>
    </row>
    <row r="299" spans="1:7" ht="15" hidden="1" customHeight="1" x14ac:dyDescent="0.3">
      <c r="A299" t="s">
        <v>71</v>
      </c>
      <c r="B299" s="2">
        <v>45566</v>
      </c>
      <c r="C299" s="52">
        <v>24081.3</v>
      </c>
      <c r="D299" s="48">
        <f>_xlfn.XLOOKUP(expected_production[[#This Row],[Site Name]],Table1[[Site Name ]],Table1[Commisioned Date],"")</f>
        <v>45449</v>
      </c>
      <c r="E299" s="47">
        <f>IF(ISNUMBER(expected_production[[#This Row],[Commissioned Date]]),MAX(0,(expected_production[[#This Row],[Date]]-expected_production[[#This Row],[Commissioned Date]])/365.25),"")</f>
        <v>0.32032854209445583</v>
      </c>
      <c r="F299" s="49">
        <f>IF(expected_production[[#This Row],[Age (yrs)]]="",1,(1-DegradationRate)^expected_production[[#This Row],[Age (yrs)]])</f>
        <v>0.99775234510613553</v>
      </c>
      <c r="G299" s="52">
        <f>IF(expected_production[[#This Row],[Base Expected (kWh)]]="","",expected_production[[#This Row],[Base Expected (kWh)]]*expected_production[[#This Row],[Degradation Factor]])</f>
        <v>24027.17354820438</v>
      </c>
    </row>
    <row r="300" spans="1:7" ht="15" hidden="1" customHeight="1" x14ac:dyDescent="0.3">
      <c r="A300" t="s">
        <v>71</v>
      </c>
      <c r="B300" s="2">
        <v>45597</v>
      </c>
      <c r="C300" s="52">
        <v>25889.4</v>
      </c>
      <c r="D300" s="48">
        <f>_xlfn.XLOOKUP(expected_production[[#This Row],[Site Name]],Table1[[Site Name ]],Table1[Commisioned Date],"")</f>
        <v>45449</v>
      </c>
      <c r="E300" s="47">
        <f>IF(ISNUMBER(expected_production[[#This Row],[Commissioned Date]]),MAX(0,(expected_production[[#This Row],[Date]]-expected_production[[#This Row],[Commissioned Date]])/365.25),"")</f>
        <v>0.40520191649555098</v>
      </c>
      <c r="F300" s="49">
        <f>IF(expected_production[[#This Row],[Age (yrs)]]="",1,(1-DegradationRate)^expected_production[[#This Row],[Age (yrs)]])</f>
        <v>0.99715765968481296</v>
      </c>
      <c r="G300" s="52">
        <f>IF(expected_production[[#This Row],[Base Expected (kWh)]]="","",expected_production[[#This Row],[Base Expected (kWh)]]*expected_production[[#This Row],[Degradation Factor]])</f>
        <v>25815.813514643996</v>
      </c>
    </row>
    <row r="301" spans="1:7" ht="15" hidden="1" customHeight="1" x14ac:dyDescent="0.3">
      <c r="A301" t="s">
        <v>71</v>
      </c>
      <c r="B301" s="2">
        <v>45627</v>
      </c>
      <c r="C301" s="52">
        <v>27992.7</v>
      </c>
      <c r="D301" s="48">
        <f>_xlfn.XLOOKUP(expected_production[[#This Row],[Site Name]],Table1[[Site Name ]],Table1[Commisioned Date],"")</f>
        <v>45449</v>
      </c>
      <c r="E301" s="47">
        <f>IF(ISNUMBER(expected_production[[#This Row],[Commissioned Date]]),MAX(0,(expected_production[[#This Row],[Date]]-expected_production[[#This Row],[Commissioned Date]])/365.25),"")</f>
        <v>0.48733744010951402</v>
      </c>
      <c r="F301" s="49">
        <f>IF(expected_production[[#This Row],[Age (yrs)]]="",1,(1-DegradationRate)^expected_production[[#This Row],[Age (yrs)]])</f>
        <v>0.99658249514750141</v>
      </c>
      <c r="G301" s="52">
        <f>IF(expected_production[[#This Row],[Base Expected (kWh)]]="","",expected_production[[#This Row],[Base Expected (kWh)]]*expected_production[[#This Row],[Degradation Factor]])</f>
        <v>27897.034811915462</v>
      </c>
    </row>
    <row r="302" spans="1:7" ht="15" hidden="1" customHeight="1" x14ac:dyDescent="0.3">
      <c r="A302" t="s">
        <v>71</v>
      </c>
      <c r="B302" s="2">
        <v>45658</v>
      </c>
      <c r="C302" s="52">
        <v>26689.5</v>
      </c>
      <c r="D302" s="48">
        <f>_xlfn.XLOOKUP(expected_production[[#This Row],[Site Name]],Table1[[Site Name ]],Table1[Commisioned Date],"")</f>
        <v>45449</v>
      </c>
      <c r="E302" s="47">
        <f>IF(ISNUMBER(expected_production[[#This Row],[Commissioned Date]]),MAX(0,(expected_production[[#This Row],[Date]]-expected_production[[#This Row],[Commissioned Date]])/365.25),"")</f>
        <v>0.57221081451060918</v>
      </c>
      <c r="F302" s="49">
        <f>IF(expected_production[[#This Row],[Age (yrs)]]="",1,(1-DegradationRate)^expected_production[[#This Row],[Age (yrs)]])</f>
        <v>0.99598850698609409</v>
      </c>
      <c r="G302" s="52">
        <f>IF(expected_production[[#This Row],[Base Expected (kWh)]]="","",expected_production[[#This Row],[Base Expected (kWh)]]*expected_production[[#This Row],[Degradation Factor]])</f>
        <v>26582.435257205358</v>
      </c>
    </row>
    <row r="303" spans="1:7" ht="15" hidden="1" customHeight="1" x14ac:dyDescent="0.3">
      <c r="A303" t="s">
        <v>71</v>
      </c>
      <c r="B303" s="2">
        <v>45689</v>
      </c>
      <c r="C303" s="52">
        <v>20674.8</v>
      </c>
      <c r="D303" s="48">
        <f>_xlfn.XLOOKUP(expected_production[[#This Row],[Site Name]],Table1[[Site Name ]],Table1[Commisioned Date],"")</f>
        <v>45449</v>
      </c>
      <c r="E303" s="47">
        <f>IF(ISNUMBER(expected_production[[#This Row],[Commissioned Date]]),MAX(0,(expected_production[[#This Row],[Date]]-expected_production[[#This Row],[Commissioned Date]])/365.25),"")</f>
        <v>0.65708418891170428</v>
      </c>
      <c r="F303" s="49">
        <f>IF(expected_production[[#This Row],[Age (yrs)]]="",1,(1-DegradationRate)^expected_production[[#This Row],[Age (yrs)]])</f>
        <v>0.99539487285652817</v>
      </c>
      <c r="G303" s="52">
        <f>IF(expected_production[[#This Row],[Base Expected (kWh)]]="","",expected_production[[#This Row],[Base Expected (kWh)]]*expected_production[[#This Row],[Degradation Factor]])</f>
        <v>20579.58991733415</v>
      </c>
    </row>
    <row r="304" spans="1:7" ht="15" hidden="1" customHeight="1" x14ac:dyDescent="0.3">
      <c r="A304" t="s">
        <v>71</v>
      </c>
      <c r="B304" s="2">
        <v>45717</v>
      </c>
      <c r="C304" s="52">
        <v>20095.2</v>
      </c>
      <c r="D304" s="48">
        <f>_xlfn.XLOOKUP(expected_production[[#This Row],[Site Name]],Table1[[Site Name ]],Table1[Commisioned Date],"")</f>
        <v>45449</v>
      </c>
      <c r="E304" s="47">
        <f>IF(ISNUMBER(expected_production[[#This Row],[Commissioned Date]]),MAX(0,(expected_production[[#This Row],[Date]]-expected_production[[#This Row],[Commissioned Date]])/365.25),"")</f>
        <v>0.73374401095140318</v>
      </c>
      <c r="F304" s="49">
        <f>IF(expected_production[[#This Row],[Age (yrs)]]="",1,(1-DegradationRate)^expected_production[[#This Row],[Age (yrs)]])</f>
        <v>0.99485899131351263</v>
      </c>
      <c r="G304" s="52">
        <f>IF(expected_production[[#This Row],[Base Expected (kWh)]]="","",expected_production[[#This Row],[Base Expected (kWh)]]*expected_production[[#This Row],[Degradation Factor]])</f>
        <v>19991.890402243298</v>
      </c>
    </row>
    <row r="305" spans="1:7" ht="15" hidden="1" customHeight="1" x14ac:dyDescent="0.3">
      <c r="A305" t="s">
        <v>71</v>
      </c>
      <c r="B305" s="2">
        <v>45748</v>
      </c>
      <c r="C305" s="52">
        <v>16286.4</v>
      </c>
      <c r="D305" s="48">
        <f>_xlfn.XLOOKUP(expected_production[[#This Row],[Site Name]],Table1[[Site Name ]],Table1[Commisioned Date],"")</f>
        <v>45449</v>
      </c>
      <c r="E305" s="47">
        <f>IF(ISNUMBER(expected_production[[#This Row],[Commissioned Date]]),MAX(0,(expected_production[[#This Row],[Date]]-expected_production[[#This Row],[Commissioned Date]])/365.25),"")</f>
        <v>0.81861738535249828</v>
      </c>
      <c r="F305" s="49">
        <f>IF(expected_production[[#This Row],[Age (yrs)]]="",1,(1-DegradationRate)^expected_production[[#This Row],[Age (yrs)]])</f>
        <v>0.99426603040361594</v>
      </c>
      <c r="G305" s="52">
        <f>IF(expected_production[[#This Row],[Base Expected (kWh)]]="","",expected_production[[#This Row],[Base Expected (kWh)]]*expected_production[[#This Row],[Degradation Factor]])</f>
        <v>16193.014277565449</v>
      </c>
    </row>
    <row r="306" spans="1:7" ht="15" hidden="1" customHeight="1" x14ac:dyDescent="0.3">
      <c r="A306" t="s">
        <v>71</v>
      </c>
      <c r="B306" s="2">
        <v>45778</v>
      </c>
      <c r="C306" s="52">
        <v>13518.9</v>
      </c>
      <c r="D306" s="48">
        <f>_xlfn.XLOOKUP(expected_production[[#This Row],[Site Name]],Table1[[Site Name ]],Table1[Commisioned Date],"")</f>
        <v>45449</v>
      </c>
      <c r="E306" s="47">
        <f>IF(ISNUMBER(expected_production[[#This Row],[Commissioned Date]]),MAX(0,(expected_production[[#This Row],[Date]]-expected_production[[#This Row],[Commissioned Date]])/365.25),"")</f>
        <v>0.90075290896646132</v>
      </c>
      <c r="F306" s="49">
        <f>IF(expected_production[[#This Row],[Age (yrs)]]="",1,(1-DegradationRate)^expected_production[[#This Row],[Age (yrs)]])</f>
        <v>0.99369253376967082</v>
      </c>
      <c r="G306" s="52">
        <f>IF(expected_production[[#This Row],[Base Expected (kWh)]]="","",expected_production[[#This Row],[Base Expected (kWh)]]*expected_production[[#This Row],[Degradation Factor]])</f>
        <v>13433.629994778803</v>
      </c>
    </row>
    <row r="307" spans="1:7" ht="15" hidden="1" customHeight="1" x14ac:dyDescent="0.3">
      <c r="A307" t="s">
        <v>71</v>
      </c>
      <c r="B307" s="2">
        <v>45809</v>
      </c>
      <c r="C307" s="52">
        <v>11864.7</v>
      </c>
      <c r="D307" s="48">
        <f>_xlfn.XLOOKUP(expected_production[[#This Row],[Site Name]],Table1[[Site Name ]],Table1[Commisioned Date],"")</f>
        <v>45449</v>
      </c>
      <c r="E307" s="47">
        <f>IF(ISNUMBER(expected_production[[#This Row],[Commissioned Date]]),MAX(0,(expected_production[[#This Row],[Date]]-expected_production[[#This Row],[Commissioned Date]])/365.25),"")</f>
        <v>0.98562628336755642</v>
      </c>
      <c r="F307" s="49">
        <f>IF(expected_production[[#This Row],[Age (yrs)]]="",1,(1-DegradationRate)^expected_production[[#This Row],[Age (yrs)]])</f>
        <v>0.993100268097725</v>
      </c>
      <c r="G307" s="52">
        <f>IF(expected_production[[#This Row],[Base Expected (kWh)]]="","",expected_production[[#This Row],[Base Expected (kWh)]]*expected_production[[#This Row],[Degradation Factor]])</f>
        <v>11782.836750899078</v>
      </c>
    </row>
    <row r="308" spans="1:7" ht="15" hidden="1" customHeight="1" x14ac:dyDescent="0.3">
      <c r="A308" t="s">
        <v>71</v>
      </c>
      <c r="B308" s="2">
        <v>45839</v>
      </c>
      <c r="C308" s="52">
        <v>13589.1</v>
      </c>
      <c r="D308" s="48">
        <f>_xlfn.XLOOKUP(expected_production[[#This Row],[Site Name]],Table1[[Site Name ]],Table1[Commisioned Date],"")</f>
        <v>45449</v>
      </c>
      <c r="E308" s="47">
        <f>IF(ISNUMBER(expected_production[[#This Row],[Commissioned Date]]),MAX(0,(expected_production[[#This Row],[Date]]-expected_production[[#This Row],[Commissioned Date]])/365.25),"")</f>
        <v>1.0677618069815196</v>
      </c>
      <c r="F308" s="49">
        <f>IF(expected_production[[#This Row],[Age (yrs)]]="",1,(1-DegradationRate)^expected_production[[#This Row],[Age (yrs)]])</f>
        <v>0.99252744388015346</v>
      </c>
      <c r="G308" s="52">
        <f>IF(expected_production[[#This Row],[Base Expected (kWh)]]="","",expected_production[[#This Row],[Base Expected (kWh)]]*expected_production[[#This Row],[Degradation Factor]])</f>
        <v>13487.554687631793</v>
      </c>
    </row>
    <row r="309" spans="1:7" ht="15" hidden="1" customHeight="1" x14ac:dyDescent="0.3">
      <c r="A309" t="s">
        <v>71</v>
      </c>
      <c r="B309" s="2">
        <v>45870</v>
      </c>
      <c r="C309" s="52">
        <v>17109</v>
      </c>
      <c r="D309" s="48">
        <f>_xlfn.XLOOKUP(expected_production[[#This Row],[Site Name]],Table1[[Site Name ]],Table1[Commisioned Date],"")</f>
        <v>45449</v>
      </c>
      <c r="E309" s="47">
        <f>IF(ISNUMBER(expected_production[[#This Row],[Commissioned Date]]),MAX(0,(expected_production[[#This Row],[Date]]-expected_production[[#This Row],[Commissioned Date]])/365.25),"")</f>
        <v>1.1526351813826146</v>
      </c>
      <c r="F309" s="49">
        <f>IF(expected_production[[#This Row],[Age (yrs)]]="",1,(1-DegradationRate)^expected_production[[#This Row],[Age (yrs)]])</f>
        <v>0.99193587263100214</v>
      </c>
      <c r="G309" s="52">
        <f>IF(expected_production[[#This Row],[Base Expected (kWh)]]="","",expected_production[[#This Row],[Base Expected (kWh)]]*expected_production[[#This Row],[Degradation Factor]])</f>
        <v>16971.030844843815</v>
      </c>
    </row>
    <row r="310" spans="1:7" ht="15" hidden="1" customHeight="1" x14ac:dyDescent="0.3">
      <c r="A310" t="s">
        <v>71</v>
      </c>
      <c r="B310" s="2">
        <v>45901</v>
      </c>
      <c r="C310" s="52">
        <v>19506.599999999999</v>
      </c>
      <c r="D310" s="48">
        <f>_xlfn.XLOOKUP(expected_production[[#This Row],[Site Name]],Table1[[Site Name ]],Table1[Commisioned Date],"")</f>
        <v>45449</v>
      </c>
      <c r="E310" s="47">
        <f>IF(ISNUMBER(expected_production[[#This Row],[Commissioned Date]]),MAX(0,(expected_production[[#This Row],[Date]]-expected_production[[#This Row],[Commissioned Date]])/365.25),"")</f>
        <v>1.2375085557837098</v>
      </c>
      <c r="F310" s="49">
        <f>IF(expected_production[[#This Row],[Age (yrs)]]="",1,(1-DegradationRate)^expected_production[[#This Row],[Age (yrs)]])</f>
        <v>0.99134465397315208</v>
      </c>
      <c r="G310" s="52">
        <f>IF(expected_production[[#This Row],[Base Expected (kWh)]]="","",expected_production[[#This Row],[Base Expected (kWh)]]*expected_production[[#This Row],[Degradation Factor]])</f>
        <v>19337.763627192686</v>
      </c>
    </row>
    <row r="311" spans="1:7" ht="15" hidden="1" customHeight="1" x14ac:dyDescent="0.3">
      <c r="A311" t="s">
        <v>71</v>
      </c>
      <c r="B311" s="2">
        <v>45931</v>
      </c>
      <c r="C311" s="52">
        <v>24081.3</v>
      </c>
      <c r="D311" s="48">
        <f>_xlfn.XLOOKUP(expected_production[[#This Row],[Site Name]],Table1[[Site Name ]],Table1[Commisioned Date],"")</f>
        <v>45449</v>
      </c>
      <c r="E311" s="47">
        <f>IF(ISNUMBER(expected_production[[#This Row],[Commissioned Date]]),MAX(0,(expected_production[[#This Row],[Date]]-expected_production[[#This Row],[Commissioned Date]])/365.25),"")</f>
        <v>1.3196440793976729</v>
      </c>
      <c r="F311" s="49">
        <f>IF(expected_production[[#This Row],[Age (yrs)]]="",1,(1-DegradationRate)^expected_production[[#This Row],[Age (yrs)]])</f>
        <v>0.99077284240084862</v>
      </c>
      <c r="G311" s="52">
        <f>IF(expected_production[[#This Row],[Base Expected (kWh)]]="","",expected_production[[#This Row],[Base Expected (kWh)]]*expected_production[[#This Row],[Degradation Factor]])</f>
        <v>23859.098049707554</v>
      </c>
    </row>
    <row r="312" spans="1:7" ht="15" hidden="1" customHeight="1" x14ac:dyDescent="0.3">
      <c r="A312" t="s">
        <v>71</v>
      </c>
      <c r="B312" s="2">
        <v>45962</v>
      </c>
      <c r="C312" s="52">
        <v>25889.4</v>
      </c>
      <c r="D312" s="48">
        <f>_xlfn.XLOOKUP(expected_production[[#This Row],[Site Name]],Table1[[Site Name ]],Table1[Commisioned Date],"")</f>
        <v>45449</v>
      </c>
      <c r="E312" s="47">
        <f>IF(ISNUMBER(expected_production[[#This Row],[Commissioned Date]]),MAX(0,(expected_production[[#This Row],[Date]]-expected_production[[#This Row],[Commissioned Date]])/365.25),"")</f>
        <v>1.4045174537987679</v>
      </c>
      <c r="F312" s="49">
        <f>IF(expected_production[[#This Row],[Age (yrs)]]="",1,(1-DegradationRate)^expected_production[[#This Row],[Age (yrs)]])</f>
        <v>0.99018231693818437</v>
      </c>
      <c r="G312" s="52">
        <f>IF(expected_production[[#This Row],[Base Expected (kWh)]]="","",expected_production[[#This Row],[Base Expected (kWh)]]*expected_production[[#This Row],[Degradation Factor]])</f>
        <v>25635.226076139432</v>
      </c>
    </row>
    <row r="313" spans="1:7" ht="15" hidden="1" customHeight="1" x14ac:dyDescent="0.3">
      <c r="A313" t="s">
        <v>71</v>
      </c>
      <c r="B313" s="2">
        <v>45992</v>
      </c>
      <c r="C313" s="52">
        <v>27992.7</v>
      </c>
      <c r="D313" s="48">
        <f>_xlfn.XLOOKUP(expected_production[[#This Row],[Site Name]],Table1[[Site Name ]],Table1[Commisioned Date],"")</f>
        <v>45449</v>
      </c>
      <c r="E313" s="47">
        <f>IF(ISNUMBER(expected_production[[#This Row],[Commissioned Date]]),MAX(0,(expected_production[[#This Row],[Date]]-expected_production[[#This Row],[Commissioned Date]])/365.25),"")</f>
        <v>1.4866529774127311</v>
      </c>
      <c r="F313" s="49">
        <f>IF(expected_production[[#This Row],[Age (yrs)]]="",1,(1-DegradationRate)^expected_production[[#This Row],[Age (yrs)]])</f>
        <v>0.98961117580654445</v>
      </c>
      <c r="G313" s="52">
        <f>IF(expected_production[[#This Row],[Base Expected (kWh)]]="","",expected_production[[#This Row],[Base Expected (kWh)]]*expected_production[[#This Row],[Degradation Factor]])</f>
        <v>27701.888760999856</v>
      </c>
    </row>
    <row r="314" spans="1:7" ht="15" hidden="1" customHeight="1" x14ac:dyDescent="0.3">
      <c r="A314" t="s">
        <v>71</v>
      </c>
      <c r="B314" s="2">
        <v>46023</v>
      </c>
      <c r="C314" s="52">
        <v>26689.5</v>
      </c>
      <c r="D314" s="48">
        <f>_xlfn.XLOOKUP(expected_production[[#This Row],[Site Name]],Table1[[Site Name ]],Table1[Commisioned Date],"")</f>
        <v>45449</v>
      </c>
      <c r="E314" s="47">
        <f>IF(ISNUMBER(expected_production[[#This Row],[Commissioned Date]]),MAX(0,(expected_production[[#This Row],[Date]]-expected_production[[#This Row],[Commissioned Date]])/365.25),"")</f>
        <v>1.5715263518138261</v>
      </c>
      <c r="F314" s="49">
        <f>IF(expected_production[[#This Row],[Age (yrs)]]="",1,(1-DegradationRate)^expected_production[[#This Row],[Age (yrs)]])</f>
        <v>0.98902134272630504</v>
      </c>
      <c r="G314" s="52">
        <f>IF(expected_production[[#This Row],[Base Expected (kWh)]]="","",expected_production[[#This Row],[Base Expected (kWh)]]*expected_production[[#This Row],[Degradation Factor]])</f>
        <v>26396.485126693718</v>
      </c>
    </row>
    <row r="315" spans="1:7" ht="15" hidden="1" customHeight="1" x14ac:dyDescent="0.3">
      <c r="A315" t="s">
        <v>71</v>
      </c>
      <c r="B315" s="2">
        <v>46054</v>
      </c>
      <c r="C315" s="52">
        <v>20674.8</v>
      </c>
      <c r="D315" s="48">
        <f>_xlfn.XLOOKUP(expected_production[[#This Row],[Site Name]],Table1[[Site Name ]],Table1[Commisioned Date],"")</f>
        <v>45449</v>
      </c>
      <c r="E315" s="47">
        <f>IF(ISNUMBER(expected_production[[#This Row],[Commissioned Date]]),MAX(0,(expected_production[[#This Row],[Date]]-expected_production[[#This Row],[Commissioned Date]])/365.25),"")</f>
        <v>1.6563997262149213</v>
      </c>
      <c r="F315" s="49">
        <f>IF(expected_production[[#This Row],[Age (yrs)]]="",1,(1-DegradationRate)^expected_production[[#This Row],[Age (yrs)]])</f>
        <v>0.98843186120137461</v>
      </c>
      <c r="G315" s="52">
        <f>IF(expected_production[[#This Row],[Base Expected (kWh)]]="","",expected_production[[#This Row],[Base Expected (kWh)]]*expected_production[[#This Row],[Degradation Factor]])</f>
        <v>20435.631043966179</v>
      </c>
    </row>
    <row r="316" spans="1:7" ht="15" hidden="1" customHeight="1" x14ac:dyDescent="0.3">
      <c r="A316" t="s">
        <v>71</v>
      </c>
      <c r="B316" s="2">
        <v>46082</v>
      </c>
      <c r="C316" s="52">
        <v>20095.2</v>
      </c>
      <c r="D316" s="48">
        <f>_xlfn.XLOOKUP(expected_production[[#This Row],[Site Name]],Table1[[Site Name ]],Table1[Commisioned Date],"")</f>
        <v>45449</v>
      </c>
      <c r="E316" s="47">
        <f>IF(ISNUMBER(expected_production[[#This Row],[Commissioned Date]]),MAX(0,(expected_production[[#This Row],[Date]]-expected_production[[#This Row],[Commissioned Date]])/365.25),"")</f>
        <v>1.7330595482546201</v>
      </c>
      <c r="F316" s="49">
        <f>IF(expected_production[[#This Row],[Age (yrs)]]="",1,(1-DegradationRate)^expected_production[[#This Row],[Age (yrs)]])</f>
        <v>0.98789972827062489</v>
      </c>
      <c r="G316" s="52">
        <f>IF(expected_production[[#This Row],[Base Expected (kWh)]]="","",expected_production[[#This Row],[Base Expected (kWh)]]*expected_production[[#This Row],[Degradation Factor]])</f>
        <v>19852.042619543863</v>
      </c>
    </row>
    <row r="317" spans="1:7" ht="15" hidden="1" customHeight="1" x14ac:dyDescent="0.3">
      <c r="A317" t="s">
        <v>71</v>
      </c>
      <c r="B317" s="2">
        <v>46113</v>
      </c>
      <c r="C317" s="52">
        <v>16286.4</v>
      </c>
      <c r="D317" s="48">
        <f>_xlfn.XLOOKUP(expected_production[[#This Row],[Site Name]],Table1[[Site Name ]],Table1[Commisioned Date],"")</f>
        <v>45449</v>
      </c>
      <c r="E317" s="47">
        <f>IF(ISNUMBER(expected_production[[#This Row],[Commissioned Date]]),MAX(0,(expected_production[[#This Row],[Date]]-expected_production[[#This Row],[Commissioned Date]])/365.25),"")</f>
        <v>1.8179329226557153</v>
      </c>
      <c r="F317" s="49">
        <f>IF(expected_production[[#This Row],[Age (yrs)]]="",1,(1-DegradationRate)^expected_production[[#This Row],[Age (yrs)]])</f>
        <v>0.98731091525604009</v>
      </c>
      <c r="G317" s="52">
        <f>IF(expected_production[[#This Row],[Base Expected (kWh)]]="","",expected_production[[#This Row],[Base Expected (kWh)]]*expected_production[[#This Row],[Degradation Factor]])</f>
        <v>16079.740490225971</v>
      </c>
    </row>
    <row r="318" spans="1:7" ht="15" hidden="1" customHeight="1" x14ac:dyDescent="0.3">
      <c r="A318" t="s">
        <v>71</v>
      </c>
      <c r="B318" s="2">
        <v>46143</v>
      </c>
      <c r="C318" s="52">
        <v>13518.9</v>
      </c>
      <c r="D318" s="48">
        <f>_xlfn.XLOOKUP(expected_production[[#This Row],[Site Name]],Table1[[Site Name ]],Table1[Commisioned Date],"")</f>
        <v>45449</v>
      </c>
      <c r="E318" s="47">
        <f>IF(ISNUMBER(expected_production[[#This Row],[Commissioned Date]]),MAX(0,(expected_production[[#This Row],[Date]]-expected_production[[#This Row],[Commissioned Date]])/365.25),"")</f>
        <v>1.9000684462696784</v>
      </c>
      <c r="F318" s="49">
        <f>IF(expected_production[[#This Row],[Age (yrs)]]="",1,(1-DegradationRate)^expected_production[[#This Row],[Age (yrs)]])</f>
        <v>0.9867414303604064</v>
      </c>
      <c r="G318" s="52">
        <f>IF(expected_production[[#This Row],[Base Expected (kWh)]]="","",expected_production[[#This Row],[Base Expected (kWh)]]*expected_production[[#This Row],[Degradation Factor]])</f>
        <v>13339.658722899298</v>
      </c>
    </row>
    <row r="319" spans="1:7" ht="15" hidden="1" customHeight="1" x14ac:dyDescent="0.3">
      <c r="A319" t="s">
        <v>71</v>
      </c>
      <c r="B319" s="2">
        <v>46174</v>
      </c>
      <c r="C319" s="52">
        <v>11864.7</v>
      </c>
      <c r="D319" s="48">
        <f>_xlfn.XLOOKUP(expected_production[[#This Row],[Site Name]],Table1[[Site Name ]],Table1[Commisioned Date],"")</f>
        <v>45449</v>
      </c>
      <c r="E319" s="47">
        <f>IF(ISNUMBER(expected_production[[#This Row],[Commissioned Date]]),MAX(0,(expected_production[[#This Row],[Date]]-expected_production[[#This Row],[Commissioned Date]])/365.25),"")</f>
        <v>1.9849418206707734</v>
      </c>
      <c r="F319" s="49">
        <f>IF(expected_production[[#This Row],[Age (yrs)]]="",1,(1-DegradationRate)^expected_production[[#This Row],[Age (yrs)]])</f>
        <v>0.9861533077204262</v>
      </c>
      <c r="G319" s="52">
        <f>IF(expected_production[[#This Row],[Base Expected (kWh)]]="","",expected_production[[#This Row],[Base Expected (kWh)]]*expected_production[[#This Row],[Degradation Factor]])</f>
        <v>11700.413150110542</v>
      </c>
    </row>
    <row r="320" spans="1:7" ht="15" hidden="1" customHeight="1" x14ac:dyDescent="0.3">
      <c r="A320" t="s">
        <v>71</v>
      </c>
      <c r="B320" s="2">
        <v>46204</v>
      </c>
      <c r="C320" s="52">
        <v>13589.1</v>
      </c>
      <c r="D320" s="48">
        <f>_xlfn.XLOOKUP(expected_production[[#This Row],[Site Name]],Table1[[Site Name ]],Table1[Commisioned Date],"")</f>
        <v>45449</v>
      </c>
      <c r="E320" s="47">
        <f>IF(ISNUMBER(expected_production[[#This Row],[Commissioned Date]]),MAX(0,(expected_production[[#This Row],[Date]]-expected_production[[#This Row],[Commissioned Date]])/365.25),"")</f>
        <v>2.0670773442847366</v>
      </c>
      <c r="F320" s="49">
        <f>IF(expected_production[[#This Row],[Age (yrs)]]="",1,(1-DegradationRate)^expected_production[[#This Row],[Age (yrs)]])</f>
        <v>0.98558449053746178</v>
      </c>
      <c r="G320" s="52">
        <f>IF(expected_production[[#This Row],[Base Expected (kWh)]]="","",expected_production[[#This Row],[Base Expected (kWh)]]*expected_production[[#This Row],[Degradation Factor]])</f>
        <v>13393.206200362622</v>
      </c>
    </row>
    <row r="321" spans="1:7" ht="15" hidden="1" customHeight="1" x14ac:dyDescent="0.3">
      <c r="A321" t="s">
        <v>71</v>
      </c>
      <c r="B321" s="2">
        <v>46235</v>
      </c>
      <c r="C321" s="52">
        <v>17109</v>
      </c>
      <c r="D321" s="48">
        <f>_xlfn.XLOOKUP(expected_production[[#This Row],[Site Name]],Table1[[Site Name ]],Table1[Commisioned Date],"")</f>
        <v>45449</v>
      </c>
      <c r="E321" s="47">
        <f>IF(ISNUMBER(expected_production[[#This Row],[Commissioned Date]]),MAX(0,(expected_production[[#This Row],[Date]]-expected_production[[#This Row],[Commissioned Date]])/365.25),"")</f>
        <v>2.1519507186858315</v>
      </c>
      <c r="F321" s="49">
        <f>IF(expected_production[[#This Row],[Age (yrs)]]="",1,(1-DegradationRate)^expected_production[[#This Row],[Age (yrs)]])</f>
        <v>0.98499705746263211</v>
      </c>
      <c r="G321" s="52">
        <f>IF(expected_production[[#This Row],[Base Expected (kWh)]]="","",expected_production[[#This Row],[Base Expected (kWh)]]*expected_production[[#This Row],[Degradation Factor]])</f>
        <v>16852.314656128172</v>
      </c>
    </row>
    <row r="322" spans="1:7" ht="15" hidden="1" customHeight="1" x14ac:dyDescent="0.3">
      <c r="A322" t="s">
        <v>71</v>
      </c>
      <c r="B322" s="2">
        <v>46266</v>
      </c>
      <c r="C322" s="52">
        <v>19506.599999999999</v>
      </c>
      <c r="D322" s="48">
        <f>_xlfn.XLOOKUP(expected_production[[#This Row],[Site Name]],Table1[[Site Name ]],Table1[Commisioned Date],"")</f>
        <v>45449</v>
      </c>
      <c r="E322" s="47">
        <f>IF(ISNUMBER(expected_production[[#This Row],[Commissioned Date]]),MAX(0,(expected_production[[#This Row],[Date]]-expected_production[[#This Row],[Commissioned Date]])/365.25),"")</f>
        <v>2.236824093086927</v>
      </c>
      <c r="F322" s="49">
        <f>IF(expected_production[[#This Row],[Age (yrs)]]="",1,(1-DegradationRate)^expected_production[[#This Row],[Age (yrs)]])</f>
        <v>0.98440997451264789</v>
      </c>
      <c r="G322" s="52">
        <f>IF(expected_production[[#This Row],[Base Expected (kWh)]]="","",expected_production[[#This Row],[Base Expected (kWh)]]*expected_production[[#This Row],[Degradation Factor]])</f>
        <v>19202.491608828415</v>
      </c>
    </row>
    <row r="323" spans="1:7" ht="15" hidden="1" customHeight="1" x14ac:dyDescent="0.3">
      <c r="A323" t="s">
        <v>71</v>
      </c>
      <c r="B323" s="2">
        <v>46296</v>
      </c>
      <c r="C323" s="52">
        <v>24081.3</v>
      </c>
      <c r="D323" s="48">
        <f>_xlfn.XLOOKUP(expected_production[[#This Row],[Site Name]],Table1[[Site Name ]],Table1[Commisioned Date],"")</f>
        <v>45449</v>
      </c>
      <c r="E323" s="47">
        <f>IF(ISNUMBER(expected_production[[#This Row],[Commissioned Date]]),MAX(0,(expected_production[[#This Row],[Date]]-expected_production[[#This Row],[Commissioned Date]])/365.25),"")</f>
        <v>2.3189596167008899</v>
      </c>
      <c r="F323" s="49">
        <f>IF(expected_production[[#This Row],[Age (yrs)]]="",1,(1-DegradationRate)^expected_production[[#This Row],[Age (yrs)]])</f>
        <v>0.98384216289126947</v>
      </c>
      <c r="G323" s="52">
        <f>IF(expected_production[[#This Row],[Base Expected (kWh)]]="","",expected_production[[#This Row],[Base Expected (kWh)]]*expected_production[[#This Row],[Degradation Factor]])</f>
        <v>23692.198277233525</v>
      </c>
    </row>
    <row r="324" spans="1:7" ht="15" hidden="1" customHeight="1" x14ac:dyDescent="0.3">
      <c r="A324" t="s">
        <v>71</v>
      </c>
      <c r="B324" s="2">
        <v>46327</v>
      </c>
      <c r="C324" s="52">
        <v>25889.4</v>
      </c>
      <c r="D324" s="48">
        <f>_xlfn.XLOOKUP(expected_production[[#This Row],[Site Name]],Table1[[Site Name ]],Table1[Commisioned Date],"")</f>
        <v>45449</v>
      </c>
      <c r="E324" s="47">
        <f>IF(ISNUMBER(expected_production[[#This Row],[Commissioned Date]]),MAX(0,(expected_production[[#This Row],[Date]]-expected_production[[#This Row],[Commissioned Date]])/365.25),"")</f>
        <v>2.4038329911019849</v>
      </c>
      <c r="F324" s="49">
        <f>IF(expected_production[[#This Row],[Age (yrs)]]="",1,(1-DegradationRate)^expected_production[[#This Row],[Age (yrs)]])</f>
        <v>0.98325576828741457</v>
      </c>
      <c r="G324" s="52">
        <f>IF(expected_production[[#This Row],[Base Expected (kWh)]]="","",expected_production[[#This Row],[Base Expected (kWh)]]*expected_production[[#This Row],[Degradation Factor]])</f>
        <v>25455.901887500193</v>
      </c>
    </row>
    <row r="325" spans="1:7" ht="15" hidden="1" customHeight="1" x14ac:dyDescent="0.3">
      <c r="A325" t="s">
        <v>71</v>
      </c>
      <c r="B325" s="2">
        <v>46357</v>
      </c>
      <c r="C325" s="52">
        <v>27992.7</v>
      </c>
      <c r="D325" s="48">
        <f>_xlfn.XLOOKUP(expected_production[[#This Row],[Site Name]],Table1[[Site Name ]],Table1[Commisioned Date],"")</f>
        <v>45449</v>
      </c>
      <c r="E325" s="47">
        <f>IF(ISNUMBER(expected_production[[#This Row],[Commissioned Date]]),MAX(0,(expected_production[[#This Row],[Date]]-expected_production[[#This Row],[Commissioned Date]])/365.25),"")</f>
        <v>2.4859685147159478</v>
      </c>
      <c r="F325" s="49">
        <f>IF(expected_production[[#This Row],[Age (yrs)]]="",1,(1-DegradationRate)^expected_production[[#This Row],[Age (yrs)]])</f>
        <v>0.98268862241681598</v>
      </c>
      <c r="G325" s="52">
        <f>IF(expected_production[[#This Row],[Base Expected (kWh)]]="","",expected_production[[#This Row],[Base Expected (kWh)]]*expected_production[[#This Row],[Degradation Factor]])</f>
        <v>27508.107800727204</v>
      </c>
    </row>
    <row r="326" spans="1:7" ht="15" hidden="1" customHeight="1" x14ac:dyDescent="0.3">
      <c r="A326" t="s">
        <v>77</v>
      </c>
      <c r="B326" s="2">
        <v>45292</v>
      </c>
      <c r="C326" s="52">
        <v>21105</v>
      </c>
      <c r="D326" s="48" t="str">
        <f>_xlfn.XLOOKUP(expected_production[[#This Row],[Site Name]],Table1[[Site Name ]],Table1[Commisioned Date],"")</f>
        <v>2025/02/29</v>
      </c>
      <c r="E326" s="47" t="str">
        <f>IF(ISNUMBER(expected_production[[#This Row],[Commissioned Date]]),MAX(0,(expected_production[[#This Row],[Date]]-expected_production[[#This Row],[Commissioned Date]])/365.25),"")</f>
        <v/>
      </c>
      <c r="F326" s="49">
        <f>IF(expected_production[[#This Row],[Age (yrs)]]="",1,(1-DegradationRate)^expected_production[[#This Row],[Age (yrs)]])</f>
        <v>1</v>
      </c>
      <c r="G326" s="52">
        <f>IF(expected_production[[#This Row],[Base Expected (kWh)]]="","",expected_production[[#This Row],[Base Expected (kWh)]]*expected_production[[#This Row],[Degradation Factor]])</f>
        <v>21105</v>
      </c>
    </row>
    <row r="327" spans="1:7" ht="15" hidden="1" customHeight="1" x14ac:dyDescent="0.3">
      <c r="A327" t="s">
        <v>77</v>
      </c>
      <c r="B327" s="2">
        <v>45323</v>
      </c>
      <c r="C327" s="52">
        <v>18220.5</v>
      </c>
      <c r="D327" s="48" t="str">
        <f>_xlfn.XLOOKUP(expected_production[[#This Row],[Site Name]],Table1[[Site Name ]],Table1[Commisioned Date],"")</f>
        <v>2025/02/29</v>
      </c>
      <c r="E327" s="47" t="str">
        <f>IF(ISNUMBER(expected_production[[#This Row],[Commissioned Date]]),MAX(0,(expected_production[[#This Row],[Date]]-expected_production[[#This Row],[Commissioned Date]])/365.25),"")</f>
        <v/>
      </c>
      <c r="F327" s="49">
        <f>IF(expected_production[[#This Row],[Age (yrs)]]="",1,(1-DegradationRate)^expected_production[[#This Row],[Age (yrs)]])</f>
        <v>1</v>
      </c>
      <c r="G327" s="52">
        <f>IF(expected_production[[#This Row],[Base Expected (kWh)]]="","",expected_production[[#This Row],[Base Expected (kWh)]]*expected_production[[#This Row],[Degradation Factor]])</f>
        <v>18220.5</v>
      </c>
    </row>
    <row r="328" spans="1:7" ht="15" hidden="1" customHeight="1" x14ac:dyDescent="0.3">
      <c r="A328" t="s">
        <v>77</v>
      </c>
      <c r="B328" s="2">
        <v>45352</v>
      </c>
      <c r="C328" s="52">
        <v>18368.099999999999</v>
      </c>
      <c r="D328" s="48" t="str">
        <f>_xlfn.XLOOKUP(expected_production[[#This Row],[Site Name]],Table1[[Site Name ]],Table1[Commisioned Date],"")</f>
        <v>2025/02/29</v>
      </c>
      <c r="E328" s="47" t="str">
        <f>IF(ISNUMBER(expected_production[[#This Row],[Commissioned Date]]),MAX(0,(expected_production[[#This Row],[Date]]-expected_production[[#This Row],[Commissioned Date]])/365.25),"")</f>
        <v/>
      </c>
      <c r="F328" s="49">
        <f>IF(expected_production[[#This Row],[Age (yrs)]]="",1,(1-DegradationRate)^expected_production[[#This Row],[Age (yrs)]])</f>
        <v>1</v>
      </c>
      <c r="G328" s="52">
        <f>IF(expected_production[[#This Row],[Base Expected (kWh)]]="","",expected_production[[#This Row],[Base Expected (kWh)]]*expected_production[[#This Row],[Degradation Factor]])</f>
        <v>18368.099999999999</v>
      </c>
    </row>
    <row r="329" spans="1:7" ht="15" hidden="1" customHeight="1" x14ac:dyDescent="0.3">
      <c r="A329" t="s">
        <v>77</v>
      </c>
      <c r="B329" s="2">
        <v>45383</v>
      </c>
      <c r="C329" s="52">
        <v>15103.8</v>
      </c>
      <c r="D329" s="48" t="str">
        <f>_xlfn.XLOOKUP(expected_production[[#This Row],[Site Name]],Table1[[Site Name ]],Table1[Commisioned Date],"")</f>
        <v>2025/02/29</v>
      </c>
      <c r="E329" s="47" t="str">
        <f>IF(ISNUMBER(expected_production[[#This Row],[Commissioned Date]]),MAX(0,(expected_production[[#This Row],[Date]]-expected_production[[#This Row],[Commissioned Date]])/365.25),"")</f>
        <v/>
      </c>
      <c r="F329" s="49">
        <f>IF(expected_production[[#This Row],[Age (yrs)]]="",1,(1-DegradationRate)^expected_production[[#This Row],[Age (yrs)]])</f>
        <v>1</v>
      </c>
      <c r="G329" s="52">
        <f>IF(expected_production[[#This Row],[Base Expected (kWh)]]="","",expected_production[[#This Row],[Base Expected (kWh)]]*expected_production[[#This Row],[Degradation Factor]])</f>
        <v>15103.8</v>
      </c>
    </row>
    <row r="330" spans="1:7" ht="15" hidden="1" customHeight="1" x14ac:dyDescent="0.3">
      <c r="A330" t="s">
        <v>77</v>
      </c>
      <c r="B330" s="2">
        <v>45413</v>
      </c>
      <c r="C330" s="52">
        <v>14130</v>
      </c>
      <c r="D330" s="48" t="str">
        <f>_xlfn.XLOOKUP(expected_production[[#This Row],[Site Name]],Table1[[Site Name ]],Table1[Commisioned Date],"")</f>
        <v>2025/02/29</v>
      </c>
      <c r="E330" s="47" t="str">
        <f>IF(ISNUMBER(expected_production[[#This Row],[Commissioned Date]]),MAX(0,(expected_production[[#This Row],[Date]]-expected_production[[#This Row],[Commissioned Date]])/365.25),"")</f>
        <v/>
      </c>
      <c r="F330" s="49">
        <f>IF(expected_production[[#This Row],[Age (yrs)]]="",1,(1-DegradationRate)^expected_production[[#This Row],[Age (yrs)]])</f>
        <v>1</v>
      </c>
      <c r="G330" s="52">
        <f>IF(expected_production[[#This Row],[Base Expected (kWh)]]="","",expected_production[[#This Row],[Base Expected (kWh)]]*expected_production[[#This Row],[Degradation Factor]])</f>
        <v>14130</v>
      </c>
    </row>
    <row r="331" spans="1:7" ht="15" hidden="1" customHeight="1" x14ac:dyDescent="0.3">
      <c r="A331" t="s">
        <v>77</v>
      </c>
      <c r="B331" s="2">
        <v>45444</v>
      </c>
      <c r="C331" s="52">
        <v>12619.8</v>
      </c>
      <c r="D331" s="48" t="str">
        <f>_xlfn.XLOOKUP(expected_production[[#This Row],[Site Name]],Table1[[Site Name ]],Table1[Commisioned Date],"")</f>
        <v>2025/02/29</v>
      </c>
      <c r="E331" s="47" t="str">
        <f>IF(ISNUMBER(expected_production[[#This Row],[Commissioned Date]]),MAX(0,(expected_production[[#This Row],[Date]]-expected_production[[#This Row],[Commissioned Date]])/365.25),"")</f>
        <v/>
      </c>
      <c r="F331" s="49">
        <f>IF(expected_production[[#This Row],[Age (yrs)]]="",1,(1-DegradationRate)^expected_production[[#This Row],[Age (yrs)]])</f>
        <v>1</v>
      </c>
      <c r="G331" s="52">
        <f>IF(expected_production[[#This Row],[Base Expected (kWh)]]="","",expected_production[[#This Row],[Base Expected (kWh)]]*expected_production[[#This Row],[Degradation Factor]])</f>
        <v>12619.8</v>
      </c>
    </row>
    <row r="332" spans="1:7" ht="15" hidden="1" customHeight="1" x14ac:dyDescent="0.3">
      <c r="A332" t="s">
        <v>77</v>
      </c>
      <c r="B332" s="2">
        <v>45474</v>
      </c>
      <c r="C332" s="52">
        <v>14002.2</v>
      </c>
      <c r="D332" s="48" t="str">
        <f>_xlfn.XLOOKUP(expected_production[[#This Row],[Site Name]],Table1[[Site Name ]],Table1[Commisioned Date],"")</f>
        <v>2025/02/29</v>
      </c>
      <c r="E332" s="47" t="str">
        <f>IF(ISNUMBER(expected_production[[#This Row],[Commissioned Date]]),MAX(0,(expected_production[[#This Row],[Date]]-expected_production[[#This Row],[Commissioned Date]])/365.25),"")</f>
        <v/>
      </c>
      <c r="F332" s="49">
        <f>IF(expected_production[[#This Row],[Age (yrs)]]="",1,(1-DegradationRate)^expected_production[[#This Row],[Age (yrs)]])</f>
        <v>1</v>
      </c>
      <c r="G332" s="52">
        <f>IF(expected_production[[#This Row],[Base Expected (kWh)]]="","",expected_production[[#This Row],[Base Expected (kWh)]]*expected_production[[#This Row],[Degradation Factor]])</f>
        <v>14002.2</v>
      </c>
    </row>
    <row r="333" spans="1:7" ht="15" hidden="1" customHeight="1" x14ac:dyDescent="0.3">
      <c r="A333" t="s">
        <v>77</v>
      </c>
      <c r="B333" s="2">
        <v>45505</v>
      </c>
      <c r="C333" s="52">
        <v>16641.900000000001</v>
      </c>
      <c r="D333" s="48" t="str">
        <f>_xlfn.XLOOKUP(expected_production[[#This Row],[Site Name]],Table1[[Site Name ]],Table1[Commisioned Date],"")</f>
        <v>2025/02/29</v>
      </c>
      <c r="E333" s="47" t="str">
        <f>IF(ISNUMBER(expected_production[[#This Row],[Commissioned Date]]),MAX(0,(expected_production[[#This Row],[Date]]-expected_production[[#This Row],[Commissioned Date]])/365.25),"")</f>
        <v/>
      </c>
      <c r="F333" s="49">
        <f>IF(expected_production[[#This Row],[Age (yrs)]]="",1,(1-DegradationRate)^expected_production[[#This Row],[Age (yrs)]])</f>
        <v>1</v>
      </c>
      <c r="G333" s="52">
        <f>IF(expected_production[[#This Row],[Base Expected (kWh)]]="","",expected_production[[#This Row],[Base Expected (kWh)]]*expected_production[[#This Row],[Degradation Factor]])</f>
        <v>16641.900000000001</v>
      </c>
    </row>
    <row r="334" spans="1:7" ht="15" hidden="1" customHeight="1" x14ac:dyDescent="0.3">
      <c r="A334" t="s">
        <v>77</v>
      </c>
      <c r="B334" s="2">
        <v>45536</v>
      </c>
      <c r="C334" s="52">
        <v>18626.400000000001</v>
      </c>
      <c r="D334" s="48" t="str">
        <f>_xlfn.XLOOKUP(expected_production[[#This Row],[Site Name]],Table1[[Site Name ]],Table1[Commisioned Date],"")</f>
        <v>2025/02/29</v>
      </c>
      <c r="E334" s="47" t="str">
        <f>IF(ISNUMBER(expected_production[[#This Row],[Commissioned Date]]),MAX(0,(expected_production[[#This Row],[Date]]-expected_production[[#This Row],[Commissioned Date]])/365.25),"")</f>
        <v/>
      </c>
      <c r="F334" s="49">
        <f>IF(expected_production[[#This Row],[Age (yrs)]]="",1,(1-DegradationRate)^expected_production[[#This Row],[Age (yrs)]])</f>
        <v>1</v>
      </c>
      <c r="G334" s="52">
        <f>IF(expected_production[[#This Row],[Base Expected (kWh)]]="","",expected_production[[#This Row],[Base Expected (kWh)]]*expected_production[[#This Row],[Degradation Factor]])</f>
        <v>18626.400000000001</v>
      </c>
    </row>
    <row r="335" spans="1:7" ht="15" hidden="1" customHeight="1" x14ac:dyDescent="0.3">
      <c r="A335" t="s">
        <v>77</v>
      </c>
      <c r="B335" s="2">
        <v>45566</v>
      </c>
      <c r="C335" s="52">
        <v>20503.8</v>
      </c>
      <c r="D335" s="48" t="str">
        <f>_xlfn.XLOOKUP(expected_production[[#This Row],[Site Name]],Table1[[Site Name ]],Table1[Commisioned Date],"")</f>
        <v>2025/02/29</v>
      </c>
      <c r="E335" s="47" t="str">
        <f>IF(ISNUMBER(expected_production[[#This Row],[Commissioned Date]]),MAX(0,(expected_production[[#This Row],[Date]]-expected_production[[#This Row],[Commissioned Date]])/365.25),"")</f>
        <v/>
      </c>
      <c r="F335" s="49">
        <f>IF(expected_production[[#This Row],[Age (yrs)]]="",1,(1-DegradationRate)^expected_production[[#This Row],[Age (yrs)]])</f>
        <v>1</v>
      </c>
      <c r="G335" s="52">
        <f>IF(expected_production[[#This Row],[Base Expected (kWh)]]="","",expected_production[[#This Row],[Base Expected (kWh)]]*expected_production[[#This Row],[Degradation Factor]])</f>
        <v>20503.8</v>
      </c>
    </row>
    <row r="336" spans="1:7" ht="15" hidden="1" customHeight="1" x14ac:dyDescent="0.3">
      <c r="A336" t="s">
        <v>77</v>
      </c>
      <c r="B336" s="2">
        <v>45597</v>
      </c>
      <c r="C336" s="52">
        <v>20601</v>
      </c>
      <c r="D336" s="48" t="str">
        <f>_xlfn.XLOOKUP(expected_production[[#This Row],[Site Name]],Table1[[Site Name ]],Table1[Commisioned Date],"")</f>
        <v>2025/02/29</v>
      </c>
      <c r="E336" s="47" t="str">
        <f>IF(ISNUMBER(expected_production[[#This Row],[Commissioned Date]]),MAX(0,(expected_production[[#This Row],[Date]]-expected_production[[#This Row],[Commissioned Date]])/365.25),"")</f>
        <v/>
      </c>
      <c r="F336" s="49">
        <f>IF(expected_production[[#This Row],[Age (yrs)]]="",1,(1-DegradationRate)^expected_production[[#This Row],[Age (yrs)]])</f>
        <v>1</v>
      </c>
      <c r="G336" s="52">
        <f>IF(expected_production[[#This Row],[Base Expected (kWh)]]="","",expected_production[[#This Row],[Base Expected (kWh)]]*expected_production[[#This Row],[Degradation Factor]])</f>
        <v>20601</v>
      </c>
    </row>
    <row r="337" spans="1:7" ht="15" hidden="1" customHeight="1" x14ac:dyDescent="0.3">
      <c r="A337" t="s">
        <v>77</v>
      </c>
      <c r="B337" s="2">
        <v>45627</v>
      </c>
      <c r="C337" s="52">
        <v>22024.799999999999</v>
      </c>
      <c r="D337" s="48" t="str">
        <f>_xlfn.XLOOKUP(expected_production[[#This Row],[Site Name]],Table1[[Site Name ]],Table1[Commisioned Date],"")</f>
        <v>2025/02/29</v>
      </c>
      <c r="E337" s="47" t="str">
        <f>IF(ISNUMBER(expected_production[[#This Row],[Commissioned Date]]),MAX(0,(expected_production[[#This Row],[Date]]-expected_production[[#This Row],[Commissioned Date]])/365.25),"")</f>
        <v/>
      </c>
      <c r="F337" s="49">
        <f>IF(expected_production[[#This Row],[Age (yrs)]]="",1,(1-DegradationRate)^expected_production[[#This Row],[Age (yrs)]])</f>
        <v>1</v>
      </c>
      <c r="G337" s="52">
        <f>IF(expected_production[[#This Row],[Base Expected (kWh)]]="","",expected_production[[#This Row],[Base Expected (kWh)]]*expected_production[[#This Row],[Degradation Factor]])</f>
        <v>22024.799999999999</v>
      </c>
    </row>
    <row r="338" spans="1:7" ht="15" hidden="1" customHeight="1" x14ac:dyDescent="0.3">
      <c r="A338" t="s">
        <v>77</v>
      </c>
      <c r="B338" s="2">
        <v>45658</v>
      </c>
      <c r="C338" s="52">
        <v>21105</v>
      </c>
      <c r="D338" s="48" t="str">
        <f>_xlfn.XLOOKUP(expected_production[[#This Row],[Site Name]],Table1[[Site Name ]],Table1[Commisioned Date],"")</f>
        <v>2025/02/29</v>
      </c>
      <c r="E338" s="47" t="str">
        <f>IF(ISNUMBER(expected_production[[#This Row],[Commissioned Date]]),MAX(0,(expected_production[[#This Row],[Date]]-expected_production[[#This Row],[Commissioned Date]])/365.25),"")</f>
        <v/>
      </c>
      <c r="F338" s="49">
        <f>IF(expected_production[[#This Row],[Age (yrs)]]="",1,(1-DegradationRate)^expected_production[[#This Row],[Age (yrs)]])</f>
        <v>1</v>
      </c>
      <c r="G338" s="52">
        <f>IF(expected_production[[#This Row],[Base Expected (kWh)]]="","",expected_production[[#This Row],[Base Expected (kWh)]]*expected_production[[#This Row],[Degradation Factor]])</f>
        <v>21105</v>
      </c>
    </row>
    <row r="339" spans="1:7" ht="15" hidden="1" customHeight="1" x14ac:dyDescent="0.3">
      <c r="A339" t="s">
        <v>77</v>
      </c>
      <c r="B339" s="2">
        <v>45689</v>
      </c>
      <c r="C339" s="52">
        <v>18220.5</v>
      </c>
      <c r="D339" s="48" t="str">
        <f>_xlfn.XLOOKUP(expected_production[[#This Row],[Site Name]],Table1[[Site Name ]],Table1[Commisioned Date],"")</f>
        <v>2025/02/29</v>
      </c>
      <c r="E339" s="47" t="str">
        <f>IF(ISNUMBER(expected_production[[#This Row],[Commissioned Date]]),MAX(0,(expected_production[[#This Row],[Date]]-expected_production[[#This Row],[Commissioned Date]])/365.25),"")</f>
        <v/>
      </c>
      <c r="F339" s="49">
        <f>IF(expected_production[[#This Row],[Age (yrs)]]="",1,(1-DegradationRate)^expected_production[[#This Row],[Age (yrs)]])</f>
        <v>1</v>
      </c>
      <c r="G339" s="52">
        <f>IF(expected_production[[#This Row],[Base Expected (kWh)]]="","",expected_production[[#This Row],[Base Expected (kWh)]]*expected_production[[#This Row],[Degradation Factor]])</f>
        <v>18220.5</v>
      </c>
    </row>
    <row r="340" spans="1:7" ht="15" hidden="1" customHeight="1" x14ac:dyDescent="0.3">
      <c r="A340" t="s">
        <v>77</v>
      </c>
      <c r="B340" s="2">
        <v>45717</v>
      </c>
      <c r="C340" s="52">
        <v>18368.099999999999</v>
      </c>
      <c r="D340" s="48" t="str">
        <f>_xlfn.XLOOKUP(expected_production[[#This Row],[Site Name]],Table1[[Site Name ]],Table1[Commisioned Date],"")</f>
        <v>2025/02/29</v>
      </c>
      <c r="E340" s="47" t="str">
        <f>IF(ISNUMBER(expected_production[[#This Row],[Commissioned Date]]),MAX(0,(expected_production[[#This Row],[Date]]-expected_production[[#This Row],[Commissioned Date]])/365.25),"")</f>
        <v/>
      </c>
      <c r="F340" s="49">
        <f>IF(expected_production[[#This Row],[Age (yrs)]]="",1,(1-DegradationRate)^expected_production[[#This Row],[Age (yrs)]])</f>
        <v>1</v>
      </c>
      <c r="G340" s="52">
        <f>IF(expected_production[[#This Row],[Base Expected (kWh)]]="","",expected_production[[#This Row],[Base Expected (kWh)]]*expected_production[[#This Row],[Degradation Factor]])</f>
        <v>18368.099999999999</v>
      </c>
    </row>
    <row r="341" spans="1:7" ht="15" hidden="1" customHeight="1" x14ac:dyDescent="0.3">
      <c r="A341" t="s">
        <v>77</v>
      </c>
      <c r="B341" s="2">
        <v>45748</v>
      </c>
      <c r="C341" s="52">
        <v>15103.8</v>
      </c>
      <c r="D341" s="48" t="str">
        <f>_xlfn.XLOOKUP(expected_production[[#This Row],[Site Name]],Table1[[Site Name ]],Table1[Commisioned Date],"")</f>
        <v>2025/02/29</v>
      </c>
      <c r="E341" s="47" t="str">
        <f>IF(ISNUMBER(expected_production[[#This Row],[Commissioned Date]]),MAX(0,(expected_production[[#This Row],[Date]]-expected_production[[#This Row],[Commissioned Date]])/365.25),"")</f>
        <v/>
      </c>
      <c r="F341" s="49">
        <f>IF(expected_production[[#This Row],[Age (yrs)]]="",1,(1-DegradationRate)^expected_production[[#This Row],[Age (yrs)]])</f>
        <v>1</v>
      </c>
      <c r="G341" s="52">
        <f>IF(expected_production[[#This Row],[Base Expected (kWh)]]="","",expected_production[[#This Row],[Base Expected (kWh)]]*expected_production[[#This Row],[Degradation Factor]])</f>
        <v>15103.8</v>
      </c>
    </row>
    <row r="342" spans="1:7" ht="15" hidden="1" customHeight="1" x14ac:dyDescent="0.3">
      <c r="A342" t="s">
        <v>77</v>
      </c>
      <c r="B342" s="2">
        <v>45778</v>
      </c>
      <c r="C342" s="52">
        <v>14130</v>
      </c>
      <c r="D342" s="48" t="str">
        <f>_xlfn.XLOOKUP(expected_production[[#This Row],[Site Name]],Table1[[Site Name ]],Table1[Commisioned Date],"")</f>
        <v>2025/02/29</v>
      </c>
      <c r="E342" s="47" t="str">
        <f>IF(ISNUMBER(expected_production[[#This Row],[Commissioned Date]]),MAX(0,(expected_production[[#This Row],[Date]]-expected_production[[#This Row],[Commissioned Date]])/365.25),"")</f>
        <v/>
      </c>
      <c r="F342" s="49">
        <f>IF(expected_production[[#This Row],[Age (yrs)]]="",1,(1-DegradationRate)^expected_production[[#This Row],[Age (yrs)]])</f>
        <v>1</v>
      </c>
      <c r="G342" s="52">
        <f>IF(expected_production[[#This Row],[Base Expected (kWh)]]="","",expected_production[[#This Row],[Base Expected (kWh)]]*expected_production[[#This Row],[Degradation Factor]])</f>
        <v>14130</v>
      </c>
    </row>
    <row r="343" spans="1:7" ht="15" hidden="1" customHeight="1" x14ac:dyDescent="0.3">
      <c r="A343" t="s">
        <v>77</v>
      </c>
      <c r="B343" s="2">
        <v>45809</v>
      </c>
      <c r="C343" s="52">
        <v>12619.8</v>
      </c>
      <c r="D343" s="48" t="str">
        <f>_xlfn.XLOOKUP(expected_production[[#This Row],[Site Name]],Table1[[Site Name ]],Table1[Commisioned Date],"")</f>
        <v>2025/02/29</v>
      </c>
      <c r="E343" s="47" t="str">
        <f>IF(ISNUMBER(expected_production[[#This Row],[Commissioned Date]]),MAX(0,(expected_production[[#This Row],[Date]]-expected_production[[#This Row],[Commissioned Date]])/365.25),"")</f>
        <v/>
      </c>
      <c r="F343" s="49">
        <f>IF(expected_production[[#This Row],[Age (yrs)]]="",1,(1-DegradationRate)^expected_production[[#This Row],[Age (yrs)]])</f>
        <v>1</v>
      </c>
      <c r="G343" s="52">
        <f>IF(expected_production[[#This Row],[Base Expected (kWh)]]="","",expected_production[[#This Row],[Base Expected (kWh)]]*expected_production[[#This Row],[Degradation Factor]])</f>
        <v>12619.8</v>
      </c>
    </row>
    <row r="344" spans="1:7" ht="15" hidden="1" customHeight="1" x14ac:dyDescent="0.3">
      <c r="A344" t="s">
        <v>77</v>
      </c>
      <c r="B344" s="2">
        <v>45839</v>
      </c>
      <c r="C344" s="52">
        <v>14002.2</v>
      </c>
      <c r="D344" s="48" t="str">
        <f>_xlfn.XLOOKUP(expected_production[[#This Row],[Site Name]],Table1[[Site Name ]],Table1[Commisioned Date],"")</f>
        <v>2025/02/29</v>
      </c>
      <c r="E344" s="47" t="str">
        <f>IF(ISNUMBER(expected_production[[#This Row],[Commissioned Date]]),MAX(0,(expected_production[[#This Row],[Date]]-expected_production[[#This Row],[Commissioned Date]])/365.25),"")</f>
        <v/>
      </c>
      <c r="F344" s="49">
        <f>IF(expected_production[[#This Row],[Age (yrs)]]="",1,(1-DegradationRate)^expected_production[[#This Row],[Age (yrs)]])</f>
        <v>1</v>
      </c>
      <c r="G344" s="52">
        <f>IF(expected_production[[#This Row],[Base Expected (kWh)]]="","",expected_production[[#This Row],[Base Expected (kWh)]]*expected_production[[#This Row],[Degradation Factor]])</f>
        <v>14002.2</v>
      </c>
    </row>
    <row r="345" spans="1:7" ht="15" hidden="1" customHeight="1" x14ac:dyDescent="0.3">
      <c r="A345" t="s">
        <v>77</v>
      </c>
      <c r="B345" s="2">
        <v>45870</v>
      </c>
      <c r="C345" s="52">
        <v>16641.900000000001</v>
      </c>
      <c r="D345" s="48" t="str">
        <f>_xlfn.XLOOKUP(expected_production[[#This Row],[Site Name]],Table1[[Site Name ]],Table1[Commisioned Date],"")</f>
        <v>2025/02/29</v>
      </c>
      <c r="E345" s="47" t="str">
        <f>IF(ISNUMBER(expected_production[[#This Row],[Commissioned Date]]),MAX(0,(expected_production[[#This Row],[Date]]-expected_production[[#This Row],[Commissioned Date]])/365.25),"")</f>
        <v/>
      </c>
      <c r="F345" s="49">
        <f>IF(expected_production[[#This Row],[Age (yrs)]]="",1,(1-DegradationRate)^expected_production[[#This Row],[Age (yrs)]])</f>
        <v>1</v>
      </c>
      <c r="G345" s="52">
        <f>IF(expected_production[[#This Row],[Base Expected (kWh)]]="","",expected_production[[#This Row],[Base Expected (kWh)]]*expected_production[[#This Row],[Degradation Factor]])</f>
        <v>16641.900000000001</v>
      </c>
    </row>
    <row r="346" spans="1:7" ht="15" hidden="1" customHeight="1" x14ac:dyDescent="0.3">
      <c r="A346" t="s">
        <v>77</v>
      </c>
      <c r="B346" s="2">
        <v>45901</v>
      </c>
      <c r="C346" s="52">
        <v>18626.400000000001</v>
      </c>
      <c r="D346" s="48" t="str">
        <f>_xlfn.XLOOKUP(expected_production[[#This Row],[Site Name]],Table1[[Site Name ]],Table1[Commisioned Date],"")</f>
        <v>2025/02/29</v>
      </c>
      <c r="E346" s="47" t="str">
        <f>IF(ISNUMBER(expected_production[[#This Row],[Commissioned Date]]),MAX(0,(expected_production[[#This Row],[Date]]-expected_production[[#This Row],[Commissioned Date]])/365.25),"")</f>
        <v/>
      </c>
      <c r="F346" s="49">
        <f>IF(expected_production[[#This Row],[Age (yrs)]]="",1,(1-DegradationRate)^expected_production[[#This Row],[Age (yrs)]])</f>
        <v>1</v>
      </c>
      <c r="G346" s="52">
        <f>IF(expected_production[[#This Row],[Base Expected (kWh)]]="","",expected_production[[#This Row],[Base Expected (kWh)]]*expected_production[[#This Row],[Degradation Factor]])</f>
        <v>18626.400000000001</v>
      </c>
    </row>
    <row r="347" spans="1:7" ht="15" hidden="1" customHeight="1" x14ac:dyDescent="0.3">
      <c r="A347" t="s">
        <v>77</v>
      </c>
      <c r="B347" s="2">
        <v>45931</v>
      </c>
      <c r="C347" s="52">
        <v>20503.8</v>
      </c>
      <c r="D347" s="48" t="str">
        <f>_xlfn.XLOOKUP(expected_production[[#This Row],[Site Name]],Table1[[Site Name ]],Table1[Commisioned Date],"")</f>
        <v>2025/02/29</v>
      </c>
      <c r="E347" s="47" t="str">
        <f>IF(ISNUMBER(expected_production[[#This Row],[Commissioned Date]]),MAX(0,(expected_production[[#This Row],[Date]]-expected_production[[#This Row],[Commissioned Date]])/365.25),"")</f>
        <v/>
      </c>
      <c r="F347" s="49">
        <f>IF(expected_production[[#This Row],[Age (yrs)]]="",1,(1-DegradationRate)^expected_production[[#This Row],[Age (yrs)]])</f>
        <v>1</v>
      </c>
      <c r="G347" s="52">
        <f>IF(expected_production[[#This Row],[Base Expected (kWh)]]="","",expected_production[[#This Row],[Base Expected (kWh)]]*expected_production[[#This Row],[Degradation Factor]])</f>
        <v>20503.8</v>
      </c>
    </row>
    <row r="348" spans="1:7" ht="15" hidden="1" customHeight="1" x14ac:dyDescent="0.3">
      <c r="A348" t="s">
        <v>77</v>
      </c>
      <c r="B348" s="2">
        <v>45962</v>
      </c>
      <c r="C348" s="52">
        <v>20601</v>
      </c>
      <c r="D348" s="48" t="str">
        <f>_xlfn.XLOOKUP(expected_production[[#This Row],[Site Name]],Table1[[Site Name ]],Table1[Commisioned Date],"")</f>
        <v>2025/02/29</v>
      </c>
      <c r="E348" s="47" t="str">
        <f>IF(ISNUMBER(expected_production[[#This Row],[Commissioned Date]]),MAX(0,(expected_production[[#This Row],[Date]]-expected_production[[#This Row],[Commissioned Date]])/365.25),"")</f>
        <v/>
      </c>
      <c r="F348" s="49">
        <f>IF(expected_production[[#This Row],[Age (yrs)]]="",1,(1-DegradationRate)^expected_production[[#This Row],[Age (yrs)]])</f>
        <v>1</v>
      </c>
      <c r="G348" s="52">
        <f>IF(expected_production[[#This Row],[Base Expected (kWh)]]="","",expected_production[[#This Row],[Base Expected (kWh)]]*expected_production[[#This Row],[Degradation Factor]])</f>
        <v>20601</v>
      </c>
    </row>
    <row r="349" spans="1:7" ht="15" hidden="1" customHeight="1" x14ac:dyDescent="0.3">
      <c r="A349" t="s">
        <v>77</v>
      </c>
      <c r="B349" s="2">
        <v>45992</v>
      </c>
      <c r="C349" s="52">
        <v>22024.799999999999</v>
      </c>
      <c r="D349" s="48" t="str">
        <f>_xlfn.XLOOKUP(expected_production[[#This Row],[Site Name]],Table1[[Site Name ]],Table1[Commisioned Date],"")</f>
        <v>2025/02/29</v>
      </c>
      <c r="E349" s="47" t="str">
        <f>IF(ISNUMBER(expected_production[[#This Row],[Commissioned Date]]),MAX(0,(expected_production[[#This Row],[Date]]-expected_production[[#This Row],[Commissioned Date]])/365.25),"")</f>
        <v/>
      </c>
      <c r="F349" s="49">
        <f>IF(expected_production[[#This Row],[Age (yrs)]]="",1,(1-DegradationRate)^expected_production[[#This Row],[Age (yrs)]])</f>
        <v>1</v>
      </c>
      <c r="G349" s="52">
        <f>IF(expected_production[[#This Row],[Base Expected (kWh)]]="","",expected_production[[#This Row],[Base Expected (kWh)]]*expected_production[[#This Row],[Degradation Factor]])</f>
        <v>22024.799999999999</v>
      </c>
    </row>
    <row r="350" spans="1:7" ht="15" hidden="1" customHeight="1" x14ac:dyDescent="0.3">
      <c r="A350" t="s">
        <v>77</v>
      </c>
      <c r="B350" s="2">
        <v>46023</v>
      </c>
      <c r="C350" s="52">
        <v>21105</v>
      </c>
      <c r="D350" s="48" t="str">
        <f>_xlfn.XLOOKUP(expected_production[[#This Row],[Site Name]],Table1[[Site Name ]],Table1[Commisioned Date],"")</f>
        <v>2025/02/29</v>
      </c>
      <c r="E350" s="47" t="str">
        <f>IF(ISNUMBER(expected_production[[#This Row],[Commissioned Date]]),MAX(0,(expected_production[[#This Row],[Date]]-expected_production[[#This Row],[Commissioned Date]])/365.25),"")</f>
        <v/>
      </c>
      <c r="F350" s="49">
        <f>IF(expected_production[[#This Row],[Age (yrs)]]="",1,(1-DegradationRate)^expected_production[[#This Row],[Age (yrs)]])</f>
        <v>1</v>
      </c>
      <c r="G350" s="52">
        <f>IF(expected_production[[#This Row],[Base Expected (kWh)]]="","",expected_production[[#This Row],[Base Expected (kWh)]]*expected_production[[#This Row],[Degradation Factor]])</f>
        <v>21105</v>
      </c>
    </row>
    <row r="351" spans="1:7" ht="15" hidden="1" customHeight="1" x14ac:dyDescent="0.3">
      <c r="A351" t="s">
        <v>77</v>
      </c>
      <c r="B351" s="2">
        <v>46054</v>
      </c>
      <c r="C351" s="52">
        <v>18220.5</v>
      </c>
      <c r="D351" s="48" t="str">
        <f>_xlfn.XLOOKUP(expected_production[[#This Row],[Site Name]],Table1[[Site Name ]],Table1[Commisioned Date],"")</f>
        <v>2025/02/29</v>
      </c>
      <c r="E351" s="47" t="str">
        <f>IF(ISNUMBER(expected_production[[#This Row],[Commissioned Date]]),MAX(0,(expected_production[[#This Row],[Date]]-expected_production[[#This Row],[Commissioned Date]])/365.25),"")</f>
        <v/>
      </c>
      <c r="F351" s="49">
        <f>IF(expected_production[[#This Row],[Age (yrs)]]="",1,(1-DegradationRate)^expected_production[[#This Row],[Age (yrs)]])</f>
        <v>1</v>
      </c>
      <c r="G351" s="52">
        <f>IF(expected_production[[#This Row],[Base Expected (kWh)]]="","",expected_production[[#This Row],[Base Expected (kWh)]]*expected_production[[#This Row],[Degradation Factor]])</f>
        <v>18220.5</v>
      </c>
    </row>
    <row r="352" spans="1:7" ht="15" hidden="1" customHeight="1" x14ac:dyDescent="0.3">
      <c r="A352" t="s">
        <v>77</v>
      </c>
      <c r="B352" s="2">
        <v>46082</v>
      </c>
      <c r="C352" s="52">
        <v>18368.099999999999</v>
      </c>
      <c r="D352" s="48" t="str">
        <f>_xlfn.XLOOKUP(expected_production[[#This Row],[Site Name]],Table1[[Site Name ]],Table1[Commisioned Date],"")</f>
        <v>2025/02/29</v>
      </c>
      <c r="E352" s="47" t="str">
        <f>IF(ISNUMBER(expected_production[[#This Row],[Commissioned Date]]),MAX(0,(expected_production[[#This Row],[Date]]-expected_production[[#This Row],[Commissioned Date]])/365.25),"")</f>
        <v/>
      </c>
      <c r="F352" s="49">
        <f>IF(expected_production[[#This Row],[Age (yrs)]]="",1,(1-DegradationRate)^expected_production[[#This Row],[Age (yrs)]])</f>
        <v>1</v>
      </c>
      <c r="G352" s="52">
        <f>IF(expected_production[[#This Row],[Base Expected (kWh)]]="","",expected_production[[#This Row],[Base Expected (kWh)]]*expected_production[[#This Row],[Degradation Factor]])</f>
        <v>18368.099999999999</v>
      </c>
    </row>
    <row r="353" spans="1:7" ht="15" hidden="1" customHeight="1" x14ac:dyDescent="0.3">
      <c r="A353" t="s">
        <v>77</v>
      </c>
      <c r="B353" s="2">
        <v>46113</v>
      </c>
      <c r="C353" s="52">
        <v>15103.8</v>
      </c>
      <c r="D353" s="48" t="str">
        <f>_xlfn.XLOOKUP(expected_production[[#This Row],[Site Name]],Table1[[Site Name ]],Table1[Commisioned Date],"")</f>
        <v>2025/02/29</v>
      </c>
      <c r="E353" s="47" t="str">
        <f>IF(ISNUMBER(expected_production[[#This Row],[Commissioned Date]]),MAX(0,(expected_production[[#This Row],[Date]]-expected_production[[#This Row],[Commissioned Date]])/365.25),"")</f>
        <v/>
      </c>
      <c r="F353" s="49">
        <f>IF(expected_production[[#This Row],[Age (yrs)]]="",1,(1-DegradationRate)^expected_production[[#This Row],[Age (yrs)]])</f>
        <v>1</v>
      </c>
      <c r="G353" s="52">
        <f>IF(expected_production[[#This Row],[Base Expected (kWh)]]="","",expected_production[[#This Row],[Base Expected (kWh)]]*expected_production[[#This Row],[Degradation Factor]])</f>
        <v>15103.8</v>
      </c>
    </row>
    <row r="354" spans="1:7" ht="15" hidden="1" customHeight="1" x14ac:dyDescent="0.3">
      <c r="A354" t="s">
        <v>77</v>
      </c>
      <c r="B354" s="2">
        <v>46143</v>
      </c>
      <c r="C354" s="52">
        <v>14130</v>
      </c>
      <c r="D354" s="48" t="str">
        <f>_xlfn.XLOOKUP(expected_production[[#This Row],[Site Name]],Table1[[Site Name ]],Table1[Commisioned Date],"")</f>
        <v>2025/02/29</v>
      </c>
      <c r="E354" s="47" t="str">
        <f>IF(ISNUMBER(expected_production[[#This Row],[Commissioned Date]]),MAX(0,(expected_production[[#This Row],[Date]]-expected_production[[#This Row],[Commissioned Date]])/365.25),"")</f>
        <v/>
      </c>
      <c r="F354" s="49">
        <f>IF(expected_production[[#This Row],[Age (yrs)]]="",1,(1-DegradationRate)^expected_production[[#This Row],[Age (yrs)]])</f>
        <v>1</v>
      </c>
      <c r="G354" s="52">
        <f>IF(expected_production[[#This Row],[Base Expected (kWh)]]="","",expected_production[[#This Row],[Base Expected (kWh)]]*expected_production[[#This Row],[Degradation Factor]])</f>
        <v>14130</v>
      </c>
    </row>
    <row r="355" spans="1:7" ht="15" hidden="1" customHeight="1" x14ac:dyDescent="0.3">
      <c r="A355" t="s">
        <v>77</v>
      </c>
      <c r="B355" s="2">
        <v>46174</v>
      </c>
      <c r="C355" s="52">
        <v>12619.8</v>
      </c>
      <c r="D355" s="48" t="str">
        <f>_xlfn.XLOOKUP(expected_production[[#This Row],[Site Name]],Table1[[Site Name ]],Table1[Commisioned Date],"")</f>
        <v>2025/02/29</v>
      </c>
      <c r="E355" s="47" t="str">
        <f>IF(ISNUMBER(expected_production[[#This Row],[Commissioned Date]]),MAX(0,(expected_production[[#This Row],[Date]]-expected_production[[#This Row],[Commissioned Date]])/365.25),"")</f>
        <v/>
      </c>
      <c r="F355" s="49">
        <f>IF(expected_production[[#This Row],[Age (yrs)]]="",1,(1-DegradationRate)^expected_production[[#This Row],[Age (yrs)]])</f>
        <v>1</v>
      </c>
      <c r="G355" s="52">
        <f>IF(expected_production[[#This Row],[Base Expected (kWh)]]="","",expected_production[[#This Row],[Base Expected (kWh)]]*expected_production[[#This Row],[Degradation Factor]])</f>
        <v>12619.8</v>
      </c>
    </row>
    <row r="356" spans="1:7" ht="15" hidden="1" customHeight="1" x14ac:dyDescent="0.3">
      <c r="A356" t="s">
        <v>77</v>
      </c>
      <c r="B356" s="2">
        <v>46204</v>
      </c>
      <c r="C356" s="52">
        <v>14002.2</v>
      </c>
      <c r="D356" s="48" t="str">
        <f>_xlfn.XLOOKUP(expected_production[[#This Row],[Site Name]],Table1[[Site Name ]],Table1[Commisioned Date],"")</f>
        <v>2025/02/29</v>
      </c>
      <c r="E356" s="47" t="str">
        <f>IF(ISNUMBER(expected_production[[#This Row],[Commissioned Date]]),MAX(0,(expected_production[[#This Row],[Date]]-expected_production[[#This Row],[Commissioned Date]])/365.25),"")</f>
        <v/>
      </c>
      <c r="F356" s="49">
        <f>IF(expected_production[[#This Row],[Age (yrs)]]="",1,(1-DegradationRate)^expected_production[[#This Row],[Age (yrs)]])</f>
        <v>1</v>
      </c>
      <c r="G356" s="52">
        <f>IF(expected_production[[#This Row],[Base Expected (kWh)]]="","",expected_production[[#This Row],[Base Expected (kWh)]]*expected_production[[#This Row],[Degradation Factor]])</f>
        <v>14002.2</v>
      </c>
    </row>
    <row r="357" spans="1:7" ht="15" hidden="1" customHeight="1" x14ac:dyDescent="0.3">
      <c r="A357" t="s">
        <v>77</v>
      </c>
      <c r="B357" s="2">
        <v>46235</v>
      </c>
      <c r="C357" s="52">
        <v>16641.900000000001</v>
      </c>
      <c r="D357" s="48" t="str">
        <f>_xlfn.XLOOKUP(expected_production[[#This Row],[Site Name]],Table1[[Site Name ]],Table1[Commisioned Date],"")</f>
        <v>2025/02/29</v>
      </c>
      <c r="E357" s="47" t="str">
        <f>IF(ISNUMBER(expected_production[[#This Row],[Commissioned Date]]),MAX(0,(expected_production[[#This Row],[Date]]-expected_production[[#This Row],[Commissioned Date]])/365.25),"")</f>
        <v/>
      </c>
      <c r="F357" s="49">
        <f>IF(expected_production[[#This Row],[Age (yrs)]]="",1,(1-DegradationRate)^expected_production[[#This Row],[Age (yrs)]])</f>
        <v>1</v>
      </c>
      <c r="G357" s="52">
        <f>IF(expected_production[[#This Row],[Base Expected (kWh)]]="","",expected_production[[#This Row],[Base Expected (kWh)]]*expected_production[[#This Row],[Degradation Factor]])</f>
        <v>16641.900000000001</v>
      </c>
    </row>
    <row r="358" spans="1:7" ht="15" hidden="1" customHeight="1" x14ac:dyDescent="0.3">
      <c r="A358" t="s">
        <v>77</v>
      </c>
      <c r="B358" s="2">
        <v>46266</v>
      </c>
      <c r="C358" s="52">
        <v>18626.400000000001</v>
      </c>
      <c r="D358" s="48" t="str">
        <f>_xlfn.XLOOKUP(expected_production[[#This Row],[Site Name]],Table1[[Site Name ]],Table1[Commisioned Date],"")</f>
        <v>2025/02/29</v>
      </c>
      <c r="E358" s="47" t="str">
        <f>IF(ISNUMBER(expected_production[[#This Row],[Commissioned Date]]),MAX(0,(expected_production[[#This Row],[Date]]-expected_production[[#This Row],[Commissioned Date]])/365.25),"")</f>
        <v/>
      </c>
      <c r="F358" s="49">
        <f>IF(expected_production[[#This Row],[Age (yrs)]]="",1,(1-DegradationRate)^expected_production[[#This Row],[Age (yrs)]])</f>
        <v>1</v>
      </c>
      <c r="G358" s="52">
        <f>IF(expected_production[[#This Row],[Base Expected (kWh)]]="","",expected_production[[#This Row],[Base Expected (kWh)]]*expected_production[[#This Row],[Degradation Factor]])</f>
        <v>18626.400000000001</v>
      </c>
    </row>
    <row r="359" spans="1:7" ht="15" hidden="1" customHeight="1" x14ac:dyDescent="0.3">
      <c r="A359" t="s">
        <v>77</v>
      </c>
      <c r="B359" s="2">
        <v>46296</v>
      </c>
      <c r="C359" s="52">
        <v>20503.8</v>
      </c>
      <c r="D359" s="48" t="str">
        <f>_xlfn.XLOOKUP(expected_production[[#This Row],[Site Name]],Table1[[Site Name ]],Table1[Commisioned Date],"")</f>
        <v>2025/02/29</v>
      </c>
      <c r="E359" s="47" t="str">
        <f>IF(ISNUMBER(expected_production[[#This Row],[Commissioned Date]]),MAX(0,(expected_production[[#This Row],[Date]]-expected_production[[#This Row],[Commissioned Date]])/365.25),"")</f>
        <v/>
      </c>
      <c r="F359" s="49">
        <f>IF(expected_production[[#This Row],[Age (yrs)]]="",1,(1-DegradationRate)^expected_production[[#This Row],[Age (yrs)]])</f>
        <v>1</v>
      </c>
      <c r="G359" s="52">
        <f>IF(expected_production[[#This Row],[Base Expected (kWh)]]="","",expected_production[[#This Row],[Base Expected (kWh)]]*expected_production[[#This Row],[Degradation Factor]])</f>
        <v>20503.8</v>
      </c>
    </row>
    <row r="360" spans="1:7" ht="15" hidden="1" customHeight="1" x14ac:dyDescent="0.3">
      <c r="A360" t="s">
        <v>77</v>
      </c>
      <c r="B360" s="2">
        <v>46327</v>
      </c>
      <c r="C360" s="52">
        <v>20601</v>
      </c>
      <c r="D360" s="48" t="str">
        <f>_xlfn.XLOOKUP(expected_production[[#This Row],[Site Name]],Table1[[Site Name ]],Table1[Commisioned Date],"")</f>
        <v>2025/02/29</v>
      </c>
      <c r="E360" s="47" t="str">
        <f>IF(ISNUMBER(expected_production[[#This Row],[Commissioned Date]]),MAX(0,(expected_production[[#This Row],[Date]]-expected_production[[#This Row],[Commissioned Date]])/365.25),"")</f>
        <v/>
      </c>
      <c r="F360" s="49">
        <f>IF(expected_production[[#This Row],[Age (yrs)]]="",1,(1-DegradationRate)^expected_production[[#This Row],[Age (yrs)]])</f>
        <v>1</v>
      </c>
      <c r="G360" s="52">
        <f>IF(expected_production[[#This Row],[Base Expected (kWh)]]="","",expected_production[[#This Row],[Base Expected (kWh)]]*expected_production[[#This Row],[Degradation Factor]])</f>
        <v>20601</v>
      </c>
    </row>
    <row r="361" spans="1:7" ht="15" hidden="1" customHeight="1" x14ac:dyDescent="0.3">
      <c r="A361" t="s">
        <v>77</v>
      </c>
      <c r="B361" s="2">
        <v>46357</v>
      </c>
      <c r="C361" s="52">
        <v>22024.799999999999</v>
      </c>
      <c r="D361" s="48" t="str">
        <f>_xlfn.XLOOKUP(expected_production[[#This Row],[Site Name]],Table1[[Site Name ]],Table1[Commisioned Date],"")</f>
        <v>2025/02/29</v>
      </c>
      <c r="E361" s="47" t="str">
        <f>IF(ISNUMBER(expected_production[[#This Row],[Commissioned Date]]),MAX(0,(expected_production[[#This Row],[Date]]-expected_production[[#This Row],[Commissioned Date]])/365.25),"")</f>
        <v/>
      </c>
      <c r="F361" s="49">
        <f>IF(expected_production[[#This Row],[Age (yrs)]]="",1,(1-DegradationRate)^expected_production[[#This Row],[Age (yrs)]])</f>
        <v>1</v>
      </c>
      <c r="G361" s="52">
        <f>IF(expected_production[[#This Row],[Base Expected (kWh)]]="","",expected_production[[#This Row],[Base Expected (kWh)]]*expected_production[[#This Row],[Degradation Factor]])</f>
        <v>22024.799999999999</v>
      </c>
    </row>
    <row r="362" spans="1:7" ht="15" hidden="1" customHeight="1" x14ac:dyDescent="0.3">
      <c r="A362" t="s">
        <v>80</v>
      </c>
      <c r="B362" s="2">
        <v>45292</v>
      </c>
      <c r="C362" s="52">
        <v>21105</v>
      </c>
      <c r="D362" s="48" t="str">
        <f>_xlfn.XLOOKUP(expected_production[[#This Row],[Site Name]],Table1[[Site Name ]],Table1[Commisioned Date],"")</f>
        <v>2025/02/29</v>
      </c>
      <c r="E362" s="47" t="str">
        <f>IF(ISNUMBER(expected_production[[#This Row],[Commissioned Date]]),MAX(0,(expected_production[[#This Row],[Date]]-expected_production[[#This Row],[Commissioned Date]])/365.25),"")</f>
        <v/>
      </c>
      <c r="F362" s="49">
        <f>IF(expected_production[[#This Row],[Age (yrs)]]="",1,(1-DegradationRate)^expected_production[[#This Row],[Age (yrs)]])</f>
        <v>1</v>
      </c>
      <c r="G362" s="52">
        <f>IF(expected_production[[#This Row],[Base Expected (kWh)]]="","",expected_production[[#This Row],[Base Expected (kWh)]]*expected_production[[#This Row],[Degradation Factor]])</f>
        <v>21105</v>
      </c>
    </row>
    <row r="363" spans="1:7" ht="15" hidden="1" customHeight="1" x14ac:dyDescent="0.3">
      <c r="A363" t="s">
        <v>80</v>
      </c>
      <c r="B363" s="2">
        <v>45323</v>
      </c>
      <c r="C363" s="52">
        <v>18220.5</v>
      </c>
      <c r="D363" s="48" t="str">
        <f>_xlfn.XLOOKUP(expected_production[[#This Row],[Site Name]],Table1[[Site Name ]],Table1[Commisioned Date],"")</f>
        <v>2025/02/29</v>
      </c>
      <c r="E363" s="47" t="str">
        <f>IF(ISNUMBER(expected_production[[#This Row],[Commissioned Date]]),MAX(0,(expected_production[[#This Row],[Date]]-expected_production[[#This Row],[Commissioned Date]])/365.25),"")</f>
        <v/>
      </c>
      <c r="F363" s="49">
        <f>IF(expected_production[[#This Row],[Age (yrs)]]="",1,(1-DegradationRate)^expected_production[[#This Row],[Age (yrs)]])</f>
        <v>1</v>
      </c>
      <c r="G363" s="52">
        <f>IF(expected_production[[#This Row],[Base Expected (kWh)]]="","",expected_production[[#This Row],[Base Expected (kWh)]]*expected_production[[#This Row],[Degradation Factor]])</f>
        <v>18220.5</v>
      </c>
    </row>
    <row r="364" spans="1:7" ht="15" hidden="1" customHeight="1" x14ac:dyDescent="0.3">
      <c r="A364" t="s">
        <v>80</v>
      </c>
      <c r="B364" s="2">
        <v>45352</v>
      </c>
      <c r="C364" s="52">
        <v>18368.099999999999</v>
      </c>
      <c r="D364" s="48" t="str">
        <f>_xlfn.XLOOKUP(expected_production[[#This Row],[Site Name]],Table1[[Site Name ]],Table1[Commisioned Date],"")</f>
        <v>2025/02/29</v>
      </c>
      <c r="E364" s="47" t="str">
        <f>IF(ISNUMBER(expected_production[[#This Row],[Commissioned Date]]),MAX(0,(expected_production[[#This Row],[Date]]-expected_production[[#This Row],[Commissioned Date]])/365.25),"")</f>
        <v/>
      </c>
      <c r="F364" s="49">
        <f>IF(expected_production[[#This Row],[Age (yrs)]]="",1,(1-DegradationRate)^expected_production[[#This Row],[Age (yrs)]])</f>
        <v>1</v>
      </c>
      <c r="G364" s="52">
        <f>IF(expected_production[[#This Row],[Base Expected (kWh)]]="","",expected_production[[#This Row],[Base Expected (kWh)]]*expected_production[[#This Row],[Degradation Factor]])</f>
        <v>18368.099999999999</v>
      </c>
    </row>
    <row r="365" spans="1:7" ht="15" hidden="1" customHeight="1" x14ac:dyDescent="0.3">
      <c r="A365" t="s">
        <v>80</v>
      </c>
      <c r="B365" s="2">
        <v>45383</v>
      </c>
      <c r="C365" s="52">
        <v>15103.8</v>
      </c>
      <c r="D365" s="48" t="str">
        <f>_xlfn.XLOOKUP(expected_production[[#This Row],[Site Name]],Table1[[Site Name ]],Table1[Commisioned Date],"")</f>
        <v>2025/02/29</v>
      </c>
      <c r="E365" s="47" t="str">
        <f>IF(ISNUMBER(expected_production[[#This Row],[Commissioned Date]]),MAX(0,(expected_production[[#This Row],[Date]]-expected_production[[#This Row],[Commissioned Date]])/365.25),"")</f>
        <v/>
      </c>
      <c r="F365" s="49">
        <f>IF(expected_production[[#This Row],[Age (yrs)]]="",1,(1-DegradationRate)^expected_production[[#This Row],[Age (yrs)]])</f>
        <v>1</v>
      </c>
      <c r="G365" s="52">
        <f>IF(expected_production[[#This Row],[Base Expected (kWh)]]="","",expected_production[[#This Row],[Base Expected (kWh)]]*expected_production[[#This Row],[Degradation Factor]])</f>
        <v>15103.8</v>
      </c>
    </row>
    <row r="366" spans="1:7" ht="15" hidden="1" customHeight="1" x14ac:dyDescent="0.3">
      <c r="A366" t="s">
        <v>80</v>
      </c>
      <c r="B366" s="2">
        <v>45413</v>
      </c>
      <c r="C366" s="52">
        <v>14130</v>
      </c>
      <c r="D366" s="48" t="str">
        <f>_xlfn.XLOOKUP(expected_production[[#This Row],[Site Name]],Table1[[Site Name ]],Table1[Commisioned Date],"")</f>
        <v>2025/02/29</v>
      </c>
      <c r="E366" s="47" t="str">
        <f>IF(ISNUMBER(expected_production[[#This Row],[Commissioned Date]]),MAX(0,(expected_production[[#This Row],[Date]]-expected_production[[#This Row],[Commissioned Date]])/365.25),"")</f>
        <v/>
      </c>
      <c r="F366" s="49">
        <f>IF(expected_production[[#This Row],[Age (yrs)]]="",1,(1-DegradationRate)^expected_production[[#This Row],[Age (yrs)]])</f>
        <v>1</v>
      </c>
      <c r="G366" s="52">
        <f>IF(expected_production[[#This Row],[Base Expected (kWh)]]="","",expected_production[[#This Row],[Base Expected (kWh)]]*expected_production[[#This Row],[Degradation Factor]])</f>
        <v>14130</v>
      </c>
    </row>
    <row r="367" spans="1:7" ht="15" hidden="1" customHeight="1" x14ac:dyDescent="0.3">
      <c r="A367" t="s">
        <v>80</v>
      </c>
      <c r="B367" s="2">
        <v>45444</v>
      </c>
      <c r="C367" s="52">
        <v>12619.8</v>
      </c>
      <c r="D367" s="48" t="str">
        <f>_xlfn.XLOOKUP(expected_production[[#This Row],[Site Name]],Table1[[Site Name ]],Table1[Commisioned Date],"")</f>
        <v>2025/02/29</v>
      </c>
      <c r="E367" s="47" t="str">
        <f>IF(ISNUMBER(expected_production[[#This Row],[Commissioned Date]]),MAX(0,(expected_production[[#This Row],[Date]]-expected_production[[#This Row],[Commissioned Date]])/365.25),"")</f>
        <v/>
      </c>
      <c r="F367" s="49">
        <f>IF(expected_production[[#This Row],[Age (yrs)]]="",1,(1-DegradationRate)^expected_production[[#This Row],[Age (yrs)]])</f>
        <v>1</v>
      </c>
      <c r="G367" s="52">
        <f>IF(expected_production[[#This Row],[Base Expected (kWh)]]="","",expected_production[[#This Row],[Base Expected (kWh)]]*expected_production[[#This Row],[Degradation Factor]])</f>
        <v>12619.8</v>
      </c>
    </row>
    <row r="368" spans="1:7" ht="15" hidden="1" customHeight="1" x14ac:dyDescent="0.3">
      <c r="A368" t="s">
        <v>80</v>
      </c>
      <c r="B368" s="2">
        <v>45474</v>
      </c>
      <c r="C368" s="52">
        <v>14002.2</v>
      </c>
      <c r="D368" s="48" t="str">
        <f>_xlfn.XLOOKUP(expected_production[[#This Row],[Site Name]],Table1[[Site Name ]],Table1[Commisioned Date],"")</f>
        <v>2025/02/29</v>
      </c>
      <c r="E368" s="47" t="str">
        <f>IF(ISNUMBER(expected_production[[#This Row],[Commissioned Date]]),MAX(0,(expected_production[[#This Row],[Date]]-expected_production[[#This Row],[Commissioned Date]])/365.25),"")</f>
        <v/>
      </c>
      <c r="F368" s="49">
        <f>IF(expected_production[[#This Row],[Age (yrs)]]="",1,(1-DegradationRate)^expected_production[[#This Row],[Age (yrs)]])</f>
        <v>1</v>
      </c>
      <c r="G368" s="52">
        <f>IF(expected_production[[#This Row],[Base Expected (kWh)]]="","",expected_production[[#This Row],[Base Expected (kWh)]]*expected_production[[#This Row],[Degradation Factor]])</f>
        <v>14002.2</v>
      </c>
    </row>
    <row r="369" spans="1:7" ht="15" hidden="1" customHeight="1" x14ac:dyDescent="0.3">
      <c r="A369" t="s">
        <v>80</v>
      </c>
      <c r="B369" s="2">
        <v>45505</v>
      </c>
      <c r="C369" s="52">
        <v>16641.900000000001</v>
      </c>
      <c r="D369" s="48" t="str">
        <f>_xlfn.XLOOKUP(expected_production[[#This Row],[Site Name]],Table1[[Site Name ]],Table1[Commisioned Date],"")</f>
        <v>2025/02/29</v>
      </c>
      <c r="E369" s="47" t="str">
        <f>IF(ISNUMBER(expected_production[[#This Row],[Commissioned Date]]),MAX(0,(expected_production[[#This Row],[Date]]-expected_production[[#This Row],[Commissioned Date]])/365.25),"")</f>
        <v/>
      </c>
      <c r="F369" s="49">
        <f>IF(expected_production[[#This Row],[Age (yrs)]]="",1,(1-DegradationRate)^expected_production[[#This Row],[Age (yrs)]])</f>
        <v>1</v>
      </c>
      <c r="G369" s="52">
        <f>IF(expected_production[[#This Row],[Base Expected (kWh)]]="","",expected_production[[#This Row],[Base Expected (kWh)]]*expected_production[[#This Row],[Degradation Factor]])</f>
        <v>16641.900000000001</v>
      </c>
    </row>
    <row r="370" spans="1:7" ht="15" hidden="1" customHeight="1" x14ac:dyDescent="0.3">
      <c r="A370" t="s">
        <v>80</v>
      </c>
      <c r="B370" s="2">
        <v>45536</v>
      </c>
      <c r="C370" s="52">
        <v>18626.400000000001</v>
      </c>
      <c r="D370" s="48" t="str">
        <f>_xlfn.XLOOKUP(expected_production[[#This Row],[Site Name]],Table1[[Site Name ]],Table1[Commisioned Date],"")</f>
        <v>2025/02/29</v>
      </c>
      <c r="E370" s="47" t="str">
        <f>IF(ISNUMBER(expected_production[[#This Row],[Commissioned Date]]),MAX(0,(expected_production[[#This Row],[Date]]-expected_production[[#This Row],[Commissioned Date]])/365.25),"")</f>
        <v/>
      </c>
      <c r="F370" s="49">
        <f>IF(expected_production[[#This Row],[Age (yrs)]]="",1,(1-DegradationRate)^expected_production[[#This Row],[Age (yrs)]])</f>
        <v>1</v>
      </c>
      <c r="G370" s="52">
        <f>IF(expected_production[[#This Row],[Base Expected (kWh)]]="","",expected_production[[#This Row],[Base Expected (kWh)]]*expected_production[[#This Row],[Degradation Factor]])</f>
        <v>18626.400000000001</v>
      </c>
    </row>
    <row r="371" spans="1:7" ht="15" hidden="1" customHeight="1" x14ac:dyDescent="0.3">
      <c r="A371" t="s">
        <v>80</v>
      </c>
      <c r="B371" s="2">
        <v>45566</v>
      </c>
      <c r="C371" s="52">
        <v>20503.8</v>
      </c>
      <c r="D371" s="48" t="str">
        <f>_xlfn.XLOOKUP(expected_production[[#This Row],[Site Name]],Table1[[Site Name ]],Table1[Commisioned Date],"")</f>
        <v>2025/02/29</v>
      </c>
      <c r="E371" s="47" t="str">
        <f>IF(ISNUMBER(expected_production[[#This Row],[Commissioned Date]]),MAX(0,(expected_production[[#This Row],[Date]]-expected_production[[#This Row],[Commissioned Date]])/365.25),"")</f>
        <v/>
      </c>
      <c r="F371" s="49">
        <f>IF(expected_production[[#This Row],[Age (yrs)]]="",1,(1-DegradationRate)^expected_production[[#This Row],[Age (yrs)]])</f>
        <v>1</v>
      </c>
      <c r="G371" s="52">
        <f>IF(expected_production[[#This Row],[Base Expected (kWh)]]="","",expected_production[[#This Row],[Base Expected (kWh)]]*expected_production[[#This Row],[Degradation Factor]])</f>
        <v>20503.8</v>
      </c>
    </row>
    <row r="372" spans="1:7" ht="15" hidden="1" customHeight="1" x14ac:dyDescent="0.3">
      <c r="A372" t="s">
        <v>80</v>
      </c>
      <c r="B372" s="2">
        <v>45597</v>
      </c>
      <c r="C372" s="52">
        <v>20601</v>
      </c>
      <c r="D372" s="48" t="str">
        <f>_xlfn.XLOOKUP(expected_production[[#This Row],[Site Name]],Table1[[Site Name ]],Table1[Commisioned Date],"")</f>
        <v>2025/02/29</v>
      </c>
      <c r="E372" s="47" t="str">
        <f>IF(ISNUMBER(expected_production[[#This Row],[Commissioned Date]]),MAX(0,(expected_production[[#This Row],[Date]]-expected_production[[#This Row],[Commissioned Date]])/365.25),"")</f>
        <v/>
      </c>
      <c r="F372" s="49">
        <f>IF(expected_production[[#This Row],[Age (yrs)]]="",1,(1-DegradationRate)^expected_production[[#This Row],[Age (yrs)]])</f>
        <v>1</v>
      </c>
      <c r="G372" s="52">
        <f>IF(expected_production[[#This Row],[Base Expected (kWh)]]="","",expected_production[[#This Row],[Base Expected (kWh)]]*expected_production[[#This Row],[Degradation Factor]])</f>
        <v>20601</v>
      </c>
    </row>
    <row r="373" spans="1:7" ht="15" hidden="1" customHeight="1" x14ac:dyDescent="0.3">
      <c r="A373" t="s">
        <v>80</v>
      </c>
      <c r="B373" s="2">
        <v>45627</v>
      </c>
      <c r="C373" s="52">
        <v>22024.799999999999</v>
      </c>
      <c r="D373" s="48" t="str">
        <f>_xlfn.XLOOKUP(expected_production[[#This Row],[Site Name]],Table1[[Site Name ]],Table1[Commisioned Date],"")</f>
        <v>2025/02/29</v>
      </c>
      <c r="E373" s="47" t="str">
        <f>IF(ISNUMBER(expected_production[[#This Row],[Commissioned Date]]),MAX(0,(expected_production[[#This Row],[Date]]-expected_production[[#This Row],[Commissioned Date]])/365.25),"")</f>
        <v/>
      </c>
      <c r="F373" s="49">
        <f>IF(expected_production[[#This Row],[Age (yrs)]]="",1,(1-DegradationRate)^expected_production[[#This Row],[Age (yrs)]])</f>
        <v>1</v>
      </c>
      <c r="G373" s="52">
        <f>IF(expected_production[[#This Row],[Base Expected (kWh)]]="","",expected_production[[#This Row],[Base Expected (kWh)]]*expected_production[[#This Row],[Degradation Factor]])</f>
        <v>22024.799999999999</v>
      </c>
    </row>
    <row r="374" spans="1:7" ht="15" hidden="1" customHeight="1" x14ac:dyDescent="0.3">
      <c r="A374" t="s">
        <v>80</v>
      </c>
      <c r="B374" s="2">
        <v>45658</v>
      </c>
      <c r="C374" s="52">
        <v>21105</v>
      </c>
      <c r="D374" s="48" t="str">
        <f>_xlfn.XLOOKUP(expected_production[[#This Row],[Site Name]],Table1[[Site Name ]],Table1[Commisioned Date],"")</f>
        <v>2025/02/29</v>
      </c>
      <c r="E374" s="47" t="str">
        <f>IF(ISNUMBER(expected_production[[#This Row],[Commissioned Date]]),MAX(0,(expected_production[[#This Row],[Date]]-expected_production[[#This Row],[Commissioned Date]])/365.25),"")</f>
        <v/>
      </c>
      <c r="F374" s="49">
        <f>IF(expected_production[[#This Row],[Age (yrs)]]="",1,(1-DegradationRate)^expected_production[[#This Row],[Age (yrs)]])</f>
        <v>1</v>
      </c>
      <c r="G374" s="52">
        <f>IF(expected_production[[#This Row],[Base Expected (kWh)]]="","",expected_production[[#This Row],[Base Expected (kWh)]]*expected_production[[#This Row],[Degradation Factor]])</f>
        <v>21105</v>
      </c>
    </row>
    <row r="375" spans="1:7" ht="15" hidden="1" customHeight="1" x14ac:dyDescent="0.3">
      <c r="A375" t="s">
        <v>80</v>
      </c>
      <c r="B375" s="2">
        <v>45689</v>
      </c>
      <c r="C375" s="52">
        <v>18220.5</v>
      </c>
      <c r="D375" s="48" t="str">
        <f>_xlfn.XLOOKUP(expected_production[[#This Row],[Site Name]],Table1[[Site Name ]],Table1[Commisioned Date],"")</f>
        <v>2025/02/29</v>
      </c>
      <c r="E375" s="47" t="str">
        <f>IF(ISNUMBER(expected_production[[#This Row],[Commissioned Date]]),MAX(0,(expected_production[[#This Row],[Date]]-expected_production[[#This Row],[Commissioned Date]])/365.25),"")</f>
        <v/>
      </c>
      <c r="F375" s="49">
        <f>IF(expected_production[[#This Row],[Age (yrs)]]="",1,(1-DegradationRate)^expected_production[[#This Row],[Age (yrs)]])</f>
        <v>1</v>
      </c>
      <c r="G375" s="52">
        <f>IF(expected_production[[#This Row],[Base Expected (kWh)]]="","",expected_production[[#This Row],[Base Expected (kWh)]]*expected_production[[#This Row],[Degradation Factor]])</f>
        <v>18220.5</v>
      </c>
    </row>
    <row r="376" spans="1:7" ht="15" hidden="1" customHeight="1" x14ac:dyDescent="0.3">
      <c r="A376" t="s">
        <v>80</v>
      </c>
      <c r="B376" s="2">
        <v>45717</v>
      </c>
      <c r="C376" s="52">
        <v>18368.099999999999</v>
      </c>
      <c r="D376" s="48" t="str">
        <f>_xlfn.XLOOKUP(expected_production[[#This Row],[Site Name]],Table1[[Site Name ]],Table1[Commisioned Date],"")</f>
        <v>2025/02/29</v>
      </c>
      <c r="E376" s="47" t="str">
        <f>IF(ISNUMBER(expected_production[[#This Row],[Commissioned Date]]),MAX(0,(expected_production[[#This Row],[Date]]-expected_production[[#This Row],[Commissioned Date]])/365.25),"")</f>
        <v/>
      </c>
      <c r="F376" s="49">
        <f>IF(expected_production[[#This Row],[Age (yrs)]]="",1,(1-DegradationRate)^expected_production[[#This Row],[Age (yrs)]])</f>
        <v>1</v>
      </c>
      <c r="G376" s="52">
        <f>IF(expected_production[[#This Row],[Base Expected (kWh)]]="","",expected_production[[#This Row],[Base Expected (kWh)]]*expected_production[[#This Row],[Degradation Factor]])</f>
        <v>18368.099999999999</v>
      </c>
    </row>
    <row r="377" spans="1:7" ht="15" hidden="1" customHeight="1" x14ac:dyDescent="0.3">
      <c r="A377" t="s">
        <v>80</v>
      </c>
      <c r="B377" s="2">
        <v>45748</v>
      </c>
      <c r="C377" s="52">
        <v>15103.8</v>
      </c>
      <c r="D377" s="48" t="str">
        <f>_xlfn.XLOOKUP(expected_production[[#This Row],[Site Name]],Table1[[Site Name ]],Table1[Commisioned Date],"")</f>
        <v>2025/02/29</v>
      </c>
      <c r="E377" s="47" t="str">
        <f>IF(ISNUMBER(expected_production[[#This Row],[Commissioned Date]]),MAX(0,(expected_production[[#This Row],[Date]]-expected_production[[#This Row],[Commissioned Date]])/365.25),"")</f>
        <v/>
      </c>
      <c r="F377" s="49">
        <f>IF(expected_production[[#This Row],[Age (yrs)]]="",1,(1-DegradationRate)^expected_production[[#This Row],[Age (yrs)]])</f>
        <v>1</v>
      </c>
      <c r="G377" s="52">
        <f>IF(expected_production[[#This Row],[Base Expected (kWh)]]="","",expected_production[[#This Row],[Base Expected (kWh)]]*expected_production[[#This Row],[Degradation Factor]])</f>
        <v>15103.8</v>
      </c>
    </row>
    <row r="378" spans="1:7" ht="15" hidden="1" customHeight="1" x14ac:dyDescent="0.3">
      <c r="A378" t="s">
        <v>80</v>
      </c>
      <c r="B378" s="2">
        <v>45778</v>
      </c>
      <c r="C378" s="52">
        <v>14130</v>
      </c>
      <c r="D378" s="48" t="str">
        <f>_xlfn.XLOOKUP(expected_production[[#This Row],[Site Name]],Table1[[Site Name ]],Table1[Commisioned Date],"")</f>
        <v>2025/02/29</v>
      </c>
      <c r="E378" s="47" t="str">
        <f>IF(ISNUMBER(expected_production[[#This Row],[Commissioned Date]]),MAX(0,(expected_production[[#This Row],[Date]]-expected_production[[#This Row],[Commissioned Date]])/365.25),"")</f>
        <v/>
      </c>
      <c r="F378" s="49">
        <f>IF(expected_production[[#This Row],[Age (yrs)]]="",1,(1-DegradationRate)^expected_production[[#This Row],[Age (yrs)]])</f>
        <v>1</v>
      </c>
      <c r="G378" s="52">
        <f>IF(expected_production[[#This Row],[Base Expected (kWh)]]="","",expected_production[[#This Row],[Base Expected (kWh)]]*expected_production[[#This Row],[Degradation Factor]])</f>
        <v>14130</v>
      </c>
    </row>
    <row r="379" spans="1:7" ht="15" hidden="1" customHeight="1" x14ac:dyDescent="0.3">
      <c r="A379" t="s">
        <v>80</v>
      </c>
      <c r="B379" s="2">
        <v>45809</v>
      </c>
      <c r="C379" s="52">
        <v>12619.8</v>
      </c>
      <c r="D379" s="48" t="str">
        <f>_xlfn.XLOOKUP(expected_production[[#This Row],[Site Name]],Table1[[Site Name ]],Table1[Commisioned Date],"")</f>
        <v>2025/02/29</v>
      </c>
      <c r="E379" s="47" t="str">
        <f>IF(ISNUMBER(expected_production[[#This Row],[Commissioned Date]]),MAX(0,(expected_production[[#This Row],[Date]]-expected_production[[#This Row],[Commissioned Date]])/365.25),"")</f>
        <v/>
      </c>
      <c r="F379" s="49">
        <f>IF(expected_production[[#This Row],[Age (yrs)]]="",1,(1-DegradationRate)^expected_production[[#This Row],[Age (yrs)]])</f>
        <v>1</v>
      </c>
      <c r="G379" s="52">
        <f>IF(expected_production[[#This Row],[Base Expected (kWh)]]="","",expected_production[[#This Row],[Base Expected (kWh)]]*expected_production[[#This Row],[Degradation Factor]])</f>
        <v>12619.8</v>
      </c>
    </row>
    <row r="380" spans="1:7" ht="15" hidden="1" customHeight="1" x14ac:dyDescent="0.3">
      <c r="A380" t="s">
        <v>80</v>
      </c>
      <c r="B380" s="2">
        <v>45839</v>
      </c>
      <c r="C380" s="52">
        <v>14002.2</v>
      </c>
      <c r="D380" s="48" t="str">
        <f>_xlfn.XLOOKUP(expected_production[[#This Row],[Site Name]],Table1[[Site Name ]],Table1[Commisioned Date],"")</f>
        <v>2025/02/29</v>
      </c>
      <c r="E380" s="47" t="str">
        <f>IF(ISNUMBER(expected_production[[#This Row],[Commissioned Date]]),MAX(0,(expected_production[[#This Row],[Date]]-expected_production[[#This Row],[Commissioned Date]])/365.25),"")</f>
        <v/>
      </c>
      <c r="F380" s="49">
        <f>IF(expected_production[[#This Row],[Age (yrs)]]="",1,(1-DegradationRate)^expected_production[[#This Row],[Age (yrs)]])</f>
        <v>1</v>
      </c>
      <c r="G380" s="52">
        <f>IF(expected_production[[#This Row],[Base Expected (kWh)]]="","",expected_production[[#This Row],[Base Expected (kWh)]]*expected_production[[#This Row],[Degradation Factor]])</f>
        <v>14002.2</v>
      </c>
    </row>
    <row r="381" spans="1:7" ht="15" hidden="1" customHeight="1" x14ac:dyDescent="0.3">
      <c r="A381" t="s">
        <v>80</v>
      </c>
      <c r="B381" s="2">
        <v>45870</v>
      </c>
      <c r="C381" s="52">
        <v>16641.900000000001</v>
      </c>
      <c r="D381" s="48" t="str">
        <f>_xlfn.XLOOKUP(expected_production[[#This Row],[Site Name]],Table1[[Site Name ]],Table1[Commisioned Date],"")</f>
        <v>2025/02/29</v>
      </c>
      <c r="E381" s="47" t="str">
        <f>IF(ISNUMBER(expected_production[[#This Row],[Commissioned Date]]),MAX(0,(expected_production[[#This Row],[Date]]-expected_production[[#This Row],[Commissioned Date]])/365.25),"")</f>
        <v/>
      </c>
      <c r="F381" s="49">
        <f>IF(expected_production[[#This Row],[Age (yrs)]]="",1,(1-DegradationRate)^expected_production[[#This Row],[Age (yrs)]])</f>
        <v>1</v>
      </c>
      <c r="G381" s="52">
        <f>IF(expected_production[[#This Row],[Base Expected (kWh)]]="","",expected_production[[#This Row],[Base Expected (kWh)]]*expected_production[[#This Row],[Degradation Factor]])</f>
        <v>16641.900000000001</v>
      </c>
    </row>
    <row r="382" spans="1:7" ht="15" hidden="1" customHeight="1" x14ac:dyDescent="0.3">
      <c r="A382" t="s">
        <v>80</v>
      </c>
      <c r="B382" s="2">
        <v>45901</v>
      </c>
      <c r="C382" s="52">
        <v>18626.400000000001</v>
      </c>
      <c r="D382" s="48" t="str">
        <f>_xlfn.XLOOKUP(expected_production[[#This Row],[Site Name]],Table1[[Site Name ]],Table1[Commisioned Date],"")</f>
        <v>2025/02/29</v>
      </c>
      <c r="E382" s="47" t="str">
        <f>IF(ISNUMBER(expected_production[[#This Row],[Commissioned Date]]),MAX(0,(expected_production[[#This Row],[Date]]-expected_production[[#This Row],[Commissioned Date]])/365.25),"")</f>
        <v/>
      </c>
      <c r="F382" s="49">
        <f>IF(expected_production[[#This Row],[Age (yrs)]]="",1,(1-DegradationRate)^expected_production[[#This Row],[Age (yrs)]])</f>
        <v>1</v>
      </c>
      <c r="G382" s="52">
        <f>IF(expected_production[[#This Row],[Base Expected (kWh)]]="","",expected_production[[#This Row],[Base Expected (kWh)]]*expected_production[[#This Row],[Degradation Factor]])</f>
        <v>18626.400000000001</v>
      </c>
    </row>
    <row r="383" spans="1:7" ht="15" hidden="1" customHeight="1" x14ac:dyDescent="0.3">
      <c r="A383" t="s">
        <v>80</v>
      </c>
      <c r="B383" s="2">
        <v>45931</v>
      </c>
      <c r="C383" s="52">
        <v>20503.8</v>
      </c>
      <c r="D383" s="48" t="str">
        <f>_xlfn.XLOOKUP(expected_production[[#This Row],[Site Name]],Table1[[Site Name ]],Table1[Commisioned Date],"")</f>
        <v>2025/02/29</v>
      </c>
      <c r="E383" s="47" t="str">
        <f>IF(ISNUMBER(expected_production[[#This Row],[Commissioned Date]]),MAX(0,(expected_production[[#This Row],[Date]]-expected_production[[#This Row],[Commissioned Date]])/365.25),"")</f>
        <v/>
      </c>
      <c r="F383" s="49">
        <f>IF(expected_production[[#This Row],[Age (yrs)]]="",1,(1-DegradationRate)^expected_production[[#This Row],[Age (yrs)]])</f>
        <v>1</v>
      </c>
      <c r="G383" s="52">
        <f>IF(expected_production[[#This Row],[Base Expected (kWh)]]="","",expected_production[[#This Row],[Base Expected (kWh)]]*expected_production[[#This Row],[Degradation Factor]])</f>
        <v>20503.8</v>
      </c>
    </row>
    <row r="384" spans="1:7" ht="15" hidden="1" customHeight="1" x14ac:dyDescent="0.3">
      <c r="A384" t="s">
        <v>80</v>
      </c>
      <c r="B384" s="2">
        <v>45962</v>
      </c>
      <c r="C384" s="52">
        <v>20601</v>
      </c>
      <c r="D384" s="48" t="str">
        <f>_xlfn.XLOOKUP(expected_production[[#This Row],[Site Name]],Table1[[Site Name ]],Table1[Commisioned Date],"")</f>
        <v>2025/02/29</v>
      </c>
      <c r="E384" s="47" t="str">
        <f>IF(ISNUMBER(expected_production[[#This Row],[Commissioned Date]]),MAX(0,(expected_production[[#This Row],[Date]]-expected_production[[#This Row],[Commissioned Date]])/365.25),"")</f>
        <v/>
      </c>
      <c r="F384" s="49">
        <f>IF(expected_production[[#This Row],[Age (yrs)]]="",1,(1-DegradationRate)^expected_production[[#This Row],[Age (yrs)]])</f>
        <v>1</v>
      </c>
      <c r="G384" s="52">
        <f>IF(expected_production[[#This Row],[Base Expected (kWh)]]="","",expected_production[[#This Row],[Base Expected (kWh)]]*expected_production[[#This Row],[Degradation Factor]])</f>
        <v>20601</v>
      </c>
    </row>
    <row r="385" spans="1:7" ht="15" hidden="1" customHeight="1" x14ac:dyDescent="0.3">
      <c r="A385" t="s">
        <v>80</v>
      </c>
      <c r="B385" s="2">
        <v>45992</v>
      </c>
      <c r="C385" s="52">
        <v>22024.799999999999</v>
      </c>
      <c r="D385" s="48" t="str">
        <f>_xlfn.XLOOKUP(expected_production[[#This Row],[Site Name]],Table1[[Site Name ]],Table1[Commisioned Date],"")</f>
        <v>2025/02/29</v>
      </c>
      <c r="E385" s="47" t="str">
        <f>IF(ISNUMBER(expected_production[[#This Row],[Commissioned Date]]),MAX(0,(expected_production[[#This Row],[Date]]-expected_production[[#This Row],[Commissioned Date]])/365.25),"")</f>
        <v/>
      </c>
      <c r="F385" s="49">
        <f>IF(expected_production[[#This Row],[Age (yrs)]]="",1,(1-DegradationRate)^expected_production[[#This Row],[Age (yrs)]])</f>
        <v>1</v>
      </c>
      <c r="G385" s="52">
        <f>IF(expected_production[[#This Row],[Base Expected (kWh)]]="","",expected_production[[#This Row],[Base Expected (kWh)]]*expected_production[[#This Row],[Degradation Factor]])</f>
        <v>22024.799999999999</v>
      </c>
    </row>
    <row r="386" spans="1:7" ht="15" hidden="1" customHeight="1" x14ac:dyDescent="0.3">
      <c r="A386" t="s">
        <v>80</v>
      </c>
      <c r="B386" s="2">
        <v>46023</v>
      </c>
      <c r="C386" s="52">
        <v>21105</v>
      </c>
      <c r="D386" s="48" t="str">
        <f>_xlfn.XLOOKUP(expected_production[[#This Row],[Site Name]],Table1[[Site Name ]],Table1[Commisioned Date],"")</f>
        <v>2025/02/29</v>
      </c>
      <c r="E386" s="47" t="str">
        <f>IF(ISNUMBER(expected_production[[#This Row],[Commissioned Date]]),MAX(0,(expected_production[[#This Row],[Date]]-expected_production[[#This Row],[Commissioned Date]])/365.25),"")</f>
        <v/>
      </c>
      <c r="F386" s="49">
        <f>IF(expected_production[[#This Row],[Age (yrs)]]="",1,(1-DegradationRate)^expected_production[[#This Row],[Age (yrs)]])</f>
        <v>1</v>
      </c>
      <c r="G386" s="52">
        <f>IF(expected_production[[#This Row],[Base Expected (kWh)]]="","",expected_production[[#This Row],[Base Expected (kWh)]]*expected_production[[#This Row],[Degradation Factor]])</f>
        <v>21105</v>
      </c>
    </row>
    <row r="387" spans="1:7" ht="15" hidden="1" customHeight="1" x14ac:dyDescent="0.3">
      <c r="A387" t="s">
        <v>80</v>
      </c>
      <c r="B387" s="2">
        <v>46054</v>
      </c>
      <c r="C387" s="52">
        <v>18220.5</v>
      </c>
      <c r="D387" s="48" t="str">
        <f>_xlfn.XLOOKUP(expected_production[[#This Row],[Site Name]],Table1[[Site Name ]],Table1[Commisioned Date],"")</f>
        <v>2025/02/29</v>
      </c>
      <c r="E387" s="47" t="str">
        <f>IF(ISNUMBER(expected_production[[#This Row],[Commissioned Date]]),MAX(0,(expected_production[[#This Row],[Date]]-expected_production[[#This Row],[Commissioned Date]])/365.25),"")</f>
        <v/>
      </c>
      <c r="F387" s="49">
        <f>IF(expected_production[[#This Row],[Age (yrs)]]="",1,(1-DegradationRate)^expected_production[[#This Row],[Age (yrs)]])</f>
        <v>1</v>
      </c>
      <c r="G387" s="52">
        <f>IF(expected_production[[#This Row],[Base Expected (kWh)]]="","",expected_production[[#This Row],[Base Expected (kWh)]]*expected_production[[#This Row],[Degradation Factor]])</f>
        <v>18220.5</v>
      </c>
    </row>
    <row r="388" spans="1:7" ht="15" hidden="1" customHeight="1" x14ac:dyDescent="0.3">
      <c r="A388" t="s">
        <v>80</v>
      </c>
      <c r="B388" s="2">
        <v>46082</v>
      </c>
      <c r="C388" s="52">
        <v>18368.099999999999</v>
      </c>
      <c r="D388" s="48" t="str">
        <f>_xlfn.XLOOKUP(expected_production[[#This Row],[Site Name]],Table1[[Site Name ]],Table1[Commisioned Date],"")</f>
        <v>2025/02/29</v>
      </c>
      <c r="E388" s="47" t="str">
        <f>IF(ISNUMBER(expected_production[[#This Row],[Commissioned Date]]),MAX(0,(expected_production[[#This Row],[Date]]-expected_production[[#This Row],[Commissioned Date]])/365.25),"")</f>
        <v/>
      </c>
      <c r="F388" s="49">
        <f>IF(expected_production[[#This Row],[Age (yrs)]]="",1,(1-DegradationRate)^expected_production[[#This Row],[Age (yrs)]])</f>
        <v>1</v>
      </c>
      <c r="G388" s="52">
        <f>IF(expected_production[[#This Row],[Base Expected (kWh)]]="","",expected_production[[#This Row],[Base Expected (kWh)]]*expected_production[[#This Row],[Degradation Factor]])</f>
        <v>18368.099999999999</v>
      </c>
    </row>
    <row r="389" spans="1:7" ht="15" hidden="1" customHeight="1" x14ac:dyDescent="0.3">
      <c r="A389" t="s">
        <v>80</v>
      </c>
      <c r="B389" s="2">
        <v>46113</v>
      </c>
      <c r="C389" s="52">
        <v>15103.8</v>
      </c>
      <c r="D389" s="48" t="str">
        <f>_xlfn.XLOOKUP(expected_production[[#This Row],[Site Name]],Table1[[Site Name ]],Table1[Commisioned Date],"")</f>
        <v>2025/02/29</v>
      </c>
      <c r="E389" s="47" t="str">
        <f>IF(ISNUMBER(expected_production[[#This Row],[Commissioned Date]]),MAX(0,(expected_production[[#This Row],[Date]]-expected_production[[#This Row],[Commissioned Date]])/365.25),"")</f>
        <v/>
      </c>
      <c r="F389" s="49">
        <f>IF(expected_production[[#This Row],[Age (yrs)]]="",1,(1-DegradationRate)^expected_production[[#This Row],[Age (yrs)]])</f>
        <v>1</v>
      </c>
      <c r="G389" s="52">
        <f>IF(expected_production[[#This Row],[Base Expected (kWh)]]="","",expected_production[[#This Row],[Base Expected (kWh)]]*expected_production[[#This Row],[Degradation Factor]])</f>
        <v>15103.8</v>
      </c>
    </row>
    <row r="390" spans="1:7" ht="15" hidden="1" customHeight="1" x14ac:dyDescent="0.3">
      <c r="A390" t="s">
        <v>80</v>
      </c>
      <c r="B390" s="2">
        <v>46143</v>
      </c>
      <c r="C390" s="52">
        <v>14130</v>
      </c>
      <c r="D390" s="48" t="str">
        <f>_xlfn.XLOOKUP(expected_production[[#This Row],[Site Name]],Table1[[Site Name ]],Table1[Commisioned Date],"")</f>
        <v>2025/02/29</v>
      </c>
      <c r="E390" s="47" t="str">
        <f>IF(ISNUMBER(expected_production[[#This Row],[Commissioned Date]]),MAX(0,(expected_production[[#This Row],[Date]]-expected_production[[#This Row],[Commissioned Date]])/365.25),"")</f>
        <v/>
      </c>
      <c r="F390" s="49">
        <f>IF(expected_production[[#This Row],[Age (yrs)]]="",1,(1-DegradationRate)^expected_production[[#This Row],[Age (yrs)]])</f>
        <v>1</v>
      </c>
      <c r="G390" s="52">
        <f>IF(expected_production[[#This Row],[Base Expected (kWh)]]="","",expected_production[[#This Row],[Base Expected (kWh)]]*expected_production[[#This Row],[Degradation Factor]])</f>
        <v>14130</v>
      </c>
    </row>
    <row r="391" spans="1:7" ht="15" hidden="1" customHeight="1" x14ac:dyDescent="0.3">
      <c r="A391" t="s">
        <v>80</v>
      </c>
      <c r="B391" s="2">
        <v>46174</v>
      </c>
      <c r="C391" s="52">
        <v>12619.8</v>
      </c>
      <c r="D391" s="48" t="str">
        <f>_xlfn.XLOOKUP(expected_production[[#This Row],[Site Name]],Table1[[Site Name ]],Table1[Commisioned Date],"")</f>
        <v>2025/02/29</v>
      </c>
      <c r="E391" s="47" t="str">
        <f>IF(ISNUMBER(expected_production[[#This Row],[Commissioned Date]]),MAX(0,(expected_production[[#This Row],[Date]]-expected_production[[#This Row],[Commissioned Date]])/365.25),"")</f>
        <v/>
      </c>
      <c r="F391" s="49">
        <f>IF(expected_production[[#This Row],[Age (yrs)]]="",1,(1-DegradationRate)^expected_production[[#This Row],[Age (yrs)]])</f>
        <v>1</v>
      </c>
      <c r="G391" s="52">
        <f>IF(expected_production[[#This Row],[Base Expected (kWh)]]="","",expected_production[[#This Row],[Base Expected (kWh)]]*expected_production[[#This Row],[Degradation Factor]])</f>
        <v>12619.8</v>
      </c>
    </row>
    <row r="392" spans="1:7" ht="15" hidden="1" customHeight="1" x14ac:dyDescent="0.3">
      <c r="A392" t="s">
        <v>80</v>
      </c>
      <c r="B392" s="2">
        <v>46204</v>
      </c>
      <c r="C392" s="52">
        <v>14002.2</v>
      </c>
      <c r="D392" s="48" t="str">
        <f>_xlfn.XLOOKUP(expected_production[[#This Row],[Site Name]],Table1[[Site Name ]],Table1[Commisioned Date],"")</f>
        <v>2025/02/29</v>
      </c>
      <c r="E392" s="47" t="str">
        <f>IF(ISNUMBER(expected_production[[#This Row],[Commissioned Date]]),MAX(0,(expected_production[[#This Row],[Date]]-expected_production[[#This Row],[Commissioned Date]])/365.25),"")</f>
        <v/>
      </c>
      <c r="F392" s="49">
        <f>IF(expected_production[[#This Row],[Age (yrs)]]="",1,(1-DegradationRate)^expected_production[[#This Row],[Age (yrs)]])</f>
        <v>1</v>
      </c>
      <c r="G392" s="52">
        <f>IF(expected_production[[#This Row],[Base Expected (kWh)]]="","",expected_production[[#This Row],[Base Expected (kWh)]]*expected_production[[#This Row],[Degradation Factor]])</f>
        <v>14002.2</v>
      </c>
    </row>
    <row r="393" spans="1:7" ht="15" hidden="1" customHeight="1" x14ac:dyDescent="0.3">
      <c r="A393" t="s">
        <v>80</v>
      </c>
      <c r="B393" s="2">
        <v>46235</v>
      </c>
      <c r="C393" s="52">
        <v>16641.900000000001</v>
      </c>
      <c r="D393" s="48" t="str">
        <f>_xlfn.XLOOKUP(expected_production[[#This Row],[Site Name]],Table1[[Site Name ]],Table1[Commisioned Date],"")</f>
        <v>2025/02/29</v>
      </c>
      <c r="E393" s="47" t="str">
        <f>IF(ISNUMBER(expected_production[[#This Row],[Commissioned Date]]),MAX(0,(expected_production[[#This Row],[Date]]-expected_production[[#This Row],[Commissioned Date]])/365.25),"")</f>
        <v/>
      </c>
      <c r="F393" s="49">
        <f>IF(expected_production[[#This Row],[Age (yrs)]]="",1,(1-DegradationRate)^expected_production[[#This Row],[Age (yrs)]])</f>
        <v>1</v>
      </c>
      <c r="G393" s="52">
        <f>IF(expected_production[[#This Row],[Base Expected (kWh)]]="","",expected_production[[#This Row],[Base Expected (kWh)]]*expected_production[[#This Row],[Degradation Factor]])</f>
        <v>16641.900000000001</v>
      </c>
    </row>
    <row r="394" spans="1:7" ht="15" hidden="1" customHeight="1" x14ac:dyDescent="0.3">
      <c r="A394" t="s">
        <v>80</v>
      </c>
      <c r="B394" s="2">
        <v>46266</v>
      </c>
      <c r="C394" s="52">
        <v>18626.400000000001</v>
      </c>
      <c r="D394" s="48" t="str">
        <f>_xlfn.XLOOKUP(expected_production[[#This Row],[Site Name]],Table1[[Site Name ]],Table1[Commisioned Date],"")</f>
        <v>2025/02/29</v>
      </c>
      <c r="E394" s="47" t="str">
        <f>IF(ISNUMBER(expected_production[[#This Row],[Commissioned Date]]),MAX(0,(expected_production[[#This Row],[Date]]-expected_production[[#This Row],[Commissioned Date]])/365.25),"")</f>
        <v/>
      </c>
      <c r="F394" s="49">
        <f>IF(expected_production[[#This Row],[Age (yrs)]]="",1,(1-DegradationRate)^expected_production[[#This Row],[Age (yrs)]])</f>
        <v>1</v>
      </c>
      <c r="G394" s="52">
        <f>IF(expected_production[[#This Row],[Base Expected (kWh)]]="","",expected_production[[#This Row],[Base Expected (kWh)]]*expected_production[[#This Row],[Degradation Factor]])</f>
        <v>18626.400000000001</v>
      </c>
    </row>
    <row r="395" spans="1:7" ht="15" hidden="1" customHeight="1" x14ac:dyDescent="0.3">
      <c r="A395" t="s">
        <v>80</v>
      </c>
      <c r="B395" s="2">
        <v>46296</v>
      </c>
      <c r="C395" s="52">
        <v>20503.8</v>
      </c>
      <c r="D395" s="48" t="str">
        <f>_xlfn.XLOOKUP(expected_production[[#This Row],[Site Name]],Table1[[Site Name ]],Table1[Commisioned Date],"")</f>
        <v>2025/02/29</v>
      </c>
      <c r="E395" s="47" t="str">
        <f>IF(ISNUMBER(expected_production[[#This Row],[Commissioned Date]]),MAX(0,(expected_production[[#This Row],[Date]]-expected_production[[#This Row],[Commissioned Date]])/365.25),"")</f>
        <v/>
      </c>
      <c r="F395" s="49">
        <f>IF(expected_production[[#This Row],[Age (yrs)]]="",1,(1-DegradationRate)^expected_production[[#This Row],[Age (yrs)]])</f>
        <v>1</v>
      </c>
      <c r="G395" s="52">
        <f>IF(expected_production[[#This Row],[Base Expected (kWh)]]="","",expected_production[[#This Row],[Base Expected (kWh)]]*expected_production[[#This Row],[Degradation Factor]])</f>
        <v>20503.8</v>
      </c>
    </row>
    <row r="396" spans="1:7" ht="15" hidden="1" customHeight="1" x14ac:dyDescent="0.3">
      <c r="A396" t="s">
        <v>80</v>
      </c>
      <c r="B396" s="2">
        <v>46327</v>
      </c>
      <c r="C396" s="52">
        <v>20601</v>
      </c>
      <c r="D396" s="48" t="str">
        <f>_xlfn.XLOOKUP(expected_production[[#This Row],[Site Name]],Table1[[Site Name ]],Table1[Commisioned Date],"")</f>
        <v>2025/02/29</v>
      </c>
      <c r="E396" s="47" t="str">
        <f>IF(ISNUMBER(expected_production[[#This Row],[Commissioned Date]]),MAX(0,(expected_production[[#This Row],[Date]]-expected_production[[#This Row],[Commissioned Date]])/365.25),"")</f>
        <v/>
      </c>
      <c r="F396" s="49">
        <f>IF(expected_production[[#This Row],[Age (yrs)]]="",1,(1-DegradationRate)^expected_production[[#This Row],[Age (yrs)]])</f>
        <v>1</v>
      </c>
      <c r="G396" s="52">
        <f>IF(expected_production[[#This Row],[Base Expected (kWh)]]="","",expected_production[[#This Row],[Base Expected (kWh)]]*expected_production[[#This Row],[Degradation Factor]])</f>
        <v>20601</v>
      </c>
    </row>
    <row r="397" spans="1:7" ht="15" hidden="1" customHeight="1" x14ac:dyDescent="0.3">
      <c r="A397" t="s">
        <v>80</v>
      </c>
      <c r="B397" s="2">
        <v>46357</v>
      </c>
      <c r="C397" s="52">
        <v>22024.799999999999</v>
      </c>
      <c r="D397" s="48" t="str">
        <f>_xlfn.XLOOKUP(expected_production[[#This Row],[Site Name]],Table1[[Site Name ]],Table1[Commisioned Date],"")</f>
        <v>2025/02/29</v>
      </c>
      <c r="E397" s="47" t="str">
        <f>IF(ISNUMBER(expected_production[[#This Row],[Commissioned Date]]),MAX(0,(expected_production[[#This Row],[Date]]-expected_production[[#This Row],[Commissioned Date]])/365.25),"")</f>
        <v/>
      </c>
      <c r="F397" s="49">
        <f>IF(expected_production[[#This Row],[Age (yrs)]]="",1,(1-DegradationRate)^expected_production[[#This Row],[Age (yrs)]])</f>
        <v>1</v>
      </c>
      <c r="G397" s="52">
        <f>IF(expected_production[[#This Row],[Base Expected (kWh)]]="","",expected_production[[#This Row],[Base Expected (kWh)]]*expected_production[[#This Row],[Degradation Factor]])</f>
        <v>22024.799999999999</v>
      </c>
    </row>
    <row r="398" spans="1:7" ht="15" hidden="1" customHeight="1" x14ac:dyDescent="0.3">
      <c r="A398" t="s">
        <v>81</v>
      </c>
      <c r="B398" s="2">
        <v>45292</v>
      </c>
      <c r="C398" s="52">
        <v>8664.2999999999993</v>
      </c>
      <c r="D398" s="48">
        <f>_xlfn.XLOOKUP(expected_production[[#This Row],[Site Name]],Table1[[Site Name ]],Table1[Commisioned Date],"")</f>
        <v>45471</v>
      </c>
      <c r="E398" s="47">
        <f>IF(ISNUMBER(expected_production[[#This Row],[Commissioned Date]]),MAX(0,(expected_production[[#This Row],[Date]]-expected_production[[#This Row],[Commissioned Date]])/365.25),"")</f>
        <v>0</v>
      </c>
      <c r="F398" s="49">
        <f>IF(expected_production[[#This Row],[Age (yrs)]]="",1,(1-DegradationRate)^expected_production[[#This Row],[Age (yrs)]])</f>
        <v>1</v>
      </c>
      <c r="G398" s="52">
        <f>IF(expected_production[[#This Row],[Base Expected (kWh)]]="","",expected_production[[#This Row],[Base Expected (kWh)]]*expected_production[[#This Row],[Degradation Factor]])</f>
        <v>8664.2999999999993</v>
      </c>
    </row>
    <row r="399" spans="1:7" ht="15" hidden="1" customHeight="1" x14ac:dyDescent="0.3">
      <c r="A399" t="s">
        <v>81</v>
      </c>
      <c r="B399" s="2">
        <v>45323</v>
      </c>
      <c r="C399" s="52">
        <v>8100</v>
      </c>
      <c r="D399" s="48">
        <f>_xlfn.XLOOKUP(expected_production[[#This Row],[Site Name]],Table1[[Site Name ]],Table1[Commisioned Date],"")</f>
        <v>45471</v>
      </c>
      <c r="E399" s="47">
        <f>IF(ISNUMBER(expected_production[[#This Row],[Commissioned Date]]),MAX(0,(expected_production[[#This Row],[Date]]-expected_production[[#This Row],[Commissioned Date]])/365.25),"")</f>
        <v>0</v>
      </c>
      <c r="F399" s="49">
        <f>IF(expected_production[[#This Row],[Age (yrs)]]="",1,(1-DegradationRate)^expected_production[[#This Row],[Age (yrs)]])</f>
        <v>1</v>
      </c>
      <c r="G399" s="52">
        <f>IF(expected_production[[#This Row],[Base Expected (kWh)]]="","",expected_production[[#This Row],[Base Expected (kWh)]]*expected_production[[#This Row],[Degradation Factor]])</f>
        <v>8100</v>
      </c>
    </row>
    <row r="400" spans="1:7" ht="15" hidden="1" customHeight="1" x14ac:dyDescent="0.3">
      <c r="A400" t="s">
        <v>81</v>
      </c>
      <c r="B400" s="2">
        <v>45352</v>
      </c>
      <c r="C400" s="52">
        <v>7805.7</v>
      </c>
      <c r="D400" s="48">
        <f>_xlfn.XLOOKUP(expected_production[[#This Row],[Site Name]],Table1[[Site Name ]],Table1[Commisioned Date],"")</f>
        <v>45471</v>
      </c>
      <c r="E400" s="47">
        <f>IF(ISNUMBER(expected_production[[#This Row],[Commissioned Date]]),MAX(0,(expected_production[[#This Row],[Date]]-expected_production[[#This Row],[Commissioned Date]])/365.25),"")</f>
        <v>0</v>
      </c>
      <c r="F400" s="49">
        <f>IF(expected_production[[#This Row],[Age (yrs)]]="",1,(1-DegradationRate)^expected_production[[#This Row],[Age (yrs)]])</f>
        <v>1</v>
      </c>
      <c r="G400" s="52">
        <f>IF(expected_production[[#This Row],[Base Expected (kWh)]]="","",expected_production[[#This Row],[Base Expected (kWh)]]*expected_production[[#This Row],[Degradation Factor]])</f>
        <v>7805.7</v>
      </c>
    </row>
    <row r="401" spans="1:7" ht="15" hidden="1" customHeight="1" x14ac:dyDescent="0.3">
      <c r="A401" t="s">
        <v>81</v>
      </c>
      <c r="B401" s="2">
        <v>45383</v>
      </c>
      <c r="C401" s="52">
        <v>6534</v>
      </c>
      <c r="D401" s="48">
        <f>_xlfn.XLOOKUP(expected_production[[#This Row],[Site Name]],Table1[[Site Name ]],Table1[Commisioned Date],"")</f>
        <v>45471</v>
      </c>
      <c r="E401" s="47">
        <f>IF(ISNUMBER(expected_production[[#This Row],[Commissioned Date]]),MAX(0,(expected_production[[#This Row],[Date]]-expected_production[[#This Row],[Commissioned Date]])/365.25),"")</f>
        <v>0</v>
      </c>
      <c r="F401" s="49">
        <f>IF(expected_production[[#This Row],[Age (yrs)]]="",1,(1-DegradationRate)^expected_production[[#This Row],[Age (yrs)]])</f>
        <v>1</v>
      </c>
      <c r="G401" s="52">
        <f>IF(expected_production[[#This Row],[Base Expected (kWh)]]="","",expected_production[[#This Row],[Base Expected (kWh)]]*expected_production[[#This Row],[Degradation Factor]])</f>
        <v>6534</v>
      </c>
    </row>
    <row r="402" spans="1:7" ht="15" hidden="1" customHeight="1" x14ac:dyDescent="0.3">
      <c r="A402" t="s">
        <v>81</v>
      </c>
      <c r="B402" s="2">
        <v>45413</v>
      </c>
      <c r="C402" s="52">
        <v>5592.6</v>
      </c>
      <c r="D402" s="48">
        <f>_xlfn.XLOOKUP(expected_production[[#This Row],[Site Name]],Table1[[Site Name ]],Table1[Commisioned Date],"")</f>
        <v>45471</v>
      </c>
      <c r="E402" s="47">
        <f>IF(ISNUMBER(expected_production[[#This Row],[Commissioned Date]]),MAX(0,(expected_production[[#This Row],[Date]]-expected_production[[#This Row],[Commissioned Date]])/365.25),"")</f>
        <v>0</v>
      </c>
      <c r="F402" s="49">
        <f>IF(expected_production[[#This Row],[Age (yrs)]]="",1,(1-DegradationRate)^expected_production[[#This Row],[Age (yrs)]])</f>
        <v>1</v>
      </c>
      <c r="G402" s="52">
        <f>IF(expected_production[[#This Row],[Base Expected (kWh)]]="","",expected_production[[#This Row],[Base Expected (kWh)]]*expected_production[[#This Row],[Degradation Factor]])</f>
        <v>5592.6</v>
      </c>
    </row>
    <row r="403" spans="1:7" ht="15" hidden="1" customHeight="1" x14ac:dyDescent="0.3">
      <c r="A403" t="s">
        <v>81</v>
      </c>
      <c r="B403" s="2">
        <v>45444</v>
      </c>
      <c r="C403" s="52">
        <v>5059.8</v>
      </c>
      <c r="D403" s="48">
        <f>_xlfn.XLOOKUP(expected_production[[#This Row],[Site Name]],Table1[[Site Name ]],Table1[Commisioned Date],"")</f>
        <v>45471</v>
      </c>
      <c r="E403" s="47">
        <f>IF(ISNUMBER(expected_production[[#This Row],[Commissioned Date]]),MAX(0,(expected_production[[#This Row],[Date]]-expected_production[[#This Row],[Commissioned Date]])/365.25),"")</f>
        <v>0</v>
      </c>
      <c r="F403" s="49">
        <f>IF(expected_production[[#This Row],[Age (yrs)]]="",1,(1-DegradationRate)^expected_production[[#This Row],[Age (yrs)]])</f>
        <v>1</v>
      </c>
      <c r="G403" s="52">
        <f>IF(expected_production[[#This Row],[Base Expected (kWh)]]="","",expected_production[[#This Row],[Base Expected (kWh)]]*expected_production[[#This Row],[Degradation Factor]])</f>
        <v>5059.8</v>
      </c>
    </row>
    <row r="404" spans="1:7" ht="15" hidden="1" customHeight="1" x14ac:dyDescent="0.3">
      <c r="A404" t="s">
        <v>81</v>
      </c>
      <c r="B404" s="2">
        <v>45474</v>
      </c>
      <c r="C404" s="52">
        <v>5372.1</v>
      </c>
      <c r="D404" s="48">
        <f>_xlfn.XLOOKUP(expected_production[[#This Row],[Site Name]],Table1[[Site Name ]],Table1[Commisioned Date],"")</f>
        <v>45471</v>
      </c>
      <c r="E404" s="47">
        <f>IF(ISNUMBER(expected_production[[#This Row],[Commissioned Date]]),MAX(0,(expected_production[[#This Row],[Date]]-expected_production[[#This Row],[Commissioned Date]])/365.25),"")</f>
        <v>8.2135523613963042E-3</v>
      </c>
      <c r="F404" s="49">
        <f>IF(expected_production[[#This Row],[Age (yrs)]]="",1,(1-DegradationRate)^expected_production[[#This Row],[Age (yrs)]])</f>
        <v>0.99994230462183897</v>
      </c>
      <c r="G404" s="52">
        <f>IF(expected_production[[#This Row],[Base Expected (kWh)]]="","",expected_production[[#This Row],[Base Expected (kWh)]]*expected_production[[#This Row],[Degradation Factor]])</f>
        <v>5371.7900546589817</v>
      </c>
    </row>
    <row r="405" spans="1:7" ht="15" hidden="1" customHeight="1" x14ac:dyDescent="0.3">
      <c r="A405" t="s">
        <v>81</v>
      </c>
      <c r="B405" s="2">
        <v>45505</v>
      </c>
      <c r="C405" s="52">
        <v>6485.4</v>
      </c>
      <c r="D405" s="48">
        <f>_xlfn.XLOOKUP(expected_production[[#This Row],[Site Name]],Table1[[Site Name ]],Table1[Commisioned Date],"")</f>
        <v>45471</v>
      </c>
      <c r="E405" s="47">
        <f>IF(ISNUMBER(expected_production[[#This Row],[Commissioned Date]]),MAX(0,(expected_production[[#This Row],[Date]]-expected_production[[#This Row],[Commissioned Date]])/365.25),"")</f>
        <v>9.3086926762491445E-2</v>
      </c>
      <c r="F405" s="49">
        <f>IF(expected_production[[#This Row],[Age (yrs)]]="",1,(1-DegradationRate)^expected_production[[#This Row],[Age (yrs)]])</f>
        <v>0.99934631392972084</v>
      </c>
      <c r="G405" s="52">
        <f>IF(expected_production[[#This Row],[Base Expected (kWh)]]="","",expected_production[[#This Row],[Base Expected (kWh)]]*expected_production[[#This Row],[Degradation Factor]])</f>
        <v>6481.1605843598109</v>
      </c>
    </row>
    <row r="406" spans="1:7" ht="15" hidden="1" customHeight="1" x14ac:dyDescent="0.3">
      <c r="A406" t="s">
        <v>81</v>
      </c>
      <c r="B406" s="2">
        <v>45536</v>
      </c>
      <c r="C406" s="52">
        <v>6914.7</v>
      </c>
      <c r="D406" s="48">
        <f>_xlfn.XLOOKUP(expected_production[[#This Row],[Site Name]],Table1[[Site Name ]],Table1[Commisioned Date],"")</f>
        <v>45471</v>
      </c>
      <c r="E406" s="47">
        <f>IF(ISNUMBER(expected_production[[#This Row],[Commissioned Date]]),MAX(0,(expected_production[[#This Row],[Date]]-expected_production[[#This Row],[Commissioned Date]])/365.25),"")</f>
        <v>0.17796030116358658</v>
      </c>
      <c r="F406" s="49">
        <f>IF(expected_production[[#This Row],[Age (yrs)]]="",1,(1-DegradationRate)^expected_production[[#This Row],[Age (yrs)]])</f>
        <v>0.99875067846300281</v>
      </c>
      <c r="G406" s="52">
        <f>IF(expected_production[[#This Row],[Base Expected (kWh)]]="","",expected_production[[#This Row],[Base Expected (kWh)]]*expected_production[[#This Row],[Degradation Factor]])</f>
        <v>6906.0613163681255</v>
      </c>
    </row>
    <row r="407" spans="1:7" ht="15" hidden="1" customHeight="1" x14ac:dyDescent="0.3">
      <c r="A407" t="s">
        <v>81</v>
      </c>
      <c r="B407" s="2">
        <v>45566</v>
      </c>
      <c r="C407" s="52">
        <v>8033.4</v>
      </c>
      <c r="D407" s="48">
        <f>_xlfn.XLOOKUP(expected_production[[#This Row],[Site Name]],Table1[[Site Name ]],Table1[Commisioned Date],"")</f>
        <v>45471</v>
      </c>
      <c r="E407" s="47">
        <f>IF(ISNUMBER(expected_production[[#This Row],[Commissioned Date]]),MAX(0,(expected_production[[#This Row],[Date]]-expected_production[[#This Row],[Commissioned Date]])/365.25),"")</f>
        <v>0.26009582477754961</v>
      </c>
      <c r="F407" s="49">
        <f>IF(expected_production[[#This Row],[Age (yrs)]]="",1,(1-DegradationRate)^expected_production[[#This Row],[Age (yrs)]])</f>
        <v>0.99817459506607087</v>
      </c>
      <c r="G407" s="52">
        <f>IF(expected_production[[#This Row],[Base Expected (kWh)]]="","",expected_production[[#This Row],[Base Expected (kWh)]]*expected_production[[#This Row],[Degradation Factor]])</f>
        <v>8018.735792003773</v>
      </c>
    </row>
    <row r="408" spans="1:7" ht="15" hidden="1" customHeight="1" x14ac:dyDescent="0.3">
      <c r="A408" t="s">
        <v>81</v>
      </c>
      <c r="B408" s="2">
        <v>45597</v>
      </c>
      <c r="C408" s="52">
        <v>8012.7</v>
      </c>
      <c r="D408" s="48">
        <f>_xlfn.XLOOKUP(expected_production[[#This Row],[Site Name]],Table1[[Site Name ]],Table1[Commisioned Date],"")</f>
        <v>45471</v>
      </c>
      <c r="E408" s="47">
        <f>IF(ISNUMBER(expected_production[[#This Row],[Commissioned Date]]),MAX(0,(expected_production[[#This Row],[Date]]-expected_production[[#This Row],[Commissioned Date]])/365.25),"")</f>
        <v>0.34496919917864477</v>
      </c>
      <c r="F408" s="49">
        <f>IF(expected_production[[#This Row],[Age (yrs)]]="",1,(1-DegradationRate)^expected_production[[#This Row],[Age (yrs)]])</f>
        <v>0.99757965797318227</v>
      </c>
      <c r="G408" s="52">
        <f>IF(expected_production[[#This Row],[Base Expected (kWh)]]="","",expected_production[[#This Row],[Base Expected (kWh)]]*expected_production[[#This Row],[Degradation Factor]])</f>
        <v>7993.306525441717</v>
      </c>
    </row>
    <row r="409" spans="1:7" ht="15" hidden="1" customHeight="1" x14ac:dyDescent="0.3">
      <c r="A409" t="s">
        <v>81</v>
      </c>
      <c r="B409" s="2">
        <v>45627</v>
      </c>
      <c r="C409" s="52">
        <v>8547.2999999999993</v>
      </c>
      <c r="D409" s="48">
        <f>_xlfn.XLOOKUP(expected_production[[#This Row],[Site Name]],Table1[[Site Name ]],Table1[Commisioned Date],"")</f>
        <v>45471</v>
      </c>
      <c r="E409" s="47">
        <f>IF(ISNUMBER(expected_production[[#This Row],[Commissioned Date]]),MAX(0,(expected_production[[#This Row],[Date]]-expected_production[[#This Row],[Commissioned Date]])/365.25),"")</f>
        <v>0.4271047227926078</v>
      </c>
      <c r="F409" s="49">
        <f>IF(expected_production[[#This Row],[Age (yrs)]]="",1,(1-DegradationRate)^expected_production[[#This Row],[Age (yrs)]])</f>
        <v>0.99700425002556547</v>
      </c>
      <c r="G409" s="52">
        <f>IF(expected_production[[#This Row],[Base Expected (kWh)]]="","",expected_production[[#This Row],[Base Expected (kWh)]]*expected_production[[#This Row],[Degradation Factor]])</f>
        <v>8521.6944262435154</v>
      </c>
    </row>
    <row r="410" spans="1:7" ht="15" hidden="1" customHeight="1" x14ac:dyDescent="0.3">
      <c r="A410" t="s">
        <v>81</v>
      </c>
      <c r="B410" s="2">
        <v>45658</v>
      </c>
      <c r="C410" s="52">
        <v>8664.2999999999993</v>
      </c>
      <c r="D410" s="48">
        <f>_xlfn.XLOOKUP(expected_production[[#This Row],[Site Name]],Table1[[Site Name ]],Table1[Commisioned Date],"")</f>
        <v>45471</v>
      </c>
      <c r="E410" s="47">
        <f>IF(ISNUMBER(expected_production[[#This Row],[Commissioned Date]]),MAX(0,(expected_production[[#This Row],[Date]]-expected_production[[#This Row],[Commissioned Date]])/365.25),"")</f>
        <v>0.51197809719370291</v>
      </c>
      <c r="F410" s="49">
        <f>IF(expected_production[[#This Row],[Age (yrs)]]="",1,(1-DegradationRate)^expected_production[[#This Row],[Age (yrs)]])</f>
        <v>0.99641001048767319</v>
      </c>
      <c r="G410" s="52">
        <f>IF(expected_production[[#This Row],[Base Expected (kWh)]]="","",expected_production[[#This Row],[Base Expected (kWh)]]*expected_production[[#This Row],[Degradation Factor]])</f>
        <v>8633.1952538683454</v>
      </c>
    </row>
    <row r="411" spans="1:7" ht="15" hidden="1" customHeight="1" x14ac:dyDescent="0.3">
      <c r="A411" t="s">
        <v>81</v>
      </c>
      <c r="B411" s="2">
        <v>45689</v>
      </c>
      <c r="C411" s="52">
        <v>8100</v>
      </c>
      <c r="D411" s="48">
        <f>_xlfn.XLOOKUP(expected_production[[#This Row],[Site Name]],Table1[[Site Name ]],Table1[Commisioned Date],"")</f>
        <v>45471</v>
      </c>
      <c r="E411" s="47">
        <f>IF(ISNUMBER(expected_production[[#This Row],[Commissioned Date]]),MAX(0,(expected_production[[#This Row],[Date]]-expected_production[[#This Row],[Commissioned Date]])/365.25),"")</f>
        <v>0.59685147159479812</v>
      </c>
      <c r="F411" s="49">
        <f>IF(expected_production[[#This Row],[Age (yrs)]]="",1,(1-DegradationRate)^expected_production[[#This Row],[Age (yrs)]])</f>
        <v>0.99581612513144901</v>
      </c>
      <c r="G411" s="52">
        <f>IF(expected_production[[#This Row],[Base Expected (kWh)]]="","",expected_production[[#This Row],[Base Expected (kWh)]]*expected_production[[#This Row],[Degradation Factor]])</f>
        <v>8066.1106135647369</v>
      </c>
    </row>
    <row r="412" spans="1:7" ht="15" hidden="1" customHeight="1" x14ac:dyDescent="0.3">
      <c r="A412" t="s">
        <v>81</v>
      </c>
      <c r="B412" s="2">
        <v>45717</v>
      </c>
      <c r="C412" s="52">
        <v>7805.7</v>
      </c>
      <c r="D412" s="48">
        <f>_xlfn.XLOOKUP(expected_production[[#This Row],[Site Name]],Table1[[Site Name ]],Table1[Commisioned Date],"")</f>
        <v>45471</v>
      </c>
      <c r="E412" s="47">
        <f>IF(ISNUMBER(expected_production[[#This Row],[Commissioned Date]]),MAX(0,(expected_production[[#This Row],[Date]]-expected_production[[#This Row],[Commissioned Date]])/365.25),"")</f>
        <v>0.67351129363449691</v>
      </c>
      <c r="F412" s="49">
        <f>IF(expected_production[[#This Row],[Age (yrs)]]="",1,(1-DegradationRate)^expected_production[[#This Row],[Age (yrs)]])</f>
        <v>0.99528001680273748</v>
      </c>
      <c r="G412" s="52">
        <f>IF(expected_production[[#This Row],[Base Expected (kWh)]]="","",expected_production[[#This Row],[Base Expected (kWh)]]*expected_production[[#This Row],[Degradation Factor]])</f>
        <v>7768.8572271571275</v>
      </c>
    </row>
    <row r="413" spans="1:7" ht="15" hidden="1" customHeight="1" x14ac:dyDescent="0.3">
      <c r="A413" t="s">
        <v>81</v>
      </c>
      <c r="B413" s="2">
        <v>45748</v>
      </c>
      <c r="C413" s="52">
        <v>6534</v>
      </c>
      <c r="D413" s="48">
        <f>_xlfn.XLOOKUP(expected_production[[#This Row],[Site Name]],Table1[[Site Name ]],Table1[Commisioned Date],"")</f>
        <v>45471</v>
      </c>
      <c r="E413" s="47">
        <f>IF(ISNUMBER(expected_production[[#This Row],[Commissioned Date]]),MAX(0,(expected_production[[#This Row],[Date]]-expected_production[[#This Row],[Commissioned Date]])/365.25),"")</f>
        <v>0.75838466803559201</v>
      </c>
      <c r="F413" s="49">
        <f>IF(expected_production[[#This Row],[Age (yrs)]]="",1,(1-DegradationRate)^expected_production[[#This Row],[Age (yrs)]])</f>
        <v>0.99468680495108974</v>
      </c>
      <c r="G413" s="52">
        <f>IF(expected_production[[#This Row],[Base Expected (kWh)]]="","",expected_production[[#This Row],[Base Expected (kWh)]]*expected_production[[#This Row],[Degradation Factor]])</f>
        <v>6499.2835835504202</v>
      </c>
    </row>
    <row r="414" spans="1:7" ht="15" hidden="1" customHeight="1" x14ac:dyDescent="0.3">
      <c r="A414" t="s">
        <v>81</v>
      </c>
      <c r="B414" s="2">
        <v>45778</v>
      </c>
      <c r="C414" s="52">
        <v>5592.6</v>
      </c>
      <c r="D414" s="48">
        <f>_xlfn.XLOOKUP(expected_production[[#This Row],[Site Name]],Table1[[Site Name ]],Table1[Commisioned Date],"")</f>
        <v>45471</v>
      </c>
      <c r="E414" s="47">
        <f>IF(ISNUMBER(expected_production[[#This Row],[Commissioned Date]]),MAX(0,(expected_production[[#This Row],[Date]]-expected_production[[#This Row],[Commissioned Date]])/365.25),"")</f>
        <v>0.84052019164955505</v>
      </c>
      <c r="F414" s="49">
        <f>IF(expected_production[[#This Row],[Age (yrs)]]="",1,(1-DegradationRate)^expected_production[[#This Row],[Age (yrs)]])</f>
        <v>0.99411306561269819</v>
      </c>
      <c r="G414" s="52">
        <f>IF(expected_production[[#This Row],[Base Expected (kWh)]]="","",expected_production[[#This Row],[Base Expected (kWh)]]*expected_production[[#This Row],[Degradation Factor]])</f>
        <v>5559.6767307455766</v>
      </c>
    </row>
    <row r="415" spans="1:7" ht="15" hidden="1" customHeight="1" x14ac:dyDescent="0.3">
      <c r="A415" t="s">
        <v>81</v>
      </c>
      <c r="B415" s="2">
        <v>45809</v>
      </c>
      <c r="C415" s="52">
        <v>5059.8</v>
      </c>
      <c r="D415" s="48">
        <f>_xlfn.XLOOKUP(expected_production[[#This Row],[Site Name]],Table1[[Site Name ]],Table1[Commisioned Date],"")</f>
        <v>45471</v>
      </c>
      <c r="E415" s="47">
        <f>IF(ISNUMBER(expected_production[[#This Row],[Commissioned Date]]),MAX(0,(expected_production[[#This Row],[Date]]-expected_production[[#This Row],[Commissioned Date]])/365.25),"")</f>
        <v>0.92539356605065026</v>
      </c>
      <c r="F415" s="49">
        <f>IF(expected_production[[#This Row],[Age (yrs)]]="",1,(1-DegradationRate)^expected_production[[#This Row],[Age (yrs)]])</f>
        <v>0.99352054929322697</v>
      </c>
      <c r="G415" s="52">
        <f>IF(expected_production[[#This Row],[Base Expected (kWh)]]="","",expected_production[[#This Row],[Base Expected (kWh)]]*expected_production[[#This Row],[Degradation Factor]])</f>
        <v>5027.01527531387</v>
      </c>
    </row>
    <row r="416" spans="1:7" ht="15" hidden="1" customHeight="1" x14ac:dyDescent="0.3">
      <c r="A416" t="s">
        <v>81</v>
      </c>
      <c r="B416" s="2">
        <v>45839</v>
      </c>
      <c r="C416" s="52">
        <v>5372.1</v>
      </c>
      <c r="D416" s="48">
        <f>_xlfn.XLOOKUP(expected_production[[#This Row],[Site Name]],Table1[[Site Name ]],Table1[Commisioned Date],"")</f>
        <v>45471</v>
      </c>
      <c r="E416" s="47">
        <f>IF(ISNUMBER(expected_production[[#This Row],[Commissioned Date]]),MAX(0,(expected_production[[#This Row],[Date]]-expected_production[[#This Row],[Commissioned Date]])/365.25),"")</f>
        <v>1.0075290896646132</v>
      </c>
      <c r="F416" s="49">
        <f>IF(expected_production[[#This Row],[Age (yrs)]]="",1,(1-DegradationRate)^expected_production[[#This Row],[Age (yrs)]])</f>
        <v>0.99294748265577626</v>
      </c>
      <c r="G416" s="52">
        <f>IF(expected_production[[#This Row],[Base Expected (kWh)]]="","",expected_production[[#This Row],[Base Expected (kWh)]]*expected_production[[#This Row],[Degradation Factor]])</f>
        <v>5334.2131715750957</v>
      </c>
    </row>
    <row r="417" spans="1:7" ht="15" hidden="1" customHeight="1" x14ac:dyDescent="0.3">
      <c r="A417" t="s">
        <v>81</v>
      </c>
      <c r="B417" s="2">
        <v>45870</v>
      </c>
      <c r="C417" s="52">
        <v>6485.4</v>
      </c>
      <c r="D417" s="48">
        <f>_xlfn.XLOOKUP(expected_production[[#This Row],[Site Name]],Table1[[Site Name ]],Table1[Commisioned Date],"")</f>
        <v>45471</v>
      </c>
      <c r="E417" s="47">
        <f>IF(ISNUMBER(expected_production[[#This Row],[Commissioned Date]]),MAX(0,(expected_production[[#This Row],[Date]]-expected_production[[#This Row],[Commissioned Date]])/365.25),"")</f>
        <v>1.0924024640657084</v>
      </c>
      <c r="F417" s="49">
        <f>IF(expected_production[[#This Row],[Age (yrs)]]="",1,(1-DegradationRate)^expected_production[[#This Row],[Age (yrs)]])</f>
        <v>0.99235566105298012</v>
      </c>
      <c r="G417" s="52">
        <f>IF(expected_production[[#This Row],[Base Expected (kWh)]]="","",expected_production[[#This Row],[Base Expected (kWh)]]*expected_production[[#This Row],[Degradation Factor]])</f>
        <v>6435.8234041929973</v>
      </c>
    </row>
    <row r="418" spans="1:7" ht="15" hidden="1" customHeight="1" x14ac:dyDescent="0.3">
      <c r="A418" t="s">
        <v>81</v>
      </c>
      <c r="B418" s="2">
        <v>45901</v>
      </c>
      <c r="C418" s="52">
        <v>6914.7</v>
      </c>
      <c r="D418" s="48">
        <f>_xlfn.XLOOKUP(expected_production[[#This Row],[Site Name]],Table1[[Site Name ]],Table1[Commisioned Date],"")</f>
        <v>45471</v>
      </c>
      <c r="E418" s="47">
        <f>IF(ISNUMBER(expected_production[[#This Row],[Commissioned Date]]),MAX(0,(expected_production[[#This Row],[Date]]-expected_production[[#This Row],[Commissioned Date]])/365.25),"")</f>
        <v>1.1772758384668036</v>
      </c>
      <c r="F418" s="49">
        <f>IF(expected_production[[#This Row],[Age (yrs)]]="",1,(1-DegradationRate)^expected_production[[#This Row],[Age (yrs)]])</f>
        <v>0.99176419219070222</v>
      </c>
      <c r="G418" s="52">
        <f>IF(expected_production[[#This Row],[Base Expected (kWh)]]="","",expected_production[[#This Row],[Base Expected (kWh)]]*expected_production[[#This Row],[Degradation Factor]])</f>
        <v>6857.7518597410481</v>
      </c>
    </row>
    <row r="419" spans="1:7" ht="15" hidden="1" customHeight="1" x14ac:dyDescent="0.3">
      <c r="A419" t="s">
        <v>81</v>
      </c>
      <c r="B419" s="2">
        <v>45931</v>
      </c>
      <c r="C419" s="52">
        <v>8033.4</v>
      </c>
      <c r="D419" s="48">
        <f>_xlfn.XLOOKUP(expected_production[[#This Row],[Site Name]],Table1[[Site Name ]],Table1[Commisioned Date],"")</f>
        <v>45471</v>
      </c>
      <c r="E419" s="47">
        <f>IF(ISNUMBER(expected_production[[#This Row],[Commissioned Date]]),MAX(0,(expected_production[[#This Row],[Date]]-expected_production[[#This Row],[Commissioned Date]])/365.25),"")</f>
        <v>1.2594113620807665</v>
      </c>
      <c r="F419" s="49">
        <f>IF(expected_production[[#This Row],[Age (yrs)]]="",1,(1-DegradationRate)^expected_production[[#This Row],[Age (yrs)]])</f>
        <v>0.99119213862707223</v>
      </c>
      <c r="G419" s="52">
        <f>IF(expected_production[[#This Row],[Base Expected (kWh)]]="","",expected_production[[#This Row],[Base Expected (kWh)]]*expected_production[[#This Row],[Degradation Factor]])</f>
        <v>7962.6429264467215</v>
      </c>
    </row>
    <row r="420" spans="1:7" ht="15" hidden="1" customHeight="1" x14ac:dyDescent="0.3">
      <c r="A420" t="s">
        <v>81</v>
      </c>
      <c r="B420" s="2">
        <v>45962</v>
      </c>
      <c r="C420" s="52">
        <v>8012.7</v>
      </c>
      <c r="D420" s="48">
        <f>_xlfn.XLOOKUP(expected_production[[#This Row],[Site Name]],Table1[[Site Name ]],Table1[Commisioned Date],"")</f>
        <v>45471</v>
      </c>
      <c r="E420" s="47">
        <f>IF(ISNUMBER(expected_production[[#This Row],[Commissioned Date]]),MAX(0,(expected_production[[#This Row],[Date]]-expected_production[[#This Row],[Commissioned Date]])/365.25),"")</f>
        <v>1.3442847364818618</v>
      </c>
      <c r="F420" s="49">
        <f>IF(expected_production[[#This Row],[Age (yrs)]]="",1,(1-DegradationRate)^expected_production[[#This Row],[Age (yrs)]])</f>
        <v>0.99060136325334136</v>
      </c>
      <c r="G420" s="52">
        <f>IF(expected_production[[#This Row],[Base Expected (kWh)]]="","",expected_production[[#This Row],[Base Expected (kWh)]]*expected_production[[#This Row],[Degradation Factor]])</f>
        <v>7937.391543340048</v>
      </c>
    </row>
    <row r="421" spans="1:7" ht="15" hidden="1" customHeight="1" x14ac:dyDescent="0.3">
      <c r="A421" t="s">
        <v>81</v>
      </c>
      <c r="B421" s="2">
        <v>45992</v>
      </c>
      <c r="C421" s="52">
        <v>8547.2999999999993</v>
      </c>
      <c r="D421" s="48">
        <f>_xlfn.XLOOKUP(expected_production[[#This Row],[Site Name]],Table1[[Site Name ]],Table1[Commisioned Date],"")</f>
        <v>45471</v>
      </c>
      <c r="E421" s="47">
        <f>IF(ISNUMBER(expected_production[[#This Row],[Commissioned Date]]),MAX(0,(expected_production[[#This Row],[Date]]-expected_production[[#This Row],[Commissioned Date]])/365.25),"")</f>
        <v>1.4264202600958247</v>
      </c>
      <c r="F421" s="49">
        <f>IF(expected_production[[#This Row],[Age (yrs)]]="",1,(1-DegradationRate)^expected_production[[#This Row],[Age (yrs)]])</f>
        <v>0.99002998041410606</v>
      </c>
      <c r="G421" s="52">
        <f>IF(expected_production[[#This Row],[Base Expected (kWh)]]="","",expected_production[[#This Row],[Base Expected (kWh)]]*expected_production[[#This Row],[Degradation Factor]])</f>
        <v>8462.0832515934871</v>
      </c>
    </row>
    <row r="422" spans="1:7" ht="15" hidden="1" customHeight="1" x14ac:dyDescent="0.3">
      <c r="A422" t="s">
        <v>81</v>
      </c>
      <c r="B422" s="2">
        <v>46023</v>
      </c>
      <c r="C422" s="52">
        <v>8664.2999999999993</v>
      </c>
      <c r="D422" s="48">
        <f>_xlfn.XLOOKUP(expected_production[[#This Row],[Site Name]],Table1[[Site Name ]],Table1[Commisioned Date],"")</f>
        <v>45471</v>
      </c>
      <c r="E422" s="47">
        <f>IF(ISNUMBER(expected_production[[#This Row],[Commissioned Date]]),MAX(0,(expected_production[[#This Row],[Date]]-expected_production[[#This Row],[Commissioned Date]])/365.25),"")</f>
        <v>1.5112936344969199</v>
      </c>
      <c r="F422" s="49">
        <f>IF(expected_production[[#This Row],[Age (yrs)]]="",1,(1-DegradationRate)^expected_production[[#This Row],[Age (yrs)]])</f>
        <v>0.98943989771581708</v>
      </c>
      <c r="G422" s="52">
        <f>IF(expected_production[[#This Row],[Base Expected (kWh)]]="","",expected_production[[#This Row],[Base Expected (kWh)]]*expected_production[[#This Row],[Degradation Factor]])</f>
        <v>8572.8041057791525</v>
      </c>
    </row>
    <row r="423" spans="1:7" ht="15" hidden="1" customHeight="1" x14ac:dyDescent="0.3">
      <c r="A423" t="s">
        <v>81</v>
      </c>
      <c r="B423" s="2">
        <v>46054</v>
      </c>
      <c r="C423" s="52">
        <v>8100</v>
      </c>
      <c r="D423" s="48">
        <f>_xlfn.XLOOKUP(expected_production[[#This Row],[Site Name]],Table1[[Site Name ]],Table1[Commisioned Date],"")</f>
        <v>45471</v>
      </c>
      <c r="E423" s="47">
        <f>IF(ISNUMBER(expected_production[[#This Row],[Commissioned Date]]),MAX(0,(expected_production[[#This Row],[Date]]-expected_production[[#This Row],[Commissioned Date]])/365.25),"")</f>
        <v>1.5961670088980151</v>
      </c>
      <c r="F423" s="49">
        <f>IF(expected_production[[#This Row],[Age (yrs)]]="",1,(1-DegradationRate)^expected_production[[#This Row],[Age (yrs)]])</f>
        <v>0.98885016672161541</v>
      </c>
      <c r="G423" s="52">
        <f>IF(expected_production[[#This Row],[Base Expected (kWh)]]="","",expected_production[[#This Row],[Base Expected (kWh)]]*expected_production[[#This Row],[Degradation Factor]])</f>
        <v>8009.6863504450848</v>
      </c>
    </row>
    <row r="424" spans="1:7" ht="15" hidden="1" customHeight="1" x14ac:dyDescent="0.3">
      <c r="A424" t="s">
        <v>81</v>
      </c>
      <c r="B424" s="2">
        <v>46082</v>
      </c>
      <c r="C424" s="52">
        <v>7805.7</v>
      </c>
      <c r="D424" s="48">
        <f>_xlfn.XLOOKUP(expected_production[[#This Row],[Site Name]],Table1[[Site Name ]],Table1[Commisioned Date],"")</f>
        <v>45471</v>
      </c>
      <c r="E424" s="47">
        <f>IF(ISNUMBER(expected_production[[#This Row],[Commissioned Date]]),MAX(0,(expected_production[[#This Row],[Date]]-expected_production[[#This Row],[Commissioned Date]])/365.25),"")</f>
        <v>1.6728268309377139</v>
      </c>
      <c r="F424" s="49">
        <f>IF(expected_production[[#This Row],[Age (yrs)]]="",1,(1-DegradationRate)^expected_production[[#This Row],[Age (yrs)]])</f>
        <v>0.9883178085915868</v>
      </c>
      <c r="G424" s="52">
        <f>IF(expected_production[[#This Row],[Base Expected (kWh)]]="","",expected_production[[#This Row],[Base Expected (kWh)]]*expected_production[[#This Row],[Degradation Factor]])</f>
        <v>7714.5123185233488</v>
      </c>
    </row>
    <row r="425" spans="1:7" ht="15" hidden="1" customHeight="1" x14ac:dyDescent="0.3">
      <c r="A425" t="s">
        <v>81</v>
      </c>
      <c r="B425" s="2">
        <v>46113</v>
      </c>
      <c r="C425" s="52">
        <v>6534</v>
      </c>
      <c r="D425" s="48">
        <f>_xlfn.XLOOKUP(expected_production[[#This Row],[Site Name]],Table1[[Site Name ]],Table1[Commisioned Date],"")</f>
        <v>45471</v>
      </c>
      <c r="E425" s="47">
        <f>IF(ISNUMBER(expected_production[[#This Row],[Commissioned Date]]),MAX(0,(expected_production[[#This Row],[Date]]-expected_production[[#This Row],[Commissioned Date]])/365.25),"")</f>
        <v>1.7577002053388091</v>
      </c>
      <c r="F425" s="49">
        <f>IF(expected_production[[#This Row],[Age (yrs)]]="",1,(1-DegradationRate)^expected_production[[#This Row],[Age (yrs)]])</f>
        <v>0.98772874639064523</v>
      </c>
      <c r="G425" s="52">
        <f>IF(expected_production[[#This Row],[Base Expected (kWh)]]="","",expected_production[[#This Row],[Base Expected (kWh)]]*expected_production[[#This Row],[Degradation Factor]])</f>
        <v>6453.8196289164762</v>
      </c>
    </row>
    <row r="426" spans="1:7" ht="15" hidden="1" customHeight="1" x14ac:dyDescent="0.3">
      <c r="A426" t="s">
        <v>81</v>
      </c>
      <c r="B426" s="2">
        <v>46143</v>
      </c>
      <c r="C426" s="52">
        <v>5592.6</v>
      </c>
      <c r="D426" s="48">
        <f>_xlfn.XLOOKUP(expected_production[[#This Row],[Site Name]],Table1[[Site Name ]],Table1[Commisioned Date],"")</f>
        <v>45471</v>
      </c>
      <c r="E426" s="47">
        <f>IF(ISNUMBER(expected_production[[#This Row],[Commissioned Date]]),MAX(0,(expected_production[[#This Row],[Date]]-expected_production[[#This Row],[Commissioned Date]])/365.25),"")</f>
        <v>1.839835728952772</v>
      </c>
      <c r="F426" s="49">
        <f>IF(expected_production[[#This Row],[Age (yrs)]]="",1,(1-DegradationRate)^expected_production[[#This Row],[Age (yrs)]])</f>
        <v>0.98715902048833737</v>
      </c>
      <c r="G426" s="52">
        <f>IF(expected_production[[#This Row],[Base Expected (kWh)]]="","",expected_production[[#This Row],[Base Expected (kWh)]]*expected_production[[#This Row],[Degradation Factor]])</f>
        <v>5520.7855379830762</v>
      </c>
    </row>
    <row r="427" spans="1:7" ht="15" hidden="1" customHeight="1" x14ac:dyDescent="0.3">
      <c r="A427" t="s">
        <v>81</v>
      </c>
      <c r="B427" s="2">
        <v>46174</v>
      </c>
      <c r="C427" s="52">
        <v>5059.8</v>
      </c>
      <c r="D427" s="48">
        <f>_xlfn.XLOOKUP(expected_production[[#This Row],[Site Name]],Table1[[Site Name ]],Table1[Commisioned Date],"")</f>
        <v>45471</v>
      </c>
      <c r="E427" s="47">
        <f>IF(ISNUMBER(expected_production[[#This Row],[Commissioned Date]]),MAX(0,(expected_production[[#This Row],[Date]]-expected_production[[#This Row],[Commissioned Date]])/365.25),"")</f>
        <v>1.9247091033538672</v>
      </c>
      <c r="F427" s="49">
        <f>IF(expected_production[[#This Row],[Age (yrs)]]="",1,(1-DegradationRate)^expected_production[[#This Row],[Age (yrs)]])</f>
        <v>0.98657064895416779</v>
      </c>
      <c r="G427" s="52">
        <f>IF(expected_production[[#This Row],[Base Expected (kWh)]]="","",expected_production[[#This Row],[Base Expected (kWh)]]*expected_production[[#This Row],[Degradation Factor]])</f>
        <v>4991.8501695782979</v>
      </c>
    </row>
    <row r="428" spans="1:7" ht="15" hidden="1" customHeight="1" x14ac:dyDescent="0.3">
      <c r="A428" t="s">
        <v>81</v>
      </c>
      <c r="B428" s="2">
        <v>46204</v>
      </c>
      <c r="C428" s="52">
        <v>5372.1</v>
      </c>
      <c r="D428" s="48">
        <f>_xlfn.XLOOKUP(expected_production[[#This Row],[Site Name]],Table1[[Site Name ]],Table1[Commisioned Date],"")</f>
        <v>45471</v>
      </c>
      <c r="E428" s="47">
        <f>IF(ISNUMBER(expected_production[[#This Row],[Commissioned Date]]),MAX(0,(expected_production[[#This Row],[Date]]-expected_production[[#This Row],[Commissioned Date]])/365.25),"")</f>
        <v>2.0068446269678302</v>
      </c>
      <c r="F428" s="49">
        <f>IF(expected_production[[#This Row],[Age (yrs)]]="",1,(1-DegradationRate)^expected_production[[#This Row],[Age (yrs)]])</f>
        <v>0.98600159104710594</v>
      </c>
      <c r="G428" s="52">
        <f>IF(expected_production[[#This Row],[Base Expected (kWh)]]="","",expected_production[[#This Row],[Base Expected (kWh)]]*expected_production[[#This Row],[Degradation Factor]])</f>
        <v>5296.8991472641583</v>
      </c>
    </row>
    <row r="429" spans="1:7" ht="15" hidden="1" customHeight="1" x14ac:dyDescent="0.3">
      <c r="A429" t="s">
        <v>81</v>
      </c>
      <c r="B429" s="2">
        <v>46235</v>
      </c>
      <c r="C429" s="52">
        <v>6485.4</v>
      </c>
      <c r="D429" s="48">
        <f>_xlfn.XLOOKUP(expected_production[[#This Row],[Site Name]],Table1[[Site Name ]],Table1[Commisioned Date],"")</f>
        <v>45471</v>
      </c>
      <c r="E429" s="47">
        <f>IF(ISNUMBER(expected_production[[#This Row],[Commissioned Date]]),MAX(0,(expected_production[[#This Row],[Date]]-expected_production[[#This Row],[Commissioned Date]])/365.25),"")</f>
        <v>2.0917180013689256</v>
      </c>
      <c r="F429" s="49">
        <f>IF(expected_production[[#This Row],[Age (yrs)]]="",1,(1-DegradationRate)^expected_production[[#This Row],[Age (yrs)]])</f>
        <v>0.98541390936991158</v>
      </c>
      <c r="G429" s="52">
        <f>IF(expected_production[[#This Row],[Base Expected (kWh)]]="","",expected_production[[#This Row],[Base Expected (kWh)]]*expected_production[[#This Row],[Degradation Factor]])</f>
        <v>6390.8033678276242</v>
      </c>
    </row>
    <row r="430" spans="1:7" ht="15" hidden="1" customHeight="1" x14ac:dyDescent="0.3">
      <c r="A430" t="s">
        <v>81</v>
      </c>
      <c r="B430" s="2">
        <v>46266</v>
      </c>
      <c r="C430" s="52">
        <v>6914.7</v>
      </c>
      <c r="D430" s="48">
        <f>_xlfn.XLOOKUP(expected_production[[#This Row],[Site Name]],Table1[[Site Name ]],Table1[Commisioned Date],"")</f>
        <v>45471</v>
      </c>
      <c r="E430" s="47">
        <f>IF(ISNUMBER(expected_production[[#This Row],[Commissioned Date]]),MAX(0,(expected_production[[#This Row],[Date]]-expected_production[[#This Row],[Commissioned Date]])/365.25),"")</f>
        <v>2.1765913757700206</v>
      </c>
      <c r="F430" s="49">
        <f>IF(expected_production[[#This Row],[Age (yrs)]]="",1,(1-DegradationRate)^expected_production[[#This Row],[Age (yrs)]])</f>
        <v>0.98482657796573603</v>
      </c>
      <c r="G430" s="52">
        <f>IF(expected_production[[#This Row],[Base Expected (kWh)]]="","",expected_production[[#This Row],[Base Expected (kWh)]]*expected_production[[#This Row],[Degradation Factor]])</f>
        <v>6809.7803386596752</v>
      </c>
    </row>
    <row r="431" spans="1:7" ht="15" hidden="1" customHeight="1" x14ac:dyDescent="0.3">
      <c r="A431" t="s">
        <v>81</v>
      </c>
      <c r="B431" s="2">
        <v>46296</v>
      </c>
      <c r="C431" s="52">
        <v>8033.4</v>
      </c>
      <c r="D431" s="48">
        <f>_xlfn.XLOOKUP(expected_production[[#This Row],[Site Name]],Table1[[Site Name ]],Table1[Commisioned Date],"")</f>
        <v>45471</v>
      </c>
      <c r="E431" s="47">
        <f>IF(ISNUMBER(expected_production[[#This Row],[Commissioned Date]]),MAX(0,(expected_production[[#This Row],[Date]]-expected_production[[#This Row],[Commissioned Date]])/365.25),"")</f>
        <v>2.2587268993839835</v>
      </c>
      <c r="F431" s="49">
        <f>IF(expected_production[[#This Row],[Age (yrs)]]="",1,(1-DegradationRate)^expected_production[[#This Row],[Age (yrs)]])</f>
        <v>0.9842585260458151</v>
      </c>
      <c r="G431" s="52">
        <f>IF(expected_production[[#This Row],[Base Expected (kWh)]]="","",expected_production[[#This Row],[Base Expected (kWh)]]*expected_production[[#This Row],[Degradation Factor]])</f>
        <v>7906.9424431364505</v>
      </c>
    </row>
    <row r="432" spans="1:7" ht="15" hidden="1" customHeight="1" x14ac:dyDescent="0.3">
      <c r="A432" t="s">
        <v>81</v>
      </c>
      <c r="B432" s="2">
        <v>46327</v>
      </c>
      <c r="C432" s="52">
        <v>8012.7</v>
      </c>
      <c r="D432" s="48">
        <f>_xlfn.XLOOKUP(expected_production[[#This Row],[Site Name]],Table1[[Site Name ]],Table1[Commisioned Date],"")</f>
        <v>45471</v>
      </c>
      <c r="E432" s="47">
        <f>IF(ISNUMBER(expected_production[[#This Row],[Commissioned Date]]),MAX(0,(expected_production[[#This Row],[Date]]-expected_production[[#This Row],[Commissioned Date]])/365.25),"")</f>
        <v>2.3436002737850785</v>
      </c>
      <c r="F432" s="49">
        <f>IF(expected_production[[#This Row],[Age (yrs)]]="",1,(1-DegradationRate)^expected_production[[#This Row],[Age (yrs)]])</f>
        <v>0.98367188327907762</v>
      </c>
      <c r="G432" s="52">
        <f>IF(expected_production[[#This Row],[Base Expected (kWh)]]="","",expected_production[[#This Row],[Base Expected (kWh)]]*expected_production[[#This Row],[Degradation Factor]])</f>
        <v>7881.8676991502653</v>
      </c>
    </row>
    <row r="433" spans="1:7" ht="15" hidden="1" customHeight="1" x14ac:dyDescent="0.3">
      <c r="A433" t="s">
        <v>81</v>
      </c>
      <c r="B433" s="2">
        <v>46357</v>
      </c>
      <c r="C433" s="52">
        <v>8547.2999999999993</v>
      </c>
      <c r="D433" s="48">
        <f>_xlfn.XLOOKUP(expected_production[[#This Row],[Site Name]],Table1[[Site Name ]],Table1[Commisioned Date],"")</f>
        <v>45471</v>
      </c>
      <c r="E433" s="47">
        <f>IF(ISNUMBER(expected_production[[#This Row],[Commissioned Date]]),MAX(0,(expected_production[[#This Row],[Date]]-expected_production[[#This Row],[Commissioned Date]])/365.25),"")</f>
        <v>2.4257357973990419</v>
      </c>
      <c r="F433" s="49">
        <f>IF(expected_production[[#This Row],[Age (yrs)]]="",1,(1-DegradationRate)^expected_production[[#This Row],[Age (yrs)]])</f>
        <v>0.98310449739168293</v>
      </c>
      <c r="G433" s="52">
        <f>IF(expected_production[[#This Row],[Base Expected (kWh)]]="","",expected_production[[#This Row],[Base Expected (kWh)]]*expected_production[[#This Row],[Degradation Factor]])</f>
        <v>8402.8890705559315</v>
      </c>
    </row>
    <row r="434" spans="1:7" ht="15" hidden="1" customHeight="1" x14ac:dyDescent="0.3">
      <c r="A434" t="s">
        <v>85</v>
      </c>
      <c r="B434" s="2">
        <v>45292</v>
      </c>
      <c r="C434" s="52">
        <v>5767.2</v>
      </c>
      <c r="D434" s="48">
        <f>_xlfn.XLOOKUP(expected_production[[#This Row],[Site Name]],Table1[[Site Name ]],Table1[Commisioned Date],"")</f>
        <v>44665</v>
      </c>
      <c r="E434" s="47">
        <f>IF(ISNUMBER(expected_production[[#This Row],[Commissioned Date]]),MAX(0,(expected_production[[#This Row],[Date]]-expected_production[[#This Row],[Commissioned Date]])/365.25),"")</f>
        <v>1.7166324435318274</v>
      </c>
      <c r="F434" s="49">
        <f>IF(expected_production[[#This Row],[Age (yrs)]]="",1,(1-DegradationRate)^expected_production[[#This Row],[Age (yrs)]])</f>
        <v>0.98801373263363279</v>
      </c>
      <c r="G434" s="52">
        <f>IF(expected_production[[#This Row],[Base Expected (kWh)]]="","",expected_production[[#This Row],[Base Expected (kWh)]]*expected_production[[#This Row],[Degradation Factor]])</f>
        <v>5698.072798844687</v>
      </c>
    </row>
    <row r="435" spans="1:7" ht="15" hidden="1" customHeight="1" x14ac:dyDescent="0.3">
      <c r="A435" t="s">
        <v>85</v>
      </c>
      <c r="B435" s="2">
        <v>45323</v>
      </c>
      <c r="C435" s="52">
        <v>4828.5</v>
      </c>
      <c r="D435" s="48">
        <f>_xlfn.XLOOKUP(expected_production[[#This Row],[Site Name]],Table1[[Site Name ]],Table1[Commisioned Date],"")</f>
        <v>44665</v>
      </c>
      <c r="E435" s="47">
        <f>IF(ISNUMBER(expected_production[[#This Row],[Commissioned Date]]),MAX(0,(expected_production[[#This Row],[Date]]-expected_production[[#This Row],[Commissioned Date]])/365.25),"")</f>
        <v>1.8015058179329226</v>
      </c>
      <c r="F435" s="49">
        <f>IF(expected_production[[#This Row],[Age (yrs)]]="",1,(1-DegradationRate)^expected_production[[#This Row],[Age (yrs)]])</f>
        <v>0.98742485166958849</v>
      </c>
      <c r="G435" s="52">
        <f>IF(expected_production[[#This Row],[Base Expected (kWh)]]="","",expected_production[[#This Row],[Base Expected (kWh)]]*expected_production[[#This Row],[Degradation Factor]])</f>
        <v>4767.7808962866084</v>
      </c>
    </row>
    <row r="436" spans="1:7" ht="15" hidden="1" customHeight="1" x14ac:dyDescent="0.3">
      <c r="A436" t="s">
        <v>85</v>
      </c>
      <c r="B436" s="2">
        <v>45352</v>
      </c>
      <c r="C436" s="52">
        <v>4913.1000000000004</v>
      </c>
      <c r="D436" s="48">
        <f>_xlfn.XLOOKUP(expected_production[[#This Row],[Site Name]],Table1[[Site Name ]],Table1[Commisioned Date],"")</f>
        <v>44665</v>
      </c>
      <c r="E436" s="47">
        <f>IF(ISNUMBER(expected_production[[#This Row],[Commissioned Date]]),MAX(0,(expected_production[[#This Row],[Date]]-expected_production[[#This Row],[Commissioned Date]])/365.25),"")</f>
        <v>1.8809034907597535</v>
      </c>
      <c r="F436" s="49">
        <f>IF(expected_production[[#This Row],[Age (yrs)]]="",1,(1-DegradationRate)^expected_production[[#This Row],[Age (yrs)]])</f>
        <v>0.98687428078160233</v>
      </c>
      <c r="G436" s="52">
        <f>IF(expected_production[[#This Row],[Base Expected (kWh)]]="","",expected_production[[#This Row],[Base Expected (kWh)]]*expected_production[[#This Row],[Degradation Factor]])</f>
        <v>4848.6120289080909</v>
      </c>
    </row>
    <row r="437" spans="1:7" ht="15" hidden="1" customHeight="1" x14ac:dyDescent="0.3">
      <c r="A437" t="s">
        <v>85</v>
      </c>
      <c r="B437" s="2">
        <v>45383</v>
      </c>
      <c r="C437" s="52">
        <v>4149.8999999999996</v>
      </c>
      <c r="D437" s="48">
        <f>_xlfn.XLOOKUP(expected_production[[#This Row],[Site Name]],Table1[[Site Name ]],Table1[Commisioned Date],"")</f>
        <v>44665</v>
      </c>
      <c r="E437" s="47">
        <f>IF(ISNUMBER(expected_production[[#This Row],[Commissioned Date]]),MAX(0,(expected_production[[#This Row],[Date]]-expected_production[[#This Row],[Commissioned Date]])/365.25),"")</f>
        <v>1.9657768651608487</v>
      </c>
      <c r="F437" s="49">
        <f>IF(expected_production[[#This Row],[Age (yrs)]]="",1,(1-DegradationRate)^expected_production[[#This Row],[Age (yrs)]])</f>
        <v>0.98628607895943921</v>
      </c>
      <c r="G437" s="52">
        <f>IF(expected_production[[#This Row],[Base Expected (kWh)]]="","",expected_production[[#This Row],[Base Expected (kWh)]]*expected_production[[#This Row],[Degradation Factor]])</f>
        <v>4092.9885990737762</v>
      </c>
    </row>
    <row r="438" spans="1:7" ht="15" hidden="1" customHeight="1" x14ac:dyDescent="0.3">
      <c r="A438" t="s">
        <v>85</v>
      </c>
      <c r="B438" s="2">
        <v>45413</v>
      </c>
      <c r="C438" s="52">
        <v>3937.5</v>
      </c>
      <c r="D438" s="48">
        <f>_xlfn.XLOOKUP(expected_production[[#This Row],[Site Name]],Table1[[Site Name ]],Table1[Commisioned Date],"")</f>
        <v>44665</v>
      </c>
      <c r="E438" s="47">
        <f>IF(ISNUMBER(expected_production[[#This Row],[Commissioned Date]]),MAX(0,(expected_production[[#This Row],[Date]]-expected_production[[#This Row],[Commissioned Date]])/365.25),"")</f>
        <v>2.0479123887748116</v>
      </c>
      <c r="F438" s="49">
        <f>IF(expected_production[[#This Row],[Age (yrs)]]="",1,(1-DegradationRate)^expected_production[[#This Row],[Age (yrs)]])</f>
        <v>0.98571718519349161</v>
      </c>
      <c r="G438" s="52">
        <f>IF(expected_production[[#This Row],[Base Expected (kWh)]]="","",expected_production[[#This Row],[Base Expected (kWh)]]*expected_production[[#This Row],[Degradation Factor]])</f>
        <v>3881.2614166993731</v>
      </c>
    </row>
    <row r="439" spans="1:7" ht="15" hidden="1" customHeight="1" x14ac:dyDescent="0.3">
      <c r="A439" t="s">
        <v>85</v>
      </c>
      <c r="B439" s="2">
        <v>45444</v>
      </c>
      <c r="C439" s="52">
        <v>3463.2</v>
      </c>
      <c r="D439" s="48">
        <f>_xlfn.XLOOKUP(expected_production[[#This Row],[Site Name]],Table1[[Site Name ]],Table1[Commisioned Date],"")</f>
        <v>44665</v>
      </c>
      <c r="E439" s="47">
        <f>IF(ISNUMBER(expected_production[[#This Row],[Commissioned Date]]),MAX(0,(expected_production[[#This Row],[Date]]-expected_production[[#This Row],[Commissioned Date]])/365.25),"")</f>
        <v>2.1327857631759071</v>
      </c>
      <c r="F439" s="49">
        <f>IF(expected_production[[#This Row],[Age (yrs)]]="",1,(1-DegradationRate)^expected_production[[#This Row],[Age (yrs)]])</f>
        <v>0.98512967302931898</v>
      </c>
      <c r="G439" s="52">
        <f>IF(expected_production[[#This Row],[Base Expected (kWh)]]="","",expected_production[[#This Row],[Base Expected (kWh)]]*expected_production[[#This Row],[Degradation Factor]])</f>
        <v>3411.7010836351374</v>
      </c>
    </row>
    <row r="440" spans="1:7" ht="15" hidden="1" customHeight="1" x14ac:dyDescent="0.3">
      <c r="A440" t="s">
        <v>85</v>
      </c>
      <c r="B440" s="2">
        <v>45474</v>
      </c>
      <c r="C440" s="52">
        <v>3874.5</v>
      </c>
      <c r="D440" s="48">
        <f>_xlfn.XLOOKUP(expected_production[[#This Row],[Site Name]],Table1[[Site Name ]],Table1[Commisioned Date],"")</f>
        <v>44665</v>
      </c>
      <c r="E440" s="47">
        <f>IF(ISNUMBER(expected_production[[#This Row],[Commissioned Date]]),MAX(0,(expected_production[[#This Row],[Date]]-expected_production[[#This Row],[Commissioned Date]])/365.25),"")</f>
        <v>2.21492128678987</v>
      </c>
      <c r="F440" s="49">
        <f>IF(expected_production[[#This Row],[Age (yrs)]]="",1,(1-DegradationRate)^expected_production[[#This Row],[Age (yrs)]])</f>
        <v>0.98456144628294973</v>
      </c>
      <c r="G440" s="52">
        <f>IF(expected_production[[#This Row],[Base Expected (kWh)]]="","",expected_production[[#This Row],[Base Expected (kWh)]]*expected_production[[#This Row],[Degradation Factor]])</f>
        <v>3814.6833236232887</v>
      </c>
    </row>
    <row r="441" spans="1:7" ht="15" hidden="1" customHeight="1" x14ac:dyDescent="0.3">
      <c r="A441" t="s">
        <v>85</v>
      </c>
      <c r="B441" s="2">
        <v>45505</v>
      </c>
      <c r="C441" s="52">
        <v>4560.3</v>
      </c>
      <c r="D441" s="48">
        <f>_xlfn.XLOOKUP(expected_production[[#This Row],[Site Name]],Table1[[Site Name ]],Table1[Commisioned Date],"")</f>
        <v>44665</v>
      </c>
      <c r="E441" s="47">
        <f>IF(ISNUMBER(expected_production[[#This Row],[Commissioned Date]]),MAX(0,(expected_production[[#This Row],[Date]]-expected_production[[#This Row],[Commissioned Date]])/365.25),"")</f>
        <v>2.299794661190965</v>
      </c>
      <c r="F441" s="49">
        <f>IF(expected_production[[#This Row],[Age (yrs)]]="",1,(1-DegradationRate)^expected_production[[#This Row],[Age (yrs)]])</f>
        <v>0.98397462296815374</v>
      </c>
      <c r="G441" s="52">
        <f>IF(expected_production[[#This Row],[Base Expected (kWh)]]="","",expected_production[[#This Row],[Base Expected (kWh)]]*expected_production[[#This Row],[Degradation Factor]])</f>
        <v>4487.2194731216714</v>
      </c>
    </row>
    <row r="442" spans="1:7" ht="15" hidden="1" customHeight="1" x14ac:dyDescent="0.3">
      <c r="A442" t="s">
        <v>85</v>
      </c>
      <c r="B442" s="2">
        <v>45536</v>
      </c>
      <c r="C442" s="52">
        <v>5033.7</v>
      </c>
      <c r="D442" s="48">
        <f>_xlfn.XLOOKUP(expected_production[[#This Row],[Site Name]],Table1[[Site Name ]],Table1[Commisioned Date],"")</f>
        <v>44665</v>
      </c>
      <c r="E442" s="47">
        <f>IF(ISNUMBER(expected_production[[#This Row],[Commissioned Date]]),MAX(0,(expected_production[[#This Row],[Date]]-expected_production[[#This Row],[Commissioned Date]])/365.25),"")</f>
        <v>2.3846680355920604</v>
      </c>
      <c r="F442" s="49">
        <f>IF(expected_production[[#This Row],[Age (yrs)]]="",1,(1-DegradationRate)^expected_production[[#This Row],[Age (yrs)]])</f>
        <v>0.98338814941477093</v>
      </c>
      <c r="G442" s="52">
        <f>IF(expected_production[[#This Row],[Base Expected (kWh)]]="","",expected_production[[#This Row],[Base Expected (kWh)]]*expected_production[[#This Row],[Degradation Factor]])</f>
        <v>4950.0809277091321</v>
      </c>
    </row>
    <row r="443" spans="1:7" ht="15" hidden="1" customHeight="1" x14ac:dyDescent="0.3">
      <c r="A443" t="s">
        <v>85</v>
      </c>
      <c r="B443" s="2">
        <v>45566</v>
      </c>
      <c r="C443" s="52">
        <v>5613.3</v>
      </c>
      <c r="D443" s="48">
        <f>_xlfn.XLOOKUP(expected_production[[#This Row],[Site Name]],Table1[[Site Name ]],Table1[Commisioned Date],"")</f>
        <v>44665</v>
      </c>
      <c r="E443" s="47">
        <f>IF(ISNUMBER(expected_production[[#This Row],[Commissioned Date]]),MAX(0,(expected_production[[#This Row],[Date]]-expected_production[[#This Row],[Commissioned Date]])/365.25),"")</f>
        <v>2.4668035592060233</v>
      </c>
      <c r="F443" s="49">
        <f>IF(expected_production[[#This Row],[Age (yrs)]]="",1,(1-DegradationRate)^expected_production[[#This Row],[Age (yrs)]])</f>
        <v>0.98282092718620717</v>
      </c>
      <c r="G443" s="52">
        <f>IF(expected_production[[#This Row],[Base Expected (kWh)]]="","",expected_production[[#This Row],[Base Expected (kWh)]]*expected_production[[#This Row],[Degradation Factor]])</f>
        <v>5516.8687105743365</v>
      </c>
    </row>
    <row r="444" spans="1:7" ht="15" hidden="1" customHeight="1" x14ac:dyDescent="0.3">
      <c r="A444" t="s">
        <v>85</v>
      </c>
      <c r="B444" s="2">
        <v>45597</v>
      </c>
      <c r="C444" s="52">
        <v>5712.3</v>
      </c>
      <c r="D444" s="48">
        <f>_xlfn.XLOOKUP(expected_production[[#This Row],[Site Name]],Table1[[Site Name ]],Table1[Commisioned Date],"")</f>
        <v>44665</v>
      </c>
      <c r="E444" s="47">
        <f>IF(ISNUMBER(expected_production[[#This Row],[Commissioned Date]]),MAX(0,(expected_production[[#This Row],[Date]]-expected_production[[#This Row],[Commissioned Date]])/365.25),"")</f>
        <v>2.5516769336071183</v>
      </c>
      <c r="F444" s="49">
        <f>IF(expected_production[[#This Row],[Age (yrs)]]="",1,(1-DegradationRate)^expected_production[[#This Row],[Age (yrs)]])</f>
        <v>0.982235141264445</v>
      </c>
      <c r="G444" s="52">
        <f>IF(expected_production[[#This Row],[Base Expected (kWh)]]="","",expected_production[[#This Row],[Base Expected (kWh)]]*expected_production[[#This Row],[Degradation Factor]])</f>
        <v>5610.8217974448889</v>
      </c>
    </row>
    <row r="445" spans="1:7" ht="15" hidden="1" customHeight="1" x14ac:dyDescent="0.3">
      <c r="A445" t="s">
        <v>85</v>
      </c>
      <c r="B445" s="2">
        <v>45627</v>
      </c>
      <c r="C445" s="52">
        <v>6027.3</v>
      </c>
      <c r="D445" s="48">
        <f>_xlfn.XLOOKUP(expected_production[[#This Row],[Site Name]],Table1[[Site Name ]],Table1[Commisioned Date],"")</f>
        <v>44665</v>
      </c>
      <c r="E445" s="47">
        <f>IF(ISNUMBER(expected_production[[#This Row],[Commissioned Date]]),MAX(0,(expected_production[[#This Row],[Date]]-expected_production[[#This Row],[Commissioned Date]])/365.25),"")</f>
        <v>2.6338124572210813</v>
      </c>
      <c r="F445" s="49">
        <f>IF(expected_production[[#This Row],[Age (yrs)]]="",1,(1-DegradationRate)^expected_production[[#This Row],[Age (yrs)]])</f>
        <v>0.98166858409560664</v>
      </c>
      <c r="G445" s="52">
        <f>IF(expected_production[[#This Row],[Base Expected (kWh)]]="","",expected_production[[#This Row],[Base Expected (kWh)]]*expected_production[[#This Row],[Degradation Factor]])</f>
        <v>5916.8110569194505</v>
      </c>
    </row>
    <row r="446" spans="1:7" ht="15" hidden="1" customHeight="1" x14ac:dyDescent="0.3">
      <c r="A446" t="s">
        <v>85</v>
      </c>
      <c r="B446" s="2">
        <v>45658</v>
      </c>
      <c r="C446" s="52">
        <v>5767.2</v>
      </c>
      <c r="D446" s="48">
        <f>_xlfn.XLOOKUP(expected_production[[#This Row],[Site Name]],Table1[[Site Name ]],Table1[Commisioned Date],"")</f>
        <v>44665</v>
      </c>
      <c r="E446" s="47">
        <f>IF(ISNUMBER(expected_production[[#This Row],[Commissioned Date]]),MAX(0,(expected_production[[#This Row],[Date]]-expected_production[[#This Row],[Commissioned Date]])/365.25),"")</f>
        <v>2.7186858316221767</v>
      </c>
      <c r="F446" s="49">
        <f>IF(expected_production[[#This Row],[Age (yrs)]]="",1,(1-DegradationRate)^expected_production[[#This Row],[Age (yrs)]])</f>
        <v>0.98108348499922726</v>
      </c>
      <c r="G446" s="52">
        <f>IF(expected_production[[#This Row],[Base Expected (kWh)]]="","",expected_production[[#This Row],[Base Expected (kWh)]]*expected_production[[#This Row],[Degradation Factor]])</f>
        <v>5658.1046746875436</v>
      </c>
    </row>
    <row r="447" spans="1:7" ht="15" hidden="1" customHeight="1" x14ac:dyDescent="0.3">
      <c r="A447" t="s">
        <v>85</v>
      </c>
      <c r="B447" s="2">
        <v>45689</v>
      </c>
      <c r="C447" s="52">
        <v>4828.5</v>
      </c>
      <c r="D447" s="48">
        <f>_xlfn.XLOOKUP(expected_production[[#This Row],[Site Name]],Table1[[Site Name ]],Table1[Commisioned Date],"")</f>
        <v>44665</v>
      </c>
      <c r="E447" s="47">
        <f>IF(ISNUMBER(expected_production[[#This Row],[Commissioned Date]]),MAX(0,(expected_production[[#This Row],[Date]]-expected_production[[#This Row],[Commissioned Date]])/365.25),"")</f>
        <v>2.8035592060232717</v>
      </c>
      <c r="F447" s="49">
        <f>IF(expected_production[[#This Row],[Age (yrs)]]="",1,(1-DegradationRate)^expected_production[[#This Row],[Age (yrs)]])</f>
        <v>0.98049873463658366</v>
      </c>
      <c r="G447" s="52">
        <f>IF(expected_production[[#This Row],[Base Expected (kWh)]]="","",expected_production[[#This Row],[Base Expected (kWh)]]*expected_production[[#This Row],[Degradation Factor]])</f>
        <v>4734.3381401927445</v>
      </c>
    </row>
    <row r="448" spans="1:7" ht="15" hidden="1" customHeight="1" x14ac:dyDescent="0.3">
      <c r="A448" t="s">
        <v>85</v>
      </c>
      <c r="B448" s="2">
        <v>45717</v>
      </c>
      <c r="C448" s="52">
        <v>4913.1000000000004</v>
      </c>
      <c r="D448" s="48">
        <f>_xlfn.XLOOKUP(expected_production[[#This Row],[Site Name]],Table1[[Site Name ]],Table1[Commisioned Date],"")</f>
        <v>44665</v>
      </c>
      <c r="E448" s="47">
        <f>IF(ISNUMBER(expected_production[[#This Row],[Commissioned Date]]),MAX(0,(expected_production[[#This Row],[Date]]-expected_production[[#This Row],[Commissioned Date]])/365.25),"")</f>
        <v>2.8802190280629705</v>
      </c>
      <c r="F448" s="49">
        <f>IF(expected_production[[#This Row],[Age (yrs)]]="",1,(1-DegradationRate)^expected_production[[#This Row],[Age (yrs)]])</f>
        <v>0.97997087258990268</v>
      </c>
      <c r="G448" s="52">
        <f>IF(expected_production[[#This Row],[Base Expected (kWh)]]="","",expected_production[[#This Row],[Base Expected (kWh)]]*expected_production[[#This Row],[Degradation Factor]])</f>
        <v>4814.6948941214514</v>
      </c>
    </row>
    <row r="449" spans="1:7" ht="15" hidden="1" customHeight="1" x14ac:dyDescent="0.3">
      <c r="A449" t="s">
        <v>85</v>
      </c>
      <c r="B449" s="2">
        <v>45748</v>
      </c>
      <c r="C449" s="52">
        <v>4149.8999999999996</v>
      </c>
      <c r="D449" s="48">
        <f>_xlfn.XLOOKUP(expected_production[[#This Row],[Site Name]],Table1[[Site Name ]],Table1[Commisioned Date],"")</f>
        <v>44665</v>
      </c>
      <c r="E449" s="47">
        <f>IF(ISNUMBER(expected_production[[#This Row],[Commissioned Date]]),MAX(0,(expected_production[[#This Row],[Date]]-expected_production[[#This Row],[Commissioned Date]])/365.25),"")</f>
        <v>2.9650924024640659</v>
      </c>
      <c r="F449" s="49">
        <f>IF(expected_production[[#This Row],[Age (yrs)]]="",1,(1-DegradationRate)^expected_production[[#This Row],[Age (yrs)]])</f>
        <v>0.97938678537215929</v>
      </c>
      <c r="G449" s="52">
        <f>IF(expected_production[[#This Row],[Base Expected (kWh)]]="","",expected_production[[#This Row],[Base Expected (kWh)]]*expected_production[[#This Row],[Degradation Factor]])</f>
        <v>4064.3572206159233</v>
      </c>
    </row>
    <row r="450" spans="1:7" ht="15" hidden="1" customHeight="1" x14ac:dyDescent="0.3">
      <c r="A450" t="s">
        <v>85</v>
      </c>
      <c r="B450" s="2">
        <v>45778</v>
      </c>
      <c r="C450" s="52">
        <v>3937.5</v>
      </c>
      <c r="D450" s="48">
        <f>_xlfn.XLOOKUP(expected_production[[#This Row],[Site Name]],Table1[[Site Name ]],Table1[Commisioned Date],"")</f>
        <v>44665</v>
      </c>
      <c r="E450" s="47">
        <f>IF(ISNUMBER(expected_production[[#This Row],[Commissioned Date]]),MAX(0,(expected_production[[#This Row],[Date]]-expected_production[[#This Row],[Commissioned Date]])/365.25),"")</f>
        <v>3.0472279260780288</v>
      </c>
      <c r="F450" s="49">
        <f>IF(expected_production[[#This Row],[Age (yrs)]]="",1,(1-DegradationRate)^expected_production[[#This Row],[Age (yrs)]])</f>
        <v>0.97882187114642316</v>
      </c>
      <c r="G450" s="52">
        <f>IF(expected_production[[#This Row],[Base Expected (kWh)]]="","",expected_production[[#This Row],[Base Expected (kWh)]]*expected_production[[#This Row],[Degradation Factor]])</f>
        <v>3854.1111176390414</v>
      </c>
    </row>
    <row r="451" spans="1:7" ht="15" hidden="1" customHeight="1" x14ac:dyDescent="0.3">
      <c r="A451" t="s">
        <v>85</v>
      </c>
      <c r="B451" s="2">
        <v>45809</v>
      </c>
      <c r="C451" s="52">
        <v>3463.2</v>
      </c>
      <c r="D451" s="48">
        <f>_xlfn.XLOOKUP(expected_production[[#This Row],[Site Name]],Table1[[Site Name ]],Table1[Commisioned Date],"")</f>
        <v>44665</v>
      </c>
      <c r="E451" s="47">
        <f>IF(ISNUMBER(expected_production[[#This Row],[Commissioned Date]]),MAX(0,(expected_production[[#This Row],[Date]]-expected_production[[#This Row],[Commissioned Date]])/365.25),"")</f>
        <v>3.1321013004791238</v>
      </c>
      <c r="F451" s="49">
        <f>IF(expected_production[[#This Row],[Age (yrs)]]="",1,(1-DegradationRate)^expected_production[[#This Row],[Age (yrs)]])</f>
        <v>0.97823846876235721</v>
      </c>
      <c r="G451" s="52">
        <f>IF(expected_production[[#This Row],[Base Expected (kWh)]]="","",expected_production[[#This Row],[Base Expected (kWh)]]*expected_production[[#This Row],[Degradation Factor]])</f>
        <v>3387.8354650177953</v>
      </c>
    </row>
    <row r="452" spans="1:7" ht="15" hidden="1" customHeight="1" x14ac:dyDescent="0.3">
      <c r="A452" t="s">
        <v>85</v>
      </c>
      <c r="B452" s="2">
        <v>45839</v>
      </c>
      <c r="C452" s="52">
        <v>3874.5</v>
      </c>
      <c r="D452" s="48">
        <f>_xlfn.XLOOKUP(expected_production[[#This Row],[Site Name]],Table1[[Site Name ]],Table1[Commisioned Date],"")</f>
        <v>44665</v>
      </c>
      <c r="E452" s="47">
        <f>IF(ISNUMBER(expected_production[[#This Row],[Commissioned Date]]),MAX(0,(expected_production[[#This Row],[Date]]-expected_production[[#This Row],[Commissioned Date]])/365.25),"")</f>
        <v>3.2142368240930868</v>
      </c>
      <c r="F452" s="49">
        <f>IF(expected_production[[#This Row],[Age (yrs)]]="",1,(1-DegradationRate)^expected_production[[#This Row],[Age (yrs)]])</f>
        <v>0.97767421689024703</v>
      </c>
      <c r="G452" s="52">
        <f>IF(expected_production[[#This Row],[Base Expected (kWh)]]="","",expected_production[[#This Row],[Base Expected (kWh)]]*expected_production[[#This Row],[Degradation Factor]])</f>
        <v>3787.9987533412623</v>
      </c>
    </row>
    <row r="453" spans="1:7" ht="15" hidden="1" customHeight="1" x14ac:dyDescent="0.3">
      <c r="A453" t="s">
        <v>85</v>
      </c>
      <c r="B453" s="2">
        <v>45870</v>
      </c>
      <c r="C453" s="52">
        <v>4560.3</v>
      </c>
      <c r="D453" s="48">
        <f>_xlfn.XLOOKUP(expected_production[[#This Row],[Site Name]],Table1[[Site Name ]],Table1[Commisioned Date],"")</f>
        <v>44665</v>
      </c>
      <c r="E453" s="47">
        <f>IF(ISNUMBER(expected_production[[#This Row],[Commissioned Date]]),MAX(0,(expected_production[[#This Row],[Date]]-expected_production[[#This Row],[Commissioned Date]])/365.25),"")</f>
        <v>3.2991101984941822</v>
      </c>
      <c r="F453" s="49">
        <f>IF(expected_production[[#This Row],[Age (yrs)]]="",1,(1-DegradationRate)^expected_production[[#This Row],[Age (yrs)]])</f>
        <v>0.97709149853690092</v>
      </c>
      <c r="G453" s="52">
        <f>IF(expected_production[[#This Row],[Base Expected (kWh)]]="","",expected_production[[#This Row],[Base Expected (kWh)]]*expected_production[[#This Row],[Degradation Factor]])</f>
        <v>4455.8303607778298</v>
      </c>
    </row>
    <row r="454" spans="1:7" ht="15" hidden="1" customHeight="1" x14ac:dyDescent="0.3">
      <c r="A454" t="s">
        <v>85</v>
      </c>
      <c r="B454" s="2">
        <v>45901</v>
      </c>
      <c r="C454" s="52">
        <v>5033.7</v>
      </c>
      <c r="D454" s="48">
        <f>_xlfn.XLOOKUP(expected_production[[#This Row],[Site Name]],Table1[[Site Name ]],Table1[Commisioned Date],"")</f>
        <v>44665</v>
      </c>
      <c r="E454" s="47">
        <f>IF(ISNUMBER(expected_production[[#This Row],[Commissioned Date]]),MAX(0,(expected_production[[#This Row],[Date]]-expected_production[[#This Row],[Commissioned Date]])/365.25),"")</f>
        <v>3.3839835728952772</v>
      </c>
      <c r="F454" s="49">
        <f>IF(expected_production[[#This Row],[Age (yrs)]]="",1,(1-DegradationRate)^expected_production[[#This Row],[Age (yrs)]])</f>
        <v>0.97650912749830787</v>
      </c>
      <c r="G454" s="52">
        <f>IF(expected_production[[#This Row],[Base Expected (kWh)]]="","",expected_production[[#This Row],[Base Expected (kWh)]]*expected_production[[#This Row],[Degradation Factor]])</f>
        <v>4915.4539950882317</v>
      </c>
    </row>
    <row r="455" spans="1:7" ht="15" hidden="1" customHeight="1" x14ac:dyDescent="0.3">
      <c r="A455" t="s">
        <v>85</v>
      </c>
      <c r="B455" s="2">
        <v>45931</v>
      </c>
      <c r="C455" s="52">
        <v>5613.3</v>
      </c>
      <c r="D455" s="48">
        <f>_xlfn.XLOOKUP(expected_production[[#This Row],[Site Name]],Table1[[Site Name ]],Table1[Commisioned Date],"")</f>
        <v>44665</v>
      </c>
      <c r="E455" s="47">
        <f>IF(ISNUMBER(expected_production[[#This Row],[Commissioned Date]]),MAX(0,(expected_production[[#This Row],[Date]]-expected_production[[#This Row],[Commissioned Date]])/365.25),"")</f>
        <v>3.4661190965092401</v>
      </c>
      <c r="F455" s="49">
        <f>IF(expected_production[[#This Row],[Age (yrs)]]="",1,(1-DegradationRate)^expected_production[[#This Row],[Age (yrs)]])</f>
        <v>0.97594587311717451</v>
      </c>
      <c r="G455" s="52">
        <f>IF(expected_production[[#This Row],[Base Expected (kWh)]]="","",expected_production[[#This Row],[Base Expected (kWh)]]*expected_production[[#This Row],[Degradation Factor]])</f>
        <v>5478.2769695686356</v>
      </c>
    </row>
    <row r="456" spans="1:7" ht="15" hidden="1" customHeight="1" x14ac:dyDescent="0.3">
      <c r="A456" t="s">
        <v>85</v>
      </c>
      <c r="B456" s="2">
        <v>45962</v>
      </c>
      <c r="C456" s="52">
        <v>5712.3</v>
      </c>
      <c r="D456" s="48">
        <f>_xlfn.XLOOKUP(expected_production[[#This Row],[Site Name]],Table1[[Site Name ]],Table1[Commisioned Date],"")</f>
        <v>44665</v>
      </c>
      <c r="E456" s="47">
        <f>IF(ISNUMBER(expected_production[[#This Row],[Commissioned Date]]),MAX(0,(expected_production[[#This Row],[Date]]-expected_production[[#This Row],[Commissioned Date]])/365.25),"")</f>
        <v>3.5509924709103355</v>
      </c>
      <c r="F456" s="49">
        <f>IF(expected_production[[#This Row],[Age (yrs)]]="",1,(1-DegradationRate)^expected_production[[#This Row],[Age (yrs)]])</f>
        <v>0.97536418490006405</v>
      </c>
      <c r="G456" s="52">
        <f>IF(expected_production[[#This Row],[Base Expected (kWh)]]="","",expected_production[[#This Row],[Base Expected (kWh)]]*expected_production[[#This Row],[Degradation Factor]])</f>
        <v>5571.5728334046362</v>
      </c>
    </row>
    <row r="457" spans="1:7" ht="15" hidden="1" customHeight="1" x14ac:dyDescent="0.3">
      <c r="A457" t="s">
        <v>85</v>
      </c>
      <c r="B457" s="2">
        <v>45992</v>
      </c>
      <c r="C457" s="52">
        <v>6027.3</v>
      </c>
      <c r="D457" s="48">
        <f>_xlfn.XLOOKUP(expected_production[[#This Row],[Site Name]],Table1[[Site Name ]],Table1[Commisioned Date],"")</f>
        <v>44665</v>
      </c>
      <c r="E457" s="47">
        <f>IF(ISNUMBER(expected_production[[#This Row],[Commissioned Date]]),MAX(0,(expected_production[[#This Row],[Date]]-expected_production[[#This Row],[Commissioned Date]])/365.25),"")</f>
        <v>3.6331279945242985</v>
      </c>
      <c r="F457" s="49">
        <f>IF(expected_production[[#This Row],[Age (yrs)]]="",1,(1-DegradationRate)^expected_production[[#This Row],[Age (yrs)]])</f>
        <v>0.97480159092641328</v>
      </c>
      <c r="G457" s="52">
        <f>IF(expected_production[[#This Row],[Base Expected (kWh)]]="","",expected_production[[#This Row],[Base Expected (kWh)]]*expected_production[[#This Row],[Degradation Factor]])</f>
        <v>5875.4216289907708</v>
      </c>
    </row>
    <row r="458" spans="1:7" ht="15" hidden="1" customHeight="1" x14ac:dyDescent="0.3">
      <c r="A458" t="s">
        <v>85</v>
      </c>
      <c r="B458" s="2">
        <v>46023</v>
      </c>
      <c r="C458" s="52">
        <v>5767.2</v>
      </c>
      <c r="D458" s="48">
        <f>_xlfn.XLOOKUP(expected_production[[#This Row],[Site Name]],Table1[[Site Name ]],Table1[Commisioned Date],"")</f>
        <v>44665</v>
      </c>
      <c r="E458" s="47">
        <f>IF(ISNUMBER(expected_production[[#This Row],[Commissioned Date]]),MAX(0,(expected_production[[#This Row],[Date]]-expected_production[[#This Row],[Commissioned Date]])/365.25),"")</f>
        <v>3.7180013689253935</v>
      </c>
      <c r="F458" s="49">
        <f>IF(expected_production[[#This Row],[Age (yrs)]]="",1,(1-DegradationRate)^expected_production[[#This Row],[Age (yrs)]])</f>
        <v>0.97422058473018702</v>
      </c>
      <c r="G458" s="52">
        <f>IF(expected_production[[#This Row],[Base Expected (kWh)]]="","",expected_production[[#This Row],[Base Expected (kWh)]]*expected_production[[#This Row],[Degradation Factor]])</f>
        <v>5618.5249562559347</v>
      </c>
    </row>
    <row r="459" spans="1:7" ht="15" hidden="1" customHeight="1" x14ac:dyDescent="0.3">
      <c r="A459" t="s">
        <v>85</v>
      </c>
      <c r="B459" s="2">
        <v>46054</v>
      </c>
      <c r="C459" s="52">
        <v>4828.5</v>
      </c>
      <c r="D459" s="48">
        <f>_xlfn.XLOOKUP(expected_production[[#This Row],[Site Name]],Table1[[Site Name ]],Table1[Commisioned Date],"")</f>
        <v>44665</v>
      </c>
      <c r="E459" s="47">
        <f>IF(ISNUMBER(expected_production[[#This Row],[Commissioned Date]]),MAX(0,(expected_production[[#This Row],[Date]]-expected_production[[#This Row],[Commissioned Date]])/365.25),"")</f>
        <v>3.8028747433264889</v>
      </c>
      <c r="F459" s="49">
        <f>IF(expected_production[[#This Row],[Age (yrs)]]="",1,(1-DegradationRate)^expected_production[[#This Row],[Age (yrs)]])</f>
        <v>0.97363992482822537</v>
      </c>
      <c r="G459" s="52">
        <f>IF(expected_production[[#This Row],[Base Expected (kWh)]]="","",expected_production[[#This Row],[Base Expected (kWh)]]*expected_production[[#This Row],[Degradation Factor]])</f>
        <v>4701.2203770330862</v>
      </c>
    </row>
    <row r="460" spans="1:7" ht="15" hidden="1" customHeight="1" x14ac:dyDescent="0.3">
      <c r="A460" t="s">
        <v>85</v>
      </c>
      <c r="B460" s="2">
        <v>46082</v>
      </c>
      <c r="C460" s="52">
        <v>4913.1000000000004</v>
      </c>
      <c r="D460" s="48">
        <f>_xlfn.XLOOKUP(expected_production[[#This Row],[Site Name]],Table1[[Site Name ]],Table1[Commisioned Date],"")</f>
        <v>44665</v>
      </c>
      <c r="E460" s="47">
        <f>IF(ISNUMBER(expected_production[[#This Row],[Commissioned Date]]),MAX(0,(expected_production[[#This Row],[Date]]-expected_production[[#This Row],[Commissioned Date]])/365.25),"")</f>
        <v>3.8795345653661877</v>
      </c>
      <c r="F460" s="49">
        <f>IF(expected_production[[#This Row],[Age (yrs)]]="",1,(1-DegradationRate)^expected_production[[#This Row],[Age (yrs)]])</f>
        <v>0.97311575529562455</v>
      </c>
      <c r="G460" s="52">
        <f>IF(expected_production[[#This Row],[Base Expected (kWh)]]="","",expected_production[[#This Row],[Base Expected (kWh)]]*expected_production[[#This Row],[Degradation Factor]])</f>
        <v>4781.0150173429338</v>
      </c>
    </row>
    <row r="461" spans="1:7" ht="15" hidden="1" customHeight="1" x14ac:dyDescent="0.3">
      <c r="A461" t="s">
        <v>85</v>
      </c>
      <c r="B461" s="2">
        <v>46113</v>
      </c>
      <c r="C461" s="52">
        <v>4149.8999999999996</v>
      </c>
      <c r="D461" s="48">
        <f>_xlfn.XLOOKUP(expected_production[[#This Row],[Site Name]],Table1[[Site Name ]],Table1[Commisioned Date],"")</f>
        <v>44665</v>
      </c>
      <c r="E461" s="47">
        <f>IF(ISNUMBER(expected_production[[#This Row],[Commissioned Date]]),MAX(0,(expected_production[[#This Row],[Date]]-expected_production[[#This Row],[Commissioned Date]])/365.25),"")</f>
        <v>3.9644079397672827</v>
      </c>
      <c r="F461" s="49">
        <f>IF(expected_production[[#This Row],[Age (yrs)]]="",1,(1-DegradationRate)^expected_production[[#This Row],[Age (yrs)]])</f>
        <v>0.97253575389971503</v>
      </c>
      <c r="G461" s="52">
        <f>IF(expected_production[[#This Row],[Base Expected (kWh)]]="","",expected_production[[#This Row],[Base Expected (kWh)]]*expected_production[[#This Row],[Degradation Factor]])</f>
        <v>4035.9261251084272</v>
      </c>
    </row>
    <row r="462" spans="1:7" ht="15" hidden="1" customHeight="1" x14ac:dyDescent="0.3">
      <c r="A462" t="s">
        <v>85</v>
      </c>
      <c r="B462" s="2">
        <v>46143</v>
      </c>
      <c r="C462" s="52">
        <v>3937.5</v>
      </c>
      <c r="D462" s="48">
        <f>_xlfn.XLOOKUP(expected_production[[#This Row],[Site Name]],Table1[[Site Name ]],Table1[Commisioned Date],"")</f>
        <v>44665</v>
      </c>
      <c r="E462" s="47">
        <f>IF(ISNUMBER(expected_production[[#This Row],[Commissioned Date]]),MAX(0,(expected_production[[#This Row],[Date]]-expected_production[[#This Row],[Commissioned Date]])/365.25),"")</f>
        <v>4.046543463381246</v>
      </c>
      <c r="F462" s="49">
        <f>IF(expected_production[[#This Row],[Age (yrs)]]="",1,(1-DegradationRate)^expected_production[[#This Row],[Age (yrs)]])</f>
        <v>0.97197479137640896</v>
      </c>
      <c r="G462" s="52">
        <f>IF(expected_production[[#This Row],[Base Expected (kWh)]]="","",expected_production[[#This Row],[Base Expected (kWh)]]*expected_production[[#This Row],[Degradation Factor]])</f>
        <v>3827.1507410446102</v>
      </c>
    </row>
    <row r="463" spans="1:7" ht="15" hidden="1" customHeight="1" x14ac:dyDescent="0.3">
      <c r="A463" t="s">
        <v>85</v>
      </c>
      <c r="B463" s="2">
        <v>46174</v>
      </c>
      <c r="C463" s="52">
        <v>3463.2</v>
      </c>
      <c r="D463" s="48">
        <f>_xlfn.XLOOKUP(expected_production[[#This Row],[Site Name]],Table1[[Site Name ]],Table1[Commisioned Date],"")</f>
        <v>44665</v>
      </c>
      <c r="E463" s="47">
        <f>IF(ISNUMBER(expected_production[[#This Row],[Commissioned Date]]),MAX(0,(expected_production[[#This Row],[Date]]-expected_production[[#This Row],[Commissioned Date]])/365.25),"")</f>
        <v>4.131416837782341</v>
      </c>
      <c r="F463" s="49">
        <f>IF(expected_production[[#This Row],[Age (yrs)]]="",1,(1-DegradationRate)^expected_production[[#This Row],[Age (yrs)]])</f>
        <v>0.97139547002361071</v>
      </c>
      <c r="G463" s="52">
        <f>IF(expected_production[[#This Row],[Base Expected (kWh)]]="","",expected_production[[#This Row],[Base Expected (kWh)]]*expected_production[[#This Row],[Degradation Factor]])</f>
        <v>3364.1367917857683</v>
      </c>
    </row>
    <row r="464" spans="1:7" ht="15" hidden="1" customHeight="1" x14ac:dyDescent="0.3">
      <c r="A464" t="s">
        <v>85</v>
      </c>
      <c r="B464" s="2">
        <v>46204</v>
      </c>
      <c r="C464" s="52">
        <v>3874.5</v>
      </c>
      <c r="D464" s="48">
        <f>_xlfn.XLOOKUP(expected_production[[#This Row],[Site Name]],Table1[[Site Name ]],Table1[Commisioned Date],"")</f>
        <v>44665</v>
      </c>
      <c r="E464" s="47">
        <f>IF(ISNUMBER(expected_production[[#This Row],[Commissioned Date]]),MAX(0,(expected_production[[#This Row],[Date]]-expected_production[[#This Row],[Commissioned Date]])/365.25),"")</f>
        <v>4.213552361396304</v>
      </c>
      <c r="F464" s="49">
        <f>IF(expected_production[[#This Row],[Age (yrs)]]="",1,(1-DegradationRate)^expected_production[[#This Row],[Age (yrs)]])</f>
        <v>0.97083516522061764</v>
      </c>
      <c r="G464" s="52">
        <f>IF(expected_production[[#This Row],[Base Expected (kWh)]]="","",expected_production[[#This Row],[Base Expected (kWh)]]*expected_production[[#This Row],[Degradation Factor]])</f>
        <v>3761.5008476472831</v>
      </c>
    </row>
    <row r="465" spans="1:7" ht="15" hidden="1" customHeight="1" x14ac:dyDescent="0.3">
      <c r="A465" t="s">
        <v>85</v>
      </c>
      <c r="B465" s="2">
        <v>46235</v>
      </c>
      <c r="C465" s="52">
        <v>4560.3</v>
      </c>
      <c r="D465" s="48">
        <f>_xlfn.XLOOKUP(expected_production[[#This Row],[Site Name]],Table1[[Site Name ]],Table1[Commisioned Date],"")</f>
        <v>44665</v>
      </c>
      <c r="E465" s="47">
        <f>IF(ISNUMBER(expected_production[[#This Row],[Commissioned Date]]),MAX(0,(expected_production[[#This Row],[Date]]-expected_production[[#This Row],[Commissioned Date]])/365.25),"")</f>
        <v>4.2984257357973989</v>
      </c>
      <c r="F465" s="49">
        <f>IF(expected_production[[#This Row],[Age (yrs)]]="",1,(1-DegradationRate)^expected_production[[#This Row],[Age (yrs)]])</f>
        <v>0.97025652311359001</v>
      </c>
      <c r="G465" s="52">
        <f>IF(expected_production[[#This Row],[Base Expected (kWh)]]="","",expected_production[[#This Row],[Base Expected (kWh)]]*expected_production[[#This Row],[Degradation Factor]])</f>
        <v>4424.6608223549047</v>
      </c>
    </row>
    <row r="466" spans="1:7" ht="15" hidden="1" customHeight="1" x14ac:dyDescent="0.3">
      <c r="A466" t="s">
        <v>85</v>
      </c>
      <c r="B466" s="2">
        <v>46266</v>
      </c>
      <c r="C466" s="52">
        <v>5033.7</v>
      </c>
      <c r="D466" s="48">
        <f>_xlfn.XLOOKUP(expected_production[[#This Row],[Site Name]],Table1[[Site Name ]],Table1[Commisioned Date],"")</f>
        <v>44665</v>
      </c>
      <c r="E466" s="47">
        <f>IF(ISNUMBER(expected_production[[#This Row],[Commissioned Date]]),MAX(0,(expected_production[[#This Row],[Date]]-expected_production[[#This Row],[Commissioned Date]])/365.25),"")</f>
        <v>4.3832991101984939</v>
      </c>
      <c r="F466" s="49">
        <f>IF(expected_production[[#This Row],[Age (yrs)]]="",1,(1-DegradationRate)^expected_production[[#This Row],[Age (yrs)]])</f>
        <v>0.96967822589177055</v>
      </c>
      <c r="G466" s="52">
        <f>IF(expected_production[[#This Row],[Base Expected (kWh)]]="","",expected_production[[#This Row],[Base Expected (kWh)]]*expected_production[[#This Row],[Degradation Factor]])</f>
        <v>4881.0692856714049</v>
      </c>
    </row>
    <row r="467" spans="1:7" ht="15" hidden="1" customHeight="1" x14ac:dyDescent="0.3">
      <c r="A467" t="s">
        <v>85</v>
      </c>
      <c r="B467" s="2">
        <v>46296</v>
      </c>
      <c r="C467" s="52">
        <v>5613.3</v>
      </c>
      <c r="D467" s="48">
        <f>_xlfn.XLOOKUP(expected_production[[#This Row],[Site Name]],Table1[[Site Name ]],Table1[Commisioned Date],"")</f>
        <v>44665</v>
      </c>
      <c r="E467" s="47">
        <f>IF(ISNUMBER(expected_production[[#This Row],[Commissioned Date]]),MAX(0,(expected_production[[#This Row],[Date]]-expected_production[[#This Row],[Commissioned Date]])/365.25),"")</f>
        <v>4.4654346338124569</v>
      </c>
      <c r="F467" s="49">
        <f>IF(expected_production[[#This Row],[Age (yrs)]]="",1,(1-DegradationRate)^expected_production[[#This Row],[Age (yrs)]])</f>
        <v>0.96911891160207997</v>
      </c>
      <c r="G467" s="52">
        <f>IF(expected_production[[#This Row],[Base Expected (kWh)]]="","",expected_production[[#This Row],[Base Expected (kWh)]]*expected_production[[#This Row],[Degradation Factor]])</f>
        <v>5439.9551864959558</v>
      </c>
    </row>
    <row r="468" spans="1:7" ht="15" hidden="1" customHeight="1" x14ac:dyDescent="0.3">
      <c r="A468" t="s">
        <v>85</v>
      </c>
      <c r="B468" s="2">
        <v>46327</v>
      </c>
      <c r="C468" s="52">
        <v>5712.3</v>
      </c>
      <c r="D468" s="48">
        <f>_xlfn.XLOOKUP(expected_production[[#This Row],[Site Name]],Table1[[Site Name ]],Table1[Commisioned Date],"")</f>
        <v>44665</v>
      </c>
      <c r="E468" s="47">
        <f>IF(ISNUMBER(expected_production[[#This Row],[Commissioned Date]]),MAX(0,(expected_production[[#This Row],[Date]]-expected_production[[#This Row],[Commissioned Date]])/365.25),"")</f>
        <v>4.5503080082135527</v>
      </c>
      <c r="F468" s="49">
        <f>IF(expected_production[[#This Row],[Age (yrs)]]="",1,(1-DegradationRate)^expected_production[[#This Row],[Age (yrs)]])</f>
        <v>0.96854129242525266</v>
      </c>
      <c r="G468" s="52">
        <f>IF(expected_production[[#This Row],[Base Expected (kWh)]]="","",expected_production[[#This Row],[Base Expected (kWh)]]*expected_production[[#This Row],[Degradation Factor]])</f>
        <v>5532.5984247207707</v>
      </c>
    </row>
    <row r="469" spans="1:7" ht="15" hidden="1" customHeight="1" x14ac:dyDescent="0.3">
      <c r="A469" t="s">
        <v>85</v>
      </c>
      <c r="B469" s="2">
        <v>46357</v>
      </c>
      <c r="C469" s="52">
        <v>6027.3</v>
      </c>
      <c r="D469" s="48">
        <f>_xlfn.XLOOKUP(expected_production[[#This Row],[Site Name]],Table1[[Site Name ]],Table1[Commisioned Date],"")</f>
        <v>44665</v>
      </c>
      <c r="E469" s="47">
        <f>IF(ISNUMBER(expected_production[[#This Row],[Commissioned Date]]),MAX(0,(expected_production[[#This Row],[Date]]-expected_production[[#This Row],[Commissioned Date]])/365.25),"")</f>
        <v>4.6324435318275157</v>
      </c>
      <c r="F469" s="49">
        <f>IF(expected_production[[#This Row],[Age (yrs)]]="",1,(1-DegradationRate)^expected_production[[#This Row],[Age (yrs)]])</f>
        <v>0.96798263392334538</v>
      </c>
      <c r="G469" s="52">
        <f>IF(expected_production[[#This Row],[Base Expected (kWh)]]="","",expected_production[[#This Row],[Base Expected (kWh)]]*expected_production[[#This Row],[Degradation Factor]])</f>
        <v>5834.3217294461801</v>
      </c>
    </row>
    <row r="470" spans="1:7" ht="15" hidden="1" customHeight="1" x14ac:dyDescent="0.3">
      <c r="A470" t="s">
        <v>90</v>
      </c>
      <c r="B470" s="2">
        <v>45292</v>
      </c>
      <c r="C470" s="52">
        <v>4897.0200000000004</v>
      </c>
      <c r="D470" s="48">
        <f>_xlfn.XLOOKUP(expected_production[[#This Row],[Site Name]],Table1[[Site Name ]],Table1[Commisioned Date],"")</f>
        <v>44643</v>
      </c>
      <c r="E470" s="47">
        <f>IF(ISNUMBER(expected_production[[#This Row],[Commissioned Date]]),MAX(0,(expected_production[[#This Row],[Date]]-expected_production[[#This Row],[Commissioned Date]])/365.25),"")</f>
        <v>1.7768651608487338</v>
      </c>
      <c r="F470" s="49">
        <f>IF(expected_production[[#This Row],[Age (yrs)]]="",1,(1-DegradationRate)^expected_production[[#This Row],[Age (yrs)]])</f>
        <v>0.9875957809435354</v>
      </c>
      <c r="G470" s="52">
        <f>IF(expected_production[[#This Row],[Base Expected (kWh)]]="","",expected_production[[#This Row],[Base Expected (kWh)]]*expected_production[[#This Row],[Degradation Factor]])</f>
        <v>4836.2762911961117</v>
      </c>
    </row>
    <row r="471" spans="1:7" ht="15" hidden="1" customHeight="1" x14ac:dyDescent="0.3">
      <c r="A471" t="s">
        <v>90</v>
      </c>
      <c r="B471" s="2">
        <v>45323</v>
      </c>
      <c r="C471" s="52">
        <v>4496.2449999999999</v>
      </c>
      <c r="D471" s="48">
        <f>_xlfn.XLOOKUP(expected_production[[#This Row],[Site Name]],Table1[[Site Name ]],Table1[Commisioned Date],"")</f>
        <v>44643</v>
      </c>
      <c r="E471" s="47">
        <f>IF(ISNUMBER(expected_production[[#This Row],[Commissioned Date]]),MAX(0,(expected_production[[#This Row],[Date]]-expected_production[[#This Row],[Commissioned Date]])/365.25),"")</f>
        <v>1.8617385352498288</v>
      </c>
      <c r="F471" s="49">
        <f>IF(expected_production[[#This Row],[Age (yrs)]]="",1,(1-DegradationRate)^expected_production[[#This Row],[Age (yrs)]])</f>
        <v>0.98700714908918052</v>
      </c>
      <c r="G471" s="52">
        <f>IF(expected_production[[#This Row],[Base Expected (kWh)]]="","",expected_production[[#This Row],[Base Expected (kWh)]]*expected_production[[#This Row],[Degradation Factor]])</f>
        <v>4437.8259590564821</v>
      </c>
    </row>
    <row r="472" spans="1:7" ht="15" hidden="1" customHeight="1" x14ac:dyDescent="0.3">
      <c r="A472" t="s">
        <v>90</v>
      </c>
      <c r="B472" s="2">
        <v>45352</v>
      </c>
      <c r="C472" s="52">
        <v>4548.6049999999996</v>
      </c>
      <c r="D472" s="48">
        <f>_xlfn.XLOOKUP(expected_production[[#This Row],[Site Name]],Table1[[Site Name ]],Table1[Commisioned Date],"")</f>
        <v>44643</v>
      </c>
      <c r="E472" s="47">
        <f>IF(ISNUMBER(expected_production[[#This Row],[Commissioned Date]]),MAX(0,(expected_production[[#This Row],[Date]]-expected_production[[#This Row],[Commissioned Date]])/365.25),"")</f>
        <v>1.9411362080766599</v>
      </c>
      <c r="F472" s="49">
        <f>IF(expected_production[[#This Row],[Age (yrs)]]="",1,(1-DegradationRate)^expected_production[[#This Row],[Age (yrs)]])</f>
        <v>0.98645681110487338</v>
      </c>
      <c r="G472" s="52">
        <f>IF(expected_production[[#This Row],[Base Expected (kWh)]]="","",expected_production[[#This Row],[Base Expected (kWh)]]*expected_production[[#This Row],[Degradation Factor]])</f>
        <v>4487.0023832756824</v>
      </c>
    </row>
    <row r="473" spans="1:7" ht="15" hidden="1" customHeight="1" x14ac:dyDescent="0.3">
      <c r="A473" t="s">
        <v>90</v>
      </c>
      <c r="B473" s="2">
        <v>45383</v>
      </c>
      <c r="C473" s="52">
        <v>3805.1950000000002</v>
      </c>
      <c r="D473" s="48">
        <f>_xlfn.XLOOKUP(expected_production[[#This Row],[Site Name]],Table1[[Site Name ]],Table1[Commisioned Date],"")</f>
        <v>44643</v>
      </c>
      <c r="E473" s="47">
        <f>IF(ISNUMBER(expected_production[[#This Row],[Commissioned Date]]),MAX(0,(expected_production[[#This Row],[Date]]-expected_production[[#This Row],[Commissioned Date]])/365.25),"")</f>
        <v>2.0260095824777551</v>
      </c>
      <c r="F473" s="49">
        <f>IF(expected_production[[#This Row],[Age (yrs)]]="",1,(1-DegradationRate)^expected_production[[#This Row],[Age (yrs)]])</f>
        <v>0.98586885810510771</v>
      </c>
      <c r="G473" s="52">
        <f>IF(expected_production[[#This Row],[Base Expected (kWh)]]="","",expected_production[[#This Row],[Base Expected (kWh)]]*expected_production[[#This Row],[Degradation Factor]])</f>
        <v>3751.4232495172655</v>
      </c>
    </row>
    <row r="474" spans="1:7" ht="15" hidden="1" customHeight="1" x14ac:dyDescent="0.3">
      <c r="A474" t="s">
        <v>90</v>
      </c>
      <c r="B474" s="2">
        <v>45413</v>
      </c>
      <c r="C474" s="52">
        <v>3522.57</v>
      </c>
      <c r="D474" s="48">
        <f>_xlfn.XLOOKUP(expected_production[[#This Row],[Site Name]],Table1[[Site Name ]],Table1[Commisioned Date],"")</f>
        <v>44643</v>
      </c>
      <c r="E474" s="47">
        <f>IF(ISNUMBER(expected_production[[#This Row],[Commissioned Date]]),MAX(0,(expected_production[[#This Row],[Date]]-expected_production[[#This Row],[Commissioned Date]])/365.25),"")</f>
        <v>2.108145106091718</v>
      </c>
      <c r="F474" s="49">
        <f>IF(expected_production[[#This Row],[Age (yrs)]]="",1,(1-DegradationRate)^expected_production[[#This Row],[Age (yrs)]])</f>
        <v>0.9853002049938222</v>
      </c>
      <c r="G474" s="52">
        <f>IF(expected_production[[#This Row],[Base Expected (kWh)]]="","",expected_production[[#This Row],[Base Expected (kWh)]]*expected_production[[#This Row],[Degradation Factor]])</f>
        <v>3470.7889431050885</v>
      </c>
    </row>
    <row r="475" spans="1:7" ht="15" hidden="1" customHeight="1" x14ac:dyDescent="0.3">
      <c r="A475" t="s">
        <v>90</v>
      </c>
      <c r="B475" s="2">
        <v>45444</v>
      </c>
      <c r="C475" s="52">
        <v>3187.9250000000002</v>
      </c>
      <c r="D475" s="48">
        <f>_xlfn.XLOOKUP(expected_production[[#This Row],[Site Name]],Table1[[Site Name ]],Table1[Commisioned Date],"")</f>
        <v>44643</v>
      </c>
      <c r="E475" s="47">
        <f>IF(ISNUMBER(expected_production[[#This Row],[Commissioned Date]]),MAX(0,(expected_production[[#This Row],[Date]]-expected_production[[#This Row],[Commissioned Date]])/365.25),"")</f>
        <v>2.193018480492813</v>
      </c>
      <c r="F475" s="49">
        <f>IF(expected_production[[#This Row],[Age (yrs)]]="",1,(1-DegradationRate)^expected_production[[#This Row],[Age (yrs)]])</f>
        <v>0.9847129413603064</v>
      </c>
      <c r="G475" s="52">
        <f>IF(expected_production[[#This Row],[Base Expected (kWh)]]="","",expected_production[[#This Row],[Base Expected (kWh)]]*expected_production[[#This Row],[Degradation Factor]])</f>
        <v>3139.1910035860551</v>
      </c>
    </row>
    <row r="476" spans="1:7" ht="15" hidden="1" customHeight="1" x14ac:dyDescent="0.3">
      <c r="A476" t="s">
        <v>90</v>
      </c>
      <c r="B476" s="2">
        <v>45474</v>
      </c>
      <c r="C476" s="52">
        <v>3416.15</v>
      </c>
      <c r="D476" s="48">
        <f>_xlfn.XLOOKUP(expected_production[[#This Row],[Site Name]],Table1[[Site Name ]],Table1[Commisioned Date],"")</f>
        <v>44643</v>
      </c>
      <c r="E476" s="47">
        <f>IF(ISNUMBER(expected_production[[#This Row],[Commissioned Date]]),MAX(0,(expected_production[[#This Row],[Date]]-expected_production[[#This Row],[Commissioned Date]])/365.25),"")</f>
        <v>2.2751540041067764</v>
      </c>
      <c r="F476" s="49">
        <f>IF(expected_production[[#This Row],[Age (yrs)]]="",1,(1-DegradationRate)^expected_production[[#This Row],[Age (yrs)]])</f>
        <v>0.98414495498643528</v>
      </c>
      <c r="G476" s="52">
        <f>IF(expected_production[[#This Row],[Base Expected (kWh)]]="","",expected_production[[#This Row],[Base Expected (kWh)]]*expected_production[[#This Row],[Degradation Factor]])</f>
        <v>3361.9867879769108</v>
      </c>
    </row>
    <row r="477" spans="1:7" ht="15" hidden="1" customHeight="1" x14ac:dyDescent="0.3">
      <c r="A477" t="s">
        <v>90</v>
      </c>
      <c r="B477" s="2">
        <v>45505</v>
      </c>
      <c r="C477" s="52">
        <v>3857.0450000000001</v>
      </c>
      <c r="D477" s="48">
        <f>_xlfn.XLOOKUP(expected_production[[#This Row],[Site Name]],Table1[[Site Name ]],Table1[Commisioned Date],"")</f>
        <v>44643</v>
      </c>
      <c r="E477" s="47">
        <f>IF(ISNUMBER(expected_production[[#This Row],[Commissioned Date]]),MAX(0,(expected_production[[#This Row],[Date]]-expected_production[[#This Row],[Commissioned Date]])/365.25),"")</f>
        <v>2.3600273785078714</v>
      </c>
      <c r="F477" s="49">
        <f>IF(expected_production[[#This Row],[Age (yrs)]]="",1,(1-DegradationRate)^expected_production[[#This Row],[Age (yrs)]])</f>
        <v>0.98355837991089756</v>
      </c>
      <c r="G477" s="52">
        <f>IF(expected_production[[#This Row],[Base Expected (kWh)]]="","",expected_production[[#This Row],[Base Expected (kWh)]]*expected_production[[#This Row],[Degradation Factor]])</f>
        <v>3793.628931443428</v>
      </c>
    </row>
    <row r="478" spans="1:7" ht="15" hidden="1" customHeight="1" x14ac:dyDescent="0.3">
      <c r="A478" t="s">
        <v>90</v>
      </c>
      <c r="B478" s="2">
        <v>45536</v>
      </c>
      <c r="C478" s="52">
        <v>3805.7049999999999</v>
      </c>
      <c r="D478" s="48">
        <f>_xlfn.XLOOKUP(expected_production[[#This Row],[Site Name]],Table1[[Site Name ]],Table1[Commisioned Date],"")</f>
        <v>44643</v>
      </c>
      <c r="E478" s="47">
        <f>IF(ISNUMBER(expected_production[[#This Row],[Commissioned Date]]),MAX(0,(expected_production[[#This Row],[Date]]-expected_production[[#This Row],[Commissioned Date]])/365.25),"")</f>
        <v>2.4449007529089664</v>
      </c>
      <c r="F478" s="49">
        <f>IF(expected_production[[#This Row],[Age (yrs)]]="",1,(1-DegradationRate)^expected_production[[#This Row],[Age (yrs)]])</f>
        <v>0.98297215444881625</v>
      </c>
      <c r="G478" s="52">
        <f>IF(expected_production[[#This Row],[Base Expected (kWh)]]="","",expected_production[[#This Row],[Base Expected (kWh)]]*expected_production[[#This Row],[Degradation Factor]])</f>
        <v>3740.9020430466321</v>
      </c>
    </row>
    <row r="479" spans="1:7" ht="15" hidden="1" customHeight="1" x14ac:dyDescent="0.3">
      <c r="A479" t="s">
        <v>90</v>
      </c>
      <c r="B479" s="2">
        <v>45566</v>
      </c>
      <c r="C479" s="52">
        <v>4238.6949999999997</v>
      </c>
      <c r="D479" s="48">
        <f>_xlfn.XLOOKUP(expected_production[[#This Row],[Site Name]],Table1[[Site Name ]],Table1[Commisioned Date],"")</f>
        <v>44643</v>
      </c>
      <c r="E479" s="47">
        <f>IF(ISNUMBER(expected_production[[#This Row],[Commissioned Date]]),MAX(0,(expected_production[[#This Row],[Date]]-expected_production[[#This Row],[Commissioned Date]])/365.25),"")</f>
        <v>2.5270362765229293</v>
      </c>
      <c r="F479" s="49">
        <f>IF(expected_production[[#This Row],[Age (yrs)]]="",1,(1-DegradationRate)^expected_production[[#This Row],[Age (yrs)]])</f>
        <v>0.9824051721678172</v>
      </c>
      <c r="G479" s="52">
        <f>IF(expected_production[[#This Row],[Base Expected (kWh)]]="","",expected_production[[#This Row],[Base Expected (kWh)]]*expected_production[[#This Row],[Degradation Factor]])</f>
        <v>4164.1158912418659</v>
      </c>
    </row>
    <row r="480" spans="1:7" ht="15" hidden="1" customHeight="1" x14ac:dyDescent="0.3">
      <c r="A480" t="s">
        <v>90</v>
      </c>
      <c r="B480" s="2">
        <v>45597</v>
      </c>
      <c r="C480" s="52">
        <v>4335.34</v>
      </c>
      <c r="D480" s="48">
        <f>_xlfn.XLOOKUP(expected_production[[#This Row],[Site Name]],Table1[[Site Name ]],Table1[Commisioned Date],"")</f>
        <v>44643</v>
      </c>
      <c r="E480" s="47">
        <f>IF(ISNUMBER(expected_production[[#This Row],[Commissioned Date]]),MAX(0,(expected_production[[#This Row],[Date]]-expected_production[[#This Row],[Commissioned Date]])/365.25),"")</f>
        <v>2.6119096509240247</v>
      </c>
      <c r="F480" s="49">
        <f>IF(expected_production[[#This Row],[Age (yrs)]]="",1,(1-DegradationRate)^expected_production[[#This Row],[Age (yrs)]])</f>
        <v>0.98181963404647321</v>
      </c>
      <c r="G480" s="52">
        <f>IF(expected_production[[#This Row],[Base Expected (kWh)]]="","",expected_production[[#This Row],[Base Expected (kWh)]]*expected_production[[#This Row],[Degradation Factor]])</f>
        <v>4256.5219322670373</v>
      </c>
    </row>
    <row r="481" spans="1:7" ht="15" hidden="1" customHeight="1" x14ac:dyDescent="0.3">
      <c r="A481" t="s">
        <v>90</v>
      </c>
      <c r="B481" s="2">
        <v>45627</v>
      </c>
      <c r="C481" s="52">
        <v>5058.01</v>
      </c>
      <c r="D481" s="48">
        <f>_xlfn.XLOOKUP(expected_production[[#This Row],[Site Name]],Table1[[Site Name ]],Table1[Commisioned Date],"")</f>
        <v>44643</v>
      </c>
      <c r="E481" s="47">
        <f>IF(ISNUMBER(expected_production[[#This Row],[Commissioned Date]]),MAX(0,(expected_production[[#This Row],[Date]]-expected_production[[#This Row],[Commissioned Date]])/365.25),"")</f>
        <v>2.6940451745379876</v>
      </c>
      <c r="F481" s="49">
        <f>IF(expected_production[[#This Row],[Age (yrs)]]="",1,(1-DegradationRate)^expected_production[[#This Row],[Age (yrs)]])</f>
        <v>0.9812533165438645</v>
      </c>
      <c r="G481" s="52">
        <f>IF(expected_production[[#This Row],[Base Expected (kWh)]]="","",expected_production[[#This Row],[Base Expected (kWh)]]*expected_production[[#This Row],[Degradation Factor]])</f>
        <v>4963.1890876120324</v>
      </c>
    </row>
    <row r="482" spans="1:7" ht="15" hidden="1" customHeight="1" x14ac:dyDescent="0.3">
      <c r="A482" t="s">
        <v>90</v>
      </c>
      <c r="B482" s="2">
        <v>45658</v>
      </c>
      <c r="C482" s="52">
        <v>4897.0200000000004</v>
      </c>
      <c r="D482" s="48">
        <f>_xlfn.XLOOKUP(expected_production[[#This Row],[Site Name]],Table1[[Site Name ]],Table1[Commisioned Date],"")</f>
        <v>44643</v>
      </c>
      <c r="E482" s="47">
        <f>IF(ISNUMBER(expected_production[[#This Row],[Commissioned Date]]),MAX(0,(expected_production[[#This Row],[Date]]-expected_production[[#This Row],[Commissioned Date]])/365.25),"")</f>
        <v>2.7789185489390826</v>
      </c>
      <c r="F482" s="49">
        <f>IF(expected_production[[#This Row],[Age (yrs)]]="",1,(1-DegradationRate)^expected_production[[#This Row],[Age (yrs)]])</f>
        <v>0.98066846495736093</v>
      </c>
      <c r="G482" s="52">
        <f>IF(expected_production[[#This Row],[Base Expected (kWh)]]="","",expected_production[[#This Row],[Base Expected (kWh)]]*expected_production[[#This Row],[Degradation Factor]])</f>
        <v>4802.3530862654961</v>
      </c>
    </row>
    <row r="483" spans="1:7" ht="15" hidden="1" customHeight="1" x14ac:dyDescent="0.3">
      <c r="A483" t="s">
        <v>90</v>
      </c>
      <c r="B483" s="2">
        <v>45689</v>
      </c>
      <c r="C483" s="52">
        <v>4496.2449999999999</v>
      </c>
      <c r="D483" s="48">
        <f>_xlfn.XLOOKUP(expected_production[[#This Row],[Site Name]],Table1[[Site Name ]],Table1[Commisioned Date],"")</f>
        <v>44643</v>
      </c>
      <c r="E483" s="47">
        <f>IF(ISNUMBER(expected_production[[#This Row],[Commissioned Date]]),MAX(0,(expected_production[[#This Row],[Date]]-expected_production[[#This Row],[Commissioned Date]])/365.25),"")</f>
        <v>2.8637919233401781</v>
      </c>
      <c r="F483" s="49">
        <f>IF(expected_production[[#This Row],[Age (yrs)]]="",1,(1-DegradationRate)^expected_production[[#This Row],[Age (yrs)]])</f>
        <v>0.98008396195707104</v>
      </c>
      <c r="G483" s="52">
        <f>IF(expected_production[[#This Row],[Base Expected (kWh)]]="","",expected_production[[#This Row],[Base Expected (kWh)]]*expected_production[[#This Row],[Degradation Factor]])</f>
        <v>4406.6976135296709</v>
      </c>
    </row>
    <row r="484" spans="1:7" ht="15" hidden="1" customHeight="1" x14ac:dyDescent="0.3">
      <c r="A484" t="s">
        <v>90</v>
      </c>
      <c r="B484" s="2">
        <v>45717</v>
      </c>
      <c r="C484" s="52">
        <v>4548.6049999999996</v>
      </c>
      <c r="D484" s="48">
        <f>_xlfn.XLOOKUP(expected_production[[#This Row],[Site Name]],Table1[[Site Name ]],Table1[Commisioned Date],"")</f>
        <v>44643</v>
      </c>
      <c r="E484" s="47">
        <f>IF(ISNUMBER(expected_production[[#This Row],[Commissioned Date]]),MAX(0,(expected_production[[#This Row],[Date]]-expected_production[[#This Row],[Commissioned Date]])/365.25),"")</f>
        <v>2.9404517453798769</v>
      </c>
      <c r="F484" s="49">
        <f>IF(expected_production[[#This Row],[Age (yrs)]]="",1,(1-DegradationRate)^expected_production[[#This Row],[Age (yrs)]])</f>
        <v>0.97955632320772612</v>
      </c>
      <c r="G484" s="52">
        <f>IF(expected_production[[#This Row],[Base Expected (kWh)]]="","",expected_production[[#This Row],[Base Expected (kWh)]]*expected_production[[#This Row],[Degradation Factor]])</f>
        <v>4455.6147895242784</v>
      </c>
    </row>
    <row r="485" spans="1:7" ht="15" hidden="1" customHeight="1" x14ac:dyDescent="0.3">
      <c r="A485" t="s">
        <v>90</v>
      </c>
      <c r="B485" s="2">
        <v>45748</v>
      </c>
      <c r="C485" s="52">
        <v>3805.1950000000002</v>
      </c>
      <c r="D485" s="48">
        <f>_xlfn.XLOOKUP(expected_production[[#This Row],[Site Name]],Table1[[Site Name ]],Table1[Commisioned Date],"")</f>
        <v>44643</v>
      </c>
      <c r="E485" s="47">
        <f>IF(ISNUMBER(expected_production[[#This Row],[Commissioned Date]]),MAX(0,(expected_production[[#This Row],[Date]]-expected_production[[#This Row],[Commissioned Date]])/365.25),"")</f>
        <v>3.0253251197809718</v>
      </c>
      <c r="F485" s="49">
        <f>IF(expected_production[[#This Row],[Age (yrs)]]="",1,(1-DegradationRate)^expected_production[[#This Row],[Age (yrs)]])</f>
        <v>0.97897248307181151</v>
      </c>
      <c r="G485" s="52">
        <f>IF(expected_production[[#This Row],[Base Expected (kWh)]]="","",expected_production[[#This Row],[Base Expected (kWh)]]*expected_production[[#This Row],[Degradation Factor]])</f>
        <v>3725.181197722442</v>
      </c>
    </row>
    <row r="486" spans="1:7" ht="15" hidden="1" customHeight="1" x14ac:dyDescent="0.3">
      <c r="A486" t="s">
        <v>90</v>
      </c>
      <c r="B486" s="2">
        <v>45778</v>
      </c>
      <c r="C486" s="52">
        <v>3522.57</v>
      </c>
      <c r="D486" s="48">
        <f>_xlfn.XLOOKUP(expected_production[[#This Row],[Site Name]],Table1[[Site Name ]],Table1[Commisioned Date],"")</f>
        <v>44643</v>
      </c>
      <c r="E486" s="47">
        <f>IF(ISNUMBER(expected_production[[#This Row],[Commissioned Date]]),MAX(0,(expected_production[[#This Row],[Date]]-expected_production[[#This Row],[Commissioned Date]])/365.25),"")</f>
        <v>3.1074606433949348</v>
      </c>
      <c r="F486" s="49">
        <f>IF(expected_production[[#This Row],[Age (yrs)]]="",1,(1-DegradationRate)^expected_production[[#This Row],[Age (yrs)]])</f>
        <v>0.97840780781730374</v>
      </c>
      <c r="G486" s="52">
        <f>IF(expected_production[[#This Row],[Base Expected (kWh)]]="","",expected_production[[#This Row],[Base Expected (kWh)]]*expected_production[[#This Row],[Degradation Factor]])</f>
        <v>3446.5099915829996</v>
      </c>
    </row>
    <row r="487" spans="1:7" ht="15" hidden="1" customHeight="1" x14ac:dyDescent="0.3">
      <c r="A487" t="s">
        <v>90</v>
      </c>
      <c r="B487" s="2">
        <v>45809</v>
      </c>
      <c r="C487" s="52">
        <v>3187.9250000000002</v>
      </c>
      <c r="D487" s="48">
        <f>_xlfn.XLOOKUP(expected_production[[#This Row],[Site Name]],Table1[[Site Name ]],Table1[Commisioned Date],"")</f>
        <v>44643</v>
      </c>
      <c r="E487" s="47">
        <f>IF(ISNUMBER(expected_production[[#This Row],[Commissioned Date]]),MAX(0,(expected_production[[#This Row],[Date]]-expected_production[[#This Row],[Commissioned Date]])/365.25),"")</f>
        <v>3.1923340177960302</v>
      </c>
      <c r="F487" s="49">
        <f>IF(expected_production[[#This Row],[Age (yrs)]]="",1,(1-DegradationRate)^expected_production[[#This Row],[Age (yrs)]])</f>
        <v>0.97782465222536663</v>
      </c>
      <c r="G487" s="52">
        <f>IF(expected_production[[#This Row],[Base Expected (kWh)]]="","",expected_production[[#This Row],[Base Expected (kWh)]]*expected_production[[#This Row],[Degradation Factor]])</f>
        <v>3117.2316544455521</v>
      </c>
    </row>
    <row r="488" spans="1:7" ht="15" hidden="1" customHeight="1" x14ac:dyDescent="0.3">
      <c r="A488" t="s">
        <v>90</v>
      </c>
      <c r="B488" s="2">
        <v>45839</v>
      </c>
      <c r="C488" s="52">
        <v>3416.15</v>
      </c>
      <c r="D488" s="48">
        <f>_xlfn.XLOOKUP(expected_production[[#This Row],[Site Name]],Table1[[Site Name ]],Table1[Commisioned Date],"")</f>
        <v>44643</v>
      </c>
      <c r="E488" s="47">
        <f>IF(ISNUMBER(expected_production[[#This Row],[Commissioned Date]]),MAX(0,(expected_production[[#This Row],[Date]]-expected_production[[#This Row],[Commissioned Date]])/365.25),"")</f>
        <v>3.2744695414099931</v>
      </c>
      <c r="F488" s="49">
        <f>IF(expected_production[[#This Row],[Age (yrs)]]="",1,(1-DegradationRate)^expected_production[[#This Row],[Age (yrs)]])</f>
        <v>0.97726063904429472</v>
      </c>
      <c r="G488" s="52">
        <f>IF(expected_production[[#This Row],[Base Expected (kWh)]]="","",expected_production[[#This Row],[Base Expected (kWh)]]*expected_production[[#This Row],[Degradation Factor]])</f>
        <v>3338.4689320711673</v>
      </c>
    </row>
    <row r="489" spans="1:7" ht="15" hidden="1" customHeight="1" x14ac:dyDescent="0.3">
      <c r="A489" t="s">
        <v>90</v>
      </c>
      <c r="B489" s="2">
        <v>45870</v>
      </c>
      <c r="C489" s="52">
        <v>3857.0450000000001</v>
      </c>
      <c r="D489" s="48">
        <f>_xlfn.XLOOKUP(expected_production[[#This Row],[Site Name]],Table1[[Site Name ]],Table1[Commisioned Date],"")</f>
        <v>44643</v>
      </c>
      <c r="E489" s="47">
        <f>IF(ISNUMBER(expected_production[[#This Row],[Commissioned Date]]),MAX(0,(expected_production[[#This Row],[Date]]-expected_production[[#This Row],[Commissioned Date]])/365.25),"")</f>
        <v>3.3593429158110881</v>
      </c>
      <c r="F489" s="49">
        <f>IF(expected_production[[#This Row],[Age (yrs)]]="",1,(1-DegradationRate)^expected_production[[#This Row],[Age (yrs)]])</f>
        <v>0.97667816719371725</v>
      </c>
      <c r="G489" s="52">
        <f>IF(expected_production[[#This Row],[Base Expected (kWh)]]="","",expected_production[[#This Row],[Base Expected (kWh)]]*expected_production[[#This Row],[Degradation Factor]])</f>
        <v>3767.0916413836912</v>
      </c>
    </row>
    <row r="490" spans="1:7" ht="15" hidden="1" customHeight="1" x14ac:dyDescent="0.3">
      <c r="A490" t="s">
        <v>90</v>
      </c>
      <c r="B490" s="2">
        <v>45901</v>
      </c>
      <c r="C490" s="52">
        <v>3805.7049999999999</v>
      </c>
      <c r="D490" s="48">
        <f>_xlfn.XLOOKUP(expected_production[[#This Row],[Site Name]],Table1[[Site Name ]],Table1[Commisioned Date],"")</f>
        <v>44643</v>
      </c>
      <c r="E490" s="47">
        <f>IF(ISNUMBER(expected_production[[#This Row],[Commissioned Date]]),MAX(0,(expected_production[[#This Row],[Date]]-expected_production[[#This Row],[Commissioned Date]])/365.25),"")</f>
        <v>3.4442162902121836</v>
      </c>
      <c r="F490" s="49">
        <f>IF(expected_production[[#This Row],[Age (yrs)]]="",1,(1-DegradationRate)^expected_production[[#This Row],[Age (yrs)]])</f>
        <v>0.97609604251097115</v>
      </c>
      <c r="G490" s="52">
        <f>IF(expected_production[[#This Row],[Base Expected (kWh)]]="","",expected_production[[#This Row],[Base Expected (kWh)]]*expected_production[[#This Row],[Degradation Factor]])</f>
        <v>3714.7335894642156</v>
      </c>
    </row>
    <row r="491" spans="1:7" ht="15" hidden="1" customHeight="1" x14ac:dyDescent="0.3">
      <c r="A491" t="s">
        <v>90</v>
      </c>
      <c r="B491" s="2">
        <v>45931</v>
      </c>
      <c r="C491" s="52">
        <v>4238.6949999999997</v>
      </c>
      <c r="D491" s="48">
        <f>_xlfn.XLOOKUP(expected_production[[#This Row],[Site Name]],Table1[[Site Name ]],Table1[Commisioned Date],"")</f>
        <v>44643</v>
      </c>
      <c r="E491" s="47">
        <f>IF(ISNUMBER(expected_production[[#This Row],[Commissioned Date]]),MAX(0,(expected_production[[#This Row],[Date]]-expected_production[[#This Row],[Commissioned Date]])/365.25),"")</f>
        <v>3.5263518138261465</v>
      </c>
      <c r="F491" s="49">
        <f>IF(expected_production[[#This Row],[Age (yrs)]]="",1,(1-DegradationRate)^expected_production[[#This Row],[Age (yrs)]])</f>
        <v>0.97553302639891526</v>
      </c>
      <c r="G491" s="52">
        <f>IF(expected_production[[#This Row],[Base Expected (kWh)]]="","",expected_production[[#This Row],[Base Expected (kWh)]]*expected_production[[#This Row],[Degradation Factor]])</f>
        <v>4134.9869613319497</v>
      </c>
    </row>
    <row r="492" spans="1:7" ht="15" hidden="1" customHeight="1" x14ac:dyDescent="0.3">
      <c r="A492" t="s">
        <v>90</v>
      </c>
      <c r="B492" s="2">
        <v>45962</v>
      </c>
      <c r="C492" s="52">
        <v>4335.34</v>
      </c>
      <c r="D492" s="48">
        <f>_xlfn.XLOOKUP(expected_production[[#This Row],[Site Name]],Table1[[Site Name ]],Table1[Commisioned Date],"")</f>
        <v>44643</v>
      </c>
      <c r="E492" s="47">
        <f>IF(ISNUMBER(expected_production[[#This Row],[Commissioned Date]]),MAX(0,(expected_production[[#This Row],[Date]]-expected_production[[#This Row],[Commissioned Date]])/365.25),"")</f>
        <v>3.6112251882272415</v>
      </c>
      <c r="F492" s="49">
        <f>IF(expected_production[[#This Row],[Age (yrs)]]="",1,(1-DegradationRate)^expected_production[[#This Row],[Age (yrs)]])</f>
        <v>0.97495158424880302</v>
      </c>
      <c r="G492" s="52">
        <f>IF(expected_production[[#This Row],[Base Expected (kWh)]]="","",expected_production[[#This Row],[Base Expected (kWh)]]*expected_production[[#This Row],[Degradation Factor]])</f>
        <v>4226.7466012572058</v>
      </c>
    </row>
    <row r="493" spans="1:7" ht="15" hidden="1" customHeight="1" x14ac:dyDescent="0.3">
      <c r="A493" t="s">
        <v>90</v>
      </c>
      <c r="B493" s="2">
        <v>45992</v>
      </c>
      <c r="C493" s="52">
        <v>5058.01</v>
      </c>
      <c r="D493" s="48">
        <f>_xlfn.XLOOKUP(expected_production[[#This Row],[Site Name]],Table1[[Site Name ]],Table1[Commisioned Date],"")</f>
        <v>44643</v>
      </c>
      <c r="E493" s="47">
        <f>IF(ISNUMBER(expected_production[[#This Row],[Commissioned Date]]),MAX(0,(expected_production[[#This Row],[Date]]-expected_production[[#This Row],[Commissioned Date]])/365.25),"")</f>
        <v>3.6933607118412048</v>
      </c>
      <c r="F493" s="49">
        <f>IF(expected_production[[#This Row],[Age (yrs)]]="",1,(1-DegradationRate)^expected_production[[#This Row],[Age (yrs)]])</f>
        <v>0.97438922826486263</v>
      </c>
      <c r="G493" s="52">
        <f>IF(expected_production[[#This Row],[Base Expected (kWh)]]="","",expected_production[[#This Row],[Base Expected (kWh)]]*expected_production[[#This Row],[Degradation Factor]])</f>
        <v>4928.4704604559583</v>
      </c>
    </row>
    <row r="494" spans="1:7" ht="15" hidden="1" customHeight="1" x14ac:dyDescent="0.3">
      <c r="A494" t="s">
        <v>90</v>
      </c>
      <c r="B494" s="2">
        <v>46023</v>
      </c>
      <c r="C494" s="52">
        <v>4897.0200000000004</v>
      </c>
      <c r="D494" s="48">
        <f>_xlfn.XLOOKUP(expected_production[[#This Row],[Site Name]],Table1[[Site Name ]],Table1[Commisioned Date],"")</f>
        <v>44643</v>
      </c>
      <c r="E494" s="47">
        <f>IF(ISNUMBER(expected_production[[#This Row],[Commissioned Date]]),MAX(0,(expected_production[[#This Row],[Date]]-expected_production[[#This Row],[Commissioned Date]])/365.25),"")</f>
        <v>3.7782340862422998</v>
      </c>
      <c r="F494" s="49">
        <f>IF(expected_production[[#This Row],[Age (yrs)]]="",1,(1-DegradationRate)^expected_production[[#This Row],[Age (yrs)]])</f>
        <v>0.97380846784712471</v>
      </c>
      <c r="G494" s="52">
        <f>IF(expected_production[[#This Row],[Base Expected (kWh)]]="","",expected_production[[#This Row],[Base Expected (kWh)]]*expected_production[[#This Row],[Degradation Factor]])</f>
        <v>4768.7595432167273</v>
      </c>
    </row>
    <row r="495" spans="1:7" ht="15" hidden="1" customHeight="1" x14ac:dyDescent="0.3">
      <c r="A495" t="s">
        <v>90</v>
      </c>
      <c r="B495" s="2">
        <v>46054</v>
      </c>
      <c r="C495" s="52">
        <v>4496.2449999999999</v>
      </c>
      <c r="D495" s="48">
        <f>_xlfn.XLOOKUP(expected_production[[#This Row],[Site Name]],Table1[[Site Name ]],Table1[Commisioned Date],"")</f>
        <v>44643</v>
      </c>
      <c r="E495" s="47">
        <f>IF(ISNUMBER(expected_production[[#This Row],[Commissioned Date]]),MAX(0,(expected_production[[#This Row],[Date]]-expected_production[[#This Row],[Commissioned Date]])/365.25),"")</f>
        <v>3.8631074606433948</v>
      </c>
      <c r="F495" s="49">
        <f>IF(expected_production[[#This Row],[Age (yrs)]]="",1,(1-DegradationRate)^expected_production[[#This Row],[Age (yrs)]])</f>
        <v>0.97322805357716136</v>
      </c>
      <c r="G495" s="52">
        <f>IF(expected_production[[#This Row],[Base Expected (kWh)]]="","",expected_production[[#This Row],[Base Expected (kWh)]]*expected_production[[#This Row],[Degradation Factor]])</f>
        <v>4375.8717697560442</v>
      </c>
    </row>
    <row r="496" spans="1:7" ht="15" hidden="1" customHeight="1" x14ac:dyDescent="0.3">
      <c r="A496" t="s">
        <v>90</v>
      </c>
      <c r="B496" s="2">
        <v>46082</v>
      </c>
      <c r="C496" s="52">
        <v>4548.6049999999996</v>
      </c>
      <c r="D496" s="48">
        <f>_xlfn.XLOOKUP(expected_production[[#This Row],[Site Name]],Table1[[Site Name ]],Table1[Commisioned Date],"")</f>
        <v>44643</v>
      </c>
      <c r="E496" s="47">
        <f>IF(ISNUMBER(expected_production[[#This Row],[Commissioned Date]]),MAX(0,(expected_production[[#This Row],[Date]]-expected_production[[#This Row],[Commissioned Date]])/365.25),"")</f>
        <v>3.9397672826830936</v>
      </c>
      <c r="F496" s="49">
        <f>IF(expected_production[[#This Row],[Age (yrs)]]="",1,(1-DegradationRate)^expected_production[[#This Row],[Age (yrs)]])</f>
        <v>0.97270410577988131</v>
      </c>
      <c r="G496" s="52">
        <f>IF(expected_production[[#This Row],[Base Expected (kWh)]]="","",expected_production[[#This Row],[Base Expected (kWh)]]*expected_production[[#This Row],[Degradation Factor]])</f>
        <v>4424.4467590708964</v>
      </c>
    </row>
    <row r="497" spans="1:7" ht="15" hidden="1" customHeight="1" x14ac:dyDescent="0.3">
      <c r="A497" t="s">
        <v>90</v>
      </c>
      <c r="B497" s="2">
        <v>46113</v>
      </c>
      <c r="C497" s="52">
        <v>3805.1950000000002</v>
      </c>
      <c r="D497" s="48">
        <f>_xlfn.XLOOKUP(expected_production[[#This Row],[Site Name]],Table1[[Site Name ]],Table1[Commisioned Date],"")</f>
        <v>44643</v>
      </c>
      <c r="E497" s="47">
        <f>IF(ISNUMBER(expected_production[[#This Row],[Commissioned Date]]),MAX(0,(expected_production[[#This Row],[Date]]-expected_production[[#This Row],[Commissioned Date]])/365.25),"")</f>
        <v>4.0246406570841886</v>
      </c>
      <c r="F497" s="49">
        <f>IF(expected_production[[#This Row],[Age (yrs)]]="",1,(1-DegradationRate)^expected_production[[#This Row],[Age (yrs)]])</f>
        <v>0.97212434973740736</v>
      </c>
      <c r="G497" s="52">
        <f>IF(expected_production[[#This Row],[Base Expected (kWh)]]="","",expected_production[[#This Row],[Base Expected (kWh)]]*expected_production[[#This Row],[Degradation Factor]])</f>
        <v>3699.1227149990341</v>
      </c>
    </row>
    <row r="498" spans="1:7" ht="15" hidden="1" customHeight="1" x14ac:dyDescent="0.3">
      <c r="A498" t="s">
        <v>90</v>
      </c>
      <c r="B498" s="2">
        <v>46143</v>
      </c>
      <c r="C498" s="52">
        <v>3522.57</v>
      </c>
      <c r="D498" s="48">
        <f>_xlfn.XLOOKUP(expected_production[[#This Row],[Site Name]],Table1[[Site Name ]],Table1[Commisioned Date],"")</f>
        <v>44643</v>
      </c>
      <c r="E498" s="47">
        <f>IF(ISNUMBER(expected_production[[#This Row],[Commissioned Date]]),MAX(0,(expected_production[[#This Row],[Date]]-expected_production[[#This Row],[Commissioned Date]])/365.25),"")</f>
        <v>4.1067761806981515</v>
      </c>
      <c r="F498" s="49">
        <f>IF(expected_production[[#This Row],[Age (yrs)]]="",1,(1-DegradationRate)^expected_production[[#This Row],[Age (yrs)]])</f>
        <v>0.97156362451367217</v>
      </c>
      <c r="G498" s="52">
        <f>IF(expected_production[[#This Row],[Base Expected (kWh)]]="","",expected_production[[#This Row],[Base Expected (kWh)]]*expected_production[[#This Row],[Degradation Factor]])</f>
        <v>3422.4008768031263</v>
      </c>
    </row>
    <row r="499" spans="1:7" ht="15" hidden="1" customHeight="1" x14ac:dyDescent="0.3">
      <c r="A499" t="s">
        <v>90</v>
      </c>
      <c r="B499" s="2">
        <v>46174</v>
      </c>
      <c r="C499" s="52">
        <v>3187.9250000000002</v>
      </c>
      <c r="D499" s="48">
        <f>_xlfn.XLOOKUP(expected_production[[#This Row],[Site Name]],Table1[[Site Name ]],Table1[Commisioned Date],"")</f>
        <v>44643</v>
      </c>
      <c r="E499" s="47">
        <f>IF(ISNUMBER(expected_production[[#This Row],[Commissioned Date]]),MAX(0,(expected_production[[#This Row],[Date]]-expected_production[[#This Row],[Commissioned Date]])/365.25),"")</f>
        <v>4.1916495550992474</v>
      </c>
      <c r="F499" s="49">
        <f>IF(expected_production[[#This Row],[Age (yrs)]]="",1,(1-DegradationRate)^expected_production[[#This Row],[Age (yrs)]])</f>
        <v>0.97098454822663616</v>
      </c>
      <c r="G499" s="52">
        <f>IF(expected_production[[#This Row],[Base Expected (kWh)]]="","",expected_production[[#This Row],[Base Expected (kWh)]]*expected_production[[#This Row],[Degradation Factor]])</f>
        <v>3095.4259159053991</v>
      </c>
    </row>
    <row r="500" spans="1:7" ht="15" hidden="1" customHeight="1" x14ac:dyDescent="0.3">
      <c r="A500" t="s">
        <v>90</v>
      </c>
      <c r="B500" s="2">
        <v>46204</v>
      </c>
      <c r="C500" s="52">
        <v>3416.15</v>
      </c>
      <c r="D500" s="48">
        <f>_xlfn.XLOOKUP(expected_production[[#This Row],[Site Name]],Table1[[Site Name ]],Table1[Commisioned Date],"")</f>
        <v>44643</v>
      </c>
      <c r="E500" s="47">
        <f>IF(ISNUMBER(expected_production[[#This Row],[Commissioned Date]]),MAX(0,(expected_production[[#This Row],[Date]]-expected_production[[#This Row],[Commissioned Date]])/365.25),"")</f>
        <v>4.2737850787132103</v>
      </c>
      <c r="F500" s="49">
        <f>IF(expected_production[[#This Row],[Age (yrs)]]="",1,(1-DegradationRate)^expected_production[[#This Row],[Age (yrs)]])</f>
        <v>0.97042448044498364</v>
      </c>
      <c r="G500" s="52">
        <f>IF(expected_production[[#This Row],[Base Expected (kWh)]]="","",expected_production[[#This Row],[Base Expected (kWh)]]*expected_production[[#This Row],[Degradation Factor]])</f>
        <v>3315.115588872131</v>
      </c>
    </row>
    <row r="501" spans="1:7" ht="15" hidden="1" customHeight="1" x14ac:dyDescent="0.3">
      <c r="A501" t="s">
        <v>90</v>
      </c>
      <c r="B501" s="2">
        <v>46235</v>
      </c>
      <c r="C501" s="52">
        <v>3857.0450000000001</v>
      </c>
      <c r="D501" s="48">
        <f>_xlfn.XLOOKUP(expected_production[[#This Row],[Site Name]],Table1[[Site Name ]],Table1[Commisioned Date],"")</f>
        <v>44643</v>
      </c>
      <c r="E501" s="47">
        <f>IF(ISNUMBER(expected_production[[#This Row],[Commissioned Date]]),MAX(0,(expected_production[[#This Row],[Date]]-expected_production[[#This Row],[Commissioned Date]])/365.25),"")</f>
        <v>4.3586584531143053</v>
      </c>
      <c r="F501" s="49">
        <f>IF(expected_production[[#This Row],[Age (yrs)]]="",1,(1-DegradationRate)^expected_production[[#This Row],[Age (yrs)]])</f>
        <v>0.96984608311638232</v>
      </c>
      <c r="G501" s="52">
        <f>IF(expected_production[[#This Row],[Base Expected (kWh)]]="","",expected_production[[#This Row],[Base Expected (kWh)]]*expected_production[[#This Row],[Degradation Factor]])</f>
        <v>3740.7399856536267</v>
      </c>
    </row>
    <row r="502" spans="1:7" ht="15" hidden="1" customHeight="1" x14ac:dyDescent="0.3">
      <c r="A502" t="s">
        <v>90</v>
      </c>
      <c r="B502" s="2">
        <v>46266</v>
      </c>
      <c r="C502" s="52">
        <v>3805.7049999999999</v>
      </c>
      <c r="D502" s="48">
        <f>_xlfn.XLOOKUP(expected_production[[#This Row],[Site Name]],Table1[[Site Name ]],Table1[Commisioned Date],"")</f>
        <v>44643</v>
      </c>
      <c r="E502" s="47">
        <f>IF(ISNUMBER(expected_production[[#This Row],[Commissioned Date]]),MAX(0,(expected_production[[#This Row],[Date]]-expected_production[[#This Row],[Commissioned Date]])/365.25),"")</f>
        <v>4.4435318275154003</v>
      </c>
      <c r="F502" s="49">
        <f>IF(expected_production[[#This Row],[Age (yrs)]]="",1,(1-DegradationRate)^expected_production[[#This Row],[Age (yrs)]])</f>
        <v>0.96926803052709498</v>
      </c>
      <c r="G502" s="52">
        <f>IF(expected_production[[#This Row],[Base Expected (kWh)]]="","",expected_production[[#This Row],[Base Expected (kWh)]]*expected_production[[#This Row],[Degradation Factor]])</f>
        <v>3688.7481901171182</v>
      </c>
    </row>
    <row r="503" spans="1:7" ht="15" hidden="1" customHeight="1" x14ac:dyDescent="0.3">
      <c r="A503" t="s">
        <v>90</v>
      </c>
      <c r="B503" s="2">
        <v>46296</v>
      </c>
      <c r="C503" s="52">
        <v>4238.6949999999997</v>
      </c>
      <c r="D503" s="48">
        <f>_xlfn.XLOOKUP(expected_production[[#This Row],[Site Name]],Table1[[Site Name ]],Table1[Commisioned Date],"")</f>
        <v>44643</v>
      </c>
      <c r="E503" s="47">
        <f>IF(ISNUMBER(expected_production[[#This Row],[Commissioned Date]]),MAX(0,(expected_production[[#This Row],[Date]]-expected_production[[#This Row],[Commissioned Date]])/365.25),"")</f>
        <v>4.5256673511293632</v>
      </c>
      <c r="F503" s="49">
        <f>IF(expected_production[[#This Row],[Age (yrs)]]="",1,(1-DegradationRate)^expected_production[[#This Row],[Age (yrs)]])</f>
        <v>0.9687089528397359</v>
      </c>
      <c r="G503" s="52">
        <f>IF(expected_production[[#This Row],[Base Expected (kWh)]]="","",expected_production[[#This Row],[Base Expected (kWh)]]*expected_production[[#This Row],[Degradation Factor]])</f>
        <v>4106.0617948570243</v>
      </c>
    </row>
    <row r="504" spans="1:7" ht="15" hidden="1" customHeight="1" x14ac:dyDescent="0.3">
      <c r="A504" t="s">
        <v>90</v>
      </c>
      <c r="B504" s="2">
        <v>46327</v>
      </c>
      <c r="C504" s="52">
        <v>4335.34</v>
      </c>
      <c r="D504" s="48">
        <f>_xlfn.XLOOKUP(expected_production[[#This Row],[Site Name]],Table1[[Site Name ]],Table1[Commisioned Date],"")</f>
        <v>44643</v>
      </c>
      <c r="E504" s="47">
        <f>IF(ISNUMBER(expected_production[[#This Row],[Commissioned Date]]),MAX(0,(expected_production[[#This Row],[Date]]-expected_production[[#This Row],[Commissioned Date]])/365.25),"")</f>
        <v>4.6105407255304582</v>
      </c>
      <c r="F504" s="49">
        <f>IF(expected_production[[#This Row],[Age (yrs)]]="",1,(1-DegradationRate)^expected_production[[#This Row],[Age (yrs)]])</f>
        <v>0.96813157800861271</v>
      </c>
      <c r="G504" s="52">
        <f>IF(expected_production[[#This Row],[Base Expected (kWh)]]="","",expected_production[[#This Row],[Base Expected (kWh)]]*expected_production[[#This Row],[Degradation Factor]])</f>
        <v>4197.179555403859</v>
      </c>
    </row>
    <row r="505" spans="1:7" ht="15" hidden="1" customHeight="1" x14ac:dyDescent="0.3">
      <c r="A505" t="s">
        <v>90</v>
      </c>
      <c r="B505" s="2">
        <v>46357</v>
      </c>
      <c r="C505" s="52">
        <v>5058.01</v>
      </c>
      <c r="D505" s="48">
        <f>_xlfn.XLOOKUP(expected_production[[#This Row],[Site Name]],Table1[[Site Name ]],Table1[Commisioned Date],"")</f>
        <v>44643</v>
      </c>
      <c r="E505" s="47">
        <f>IF(ISNUMBER(expected_production[[#This Row],[Commissioned Date]]),MAX(0,(expected_production[[#This Row],[Date]]-expected_production[[#This Row],[Commissioned Date]])/365.25),"")</f>
        <v>4.6926762491444221</v>
      </c>
      <c r="F505" s="49">
        <f>IF(expected_production[[#This Row],[Age (yrs)]]="",1,(1-DegradationRate)^expected_production[[#This Row],[Age (yrs)]])</f>
        <v>0.96757315583162407</v>
      </c>
      <c r="G505" s="52">
        <f>IF(expected_production[[#This Row],[Base Expected (kWh)]]="","",expected_production[[#This Row],[Base Expected (kWh)]]*expected_production[[#This Row],[Degradation Factor]])</f>
        <v>4893.994697927913</v>
      </c>
    </row>
    <row r="506" spans="1:7" ht="15" hidden="1" customHeight="1" x14ac:dyDescent="0.3">
      <c r="A506" t="s">
        <v>93</v>
      </c>
      <c r="B506" s="2">
        <v>45292</v>
      </c>
      <c r="C506" s="52">
        <v>11798.1</v>
      </c>
      <c r="D506" s="48">
        <f>_xlfn.XLOOKUP(expected_production[[#This Row],[Site Name]],Table1[[Site Name ]],Table1[Commisioned Date],"")</f>
        <v>45509</v>
      </c>
      <c r="E506" s="47">
        <f>IF(ISNUMBER(expected_production[[#This Row],[Commissioned Date]]),MAX(0,(expected_production[[#This Row],[Date]]-expected_production[[#This Row],[Commissioned Date]])/365.25),"")</f>
        <v>0</v>
      </c>
      <c r="F506" s="49">
        <f>IF(expected_production[[#This Row],[Age (yrs)]]="",1,(1-DegradationRate)^expected_production[[#This Row],[Age (yrs)]])</f>
        <v>1</v>
      </c>
      <c r="G506" s="52">
        <f>IF(expected_production[[#This Row],[Base Expected (kWh)]]="","",expected_production[[#This Row],[Base Expected (kWh)]]*expected_production[[#This Row],[Degradation Factor]])</f>
        <v>11798.1</v>
      </c>
    </row>
    <row r="507" spans="1:7" ht="15" hidden="1" customHeight="1" x14ac:dyDescent="0.3">
      <c r="A507" t="s">
        <v>93</v>
      </c>
      <c r="B507" s="2">
        <v>45323</v>
      </c>
      <c r="C507" s="52">
        <v>10269.9</v>
      </c>
      <c r="D507" s="48">
        <f>_xlfn.XLOOKUP(expected_production[[#This Row],[Site Name]],Table1[[Site Name ]],Table1[Commisioned Date],"")</f>
        <v>45509</v>
      </c>
      <c r="E507" s="47">
        <f>IF(ISNUMBER(expected_production[[#This Row],[Commissioned Date]]),MAX(0,(expected_production[[#This Row],[Date]]-expected_production[[#This Row],[Commissioned Date]])/365.25),"")</f>
        <v>0</v>
      </c>
      <c r="F507" s="49">
        <f>IF(expected_production[[#This Row],[Age (yrs)]]="",1,(1-DegradationRate)^expected_production[[#This Row],[Age (yrs)]])</f>
        <v>1</v>
      </c>
      <c r="G507" s="52">
        <f>IF(expected_production[[#This Row],[Base Expected (kWh)]]="","",expected_production[[#This Row],[Base Expected (kWh)]]*expected_production[[#This Row],[Degradation Factor]])</f>
        <v>10269.9</v>
      </c>
    </row>
    <row r="508" spans="1:7" ht="15" hidden="1" customHeight="1" x14ac:dyDescent="0.3">
      <c r="A508" t="s">
        <v>93</v>
      </c>
      <c r="B508" s="2">
        <v>45352</v>
      </c>
      <c r="C508" s="52">
        <v>10571.4</v>
      </c>
      <c r="D508" s="48">
        <f>_xlfn.XLOOKUP(expected_production[[#This Row],[Site Name]],Table1[[Site Name ]],Table1[Commisioned Date],"")</f>
        <v>45509</v>
      </c>
      <c r="E508" s="47">
        <f>IF(ISNUMBER(expected_production[[#This Row],[Commissioned Date]]),MAX(0,(expected_production[[#This Row],[Date]]-expected_production[[#This Row],[Commissioned Date]])/365.25),"")</f>
        <v>0</v>
      </c>
      <c r="F508" s="49">
        <f>IF(expected_production[[#This Row],[Age (yrs)]]="",1,(1-DegradationRate)^expected_production[[#This Row],[Age (yrs)]])</f>
        <v>1</v>
      </c>
      <c r="G508" s="52">
        <f>IF(expected_production[[#This Row],[Base Expected (kWh)]]="","",expected_production[[#This Row],[Base Expected (kWh)]]*expected_production[[#This Row],[Degradation Factor]])</f>
        <v>10571.4</v>
      </c>
    </row>
    <row r="509" spans="1:7" ht="15" hidden="1" customHeight="1" x14ac:dyDescent="0.3">
      <c r="A509" t="s">
        <v>93</v>
      </c>
      <c r="B509" s="2">
        <v>45383</v>
      </c>
      <c r="C509" s="52">
        <v>8335.7999999999993</v>
      </c>
      <c r="D509" s="48">
        <f>_xlfn.XLOOKUP(expected_production[[#This Row],[Site Name]],Table1[[Site Name ]],Table1[Commisioned Date],"")</f>
        <v>45509</v>
      </c>
      <c r="E509" s="47">
        <f>IF(ISNUMBER(expected_production[[#This Row],[Commissioned Date]]),MAX(0,(expected_production[[#This Row],[Date]]-expected_production[[#This Row],[Commissioned Date]])/365.25),"")</f>
        <v>0</v>
      </c>
      <c r="F509" s="49">
        <f>IF(expected_production[[#This Row],[Age (yrs)]]="",1,(1-DegradationRate)^expected_production[[#This Row],[Age (yrs)]])</f>
        <v>1</v>
      </c>
      <c r="G509" s="52">
        <f>IF(expected_production[[#This Row],[Base Expected (kWh)]]="","",expected_production[[#This Row],[Base Expected (kWh)]]*expected_production[[#This Row],[Degradation Factor]])</f>
        <v>8335.7999999999993</v>
      </c>
    </row>
    <row r="510" spans="1:7" ht="15" hidden="1" customHeight="1" x14ac:dyDescent="0.3">
      <c r="A510" t="s">
        <v>93</v>
      </c>
      <c r="B510" s="2">
        <v>45413</v>
      </c>
      <c r="C510" s="52">
        <v>6723.9</v>
      </c>
      <c r="D510" s="48">
        <f>_xlfn.XLOOKUP(expected_production[[#This Row],[Site Name]],Table1[[Site Name ]],Table1[Commisioned Date],"")</f>
        <v>45509</v>
      </c>
      <c r="E510" s="47">
        <f>IF(ISNUMBER(expected_production[[#This Row],[Commissioned Date]]),MAX(0,(expected_production[[#This Row],[Date]]-expected_production[[#This Row],[Commissioned Date]])/365.25),"")</f>
        <v>0</v>
      </c>
      <c r="F510" s="49">
        <f>IF(expected_production[[#This Row],[Age (yrs)]]="",1,(1-DegradationRate)^expected_production[[#This Row],[Age (yrs)]])</f>
        <v>1</v>
      </c>
      <c r="G510" s="52">
        <f>IF(expected_production[[#This Row],[Base Expected (kWh)]]="","",expected_production[[#This Row],[Base Expected (kWh)]]*expected_production[[#This Row],[Degradation Factor]])</f>
        <v>6723.9</v>
      </c>
    </row>
    <row r="511" spans="1:7" ht="15" hidden="1" customHeight="1" x14ac:dyDescent="0.3">
      <c r="A511" t="s">
        <v>93</v>
      </c>
      <c r="B511" s="2">
        <v>45444</v>
      </c>
      <c r="C511" s="52">
        <v>5859.9</v>
      </c>
      <c r="D511" s="48">
        <f>_xlfn.XLOOKUP(expected_production[[#This Row],[Site Name]],Table1[[Site Name ]],Table1[Commisioned Date],"")</f>
        <v>45509</v>
      </c>
      <c r="E511" s="47">
        <f>IF(ISNUMBER(expected_production[[#This Row],[Commissioned Date]]),MAX(0,(expected_production[[#This Row],[Date]]-expected_production[[#This Row],[Commissioned Date]])/365.25),"")</f>
        <v>0</v>
      </c>
      <c r="F511" s="49">
        <f>IF(expected_production[[#This Row],[Age (yrs)]]="",1,(1-DegradationRate)^expected_production[[#This Row],[Age (yrs)]])</f>
        <v>1</v>
      </c>
      <c r="G511" s="52">
        <f>IF(expected_production[[#This Row],[Base Expected (kWh)]]="","",expected_production[[#This Row],[Base Expected (kWh)]]*expected_production[[#This Row],[Degradation Factor]])</f>
        <v>5859.9</v>
      </c>
    </row>
    <row r="512" spans="1:7" ht="15" hidden="1" customHeight="1" x14ac:dyDescent="0.3">
      <c r="A512" t="s">
        <v>93</v>
      </c>
      <c r="B512" s="2">
        <v>45474</v>
      </c>
      <c r="C512" s="52">
        <v>6453</v>
      </c>
      <c r="D512" s="48">
        <f>_xlfn.XLOOKUP(expected_production[[#This Row],[Site Name]],Table1[[Site Name ]],Table1[Commisioned Date],"")</f>
        <v>45509</v>
      </c>
      <c r="E512" s="47">
        <f>IF(ISNUMBER(expected_production[[#This Row],[Commissioned Date]]),MAX(0,(expected_production[[#This Row],[Date]]-expected_production[[#This Row],[Commissioned Date]])/365.25),"")</f>
        <v>0</v>
      </c>
      <c r="F512" s="49">
        <f>IF(expected_production[[#This Row],[Age (yrs)]]="",1,(1-DegradationRate)^expected_production[[#This Row],[Age (yrs)]])</f>
        <v>1</v>
      </c>
      <c r="G512" s="52">
        <f>IF(expected_production[[#This Row],[Base Expected (kWh)]]="","",expected_production[[#This Row],[Base Expected (kWh)]]*expected_production[[#This Row],[Degradation Factor]])</f>
        <v>6453</v>
      </c>
    </row>
    <row r="513" spans="1:7" ht="15" hidden="1" customHeight="1" x14ac:dyDescent="0.3">
      <c r="A513" t="s">
        <v>93</v>
      </c>
      <c r="B513" s="2">
        <v>45505</v>
      </c>
      <c r="C513" s="52">
        <v>7491.6</v>
      </c>
      <c r="D513" s="48">
        <f>_xlfn.XLOOKUP(expected_production[[#This Row],[Site Name]],Table1[[Site Name ]],Table1[Commisioned Date],"")</f>
        <v>45509</v>
      </c>
      <c r="E513" s="47">
        <f>IF(ISNUMBER(expected_production[[#This Row],[Commissioned Date]]),MAX(0,(expected_production[[#This Row],[Date]]-expected_production[[#This Row],[Commissioned Date]])/365.25),"")</f>
        <v>0</v>
      </c>
      <c r="F513" s="49">
        <f>IF(expected_production[[#This Row],[Age (yrs)]]="",1,(1-DegradationRate)^expected_production[[#This Row],[Age (yrs)]])</f>
        <v>1</v>
      </c>
      <c r="G513" s="52">
        <f>IF(expected_production[[#This Row],[Base Expected (kWh)]]="","",expected_production[[#This Row],[Base Expected (kWh)]]*expected_production[[#This Row],[Degradation Factor]])</f>
        <v>7491.6</v>
      </c>
    </row>
    <row r="514" spans="1:7" ht="15" hidden="1" customHeight="1" x14ac:dyDescent="0.3">
      <c r="A514" t="s">
        <v>93</v>
      </c>
      <c r="B514" s="2">
        <v>45536</v>
      </c>
      <c r="C514" s="52">
        <v>8864.1</v>
      </c>
      <c r="D514" s="48">
        <f>_xlfn.XLOOKUP(expected_production[[#This Row],[Site Name]],Table1[[Site Name ]],Table1[Commisioned Date],"")</f>
        <v>45509</v>
      </c>
      <c r="E514" s="47">
        <f>IF(ISNUMBER(expected_production[[#This Row],[Commissioned Date]]),MAX(0,(expected_production[[#This Row],[Date]]-expected_production[[#This Row],[Commissioned Date]])/365.25),"")</f>
        <v>7.3921971252566734E-2</v>
      </c>
      <c r="F514" s="49">
        <f>IF(expected_production[[#This Row],[Age (yrs)]]="",1,(1-DegradationRate)^expected_production[[#This Row],[Age (yrs)]])</f>
        <v>0.99948086141565917</v>
      </c>
      <c r="G514" s="52">
        <f>IF(expected_production[[#This Row],[Base Expected (kWh)]]="","",expected_production[[#This Row],[Base Expected (kWh)]]*expected_production[[#This Row],[Degradation Factor]])</f>
        <v>8859.4983036745452</v>
      </c>
    </row>
    <row r="515" spans="1:7" ht="15" hidden="1" customHeight="1" x14ac:dyDescent="0.3">
      <c r="A515" t="s">
        <v>93</v>
      </c>
      <c r="B515" s="2">
        <v>45566</v>
      </c>
      <c r="C515" s="52">
        <v>10361.700000000001</v>
      </c>
      <c r="D515" s="48">
        <f>_xlfn.XLOOKUP(expected_production[[#This Row],[Site Name]],Table1[[Site Name ]],Table1[Commisioned Date],"")</f>
        <v>45509</v>
      </c>
      <c r="E515" s="47">
        <f>IF(ISNUMBER(expected_production[[#This Row],[Commissioned Date]]),MAX(0,(expected_production[[#This Row],[Date]]-expected_production[[#This Row],[Commissioned Date]])/365.25),"")</f>
        <v>0.15605749486652978</v>
      </c>
      <c r="F515" s="49">
        <f>IF(expected_production[[#This Row],[Age (yrs)]]="",1,(1-DegradationRate)^expected_production[[#This Row],[Age (yrs)]])</f>
        <v>0.99890435684627177</v>
      </c>
      <c r="G515" s="52">
        <f>IF(expected_production[[#This Row],[Base Expected (kWh)]]="","",expected_production[[#This Row],[Base Expected (kWh)]]*expected_production[[#This Row],[Degradation Factor]])</f>
        <v>10350.347274334015</v>
      </c>
    </row>
    <row r="516" spans="1:7" ht="15" hidden="1" customHeight="1" x14ac:dyDescent="0.3">
      <c r="A516" t="s">
        <v>93</v>
      </c>
      <c r="B516" s="2">
        <v>45597</v>
      </c>
      <c r="C516" s="52">
        <v>10972.8</v>
      </c>
      <c r="D516" s="48">
        <f>_xlfn.XLOOKUP(expected_production[[#This Row],[Site Name]],Table1[[Site Name ]],Table1[Commisioned Date],"")</f>
        <v>45509</v>
      </c>
      <c r="E516" s="47">
        <f>IF(ISNUMBER(expected_production[[#This Row],[Commissioned Date]]),MAX(0,(expected_production[[#This Row],[Date]]-expected_production[[#This Row],[Commissioned Date]])/365.25),"")</f>
        <v>0.24093086926762491</v>
      </c>
      <c r="F516" s="49">
        <f>IF(expected_production[[#This Row],[Age (yrs)]]="",1,(1-DegradationRate)^expected_production[[#This Row],[Age (yrs)]])</f>
        <v>0.99830898479705965</v>
      </c>
      <c r="G516" s="52">
        <f>IF(expected_production[[#This Row],[Base Expected (kWh)]]="","",expected_production[[#This Row],[Base Expected (kWh)]]*expected_production[[#This Row],[Degradation Factor]])</f>
        <v>10954.244828381175</v>
      </c>
    </row>
    <row r="517" spans="1:7" ht="15" hidden="1" customHeight="1" x14ac:dyDescent="0.3">
      <c r="A517" t="s">
        <v>93</v>
      </c>
      <c r="B517" s="2">
        <v>45627</v>
      </c>
      <c r="C517" s="52">
        <v>11630.7</v>
      </c>
      <c r="D517" s="48">
        <f>_xlfn.XLOOKUP(expected_production[[#This Row],[Site Name]],Table1[[Site Name ]],Table1[Commisioned Date],"")</f>
        <v>45509</v>
      </c>
      <c r="E517" s="47">
        <f>IF(ISNUMBER(expected_production[[#This Row],[Commissioned Date]]),MAX(0,(expected_production[[#This Row],[Date]]-expected_production[[#This Row],[Commissioned Date]])/365.25),"")</f>
        <v>0.32306639288158795</v>
      </c>
      <c r="F517" s="49">
        <f>IF(expected_production[[#This Row],[Age (yrs)]]="",1,(1-DegradationRate)^expected_production[[#This Row],[Age (yrs)]])</f>
        <v>0.99773315617080582</v>
      </c>
      <c r="G517" s="52">
        <f>IF(expected_production[[#This Row],[Base Expected (kWh)]]="","",expected_production[[#This Row],[Base Expected (kWh)]]*expected_production[[#This Row],[Degradation Factor]])</f>
        <v>11604.335019475791</v>
      </c>
    </row>
    <row r="518" spans="1:7" ht="15" hidden="1" customHeight="1" x14ac:dyDescent="0.3">
      <c r="A518" t="s">
        <v>93</v>
      </c>
      <c r="B518" s="2">
        <v>45658</v>
      </c>
      <c r="C518" s="52">
        <v>11798.1</v>
      </c>
      <c r="D518" s="48">
        <f>_xlfn.XLOOKUP(expected_production[[#This Row],[Site Name]],Table1[[Site Name ]],Table1[Commisioned Date],"")</f>
        <v>45509</v>
      </c>
      <c r="E518" s="47">
        <f>IF(ISNUMBER(expected_production[[#This Row],[Commissioned Date]]),MAX(0,(expected_production[[#This Row],[Date]]-expected_production[[#This Row],[Commissioned Date]])/365.25),"")</f>
        <v>0.40793976728268311</v>
      </c>
      <c r="F518" s="49">
        <f>IF(expected_production[[#This Row],[Age (yrs)]]="",1,(1-DegradationRate)^expected_production[[#This Row],[Age (yrs)]])</f>
        <v>0.99713848218657009</v>
      </c>
      <c r="G518" s="52">
        <f>IF(expected_production[[#This Row],[Base Expected (kWh)]]="","",expected_production[[#This Row],[Base Expected (kWh)]]*expected_production[[#This Row],[Degradation Factor]])</f>
        <v>11764.339526685373</v>
      </c>
    </row>
    <row r="519" spans="1:7" ht="15" hidden="1" customHeight="1" x14ac:dyDescent="0.3">
      <c r="A519" t="s">
        <v>93</v>
      </c>
      <c r="B519" s="2">
        <v>45689</v>
      </c>
      <c r="C519" s="52">
        <v>10269.9</v>
      </c>
      <c r="D519" s="48">
        <f>_xlfn.XLOOKUP(expected_production[[#This Row],[Site Name]],Table1[[Site Name ]],Table1[Commisioned Date],"")</f>
        <v>45509</v>
      </c>
      <c r="E519" s="47">
        <f>IF(ISNUMBER(expected_production[[#This Row],[Commissioned Date]]),MAX(0,(expected_production[[#This Row],[Date]]-expected_production[[#This Row],[Commissioned Date]])/365.25),"")</f>
        <v>0.49281314168377821</v>
      </c>
      <c r="F519" s="49">
        <f>IF(expected_production[[#This Row],[Age (yrs)]]="",1,(1-DegradationRate)^expected_production[[#This Row],[Age (yrs)]])</f>
        <v>0.99654416264294332</v>
      </c>
      <c r="G519" s="52">
        <f>IF(expected_production[[#This Row],[Base Expected (kWh)]]="","",expected_production[[#This Row],[Base Expected (kWh)]]*expected_production[[#This Row],[Degradation Factor]])</f>
        <v>10234.408895926763</v>
      </c>
    </row>
    <row r="520" spans="1:7" ht="15" hidden="1" customHeight="1" x14ac:dyDescent="0.3">
      <c r="A520" t="s">
        <v>93</v>
      </c>
      <c r="B520" s="2">
        <v>45717</v>
      </c>
      <c r="C520" s="52">
        <v>10571.4</v>
      </c>
      <c r="D520" s="48">
        <f>_xlfn.XLOOKUP(expected_production[[#This Row],[Site Name]],Table1[[Site Name ]],Table1[Commisioned Date],"")</f>
        <v>45509</v>
      </c>
      <c r="E520" s="47">
        <f>IF(ISNUMBER(expected_production[[#This Row],[Commissioned Date]]),MAX(0,(expected_production[[#This Row],[Date]]-expected_production[[#This Row],[Commissioned Date]])/365.25),"")</f>
        <v>0.56947296372347711</v>
      </c>
      <c r="F520" s="49">
        <f>IF(expected_production[[#This Row],[Age (yrs)]]="",1,(1-DegradationRate)^expected_production[[#This Row],[Age (yrs)]])</f>
        <v>0.99600766236740168</v>
      </c>
      <c r="G520" s="52">
        <f>IF(expected_production[[#This Row],[Base Expected (kWh)]]="","",expected_production[[#This Row],[Base Expected (kWh)]]*expected_production[[#This Row],[Degradation Factor]])</f>
        <v>10529.19540195075</v>
      </c>
    </row>
    <row r="521" spans="1:7" ht="15" hidden="1" customHeight="1" x14ac:dyDescent="0.3">
      <c r="A521" t="s">
        <v>93</v>
      </c>
      <c r="B521" s="2">
        <v>45748</v>
      </c>
      <c r="C521" s="52">
        <v>8335.7999999999993</v>
      </c>
      <c r="D521" s="48">
        <f>_xlfn.XLOOKUP(expected_production[[#This Row],[Site Name]],Table1[[Site Name ]],Table1[Commisioned Date],"")</f>
        <v>45509</v>
      </c>
      <c r="E521" s="47">
        <f>IF(ISNUMBER(expected_production[[#This Row],[Commissioned Date]]),MAX(0,(expected_production[[#This Row],[Date]]-expected_production[[#This Row],[Commissioned Date]])/365.25),"")</f>
        <v>0.65434633812457221</v>
      </c>
      <c r="F521" s="49">
        <f>IF(expected_production[[#This Row],[Age (yrs)]]="",1,(1-DegradationRate)^expected_production[[#This Row],[Age (yrs)]])</f>
        <v>0.99541401682074815</v>
      </c>
      <c r="G521" s="52">
        <f>IF(expected_production[[#This Row],[Base Expected (kWh)]]="","",expected_production[[#This Row],[Base Expected (kWh)]]*expected_production[[#This Row],[Degradation Factor]])</f>
        <v>8297.5721614143913</v>
      </c>
    </row>
    <row r="522" spans="1:7" ht="15" hidden="1" customHeight="1" x14ac:dyDescent="0.3">
      <c r="A522" t="s">
        <v>93</v>
      </c>
      <c r="B522" s="2">
        <v>45778</v>
      </c>
      <c r="C522" s="52">
        <v>6723.9</v>
      </c>
      <c r="D522" s="48">
        <f>_xlfn.XLOOKUP(expected_production[[#This Row],[Site Name]],Table1[[Site Name ]],Table1[Commisioned Date],"")</f>
        <v>45509</v>
      </c>
      <c r="E522" s="47">
        <f>IF(ISNUMBER(expected_production[[#This Row],[Commissioned Date]]),MAX(0,(expected_production[[#This Row],[Date]]-expected_production[[#This Row],[Commissioned Date]])/365.25),"")</f>
        <v>0.73648186173853525</v>
      </c>
      <c r="F522" s="49">
        <f>IF(expected_production[[#This Row],[Age (yrs)]]="",1,(1-DegradationRate)^expected_production[[#This Row],[Age (yrs)]])</f>
        <v>0.99483985802363351</v>
      </c>
      <c r="G522" s="52">
        <f>IF(expected_production[[#This Row],[Base Expected (kWh)]]="","",expected_production[[#This Row],[Base Expected (kWh)]]*expected_production[[#This Row],[Degradation Factor]])</f>
        <v>6689.2037213651092</v>
      </c>
    </row>
    <row r="523" spans="1:7" ht="15" hidden="1" customHeight="1" x14ac:dyDescent="0.3">
      <c r="A523" t="s">
        <v>93</v>
      </c>
      <c r="B523" s="2">
        <v>45809</v>
      </c>
      <c r="C523" s="52">
        <v>5859.9</v>
      </c>
      <c r="D523" s="48">
        <f>_xlfn.XLOOKUP(expected_production[[#This Row],[Site Name]],Table1[[Site Name ]],Table1[Commisioned Date],"")</f>
        <v>45509</v>
      </c>
      <c r="E523" s="47">
        <f>IF(ISNUMBER(expected_production[[#This Row],[Commissioned Date]]),MAX(0,(expected_production[[#This Row],[Date]]-expected_production[[#This Row],[Commissioned Date]])/365.25),"")</f>
        <v>0.82135523613963035</v>
      </c>
      <c r="F523" s="49">
        <f>IF(expected_production[[#This Row],[Age (yrs)]]="",1,(1-DegradationRate)^expected_production[[#This Row],[Age (yrs)]])</f>
        <v>0.9942469085176574</v>
      </c>
      <c r="G523" s="52">
        <f>IF(expected_production[[#This Row],[Base Expected (kWh)]]="","",expected_production[[#This Row],[Base Expected (kWh)]]*expected_production[[#This Row],[Degradation Factor]])</f>
        <v>5826.1874592226204</v>
      </c>
    </row>
    <row r="524" spans="1:7" ht="15" hidden="1" customHeight="1" x14ac:dyDescent="0.3">
      <c r="A524" t="s">
        <v>93</v>
      </c>
      <c r="B524" s="2">
        <v>45839</v>
      </c>
      <c r="C524" s="52">
        <v>6453</v>
      </c>
      <c r="D524" s="48">
        <f>_xlfn.XLOOKUP(expected_production[[#This Row],[Site Name]],Table1[[Site Name ]],Table1[Commisioned Date],"")</f>
        <v>45509</v>
      </c>
      <c r="E524" s="47">
        <f>IF(ISNUMBER(expected_production[[#This Row],[Commissioned Date]]),MAX(0,(expected_production[[#This Row],[Date]]-expected_production[[#This Row],[Commissioned Date]])/365.25),"")</f>
        <v>0.90349075975359339</v>
      </c>
      <c r="F524" s="49">
        <f>IF(expected_production[[#This Row],[Age (yrs)]]="",1,(1-DegradationRate)^expected_production[[#This Row],[Age (yrs)]])</f>
        <v>0.99367342291329286</v>
      </c>
      <c r="G524" s="52">
        <f>IF(expected_production[[#This Row],[Base Expected (kWh)]]="","",expected_production[[#This Row],[Base Expected (kWh)]]*expected_production[[#This Row],[Degradation Factor]])</f>
        <v>6412.1745980594787</v>
      </c>
    </row>
    <row r="525" spans="1:7" ht="15" hidden="1" customHeight="1" x14ac:dyDescent="0.3">
      <c r="A525" t="s">
        <v>93</v>
      </c>
      <c r="B525" s="2">
        <v>45870</v>
      </c>
      <c r="C525" s="52">
        <v>7491.6</v>
      </c>
      <c r="D525" s="48">
        <f>_xlfn.XLOOKUP(expected_production[[#This Row],[Site Name]],Table1[[Site Name ]],Table1[Commisioned Date],"")</f>
        <v>45509</v>
      </c>
      <c r="E525" s="47">
        <f>IF(ISNUMBER(expected_production[[#This Row],[Commissioned Date]]),MAX(0,(expected_production[[#This Row],[Date]]-expected_production[[#This Row],[Commissioned Date]])/365.25),"")</f>
        <v>0.9883641341546886</v>
      </c>
      <c r="F525" s="49">
        <f>IF(expected_production[[#This Row],[Age (yrs)]]="",1,(1-DegradationRate)^expected_production[[#This Row],[Age (yrs)]])</f>
        <v>0.99308116863189677</v>
      </c>
      <c r="G525" s="52">
        <f>IF(expected_production[[#This Row],[Base Expected (kWh)]]="","",expected_production[[#This Row],[Base Expected (kWh)]]*expected_production[[#This Row],[Degradation Factor]])</f>
        <v>7439.7668829227187</v>
      </c>
    </row>
    <row r="526" spans="1:7" ht="15" hidden="1" customHeight="1" x14ac:dyDescent="0.3">
      <c r="A526" t="s">
        <v>93</v>
      </c>
      <c r="B526" s="2">
        <v>45901</v>
      </c>
      <c r="C526" s="52">
        <v>8864.1</v>
      </c>
      <c r="D526" s="48">
        <f>_xlfn.XLOOKUP(expected_production[[#This Row],[Site Name]],Table1[[Site Name ]],Table1[Commisioned Date],"")</f>
        <v>45509</v>
      </c>
      <c r="E526" s="47">
        <f>IF(ISNUMBER(expected_production[[#This Row],[Commissioned Date]]),MAX(0,(expected_production[[#This Row],[Date]]-expected_production[[#This Row],[Commissioned Date]])/365.25),"")</f>
        <v>1.0732375085557837</v>
      </c>
      <c r="F526" s="49">
        <f>IF(expected_production[[#This Row],[Age (yrs)]]="",1,(1-DegradationRate)^expected_production[[#This Row],[Age (yrs)]])</f>
        <v>0.99248926734890608</v>
      </c>
      <c r="G526" s="52">
        <f>IF(expected_production[[#This Row],[Base Expected (kWh)]]="","",expected_production[[#This Row],[Base Expected (kWh)]]*expected_production[[#This Row],[Degradation Factor]])</f>
        <v>8797.5241147074394</v>
      </c>
    </row>
    <row r="527" spans="1:7" ht="15" hidden="1" customHeight="1" x14ac:dyDescent="0.3">
      <c r="A527" t="s">
        <v>93</v>
      </c>
      <c r="B527" s="2">
        <v>45931</v>
      </c>
      <c r="C527" s="52">
        <v>10361.700000000001</v>
      </c>
      <c r="D527" s="48">
        <f>_xlfn.XLOOKUP(expected_production[[#This Row],[Site Name]],Table1[[Site Name ]],Table1[Commisioned Date],"")</f>
        <v>45509</v>
      </c>
      <c r="E527" s="47">
        <f>IF(ISNUMBER(expected_production[[#This Row],[Commissioned Date]]),MAX(0,(expected_production[[#This Row],[Date]]-expected_production[[#This Row],[Commissioned Date]])/365.25),"")</f>
        <v>1.1553730321697468</v>
      </c>
      <c r="F527" s="49">
        <f>IF(expected_production[[#This Row],[Age (yrs)]]="",1,(1-DegradationRate)^expected_production[[#This Row],[Age (yrs)]])</f>
        <v>0.9919167955590168</v>
      </c>
      <c r="G527" s="52">
        <f>IF(expected_production[[#This Row],[Base Expected (kWh)]]="","",expected_production[[#This Row],[Base Expected (kWh)]]*expected_production[[#This Row],[Degradation Factor]])</f>
        <v>10277.944260543865</v>
      </c>
    </row>
    <row r="528" spans="1:7" ht="15" hidden="1" customHeight="1" x14ac:dyDescent="0.3">
      <c r="A528" t="s">
        <v>93</v>
      </c>
      <c r="B528" s="2">
        <v>45962</v>
      </c>
      <c r="C528" s="52">
        <v>10972.8</v>
      </c>
      <c r="D528" s="48">
        <f>_xlfn.XLOOKUP(expected_production[[#This Row],[Site Name]],Table1[[Site Name ]],Table1[Commisioned Date],"")</f>
        <v>45509</v>
      </c>
      <c r="E528" s="47">
        <f>IF(ISNUMBER(expected_production[[#This Row],[Commissioned Date]]),MAX(0,(expected_production[[#This Row],[Date]]-expected_production[[#This Row],[Commissioned Date]])/365.25),"")</f>
        <v>1.2402464065708418</v>
      </c>
      <c r="F528" s="49">
        <f>IF(expected_production[[#This Row],[Age (yrs)]]="",1,(1-DegradationRate)^expected_production[[#This Row],[Age (yrs)]])</f>
        <v>0.99132558827158002</v>
      </c>
      <c r="G528" s="52">
        <f>IF(expected_production[[#This Row],[Base Expected (kWh)]]="","",expected_production[[#This Row],[Base Expected (kWh)]]*expected_production[[#This Row],[Degradation Factor]])</f>
        <v>10877.617414986393</v>
      </c>
    </row>
    <row r="529" spans="1:7" ht="15" hidden="1" customHeight="1" x14ac:dyDescent="0.3">
      <c r="A529" t="s">
        <v>93</v>
      </c>
      <c r="B529" s="2">
        <v>45992</v>
      </c>
      <c r="C529" s="52">
        <v>11630.7</v>
      </c>
      <c r="D529" s="48">
        <f>_xlfn.XLOOKUP(expected_production[[#This Row],[Site Name]],Table1[[Site Name ]],Table1[Commisioned Date],"")</f>
        <v>45509</v>
      </c>
      <c r="E529" s="47">
        <f>IF(ISNUMBER(expected_production[[#This Row],[Commissioned Date]]),MAX(0,(expected_production[[#This Row],[Date]]-expected_production[[#This Row],[Commissioned Date]])/365.25),"")</f>
        <v>1.322381930184805</v>
      </c>
      <c r="F529" s="49">
        <f>IF(expected_production[[#This Row],[Age (yrs)]]="",1,(1-DegradationRate)^expected_production[[#This Row],[Age (yrs)]])</f>
        <v>0.99075378769644973</v>
      </c>
      <c r="G529" s="52">
        <f>IF(expected_production[[#This Row],[Base Expected (kWh)]]="","",expected_production[[#This Row],[Base Expected (kWh)]]*expected_production[[#This Row],[Degradation Factor]])</f>
        <v>11523.160078561099</v>
      </c>
    </row>
    <row r="530" spans="1:7" ht="15" hidden="1" customHeight="1" x14ac:dyDescent="0.3">
      <c r="A530" t="s">
        <v>93</v>
      </c>
      <c r="B530" s="2">
        <v>46023</v>
      </c>
      <c r="C530" s="52">
        <v>11798.1</v>
      </c>
      <c r="D530" s="48">
        <f>_xlfn.XLOOKUP(expected_production[[#This Row],[Site Name]],Table1[[Site Name ]],Table1[Commisioned Date],"")</f>
        <v>45509</v>
      </c>
      <c r="E530" s="47">
        <f>IF(ISNUMBER(expected_production[[#This Row],[Commissioned Date]]),MAX(0,(expected_production[[#This Row],[Date]]-expected_production[[#This Row],[Commissioned Date]])/365.25),"")</f>
        <v>1.4072553045859</v>
      </c>
      <c r="F530" s="49">
        <f>IF(expected_production[[#This Row],[Age (yrs)]]="",1,(1-DegradationRate)^expected_production[[#This Row],[Age (yrs)]])</f>
        <v>0.99016327359086731</v>
      </c>
      <c r="G530" s="52">
        <f>IF(expected_production[[#This Row],[Base Expected (kWh)]]="","",expected_production[[#This Row],[Base Expected (kWh)]]*expected_production[[#This Row],[Degradation Factor]])</f>
        <v>11682.045318152412</v>
      </c>
    </row>
    <row r="531" spans="1:7" ht="15" hidden="1" customHeight="1" x14ac:dyDescent="0.3">
      <c r="A531" t="s">
        <v>93</v>
      </c>
      <c r="B531" s="2">
        <v>46054</v>
      </c>
      <c r="C531" s="52">
        <v>10269.9</v>
      </c>
      <c r="D531" s="48">
        <f>_xlfn.XLOOKUP(expected_production[[#This Row],[Site Name]],Table1[[Site Name ]],Table1[Commisioned Date],"")</f>
        <v>45509</v>
      </c>
      <c r="E531" s="47">
        <f>IF(ISNUMBER(expected_production[[#This Row],[Commissioned Date]]),MAX(0,(expected_production[[#This Row],[Date]]-expected_production[[#This Row],[Commissioned Date]])/365.25),"")</f>
        <v>1.4921286789869952</v>
      </c>
      <c r="F531" s="49">
        <f>IF(expected_production[[#This Row],[Age (yrs)]]="",1,(1-DegradationRate)^expected_production[[#This Row],[Age (yrs)]])</f>
        <v>0.98957311144650184</v>
      </c>
      <c r="G531" s="52">
        <f>IF(expected_production[[#This Row],[Base Expected (kWh)]]="","",expected_production[[#This Row],[Base Expected (kWh)]]*expected_production[[#This Row],[Degradation Factor]])</f>
        <v>10162.816897244429</v>
      </c>
    </row>
    <row r="532" spans="1:7" ht="15" hidden="1" customHeight="1" x14ac:dyDescent="0.3">
      <c r="A532" t="s">
        <v>93</v>
      </c>
      <c r="B532" s="2">
        <v>46082</v>
      </c>
      <c r="C532" s="52">
        <v>10571.4</v>
      </c>
      <c r="D532" s="48">
        <f>_xlfn.XLOOKUP(expected_production[[#This Row],[Site Name]],Table1[[Site Name ]],Table1[Commisioned Date],"")</f>
        <v>45509</v>
      </c>
      <c r="E532" s="47">
        <f>IF(ISNUMBER(expected_production[[#This Row],[Commissioned Date]]),MAX(0,(expected_production[[#This Row],[Date]]-expected_production[[#This Row],[Commissioned Date]])/365.25),"")</f>
        <v>1.568788501026694</v>
      </c>
      <c r="F532" s="49">
        <f>IF(expected_production[[#This Row],[Age (yrs)]]="",1,(1-DegradationRate)^expected_production[[#This Row],[Age (yrs)]])</f>
        <v>0.98904036411139973</v>
      </c>
      <c r="G532" s="52">
        <f>IF(expected_production[[#This Row],[Base Expected (kWh)]]="","",expected_production[[#This Row],[Base Expected (kWh)]]*expected_production[[#This Row],[Degradation Factor]])</f>
        <v>10455.541305167251</v>
      </c>
    </row>
    <row r="533" spans="1:7" ht="15" hidden="1" customHeight="1" x14ac:dyDescent="0.3">
      <c r="A533" t="s">
        <v>93</v>
      </c>
      <c r="B533" s="2">
        <v>46113</v>
      </c>
      <c r="C533" s="52">
        <v>8335.7999999999993</v>
      </c>
      <c r="D533" s="48">
        <f>_xlfn.XLOOKUP(expected_production[[#This Row],[Site Name]],Table1[[Site Name ]],Table1[Commisioned Date],"")</f>
        <v>45509</v>
      </c>
      <c r="E533" s="47">
        <f>IF(ISNUMBER(expected_production[[#This Row],[Commissioned Date]]),MAX(0,(expected_production[[#This Row],[Date]]-expected_production[[#This Row],[Commissioned Date]])/365.25),"")</f>
        <v>1.6536618754277892</v>
      </c>
      <c r="F533" s="49">
        <f>IF(expected_production[[#This Row],[Age (yrs)]]="",1,(1-DegradationRate)^expected_production[[#This Row],[Age (yrs)]])</f>
        <v>0.98845087124924669</v>
      </c>
      <c r="G533" s="52">
        <f>IF(expected_production[[#This Row],[Base Expected (kWh)]]="","",expected_production[[#This Row],[Base Expected (kWh)]]*expected_production[[#This Row],[Degradation Factor]])</f>
        <v>8239.5287725594699</v>
      </c>
    </row>
    <row r="534" spans="1:7" ht="15" hidden="1" customHeight="1" x14ac:dyDescent="0.3">
      <c r="A534" t="s">
        <v>93</v>
      </c>
      <c r="B534" s="2">
        <v>46143</v>
      </c>
      <c r="C534" s="52">
        <v>6723.9</v>
      </c>
      <c r="D534" s="48">
        <f>_xlfn.XLOOKUP(expected_production[[#This Row],[Site Name]],Table1[[Site Name ]],Table1[Commisioned Date],"")</f>
        <v>45509</v>
      </c>
      <c r="E534" s="47">
        <f>IF(ISNUMBER(expected_production[[#This Row],[Commissioned Date]]),MAX(0,(expected_production[[#This Row],[Date]]-expected_production[[#This Row],[Commissioned Date]])/365.25),"")</f>
        <v>1.7357973990417521</v>
      </c>
      <c r="F534" s="49">
        <f>IF(expected_production[[#This Row],[Age (yrs)]]="",1,(1-DegradationRate)^expected_production[[#This Row],[Age (yrs)]])</f>
        <v>0.98788072882242417</v>
      </c>
      <c r="G534" s="52">
        <f>IF(expected_production[[#This Row],[Base Expected (kWh)]]="","",expected_production[[#This Row],[Base Expected (kWh)]]*expected_production[[#This Row],[Degradation Factor]])</f>
        <v>6642.4112325290971</v>
      </c>
    </row>
    <row r="535" spans="1:7" ht="15" hidden="1" customHeight="1" x14ac:dyDescent="0.3">
      <c r="A535" t="s">
        <v>93</v>
      </c>
      <c r="B535" s="2">
        <v>46174</v>
      </c>
      <c r="C535" s="52">
        <v>5859.9</v>
      </c>
      <c r="D535" s="48">
        <f>_xlfn.XLOOKUP(expected_production[[#This Row],[Site Name]],Table1[[Site Name ]],Table1[Commisioned Date],"")</f>
        <v>45509</v>
      </c>
      <c r="E535" s="47">
        <f>IF(ISNUMBER(expected_production[[#This Row],[Commissioned Date]]),MAX(0,(expected_production[[#This Row],[Date]]-expected_production[[#This Row],[Commissioned Date]])/365.25),"")</f>
        <v>1.8206707734428473</v>
      </c>
      <c r="F535" s="49">
        <f>IF(expected_production[[#This Row],[Age (yrs)]]="",1,(1-DegradationRate)^expected_production[[#This Row],[Age (yrs)]])</f>
        <v>0.98729192713198699</v>
      </c>
      <c r="G535" s="52">
        <f>IF(expected_production[[#This Row],[Base Expected (kWh)]]="","",expected_production[[#This Row],[Base Expected (kWh)]]*expected_production[[#This Row],[Degradation Factor]])</f>
        <v>5785.43196380073</v>
      </c>
    </row>
    <row r="536" spans="1:7" ht="15" hidden="1" customHeight="1" x14ac:dyDescent="0.3">
      <c r="A536" t="s">
        <v>93</v>
      </c>
      <c r="B536" s="2">
        <v>46204</v>
      </c>
      <c r="C536" s="52">
        <v>6453</v>
      </c>
      <c r="D536" s="48">
        <f>_xlfn.XLOOKUP(expected_production[[#This Row],[Site Name]],Table1[[Site Name ]],Table1[Commisioned Date],"")</f>
        <v>45509</v>
      </c>
      <c r="E536" s="47">
        <f>IF(ISNUMBER(expected_production[[#This Row],[Commissioned Date]]),MAX(0,(expected_production[[#This Row],[Date]]-expected_production[[#This Row],[Commissioned Date]])/365.25),"")</f>
        <v>1.9028062970568105</v>
      </c>
      <c r="F536" s="49">
        <f>IF(expected_production[[#This Row],[Age (yrs)]]="",1,(1-DegradationRate)^expected_production[[#This Row],[Age (yrs)]])</f>
        <v>0.98672245318877938</v>
      </c>
      <c r="G536" s="52">
        <f>IF(expected_production[[#This Row],[Base Expected (kWh)]]="","",expected_production[[#This Row],[Base Expected (kWh)]]*expected_production[[#This Row],[Degradation Factor]])</f>
        <v>6367.3199904271933</v>
      </c>
    </row>
    <row r="537" spans="1:7" ht="15" hidden="1" customHeight="1" x14ac:dyDescent="0.3">
      <c r="A537" t="s">
        <v>93</v>
      </c>
      <c r="B537" s="2">
        <v>46235</v>
      </c>
      <c r="C537" s="52">
        <v>7491.6</v>
      </c>
      <c r="D537" s="48">
        <f>_xlfn.XLOOKUP(expected_production[[#This Row],[Site Name]],Table1[[Site Name ]],Table1[Commisioned Date],"")</f>
        <v>45509</v>
      </c>
      <c r="E537" s="47">
        <f>IF(ISNUMBER(expected_production[[#This Row],[Commissioned Date]]),MAX(0,(expected_production[[#This Row],[Date]]-expected_production[[#This Row],[Commissioned Date]])/365.25),"")</f>
        <v>1.9876796714579055</v>
      </c>
      <c r="F537" s="49">
        <f>IF(expected_production[[#This Row],[Age (yrs)]]="",1,(1-DegradationRate)^expected_production[[#This Row],[Age (yrs)]])</f>
        <v>0.98613434185966942</v>
      </c>
      <c r="G537" s="52">
        <f>IF(expected_production[[#This Row],[Base Expected (kWh)]]="","",expected_production[[#This Row],[Base Expected (kWh)]]*expected_production[[#This Row],[Degradation Factor]])</f>
        <v>7387.7240354758997</v>
      </c>
    </row>
    <row r="538" spans="1:7" ht="15" hidden="1" customHeight="1" x14ac:dyDescent="0.3">
      <c r="A538" t="s">
        <v>93</v>
      </c>
      <c r="B538" s="2">
        <v>46266</v>
      </c>
      <c r="C538" s="52">
        <v>8864.1</v>
      </c>
      <c r="D538" s="48">
        <f>_xlfn.XLOOKUP(expected_production[[#This Row],[Site Name]],Table1[[Site Name ]],Table1[Commisioned Date],"")</f>
        <v>45509</v>
      </c>
      <c r="E538" s="47">
        <f>IF(ISNUMBER(expected_production[[#This Row],[Commissioned Date]]),MAX(0,(expected_production[[#This Row],[Date]]-expected_production[[#This Row],[Commissioned Date]])/365.25),"")</f>
        <v>2.0725530458590007</v>
      </c>
      <c r="F538" s="49">
        <f>IF(expected_production[[#This Row],[Age (yrs)]]="",1,(1-DegradationRate)^expected_production[[#This Row],[Age (yrs)]])</f>
        <v>0.98554658105966153</v>
      </c>
      <c r="G538" s="52">
        <f>IF(expected_production[[#This Row],[Base Expected (kWh)]]="","",expected_production[[#This Row],[Base Expected (kWh)]]*expected_production[[#This Row],[Degradation Factor]])</f>
        <v>8735.9834491709462</v>
      </c>
    </row>
    <row r="539" spans="1:7" ht="15" hidden="1" customHeight="1" x14ac:dyDescent="0.3">
      <c r="A539" t="s">
        <v>93</v>
      </c>
      <c r="B539" s="2">
        <v>46296</v>
      </c>
      <c r="C539" s="52">
        <v>10361.700000000001</v>
      </c>
      <c r="D539" s="48">
        <f>_xlfn.XLOOKUP(expected_production[[#This Row],[Site Name]],Table1[[Site Name ]],Table1[Commisioned Date],"")</f>
        <v>45509</v>
      </c>
      <c r="E539" s="47">
        <f>IF(ISNUMBER(expected_production[[#This Row],[Commissioned Date]]),MAX(0,(expected_production[[#This Row],[Date]]-expected_production[[#This Row],[Commissioned Date]])/365.25),"")</f>
        <v>2.1546885694729636</v>
      </c>
      <c r="F539" s="49">
        <f>IF(expected_production[[#This Row],[Age (yrs)]]="",1,(1-DegradationRate)^expected_production[[#This Row],[Age (yrs)]])</f>
        <v>0.9849781138390683</v>
      </c>
      <c r="G539" s="52">
        <f>IF(expected_production[[#This Row],[Base Expected (kWh)]]="","",expected_production[[#This Row],[Base Expected (kWh)]]*expected_production[[#This Row],[Degradation Factor]])</f>
        <v>10206.047722166275</v>
      </c>
    </row>
    <row r="540" spans="1:7" ht="15" hidden="1" customHeight="1" x14ac:dyDescent="0.3">
      <c r="A540" t="s">
        <v>93</v>
      </c>
      <c r="B540" s="2">
        <v>46327</v>
      </c>
      <c r="C540" s="52">
        <v>10972.8</v>
      </c>
      <c r="D540" s="48">
        <f>_xlfn.XLOOKUP(expected_production[[#This Row],[Site Name]],Table1[[Site Name ]],Table1[Commisioned Date],"")</f>
        <v>45509</v>
      </c>
      <c r="E540" s="47">
        <f>IF(ISNUMBER(expected_production[[#This Row],[Commissioned Date]]),MAX(0,(expected_production[[#This Row],[Date]]-expected_production[[#This Row],[Commissioned Date]])/365.25),"")</f>
        <v>2.239561943874059</v>
      </c>
      <c r="F540" s="49">
        <f>IF(expected_production[[#This Row],[Age (yrs)]]="",1,(1-DegradationRate)^expected_production[[#This Row],[Age (yrs)]])</f>
        <v>0.98439104217995888</v>
      </c>
      <c r="G540" s="52">
        <f>IF(expected_production[[#This Row],[Base Expected (kWh)]]="","",expected_production[[#This Row],[Base Expected (kWh)]]*expected_production[[#This Row],[Degradation Factor]])</f>
        <v>10801.526027632251</v>
      </c>
    </row>
    <row r="541" spans="1:7" ht="15" hidden="1" customHeight="1" x14ac:dyDescent="0.3">
      <c r="A541" t="s">
        <v>93</v>
      </c>
      <c r="B541" s="2">
        <v>46357</v>
      </c>
      <c r="C541" s="52">
        <v>11630.7</v>
      </c>
      <c r="D541" s="48">
        <f>_xlfn.XLOOKUP(expected_production[[#This Row],[Site Name]],Table1[[Site Name ]],Table1[Commisioned Date],"")</f>
        <v>45509</v>
      </c>
      <c r="E541" s="47">
        <f>IF(ISNUMBER(expected_production[[#This Row],[Commissioned Date]]),MAX(0,(expected_production[[#This Row],[Date]]-expected_production[[#This Row],[Commissioned Date]])/365.25),"")</f>
        <v>2.321697467488022</v>
      </c>
      <c r="F541" s="49">
        <f>IF(expected_production[[#This Row],[Age (yrs)]]="",1,(1-DegradationRate)^expected_production[[#This Row],[Age (yrs)]])</f>
        <v>0.98382324147882594</v>
      </c>
      <c r="G541" s="52">
        <f>IF(expected_production[[#This Row],[Base Expected (kWh)]]="","",expected_production[[#This Row],[Base Expected (kWh)]]*expected_production[[#This Row],[Degradation Factor]])</f>
        <v>11442.552974667782</v>
      </c>
    </row>
    <row r="542" spans="1:7" ht="15" hidden="1" customHeight="1" x14ac:dyDescent="0.3">
      <c r="A542" t="s">
        <v>95</v>
      </c>
      <c r="B542" s="2">
        <v>45292</v>
      </c>
      <c r="C542" s="52">
        <v>33516</v>
      </c>
      <c r="D542" s="48">
        <f>_xlfn.XLOOKUP(expected_production[[#This Row],[Site Name]],Table1[[Site Name ]],Table1[Commisioned Date],"")</f>
        <v>45460</v>
      </c>
      <c r="E542" s="47">
        <f>IF(ISNUMBER(expected_production[[#This Row],[Commissioned Date]]),MAX(0,(expected_production[[#This Row],[Date]]-expected_production[[#This Row],[Commissioned Date]])/365.25),"")</f>
        <v>0</v>
      </c>
      <c r="F542" s="49">
        <f>IF(expected_production[[#This Row],[Age (yrs)]]="",1,(1-DegradationRate)^expected_production[[#This Row],[Age (yrs)]])</f>
        <v>1</v>
      </c>
      <c r="G542" s="52">
        <f>IF(expected_production[[#This Row],[Base Expected (kWh)]]="","",expected_production[[#This Row],[Base Expected (kWh)]]*expected_production[[#This Row],[Degradation Factor]])</f>
        <v>33516</v>
      </c>
    </row>
    <row r="543" spans="1:7" ht="15" hidden="1" customHeight="1" x14ac:dyDescent="0.3">
      <c r="A543" t="s">
        <v>95</v>
      </c>
      <c r="B543" s="2">
        <v>45323</v>
      </c>
      <c r="C543" s="52">
        <v>28776.799999999999</v>
      </c>
      <c r="D543" s="48">
        <f>_xlfn.XLOOKUP(expected_production[[#This Row],[Site Name]],Table1[[Site Name ]],Table1[Commisioned Date],"")</f>
        <v>45460</v>
      </c>
      <c r="E543" s="47">
        <f>IF(ISNUMBER(expected_production[[#This Row],[Commissioned Date]]),MAX(0,(expected_production[[#This Row],[Date]]-expected_production[[#This Row],[Commissioned Date]])/365.25),"")</f>
        <v>0</v>
      </c>
      <c r="F543" s="49">
        <f>IF(expected_production[[#This Row],[Age (yrs)]]="",1,(1-DegradationRate)^expected_production[[#This Row],[Age (yrs)]])</f>
        <v>1</v>
      </c>
      <c r="G543" s="52">
        <f>IF(expected_production[[#This Row],[Base Expected (kWh)]]="","",expected_production[[#This Row],[Base Expected (kWh)]]*expected_production[[#This Row],[Degradation Factor]])</f>
        <v>28776.799999999999</v>
      </c>
    </row>
    <row r="544" spans="1:7" ht="15" hidden="1" customHeight="1" x14ac:dyDescent="0.3">
      <c r="A544" t="s">
        <v>95</v>
      </c>
      <c r="B544" s="2">
        <v>45352</v>
      </c>
      <c r="C544" s="52">
        <v>29186.400000000001</v>
      </c>
      <c r="D544" s="48">
        <f>_xlfn.XLOOKUP(expected_production[[#This Row],[Site Name]],Table1[[Site Name ]],Table1[Commisioned Date],"")</f>
        <v>45460</v>
      </c>
      <c r="E544" s="47">
        <f>IF(ISNUMBER(expected_production[[#This Row],[Commissioned Date]]),MAX(0,(expected_production[[#This Row],[Date]]-expected_production[[#This Row],[Commissioned Date]])/365.25),"")</f>
        <v>0</v>
      </c>
      <c r="F544" s="49">
        <f>IF(expected_production[[#This Row],[Age (yrs)]]="",1,(1-DegradationRate)^expected_production[[#This Row],[Age (yrs)]])</f>
        <v>1</v>
      </c>
      <c r="G544" s="52">
        <f>IF(expected_production[[#This Row],[Base Expected (kWh)]]="","",expected_production[[#This Row],[Base Expected (kWh)]]*expected_production[[#This Row],[Degradation Factor]])</f>
        <v>29186.400000000001</v>
      </c>
    </row>
    <row r="545" spans="1:7" ht="15" hidden="1" customHeight="1" x14ac:dyDescent="0.3">
      <c r="A545" t="s">
        <v>95</v>
      </c>
      <c r="B545" s="2">
        <v>45383</v>
      </c>
      <c r="C545" s="52">
        <v>24678.400000000001</v>
      </c>
      <c r="D545" s="48">
        <f>_xlfn.XLOOKUP(expected_production[[#This Row],[Site Name]],Table1[[Site Name ]],Table1[Commisioned Date],"")</f>
        <v>45460</v>
      </c>
      <c r="E545" s="47">
        <f>IF(ISNUMBER(expected_production[[#This Row],[Commissioned Date]]),MAX(0,(expected_production[[#This Row],[Date]]-expected_production[[#This Row],[Commissioned Date]])/365.25),"")</f>
        <v>0</v>
      </c>
      <c r="F545" s="49">
        <f>IF(expected_production[[#This Row],[Age (yrs)]]="",1,(1-DegradationRate)^expected_production[[#This Row],[Age (yrs)]])</f>
        <v>1</v>
      </c>
      <c r="G545" s="52">
        <f>IF(expected_production[[#This Row],[Base Expected (kWh)]]="","",expected_production[[#This Row],[Base Expected (kWh)]]*expected_production[[#This Row],[Degradation Factor]])</f>
        <v>24678.400000000001</v>
      </c>
    </row>
    <row r="546" spans="1:7" ht="15" hidden="1" customHeight="1" x14ac:dyDescent="0.3">
      <c r="A546" t="s">
        <v>95</v>
      </c>
      <c r="B546" s="2">
        <v>45413</v>
      </c>
      <c r="C546" s="52">
        <v>23380.799999999999</v>
      </c>
      <c r="D546" s="48">
        <f>_xlfn.XLOOKUP(expected_production[[#This Row],[Site Name]],Table1[[Site Name ]],Table1[Commisioned Date],"")</f>
        <v>45460</v>
      </c>
      <c r="E546" s="47">
        <f>IF(ISNUMBER(expected_production[[#This Row],[Commissioned Date]]),MAX(0,(expected_production[[#This Row],[Date]]-expected_production[[#This Row],[Commissioned Date]])/365.25),"")</f>
        <v>0</v>
      </c>
      <c r="F546" s="49">
        <f>IF(expected_production[[#This Row],[Age (yrs)]]="",1,(1-DegradationRate)^expected_production[[#This Row],[Age (yrs)]])</f>
        <v>1</v>
      </c>
      <c r="G546" s="52">
        <f>IF(expected_production[[#This Row],[Base Expected (kWh)]]="","",expected_production[[#This Row],[Base Expected (kWh)]]*expected_production[[#This Row],[Degradation Factor]])</f>
        <v>23380.799999999999</v>
      </c>
    </row>
    <row r="547" spans="1:7" ht="15" hidden="1" customHeight="1" x14ac:dyDescent="0.3">
      <c r="A547" t="s">
        <v>95</v>
      </c>
      <c r="B547" s="2">
        <v>45444</v>
      </c>
      <c r="C547" s="52">
        <v>20986.400000000001</v>
      </c>
      <c r="D547" s="48">
        <f>_xlfn.XLOOKUP(expected_production[[#This Row],[Site Name]],Table1[[Site Name ]],Table1[Commisioned Date],"")</f>
        <v>45460</v>
      </c>
      <c r="E547" s="47">
        <f>IF(ISNUMBER(expected_production[[#This Row],[Commissioned Date]]),MAX(0,(expected_production[[#This Row],[Date]]-expected_production[[#This Row],[Commissioned Date]])/365.25),"")</f>
        <v>0</v>
      </c>
      <c r="F547" s="49">
        <f>IF(expected_production[[#This Row],[Age (yrs)]]="",1,(1-DegradationRate)^expected_production[[#This Row],[Age (yrs)]])</f>
        <v>1</v>
      </c>
      <c r="G547" s="52">
        <f>IF(expected_production[[#This Row],[Base Expected (kWh)]]="","",expected_production[[#This Row],[Base Expected (kWh)]]*expected_production[[#This Row],[Degradation Factor]])</f>
        <v>20986.400000000001</v>
      </c>
    </row>
    <row r="548" spans="1:7" ht="15" hidden="1" customHeight="1" x14ac:dyDescent="0.3">
      <c r="A548" t="s">
        <v>95</v>
      </c>
      <c r="B548" s="2">
        <v>45474</v>
      </c>
      <c r="C548" s="52">
        <v>23255.200000000001</v>
      </c>
      <c r="D548" s="48">
        <f>_xlfn.XLOOKUP(expected_production[[#This Row],[Site Name]],Table1[[Site Name ]],Table1[Commisioned Date],"")</f>
        <v>45460</v>
      </c>
      <c r="E548" s="47">
        <f>IF(ISNUMBER(expected_production[[#This Row],[Commissioned Date]]),MAX(0,(expected_production[[#This Row],[Date]]-expected_production[[#This Row],[Commissioned Date]])/365.25),"")</f>
        <v>3.8329911019849415E-2</v>
      </c>
      <c r="F548" s="49">
        <f>IF(expected_production[[#This Row],[Age (yrs)]]="",1,(1-DegradationRate)^expected_production[[#This Row],[Age (yrs)]])</f>
        <v>0.99973078337981713</v>
      </c>
      <c r="G548" s="52">
        <f>IF(expected_production[[#This Row],[Base Expected (kWh)]]="","",expected_production[[#This Row],[Base Expected (kWh)]]*expected_production[[#This Row],[Degradation Factor]])</f>
        <v>23248.939313654326</v>
      </c>
    </row>
    <row r="549" spans="1:7" ht="15" hidden="1" customHeight="1" x14ac:dyDescent="0.3">
      <c r="A549" t="s">
        <v>95</v>
      </c>
      <c r="B549" s="2">
        <v>45505</v>
      </c>
      <c r="C549" s="52">
        <v>27306.400000000001</v>
      </c>
      <c r="D549" s="48">
        <f>_xlfn.XLOOKUP(expected_production[[#This Row],[Site Name]],Table1[[Site Name ]],Table1[Commisioned Date],"")</f>
        <v>45460</v>
      </c>
      <c r="E549" s="47">
        <f>IF(ISNUMBER(expected_production[[#This Row],[Commissioned Date]]),MAX(0,(expected_production[[#This Row],[Date]]-expected_production[[#This Row],[Commissioned Date]])/365.25),"")</f>
        <v>0.12320328542094455</v>
      </c>
      <c r="F549" s="49">
        <f>IF(expected_production[[#This Row],[Age (yrs)]]="",1,(1-DegradationRate)^expected_production[[#This Row],[Age (yrs)]])</f>
        <v>0.9991349187596642</v>
      </c>
      <c r="G549" s="52">
        <f>IF(expected_production[[#This Row],[Base Expected (kWh)]]="","",expected_production[[#This Row],[Base Expected (kWh)]]*expected_production[[#This Row],[Degradation Factor]])</f>
        <v>27282.777745618896</v>
      </c>
    </row>
    <row r="550" spans="1:7" ht="15" hidden="1" customHeight="1" x14ac:dyDescent="0.3">
      <c r="A550" t="s">
        <v>95</v>
      </c>
      <c r="B550" s="2">
        <v>45536</v>
      </c>
      <c r="C550" s="52">
        <v>30312</v>
      </c>
      <c r="D550" s="48">
        <f>_xlfn.XLOOKUP(expected_production[[#This Row],[Site Name]],Table1[[Site Name ]],Table1[Commisioned Date],"")</f>
        <v>45460</v>
      </c>
      <c r="E550" s="47">
        <f>IF(ISNUMBER(expected_production[[#This Row],[Commissioned Date]]),MAX(0,(expected_production[[#This Row],[Date]]-expected_production[[#This Row],[Commissioned Date]])/365.25),"")</f>
        <v>0.20807665982203971</v>
      </c>
      <c r="F550" s="49">
        <f>IF(expected_production[[#This Row],[Age (yrs)]]="",1,(1-DegradationRate)^expected_production[[#This Row],[Age (yrs)]])</f>
        <v>0.99853940928976925</v>
      </c>
      <c r="G550" s="52">
        <f>IF(expected_production[[#This Row],[Base Expected (kWh)]]="","",expected_production[[#This Row],[Base Expected (kWh)]]*expected_production[[#This Row],[Degradation Factor]])</f>
        <v>30267.726574391487</v>
      </c>
    </row>
    <row r="551" spans="1:7" ht="15" hidden="1" customHeight="1" x14ac:dyDescent="0.3">
      <c r="A551" t="s">
        <v>95</v>
      </c>
      <c r="B551" s="2">
        <v>45566</v>
      </c>
      <c r="C551" s="52">
        <v>33024</v>
      </c>
      <c r="D551" s="48">
        <f>_xlfn.XLOOKUP(expected_production[[#This Row],[Site Name]],Table1[[Site Name ]],Table1[Commisioned Date],"")</f>
        <v>45460</v>
      </c>
      <c r="E551" s="47">
        <f>IF(ISNUMBER(expected_production[[#This Row],[Commissioned Date]]),MAX(0,(expected_production[[#This Row],[Date]]-expected_production[[#This Row],[Commissioned Date]])/365.25),"")</f>
        <v>0.29021218343600275</v>
      </c>
      <c r="F551" s="49">
        <f>IF(expected_production[[#This Row],[Age (yrs)]]="",1,(1-DegradationRate)^expected_production[[#This Row],[Age (yrs)]])</f>
        <v>0.9979634477537439</v>
      </c>
      <c r="G551" s="52">
        <f>IF(expected_production[[#This Row],[Base Expected (kWh)]]="","",expected_production[[#This Row],[Base Expected (kWh)]]*expected_production[[#This Row],[Degradation Factor]])</f>
        <v>32956.74489861964</v>
      </c>
    </row>
    <row r="552" spans="1:7" ht="15" hidden="1" customHeight="1" x14ac:dyDescent="0.3">
      <c r="A552" t="s">
        <v>95</v>
      </c>
      <c r="B552" s="2">
        <v>45597</v>
      </c>
      <c r="C552" s="52">
        <v>33214.400000000001</v>
      </c>
      <c r="D552" s="48">
        <f>_xlfn.XLOOKUP(expected_production[[#This Row],[Site Name]],Table1[[Site Name ]],Table1[Commisioned Date],"")</f>
        <v>45460</v>
      </c>
      <c r="E552" s="47">
        <f>IF(ISNUMBER(expected_production[[#This Row],[Commissioned Date]]),MAX(0,(expected_production[[#This Row],[Date]]-expected_production[[#This Row],[Commissioned Date]])/365.25),"")</f>
        <v>0.3750855578370979</v>
      </c>
      <c r="F552" s="49">
        <f>IF(expected_production[[#This Row],[Age (yrs)]]="",1,(1-DegradationRate)^expected_production[[#This Row],[Age (yrs)]])</f>
        <v>0.99736863650994889</v>
      </c>
      <c r="G552" s="52">
        <f>IF(expected_production[[#This Row],[Base Expected (kWh)]]="","",expected_production[[#This Row],[Base Expected (kWh)]]*expected_production[[#This Row],[Degradation Factor]])</f>
        <v>33127.000840496046</v>
      </c>
    </row>
    <row r="553" spans="1:7" ht="15" hidden="1" customHeight="1" x14ac:dyDescent="0.3">
      <c r="A553" t="s">
        <v>95</v>
      </c>
      <c r="B553" s="2">
        <v>45627</v>
      </c>
      <c r="C553" s="52">
        <v>35066.400000000001</v>
      </c>
      <c r="D553" s="48">
        <f>_xlfn.XLOOKUP(expected_production[[#This Row],[Site Name]],Table1[[Site Name ]],Table1[Commisioned Date],"")</f>
        <v>45460</v>
      </c>
      <c r="E553" s="47">
        <f>IF(ISNUMBER(expected_production[[#This Row],[Commissioned Date]]),MAX(0,(expected_production[[#This Row],[Date]]-expected_production[[#This Row],[Commissioned Date]])/365.25),"")</f>
        <v>0.45722108145106094</v>
      </c>
      <c r="F553" s="49">
        <f>IF(expected_production[[#This Row],[Age (yrs)]]="",1,(1-DegradationRate)^expected_production[[#This Row],[Age (yrs)]])</f>
        <v>0.99679335028035843</v>
      </c>
      <c r="G553" s="52">
        <f>IF(expected_production[[#This Row],[Base Expected (kWh)]]="","",expected_production[[#This Row],[Base Expected (kWh)]]*expected_production[[#This Row],[Degradation Factor]])</f>
        <v>34953.954338271164</v>
      </c>
    </row>
    <row r="554" spans="1:7" ht="15" hidden="1" customHeight="1" x14ac:dyDescent="0.3">
      <c r="A554" t="s">
        <v>95</v>
      </c>
      <c r="B554" s="2">
        <v>45658</v>
      </c>
      <c r="C554" s="52">
        <v>33516</v>
      </c>
      <c r="D554" s="48">
        <f>_xlfn.XLOOKUP(expected_production[[#This Row],[Site Name]],Table1[[Site Name ]],Table1[Commisioned Date],"")</f>
        <v>45460</v>
      </c>
      <c r="E554" s="47">
        <f>IF(ISNUMBER(expected_production[[#This Row],[Commissioned Date]]),MAX(0,(expected_production[[#This Row],[Date]]-expected_production[[#This Row],[Commissioned Date]])/365.25),"")</f>
        <v>0.5420944558521561</v>
      </c>
      <c r="F554" s="49">
        <f>IF(expected_production[[#This Row],[Age (yrs)]]="",1,(1-DegradationRate)^expected_production[[#This Row],[Age (yrs)]])</f>
        <v>0.99619923644400366</v>
      </c>
      <c r="G554" s="52">
        <f>IF(expected_production[[#This Row],[Base Expected (kWh)]]="","",expected_production[[#This Row],[Base Expected (kWh)]]*expected_production[[#This Row],[Degradation Factor]])</f>
        <v>33388.61360865723</v>
      </c>
    </row>
    <row r="555" spans="1:7" ht="15" hidden="1" customHeight="1" x14ac:dyDescent="0.3">
      <c r="A555" t="s">
        <v>95</v>
      </c>
      <c r="B555" s="2">
        <v>45689</v>
      </c>
      <c r="C555" s="52">
        <v>28776.799999999999</v>
      </c>
      <c r="D555" s="48">
        <f>_xlfn.XLOOKUP(expected_production[[#This Row],[Site Name]],Table1[[Site Name ]],Table1[Commisioned Date],"")</f>
        <v>45460</v>
      </c>
      <c r="E555" s="47">
        <f>IF(ISNUMBER(expected_production[[#This Row],[Commissioned Date]]),MAX(0,(expected_production[[#This Row],[Date]]-expected_production[[#This Row],[Commissioned Date]])/365.25),"")</f>
        <v>0.6269678302532512</v>
      </c>
      <c r="F555" s="49">
        <f>IF(expected_production[[#This Row],[Age (yrs)]]="",1,(1-DegradationRate)^expected_production[[#This Row],[Age (yrs)]])</f>
        <v>0.99560547671439581</v>
      </c>
      <c r="G555" s="52">
        <f>IF(expected_production[[#This Row],[Base Expected (kWh)]]="","",expected_production[[#This Row],[Base Expected (kWh)]]*expected_production[[#This Row],[Degradation Factor]])</f>
        <v>28650.339682314825</v>
      </c>
    </row>
    <row r="556" spans="1:7" ht="15" hidden="1" customHeight="1" x14ac:dyDescent="0.3">
      <c r="A556" t="s">
        <v>95</v>
      </c>
      <c r="B556" s="2">
        <v>45717</v>
      </c>
      <c r="C556" s="52">
        <v>29186.400000000001</v>
      </c>
      <c r="D556" s="48">
        <f>_xlfn.XLOOKUP(expected_production[[#This Row],[Site Name]],Table1[[Site Name ]],Table1[Commisioned Date],"")</f>
        <v>45460</v>
      </c>
      <c r="E556" s="47">
        <f>IF(ISNUMBER(expected_production[[#This Row],[Commissioned Date]]),MAX(0,(expected_production[[#This Row],[Date]]-expected_production[[#This Row],[Commissioned Date]])/365.25),"")</f>
        <v>0.70362765229294999</v>
      </c>
      <c r="F556" s="49">
        <f>IF(expected_production[[#This Row],[Age (yrs)]]="",1,(1-DegradationRate)^expected_production[[#This Row],[Age (yrs)]])</f>
        <v>0.99506948179052668</v>
      </c>
      <c r="G556" s="52">
        <f>IF(expected_production[[#This Row],[Base Expected (kWh)]]="","",expected_production[[#This Row],[Base Expected (kWh)]]*expected_production[[#This Row],[Degradation Factor]])</f>
        <v>29042.495923331029</v>
      </c>
    </row>
    <row r="557" spans="1:7" ht="15" hidden="1" customHeight="1" x14ac:dyDescent="0.3">
      <c r="A557" t="s">
        <v>95</v>
      </c>
      <c r="B557" s="2">
        <v>45748</v>
      </c>
      <c r="C557" s="52">
        <v>24678.400000000001</v>
      </c>
      <c r="D557" s="48">
        <f>_xlfn.XLOOKUP(expected_production[[#This Row],[Site Name]],Table1[[Site Name ]],Table1[Commisioned Date],"")</f>
        <v>45460</v>
      </c>
      <c r="E557" s="47">
        <f>IF(ISNUMBER(expected_production[[#This Row],[Commissioned Date]]),MAX(0,(expected_production[[#This Row],[Date]]-expected_production[[#This Row],[Commissioned Date]])/365.25),"")</f>
        <v>0.7885010266940452</v>
      </c>
      <c r="F557" s="49">
        <f>IF(expected_production[[#This Row],[Age (yrs)]]="",1,(1-DegradationRate)^expected_production[[#This Row],[Age (yrs)]])</f>
        <v>0.99447639542302646</v>
      </c>
      <c r="G557" s="52">
        <f>IF(expected_production[[#This Row],[Base Expected (kWh)]]="","",expected_production[[#This Row],[Base Expected (kWh)]]*expected_production[[#This Row],[Degradation Factor]])</f>
        <v>24542.086276807619</v>
      </c>
    </row>
    <row r="558" spans="1:7" ht="15" hidden="1" customHeight="1" x14ac:dyDescent="0.3">
      <c r="A558" t="s">
        <v>95</v>
      </c>
      <c r="B558" s="2">
        <v>45778</v>
      </c>
      <c r="C558" s="52">
        <v>23380.799999999999</v>
      </c>
      <c r="D558" s="48">
        <f>_xlfn.XLOOKUP(expected_production[[#This Row],[Site Name]],Table1[[Site Name ]],Table1[Commisioned Date],"")</f>
        <v>45460</v>
      </c>
      <c r="E558" s="47">
        <f>IF(ISNUMBER(expected_production[[#This Row],[Commissioned Date]]),MAX(0,(expected_production[[#This Row],[Date]]-expected_production[[#This Row],[Commissioned Date]])/365.25),"")</f>
        <v>0.87063655030800824</v>
      </c>
      <c r="F558" s="49">
        <f>IF(expected_production[[#This Row],[Age (yrs)]]="",1,(1-DegradationRate)^expected_production[[#This Row],[Age (yrs)]])</f>
        <v>0.99390277744969457</v>
      </c>
      <c r="G558" s="52">
        <f>IF(expected_production[[#This Row],[Base Expected (kWh)]]="","",expected_production[[#This Row],[Base Expected (kWh)]]*expected_production[[#This Row],[Degradation Factor]])</f>
        <v>23238.242058995816</v>
      </c>
    </row>
    <row r="559" spans="1:7" ht="15" hidden="1" customHeight="1" x14ac:dyDescent="0.3">
      <c r="A559" t="s">
        <v>95</v>
      </c>
      <c r="B559" s="2">
        <v>45809</v>
      </c>
      <c r="C559" s="52">
        <v>20986.400000000001</v>
      </c>
      <c r="D559" s="48">
        <f>_xlfn.XLOOKUP(expected_production[[#This Row],[Site Name]],Table1[[Site Name ]],Table1[Commisioned Date],"")</f>
        <v>45460</v>
      </c>
      <c r="E559" s="47">
        <f>IF(ISNUMBER(expected_production[[#This Row],[Commissioned Date]]),MAX(0,(expected_production[[#This Row],[Date]]-expected_production[[#This Row],[Commissioned Date]])/365.25),"")</f>
        <v>0.95550992470910334</v>
      </c>
      <c r="F559" s="49">
        <f>IF(expected_production[[#This Row],[Age (yrs)]]="",1,(1-DegradationRate)^expected_production[[#This Row],[Age (yrs)]])</f>
        <v>0.99331038646724257</v>
      </c>
      <c r="G559" s="52">
        <f>IF(expected_production[[#This Row],[Base Expected (kWh)]]="","",expected_production[[#This Row],[Base Expected (kWh)]]*expected_production[[#This Row],[Degradation Factor]])</f>
        <v>20846.009094556142</v>
      </c>
    </row>
    <row r="560" spans="1:7" ht="15" hidden="1" customHeight="1" x14ac:dyDescent="0.3">
      <c r="A560" t="s">
        <v>95</v>
      </c>
      <c r="B560" s="2">
        <v>45839</v>
      </c>
      <c r="C560" s="52">
        <v>23255.200000000001</v>
      </c>
      <c r="D560" s="48">
        <f>_xlfn.XLOOKUP(expected_production[[#This Row],[Site Name]],Table1[[Site Name ]],Table1[Commisioned Date],"")</f>
        <v>45460</v>
      </c>
      <c r="E560" s="47">
        <f>IF(ISNUMBER(expected_production[[#This Row],[Commissioned Date]]),MAX(0,(expected_production[[#This Row],[Date]]-expected_production[[#This Row],[Commissioned Date]])/365.25),"")</f>
        <v>1.0376454483230664</v>
      </c>
      <c r="F560" s="49">
        <f>IF(expected_production[[#This Row],[Age (yrs)]]="",1,(1-DegradationRate)^expected_production[[#This Row],[Age (yrs)]])</f>
        <v>0.99273744105255268</v>
      </c>
      <c r="G560" s="52">
        <f>IF(expected_production[[#This Row],[Base Expected (kWh)]]="","",expected_production[[#This Row],[Base Expected (kWh)]]*expected_production[[#This Row],[Degradation Factor]])</f>
        <v>23086.307739165324</v>
      </c>
    </row>
    <row r="561" spans="1:7" ht="15" hidden="1" customHeight="1" x14ac:dyDescent="0.3">
      <c r="A561" t="s">
        <v>95</v>
      </c>
      <c r="B561" s="2">
        <v>45870</v>
      </c>
      <c r="C561" s="52">
        <v>27306.400000000001</v>
      </c>
      <c r="D561" s="48">
        <f>_xlfn.XLOOKUP(expected_production[[#This Row],[Site Name]],Table1[[Site Name ]],Table1[Commisioned Date],"")</f>
        <v>45460</v>
      </c>
      <c r="E561" s="47">
        <f>IF(ISNUMBER(expected_production[[#This Row],[Commissioned Date]]),MAX(0,(expected_production[[#This Row],[Date]]-expected_production[[#This Row],[Commissioned Date]])/365.25),"")</f>
        <v>1.1225188227241616</v>
      </c>
      <c r="F561" s="49">
        <f>IF(expected_production[[#This Row],[Age (yrs)]]="",1,(1-DegradationRate)^expected_production[[#This Row],[Age (yrs)]])</f>
        <v>0.99214574463981997</v>
      </c>
      <c r="G561" s="52">
        <f>IF(expected_production[[#This Row],[Base Expected (kWh)]]="","",expected_production[[#This Row],[Base Expected (kWh)]]*expected_production[[#This Row],[Degradation Factor]])</f>
        <v>27091.928561432782</v>
      </c>
    </row>
    <row r="562" spans="1:7" ht="15" hidden="1" customHeight="1" x14ac:dyDescent="0.3">
      <c r="A562" t="s">
        <v>95</v>
      </c>
      <c r="B562" s="2">
        <v>45901</v>
      </c>
      <c r="C562" s="52">
        <v>30312</v>
      </c>
      <c r="D562" s="48">
        <f>_xlfn.XLOOKUP(expected_production[[#This Row],[Site Name]],Table1[[Site Name ]],Table1[Commisioned Date],"")</f>
        <v>45460</v>
      </c>
      <c r="E562" s="47">
        <f>IF(ISNUMBER(expected_production[[#This Row],[Commissioned Date]]),MAX(0,(expected_production[[#This Row],[Date]]-expected_production[[#This Row],[Commissioned Date]])/365.25),"")</f>
        <v>1.2073921971252566</v>
      </c>
      <c r="F562" s="49">
        <f>IF(expected_production[[#This Row],[Age (yrs)]]="",1,(1-DegradationRate)^expected_production[[#This Row],[Age (yrs)]])</f>
        <v>0.99155440089298896</v>
      </c>
      <c r="G562" s="52">
        <f>IF(expected_production[[#This Row],[Base Expected (kWh)]]="","",expected_production[[#This Row],[Base Expected (kWh)]]*expected_production[[#This Row],[Degradation Factor]])</f>
        <v>30055.996999868283</v>
      </c>
    </row>
    <row r="563" spans="1:7" ht="15" hidden="1" customHeight="1" x14ac:dyDescent="0.3">
      <c r="A563" t="s">
        <v>95</v>
      </c>
      <c r="B563" s="2">
        <v>45931</v>
      </c>
      <c r="C563" s="52">
        <v>33024</v>
      </c>
      <c r="D563" s="48">
        <f>_xlfn.XLOOKUP(expected_production[[#This Row],[Site Name]],Table1[[Site Name ]],Table1[Commisioned Date],"")</f>
        <v>45460</v>
      </c>
      <c r="E563" s="47">
        <f>IF(ISNUMBER(expected_production[[#This Row],[Commissioned Date]]),MAX(0,(expected_production[[#This Row],[Date]]-expected_production[[#This Row],[Commissioned Date]])/365.25),"")</f>
        <v>1.2895277207392197</v>
      </c>
      <c r="F563" s="49">
        <f>IF(expected_production[[#This Row],[Age (yrs)]]="",1,(1-DegradationRate)^expected_production[[#This Row],[Age (yrs)]])</f>
        <v>0.990982468337821</v>
      </c>
      <c r="G563" s="52">
        <f>IF(expected_production[[#This Row],[Base Expected (kWh)]]="","",expected_production[[#This Row],[Base Expected (kWh)]]*expected_production[[#This Row],[Degradation Factor]])</f>
        <v>32726.2050343882</v>
      </c>
    </row>
    <row r="564" spans="1:7" ht="15" hidden="1" customHeight="1" x14ac:dyDescent="0.3">
      <c r="A564" t="s">
        <v>95</v>
      </c>
      <c r="B564" s="2">
        <v>45962</v>
      </c>
      <c r="C564" s="52">
        <v>33214.400000000001</v>
      </c>
      <c r="D564" s="48">
        <f>_xlfn.XLOOKUP(expected_production[[#This Row],[Site Name]],Table1[[Site Name ]],Table1[Commisioned Date],"")</f>
        <v>45460</v>
      </c>
      <c r="E564" s="47">
        <f>IF(ISNUMBER(expected_production[[#This Row],[Commissioned Date]]),MAX(0,(expected_production[[#This Row],[Date]]-expected_production[[#This Row],[Commissioned Date]])/365.25),"")</f>
        <v>1.3744010951403149</v>
      </c>
      <c r="F564" s="49">
        <f>IF(expected_production[[#This Row],[Age (yrs)]]="",1,(1-DegradationRate)^expected_production[[#This Row],[Age (yrs)]])</f>
        <v>0.99039181793284092</v>
      </c>
      <c r="G564" s="52">
        <f>IF(expected_production[[#This Row],[Base Expected (kWh)]]="","",expected_production[[#This Row],[Base Expected (kWh)]]*expected_production[[#This Row],[Degradation Factor]])</f>
        <v>32895.269997548552</v>
      </c>
    </row>
    <row r="565" spans="1:7" ht="15" hidden="1" customHeight="1" x14ac:dyDescent="0.3">
      <c r="A565" t="s">
        <v>95</v>
      </c>
      <c r="B565" s="2">
        <v>45992</v>
      </c>
      <c r="C565" s="52">
        <v>35066.400000000001</v>
      </c>
      <c r="D565" s="48">
        <f>_xlfn.XLOOKUP(expected_production[[#This Row],[Site Name]],Table1[[Site Name ]],Table1[Commisioned Date],"")</f>
        <v>45460</v>
      </c>
      <c r="E565" s="47">
        <f>IF(ISNUMBER(expected_production[[#This Row],[Commissioned Date]]),MAX(0,(expected_production[[#This Row],[Date]]-expected_production[[#This Row],[Commissioned Date]])/365.25),"")</f>
        <v>1.4565366187542779</v>
      </c>
      <c r="F565" s="49">
        <f>IF(expected_production[[#This Row],[Age (yrs)]]="",1,(1-DegradationRate)^expected_production[[#This Row],[Age (yrs)]])</f>
        <v>0.98982055596018703</v>
      </c>
      <c r="G565" s="52">
        <f>IF(expected_production[[#This Row],[Base Expected (kWh)]]="","",expected_production[[#This Row],[Base Expected (kWh)]]*expected_production[[#This Row],[Degradation Factor]])</f>
        <v>34709.443543522306</v>
      </c>
    </row>
    <row r="566" spans="1:7" ht="15" hidden="1" customHeight="1" x14ac:dyDescent="0.3">
      <c r="A566" t="s">
        <v>95</v>
      </c>
      <c r="B566" s="2">
        <v>46023</v>
      </c>
      <c r="C566" s="52">
        <v>33516</v>
      </c>
      <c r="D566" s="48">
        <f>_xlfn.XLOOKUP(expected_production[[#This Row],[Site Name]],Table1[[Site Name ]],Table1[Commisioned Date],"")</f>
        <v>45460</v>
      </c>
      <c r="E566" s="47">
        <f>IF(ISNUMBER(expected_production[[#This Row],[Commissioned Date]]),MAX(0,(expected_production[[#This Row],[Date]]-expected_production[[#This Row],[Commissioned Date]])/365.25),"")</f>
        <v>1.5414099931553731</v>
      </c>
      <c r="F566" s="49">
        <f>IF(expected_production[[#This Row],[Age (yrs)]]="",1,(1-DegradationRate)^expected_production[[#This Row],[Age (yrs)]])</f>
        <v>0.98923059808412483</v>
      </c>
      <c r="G566" s="52">
        <f>IF(expected_production[[#This Row],[Base Expected (kWh)]]="","",expected_production[[#This Row],[Base Expected (kWh)]]*expected_production[[#This Row],[Degradation Factor]])</f>
        <v>33155.052725387526</v>
      </c>
    </row>
    <row r="567" spans="1:7" ht="15" hidden="1" customHeight="1" x14ac:dyDescent="0.3">
      <c r="A567" t="s">
        <v>95</v>
      </c>
      <c r="B567" s="2">
        <v>46054</v>
      </c>
      <c r="C567" s="52">
        <v>28776.799999999999</v>
      </c>
      <c r="D567" s="48">
        <f>_xlfn.XLOOKUP(expected_production[[#This Row],[Site Name]],Table1[[Site Name ]],Table1[Commisioned Date],"")</f>
        <v>45460</v>
      </c>
      <c r="E567" s="47">
        <f>IF(ISNUMBER(expected_production[[#This Row],[Commissioned Date]]),MAX(0,(expected_production[[#This Row],[Date]]-expected_production[[#This Row],[Commissioned Date]])/365.25),"")</f>
        <v>1.6262833675564681</v>
      </c>
      <c r="F567" s="49">
        <f>IF(expected_production[[#This Row],[Age (yrs)]]="",1,(1-DegradationRate)^expected_production[[#This Row],[Age (yrs)]])</f>
        <v>0.988640991837753</v>
      </c>
      <c r="G567" s="52">
        <f>IF(expected_production[[#This Row],[Base Expected (kWh)]]="","",expected_production[[#This Row],[Base Expected (kWh)]]*expected_production[[#This Row],[Degradation Factor]])</f>
        <v>28449.924093916648</v>
      </c>
    </row>
    <row r="568" spans="1:7" ht="15" hidden="1" customHeight="1" x14ac:dyDescent="0.3">
      <c r="A568" t="s">
        <v>95</v>
      </c>
      <c r="B568" s="2">
        <v>46082</v>
      </c>
      <c r="C568" s="52">
        <v>29186.400000000001</v>
      </c>
      <c r="D568" s="48">
        <f>_xlfn.XLOOKUP(expected_production[[#This Row],[Site Name]],Table1[[Site Name ]],Table1[Commisioned Date],"")</f>
        <v>45460</v>
      </c>
      <c r="E568" s="47">
        <f>IF(ISNUMBER(expected_production[[#This Row],[Commissioned Date]]),MAX(0,(expected_production[[#This Row],[Date]]-expected_production[[#This Row],[Commissioned Date]])/365.25),"")</f>
        <v>1.7029431895961671</v>
      </c>
      <c r="F568" s="49">
        <f>IF(expected_production[[#This Row],[Age (yrs)]]="",1,(1-DegradationRate)^expected_production[[#This Row],[Age (yrs)]])</f>
        <v>0.98810874631927437</v>
      </c>
      <c r="G568" s="52">
        <f>IF(expected_production[[#This Row],[Base Expected (kWh)]]="","",expected_production[[#This Row],[Base Expected (kWh)]]*expected_production[[#This Row],[Degradation Factor]])</f>
        <v>28839.33711357287</v>
      </c>
    </row>
    <row r="569" spans="1:7" ht="15" hidden="1" customHeight="1" x14ac:dyDescent="0.3">
      <c r="A569" t="s">
        <v>95</v>
      </c>
      <c r="B569" s="2">
        <v>46113</v>
      </c>
      <c r="C569" s="52">
        <v>24678.400000000001</v>
      </c>
      <c r="D569" s="48">
        <f>_xlfn.XLOOKUP(expected_production[[#This Row],[Site Name]],Table1[[Site Name ]],Table1[Commisioned Date],"")</f>
        <v>45460</v>
      </c>
      <c r="E569" s="47">
        <f>IF(ISNUMBER(expected_production[[#This Row],[Commissioned Date]]),MAX(0,(expected_production[[#This Row],[Date]]-expected_production[[#This Row],[Commissioned Date]])/365.25),"")</f>
        <v>1.7878165639972621</v>
      </c>
      <c r="F569" s="49">
        <f>IF(expected_production[[#This Row],[Age (yrs)]]="",1,(1-DegradationRate)^expected_production[[#This Row],[Age (yrs)]])</f>
        <v>0.98751980872469036</v>
      </c>
      <c r="G569" s="52">
        <f>IF(expected_production[[#This Row],[Base Expected (kWh)]]="","",expected_production[[#This Row],[Base Expected (kWh)]]*expected_production[[#This Row],[Degradation Factor]])</f>
        <v>24370.408847631399</v>
      </c>
    </row>
    <row r="570" spans="1:7" ht="15" hidden="1" customHeight="1" x14ac:dyDescent="0.3">
      <c r="A570" t="s">
        <v>95</v>
      </c>
      <c r="B570" s="2">
        <v>46143</v>
      </c>
      <c r="C570" s="52">
        <v>23380.799999999999</v>
      </c>
      <c r="D570" s="48">
        <f>_xlfn.XLOOKUP(expected_production[[#This Row],[Site Name]],Table1[[Site Name ]],Table1[Commisioned Date],"")</f>
        <v>45460</v>
      </c>
      <c r="E570" s="47">
        <f>IF(ISNUMBER(expected_production[[#This Row],[Commissioned Date]]),MAX(0,(expected_production[[#This Row],[Date]]-expected_production[[#This Row],[Commissioned Date]])/365.25),"")</f>
        <v>1.8699520876112252</v>
      </c>
      <c r="F570" s="49">
        <f>IF(expected_production[[#This Row],[Age (yrs)]]="",1,(1-DegradationRate)^expected_production[[#This Row],[Age (yrs)]])</f>
        <v>0.98695020333846617</v>
      </c>
      <c r="G570" s="52">
        <f>IF(expected_production[[#This Row],[Base Expected (kWh)]]="","",expected_production[[#This Row],[Base Expected (kWh)]]*expected_production[[#This Row],[Degradation Factor]])</f>
        <v>23075.685314216011</v>
      </c>
    </row>
    <row r="571" spans="1:7" ht="15" hidden="1" customHeight="1" x14ac:dyDescent="0.3">
      <c r="A571" t="s">
        <v>95</v>
      </c>
      <c r="B571" s="2">
        <v>46174</v>
      </c>
      <c r="C571" s="52">
        <v>20986.400000000001</v>
      </c>
      <c r="D571" s="48">
        <f>_xlfn.XLOOKUP(expected_production[[#This Row],[Site Name]],Table1[[Site Name ]],Table1[Commisioned Date],"")</f>
        <v>45460</v>
      </c>
      <c r="E571" s="47">
        <f>IF(ISNUMBER(expected_production[[#This Row],[Commissioned Date]]),MAX(0,(expected_production[[#This Row],[Date]]-expected_production[[#This Row],[Commissioned Date]])/365.25),"")</f>
        <v>1.9548254620123204</v>
      </c>
      <c r="F571" s="49">
        <f>IF(expected_production[[#This Row],[Age (yrs)]]="",1,(1-DegradationRate)^expected_production[[#This Row],[Age (yrs)]])</f>
        <v>0.98636195626455503</v>
      </c>
      <c r="G571" s="52">
        <f>IF(expected_production[[#This Row],[Base Expected (kWh)]]="","",expected_production[[#This Row],[Base Expected (kWh)]]*expected_production[[#This Row],[Degradation Factor]])</f>
        <v>20700.18655895046</v>
      </c>
    </row>
    <row r="572" spans="1:7" ht="15" hidden="1" customHeight="1" x14ac:dyDescent="0.3">
      <c r="A572" t="s">
        <v>95</v>
      </c>
      <c r="B572" s="2">
        <v>46204</v>
      </c>
      <c r="C572" s="52">
        <v>23255.200000000001</v>
      </c>
      <c r="D572" s="48">
        <f>_xlfn.XLOOKUP(expected_production[[#This Row],[Site Name]],Table1[[Site Name ]],Table1[Commisioned Date],"")</f>
        <v>45460</v>
      </c>
      <c r="E572" s="47">
        <f>IF(ISNUMBER(expected_production[[#This Row],[Commissioned Date]]),MAX(0,(expected_production[[#This Row],[Date]]-expected_production[[#This Row],[Commissioned Date]])/365.25),"")</f>
        <v>2.0369609856262834</v>
      </c>
      <c r="F572" s="49">
        <f>IF(expected_production[[#This Row],[Age (yrs)]]="",1,(1-DegradationRate)^expected_production[[#This Row],[Age (yrs)]])</f>
        <v>0.98579301873227354</v>
      </c>
      <c r="G572" s="52">
        <f>IF(expected_production[[#This Row],[Base Expected (kWh)]]="","",expected_production[[#This Row],[Base Expected (kWh)]]*expected_production[[#This Row],[Degradation Factor]])</f>
        <v>22924.813809222767</v>
      </c>
    </row>
    <row r="573" spans="1:7" ht="15" hidden="1" customHeight="1" x14ac:dyDescent="0.3">
      <c r="A573" t="s">
        <v>95</v>
      </c>
      <c r="B573" s="2">
        <v>46235</v>
      </c>
      <c r="C573" s="52">
        <v>27306.400000000001</v>
      </c>
      <c r="D573" s="48">
        <f>_xlfn.XLOOKUP(expected_production[[#This Row],[Site Name]],Table1[[Site Name ]],Table1[Commisioned Date],"")</f>
        <v>45460</v>
      </c>
      <c r="E573" s="47">
        <f>IF(ISNUMBER(expected_production[[#This Row],[Commissioned Date]]),MAX(0,(expected_production[[#This Row],[Date]]-expected_production[[#This Row],[Commissioned Date]])/365.25),"")</f>
        <v>2.1218343600273784</v>
      </c>
      <c r="F573" s="49">
        <f>IF(expected_production[[#This Row],[Age (yrs)]]="",1,(1-DegradationRate)^expected_production[[#This Row],[Age (yrs)]])</f>
        <v>0.9852054613694099</v>
      </c>
      <c r="G573" s="52">
        <f>IF(expected_production[[#This Row],[Base Expected (kWh)]]="","",expected_production[[#This Row],[Base Expected (kWh)]]*expected_production[[#This Row],[Degradation Factor]])</f>
        <v>26902.414410337657</v>
      </c>
    </row>
    <row r="574" spans="1:7" ht="15" hidden="1" customHeight="1" x14ac:dyDescent="0.3">
      <c r="A574" t="s">
        <v>95</v>
      </c>
      <c r="B574" s="2">
        <v>46266</v>
      </c>
      <c r="C574" s="52">
        <v>30312</v>
      </c>
      <c r="D574" s="48">
        <f>_xlfn.XLOOKUP(expected_production[[#This Row],[Site Name]],Table1[[Site Name ]],Table1[Commisioned Date],"")</f>
        <v>45460</v>
      </c>
      <c r="E574" s="47">
        <f>IF(ISNUMBER(expected_production[[#This Row],[Commissioned Date]]),MAX(0,(expected_production[[#This Row],[Date]]-expected_production[[#This Row],[Commissioned Date]])/365.25),"")</f>
        <v>2.2067077344284738</v>
      </c>
      <c r="F574" s="49">
        <f>IF(expected_production[[#This Row],[Age (yrs)]]="",1,(1-DegradationRate)^expected_production[[#This Row],[Age (yrs)]])</f>
        <v>0.98461825420547044</v>
      </c>
      <c r="G574" s="52">
        <f>IF(expected_production[[#This Row],[Base Expected (kWh)]]="","",expected_production[[#This Row],[Base Expected (kWh)]]*expected_production[[#This Row],[Degradation Factor]])</f>
        <v>29845.74852147622</v>
      </c>
    </row>
    <row r="575" spans="1:7" ht="15" hidden="1" customHeight="1" x14ac:dyDescent="0.3">
      <c r="A575" t="s">
        <v>95</v>
      </c>
      <c r="B575" s="2">
        <v>46296</v>
      </c>
      <c r="C575" s="52">
        <v>33024</v>
      </c>
      <c r="D575" s="48">
        <f>_xlfn.XLOOKUP(expected_production[[#This Row],[Site Name]],Table1[[Site Name ]],Table1[Commisioned Date],"")</f>
        <v>45460</v>
      </c>
      <c r="E575" s="47">
        <f>IF(ISNUMBER(expected_production[[#This Row],[Commissioned Date]]),MAX(0,(expected_production[[#This Row],[Date]]-expected_production[[#This Row],[Commissioned Date]])/365.25),"")</f>
        <v>2.2888432580424367</v>
      </c>
      <c r="F575" s="49">
        <f>IF(expected_production[[#This Row],[Age (yrs)]]="",1,(1-DegradationRate)^expected_production[[#This Row],[Age (yrs)]])</f>
        <v>0.98405032244752988</v>
      </c>
      <c r="G575" s="52">
        <f>IF(expected_production[[#This Row],[Base Expected (kWh)]]="","",expected_production[[#This Row],[Base Expected (kWh)]]*expected_production[[#This Row],[Degradation Factor]])</f>
        <v>32497.277848507227</v>
      </c>
    </row>
    <row r="576" spans="1:7" ht="15" hidden="1" customHeight="1" x14ac:dyDescent="0.3">
      <c r="A576" t="s">
        <v>95</v>
      </c>
      <c r="B576" s="2">
        <v>46327</v>
      </c>
      <c r="C576" s="52">
        <v>33214.400000000001</v>
      </c>
      <c r="D576" s="48">
        <f>_xlfn.XLOOKUP(expected_production[[#This Row],[Site Name]],Table1[[Site Name ]],Table1[Commisioned Date],"")</f>
        <v>45460</v>
      </c>
      <c r="E576" s="47">
        <f>IF(ISNUMBER(expected_production[[#This Row],[Commissioned Date]]),MAX(0,(expected_production[[#This Row],[Date]]-expected_production[[#This Row],[Commissioned Date]])/365.25),"")</f>
        <v>2.3737166324435317</v>
      </c>
      <c r="F576" s="49">
        <f>IF(expected_production[[#This Row],[Age (yrs)]]="",1,(1-DegradationRate)^expected_production[[#This Row],[Age (yrs)]])</f>
        <v>0.9834638037753588</v>
      </c>
      <c r="G576" s="52">
        <f>IF(expected_production[[#This Row],[Base Expected (kWh)]]="","",expected_production[[#This Row],[Base Expected (kWh)]]*expected_production[[#This Row],[Degradation Factor]])</f>
        <v>32665.160164116278</v>
      </c>
    </row>
    <row r="577" spans="1:7" ht="15" hidden="1" customHeight="1" x14ac:dyDescent="0.3">
      <c r="A577" t="s">
        <v>95</v>
      </c>
      <c r="B577" s="2">
        <v>46357</v>
      </c>
      <c r="C577" s="52">
        <v>35066.400000000001</v>
      </c>
      <c r="D577" s="48">
        <f>_xlfn.XLOOKUP(expected_production[[#This Row],[Site Name]],Table1[[Site Name ]],Table1[Commisioned Date],"")</f>
        <v>45460</v>
      </c>
      <c r="E577" s="47">
        <f>IF(ISNUMBER(expected_production[[#This Row],[Commissioned Date]]),MAX(0,(expected_production[[#This Row],[Date]]-expected_production[[#This Row],[Commissioned Date]])/365.25),"")</f>
        <v>2.4558521560574951</v>
      </c>
      <c r="F577" s="49">
        <f>IF(expected_production[[#This Row],[Age (yrs)]]="",1,(1-DegradationRate)^expected_production[[#This Row],[Age (yrs)]])</f>
        <v>0.9828965379090564</v>
      </c>
      <c r="G577" s="52">
        <f>IF(expected_production[[#This Row],[Base Expected (kWh)]]="","",expected_production[[#This Row],[Base Expected (kWh)]]*expected_production[[#This Row],[Degradation Factor]])</f>
        <v>34466.643156934137</v>
      </c>
    </row>
    <row r="578" spans="1:7" ht="15" hidden="1" customHeight="1" x14ac:dyDescent="0.3">
      <c r="A578" t="s">
        <v>239</v>
      </c>
      <c r="B578" s="2">
        <v>45292</v>
      </c>
      <c r="C578" s="52">
        <v>2461.5</v>
      </c>
      <c r="D578" s="48">
        <f>_xlfn.XLOOKUP(expected_production[[#This Row],[Site Name]],Table1[[Site Name ]],Table1[Commisioned Date],"")</f>
        <v>45951</v>
      </c>
      <c r="E578" s="47">
        <f>IF(ISNUMBER(expected_production[[#This Row],[Commissioned Date]]),MAX(0,(expected_production[[#This Row],[Date]]-expected_production[[#This Row],[Commissioned Date]])/365.25),"")</f>
        <v>0</v>
      </c>
      <c r="F578" s="49">
        <f>IF(expected_production[[#This Row],[Age (yrs)]]="",1,(1-DegradationRate)^expected_production[[#This Row],[Age (yrs)]])</f>
        <v>1</v>
      </c>
      <c r="G578" s="52">
        <f>IF(expected_production[[#This Row],[Base Expected (kWh)]]="","",expected_production[[#This Row],[Base Expected (kWh)]]*expected_production[[#This Row],[Degradation Factor]])</f>
        <v>2461.5</v>
      </c>
    </row>
    <row r="579" spans="1:7" ht="15" hidden="1" customHeight="1" x14ac:dyDescent="0.3">
      <c r="A579" t="s">
        <v>239</v>
      </c>
      <c r="B579" s="2">
        <v>45323</v>
      </c>
      <c r="C579" s="52">
        <v>2300.4</v>
      </c>
      <c r="D579" s="48">
        <f>_xlfn.XLOOKUP(expected_production[[#This Row],[Site Name]],Table1[[Site Name ]],Table1[Commisioned Date],"")</f>
        <v>45951</v>
      </c>
      <c r="E579" s="47">
        <f>IF(ISNUMBER(expected_production[[#This Row],[Commissioned Date]]),MAX(0,(expected_production[[#This Row],[Date]]-expected_production[[#This Row],[Commissioned Date]])/365.25),"")</f>
        <v>0</v>
      </c>
      <c r="F579" s="49">
        <f>IF(expected_production[[#This Row],[Age (yrs)]]="",1,(1-DegradationRate)^expected_production[[#This Row],[Age (yrs)]])</f>
        <v>1</v>
      </c>
      <c r="G579" s="52">
        <f>IF(expected_production[[#This Row],[Base Expected (kWh)]]="","",expected_production[[#This Row],[Base Expected (kWh)]]*expected_production[[#This Row],[Degradation Factor]])</f>
        <v>2300.4</v>
      </c>
    </row>
    <row r="580" spans="1:7" ht="15" hidden="1" customHeight="1" x14ac:dyDescent="0.3">
      <c r="A580" t="s">
        <v>239</v>
      </c>
      <c r="B580" s="2">
        <v>45352</v>
      </c>
      <c r="C580" s="52">
        <v>2281.5</v>
      </c>
      <c r="D580" s="48">
        <f>_xlfn.XLOOKUP(expected_production[[#This Row],[Site Name]],Table1[[Site Name ]],Table1[Commisioned Date],"")</f>
        <v>45951</v>
      </c>
      <c r="E580" s="47">
        <f>IF(ISNUMBER(expected_production[[#This Row],[Commissioned Date]]),MAX(0,(expected_production[[#This Row],[Date]]-expected_production[[#This Row],[Commissioned Date]])/365.25),"")</f>
        <v>0</v>
      </c>
      <c r="F580" s="49">
        <f>IF(expected_production[[#This Row],[Age (yrs)]]="",1,(1-DegradationRate)^expected_production[[#This Row],[Age (yrs)]])</f>
        <v>1</v>
      </c>
      <c r="G580" s="52">
        <f>IF(expected_production[[#This Row],[Base Expected (kWh)]]="","",expected_production[[#This Row],[Base Expected (kWh)]]*expected_production[[#This Row],[Degradation Factor]])</f>
        <v>2281.5</v>
      </c>
    </row>
    <row r="581" spans="1:7" ht="15" hidden="1" customHeight="1" x14ac:dyDescent="0.3">
      <c r="A581" t="s">
        <v>239</v>
      </c>
      <c r="B581" s="2">
        <v>45383</v>
      </c>
      <c r="C581" s="52">
        <v>2197.8000000000002</v>
      </c>
      <c r="D581" s="48">
        <f>_xlfn.XLOOKUP(expected_production[[#This Row],[Site Name]],Table1[[Site Name ]],Table1[Commisioned Date],"")</f>
        <v>45951</v>
      </c>
      <c r="E581" s="47">
        <f>IF(ISNUMBER(expected_production[[#This Row],[Commissioned Date]]),MAX(0,(expected_production[[#This Row],[Date]]-expected_production[[#This Row],[Commissioned Date]])/365.25),"")</f>
        <v>0</v>
      </c>
      <c r="F581" s="49">
        <f>IF(expected_production[[#This Row],[Age (yrs)]]="",1,(1-DegradationRate)^expected_production[[#This Row],[Age (yrs)]])</f>
        <v>1</v>
      </c>
      <c r="G581" s="52">
        <f>IF(expected_production[[#This Row],[Base Expected (kWh)]]="","",expected_production[[#This Row],[Base Expected (kWh)]]*expected_production[[#This Row],[Degradation Factor]])</f>
        <v>2197.8000000000002</v>
      </c>
    </row>
    <row r="582" spans="1:7" ht="15" hidden="1" customHeight="1" x14ac:dyDescent="0.3">
      <c r="A582" t="s">
        <v>239</v>
      </c>
      <c r="B582" s="2">
        <v>45413</v>
      </c>
      <c r="C582" s="52">
        <v>2226.6</v>
      </c>
      <c r="D582" s="48">
        <f>_xlfn.XLOOKUP(expected_production[[#This Row],[Site Name]],Table1[[Site Name ]],Table1[Commisioned Date],"")</f>
        <v>45951</v>
      </c>
      <c r="E582" s="47">
        <f>IF(ISNUMBER(expected_production[[#This Row],[Commissioned Date]]),MAX(0,(expected_production[[#This Row],[Date]]-expected_production[[#This Row],[Commissioned Date]])/365.25),"")</f>
        <v>0</v>
      </c>
      <c r="F582" s="49">
        <f>IF(expected_production[[#This Row],[Age (yrs)]]="",1,(1-DegradationRate)^expected_production[[#This Row],[Age (yrs)]])</f>
        <v>1</v>
      </c>
      <c r="G582" s="52">
        <f>IF(expected_production[[#This Row],[Base Expected (kWh)]]="","",expected_production[[#This Row],[Base Expected (kWh)]]*expected_production[[#This Row],[Degradation Factor]])</f>
        <v>2226.6</v>
      </c>
    </row>
    <row r="583" spans="1:7" ht="15" hidden="1" customHeight="1" x14ac:dyDescent="0.3">
      <c r="A583" t="s">
        <v>239</v>
      </c>
      <c r="B583" s="2">
        <v>45444</v>
      </c>
      <c r="C583" s="52">
        <v>2480.4</v>
      </c>
      <c r="D583" s="48">
        <f>_xlfn.XLOOKUP(expected_production[[#This Row],[Site Name]],Table1[[Site Name ]],Table1[Commisioned Date],"")</f>
        <v>45951</v>
      </c>
      <c r="E583" s="47">
        <f>IF(ISNUMBER(expected_production[[#This Row],[Commissioned Date]]),MAX(0,(expected_production[[#This Row],[Date]]-expected_production[[#This Row],[Commissioned Date]])/365.25),"")</f>
        <v>0</v>
      </c>
      <c r="F583" s="49">
        <f>IF(expected_production[[#This Row],[Age (yrs)]]="",1,(1-DegradationRate)^expected_production[[#This Row],[Age (yrs)]])</f>
        <v>1</v>
      </c>
      <c r="G583" s="52">
        <f>IF(expected_production[[#This Row],[Base Expected (kWh)]]="","",expected_production[[#This Row],[Base Expected (kWh)]]*expected_production[[#This Row],[Degradation Factor]])</f>
        <v>2480.4</v>
      </c>
    </row>
    <row r="584" spans="1:7" ht="15" hidden="1" customHeight="1" x14ac:dyDescent="0.3">
      <c r="A584" t="s">
        <v>239</v>
      </c>
      <c r="B584" s="2">
        <v>45474</v>
      </c>
      <c r="C584" s="52">
        <v>2349.9</v>
      </c>
      <c r="D584" s="48">
        <f>_xlfn.XLOOKUP(expected_production[[#This Row],[Site Name]],Table1[[Site Name ]],Table1[Commisioned Date],"")</f>
        <v>45951</v>
      </c>
      <c r="E584" s="47">
        <f>IF(ISNUMBER(expected_production[[#This Row],[Commissioned Date]]),MAX(0,(expected_production[[#This Row],[Date]]-expected_production[[#This Row],[Commissioned Date]])/365.25),"")</f>
        <v>0</v>
      </c>
      <c r="F584" s="49">
        <f>IF(expected_production[[#This Row],[Age (yrs)]]="",1,(1-DegradationRate)^expected_production[[#This Row],[Age (yrs)]])</f>
        <v>1</v>
      </c>
      <c r="G584" s="52">
        <f>IF(expected_production[[#This Row],[Base Expected (kWh)]]="","",expected_production[[#This Row],[Base Expected (kWh)]]*expected_production[[#This Row],[Degradation Factor]])</f>
        <v>2349.9</v>
      </c>
    </row>
    <row r="585" spans="1:7" ht="15" hidden="1" customHeight="1" x14ac:dyDescent="0.3">
      <c r="A585" t="s">
        <v>239</v>
      </c>
      <c r="B585" s="2">
        <v>45505</v>
      </c>
      <c r="C585" s="52">
        <v>2520</v>
      </c>
      <c r="D585" s="48">
        <f>_xlfn.XLOOKUP(expected_production[[#This Row],[Site Name]],Table1[[Site Name ]],Table1[Commisioned Date],"")</f>
        <v>45951</v>
      </c>
      <c r="E585" s="47">
        <f>IF(ISNUMBER(expected_production[[#This Row],[Commissioned Date]]),MAX(0,(expected_production[[#This Row],[Date]]-expected_production[[#This Row],[Commissioned Date]])/365.25),"")</f>
        <v>0</v>
      </c>
      <c r="F585" s="49">
        <f>IF(expected_production[[#This Row],[Age (yrs)]]="",1,(1-DegradationRate)^expected_production[[#This Row],[Age (yrs)]])</f>
        <v>1</v>
      </c>
      <c r="G585" s="52">
        <f>IF(expected_production[[#This Row],[Base Expected (kWh)]]="","",expected_production[[#This Row],[Base Expected (kWh)]]*expected_production[[#This Row],[Degradation Factor]])</f>
        <v>2520</v>
      </c>
    </row>
    <row r="586" spans="1:7" ht="15" hidden="1" customHeight="1" x14ac:dyDescent="0.3">
      <c r="A586" t="s">
        <v>239</v>
      </c>
      <c r="B586" s="2">
        <v>45536</v>
      </c>
      <c r="C586" s="52">
        <v>2436.3000000000002</v>
      </c>
      <c r="D586" s="48">
        <f>_xlfn.XLOOKUP(expected_production[[#This Row],[Site Name]],Table1[[Site Name ]],Table1[Commisioned Date],"")</f>
        <v>45951</v>
      </c>
      <c r="E586" s="47">
        <f>IF(ISNUMBER(expected_production[[#This Row],[Commissioned Date]]),MAX(0,(expected_production[[#This Row],[Date]]-expected_production[[#This Row],[Commissioned Date]])/365.25),"")</f>
        <v>0</v>
      </c>
      <c r="F586" s="49">
        <f>IF(expected_production[[#This Row],[Age (yrs)]]="",1,(1-DegradationRate)^expected_production[[#This Row],[Age (yrs)]])</f>
        <v>1</v>
      </c>
      <c r="G586" s="52">
        <f>IF(expected_production[[#This Row],[Base Expected (kWh)]]="","",expected_production[[#This Row],[Base Expected (kWh)]]*expected_production[[#This Row],[Degradation Factor]])</f>
        <v>2436.3000000000002</v>
      </c>
    </row>
    <row r="587" spans="1:7" ht="15" hidden="1" customHeight="1" x14ac:dyDescent="0.3">
      <c r="A587" t="s">
        <v>239</v>
      </c>
      <c r="B587" s="2">
        <v>45566</v>
      </c>
      <c r="C587" s="52">
        <v>2425.5</v>
      </c>
      <c r="D587" s="48">
        <f>_xlfn.XLOOKUP(expected_production[[#This Row],[Site Name]],Table1[[Site Name ]],Table1[Commisioned Date],"")</f>
        <v>45951</v>
      </c>
      <c r="E587" s="47">
        <f>IF(ISNUMBER(expected_production[[#This Row],[Commissioned Date]]),MAX(0,(expected_production[[#This Row],[Date]]-expected_production[[#This Row],[Commissioned Date]])/365.25),"")</f>
        <v>0</v>
      </c>
      <c r="F587" s="49">
        <f>IF(expected_production[[#This Row],[Age (yrs)]]="",1,(1-DegradationRate)^expected_production[[#This Row],[Age (yrs)]])</f>
        <v>1</v>
      </c>
      <c r="G587" s="52">
        <f>IF(expected_production[[#This Row],[Base Expected (kWh)]]="","",expected_production[[#This Row],[Base Expected (kWh)]]*expected_production[[#This Row],[Degradation Factor]])</f>
        <v>2425.5</v>
      </c>
    </row>
    <row r="588" spans="1:7" ht="15" hidden="1" customHeight="1" x14ac:dyDescent="0.3">
      <c r="A588" t="s">
        <v>239</v>
      </c>
      <c r="B588" s="2">
        <v>45597</v>
      </c>
      <c r="C588" s="52">
        <v>2356.1999999999998</v>
      </c>
      <c r="D588" s="48">
        <f>_xlfn.XLOOKUP(expected_production[[#This Row],[Site Name]],Table1[[Site Name ]],Table1[Commisioned Date],"")</f>
        <v>45951</v>
      </c>
      <c r="E588" s="47">
        <f>IF(ISNUMBER(expected_production[[#This Row],[Commissioned Date]]),MAX(0,(expected_production[[#This Row],[Date]]-expected_production[[#This Row],[Commissioned Date]])/365.25),"")</f>
        <v>0</v>
      </c>
      <c r="F588" s="49">
        <f>IF(expected_production[[#This Row],[Age (yrs)]]="",1,(1-DegradationRate)^expected_production[[#This Row],[Age (yrs)]])</f>
        <v>1</v>
      </c>
      <c r="G588" s="52">
        <f>IF(expected_production[[#This Row],[Base Expected (kWh)]]="","",expected_production[[#This Row],[Base Expected (kWh)]]*expected_production[[#This Row],[Degradation Factor]])</f>
        <v>2356.1999999999998</v>
      </c>
    </row>
    <row r="589" spans="1:7" ht="15" hidden="1" customHeight="1" x14ac:dyDescent="0.3">
      <c r="A589" t="s">
        <v>239</v>
      </c>
      <c r="B589" s="2">
        <v>45627</v>
      </c>
      <c r="C589" s="52">
        <v>2437.1999999999998</v>
      </c>
      <c r="D589" s="48">
        <f>_xlfn.XLOOKUP(expected_production[[#This Row],[Site Name]],Table1[[Site Name ]],Table1[Commisioned Date],"")</f>
        <v>45951</v>
      </c>
      <c r="E589" s="47">
        <f>IF(ISNUMBER(expected_production[[#This Row],[Commissioned Date]]),MAX(0,(expected_production[[#This Row],[Date]]-expected_production[[#This Row],[Commissioned Date]])/365.25),"")</f>
        <v>0</v>
      </c>
      <c r="F589" s="49">
        <f>IF(expected_production[[#This Row],[Age (yrs)]]="",1,(1-DegradationRate)^expected_production[[#This Row],[Age (yrs)]])</f>
        <v>1</v>
      </c>
      <c r="G589" s="52">
        <f>IF(expected_production[[#This Row],[Base Expected (kWh)]]="","",expected_production[[#This Row],[Base Expected (kWh)]]*expected_production[[#This Row],[Degradation Factor]])</f>
        <v>2437.1999999999998</v>
      </c>
    </row>
    <row r="590" spans="1:7" ht="15" hidden="1" customHeight="1" x14ac:dyDescent="0.3">
      <c r="A590" t="s">
        <v>239</v>
      </c>
      <c r="B590" s="2">
        <v>45658</v>
      </c>
      <c r="C590" s="52">
        <v>2461.5</v>
      </c>
      <c r="D590" s="48">
        <f>_xlfn.XLOOKUP(expected_production[[#This Row],[Site Name]],Table1[[Site Name ]],Table1[Commisioned Date],"")</f>
        <v>45951</v>
      </c>
      <c r="E590" s="47">
        <f>IF(ISNUMBER(expected_production[[#This Row],[Commissioned Date]]),MAX(0,(expected_production[[#This Row],[Date]]-expected_production[[#This Row],[Commissioned Date]])/365.25),"")</f>
        <v>0</v>
      </c>
      <c r="F590" s="49">
        <f>IF(expected_production[[#This Row],[Age (yrs)]]="",1,(1-DegradationRate)^expected_production[[#This Row],[Age (yrs)]])</f>
        <v>1</v>
      </c>
      <c r="G590" s="52">
        <f>IF(expected_production[[#This Row],[Base Expected (kWh)]]="","",expected_production[[#This Row],[Base Expected (kWh)]]*expected_production[[#This Row],[Degradation Factor]])</f>
        <v>2461.5</v>
      </c>
    </row>
    <row r="591" spans="1:7" ht="15" hidden="1" customHeight="1" x14ac:dyDescent="0.3">
      <c r="A591" t="s">
        <v>239</v>
      </c>
      <c r="B591" s="2">
        <v>45689</v>
      </c>
      <c r="C591" s="52">
        <v>2300.4</v>
      </c>
      <c r="D591" s="48">
        <f>_xlfn.XLOOKUP(expected_production[[#This Row],[Site Name]],Table1[[Site Name ]],Table1[Commisioned Date],"")</f>
        <v>45951</v>
      </c>
      <c r="E591" s="47">
        <f>IF(ISNUMBER(expected_production[[#This Row],[Commissioned Date]]),MAX(0,(expected_production[[#This Row],[Date]]-expected_production[[#This Row],[Commissioned Date]])/365.25),"")</f>
        <v>0</v>
      </c>
      <c r="F591" s="49">
        <f>IF(expected_production[[#This Row],[Age (yrs)]]="",1,(1-DegradationRate)^expected_production[[#This Row],[Age (yrs)]])</f>
        <v>1</v>
      </c>
      <c r="G591" s="52">
        <f>IF(expected_production[[#This Row],[Base Expected (kWh)]]="","",expected_production[[#This Row],[Base Expected (kWh)]]*expected_production[[#This Row],[Degradation Factor]])</f>
        <v>2300.4</v>
      </c>
    </row>
    <row r="592" spans="1:7" ht="15" hidden="1" customHeight="1" x14ac:dyDescent="0.3">
      <c r="A592" t="s">
        <v>239</v>
      </c>
      <c r="B592" s="2">
        <v>45717</v>
      </c>
      <c r="C592" s="52">
        <v>2281.5</v>
      </c>
      <c r="D592" s="48">
        <f>_xlfn.XLOOKUP(expected_production[[#This Row],[Site Name]],Table1[[Site Name ]],Table1[Commisioned Date],"")</f>
        <v>45951</v>
      </c>
      <c r="E592" s="47">
        <f>IF(ISNUMBER(expected_production[[#This Row],[Commissioned Date]]),MAX(0,(expected_production[[#This Row],[Date]]-expected_production[[#This Row],[Commissioned Date]])/365.25),"")</f>
        <v>0</v>
      </c>
      <c r="F592" s="49">
        <f>IF(expected_production[[#This Row],[Age (yrs)]]="",1,(1-DegradationRate)^expected_production[[#This Row],[Age (yrs)]])</f>
        <v>1</v>
      </c>
      <c r="G592" s="52">
        <f>IF(expected_production[[#This Row],[Base Expected (kWh)]]="","",expected_production[[#This Row],[Base Expected (kWh)]]*expected_production[[#This Row],[Degradation Factor]])</f>
        <v>2281.5</v>
      </c>
    </row>
    <row r="593" spans="1:7" ht="15" hidden="1" customHeight="1" x14ac:dyDescent="0.3">
      <c r="A593" t="s">
        <v>239</v>
      </c>
      <c r="B593" s="2">
        <v>45748</v>
      </c>
      <c r="C593" s="52">
        <v>2197.8000000000002</v>
      </c>
      <c r="D593" s="48">
        <f>_xlfn.XLOOKUP(expected_production[[#This Row],[Site Name]],Table1[[Site Name ]],Table1[Commisioned Date],"")</f>
        <v>45951</v>
      </c>
      <c r="E593" s="47">
        <f>IF(ISNUMBER(expected_production[[#This Row],[Commissioned Date]]),MAX(0,(expected_production[[#This Row],[Date]]-expected_production[[#This Row],[Commissioned Date]])/365.25),"")</f>
        <v>0</v>
      </c>
      <c r="F593" s="49">
        <f>IF(expected_production[[#This Row],[Age (yrs)]]="",1,(1-DegradationRate)^expected_production[[#This Row],[Age (yrs)]])</f>
        <v>1</v>
      </c>
      <c r="G593" s="52">
        <f>IF(expected_production[[#This Row],[Base Expected (kWh)]]="","",expected_production[[#This Row],[Base Expected (kWh)]]*expected_production[[#This Row],[Degradation Factor]])</f>
        <v>2197.8000000000002</v>
      </c>
    </row>
    <row r="594" spans="1:7" ht="15" hidden="1" customHeight="1" x14ac:dyDescent="0.3">
      <c r="A594" t="s">
        <v>239</v>
      </c>
      <c r="B594" s="2">
        <v>45778</v>
      </c>
      <c r="C594" s="52">
        <v>2226.6</v>
      </c>
      <c r="D594" s="48">
        <f>_xlfn.XLOOKUP(expected_production[[#This Row],[Site Name]],Table1[[Site Name ]],Table1[Commisioned Date],"")</f>
        <v>45951</v>
      </c>
      <c r="E594" s="47">
        <f>IF(ISNUMBER(expected_production[[#This Row],[Commissioned Date]]),MAX(0,(expected_production[[#This Row],[Date]]-expected_production[[#This Row],[Commissioned Date]])/365.25),"")</f>
        <v>0</v>
      </c>
      <c r="F594" s="49">
        <f>IF(expected_production[[#This Row],[Age (yrs)]]="",1,(1-DegradationRate)^expected_production[[#This Row],[Age (yrs)]])</f>
        <v>1</v>
      </c>
      <c r="G594" s="52">
        <f>IF(expected_production[[#This Row],[Base Expected (kWh)]]="","",expected_production[[#This Row],[Base Expected (kWh)]]*expected_production[[#This Row],[Degradation Factor]])</f>
        <v>2226.6</v>
      </c>
    </row>
    <row r="595" spans="1:7" ht="15" hidden="1" customHeight="1" x14ac:dyDescent="0.3">
      <c r="A595" t="s">
        <v>239</v>
      </c>
      <c r="B595" s="2">
        <v>45809</v>
      </c>
      <c r="C595" s="52">
        <v>2480.4</v>
      </c>
      <c r="D595" s="48">
        <f>_xlfn.XLOOKUP(expected_production[[#This Row],[Site Name]],Table1[[Site Name ]],Table1[Commisioned Date],"")</f>
        <v>45951</v>
      </c>
      <c r="E595" s="47">
        <f>IF(ISNUMBER(expected_production[[#This Row],[Commissioned Date]]),MAX(0,(expected_production[[#This Row],[Date]]-expected_production[[#This Row],[Commissioned Date]])/365.25),"")</f>
        <v>0</v>
      </c>
      <c r="F595" s="49">
        <f>IF(expected_production[[#This Row],[Age (yrs)]]="",1,(1-DegradationRate)^expected_production[[#This Row],[Age (yrs)]])</f>
        <v>1</v>
      </c>
      <c r="G595" s="52">
        <f>IF(expected_production[[#This Row],[Base Expected (kWh)]]="","",expected_production[[#This Row],[Base Expected (kWh)]]*expected_production[[#This Row],[Degradation Factor]])</f>
        <v>2480.4</v>
      </c>
    </row>
    <row r="596" spans="1:7" ht="15" hidden="1" customHeight="1" x14ac:dyDescent="0.3">
      <c r="A596" t="s">
        <v>239</v>
      </c>
      <c r="B596" s="2">
        <v>45839</v>
      </c>
      <c r="C596" s="52">
        <v>2349.9</v>
      </c>
      <c r="D596" s="48">
        <f>_xlfn.XLOOKUP(expected_production[[#This Row],[Site Name]],Table1[[Site Name ]],Table1[Commisioned Date],"")</f>
        <v>45951</v>
      </c>
      <c r="E596" s="47">
        <f>IF(ISNUMBER(expected_production[[#This Row],[Commissioned Date]]),MAX(0,(expected_production[[#This Row],[Date]]-expected_production[[#This Row],[Commissioned Date]])/365.25),"")</f>
        <v>0</v>
      </c>
      <c r="F596" s="49">
        <f>IF(expected_production[[#This Row],[Age (yrs)]]="",1,(1-DegradationRate)^expected_production[[#This Row],[Age (yrs)]])</f>
        <v>1</v>
      </c>
      <c r="G596" s="52">
        <f>IF(expected_production[[#This Row],[Base Expected (kWh)]]="","",expected_production[[#This Row],[Base Expected (kWh)]]*expected_production[[#This Row],[Degradation Factor]])</f>
        <v>2349.9</v>
      </c>
    </row>
    <row r="597" spans="1:7" ht="15" hidden="1" customHeight="1" x14ac:dyDescent="0.3">
      <c r="A597" t="s">
        <v>239</v>
      </c>
      <c r="B597" s="2">
        <v>45870</v>
      </c>
      <c r="C597" s="52">
        <v>2520</v>
      </c>
      <c r="D597" s="48">
        <f>_xlfn.XLOOKUP(expected_production[[#This Row],[Site Name]],Table1[[Site Name ]],Table1[Commisioned Date],"")</f>
        <v>45951</v>
      </c>
      <c r="E597" s="47">
        <f>IF(ISNUMBER(expected_production[[#This Row],[Commissioned Date]]),MAX(0,(expected_production[[#This Row],[Date]]-expected_production[[#This Row],[Commissioned Date]])/365.25),"")</f>
        <v>0</v>
      </c>
      <c r="F597" s="49">
        <f>IF(expected_production[[#This Row],[Age (yrs)]]="",1,(1-DegradationRate)^expected_production[[#This Row],[Age (yrs)]])</f>
        <v>1</v>
      </c>
      <c r="G597" s="52">
        <f>IF(expected_production[[#This Row],[Base Expected (kWh)]]="","",expected_production[[#This Row],[Base Expected (kWh)]]*expected_production[[#This Row],[Degradation Factor]])</f>
        <v>2520</v>
      </c>
    </row>
    <row r="598" spans="1:7" ht="15" hidden="1" customHeight="1" x14ac:dyDescent="0.3">
      <c r="A598" t="s">
        <v>239</v>
      </c>
      <c r="B598" s="2">
        <v>45901</v>
      </c>
      <c r="C598" s="52">
        <v>2436.3000000000002</v>
      </c>
      <c r="D598" s="48">
        <f>_xlfn.XLOOKUP(expected_production[[#This Row],[Site Name]],Table1[[Site Name ]],Table1[Commisioned Date],"")</f>
        <v>45951</v>
      </c>
      <c r="E598" s="47">
        <f>IF(ISNUMBER(expected_production[[#This Row],[Commissioned Date]]),MAX(0,(expected_production[[#This Row],[Date]]-expected_production[[#This Row],[Commissioned Date]])/365.25),"")</f>
        <v>0</v>
      </c>
      <c r="F598" s="49">
        <f>IF(expected_production[[#This Row],[Age (yrs)]]="",1,(1-DegradationRate)^expected_production[[#This Row],[Age (yrs)]])</f>
        <v>1</v>
      </c>
      <c r="G598" s="52">
        <f>IF(expected_production[[#This Row],[Base Expected (kWh)]]="","",expected_production[[#This Row],[Base Expected (kWh)]]*expected_production[[#This Row],[Degradation Factor]])</f>
        <v>2436.3000000000002</v>
      </c>
    </row>
    <row r="599" spans="1:7" ht="15" hidden="1" customHeight="1" x14ac:dyDescent="0.3">
      <c r="A599" t="s">
        <v>239</v>
      </c>
      <c r="B599" s="2">
        <v>45931</v>
      </c>
      <c r="C599" s="52">
        <v>2425.5</v>
      </c>
      <c r="D599" s="48">
        <f>_xlfn.XLOOKUP(expected_production[[#This Row],[Site Name]],Table1[[Site Name ]],Table1[Commisioned Date],"")</f>
        <v>45951</v>
      </c>
      <c r="E599" s="47">
        <f>IF(ISNUMBER(expected_production[[#This Row],[Commissioned Date]]),MAX(0,(expected_production[[#This Row],[Date]]-expected_production[[#This Row],[Commissioned Date]])/365.25),"")</f>
        <v>0</v>
      </c>
      <c r="F599" s="49">
        <f>IF(expected_production[[#This Row],[Age (yrs)]]="",1,(1-DegradationRate)^expected_production[[#This Row],[Age (yrs)]])</f>
        <v>1</v>
      </c>
      <c r="G599" s="52">
        <f>IF(expected_production[[#This Row],[Base Expected (kWh)]]="","",expected_production[[#This Row],[Base Expected (kWh)]]*expected_production[[#This Row],[Degradation Factor]])</f>
        <v>2425.5</v>
      </c>
    </row>
    <row r="600" spans="1:7" ht="15" hidden="1" customHeight="1" x14ac:dyDescent="0.3">
      <c r="A600" t="s">
        <v>239</v>
      </c>
      <c r="B600" s="2">
        <v>45962</v>
      </c>
      <c r="C600" s="52">
        <v>2356.1999999999998</v>
      </c>
      <c r="D600" s="48">
        <f>_xlfn.XLOOKUP(expected_production[[#This Row],[Site Name]],Table1[[Site Name ]],Table1[Commisioned Date],"")</f>
        <v>45951</v>
      </c>
      <c r="E600" s="47">
        <f>IF(ISNUMBER(expected_production[[#This Row],[Commissioned Date]]),MAX(0,(expected_production[[#This Row],[Date]]-expected_production[[#This Row],[Commissioned Date]])/365.25),"")</f>
        <v>3.0116358658453114E-2</v>
      </c>
      <c r="F600" s="49">
        <f>IF(expected_production[[#This Row],[Age (yrs)]]="",1,(1-DegradationRate)^expected_production[[#This Row],[Age (yrs)]])</f>
        <v>0.99978846655347597</v>
      </c>
      <c r="G600" s="52">
        <f>IF(expected_production[[#This Row],[Base Expected (kWh)]]="","",expected_production[[#This Row],[Base Expected (kWh)]]*expected_production[[#This Row],[Degradation Factor]])</f>
        <v>2355.7015848932997</v>
      </c>
    </row>
    <row r="601" spans="1:7" ht="15" hidden="1" customHeight="1" x14ac:dyDescent="0.3">
      <c r="A601" t="s">
        <v>239</v>
      </c>
      <c r="B601" s="2">
        <v>45992</v>
      </c>
      <c r="C601" s="52">
        <v>2437.1999999999998</v>
      </c>
      <c r="D601" s="48">
        <f>_xlfn.XLOOKUP(expected_production[[#This Row],[Site Name]],Table1[[Site Name ]],Table1[Commisioned Date],"")</f>
        <v>45951</v>
      </c>
      <c r="E601" s="47">
        <f>IF(ISNUMBER(expected_production[[#This Row],[Commissioned Date]]),MAX(0,(expected_production[[#This Row],[Date]]-expected_production[[#This Row],[Commissioned Date]])/365.25),"")</f>
        <v>0.11225188227241616</v>
      </c>
      <c r="F601" s="49">
        <f>IF(expected_production[[#This Row],[Age (yrs)]]="",1,(1-DegradationRate)^expected_production[[#This Row],[Age (yrs)]])</f>
        <v>0.9992117845562114</v>
      </c>
      <c r="G601" s="52">
        <f>IF(expected_production[[#This Row],[Base Expected (kWh)]]="","",expected_production[[#This Row],[Base Expected (kWh)]]*expected_production[[#This Row],[Degradation Factor]])</f>
        <v>2435.2789613203981</v>
      </c>
    </row>
    <row r="602" spans="1:7" ht="15" hidden="1" customHeight="1" x14ac:dyDescent="0.3">
      <c r="A602" t="s">
        <v>239</v>
      </c>
      <c r="B602" s="2">
        <v>46023</v>
      </c>
      <c r="C602" s="52">
        <v>2461.5</v>
      </c>
      <c r="D602" s="48">
        <f>_xlfn.XLOOKUP(expected_production[[#This Row],[Site Name]],Table1[[Site Name ]],Table1[Commisioned Date],"")</f>
        <v>45951</v>
      </c>
      <c r="E602" s="47">
        <f>IF(ISNUMBER(expected_production[[#This Row],[Commissioned Date]]),MAX(0,(expected_production[[#This Row],[Date]]-expected_production[[#This Row],[Commissioned Date]])/365.25),"")</f>
        <v>0.1971252566735113</v>
      </c>
      <c r="F602" s="49">
        <f>IF(expected_production[[#This Row],[Age (yrs)]]="",1,(1-DegradationRate)^expected_production[[#This Row],[Age (yrs)]])</f>
        <v>0.99861622927237392</v>
      </c>
      <c r="G602" s="52">
        <f>IF(expected_production[[#This Row],[Base Expected (kWh)]]="","",expected_production[[#This Row],[Base Expected (kWh)]]*expected_production[[#This Row],[Degradation Factor]])</f>
        <v>2458.0938483539485</v>
      </c>
    </row>
    <row r="603" spans="1:7" ht="15" hidden="1" customHeight="1" x14ac:dyDescent="0.3">
      <c r="A603" t="s">
        <v>239</v>
      </c>
      <c r="B603" s="2">
        <v>46054</v>
      </c>
      <c r="C603" s="52">
        <v>2300.4</v>
      </c>
      <c r="D603" s="48">
        <f>_xlfn.XLOOKUP(expected_production[[#This Row],[Site Name]],Table1[[Site Name ]],Table1[Commisioned Date],"")</f>
        <v>45951</v>
      </c>
      <c r="E603" s="47">
        <f>IF(ISNUMBER(expected_production[[#This Row],[Commissioned Date]]),MAX(0,(expected_production[[#This Row],[Date]]-expected_production[[#This Row],[Commissioned Date]])/365.25),"")</f>
        <v>0.28199863107460643</v>
      </c>
      <c r="F603" s="49">
        <f>IF(expected_production[[#This Row],[Age (yrs)]]="",1,(1-DegradationRate)^expected_production[[#This Row],[Age (yrs)]])</f>
        <v>0.99802102895442202</v>
      </c>
      <c r="G603" s="52">
        <f>IF(expected_production[[#This Row],[Base Expected (kWh)]]="","",expected_production[[#This Row],[Base Expected (kWh)]]*expected_production[[#This Row],[Degradation Factor]])</f>
        <v>2295.8475750067523</v>
      </c>
    </row>
    <row r="604" spans="1:7" ht="15" hidden="1" customHeight="1" x14ac:dyDescent="0.3">
      <c r="A604" t="s">
        <v>239</v>
      </c>
      <c r="B604" s="2">
        <v>46082</v>
      </c>
      <c r="C604" s="52">
        <v>2281.5</v>
      </c>
      <c r="D604" s="48">
        <f>_xlfn.XLOOKUP(expected_production[[#This Row],[Site Name]],Table1[[Site Name ]],Table1[Commisioned Date],"")</f>
        <v>45951</v>
      </c>
      <c r="E604" s="47">
        <f>IF(ISNUMBER(expected_production[[#This Row],[Commissioned Date]]),MAX(0,(expected_production[[#This Row],[Date]]-expected_production[[#This Row],[Commissioned Date]])/365.25),"")</f>
        <v>0.35865845311430528</v>
      </c>
      <c r="F604" s="49">
        <f>IF(expected_production[[#This Row],[Age (yrs)]]="",1,(1-DegradationRate)^expected_production[[#This Row],[Age (yrs)]])</f>
        <v>0.99748373359200648</v>
      </c>
      <c r="G604" s="52">
        <f>IF(expected_production[[#This Row],[Base Expected (kWh)]]="","",expected_production[[#This Row],[Base Expected (kWh)]]*expected_production[[#This Row],[Degradation Factor]])</f>
        <v>2275.759138190163</v>
      </c>
    </row>
    <row r="605" spans="1:7" ht="15" hidden="1" customHeight="1" x14ac:dyDescent="0.3">
      <c r="A605" t="s">
        <v>239</v>
      </c>
      <c r="B605" s="2">
        <v>46113</v>
      </c>
      <c r="C605" s="52">
        <v>2197.8000000000002</v>
      </c>
      <c r="D605" s="48">
        <f>_xlfn.XLOOKUP(expected_production[[#This Row],[Site Name]],Table1[[Site Name ]],Table1[Commisioned Date],"")</f>
        <v>45951</v>
      </c>
      <c r="E605" s="47">
        <f>IF(ISNUMBER(expected_production[[#This Row],[Commissioned Date]]),MAX(0,(expected_production[[#This Row],[Date]]-expected_production[[#This Row],[Commissioned Date]])/365.25),"")</f>
        <v>0.44353182751540043</v>
      </c>
      <c r="F605" s="49">
        <f>IF(expected_production[[#This Row],[Age (yrs)]]="",1,(1-DegradationRate)^expected_production[[#This Row],[Age (yrs)]])</f>
        <v>0.99688920826988314</v>
      </c>
      <c r="G605" s="52">
        <f>IF(expected_production[[#This Row],[Base Expected (kWh)]]="","",expected_production[[#This Row],[Base Expected (kWh)]]*expected_production[[#This Row],[Degradation Factor]])</f>
        <v>2190.9631019355493</v>
      </c>
    </row>
    <row r="606" spans="1:7" ht="15" hidden="1" customHeight="1" x14ac:dyDescent="0.3">
      <c r="A606" t="s">
        <v>239</v>
      </c>
      <c r="B606" s="2">
        <v>46143</v>
      </c>
      <c r="C606" s="52">
        <v>2226.6</v>
      </c>
      <c r="D606" s="48">
        <f>_xlfn.XLOOKUP(expected_production[[#This Row],[Site Name]],Table1[[Site Name ]],Table1[Commisioned Date],"")</f>
        <v>45951</v>
      </c>
      <c r="E606" s="47">
        <f>IF(ISNUMBER(expected_production[[#This Row],[Commissioned Date]]),MAX(0,(expected_production[[#This Row],[Date]]-expected_production[[#This Row],[Commissioned Date]])/365.25),"")</f>
        <v>0.52566735112936347</v>
      </c>
      <c r="F606" s="49">
        <f>IF(expected_production[[#This Row],[Age (yrs)]]="",1,(1-DegradationRate)^expected_production[[#This Row],[Age (yrs)]])</f>
        <v>0.99631419857642434</v>
      </c>
      <c r="G606" s="52">
        <f>IF(expected_production[[#This Row],[Base Expected (kWh)]]="","",expected_production[[#This Row],[Base Expected (kWh)]]*expected_production[[#This Row],[Degradation Factor]])</f>
        <v>2218.3931945502663</v>
      </c>
    </row>
    <row r="607" spans="1:7" ht="15" hidden="1" customHeight="1" x14ac:dyDescent="0.3">
      <c r="A607" t="s">
        <v>239</v>
      </c>
      <c r="B607" s="2">
        <v>46174</v>
      </c>
      <c r="C607" s="52">
        <v>2480.4</v>
      </c>
      <c r="D607" s="48">
        <f>_xlfn.XLOOKUP(expected_production[[#This Row],[Site Name]],Table1[[Site Name ]],Table1[Commisioned Date],"")</f>
        <v>45951</v>
      </c>
      <c r="E607" s="47">
        <f>IF(ISNUMBER(expected_production[[#This Row],[Commissioned Date]]),MAX(0,(expected_production[[#This Row],[Date]]-expected_production[[#This Row],[Commissioned Date]])/365.25),"")</f>
        <v>0.61054072553045857</v>
      </c>
      <c r="F607" s="49">
        <f>IF(expected_production[[#This Row],[Age (yrs)]]="",1,(1-DegradationRate)^expected_production[[#This Row],[Age (yrs)]])</f>
        <v>0.99572037032650229</v>
      </c>
      <c r="G607" s="52">
        <f>IF(expected_production[[#This Row],[Base Expected (kWh)]]="","",expected_production[[#This Row],[Base Expected (kWh)]]*expected_production[[#This Row],[Degradation Factor]])</f>
        <v>2469.7848065578564</v>
      </c>
    </row>
    <row r="608" spans="1:7" ht="15" hidden="1" customHeight="1" x14ac:dyDescent="0.3">
      <c r="A608" t="s">
        <v>239</v>
      </c>
      <c r="B608" s="2">
        <v>46204</v>
      </c>
      <c r="C608" s="52">
        <v>2349.9</v>
      </c>
      <c r="D608" s="48">
        <f>_xlfn.XLOOKUP(expected_production[[#This Row],[Site Name]],Table1[[Site Name ]],Table1[Commisioned Date],"")</f>
        <v>45951</v>
      </c>
      <c r="E608" s="47">
        <f>IF(ISNUMBER(expected_production[[#This Row],[Commissioned Date]]),MAX(0,(expected_production[[#This Row],[Date]]-expected_production[[#This Row],[Commissioned Date]])/365.25),"")</f>
        <v>0.69267624914442161</v>
      </c>
      <c r="F608" s="49">
        <f>IF(expected_production[[#This Row],[Age (yrs)]]="",1,(1-DegradationRate)^expected_production[[#This Row],[Age (yrs)]])</f>
        <v>0.99514603482345698</v>
      </c>
      <c r="G608" s="52">
        <f>IF(expected_production[[#This Row],[Base Expected (kWh)]]="","",expected_production[[#This Row],[Base Expected (kWh)]]*expected_production[[#This Row],[Degradation Factor]])</f>
        <v>2338.4936672316417</v>
      </c>
    </row>
    <row r="609" spans="1:7" ht="15" hidden="1" customHeight="1" x14ac:dyDescent="0.3">
      <c r="A609" t="s">
        <v>239</v>
      </c>
      <c r="B609" s="2">
        <v>46235</v>
      </c>
      <c r="C609" s="52">
        <v>2520</v>
      </c>
      <c r="D609" s="48">
        <f>_xlfn.XLOOKUP(expected_production[[#This Row],[Site Name]],Table1[[Site Name ]],Table1[Commisioned Date],"")</f>
        <v>45951</v>
      </c>
      <c r="E609" s="47">
        <f>IF(ISNUMBER(expected_production[[#This Row],[Commissioned Date]]),MAX(0,(expected_production[[#This Row],[Date]]-expected_production[[#This Row],[Commissioned Date]])/365.25),"")</f>
        <v>0.77754962354551682</v>
      </c>
      <c r="F609" s="49">
        <f>IF(expected_production[[#This Row],[Age (yrs)]]="",1,(1-DegradationRate)^expected_production[[#This Row],[Age (yrs)]])</f>
        <v>0.99455290282842923</v>
      </c>
      <c r="G609" s="52">
        <f>IF(expected_production[[#This Row],[Base Expected (kWh)]]="","",expected_production[[#This Row],[Base Expected (kWh)]]*expected_production[[#This Row],[Degradation Factor]])</f>
        <v>2506.2733151276416</v>
      </c>
    </row>
    <row r="610" spans="1:7" ht="15" hidden="1" customHeight="1" x14ac:dyDescent="0.3">
      <c r="A610" t="s">
        <v>239</v>
      </c>
      <c r="B610" s="2">
        <v>46266</v>
      </c>
      <c r="C610" s="52">
        <v>2436.3000000000002</v>
      </c>
      <c r="D610" s="48">
        <f>_xlfn.XLOOKUP(expected_production[[#This Row],[Site Name]],Table1[[Site Name ]],Table1[Commisioned Date],"")</f>
        <v>45951</v>
      </c>
      <c r="E610" s="47">
        <f>IF(ISNUMBER(expected_production[[#This Row],[Commissioned Date]]),MAX(0,(expected_production[[#This Row],[Date]]-expected_production[[#This Row],[Commissioned Date]])/365.25),"")</f>
        <v>0.86242299794661192</v>
      </c>
      <c r="F610" s="49">
        <f>IF(expected_production[[#This Row],[Age (yrs)]]="",1,(1-DegradationRate)^expected_production[[#This Row],[Age (yrs)]])</f>
        <v>0.99396012435494629</v>
      </c>
      <c r="G610" s="52">
        <f>IF(expected_production[[#This Row],[Base Expected (kWh)]]="","",expected_production[[#This Row],[Base Expected (kWh)]]*expected_production[[#This Row],[Degradation Factor]])</f>
        <v>2421.5850509659558</v>
      </c>
    </row>
    <row r="611" spans="1:7" ht="15" hidden="1" customHeight="1" x14ac:dyDescent="0.3">
      <c r="A611" t="s">
        <v>239</v>
      </c>
      <c r="B611" s="2">
        <v>46296</v>
      </c>
      <c r="C611" s="52">
        <v>2425.5</v>
      </c>
      <c r="D611" s="48">
        <f>_xlfn.XLOOKUP(expected_production[[#This Row],[Site Name]],Table1[[Site Name ]],Table1[Commisioned Date],"")</f>
        <v>45951</v>
      </c>
      <c r="E611" s="47">
        <f>IF(ISNUMBER(expected_production[[#This Row],[Commissioned Date]]),MAX(0,(expected_production[[#This Row],[Date]]-expected_production[[#This Row],[Commissioned Date]])/365.25),"")</f>
        <v>0.94455852156057496</v>
      </c>
      <c r="F611" s="49">
        <f>IF(expected_production[[#This Row],[Age (yrs)]]="",1,(1-DegradationRate)^expected_production[[#This Row],[Age (yrs)]])</f>
        <v>0.99338680416883696</v>
      </c>
      <c r="G611" s="52">
        <f>IF(expected_production[[#This Row],[Base Expected (kWh)]]="","",expected_production[[#This Row],[Base Expected (kWh)]]*expected_production[[#This Row],[Degradation Factor]])</f>
        <v>2409.4596935115142</v>
      </c>
    </row>
    <row r="612" spans="1:7" ht="15" hidden="1" customHeight="1" x14ac:dyDescent="0.3">
      <c r="A612" t="s">
        <v>239</v>
      </c>
      <c r="B612" s="2">
        <v>46327</v>
      </c>
      <c r="C612" s="52">
        <v>2356.1999999999998</v>
      </c>
      <c r="D612" s="48">
        <f>_xlfn.XLOOKUP(expected_production[[#This Row],[Site Name]],Table1[[Site Name ]],Table1[Commisioned Date],"")</f>
        <v>45951</v>
      </c>
      <c r="E612" s="47">
        <f>IF(ISNUMBER(expected_production[[#This Row],[Commissioned Date]]),MAX(0,(expected_production[[#This Row],[Date]]-expected_production[[#This Row],[Commissioned Date]])/365.25),"")</f>
        <v>1.0294318959616702</v>
      </c>
      <c r="F612" s="49">
        <f>IF(expected_production[[#This Row],[Age (yrs)]]="",1,(1-DegradationRate)^expected_production[[#This Row],[Age (yrs)]])</f>
        <v>0.99279472071940089</v>
      </c>
      <c r="G612" s="52">
        <f>IF(expected_production[[#This Row],[Base Expected (kWh)]]="","",expected_production[[#This Row],[Base Expected (kWh)]]*expected_production[[#This Row],[Degradation Factor]])</f>
        <v>2339.2229209590523</v>
      </c>
    </row>
    <row r="613" spans="1:7" ht="15" hidden="1" customHeight="1" x14ac:dyDescent="0.3">
      <c r="A613" t="s">
        <v>239</v>
      </c>
      <c r="B613" s="2">
        <v>46357</v>
      </c>
      <c r="C613" s="52">
        <v>2437.1999999999998</v>
      </c>
      <c r="D613" s="48">
        <f>_xlfn.XLOOKUP(expected_production[[#This Row],[Site Name]],Table1[[Site Name ]],Table1[Commisioned Date],"")</f>
        <v>45951</v>
      </c>
      <c r="E613" s="47">
        <f>IF(ISNUMBER(expected_production[[#This Row],[Commissioned Date]]),MAX(0,(expected_production[[#This Row],[Date]]-expected_production[[#This Row],[Commissioned Date]])/365.25),"")</f>
        <v>1.1115674195756331</v>
      </c>
      <c r="F613" s="49">
        <f>IF(expected_production[[#This Row],[Age (yrs)]]="",1,(1-DegradationRate)^expected_production[[#This Row],[Age (yrs)]])</f>
        <v>0.99222207274278251</v>
      </c>
      <c r="G613" s="52">
        <f>IF(expected_production[[#This Row],[Base Expected (kWh)]]="","",expected_production[[#This Row],[Base Expected (kWh)]]*expected_production[[#This Row],[Degradation Factor]])</f>
        <v>2418.2436356887092</v>
      </c>
    </row>
    <row r="614" spans="1:7" ht="15" hidden="1" customHeight="1" x14ac:dyDescent="0.3">
      <c r="A614" t="s">
        <v>98</v>
      </c>
      <c r="B614" s="2">
        <v>45292</v>
      </c>
      <c r="C614" s="52">
        <v>13584</v>
      </c>
      <c r="D614" s="48">
        <f>_xlfn.XLOOKUP(expected_production[[#This Row],[Site Name]],Table1[[Site Name ]],Table1[Commisioned Date],"")</f>
        <v>44479</v>
      </c>
      <c r="E614" s="47">
        <f>IF(ISNUMBER(expected_production[[#This Row],[Commissioned Date]]),MAX(0,(expected_production[[#This Row],[Date]]-expected_production[[#This Row],[Commissioned Date]])/365.25),"")</f>
        <v>2.2258726899383983</v>
      </c>
      <c r="F614" s="49">
        <f>IF(expected_production[[#This Row],[Age (yrs)]]="",1,(1-DegradationRate)^expected_production[[#This Row],[Age (yrs)]])</f>
        <v>0.98448570748464115</v>
      </c>
      <c r="G614" s="52">
        <f>IF(expected_production[[#This Row],[Base Expected (kWh)]]="","",expected_production[[#This Row],[Base Expected (kWh)]]*expected_production[[#This Row],[Degradation Factor]])</f>
        <v>13373.253850471365</v>
      </c>
    </row>
    <row r="615" spans="1:7" ht="15" hidden="1" customHeight="1" x14ac:dyDescent="0.3">
      <c r="A615" t="s">
        <v>98</v>
      </c>
      <c r="B615" s="2">
        <v>45323</v>
      </c>
      <c r="C615" s="52">
        <v>12445.28</v>
      </c>
      <c r="D615" s="48">
        <f>_xlfn.XLOOKUP(expected_production[[#This Row],[Site Name]],Table1[[Site Name ]],Table1[Commisioned Date],"")</f>
        <v>44479</v>
      </c>
      <c r="E615" s="47">
        <f>IF(ISNUMBER(expected_production[[#This Row],[Commissioned Date]]),MAX(0,(expected_production[[#This Row],[Date]]-expected_production[[#This Row],[Commissioned Date]])/365.25),"")</f>
        <v>2.3107460643394937</v>
      </c>
      <c r="F615" s="49">
        <f>IF(expected_production[[#This Row],[Age (yrs)]]="",1,(1-DegradationRate)^expected_production[[#This Row],[Age (yrs)]])</f>
        <v>0.98389892931206846</v>
      </c>
      <c r="G615" s="52">
        <f>IF(expected_production[[#This Row],[Base Expected (kWh)]]="","",expected_production[[#This Row],[Base Expected (kWh)]]*expected_production[[#This Row],[Degradation Factor]])</f>
        <v>12244.8976669889</v>
      </c>
    </row>
    <row r="616" spans="1:7" ht="15" hidden="1" customHeight="1" x14ac:dyDescent="0.3">
      <c r="A616" t="s">
        <v>98</v>
      </c>
      <c r="B616" s="2">
        <v>45352</v>
      </c>
      <c r="C616" s="52">
        <v>12742.08</v>
      </c>
      <c r="D616" s="48">
        <f>_xlfn.XLOOKUP(expected_production[[#This Row],[Site Name]],Table1[[Site Name ]],Table1[Commisioned Date],"")</f>
        <v>44479</v>
      </c>
      <c r="E616" s="47">
        <f>IF(ISNUMBER(expected_production[[#This Row],[Commissioned Date]]),MAX(0,(expected_production[[#This Row],[Date]]-expected_production[[#This Row],[Commissioned Date]])/365.25),"")</f>
        <v>2.3901437371663246</v>
      </c>
      <c r="F616" s="49">
        <f>IF(expected_production[[#This Row],[Age (yrs)]]="",1,(1-DegradationRate)^expected_production[[#This Row],[Age (yrs)]])</f>
        <v>0.98335032441693748</v>
      </c>
      <c r="G616" s="52">
        <f>IF(expected_production[[#This Row],[Base Expected (kWh)]]="","",expected_production[[#This Row],[Base Expected (kWh)]]*expected_production[[#This Row],[Degradation Factor]])</f>
        <v>12529.92850174657</v>
      </c>
    </row>
    <row r="617" spans="1:7" ht="15" hidden="1" customHeight="1" x14ac:dyDescent="0.3">
      <c r="A617" t="s">
        <v>98</v>
      </c>
      <c r="B617" s="2">
        <v>45383</v>
      </c>
      <c r="C617" s="52">
        <v>10941.84</v>
      </c>
      <c r="D617" s="48">
        <f>_xlfn.XLOOKUP(expected_production[[#This Row],[Site Name]],Table1[[Site Name ]],Table1[Commisioned Date],"")</f>
        <v>44479</v>
      </c>
      <c r="E617" s="47">
        <f>IF(ISNUMBER(expected_production[[#This Row],[Commissioned Date]]),MAX(0,(expected_production[[#This Row],[Date]]-expected_production[[#This Row],[Commissioned Date]])/365.25),"")</f>
        <v>2.4750171115674195</v>
      </c>
      <c r="F617" s="49">
        <f>IF(expected_production[[#This Row],[Age (yrs)]]="",1,(1-DegradationRate)^expected_production[[#This Row],[Age (yrs)]])</f>
        <v>0.98276422296114851</v>
      </c>
      <c r="G617" s="52">
        <f>IF(expected_production[[#This Row],[Base Expected (kWh)]]="","",expected_production[[#This Row],[Base Expected (kWh)]]*expected_production[[#This Row],[Degradation Factor]])</f>
        <v>10753.248885365214</v>
      </c>
    </row>
    <row r="618" spans="1:7" ht="15" hidden="1" customHeight="1" x14ac:dyDescent="0.3">
      <c r="A618" t="s">
        <v>98</v>
      </c>
      <c r="B618" s="2">
        <v>45413</v>
      </c>
      <c r="C618" s="52">
        <v>9881.2800000000007</v>
      </c>
      <c r="D618" s="48">
        <f>_xlfn.XLOOKUP(expected_production[[#This Row],[Site Name]],Table1[[Site Name ]],Table1[Commisioned Date],"")</f>
        <v>44479</v>
      </c>
      <c r="E618" s="47">
        <f>IF(ISNUMBER(expected_production[[#This Row],[Commissioned Date]]),MAX(0,(expected_production[[#This Row],[Date]]-expected_production[[#This Row],[Commissioned Date]])/365.25),"")</f>
        <v>2.5571526351813825</v>
      </c>
      <c r="F618" s="49">
        <f>IF(expected_production[[#This Row],[Age (yrs)]]="",1,(1-DegradationRate)^expected_production[[#This Row],[Age (yrs)]])</f>
        <v>0.98219736061586549</v>
      </c>
      <c r="G618" s="52">
        <f>IF(expected_production[[#This Row],[Base Expected (kWh)]]="","",expected_production[[#This Row],[Base Expected (kWh)]]*expected_production[[#This Row],[Degradation Factor]])</f>
        <v>9705.3671355063398</v>
      </c>
    </row>
    <row r="619" spans="1:7" ht="15" hidden="1" customHeight="1" x14ac:dyDescent="0.3">
      <c r="A619" t="s">
        <v>98</v>
      </c>
      <c r="B619" s="2">
        <v>45444</v>
      </c>
      <c r="C619" s="52">
        <v>9234.8799999999992</v>
      </c>
      <c r="D619" s="48">
        <f>_xlfn.XLOOKUP(expected_production[[#This Row],[Site Name]],Table1[[Site Name ]],Table1[Commisioned Date],"")</f>
        <v>44479</v>
      </c>
      <c r="E619" s="47">
        <f>IF(ISNUMBER(expected_production[[#This Row],[Commissioned Date]]),MAX(0,(expected_production[[#This Row],[Date]]-expected_production[[#This Row],[Commissioned Date]])/365.25),"")</f>
        <v>2.6420260095824779</v>
      </c>
      <c r="F619" s="49">
        <f>IF(expected_production[[#This Row],[Age (yrs)]]="",1,(1-DegradationRate)^expected_production[[#This Row],[Age (yrs)]])</f>
        <v>0.98161194635541837</v>
      </c>
      <c r="G619" s="52">
        <f>IF(expected_production[[#This Row],[Base Expected (kWh)]]="","",expected_production[[#This Row],[Base Expected (kWh)]]*expected_production[[#This Row],[Degradation Factor]])</f>
        <v>9065.0685311587258</v>
      </c>
    </row>
    <row r="620" spans="1:7" ht="15" hidden="1" customHeight="1" x14ac:dyDescent="0.3">
      <c r="A620" t="s">
        <v>98</v>
      </c>
      <c r="B620" s="2">
        <v>45474</v>
      </c>
      <c r="C620" s="52">
        <v>9756.08</v>
      </c>
      <c r="D620" s="48">
        <f>_xlfn.XLOOKUP(expected_production[[#This Row],[Site Name]],Table1[[Site Name ]],Table1[Commisioned Date],"")</f>
        <v>44479</v>
      </c>
      <c r="E620" s="47">
        <f>IF(ISNUMBER(expected_production[[#This Row],[Commissioned Date]]),MAX(0,(expected_production[[#This Row],[Date]]-expected_production[[#This Row],[Commissioned Date]])/365.25),"")</f>
        <v>2.7241615331964408</v>
      </c>
      <c r="F620" s="49">
        <f>IF(expected_production[[#This Row],[Age (yrs)]]="",1,(1-DegradationRate)^expected_production[[#This Row],[Age (yrs)]])</f>
        <v>0.98104574864790284</v>
      </c>
      <c r="G620" s="52">
        <f>IF(expected_production[[#This Row],[Base Expected (kWh)]]="","",expected_production[[#This Row],[Base Expected (kWh)]]*expected_production[[#This Row],[Degradation Factor]])</f>
        <v>9571.160807468832</v>
      </c>
    </row>
    <row r="621" spans="1:7" ht="15" hidden="1" customHeight="1" x14ac:dyDescent="0.3">
      <c r="A621" t="s">
        <v>98</v>
      </c>
      <c r="B621" s="2">
        <v>45505</v>
      </c>
      <c r="C621" s="52">
        <v>10822.4</v>
      </c>
      <c r="D621" s="48">
        <f>_xlfn.XLOOKUP(expected_production[[#This Row],[Site Name]],Table1[[Site Name ]],Table1[Commisioned Date],"")</f>
        <v>44479</v>
      </c>
      <c r="E621" s="47">
        <f>IF(ISNUMBER(expected_production[[#This Row],[Commissioned Date]]),MAX(0,(expected_production[[#This Row],[Date]]-expected_production[[#This Row],[Commissioned Date]])/365.25),"")</f>
        <v>2.8090349075975358</v>
      </c>
      <c r="F621" s="49">
        <f>IF(expected_production[[#This Row],[Age (yrs)]]="",1,(1-DegradationRate)^expected_production[[#This Row],[Age (yrs)]])</f>
        <v>0.98046102077707109</v>
      </c>
      <c r="G621" s="52">
        <f>IF(expected_production[[#This Row],[Base Expected (kWh)]]="","",expected_production[[#This Row],[Base Expected (kWh)]]*expected_production[[#This Row],[Degradation Factor]])</f>
        <v>10610.941351257774</v>
      </c>
    </row>
    <row r="622" spans="1:7" ht="15" hidden="1" customHeight="1" x14ac:dyDescent="0.3">
      <c r="A622" t="s">
        <v>98</v>
      </c>
      <c r="B622" s="2">
        <v>45536</v>
      </c>
      <c r="C622" s="52">
        <v>10915.68</v>
      </c>
      <c r="D622" s="48">
        <f>_xlfn.XLOOKUP(expected_production[[#This Row],[Site Name]],Table1[[Site Name ]],Table1[Commisioned Date],"")</f>
        <v>44479</v>
      </c>
      <c r="E622" s="47">
        <f>IF(ISNUMBER(expected_production[[#This Row],[Commissioned Date]]),MAX(0,(expected_production[[#This Row],[Date]]-expected_production[[#This Row],[Commissioned Date]])/365.25),"")</f>
        <v>2.8939082819986313</v>
      </c>
      <c r="F622" s="49">
        <f>IF(expected_production[[#This Row],[Age (yrs)]]="",1,(1-DegradationRate)^expected_production[[#This Row],[Age (yrs)]])</f>
        <v>0.97987664141871533</v>
      </c>
      <c r="G622" s="52">
        <f>IF(expected_production[[#This Row],[Base Expected (kWh)]]="","",expected_production[[#This Row],[Base Expected (kWh)]]*expected_production[[#This Row],[Degradation Factor]])</f>
        <v>10696.019857201443</v>
      </c>
    </row>
    <row r="623" spans="1:7" ht="15" hidden="1" customHeight="1" x14ac:dyDescent="0.3">
      <c r="A623" t="s">
        <v>98</v>
      </c>
      <c r="B623" s="2">
        <v>45566</v>
      </c>
      <c r="C623" s="52">
        <v>12133.12</v>
      </c>
      <c r="D623" s="48">
        <f>_xlfn.XLOOKUP(expected_production[[#This Row],[Site Name]],Table1[[Site Name ]],Table1[Commisioned Date],"")</f>
        <v>44479</v>
      </c>
      <c r="E623" s="47">
        <f>IF(ISNUMBER(expected_production[[#This Row],[Commissioned Date]]),MAX(0,(expected_production[[#This Row],[Date]]-expected_production[[#This Row],[Commissioned Date]])/365.25),"")</f>
        <v>2.9760438056125942</v>
      </c>
      <c r="F623" s="49">
        <f>IF(expected_production[[#This Row],[Age (yrs)]]="",1,(1-DegradationRate)^expected_production[[#This Row],[Age (yrs)]])</f>
        <v>0.97931144464204689</v>
      </c>
      <c r="G623" s="52">
        <f>IF(expected_production[[#This Row],[Base Expected (kWh)]]="","",expected_production[[#This Row],[Base Expected (kWh)]]*expected_production[[#This Row],[Degradation Factor]])</f>
        <v>11882.103275215313</v>
      </c>
    </row>
    <row r="624" spans="1:7" ht="15" hidden="1" customHeight="1" x14ac:dyDescent="0.3">
      <c r="A624" t="s">
        <v>98</v>
      </c>
      <c r="B624" s="2">
        <v>45597</v>
      </c>
      <c r="C624" s="52">
        <v>12325.98984</v>
      </c>
      <c r="D624" s="48">
        <f>_xlfn.XLOOKUP(expected_production[[#This Row],[Site Name]],Table1[[Site Name ]],Table1[Commisioned Date],"")</f>
        <v>44479</v>
      </c>
      <c r="E624" s="47">
        <f>IF(ISNUMBER(expected_production[[#This Row],[Commissioned Date]]),MAX(0,(expected_production[[#This Row],[Date]]-expected_production[[#This Row],[Commissioned Date]])/365.25),"")</f>
        <v>3.0609171800136892</v>
      </c>
      <c r="F624" s="49">
        <f>IF(expected_production[[#This Row],[Age (yrs)]]="",1,(1-DegradationRate)^expected_production[[#This Row],[Age (yrs)]])</f>
        <v>0.97872775045989902</v>
      </c>
      <c r="G624" s="52">
        <f>IF(expected_production[[#This Row],[Base Expected (kWh)]]="","",expected_production[[#This Row],[Base Expected (kWh)]]*expected_production[[#This Row],[Degradation Factor]])</f>
        <v>12063.78830829477</v>
      </c>
    </row>
    <row r="625" spans="1:7" ht="15" hidden="1" customHeight="1" x14ac:dyDescent="0.3">
      <c r="A625" t="s">
        <v>98</v>
      </c>
      <c r="B625" s="2">
        <v>45627</v>
      </c>
      <c r="C625" s="52">
        <v>13473.89784</v>
      </c>
      <c r="D625" s="48">
        <f>_xlfn.XLOOKUP(expected_production[[#This Row],[Site Name]],Table1[[Site Name ]],Table1[Commisioned Date],"")</f>
        <v>44479</v>
      </c>
      <c r="E625" s="47">
        <f>IF(ISNUMBER(expected_production[[#This Row],[Commissioned Date]]),MAX(0,(expected_production[[#This Row],[Date]]-expected_production[[#This Row],[Commissioned Date]])/365.25),"")</f>
        <v>3.1430527036276521</v>
      </c>
      <c r="F625" s="49">
        <f>IF(expected_production[[#This Row],[Age (yrs)]]="",1,(1-DegradationRate)^expected_production[[#This Row],[Age (yrs)]])</f>
        <v>0.97816321636814341</v>
      </c>
      <c r="G625" s="52">
        <f>IF(expected_production[[#This Row],[Base Expected (kWh)]]="","",expected_production[[#This Row],[Base Expected (kWh)]]*expected_production[[#This Row],[Degradation Factor]])</f>
        <v>13179.67124819018</v>
      </c>
    </row>
    <row r="626" spans="1:7" ht="15" hidden="1" customHeight="1" x14ac:dyDescent="0.3">
      <c r="A626" t="s">
        <v>98</v>
      </c>
      <c r="B626" s="2">
        <v>45658</v>
      </c>
      <c r="C626" s="52">
        <v>13584</v>
      </c>
      <c r="D626" s="48">
        <f>_xlfn.XLOOKUP(expected_production[[#This Row],[Site Name]],Table1[[Site Name ]],Table1[Commisioned Date],"")</f>
        <v>44479</v>
      </c>
      <c r="E626" s="47">
        <f>IF(ISNUMBER(expected_production[[#This Row],[Commissioned Date]]),MAX(0,(expected_production[[#This Row],[Date]]-expected_production[[#This Row],[Commissioned Date]])/365.25),"")</f>
        <v>3.2279260780287475</v>
      </c>
      <c r="F626" s="49">
        <f>IF(expected_production[[#This Row],[Age (yrs)]]="",1,(1-DegradationRate)^expected_production[[#This Row],[Age (yrs)]])</f>
        <v>0.97758020655884426</v>
      </c>
      <c r="G626" s="52">
        <f>IF(expected_production[[#This Row],[Base Expected (kWh)]]="","",expected_production[[#This Row],[Base Expected (kWh)]]*expected_production[[#This Row],[Degradation Factor]])</f>
        <v>13279.449525895341</v>
      </c>
    </row>
    <row r="627" spans="1:7" ht="15" hidden="1" customHeight="1" x14ac:dyDescent="0.3">
      <c r="A627" t="s">
        <v>98</v>
      </c>
      <c r="B627" s="2">
        <v>45689</v>
      </c>
      <c r="C627" s="52">
        <v>12445.28</v>
      </c>
      <c r="D627" s="48">
        <f>_xlfn.XLOOKUP(expected_production[[#This Row],[Site Name]],Table1[[Site Name ]],Table1[Commisioned Date],"")</f>
        <v>44479</v>
      </c>
      <c r="E627" s="47">
        <f>IF(ISNUMBER(expected_production[[#This Row],[Commissioned Date]]),MAX(0,(expected_production[[#This Row],[Date]]-expected_production[[#This Row],[Commissioned Date]])/365.25),"")</f>
        <v>3.3127994524298425</v>
      </c>
      <c r="F627" s="49">
        <f>IF(expected_production[[#This Row],[Age (yrs)]]="",1,(1-DegradationRate)^expected_production[[#This Row],[Age (yrs)]])</f>
        <v>0.97699754423801344</v>
      </c>
      <c r="G627" s="52">
        <f>IF(expected_production[[#This Row],[Base Expected (kWh)]]="","",expected_production[[#This Row],[Base Expected (kWh)]]*expected_production[[#This Row],[Degradation Factor]])</f>
        <v>12159.007997354465</v>
      </c>
    </row>
    <row r="628" spans="1:7" ht="15" hidden="1" customHeight="1" x14ac:dyDescent="0.3">
      <c r="A628" t="s">
        <v>98</v>
      </c>
      <c r="B628" s="2">
        <v>45717</v>
      </c>
      <c r="C628" s="52">
        <v>12742.08</v>
      </c>
      <c r="D628" s="48">
        <f>_xlfn.XLOOKUP(expected_production[[#This Row],[Site Name]],Table1[[Site Name ]],Table1[Commisioned Date],"")</f>
        <v>44479</v>
      </c>
      <c r="E628" s="47">
        <f>IF(ISNUMBER(expected_production[[#This Row],[Commissioned Date]]),MAX(0,(expected_production[[#This Row],[Date]]-expected_production[[#This Row],[Commissioned Date]])/365.25),"")</f>
        <v>3.3894592744695413</v>
      </c>
      <c r="F628" s="49">
        <f>IF(expected_production[[#This Row],[Age (yrs)]]="",1,(1-DegradationRate)^expected_production[[#This Row],[Age (yrs)]])</f>
        <v>0.97647156709486593</v>
      </c>
      <c r="G628" s="52">
        <f>IF(expected_production[[#This Row],[Base Expected (kWh)]]="","",expected_production[[#This Row],[Base Expected (kWh)]]*expected_production[[#This Row],[Degradation Factor]])</f>
        <v>12442.278825648149</v>
      </c>
    </row>
    <row r="629" spans="1:7" ht="15" hidden="1" customHeight="1" x14ac:dyDescent="0.3">
      <c r="A629" t="s">
        <v>98</v>
      </c>
      <c r="B629" s="2">
        <v>45748</v>
      </c>
      <c r="C629" s="52">
        <v>10941.84</v>
      </c>
      <c r="D629" s="48">
        <f>_xlfn.XLOOKUP(expected_production[[#This Row],[Site Name]],Table1[[Site Name ]],Table1[Commisioned Date],"")</f>
        <v>44479</v>
      </c>
      <c r="E629" s="47">
        <f>IF(ISNUMBER(expected_production[[#This Row],[Commissioned Date]]),MAX(0,(expected_production[[#This Row],[Date]]-expected_production[[#This Row],[Commissioned Date]])/365.25),"")</f>
        <v>3.4743326488706368</v>
      </c>
      <c r="F629" s="49">
        <f>IF(expected_production[[#This Row],[Age (yrs)]]="",1,(1-DegradationRate)^expected_production[[#This Row],[Age (yrs)]])</f>
        <v>0.97588956555096029</v>
      </c>
      <c r="G629" s="52">
        <f>IF(expected_production[[#This Row],[Base Expected (kWh)]]="","",expected_production[[#This Row],[Base Expected (kWh)]]*expected_production[[#This Row],[Degradation Factor]])</f>
        <v>10678.027483928119</v>
      </c>
    </row>
    <row r="630" spans="1:7" ht="15" hidden="1" customHeight="1" x14ac:dyDescent="0.3">
      <c r="A630" t="s">
        <v>98</v>
      </c>
      <c r="B630" s="2">
        <v>45778</v>
      </c>
      <c r="C630" s="52">
        <v>9881.2800000000007</v>
      </c>
      <c r="D630" s="48">
        <f>_xlfn.XLOOKUP(expected_production[[#This Row],[Site Name]],Table1[[Site Name ]],Table1[Commisioned Date],"")</f>
        <v>44479</v>
      </c>
      <c r="E630" s="47">
        <f>IF(ISNUMBER(expected_production[[#This Row],[Commissioned Date]]),MAX(0,(expected_production[[#This Row],[Date]]-expected_production[[#This Row],[Commissioned Date]])/365.25),"")</f>
        <v>3.5564681724845997</v>
      </c>
      <c r="F630" s="49">
        <f>IF(expected_production[[#This Row],[Age (yrs)]]="",1,(1-DegradationRate)^expected_production[[#This Row],[Age (yrs)]])</f>
        <v>0.97532666853564309</v>
      </c>
      <c r="G630" s="52">
        <f>IF(expected_production[[#This Row],[Base Expected (kWh)]]="","",expected_production[[#This Row],[Base Expected (kWh)]]*expected_production[[#This Row],[Degradation Factor]])</f>
        <v>9637.4759032678794</v>
      </c>
    </row>
    <row r="631" spans="1:7" ht="15" hidden="1" customHeight="1" x14ac:dyDescent="0.3">
      <c r="A631" t="s">
        <v>98</v>
      </c>
      <c r="B631" s="2">
        <v>45809</v>
      </c>
      <c r="C631" s="52">
        <v>9234.8799999999992</v>
      </c>
      <c r="D631" s="48">
        <f>_xlfn.XLOOKUP(expected_production[[#This Row],[Site Name]],Table1[[Site Name ]],Table1[Commisioned Date],"")</f>
        <v>44479</v>
      </c>
      <c r="E631" s="47">
        <f>IF(ISNUMBER(expected_production[[#This Row],[Commissioned Date]]),MAX(0,(expected_production[[#This Row],[Date]]-expected_production[[#This Row],[Commissioned Date]])/365.25),"")</f>
        <v>3.6413415468856947</v>
      </c>
      <c r="F631" s="49">
        <f>IF(expected_production[[#This Row],[Age (yrs)]]="",1,(1-DegradationRate)^expected_production[[#This Row],[Age (yrs)]])</f>
        <v>0.9747453493799928</v>
      </c>
      <c r="G631" s="52">
        <f>IF(expected_production[[#This Row],[Base Expected (kWh)]]="","",expected_production[[#This Row],[Base Expected (kWh)]]*expected_production[[#This Row],[Degradation Factor]])</f>
        <v>9001.6563320823079</v>
      </c>
    </row>
    <row r="632" spans="1:7" ht="15" hidden="1" customHeight="1" x14ac:dyDescent="0.3">
      <c r="A632" t="s">
        <v>98</v>
      </c>
      <c r="B632" s="2">
        <v>45839</v>
      </c>
      <c r="C632" s="52">
        <v>9756.08</v>
      </c>
      <c r="D632" s="48">
        <f>_xlfn.XLOOKUP(expected_production[[#This Row],[Site Name]],Table1[[Site Name ]],Table1[Commisioned Date],"")</f>
        <v>44479</v>
      </c>
      <c r="E632" s="47">
        <f>IF(ISNUMBER(expected_production[[#This Row],[Commissioned Date]]),MAX(0,(expected_production[[#This Row],[Date]]-expected_production[[#This Row],[Commissioned Date]])/365.25),"")</f>
        <v>3.7234770704996576</v>
      </c>
      <c r="F632" s="49">
        <f>IF(expected_production[[#This Row],[Age (yrs)]]="",1,(1-DegradationRate)^expected_production[[#This Row],[Age (yrs)]])</f>
        <v>0.97418311235315191</v>
      </c>
      <c r="G632" s="52">
        <f>IF(expected_production[[#This Row],[Base Expected (kWh)]]="","",expected_production[[#This Row],[Base Expected (kWh)]]*expected_production[[#This Row],[Degradation Factor]])</f>
        <v>9504.2083787663378</v>
      </c>
    </row>
    <row r="633" spans="1:7" ht="15" hidden="1" customHeight="1" x14ac:dyDescent="0.3">
      <c r="A633" t="s">
        <v>98</v>
      </c>
      <c r="B633" s="2">
        <v>45870</v>
      </c>
      <c r="C633" s="52">
        <v>10822.4</v>
      </c>
      <c r="D633" s="48">
        <f>_xlfn.XLOOKUP(expected_production[[#This Row],[Site Name]],Table1[[Site Name ]],Table1[Commisioned Date],"")</f>
        <v>44479</v>
      </c>
      <c r="E633" s="47">
        <f>IF(ISNUMBER(expected_production[[#This Row],[Commissioned Date]]),MAX(0,(expected_production[[#This Row],[Date]]-expected_production[[#This Row],[Commissioned Date]])/365.25),"")</f>
        <v>3.808350444900753</v>
      </c>
      <c r="F633" s="49">
        <f>IF(expected_production[[#This Row],[Age (yrs)]]="",1,(1-DegradationRate)^expected_production[[#This Row],[Age (yrs)]])</f>
        <v>0.97360247478566675</v>
      </c>
      <c r="G633" s="52">
        <f>IF(expected_production[[#This Row],[Base Expected (kWh)]]="","",expected_production[[#This Row],[Base Expected (kWh)]]*expected_production[[#This Row],[Degradation Factor]])</f>
        <v>10536.7154231204</v>
      </c>
    </row>
    <row r="634" spans="1:7" ht="15" hidden="1" customHeight="1" x14ac:dyDescent="0.3">
      <c r="A634" t="s">
        <v>98</v>
      </c>
      <c r="B634" s="2">
        <v>45901</v>
      </c>
      <c r="C634" s="52">
        <v>10915.68</v>
      </c>
      <c r="D634" s="48">
        <f>_xlfn.XLOOKUP(expected_production[[#This Row],[Site Name]],Table1[[Site Name ]],Table1[Commisioned Date],"")</f>
        <v>44479</v>
      </c>
      <c r="E634" s="47">
        <f>IF(ISNUMBER(expected_production[[#This Row],[Commissioned Date]]),MAX(0,(expected_production[[#This Row],[Date]]-expected_production[[#This Row],[Commissioned Date]])/365.25),"")</f>
        <v>3.893223819301848</v>
      </c>
      <c r="F634" s="49">
        <f>IF(expected_production[[#This Row],[Age (yrs)]]="",1,(1-DegradationRate)^expected_production[[#This Row],[Age (yrs)]])</f>
        <v>0.97302218329273427</v>
      </c>
      <c r="G634" s="52">
        <f>IF(expected_production[[#This Row],[Base Expected (kWh)]]="","",expected_production[[#This Row],[Base Expected (kWh)]]*expected_production[[#This Row],[Degradation Factor]])</f>
        <v>10621.198785724833</v>
      </c>
    </row>
    <row r="635" spans="1:7" ht="15" hidden="1" customHeight="1" x14ac:dyDescent="0.3">
      <c r="A635" t="s">
        <v>98</v>
      </c>
      <c r="B635" s="2">
        <v>45931</v>
      </c>
      <c r="C635" s="52">
        <v>12133.12</v>
      </c>
      <c r="D635" s="48">
        <f>_xlfn.XLOOKUP(expected_production[[#This Row],[Site Name]],Table1[[Site Name ]],Table1[Commisioned Date],"")</f>
        <v>44479</v>
      </c>
      <c r="E635" s="47">
        <f>IF(ISNUMBER(expected_production[[#This Row],[Commissioned Date]]),MAX(0,(expected_production[[#This Row],[Date]]-expected_production[[#This Row],[Commissioned Date]])/365.25),"")</f>
        <v>3.9753593429158109</v>
      </c>
      <c r="F635" s="49">
        <f>IF(expected_production[[#This Row],[Age (yrs)]]="",1,(1-DegradationRate)^expected_production[[#This Row],[Age (yrs)]])</f>
        <v>0.97246094019500351</v>
      </c>
      <c r="G635" s="52">
        <f>IF(expected_production[[#This Row],[Base Expected (kWh)]]="","",expected_production[[#This Row],[Base Expected (kWh)]]*expected_production[[#This Row],[Degradation Factor]])</f>
        <v>11798.985282698803</v>
      </c>
    </row>
    <row r="636" spans="1:7" ht="15" hidden="1" customHeight="1" x14ac:dyDescent="0.3">
      <c r="A636" t="s">
        <v>98</v>
      </c>
      <c r="B636" s="2">
        <v>45962</v>
      </c>
      <c r="C636" s="52">
        <v>12325.98984</v>
      </c>
      <c r="D636" s="48">
        <f>_xlfn.XLOOKUP(expected_production[[#This Row],[Site Name]],Table1[[Site Name ]],Table1[Commisioned Date],"")</f>
        <v>44479</v>
      </c>
      <c r="E636" s="47">
        <f>IF(ISNUMBER(expected_production[[#This Row],[Commissioned Date]]),MAX(0,(expected_production[[#This Row],[Date]]-expected_production[[#This Row],[Commissioned Date]])/365.25),"")</f>
        <v>4.0602327173169064</v>
      </c>
      <c r="F636" s="49">
        <f>IF(expected_production[[#This Row],[Age (yrs)]]="",1,(1-DegradationRate)^expected_production[[#This Row],[Age (yrs)]])</f>
        <v>0.97188132908531666</v>
      </c>
      <c r="G636" s="52">
        <f>IF(expected_production[[#This Row],[Base Expected (kWh)]]="","",expected_production[[#This Row],[Base Expected (kWh)]]*expected_production[[#This Row],[Degradation Factor]])</f>
        <v>11979.399387991311</v>
      </c>
    </row>
    <row r="637" spans="1:7" ht="15" hidden="1" customHeight="1" x14ac:dyDescent="0.3">
      <c r="A637" t="s">
        <v>98</v>
      </c>
      <c r="B637" s="2">
        <v>45992</v>
      </c>
      <c r="C637" s="52">
        <v>13473.89784</v>
      </c>
      <c r="D637" s="48">
        <f>_xlfn.XLOOKUP(expected_production[[#This Row],[Site Name]],Table1[[Site Name ]],Table1[Commisioned Date],"")</f>
        <v>44479</v>
      </c>
      <c r="E637" s="47">
        <f>IF(ISNUMBER(expected_production[[#This Row],[Commissioned Date]]),MAX(0,(expected_production[[#This Row],[Date]]-expected_production[[#This Row],[Commissioned Date]])/365.25),"")</f>
        <v>4.1423682409308693</v>
      </c>
      <c r="F637" s="49">
        <f>IF(expected_production[[#This Row],[Age (yrs)]]="",1,(1-DegradationRate)^expected_production[[#This Row],[Age (yrs)]])</f>
        <v>0.97132074403686819</v>
      </c>
      <c r="G637" s="52">
        <f>IF(expected_production[[#This Row],[Base Expected (kWh)]]="","",expected_production[[#This Row],[Base Expected (kWh)]]*expected_production[[#This Row],[Degradation Factor]])</f>
        <v>13087.476475025551</v>
      </c>
    </row>
    <row r="638" spans="1:7" ht="15" hidden="1" customHeight="1" x14ac:dyDescent="0.3">
      <c r="A638" t="s">
        <v>98</v>
      </c>
      <c r="B638" s="2">
        <v>46023</v>
      </c>
      <c r="C638" s="52">
        <v>13584</v>
      </c>
      <c r="D638" s="48">
        <f>_xlfn.XLOOKUP(expected_production[[#This Row],[Site Name]],Table1[[Site Name ]],Table1[Commisioned Date],"")</f>
        <v>44479</v>
      </c>
      <c r="E638" s="47">
        <f>IF(ISNUMBER(expected_production[[#This Row],[Commissioned Date]]),MAX(0,(expected_production[[#This Row],[Date]]-expected_production[[#This Row],[Commissioned Date]])/365.25),"")</f>
        <v>4.2272416153319643</v>
      </c>
      <c r="F638" s="49">
        <f>IF(expected_production[[#This Row],[Age (yrs)]]="",1,(1-DegradationRate)^expected_production[[#This Row],[Age (yrs)]])</f>
        <v>0.97074181251268787</v>
      </c>
      <c r="G638" s="52">
        <f>IF(expected_production[[#This Row],[Base Expected (kWh)]]="","",expected_production[[#This Row],[Base Expected (kWh)]]*expected_production[[#This Row],[Degradation Factor]])</f>
        <v>13186.556781172352</v>
      </c>
    </row>
    <row r="639" spans="1:7" ht="15" hidden="1" customHeight="1" x14ac:dyDescent="0.3">
      <c r="A639" t="s">
        <v>98</v>
      </c>
      <c r="B639" s="2">
        <v>46054</v>
      </c>
      <c r="C639" s="52">
        <v>12445.28</v>
      </c>
      <c r="D639" s="48">
        <f>_xlfn.XLOOKUP(expected_production[[#This Row],[Site Name]],Table1[[Site Name ]],Table1[Commisioned Date],"")</f>
        <v>44479</v>
      </c>
      <c r="E639" s="47">
        <f>IF(ISNUMBER(expected_production[[#This Row],[Commissioned Date]]),MAX(0,(expected_production[[#This Row],[Date]]-expected_production[[#This Row],[Commissioned Date]])/365.25),"")</f>
        <v>4.3121149897330593</v>
      </c>
      <c r="F639" s="49">
        <f>IF(expected_production[[#This Row],[Age (yrs)]]="",1,(1-DegradationRate)^expected_production[[#This Row],[Age (yrs)]])</f>
        <v>0.97016322604621552</v>
      </c>
      <c r="G639" s="52">
        <f>IF(expected_production[[#This Row],[Base Expected (kWh)]]="","",expected_production[[#This Row],[Base Expected (kWh)]]*expected_production[[#This Row],[Degradation Factor]])</f>
        <v>12073.952993848447</v>
      </c>
    </row>
    <row r="640" spans="1:7" ht="15" hidden="1" customHeight="1" x14ac:dyDescent="0.3">
      <c r="A640" t="s">
        <v>98</v>
      </c>
      <c r="B640" s="2">
        <v>46082</v>
      </c>
      <c r="C640" s="52">
        <v>12742.08</v>
      </c>
      <c r="D640" s="48">
        <f>_xlfn.XLOOKUP(expected_production[[#This Row],[Site Name]],Table1[[Site Name ]],Table1[Commisioned Date],"")</f>
        <v>44479</v>
      </c>
      <c r="E640" s="47">
        <f>IF(ISNUMBER(expected_production[[#This Row],[Commissioned Date]]),MAX(0,(expected_production[[#This Row],[Date]]-expected_production[[#This Row],[Commissioned Date]])/365.25),"")</f>
        <v>4.3887748117727581</v>
      </c>
      <c r="F640" s="49">
        <f>IF(expected_production[[#This Row],[Age (yrs)]]="",1,(1-DegradationRate)^expected_production[[#This Row],[Age (yrs)]])</f>
        <v>0.9696409282318228</v>
      </c>
      <c r="G640" s="52">
        <f>IF(expected_production[[#This Row],[Base Expected (kWh)]]="","",expected_production[[#This Row],[Base Expected (kWh)]]*expected_production[[#This Row],[Degradation Factor]])</f>
        <v>12355.242278804144</v>
      </c>
    </row>
    <row r="641" spans="1:7" ht="15" hidden="1" customHeight="1" x14ac:dyDescent="0.3">
      <c r="A641" t="s">
        <v>98</v>
      </c>
      <c r="B641" s="2">
        <v>46113</v>
      </c>
      <c r="C641" s="52">
        <v>10941.84</v>
      </c>
      <c r="D641" s="48">
        <f>_xlfn.XLOOKUP(expected_production[[#This Row],[Site Name]],Table1[[Site Name ]],Table1[Commisioned Date],"")</f>
        <v>44479</v>
      </c>
      <c r="E641" s="47">
        <f>IF(ISNUMBER(expected_production[[#This Row],[Commissioned Date]]),MAX(0,(expected_production[[#This Row],[Date]]-expected_production[[#This Row],[Commissioned Date]])/365.25),"")</f>
        <v>4.473648186173854</v>
      </c>
      <c r="F641" s="49">
        <f>IF(expected_production[[#This Row],[Age (yrs)]]="",1,(1-DegradationRate)^expected_production[[#This Row],[Age (yrs)]])</f>
        <v>0.96906299791999206</v>
      </c>
      <c r="G641" s="52">
        <f>IF(expected_production[[#This Row],[Base Expected (kWh)]]="","",expected_production[[#This Row],[Base Expected (kWh)]]*expected_production[[#This Row],[Degradation Factor]])</f>
        <v>10603.332273160886</v>
      </c>
    </row>
    <row r="642" spans="1:7" ht="15" hidden="1" customHeight="1" x14ac:dyDescent="0.3">
      <c r="A642" t="s">
        <v>98</v>
      </c>
      <c r="B642" s="2">
        <v>46143</v>
      </c>
      <c r="C642" s="52">
        <v>9881.2800000000007</v>
      </c>
      <c r="D642" s="48">
        <f>_xlfn.XLOOKUP(expected_production[[#This Row],[Site Name]],Table1[[Site Name ]],Table1[Commisioned Date],"")</f>
        <v>44479</v>
      </c>
      <c r="E642" s="47">
        <f>IF(ISNUMBER(expected_production[[#This Row],[Commissioned Date]]),MAX(0,(expected_production[[#This Row],[Date]]-expected_production[[#This Row],[Commissioned Date]])/365.25),"")</f>
        <v>4.5557837097878169</v>
      </c>
      <c r="F642" s="49">
        <f>IF(expected_production[[#This Row],[Age (yrs)]]="",1,(1-DegradationRate)^expected_production[[#This Row],[Age (yrs)]])</f>
        <v>0.96850403849626299</v>
      </c>
      <c r="G642" s="52">
        <f>IF(expected_production[[#This Row],[Base Expected (kWh)]]="","",expected_production[[#This Row],[Base Expected (kWh)]]*expected_production[[#This Row],[Degradation Factor]])</f>
        <v>9570.0595855123538</v>
      </c>
    </row>
    <row r="643" spans="1:7" ht="15" hidden="1" customHeight="1" x14ac:dyDescent="0.3">
      <c r="A643" t="s">
        <v>98</v>
      </c>
      <c r="B643" s="2">
        <v>46174</v>
      </c>
      <c r="C643" s="52">
        <v>9234.8799999999992</v>
      </c>
      <c r="D643" s="48">
        <f>_xlfn.XLOOKUP(expected_production[[#This Row],[Site Name]],Table1[[Site Name ]],Table1[Commisioned Date],"")</f>
        <v>44479</v>
      </c>
      <c r="E643" s="47">
        <f>IF(ISNUMBER(expected_production[[#This Row],[Commissioned Date]]),MAX(0,(expected_production[[#This Row],[Date]]-expected_production[[#This Row],[Commissioned Date]])/365.25),"")</f>
        <v>4.6406570841889119</v>
      </c>
      <c r="F643" s="49">
        <f>IF(expected_production[[#This Row],[Age (yrs)]]="",1,(1-DegradationRate)^expected_production[[#This Row],[Age (yrs)]])</f>
        <v>0.96792678579922775</v>
      </c>
      <c r="G643" s="52">
        <f>IF(expected_production[[#This Row],[Base Expected (kWh)]]="","",expected_production[[#This Row],[Base Expected (kWh)]]*expected_production[[#This Row],[Degradation Factor]])</f>
        <v>8938.6877156415721</v>
      </c>
    </row>
    <row r="644" spans="1:7" ht="15" hidden="1" customHeight="1" x14ac:dyDescent="0.3">
      <c r="A644" t="s">
        <v>98</v>
      </c>
      <c r="B644" s="2">
        <v>46204</v>
      </c>
      <c r="C644" s="52">
        <v>9756.08</v>
      </c>
      <c r="D644" s="48">
        <f>_xlfn.XLOOKUP(expected_production[[#This Row],[Site Name]],Table1[[Site Name ]],Table1[Commisioned Date],"")</f>
        <v>44479</v>
      </c>
      <c r="E644" s="47">
        <f>IF(ISNUMBER(expected_production[[#This Row],[Commissioned Date]]),MAX(0,(expected_production[[#This Row],[Date]]-expected_production[[#This Row],[Commissioned Date]])/365.25),"")</f>
        <v>4.7227926078028748</v>
      </c>
      <c r="F644" s="49">
        <f>IF(expected_production[[#This Row],[Age (yrs)]]="",1,(1-DegradationRate)^expected_production[[#This Row],[Age (yrs)]])</f>
        <v>0.96736848174720691</v>
      </c>
      <c r="G644" s="52">
        <f>IF(expected_production[[#This Row],[Base Expected (kWh)]]="","",expected_production[[#This Row],[Base Expected (kWh)]]*expected_production[[#This Row],[Degradation Factor]])</f>
        <v>9437.7242974042911</v>
      </c>
    </row>
    <row r="645" spans="1:7" ht="15" hidden="1" customHeight="1" x14ac:dyDescent="0.3">
      <c r="A645" t="s">
        <v>98</v>
      </c>
      <c r="B645" s="2">
        <v>46235</v>
      </c>
      <c r="C645" s="52">
        <v>10822.4</v>
      </c>
      <c r="D645" s="48">
        <f>_xlfn.XLOOKUP(expected_production[[#This Row],[Site Name]],Table1[[Site Name ]],Table1[Commisioned Date],"")</f>
        <v>44479</v>
      </c>
      <c r="E645" s="47">
        <f>IF(ISNUMBER(expected_production[[#This Row],[Commissioned Date]]),MAX(0,(expected_production[[#This Row],[Date]]-expected_production[[#This Row],[Commissioned Date]])/365.25),"")</f>
        <v>4.8076659822039698</v>
      </c>
      <c r="F645" s="49">
        <f>IF(expected_production[[#This Row],[Age (yrs)]]="",1,(1-DegradationRate)^expected_production[[#This Row],[Age (yrs)]])</f>
        <v>0.96679190587047392</v>
      </c>
      <c r="G645" s="52">
        <f>IF(expected_production[[#This Row],[Base Expected (kWh)]]="","",expected_production[[#This Row],[Base Expected (kWh)]]*expected_production[[#This Row],[Degradation Factor]])</f>
        <v>10463.008722092616</v>
      </c>
    </row>
    <row r="646" spans="1:7" ht="15" hidden="1" customHeight="1" x14ac:dyDescent="0.3">
      <c r="A646" t="s">
        <v>98</v>
      </c>
      <c r="B646" s="2">
        <v>46266</v>
      </c>
      <c r="C646" s="52">
        <v>10915.68</v>
      </c>
      <c r="D646" s="48">
        <f>_xlfn.XLOOKUP(expected_production[[#This Row],[Site Name]],Table1[[Site Name ]],Table1[Commisioned Date],"")</f>
        <v>44479</v>
      </c>
      <c r="E646" s="47">
        <f>IF(ISNUMBER(expected_production[[#This Row],[Commissioned Date]]),MAX(0,(expected_production[[#This Row],[Date]]-expected_production[[#This Row],[Commissioned Date]])/365.25),"")</f>
        <v>4.8925393566050648</v>
      </c>
      <c r="F646" s="49">
        <f>IF(expected_production[[#This Row],[Age (yrs)]]="",1,(1-DegradationRate)^expected_production[[#This Row],[Age (yrs)]])</f>
        <v>0.966215673647424</v>
      </c>
      <c r="G646" s="52">
        <f>IF(expected_production[[#This Row],[Base Expected (kWh)]]="","",expected_production[[#This Row],[Base Expected (kWh)]]*expected_production[[#This Row],[Degradation Factor]])</f>
        <v>10546.901104519713</v>
      </c>
    </row>
    <row r="647" spans="1:7" ht="15" hidden="1" customHeight="1" x14ac:dyDescent="0.3">
      <c r="A647" t="s">
        <v>98</v>
      </c>
      <c r="B647" s="2">
        <v>46296</v>
      </c>
      <c r="C647" s="52">
        <v>12133.12</v>
      </c>
      <c r="D647" s="48">
        <f>_xlfn.XLOOKUP(expected_production[[#This Row],[Site Name]],Table1[[Site Name ]],Table1[Commisioned Date],"")</f>
        <v>44479</v>
      </c>
      <c r="E647" s="47">
        <f>IF(ISNUMBER(expected_production[[#This Row],[Commissioned Date]]),MAX(0,(expected_production[[#This Row],[Date]]-expected_production[[#This Row],[Commissioned Date]])/365.25),"")</f>
        <v>4.9746748802190277</v>
      </c>
      <c r="F647" s="49">
        <f>IF(expected_production[[#This Row],[Age (yrs)]]="",1,(1-DegradationRate)^expected_production[[#This Row],[Age (yrs)]])</f>
        <v>0.96565835657175481</v>
      </c>
      <c r="G647" s="52">
        <f>IF(expected_production[[#This Row],[Base Expected (kWh)]]="","",expected_production[[#This Row],[Base Expected (kWh)]]*expected_production[[#This Row],[Degradation Factor]])</f>
        <v>11716.44871928789</v>
      </c>
    </row>
    <row r="648" spans="1:7" ht="15" hidden="1" customHeight="1" x14ac:dyDescent="0.3">
      <c r="A648" t="s">
        <v>98</v>
      </c>
      <c r="B648" s="2">
        <v>46327</v>
      </c>
      <c r="C648" s="52">
        <v>12325.98984</v>
      </c>
      <c r="D648" s="48">
        <f>_xlfn.XLOOKUP(expected_production[[#This Row],[Site Name]],Table1[[Site Name ]],Table1[Commisioned Date],"")</f>
        <v>44479</v>
      </c>
      <c r="E648" s="47">
        <f>IF(ISNUMBER(expected_production[[#This Row],[Commissioned Date]]),MAX(0,(expected_production[[#This Row],[Date]]-expected_production[[#This Row],[Commissioned Date]])/365.25),"")</f>
        <v>5.0595482546201236</v>
      </c>
      <c r="F648" s="49">
        <f>IF(expected_production[[#This Row],[Age (yrs)]]="",1,(1-DegradationRate)^expected_production[[#This Row],[Age (yrs)]])</f>
        <v>0.96508279997251634</v>
      </c>
      <c r="G648" s="52">
        <f>IF(expected_production[[#This Row],[Base Expected (kWh)]]="","",expected_production[[#This Row],[Base Expected (kWh)]]*expected_production[[#This Row],[Degradation Factor]])</f>
        <v>11895.600787219988</v>
      </c>
    </row>
    <row r="649" spans="1:7" ht="15" hidden="1" customHeight="1" x14ac:dyDescent="0.3">
      <c r="A649" t="s">
        <v>98</v>
      </c>
      <c r="B649" s="2">
        <v>46357</v>
      </c>
      <c r="C649" s="52">
        <v>13473.89784</v>
      </c>
      <c r="D649" s="48">
        <f>_xlfn.XLOOKUP(expected_production[[#This Row],[Site Name]],Table1[[Site Name ]],Table1[Commisioned Date],"")</f>
        <v>44479</v>
      </c>
      <c r="E649" s="47">
        <f>IF(ISNUMBER(expected_production[[#This Row],[Commissioned Date]]),MAX(0,(expected_production[[#This Row],[Date]]-expected_production[[#This Row],[Commissioned Date]])/365.25),"")</f>
        <v>5.1416837782340865</v>
      </c>
      <c r="F649" s="49">
        <f>IF(expected_production[[#This Row],[Age (yrs)]]="",1,(1-DegradationRate)^expected_production[[#This Row],[Age (yrs)]])</f>
        <v>0.96452613634292639</v>
      </c>
      <c r="G649" s="52">
        <f>IF(expected_production[[#This Row],[Base Expected (kWh)]]="","",expected_production[[#This Row],[Base Expected (kWh)]]*expected_production[[#This Row],[Degradation Factor]])</f>
        <v>12995.9266250945</v>
      </c>
    </row>
    <row r="650" spans="1:7" ht="15" hidden="1" customHeight="1" x14ac:dyDescent="0.3">
      <c r="A650" t="s">
        <v>102</v>
      </c>
      <c r="B650" s="2">
        <v>45292</v>
      </c>
      <c r="C650" s="52">
        <v>11384.625</v>
      </c>
      <c r="D650" s="48">
        <f>_xlfn.XLOOKUP(expected_production[[#This Row],[Site Name]],Table1[[Site Name ]],Table1[Commisioned Date],"")</f>
        <v>44479</v>
      </c>
      <c r="E650" s="47">
        <f>IF(ISNUMBER(expected_production[[#This Row],[Commissioned Date]]),MAX(0,(expected_production[[#This Row],[Date]]-expected_production[[#This Row],[Commissioned Date]])/365.25),"")</f>
        <v>2.2258726899383983</v>
      </c>
      <c r="F650" s="49">
        <f>IF(expected_production[[#This Row],[Age (yrs)]]="",1,(1-DegradationRate)^expected_production[[#This Row],[Age (yrs)]])</f>
        <v>0.98448570748464115</v>
      </c>
      <c r="G650" s="52">
        <f>IF(expected_production[[#This Row],[Base Expected (kWh)]]="","",expected_production[[#This Row],[Base Expected (kWh)]]*expected_production[[#This Row],[Degradation Factor]])</f>
        <v>11208.000597572332</v>
      </c>
    </row>
    <row r="651" spans="1:7" ht="15" hidden="1" customHeight="1" x14ac:dyDescent="0.3">
      <c r="A651" t="s">
        <v>102</v>
      </c>
      <c r="B651" s="2">
        <v>45323</v>
      </c>
      <c r="C651" s="52">
        <v>10143.6</v>
      </c>
      <c r="D651" s="48">
        <f>_xlfn.XLOOKUP(expected_production[[#This Row],[Site Name]],Table1[[Site Name ]],Table1[Commisioned Date],"")</f>
        <v>44479</v>
      </c>
      <c r="E651" s="47">
        <f>IF(ISNUMBER(expected_production[[#This Row],[Commissioned Date]]),MAX(0,(expected_production[[#This Row],[Date]]-expected_production[[#This Row],[Commissioned Date]])/365.25),"")</f>
        <v>2.3107460643394937</v>
      </c>
      <c r="F651" s="49">
        <f>IF(expected_production[[#This Row],[Age (yrs)]]="",1,(1-DegradationRate)^expected_production[[#This Row],[Age (yrs)]])</f>
        <v>0.98389892931206846</v>
      </c>
      <c r="G651" s="52">
        <f>IF(expected_production[[#This Row],[Base Expected (kWh)]]="","",expected_production[[#This Row],[Base Expected (kWh)]]*expected_production[[#This Row],[Degradation Factor]])</f>
        <v>9980.2771793698976</v>
      </c>
    </row>
    <row r="652" spans="1:7" ht="15" hidden="1" customHeight="1" x14ac:dyDescent="0.3">
      <c r="A652" t="s">
        <v>102</v>
      </c>
      <c r="B652" s="2">
        <v>45352</v>
      </c>
      <c r="C652" s="52">
        <v>10396.424999999999</v>
      </c>
      <c r="D652" s="48">
        <f>_xlfn.XLOOKUP(expected_production[[#This Row],[Site Name]],Table1[[Site Name ]],Table1[Commisioned Date],"")</f>
        <v>44479</v>
      </c>
      <c r="E652" s="47">
        <f>IF(ISNUMBER(expected_production[[#This Row],[Commissioned Date]]),MAX(0,(expected_production[[#This Row],[Date]]-expected_production[[#This Row],[Commissioned Date]])/365.25),"")</f>
        <v>2.3901437371663246</v>
      </c>
      <c r="F652" s="49">
        <f>IF(expected_production[[#This Row],[Age (yrs)]]="",1,(1-DegradationRate)^expected_production[[#This Row],[Age (yrs)]])</f>
        <v>0.98335032441693748</v>
      </c>
      <c r="G652" s="52">
        <f>IF(expected_production[[#This Row],[Base Expected (kWh)]]="","",expected_production[[#This Row],[Base Expected (kWh)]]*expected_production[[#This Row],[Degradation Factor]])</f>
        <v>10223.327896526358</v>
      </c>
    </row>
    <row r="653" spans="1:7" ht="15" hidden="1" customHeight="1" x14ac:dyDescent="0.3">
      <c r="A653" t="s">
        <v>102</v>
      </c>
      <c r="B653" s="2">
        <v>45383</v>
      </c>
      <c r="C653" s="52">
        <v>8842.2749999999996</v>
      </c>
      <c r="D653" s="48">
        <f>_xlfn.XLOOKUP(expected_production[[#This Row],[Site Name]],Table1[[Site Name ]],Table1[Commisioned Date],"")</f>
        <v>44479</v>
      </c>
      <c r="E653" s="47">
        <f>IF(ISNUMBER(expected_production[[#This Row],[Commissioned Date]]),MAX(0,(expected_production[[#This Row],[Date]]-expected_production[[#This Row],[Commissioned Date]])/365.25),"")</f>
        <v>2.4750171115674195</v>
      </c>
      <c r="F653" s="49">
        <f>IF(expected_production[[#This Row],[Age (yrs)]]="",1,(1-DegradationRate)^expected_production[[#This Row],[Age (yrs)]])</f>
        <v>0.98276422296114851</v>
      </c>
      <c r="G653" s="52">
        <f>IF(expected_production[[#This Row],[Base Expected (kWh)]]="","",expected_production[[#This Row],[Base Expected (kWh)]]*expected_production[[#This Row],[Degradation Factor]])</f>
        <v>8689.8715195837885</v>
      </c>
    </row>
    <row r="654" spans="1:7" ht="15" hidden="1" customHeight="1" x14ac:dyDescent="0.3">
      <c r="A654" t="s">
        <v>102</v>
      </c>
      <c r="B654" s="2">
        <v>45413</v>
      </c>
      <c r="C654" s="52">
        <v>7963.7250000000004</v>
      </c>
      <c r="D654" s="48">
        <f>_xlfn.XLOOKUP(expected_production[[#This Row],[Site Name]],Table1[[Site Name ]],Table1[Commisioned Date],"")</f>
        <v>44479</v>
      </c>
      <c r="E654" s="47">
        <f>IF(ISNUMBER(expected_production[[#This Row],[Commissioned Date]]),MAX(0,(expected_production[[#This Row],[Date]]-expected_production[[#This Row],[Commissioned Date]])/365.25),"")</f>
        <v>2.5571526351813825</v>
      </c>
      <c r="F654" s="49">
        <f>IF(expected_production[[#This Row],[Age (yrs)]]="",1,(1-DegradationRate)^expected_production[[#This Row],[Age (yrs)]])</f>
        <v>0.98219736061586549</v>
      </c>
      <c r="G654" s="52">
        <f>IF(expected_production[[#This Row],[Base Expected (kWh)]]="","",expected_production[[#This Row],[Base Expected (kWh)]]*expected_production[[#This Row],[Degradation Factor]])</f>
        <v>7821.9496756705839</v>
      </c>
    </row>
    <row r="655" spans="1:7" ht="15" hidden="1" customHeight="1" x14ac:dyDescent="0.3">
      <c r="A655" t="s">
        <v>102</v>
      </c>
      <c r="B655" s="2">
        <v>45444</v>
      </c>
      <c r="C655" s="52">
        <v>7364.3249999999998</v>
      </c>
      <c r="D655" s="48">
        <f>_xlfn.XLOOKUP(expected_production[[#This Row],[Site Name]],Table1[[Site Name ]],Table1[Commisioned Date],"")</f>
        <v>44479</v>
      </c>
      <c r="E655" s="47">
        <f>IF(ISNUMBER(expected_production[[#This Row],[Commissioned Date]]),MAX(0,(expected_production[[#This Row],[Date]]-expected_production[[#This Row],[Commissioned Date]])/365.25),"")</f>
        <v>2.6420260095824779</v>
      </c>
      <c r="F655" s="49">
        <f>IF(expected_production[[#This Row],[Age (yrs)]]="",1,(1-DegradationRate)^expected_production[[#This Row],[Age (yrs)]])</f>
        <v>0.98161194635541837</v>
      </c>
      <c r="G655" s="52">
        <f>IF(expected_production[[#This Row],[Base Expected (kWh)]]="","",expected_production[[#This Row],[Base Expected (kWh)]]*expected_production[[#This Row],[Degradation Factor]])</f>
        <v>7228.9093968438665</v>
      </c>
    </row>
    <row r="656" spans="1:7" ht="15" hidden="1" customHeight="1" x14ac:dyDescent="0.3">
      <c r="A656" t="s">
        <v>102</v>
      </c>
      <c r="B656" s="2">
        <v>45474</v>
      </c>
      <c r="C656" s="52">
        <v>7865.1750000000002</v>
      </c>
      <c r="D656" s="48">
        <f>_xlfn.XLOOKUP(expected_production[[#This Row],[Site Name]],Table1[[Site Name ]],Table1[Commisioned Date],"")</f>
        <v>44479</v>
      </c>
      <c r="E656" s="47">
        <f>IF(ISNUMBER(expected_production[[#This Row],[Commissioned Date]]),MAX(0,(expected_production[[#This Row],[Date]]-expected_production[[#This Row],[Commissioned Date]])/365.25),"")</f>
        <v>2.7241615331964408</v>
      </c>
      <c r="F656" s="49">
        <f>IF(expected_production[[#This Row],[Age (yrs)]]="",1,(1-DegradationRate)^expected_production[[#This Row],[Age (yrs)]])</f>
        <v>0.98104574864790284</v>
      </c>
      <c r="G656" s="52">
        <f>IF(expected_production[[#This Row],[Base Expected (kWh)]]="","",expected_production[[#This Row],[Base Expected (kWh)]]*expected_production[[#This Row],[Degradation Factor]])</f>
        <v>7716.0964961217696</v>
      </c>
    </row>
    <row r="657" spans="1:7" ht="15" hidden="1" customHeight="1" x14ac:dyDescent="0.3">
      <c r="A657" t="s">
        <v>102</v>
      </c>
      <c r="B657" s="2">
        <v>45505</v>
      </c>
      <c r="C657" s="52">
        <v>8758.7250000000004</v>
      </c>
      <c r="D657" s="48">
        <f>_xlfn.XLOOKUP(expected_production[[#This Row],[Site Name]],Table1[[Site Name ]],Table1[Commisioned Date],"")</f>
        <v>44479</v>
      </c>
      <c r="E657" s="47">
        <f>IF(ISNUMBER(expected_production[[#This Row],[Commissioned Date]]),MAX(0,(expected_production[[#This Row],[Date]]-expected_production[[#This Row],[Commissioned Date]])/365.25),"")</f>
        <v>2.8090349075975358</v>
      </c>
      <c r="F657" s="49">
        <f>IF(expected_production[[#This Row],[Age (yrs)]]="",1,(1-DegradationRate)^expected_production[[#This Row],[Age (yrs)]])</f>
        <v>0.98046102077707109</v>
      </c>
      <c r="G657" s="52">
        <f>IF(expected_production[[#This Row],[Base Expected (kWh)]]="","",expected_production[[#This Row],[Base Expected (kWh)]]*expected_production[[#This Row],[Degradation Factor]])</f>
        <v>8587.5884542056519</v>
      </c>
    </row>
    <row r="658" spans="1:7" ht="15" hidden="1" customHeight="1" x14ac:dyDescent="0.3">
      <c r="A658" t="s">
        <v>102</v>
      </c>
      <c r="B658" s="2">
        <v>45536</v>
      </c>
      <c r="C658" s="52">
        <v>8956.35</v>
      </c>
      <c r="D658" s="48">
        <f>_xlfn.XLOOKUP(expected_production[[#This Row],[Site Name]],Table1[[Site Name ]],Table1[Commisioned Date],"")</f>
        <v>44479</v>
      </c>
      <c r="E658" s="47">
        <f>IF(ISNUMBER(expected_production[[#This Row],[Commissioned Date]]),MAX(0,(expected_production[[#This Row],[Date]]-expected_production[[#This Row],[Commissioned Date]])/365.25),"")</f>
        <v>2.8939082819986313</v>
      </c>
      <c r="F658" s="49">
        <f>IF(expected_production[[#This Row],[Age (yrs)]]="",1,(1-DegradationRate)^expected_production[[#This Row],[Age (yrs)]])</f>
        <v>0.97987664141871533</v>
      </c>
      <c r="G658" s="52">
        <f>IF(expected_production[[#This Row],[Base Expected (kWh)]]="","",expected_production[[#This Row],[Base Expected (kWh)]]*expected_production[[#This Row],[Degradation Factor]])</f>
        <v>8776.1181573705107</v>
      </c>
    </row>
    <row r="659" spans="1:7" ht="15" hidden="1" customHeight="1" x14ac:dyDescent="0.3">
      <c r="A659" t="s">
        <v>102</v>
      </c>
      <c r="B659" s="2">
        <v>45566</v>
      </c>
      <c r="C659" s="52">
        <v>9957.75</v>
      </c>
      <c r="D659" s="48">
        <f>_xlfn.XLOOKUP(expected_production[[#This Row],[Site Name]],Table1[[Site Name ]],Table1[Commisioned Date],"")</f>
        <v>44479</v>
      </c>
      <c r="E659" s="47">
        <f>IF(ISNUMBER(expected_production[[#This Row],[Commissioned Date]]),MAX(0,(expected_production[[#This Row],[Date]]-expected_production[[#This Row],[Commissioned Date]])/365.25),"")</f>
        <v>2.9760438056125942</v>
      </c>
      <c r="F659" s="49">
        <f>IF(expected_production[[#This Row],[Age (yrs)]]="",1,(1-DegradationRate)^expected_production[[#This Row],[Age (yrs)]])</f>
        <v>0.97931144464204689</v>
      </c>
      <c r="G659" s="52">
        <f>IF(expected_production[[#This Row],[Base Expected (kWh)]]="","",expected_production[[#This Row],[Base Expected (kWh)]]*expected_production[[#This Row],[Degradation Factor]])</f>
        <v>9751.7385378843428</v>
      </c>
    </row>
    <row r="660" spans="1:7" ht="15" hidden="1" customHeight="1" x14ac:dyDescent="0.3">
      <c r="A660" t="s">
        <v>102</v>
      </c>
      <c r="B660" s="2">
        <v>45597</v>
      </c>
      <c r="C660" s="52">
        <v>10009.663425000001</v>
      </c>
      <c r="D660" s="48">
        <f>_xlfn.XLOOKUP(expected_production[[#This Row],[Site Name]],Table1[[Site Name ]],Table1[Commisioned Date],"")</f>
        <v>44479</v>
      </c>
      <c r="E660" s="47">
        <f>IF(ISNUMBER(expected_production[[#This Row],[Commissioned Date]]),MAX(0,(expected_production[[#This Row],[Date]]-expected_production[[#This Row],[Commissioned Date]])/365.25),"")</f>
        <v>3.0609171800136892</v>
      </c>
      <c r="F660" s="49">
        <f>IF(expected_production[[#This Row],[Age (yrs)]]="",1,(1-DegradationRate)^expected_production[[#This Row],[Age (yrs)]])</f>
        <v>0.97872775045989902</v>
      </c>
      <c r="G660" s="52">
        <f>IF(expected_production[[#This Row],[Base Expected (kWh)]]="","",expected_production[[#This Row],[Base Expected (kWh)]]*expected_production[[#This Row],[Degradation Factor]])</f>
        <v>9796.735366810979</v>
      </c>
    </row>
    <row r="661" spans="1:7" ht="15" hidden="1" customHeight="1" x14ac:dyDescent="0.3">
      <c r="A661" t="s">
        <v>102</v>
      </c>
      <c r="B661" s="2">
        <v>45627</v>
      </c>
      <c r="C661" s="52">
        <v>11121.500700000001</v>
      </c>
      <c r="D661" s="48">
        <f>_xlfn.XLOOKUP(expected_production[[#This Row],[Site Name]],Table1[[Site Name ]],Table1[Commisioned Date],"")</f>
        <v>44479</v>
      </c>
      <c r="E661" s="47">
        <f>IF(ISNUMBER(expected_production[[#This Row],[Commissioned Date]]),MAX(0,(expected_production[[#This Row],[Date]]-expected_production[[#This Row],[Commissioned Date]])/365.25),"")</f>
        <v>3.1430527036276521</v>
      </c>
      <c r="F661" s="49">
        <f>IF(expected_production[[#This Row],[Age (yrs)]]="",1,(1-DegradationRate)^expected_production[[#This Row],[Age (yrs)]])</f>
        <v>0.97816321636814341</v>
      </c>
      <c r="G661" s="52">
        <f>IF(expected_production[[#This Row],[Base Expected (kWh)]]="","",expected_production[[#This Row],[Base Expected (kWh)]]*expected_production[[#This Row],[Degradation Factor]])</f>
        <v>10878.642895552559</v>
      </c>
    </row>
    <row r="662" spans="1:7" ht="15" hidden="1" customHeight="1" x14ac:dyDescent="0.3">
      <c r="A662" t="s">
        <v>102</v>
      </c>
      <c r="B662" s="2">
        <v>45658</v>
      </c>
      <c r="C662" s="52">
        <v>11384.625</v>
      </c>
      <c r="D662" s="48">
        <f>_xlfn.XLOOKUP(expected_production[[#This Row],[Site Name]],Table1[[Site Name ]],Table1[Commisioned Date],"")</f>
        <v>44479</v>
      </c>
      <c r="E662" s="47">
        <f>IF(ISNUMBER(expected_production[[#This Row],[Commissioned Date]]),MAX(0,(expected_production[[#This Row],[Date]]-expected_production[[#This Row],[Commissioned Date]])/365.25),"")</f>
        <v>3.2279260780287475</v>
      </c>
      <c r="F662" s="49">
        <f>IF(expected_production[[#This Row],[Age (yrs)]]="",1,(1-DegradationRate)^expected_production[[#This Row],[Age (yrs)]])</f>
        <v>0.97758020655884426</v>
      </c>
      <c r="G662" s="52">
        <f>IF(expected_production[[#This Row],[Base Expected (kWh)]]="","",expected_production[[#This Row],[Base Expected (kWh)]]*expected_production[[#This Row],[Degradation Factor]])</f>
        <v>11129.384059094982</v>
      </c>
    </row>
    <row r="663" spans="1:7" ht="15" hidden="1" customHeight="1" x14ac:dyDescent="0.3">
      <c r="A663" t="s">
        <v>102</v>
      </c>
      <c r="B663" s="2">
        <v>45689</v>
      </c>
      <c r="C663" s="52">
        <v>10143.6</v>
      </c>
      <c r="D663" s="48">
        <f>_xlfn.XLOOKUP(expected_production[[#This Row],[Site Name]],Table1[[Site Name ]],Table1[Commisioned Date],"")</f>
        <v>44479</v>
      </c>
      <c r="E663" s="47">
        <f>IF(ISNUMBER(expected_production[[#This Row],[Commissioned Date]]),MAX(0,(expected_production[[#This Row],[Date]]-expected_production[[#This Row],[Commissioned Date]])/365.25),"")</f>
        <v>3.3127994524298425</v>
      </c>
      <c r="F663" s="49">
        <f>IF(expected_production[[#This Row],[Age (yrs)]]="",1,(1-DegradationRate)^expected_production[[#This Row],[Age (yrs)]])</f>
        <v>0.97699754423801344</v>
      </c>
      <c r="G663" s="52">
        <f>IF(expected_production[[#This Row],[Base Expected (kWh)]]="","",expected_production[[#This Row],[Base Expected (kWh)]]*expected_production[[#This Row],[Degradation Factor]])</f>
        <v>9910.272289732713</v>
      </c>
    </row>
    <row r="664" spans="1:7" ht="15" hidden="1" customHeight="1" x14ac:dyDescent="0.3">
      <c r="A664" t="s">
        <v>102</v>
      </c>
      <c r="B664" s="2">
        <v>45717</v>
      </c>
      <c r="C664" s="52">
        <v>10396.424999999999</v>
      </c>
      <c r="D664" s="48">
        <f>_xlfn.XLOOKUP(expected_production[[#This Row],[Site Name]],Table1[[Site Name ]],Table1[Commisioned Date],"")</f>
        <v>44479</v>
      </c>
      <c r="E664" s="47">
        <f>IF(ISNUMBER(expected_production[[#This Row],[Commissioned Date]]),MAX(0,(expected_production[[#This Row],[Date]]-expected_production[[#This Row],[Commissioned Date]])/365.25),"")</f>
        <v>3.3894592744695413</v>
      </c>
      <c r="F664" s="49">
        <f>IF(expected_production[[#This Row],[Age (yrs)]]="",1,(1-DegradationRate)^expected_production[[#This Row],[Age (yrs)]])</f>
        <v>0.97647156709486593</v>
      </c>
      <c r="G664" s="52">
        <f>IF(expected_production[[#This Row],[Base Expected (kWh)]]="","",expected_production[[#This Row],[Base Expected (kWh)]]*expected_production[[#This Row],[Degradation Factor]])</f>
        <v>10151.813411934241</v>
      </c>
    </row>
    <row r="665" spans="1:7" ht="15" hidden="1" customHeight="1" x14ac:dyDescent="0.3">
      <c r="A665" t="s">
        <v>102</v>
      </c>
      <c r="B665" s="2">
        <v>45748</v>
      </c>
      <c r="C665" s="52">
        <v>8842.2749999999996</v>
      </c>
      <c r="D665" s="48">
        <f>_xlfn.XLOOKUP(expected_production[[#This Row],[Site Name]],Table1[[Site Name ]],Table1[Commisioned Date],"")</f>
        <v>44479</v>
      </c>
      <c r="E665" s="47">
        <f>IF(ISNUMBER(expected_production[[#This Row],[Commissioned Date]]),MAX(0,(expected_production[[#This Row],[Date]]-expected_production[[#This Row],[Commissioned Date]])/365.25),"")</f>
        <v>3.4743326488706368</v>
      </c>
      <c r="F665" s="49">
        <f>IF(expected_production[[#This Row],[Age (yrs)]]="",1,(1-DegradationRate)^expected_production[[#This Row],[Age (yrs)]])</f>
        <v>0.97588956555096029</v>
      </c>
      <c r="G665" s="52">
        <f>IF(expected_production[[#This Row],[Base Expected (kWh)]]="","",expected_production[[#This Row],[Base Expected (kWh)]]*expected_production[[#This Row],[Degradation Factor]])</f>
        <v>8629.0839082321163</v>
      </c>
    </row>
    <row r="666" spans="1:7" ht="15" hidden="1" customHeight="1" x14ac:dyDescent="0.3">
      <c r="A666" t="s">
        <v>102</v>
      </c>
      <c r="B666" s="2">
        <v>45778</v>
      </c>
      <c r="C666" s="52">
        <v>7963.7250000000004</v>
      </c>
      <c r="D666" s="48">
        <f>_xlfn.XLOOKUP(expected_production[[#This Row],[Site Name]],Table1[[Site Name ]],Table1[Commisioned Date],"")</f>
        <v>44479</v>
      </c>
      <c r="E666" s="47">
        <f>IF(ISNUMBER(expected_production[[#This Row],[Commissioned Date]]),MAX(0,(expected_production[[#This Row],[Date]]-expected_production[[#This Row],[Commissioned Date]])/365.25),"")</f>
        <v>3.5564681724845997</v>
      </c>
      <c r="F666" s="49">
        <f>IF(expected_production[[#This Row],[Age (yrs)]]="",1,(1-DegradationRate)^expected_production[[#This Row],[Age (yrs)]])</f>
        <v>0.97532666853564309</v>
      </c>
      <c r="G666" s="52">
        <f>IF(expected_production[[#This Row],[Base Expected (kWh)]]="","",expected_production[[#This Row],[Base Expected (kWh)]]*expected_production[[#This Row],[Degradation Factor]])</f>
        <v>7767.2333733840151</v>
      </c>
    </row>
    <row r="667" spans="1:7" ht="15" hidden="1" customHeight="1" x14ac:dyDescent="0.3">
      <c r="A667" t="s">
        <v>102</v>
      </c>
      <c r="B667" s="2">
        <v>45809</v>
      </c>
      <c r="C667" s="52">
        <v>7364.3249999999998</v>
      </c>
      <c r="D667" s="48">
        <f>_xlfn.XLOOKUP(expected_production[[#This Row],[Site Name]],Table1[[Site Name ]],Table1[Commisioned Date],"")</f>
        <v>44479</v>
      </c>
      <c r="E667" s="47">
        <f>IF(ISNUMBER(expected_production[[#This Row],[Commissioned Date]]),MAX(0,(expected_production[[#This Row],[Date]]-expected_production[[#This Row],[Commissioned Date]])/365.25),"")</f>
        <v>3.6413415468856947</v>
      </c>
      <c r="F667" s="49">
        <f>IF(expected_production[[#This Row],[Age (yrs)]]="",1,(1-DegradationRate)^expected_production[[#This Row],[Age (yrs)]])</f>
        <v>0.9747453493799928</v>
      </c>
      <c r="G667" s="52">
        <f>IF(expected_production[[#This Row],[Base Expected (kWh)]]="","",expected_production[[#This Row],[Base Expected (kWh)]]*expected_production[[#This Row],[Degradation Factor]])</f>
        <v>7178.3415450728153</v>
      </c>
    </row>
    <row r="668" spans="1:7" ht="15" hidden="1" customHeight="1" x14ac:dyDescent="0.3">
      <c r="A668" t="s">
        <v>102</v>
      </c>
      <c r="B668" s="2">
        <v>45839</v>
      </c>
      <c r="C668" s="52">
        <v>7865.1750000000002</v>
      </c>
      <c r="D668" s="48">
        <f>_xlfn.XLOOKUP(expected_production[[#This Row],[Site Name]],Table1[[Site Name ]],Table1[Commisioned Date],"")</f>
        <v>44479</v>
      </c>
      <c r="E668" s="47">
        <f>IF(ISNUMBER(expected_production[[#This Row],[Commissioned Date]]),MAX(0,(expected_production[[#This Row],[Date]]-expected_production[[#This Row],[Commissioned Date]])/365.25),"")</f>
        <v>3.7234770704996576</v>
      </c>
      <c r="F668" s="49">
        <f>IF(expected_production[[#This Row],[Age (yrs)]]="",1,(1-DegradationRate)^expected_production[[#This Row],[Age (yrs)]])</f>
        <v>0.97418311235315191</v>
      </c>
      <c r="G668" s="52">
        <f>IF(expected_production[[#This Row],[Base Expected (kWh)]]="","",expected_production[[#This Row],[Base Expected (kWh)]]*expected_production[[#This Row],[Degradation Factor]])</f>
        <v>7662.1206607022013</v>
      </c>
    </row>
    <row r="669" spans="1:7" ht="15" hidden="1" customHeight="1" x14ac:dyDescent="0.3">
      <c r="A669" t="s">
        <v>102</v>
      </c>
      <c r="B669" s="2">
        <v>45870</v>
      </c>
      <c r="C669" s="52">
        <v>8758.7250000000004</v>
      </c>
      <c r="D669" s="48">
        <f>_xlfn.XLOOKUP(expected_production[[#This Row],[Site Name]],Table1[[Site Name ]],Table1[Commisioned Date],"")</f>
        <v>44479</v>
      </c>
      <c r="E669" s="47">
        <f>IF(ISNUMBER(expected_production[[#This Row],[Commissioned Date]]),MAX(0,(expected_production[[#This Row],[Date]]-expected_production[[#This Row],[Commissioned Date]])/365.25),"")</f>
        <v>3.808350444900753</v>
      </c>
      <c r="F669" s="49">
        <f>IF(expected_production[[#This Row],[Age (yrs)]]="",1,(1-DegradationRate)^expected_production[[#This Row],[Age (yrs)]])</f>
        <v>0.97360247478566675</v>
      </c>
      <c r="G669" s="52">
        <f>IF(expected_production[[#This Row],[Base Expected (kWh)]]="","",expected_production[[#This Row],[Base Expected (kWh)]]*expected_production[[#This Row],[Degradation Factor]])</f>
        <v>8527.5163359670896</v>
      </c>
    </row>
    <row r="670" spans="1:7" ht="15" hidden="1" customHeight="1" x14ac:dyDescent="0.3">
      <c r="A670" t="s">
        <v>102</v>
      </c>
      <c r="B670" s="2">
        <v>45901</v>
      </c>
      <c r="C670" s="52">
        <v>8956.35</v>
      </c>
      <c r="D670" s="48">
        <f>_xlfn.XLOOKUP(expected_production[[#This Row],[Site Name]],Table1[[Site Name ]],Table1[Commisioned Date],"")</f>
        <v>44479</v>
      </c>
      <c r="E670" s="47">
        <f>IF(ISNUMBER(expected_production[[#This Row],[Commissioned Date]]),MAX(0,(expected_production[[#This Row],[Date]]-expected_production[[#This Row],[Commissioned Date]])/365.25),"")</f>
        <v>3.893223819301848</v>
      </c>
      <c r="F670" s="49">
        <f>IF(expected_production[[#This Row],[Age (yrs)]]="",1,(1-DegradationRate)^expected_production[[#This Row],[Age (yrs)]])</f>
        <v>0.97302218329273427</v>
      </c>
      <c r="G670" s="52">
        <f>IF(expected_production[[#This Row],[Base Expected (kWh)]]="","",expected_production[[#This Row],[Base Expected (kWh)]]*expected_production[[#This Row],[Degradation Factor]])</f>
        <v>8714.7272313338817</v>
      </c>
    </row>
    <row r="671" spans="1:7" ht="15" hidden="1" customHeight="1" x14ac:dyDescent="0.3">
      <c r="A671" t="s">
        <v>102</v>
      </c>
      <c r="B671" s="2">
        <v>45931</v>
      </c>
      <c r="C671" s="52">
        <v>9957.75</v>
      </c>
      <c r="D671" s="48">
        <f>_xlfn.XLOOKUP(expected_production[[#This Row],[Site Name]],Table1[[Site Name ]],Table1[Commisioned Date],"")</f>
        <v>44479</v>
      </c>
      <c r="E671" s="47">
        <f>IF(ISNUMBER(expected_production[[#This Row],[Commissioned Date]]),MAX(0,(expected_production[[#This Row],[Date]]-expected_production[[#This Row],[Commissioned Date]])/365.25),"")</f>
        <v>3.9753593429158109</v>
      </c>
      <c r="F671" s="49">
        <f>IF(expected_production[[#This Row],[Age (yrs)]]="",1,(1-DegradationRate)^expected_production[[#This Row],[Age (yrs)]])</f>
        <v>0.97246094019500351</v>
      </c>
      <c r="G671" s="52">
        <f>IF(expected_production[[#This Row],[Base Expected (kWh)]]="","",expected_production[[#This Row],[Base Expected (kWh)]]*expected_production[[#This Row],[Degradation Factor]])</f>
        <v>9683.522927226797</v>
      </c>
    </row>
    <row r="672" spans="1:7" ht="15" hidden="1" customHeight="1" x14ac:dyDescent="0.3">
      <c r="A672" t="s">
        <v>102</v>
      </c>
      <c r="B672" s="2">
        <v>45962</v>
      </c>
      <c r="C672" s="52">
        <v>10009.663425000001</v>
      </c>
      <c r="D672" s="48">
        <f>_xlfn.XLOOKUP(expected_production[[#This Row],[Site Name]],Table1[[Site Name ]],Table1[Commisioned Date],"")</f>
        <v>44479</v>
      </c>
      <c r="E672" s="47">
        <f>IF(ISNUMBER(expected_production[[#This Row],[Commissioned Date]]),MAX(0,(expected_production[[#This Row],[Date]]-expected_production[[#This Row],[Commissioned Date]])/365.25),"")</f>
        <v>4.0602327173169064</v>
      </c>
      <c r="F672" s="49">
        <f>IF(expected_production[[#This Row],[Age (yrs)]]="",1,(1-DegradationRate)^expected_production[[#This Row],[Age (yrs)]])</f>
        <v>0.97188132908531666</v>
      </c>
      <c r="G672" s="52">
        <f>IF(expected_production[[#This Row],[Base Expected (kWh)]]="","",expected_production[[#This Row],[Base Expected (kWh)]]*expected_production[[#This Row],[Degradation Factor]])</f>
        <v>9728.2049931856836</v>
      </c>
    </row>
    <row r="673" spans="1:7" ht="15" hidden="1" customHeight="1" x14ac:dyDescent="0.3">
      <c r="A673" t="s">
        <v>102</v>
      </c>
      <c r="B673" s="2">
        <v>45992</v>
      </c>
      <c r="C673" s="52">
        <v>11121.500700000001</v>
      </c>
      <c r="D673" s="48">
        <f>_xlfn.XLOOKUP(expected_production[[#This Row],[Site Name]],Table1[[Site Name ]],Table1[Commisioned Date],"")</f>
        <v>44479</v>
      </c>
      <c r="E673" s="47">
        <f>IF(ISNUMBER(expected_production[[#This Row],[Commissioned Date]]),MAX(0,(expected_production[[#This Row],[Date]]-expected_production[[#This Row],[Commissioned Date]])/365.25),"")</f>
        <v>4.1423682409308693</v>
      </c>
      <c r="F673" s="49">
        <f>IF(expected_production[[#This Row],[Age (yrs)]]="",1,(1-DegradationRate)^expected_production[[#This Row],[Age (yrs)]])</f>
        <v>0.97132074403686819</v>
      </c>
      <c r="G673" s="52">
        <f>IF(expected_production[[#This Row],[Base Expected (kWh)]]="","",expected_production[[#This Row],[Base Expected (kWh)]]*expected_production[[#This Row],[Degradation Factor]])</f>
        <v>10802.544334730552</v>
      </c>
    </row>
    <row r="674" spans="1:7" ht="15" hidden="1" customHeight="1" x14ac:dyDescent="0.3">
      <c r="A674" t="s">
        <v>102</v>
      </c>
      <c r="B674" s="2">
        <v>46023</v>
      </c>
      <c r="C674" s="52">
        <v>11384.625</v>
      </c>
      <c r="D674" s="48">
        <f>_xlfn.XLOOKUP(expected_production[[#This Row],[Site Name]],Table1[[Site Name ]],Table1[Commisioned Date],"")</f>
        <v>44479</v>
      </c>
      <c r="E674" s="47">
        <f>IF(ISNUMBER(expected_production[[#This Row],[Commissioned Date]]),MAX(0,(expected_production[[#This Row],[Date]]-expected_production[[#This Row],[Commissioned Date]])/365.25),"")</f>
        <v>4.2272416153319643</v>
      </c>
      <c r="F674" s="49">
        <f>IF(expected_production[[#This Row],[Age (yrs)]]="",1,(1-DegradationRate)^expected_production[[#This Row],[Age (yrs)]])</f>
        <v>0.97074181251268787</v>
      </c>
      <c r="G674" s="52">
        <f>IF(expected_production[[#This Row],[Base Expected (kWh)]]="","",expected_production[[#This Row],[Base Expected (kWh)]]*expected_production[[#This Row],[Degradation Factor]])</f>
        <v>11051.531507277259</v>
      </c>
    </row>
    <row r="675" spans="1:7" ht="15" hidden="1" customHeight="1" x14ac:dyDescent="0.3">
      <c r="A675" t="s">
        <v>102</v>
      </c>
      <c r="B675" s="2">
        <v>46054</v>
      </c>
      <c r="C675" s="52">
        <v>10143.6</v>
      </c>
      <c r="D675" s="48">
        <f>_xlfn.XLOOKUP(expected_production[[#This Row],[Site Name]],Table1[[Site Name ]],Table1[Commisioned Date],"")</f>
        <v>44479</v>
      </c>
      <c r="E675" s="47">
        <f>IF(ISNUMBER(expected_production[[#This Row],[Commissioned Date]]),MAX(0,(expected_production[[#This Row],[Date]]-expected_production[[#This Row],[Commissioned Date]])/365.25),"")</f>
        <v>4.3121149897330593</v>
      </c>
      <c r="F675" s="49">
        <f>IF(expected_production[[#This Row],[Age (yrs)]]="",1,(1-DegradationRate)^expected_production[[#This Row],[Age (yrs)]])</f>
        <v>0.97016322604621552</v>
      </c>
      <c r="G675" s="52">
        <f>IF(expected_production[[#This Row],[Base Expected (kWh)]]="","",expected_production[[#This Row],[Base Expected (kWh)]]*expected_production[[#This Row],[Degradation Factor]])</f>
        <v>9840.9476997223919</v>
      </c>
    </row>
    <row r="676" spans="1:7" ht="15" hidden="1" customHeight="1" x14ac:dyDescent="0.3">
      <c r="A676" t="s">
        <v>102</v>
      </c>
      <c r="B676" s="2">
        <v>46082</v>
      </c>
      <c r="C676" s="52">
        <v>10396.424999999999</v>
      </c>
      <c r="D676" s="48">
        <f>_xlfn.XLOOKUP(expected_production[[#This Row],[Site Name]],Table1[[Site Name ]],Table1[Commisioned Date],"")</f>
        <v>44479</v>
      </c>
      <c r="E676" s="47">
        <f>IF(ISNUMBER(expected_production[[#This Row],[Commissioned Date]]),MAX(0,(expected_production[[#This Row],[Date]]-expected_production[[#This Row],[Commissioned Date]])/365.25),"")</f>
        <v>4.3887748117727581</v>
      </c>
      <c r="F676" s="49">
        <f>IF(expected_production[[#This Row],[Age (yrs)]]="",1,(1-DegradationRate)^expected_production[[#This Row],[Age (yrs)]])</f>
        <v>0.9696409282318228</v>
      </c>
      <c r="G676" s="52">
        <f>IF(expected_production[[#This Row],[Base Expected (kWh)]]="","",expected_production[[#This Row],[Base Expected (kWh)]]*expected_production[[#This Row],[Degradation Factor]])</f>
        <v>10080.799187292527</v>
      </c>
    </row>
    <row r="677" spans="1:7" ht="15" hidden="1" customHeight="1" x14ac:dyDescent="0.3">
      <c r="A677" t="s">
        <v>102</v>
      </c>
      <c r="B677" s="2">
        <v>46113</v>
      </c>
      <c r="C677" s="52">
        <v>8842.2749999999996</v>
      </c>
      <c r="D677" s="48">
        <f>_xlfn.XLOOKUP(expected_production[[#This Row],[Site Name]],Table1[[Site Name ]],Table1[Commisioned Date],"")</f>
        <v>44479</v>
      </c>
      <c r="E677" s="47">
        <f>IF(ISNUMBER(expected_production[[#This Row],[Commissioned Date]]),MAX(0,(expected_production[[#This Row],[Date]]-expected_production[[#This Row],[Commissioned Date]])/365.25),"")</f>
        <v>4.473648186173854</v>
      </c>
      <c r="F677" s="49">
        <f>IF(expected_production[[#This Row],[Age (yrs)]]="",1,(1-DegradationRate)^expected_production[[#This Row],[Age (yrs)]])</f>
        <v>0.96906299791999206</v>
      </c>
      <c r="G677" s="52">
        <f>IF(expected_production[[#This Row],[Base Expected (kWh)]]="","",expected_production[[#This Row],[Base Expected (kWh)]]*expected_production[[#This Row],[Degradation Factor]])</f>
        <v>8568.7215199329967</v>
      </c>
    </row>
    <row r="678" spans="1:7" ht="15" hidden="1" customHeight="1" x14ac:dyDescent="0.3">
      <c r="A678" t="s">
        <v>102</v>
      </c>
      <c r="B678" s="2">
        <v>46143</v>
      </c>
      <c r="C678" s="52">
        <v>7963.7250000000004</v>
      </c>
      <c r="D678" s="48">
        <f>_xlfn.XLOOKUP(expected_production[[#This Row],[Site Name]],Table1[[Site Name ]],Table1[Commisioned Date],"")</f>
        <v>44479</v>
      </c>
      <c r="E678" s="47">
        <f>IF(ISNUMBER(expected_production[[#This Row],[Commissioned Date]]),MAX(0,(expected_production[[#This Row],[Date]]-expected_production[[#This Row],[Commissioned Date]])/365.25),"")</f>
        <v>4.5557837097878169</v>
      </c>
      <c r="F678" s="49">
        <f>IF(expected_production[[#This Row],[Age (yrs)]]="",1,(1-DegradationRate)^expected_production[[#This Row],[Age (yrs)]])</f>
        <v>0.96850403849626299</v>
      </c>
      <c r="G678" s="52">
        <f>IF(expected_production[[#This Row],[Base Expected (kWh)]]="","",expected_production[[#This Row],[Base Expected (kWh)]]*expected_production[[#This Row],[Degradation Factor]])</f>
        <v>7712.899823973652</v>
      </c>
    </row>
    <row r="679" spans="1:7" ht="15" hidden="1" customHeight="1" x14ac:dyDescent="0.3">
      <c r="A679" t="s">
        <v>102</v>
      </c>
      <c r="B679" s="2">
        <v>46174</v>
      </c>
      <c r="C679" s="52">
        <v>7364.3249999999998</v>
      </c>
      <c r="D679" s="48">
        <f>_xlfn.XLOOKUP(expected_production[[#This Row],[Site Name]],Table1[[Site Name ]],Table1[Commisioned Date],"")</f>
        <v>44479</v>
      </c>
      <c r="E679" s="47">
        <f>IF(ISNUMBER(expected_production[[#This Row],[Commissioned Date]]),MAX(0,(expected_production[[#This Row],[Date]]-expected_production[[#This Row],[Commissioned Date]])/365.25),"")</f>
        <v>4.6406570841889119</v>
      </c>
      <c r="F679" s="49">
        <f>IF(expected_production[[#This Row],[Age (yrs)]]="",1,(1-DegradationRate)^expected_production[[#This Row],[Age (yrs)]])</f>
        <v>0.96792678579922775</v>
      </c>
      <c r="G679" s="52">
        <f>IF(expected_production[[#This Row],[Base Expected (kWh)]]="","",expected_production[[#This Row],[Base Expected (kWh)]]*expected_production[[#This Row],[Degradation Factor]])</f>
        <v>7128.127426830898</v>
      </c>
    </row>
    <row r="680" spans="1:7" ht="15" hidden="1" customHeight="1" x14ac:dyDescent="0.3">
      <c r="A680" t="s">
        <v>102</v>
      </c>
      <c r="B680" s="2">
        <v>46204</v>
      </c>
      <c r="C680" s="52">
        <v>7865.1750000000002</v>
      </c>
      <c r="D680" s="48">
        <f>_xlfn.XLOOKUP(expected_production[[#This Row],[Site Name]],Table1[[Site Name ]],Table1[Commisioned Date],"")</f>
        <v>44479</v>
      </c>
      <c r="E680" s="47">
        <f>IF(ISNUMBER(expected_production[[#This Row],[Commissioned Date]]),MAX(0,(expected_production[[#This Row],[Date]]-expected_production[[#This Row],[Commissioned Date]])/365.25),"")</f>
        <v>4.7227926078028748</v>
      </c>
      <c r="F680" s="49">
        <f>IF(expected_production[[#This Row],[Age (yrs)]]="",1,(1-DegradationRate)^expected_production[[#This Row],[Age (yrs)]])</f>
        <v>0.96736848174720691</v>
      </c>
      <c r="G680" s="52">
        <f>IF(expected_production[[#This Row],[Base Expected (kWh)]]="","",expected_production[[#This Row],[Base Expected (kWh)]]*expected_production[[#This Row],[Degradation Factor]])</f>
        <v>7608.5223984260883</v>
      </c>
    </row>
    <row r="681" spans="1:7" ht="15" hidden="1" customHeight="1" x14ac:dyDescent="0.3">
      <c r="A681" t="s">
        <v>102</v>
      </c>
      <c r="B681" s="2">
        <v>46235</v>
      </c>
      <c r="C681" s="52">
        <v>8758.7250000000004</v>
      </c>
      <c r="D681" s="48">
        <f>_xlfn.XLOOKUP(expected_production[[#This Row],[Site Name]],Table1[[Site Name ]],Table1[Commisioned Date],"")</f>
        <v>44479</v>
      </c>
      <c r="E681" s="47">
        <f>IF(ISNUMBER(expected_production[[#This Row],[Commissioned Date]]),MAX(0,(expected_production[[#This Row],[Date]]-expected_production[[#This Row],[Commissioned Date]])/365.25),"")</f>
        <v>4.8076659822039698</v>
      </c>
      <c r="F681" s="49">
        <f>IF(expected_production[[#This Row],[Age (yrs)]]="",1,(1-DegradationRate)^expected_production[[#This Row],[Age (yrs)]])</f>
        <v>0.96679190587047392</v>
      </c>
      <c r="G681" s="52">
        <f>IF(expected_production[[#This Row],[Base Expected (kWh)]]="","",expected_production[[#This Row],[Base Expected (kWh)]]*expected_production[[#This Row],[Degradation Factor]])</f>
        <v>8467.8644357453668</v>
      </c>
    </row>
    <row r="682" spans="1:7" ht="15" hidden="1" customHeight="1" x14ac:dyDescent="0.3">
      <c r="A682" t="s">
        <v>102</v>
      </c>
      <c r="B682" s="2">
        <v>46266</v>
      </c>
      <c r="C682" s="52">
        <v>8956.35</v>
      </c>
      <c r="D682" s="48">
        <f>_xlfn.XLOOKUP(expected_production[[#This Row],[Site Name]],Table1[[Site Name ]],Table1[Commisioned Date],"")</f>
        <v>44479</v>
      </c>
      <c r="E682" s="47">
        <f>IF(ISNUMBER(expected_production[[#This Row],[Commissioned Date]]),MAX(0,(expected_production[[#This Row],[Date]]-expected_production[[#This Row],[Commissioned Date]])/365.25),"")</f>
        <v>4.8925393566050648</v>
      </c>
      <c r="F682" s="49">
        <f>IF(expected_production[[#This Row],[Age (yrs)]]="",1,(1-DegradationRate)^expected_production[[#This Row],[Age (yrs)]])</f>
        <v>0.966215673647424</v>
      </c>
      <c r="G682" s="52">
        <f>IF(expected_production[[#This Row],[Base Expected (kWh)]]="","",expected_production[[#This Row],[Base Expected (kWh)]]*expected_production[[#This Row],[Degradation Factor]])</f>
        <v>8653.7657486721055</v>
      </c>
    </row>
    <row r="683" spans="1:7" ht="15" hidden="1" customHeight="1" x14ac:dyDescent="0.3">
      <c r="A683" t="s">
        <v>102</v>
      </c>
      <c r="B683" s="2">
        <v>46296</v>
      </c>
      <c r="C683" s="52">
        <v>9957.75</v>
      </c>
      <c r="D683" s="48">
        <f>_xlfn.XLOOKUP(expected_production[[#This Row],[Site Name]],Table1[[Site Name ]],Table1[Commisioned Date],"")</f>
        <v>44479</v>
      </c>
      <c r="E683" s="47">
        <f>IF(ISNUMBER(expected_production[[#This Row],[Commissioned Date]]),MAX(0,(expected_production[[#This Row],[Date]]-expected_production[[#This Row],[Commissioned Date]])/365.25),"")</f>
        <v>4.9746748802190277</v>
      </c>
      <c r="F683" s="49">
        <f>IF(expected_production[[#This Row],[Age (yrs)]]="",1,(1-DegradationRate)^expected_production[[#This Row],[Age (yrs)]])</f>
        <v>0.96565835657175481</v>
      </c>
      <c r="G683" s="52">
        <f>IF(expected_production[[#This Row],[Base Expected (kWh)]]="","",expected_production[[#This Row],[Base Expected (kWh)]]*expected_production[[#This Row],[Degradation Factor]])</f>
        <v>9615.784500152391</v>
      </c>
    </row>
    <row r="684" spans="1:7" ht="15" hidden="1" customHeight="1" x14ac:dyDescent="0.3">
      <c r="A684" t="s">
        <v>102</v>
      </c>
      <c r="B684" s="2">
        <v>46327</v>
      </c>
      <c r="C684" s="52">
        <v>10009.663425000001</v>
      </c>
      <c r="D684" s="48">
        <f>_xlfn.XLOOKUP(expected_production[[#This Row],[Site Name]],Table1[[Site Name ]],Table1[Commisioned Date],"")</f>
        <v>44479</v>
      </c>
      <c r="E684" s="47">
        <f>IF(ISNUMBER(expected_production[[#This Row],[Commissioned Date]]),MAX(0,(expected_production[[#This Row],[Date]]-expected_production[[#This Row],[Commissioned Date]])/365.25),"")</f>
        <v>5.0595482546201236</v>
      </c>
      <c r="F684" s="49">
        <f>IF(expected_production[[#This Row],[Age (yrs)]]="",1,(1-DegradationRate)^expected_production[[#This Row],[Age (yrs)]])</f>
        <v>0.96508279997251634</v>
      </c>
      <c r="G684" s="52">
        <f>IF(expected_production[[#This Row],[Base Expected (kWh)]]="","",expected_production[[#This Row],[Base Expected (kWh)]]*expected_production[[#This Row],[Degradation Factor]])</f>
        <v>9660.1540049814885</v>
      </c>
    </row>
    <row r="685" spans="1:7" ht="15" hidden="1" customHeight="1" x14ac:dyDescent="0.3">
      <c r="A685" t="s">
        <v>102</v>
      </c>
      <c r="B685" s="2">
        <v>46357</v>
      </c>
      <c r="C685" s="52">
        <v>11121.500700000001</v>
      </c>
      <c r="D685" s="48">
        <f>_xlfn.XLOOKUP(expected_production[[#This Row],[Site Name]],Table1[[Site Name ]],Table1[Commisioned Date],"")</f>
        <v>44479</v>
      </c>
      <c r="E685" s="47">
        <f>IF(ISNUMBER(expected_production[[#This Row],[Commissioned Date]]),MAX(0,(expected_production[[#This Row],[Date]]-expected_production[[#This Row],[Commissioned Date]])/365.25),"")</f>
        <v>5.1416837782340865</v>
      </c>
      <c r="F685" s="49">
        <f>IF(expected_production[[#This Row],[Age (yrs)]]="",1,(1-DegradationRate)^expected_production[[#This Row],[Age (yrs)]])</f>
        <v>0.96452613634292639</v>
      </c>
      <c r="G685" s="52">
        <f>IF(expected_production[[#This Row],[Base Expected (kWh)]]="","",expected_production[[#This Row],[Base Expected (kWh)]]*expected_production[[#This Row],[Degradation Factor]])</f>
        <v>10726.978100506152</v>
      </c>
    </row>
    <row r="686" spans="1:7" ht="15" hidden="1" customHeight="1" x14ac:dyDescent="0.3">
      <c r="A686" t="s">
        <v>104</v>
      </c>
      <c r="B686" s="2">
        <v>45292</v>
      </c>
      <c r="C686" s="52">
        <v>4042.8</v>
      </c>
      <c r="D686" s="48">
        <f>_xlfn.XLOOKUP(expected_production[[#This Row],[Site Name]],Table1[[Site Name ]],Table1[Commisioned Date],"")</f>
        <v>45073</v>
      </c>
      <c r="E686" s="47">
        <f>IF(ISNUMBER(expected_production[[#This Row],[Commissioned Date]]),MAX(0,(expected_production[[#This Row],[Date]]-expected_production[[#This Row],[Commissioned Date]])/365.25),"")</f>
        <v>0.59958932238193019</v>
      </c>
      <c r="F686" s="49">
        <f>IF(expected_production[[#This Row],[Age (yrs)]]="",1,(1-DegradationRate)^expected_production[[#This Row],[Age (yrs)]])</f>
        <v>0.99579697343381679</v>
      </c>
      <c r="G686" s="52">
        <f>IF(expected_production[[#This Row],[Base Expected (kWh)]]="","",expected_production[[#This Row],[Base Expected (kWh)]]*expected_production[[#This Row],[Degradation Factor]])</f>
        <v>4025.8080041982348</v>
      </c>
    </row>
    <row r="687" spans="1:7" ht="15" hidden="1" customHeight="1" x14ac:dyDescent="0.3">
      <c r="A687" t="s">
        <v>104</v>
      </c>
      <c r="B687" s="2">
        <v>45323</v>
      </c>
      <c r="C687" s="52">
        <v>3650.4</v>
      </c>
      <c r="D687" s="48">
        <f>_xlfn.XLOOKUP(expected_production[[#This Row],[Site Name]],Table1[[Site Name ]],Table1[Commisioned Date],"")</f>
        <v>45073</v>
      </c>
      <c r="E687" s="47">
        <f>IF(ISNUMBER(expected_production[[#This Row],[Commissioned Date]]),MAX(0,(expected_production[[#This Row],[Date]]-expected_production[[#This Row],[Commissioned Date]])/365.25),"")</f>
        <v>0.68446269678302529</v>
      </c>
      <c r="F687" s="49">
        <f>IF(expected_production[[#This Row],[Age (yrs)]]="",1,(1-DegradationRate)^expected_production[[#This Row],[Age (yrs)]])</f>
        <v>0.99520345346305172</v>
      </c>
      <c r="G687" s="52">
        <f>IF(expected_production[[#This Row],[Base Expected (kWh)]]="","",expected_production[[#This Row],[Base Expected (kWh)]]*expected_production[[#This Row],[Degradation Factor]])</f>
        <v>3632.890686521524</v>
      </c>
    </row>
    <row r="688" spans="1:7" ht="15" hidden="1" customHeight="1" x14ac:dyDescent="0.3">
      <c r="A688" t="s">
        <v>104</v>
      </c>
      <c r="B688" s="2">
        <v>45352</v>
      </c>
      <c r="C688" s="52">
        <v>3957.3</v>
      </c>
      <c r="D688" s="48">
        <f>_xlfn.XLOOKUP(expected_production[[#This Row],[Site Name]],Table1[[Site Name ]],Table1[Commisioned Date],"")</f>
        <v>45073</v>
      </c>
      <c r="E688" s="47">
        <f>IF(ISNUMBER(expected_production[[#This Row],[Commissioned Date]]),MAX(0,(expected_production[[#This Row],[Date]]-expected_production[[#This Row],[Commissioned Date]])/365.25),"")</f>
        <v>0.76386036960985626</v>
      </c>
      <c r="F688" s="49">
        <f>IF(expected_production[[#This Row],[Age (yrs)]]="",1,(1-DegradationRate)^expected_production[[#This Row],[Age (yrs)]])</f>
        <v>0.99464854536227465</v>
      </c>
      <c r="G688" s="52">
        <f>IF(expected_production[[#This Row],[Base Expected (kWh)]]="","",expected_production[[#This Row],[Base Expected (kWh)]]*expected_production[[#This Row],[Degradation Factor]])</f>
        <v>3936.1226885621295</v>
      </c>
    </row>
    <row r="689" spans="1:7" ht="15" hidden="1" customHeight="1" x14ac:dyDescent="0.3">
      <c r="A689" t="s">
        <v>104</v>
      </c>
      <c r="B689" s="2">
        <v>45383</v>
      </c>
      <c r="C689" s="52">
        <v>3279.6</v>
      </c>
      <c r="D689" s="48">
        <f>_xlfn.XLOOKUP(expected_production[[#This Row],[Site Name]],Table1[[Site Name ]],Table1[Commisioned Date],"")</f>
        <v>45073</v>
      </c>
      <c r="E689" s="47">
        <f>IF(ISNUMBER(expected_production[[#This Row],[Commissioned Date]]),MAX(0,(expected_production[[#This Row],[Date]]-expected_production[[#This Row],[Commissioned Date]])/365.25),"")</f>
        <v>0.84873374401095136</v>
      </c>
      <c r="F689" s="49">
        <f>IF(expected_production[[#This Row],[Age (yrs)]]="",1,(1-DegradationRate)^expected_production[[#This Row],[Age (yrs)]])</f>
        <v>0.99405570988344283</v>
      </c>
      <c r="G689" s="52">
        <f>IF(expected_production[[#This Row],[Base Expected (kWh)]]="","",expected_production[[#This Row],[Base Expected (kWh)]]*expected_production[[#This Row],[Degradation Factor]])</f>
        <v>3260.1051061337389</v>
      </c>
    </row>
    <row r="690" spans="1:7" ht="15" hidden="1" customHeight="1" x14ac:dyDescent="0.3">
      <c r="A690" t="s">
        <v>104</v>
      </c>
      <c r="B690" s="2">
        <v>45413</v>
      </c>
      <c r="C690" s="52">
        <v>3050.1</v>
      </c>
      <c r="D690" s="48">
        <f>_xlfn.XLOOKUP(expected_production[[#This Row],[Site Name]],Table1[[Site Name ]],Table1[Commisioned Date],"")</f>
        <v>45073</v>
      </c>
      <c r="E690" s="47">
        <f>IF(ISNUMBER(expected_production[[#This Row],[Commissioned Date]]),MAX(0,(expected_production[[#This Row],[Date]]-expected_production[[#This Row],[Commissioned Date]])/365.25),"")</f>
        <v>0.9308692676249144</v>
      </c>
      <c r="F690" s="49">
        <f>IF(expected_production[[#This Row],[Age (yrs)]]="",1,(1-DegradationRate)^expected_production[[#This Row],[Age (yrs)]])</f>
        <v>0.99348233456321733</v>
      </c>
      <c r="G690" s="52">
        <f>IF(expected_production[[#This Row],[Base Expected (kWh)]]="","",expected_production[[#This Row],[Base Expected (kWh)]]*expected_production[[#This Row],[Degradation Factor]])</f>
        <v>3030.2204686512691</v>
      </c>
    </row>
    <row r="691" spans="1:7" ht="15" hidden="1" customHeight="1" x14ac:dyDescent="0.3">
      <c r="A691" t="s">
        <v>104</v>
      </c>
      <c r="B691" s="2">
        <v>45444</v>
      </c>
      <c r="C691" s="52">
        <v>2790</v>
      </c>
      <c r="D691" s="48">
        <f>_xlfn.XLOOKUP(expected_production[[#This Row],[Site Name]],Table1[[Site Name ]],Table1[Commisioned Date],"")</f>
        <v>45073</v>
      </c>
      <c r="E691" s="47">
        <f>IF(ISNUMBER(expected_production[[#This Row],[Commissioned Date]]),MAX(0,(expected_production[[#This Row],[Date]]-expected_production[[#This Row],[Commissioned Date]])/365.25),"")</f>
        <v>1.0157426420260096</v>
      </c>
      <c r="F691" s="49">
        <f>IF(expected_production[[#This Row],[Age (yrs)]]="",1,(1-DegradationRate)^expected_production[[#This Row],[Age (yrs)]])</f>
        <v>0.99289019417527036</v>
      </c>
      <c r="G691" s="52">
        <f>IF(expected_production[[#This Row],[Base Expected (kWh)]]="","",expected_production[[#This Row],[Base Expected (kWh)]]*expected_production[[#This Row],[Degradation Factor]])</f>
        <v>2770.1636417490045</v>
      </c>
    </row>
    <row r="692" spans="1:7" ht="15" hidden="1" customHeight="1" x14ac:dyDescent="0.3">
      <c r="A692" t="s">
        <v>104</v>
      </c>
      <c r="B692" s="2">
        <v>45474</v>
      </c>
      <c r="C692" s="52">
        <v>3044.7</v>
      </c>
      <c r="D692" s="48">
        <f>_xlfn.XLOOKUP(expected_production[[#This Row],[Site Name]],Table1[[Site Name ]],Table1[Commisioned Date],"")</f>
        <v>45073</v>
      </c>
      <c r="E692" s="47">
        <f>IF(ISNUMBER(expected_production[[#This Row],[Commissioned Date]]),MAX(0,(expected_production[[#This Row],[Date]]-expected_production[[#This Row],[Commissioned Date]])/365.25),"")</f>
        <v>1.0978781656399725</v>
      </c>
      <c r="F692" s="49">
        <f>IF(expected_production[[#This Row],[Age (yrs)]]="",1,(1-DegradationRate)^expected_production[[#This Row],[Age (yrs)]])</f>
        <v>0.99231749112917977</v>
      </c>
      <c r="G692" s="52">
        <f>IF(expected_production[[#This Row],[Base Expected (kWh)]]="","",expected_production[[#This Row],[Base Expected (kWh)]]*expected_production[[#This Row],[Degradation Factor]])</f>
        <v>3021.3090652410133</v>
      </c>
    </row>
    <row r="693" spans="1:7" ht="15" hidden="1" customHeight="1" x14ac:dyDescent="0.3">
      <c r="A693" t="s">
        <v>104</v>
      </c>
      <c r="B693" s="2">
        <v>45505</v>
      </c>
      <c r="C693" s="52">
        <v>3298.5</v>
      </c>
      <c r="D693" s="48">
        <f>_xlfn.XLOOKUP(expected_production[[#This Row],[Site Name]],Table1[[Site Name ]],Table1[Commisioned Date],"")</f>
        <v>45073</v>
      </c>
      <c r="E693" s="47">
        <f>IF(ISNUMBER(expected_production[[#This Row],[Commissioned Date]]),MAX(0,(expected_production[[#This Row],[Date]]-expected_production[[#This Row],[Commissioned Date]])/365.25),"")</f>
        <v>1.1827515400410678</v>
      </c>
      <c r="F693" s="49">
        <f>IF(expected_production[[#This Row],[Age (yrs)]]="",1,(1-DegradationRate)^expected_production[[#This Row],[Age (yrs)]])</f>
        <v>0.99172604501713368</v>
      </c>
      <c r="G693" s="52">
        <f>IF(expected_production[[#This Row],[Base Expected (kWh)]]="","",expected_production[[#This Row],[Base Expected (kWh)]]*expected_production[[#This Row],[Degradation Factor]])</f>
        <v>3271.2083594890155</v>
      </c>
    </row>
    <row r="694" spans="1:7" ht="15" hidden="1" customHeight="1" x14ac:dyDescent="0.3">
      <c r="A694" t="s">
        <v>104</v>
      </c>
      <c r="B694" s="2">
        <v>45536</v>
      </c>
      <c r="C694" s="52">
        <v>3492.9</v>
      </c>
      <c r="D694" s="48">
        <f>_xlfn.XLOOKUP(expected_production[[#This Row],[Site Name]],Table1[[Site Name ]],Table1[Commisioned Date],"")</f>
        <v>45073</v>
      </c>
      <c r="E694" s="47">
        <f>IF(ISNUMBER(expected_production[[#This Row],[Commissioned Date]]),MAX(0,(expected_production[[#This Row],[Date]]-expected_production[[#This Row],[Commissioned Date]])/365.25),"")</f>
        <v>1.267624914442163</v>
      </c>
      <c r="F694" s="49">
        <f>IF(expected_production[[#This Row],[Age (yrs)]]="",1,(1-DegradationRate)^expected_production[[#This Row],[Age (yrs)]])</f>
        <v>0.99113495142180397</v>
      </c>
      <c r="G694" s="52">
        <f>IF(expected_production[[#This Row],[Base Expected (kWh)]]="","",expected_production[[#This Row],[Base Expected (kWh)]]*expected_production[[#This Row],[Degradation Factor]])</f>
        <v>3461.935271821219</v>
      </c>
    </row>
    <row r="695" spans="1:7" ht="15" hidden="1" customHeight="1" x14ac:dyDescent="0.3">
      <c r="A695" t="s">
        <v>104</v>
      </c>
      <c r="B695" s="2">
        <v>45566</v>
      </c>
      <c r="C695" s="52">
        <v>3509.1</v>
      </c>
      <c r="D695" s="48">
        <f>_xlfn.XLOOKUP(expected_production[[#This Row],[Site Name]],Table1[[Site Name ]],Table1[Commisioned Date],"")</f>
        <v>45073</v>
      </c>
      <c r="E695" s="47">
        <f>IF(ISNUMBER(expected_production[[#This Row],[Commissioned Date]]),MAX(0,(expected_production[[#This Row],[Date]]-expected_production[[#This Row],[Commissioned Date]])/365.25),"")</f>
        <v>1.3497604380561259</v>
      </c>
      <c r="F695" s="49">
        <f>IF(expected_production[[#This Row],[Age (yrs)]]="",1,(1-DegradationRate)^expected_production[[#This Row],[Age (yrs)]])</f>
        <v>0.99056326080677315</v>
      </c>
      <c r="G695" s="52">
        <f>IF(expected_production[[#This Row],[Base Expected (kWh)]]="","",expected_production[[#This Row],[Base Expected (kWh)]]*expected_production[[#This Row],[Degradation Factor]])</f>
        <v>3475.9855384970474</v>
      </c>
    </row>
    <row r="696" spans="1:7" ht="15" hidden="1" customHeight="1" x14ac:dyDescent="0.3">
      <c r="A696" t="s">
        <v>104</v>
      </c>
      <c r="B696" s="2">
        <v>45597</v>
      </c>
      <c r="C696" s="52">
        <v>3348</v>
      </c>
      <c r="D696" s="48">
        <f>_xlfn.XLOOKUP(expected_production[[#This Row],[Site Name]],Table1[[Site Name ]],Table1[Commisioned Date],"")</f>
        <v>45073</v>
      </c>
      <c r="E696" s="47">
        <f>IF(ISNUMBER(expected_production[[#This Row],[Commissioned Date]]),MAX(0,(expected_production[[#This Row],[Date]]-expected_production[[#This Row],[Commissioned Date]])/365.25),"")</f>
        <v>1.4346338124572211</v>
      </c>
      <c r="F696" s="49">
        <f>IF(expected_production[[#This Row],[Age (yrs)]]="",1,(1-DegradationRate)^expected_production[[#This Row],[Age (yrs)]])</f>
        <v>0.98997286025999531</v>
      </c>
      <c r="G696" s="52">
        <f>IF(expected_production[[#This Row],[Base Expected (kWh)]]="","",expected_production[[#This Row],[Base Expected (kWh)]]*expected_production[[#This Row],[Degradation Factor]])</f>
        <v>3314.4291361504643</v>
      </c>
    </row>
    <row r="697" spans="1:7" ht="15" hidden="1" customHeight="1" x14ac:dyDescent="0.3">
      <c r="A697" t="s">
        <v>104</v>
      </c>
      <c r="B697" s="2">
        <v>45627</v>
      </c>
      <c r="C697" s="52">
        <v>3591.9</v>
      </c>
      <c r="D697" s="48">
        <f>_xlfn.XLOOKUP(expected_production[[#This Row],[Site Name]],Table1[[Site Name ]],Table1[Commisioned Date],"")</f>
        <v>45073</v>
      </c>
      <c r="E697" s="47">
        <f>IF(ISNUMBER(expected_production[[#This Row],[Commissioned Date]]),MAX(0,(expected_production[[#This Row],[Date]]-expected_production[[#This Row],[Commissioned Date]])/365.25),"")</f>
        <v>1.516769336071184</v>
      </c>
      <c r="F697" s="49">
        <f>IF(expected_production[[#This Row],[Age (yrs)]]="",1,(1-DegradationRate)^expected_production[[#This Row],[Age (yrs)]])</f>
        <v>0.98940183994380737</v>
      </c>
      <c r="G697" s="52">
        <f>IF(expected_production[[#This Row],[Base Expected (kWh)]]="","",expected_production[[#This Row],[Base Expected (kWh)]]*expected_production[[#This Row],[Degradation Factor]])</f>
        <v>3553.8324688941616</v>
      </c>
    </row>
    <row r="698" spans="1:7" ht="15" hidden="1" customHeight="1" x14ac:dyDescent="0.3">
      <c r="A698" t="s">
        <v>104</v>
      </c>
      <c r="B698" s="2">
        <v>45658</v>
      </c>
      <c r="C698" s="52">
        <v>4042.8</v>
      </c>
      <c r="D698" s="48">
        <f>_xlfn.XLOOKUP(expected_production[[#This Row],[Site Name]],Table1[[Site Name ]],Table1[Commisioned Date],"")</f>
        <v>45073</v>
      </c>
      <c r="E698" s="47">
        <f>IF(ISNUMBER(expected_production[[#This Row],[Commissioned Date]]),MAX(0,(expected_production[[#This Row],[Date]]-expected_production[[#This Row],[Commissioned Date]])/365.25),"")</f>
        <v>1.6016427104722792</v>
      </c>
      <c r="F698" s="49">
        <f>IF(expected_production[[#This Row],[Age (yrs)]]="",1,(1-DegradationRate)^expected_production[[#This Row],[Age (yrs)]])</f>
        <v>0.98881213163299231</v>
      </c>
      <c r="G698" s="52">
        <f>IF(expected_production[[#This Row],[Base Expected (kWh)]]="","",expected_production[[#This Row],[Base Expected (kWh)]]*expected_production[[#This Row],[Degradation Factor]])</f>
        <v>3997.5696857658613</v>
      </c>
    </row>
    <row r="699" spans="1:7" ht="15" hidden="1" customHeight="1" x14ac:dyDescent="0.3">
      <c r="A699" t="s">
        <v>104</v>
      </c>
      <c r="B699" s="2">
        <v>45689</v>
      </c>
      <c r="C699" s="52">
        <v>3650.4</v>
      </c>
      <c r="D699" s="48">
        <f>_xlfn.XLOOKUP(expected_production[[#This Row],[Site Name]],Table1[[Site Name ]],Table1[Commisioned Date],"")</f>
        <v>45073</v>
      </c>
      <c r="E699" s="47">
        <f>IF(ISNUMBER(expected_production[[#This Row],[Commissioned Date]]),MAX(0,(expected_production[[#This Row],[Date]]-expected_production[[#This Row],[Commissioned Date]])/365.25),"")</f>
        <v>1.6865160848733745</v>
      </c>
      <c r="F699" s="49">
        <f>IF(expected_production[[#This Row],[Age (yrs)]]="",1,(1-DegradationRate)^expected_production[[#This Row],[Age (yrs)]])</f>
        <v>0.98822277480312049</v>
      </c>
      <c r="G699" s="52">
        <f>IF(expected_production[[#This Row],[Base Expected (kWh)]]="","",expected_production[[#This Row],[Base Expected (kWh)]]*expected_production[[#This Row],[Degradation Factor]])</f>
        <v>3607.408417141311</v>
      </c>
    </row>
    <row r="700" spans="1:7" ht="15" hidden="1" customHeight="1" x14ac:dyDescent="0.3">
      <c r="A700" t="s">
        <v>104</v>
      </c>
      <c r="B700" s="2">
        <v>45717</v>
      </c>
      <c r="C700" s="52">
        <v>3957.3</v>
      </c>
      <c r="D700" s="48">
        <f>_xlfn.XLOOKUP(expected_production[[#This Row],[Site Name]],Table1[[Site Name ]],Table1[Commisioned Date],"")</f>
        <v>45073</v>
      </c>
      <c r="E700" s="47">
        <f>IF(ISNUMBER(expected_production[[#This Row],[Commissioned Date]]),MAX(0,(expected_production[[#This Row],[Date]]-expected_production[[#This Row],[Commissioned Date]])/365.25),"")</f>
        <v>1.7631759069130732</v>
      </c>
      <c r="F700" s="49">
        <f>IF(expected_production[[#This Row],[Age (yrs)]]="",1,(1-DegradationRate)^expected_production[[#This Row],[Age (yrs)]])</f>
        <v>0.98769075443628362</v>
      </c>
      <c r="G700" s="52">
        <f>IF(expected_production[[#This Row],[Base Expected (kWh)]]="","",expected_production[[#This Row],[Base Expected (kWh)]]*expected_production[[#This Row],[Degradation Factor]])</f>
        <v>3908.5886225307054</v>
      </c>
    </row>
    <row r="701" spans="1:7" ht="15" hidden="1" customHeight="1" x14ac:dyDescent="0.3">
      <c r="A701" t="s">
        <v>104</v>
      </c>
      <c r="B701" s="2">
        <v>45748</v>
      </c>
      <c r="C701" s="52">
        <v>3279.6</v>
      </c>
      <c r="D701" s="48">
        <f>_xlfn.XLOOKUP(expected_production[[#This Row],[Site Name]],Table1[[Site Name ]],Table1[Commisioned Date],"")</f>
        <v>45073</v>
      </c>
      <c r="E701" s="47">
        <f>IF(ISNUMBER(expected_production[[#This Row],[Commissioned Date]]),MAX(0,(expected_production[[#This Row],[Date]]-expected_production[[#This Row],[Commissioned Date]])/365.25),"")</f>
        <v>1.8480492813141685</v>
      </c>
      <c r="F701" s="49">
        <f>IF(expected_production[[#This Row],[Age (yrs)]]="",1,(1-DegradationRate)^expected_production[[#This Row],[Age (yrs)]])</f>
        <v>0.98710206597534522</v>
      </c>
      <c r="G701" s="52">
        <f>IF(expected_production[[#This Row],[Base Expected (kWh)]]="","",expected_production[[#This Row],[Base Expected (kWh)]]*expected_production[[#This Row],[Degradation Factor]])</f>
        <v>3237.299935572742</v>
      </c>
    </row>
    <row r="702" spans="1:7" ht="15" hidden="1" customHeight="1" x14ac:dyDescent="0.3">
      <c r="A702" t="s">
        <v>104</v>
      </c>
      <c r="B702" s="2">
        <v>45778</v>
      </c>
      <c r="C702" s="52">
        <v>3050.1</v>
      </c>
      <c r="D702" s="48">
        <f>_xlfn.XLOOKUP(expected_production[[#This Row],[Site Name]],Table1[[Site Name ]],Table1[Commisioned Date],"")</f>
        <v>45073</v>
      </c>
      <c r="E702" s="47">
        <f>IF(ISNUMBER(expected_production[[#This Row],[Commissioned Date]]),MAX(0,(expected_production[[#This Row],[Date]]-expected_production[[#This Row],[Commissioned Date]])/365.25),"")</f>
        <v>1.9301848049281314</v>
      </c>
      <c r="F702" s="49">
        <f>IF(expected_production[[#This Row],[Age (yrs)]]="",1,(1-DegradationRate)^expected_production[[#This Row],[Age (yrs)]])</f>
        <v>0.98653270154481421</v>
      </c>
      <c r="G702" s="52">
        <f>IF(expected_production[[#This Row],[Base Expected (kWh)]]="","",expected_production[[#This Row],[Base Expected (kWh)]]*expected_production[[#This Row],[Degradation Factor]])</f>
        <v>3009.0233929818378</v>
      </c>
    </row>
    <row r="703" spans="1:7" ht="15" hidden="1" customHeight="1" x14ac:dyDescent="0.3">
      <c r="A703" t="s">
        <v>104</v>
      </c>
      <c r="B703" s="2">
        <v>45809</v>
      </c>
      <c r="C703" s="52">
        <v>2790</v>
      </c>
      <c r="D703" s="48">
        <f>_xlfn.XLOOKUP(expected_production[[#This Row],[Site Name]],Table1[[Site Name ]],Table1[Commisioned Date],"")</f>
        <v>45073</v>
      </c>
      <c r="E703" s="47">
        <f>IF(ISNUMBER(expected_production[[#This Row],[Commissioned Date]]),MAX(0,(expected_production[[#This Row],[Date]]-expected_production[[#This Row],[Commissioned Date]])/365.25),"")</f>
        <v>2.0150581793292264</v>
      </c>
      <c r="F703" s="49">
        <f>IF(expected_production[[#This Row],[Age (yrs)]]="",1,(1-DegradationRate)^expected_production[[#This Row],[Age (yrs)]])</f>
        <v>0.98594470331244299</v>
      </c>
      <c r="G703" s="52">
        <f>IF(expected_production[[#This Row],[Base Expected (kWh)]]="","",expected_production[[#This Row],[Base Expected (kWh)]]*expected_production[[#This Row],[Degradation Factor]])</f>
        <v>2750.785722241716</v>
      </c>
    </row>
    <row r="704" spans="1:7" ht="15" hidden="1" customHeight="1" x14ac:dyDescent="0.3">
      <c r="A704" t="s">
        <v>104</v>
      </c>
      <c r="B704" s="2">
        <v>45839</v>
      </c>
      <c r="C704" s="52">
        <v>3044.7</v>
      </c>
      <c r="D704" s="48">
        <f>_xlfn.XLOOKUP(expected_production[[#This Row],[Site Name]],Table1[[Site Name ]],Table1[Commisioned Date],"")</f>
        <v>45073</v>
      </c>
      <c r="E704" s="47">
        <f>IF(ISNUMBER(expected_production[[#This Row],[Commissioned Date]]),MAX(0,(expected_production[[#This Row],[Date]]-expected_production[[#This Row],[Commissioned Date]])/365.25),"")</f>
        <v>2.0971937029431897</v>
      </c>
      <c r="F704" s="49">
        <f>IF(expected_production[[#This Row],[Age (yrs)]]="",1,(1-DegradationRate)^expected_production[[#This Row],[Age (yrs)]])</f>
        <v>0.98537600645333778</v>
      </c>
      <c r="G704" s="52">
        <f>IF(expected_production[[#This Row],[Base Expected (kWh)]]="","",expected_production[[#This Row],[Base Expected (kWh)]]*expected_production[[#This Row],[Degradation Factor]])</f>
        <v>3000.1743268484774</v>
      </c>
    </row>
    <row r="705" spans="1:7" ht="15" hidden="1" customHeight="1" x14ac:dyDescent="0.3">
      <c r="A705" t="s">
        <v>104</v>
      </c>
      <c r="B705" s="2">
        <v>45870</v>
      </c>
      <c r="C705" s="52">
        <v>3298.5</v>
      </c>
      <c r="D705" s="48">
        <f>_xlfn.XLOOKUP(expected_production[[#This Row],[Site Name]],Table1[[Site Name ]],Table1[Commisioned Date],"")</f>
        <v>45073</v>
      </c>
      <c r="E705" s="47">
        <f>IF(ISNUMBER(expected_production[[#This Row],[Commissioned Date]]),MAX(0,(expected_production[[#This Row],[Date]]-expected_production[[#This Row],[Commissioned Date]])/365.25),"")</f>
        <v>2.1820670773442847</v>
      </c>
      <c r="F705" s="49">
        <f>IF(expected_production[[#This Row],[Age (yrs)]]="",1,(1-DegradationRate)^expected_production[[#This Row],[Age (yrs)]])</f>
        <v>0.98478869764025101</v>
      </c>
      <c r="G705" s="52">
        <f>IF(expected_production[[#This Row],[Base Expected (kWh)]]="","",expected_production[[#This Row],[Base Expected (kWh)]]*expected_production[[#This Row],[Degradation Factor]])</f>
        <v>3248.3255191663679</v>
      </c>
    </row>
    <row r="706" spans="1:7" ht="15" hidden="1" customHeight="1" x14ac:dyDescent="0.3">
      <c r="A706" t="s">
        <v>104</v>
      </c>
      <c r="B706" s="2">
        <v>45901</v>
      </c>
      <c r="C706" s="52">
        <v>3492.9</v>
      </c>
      <c r="D706" s="48">
        <f>_xlfn.XLOOKUP(expected_production[[#This Row],[Site Name]],Table1[[Site Name ]],Table1[Commisioned Date],"")</f>
        <v>45073</v>
      </c>
      <c r="E706" s="47">
        <f>IF(ISNUMBER(expected_production[[#This Row],[Commissioned Date]]),MAX(0,(expected_production[[#This Row],[Date]]-expected_production[[#This Row],[Commissioned Date]])/365.25),"")</f>
        <v>2.2669404517453797</v>
      </c>
      <c r="F706" s="49">
        <f>IF(expected_production[[#This Row],[Age (yrs)]]="",1,(1-DegradationRate)^expected_production[[#This Row],[Age (yrs)]])</f>
        <v>0.9842017388779466</v>
      </c>
      <c r="G706" s="52">
        <f>IF(expected_production[[#This Row],[Base Expected (kWh)]]="","",expected_production[[#This Row],[Base Expected (kWh)]]*expected_production[[#This Row],[Degradation Factor]])</f>
        <v>3437.7182537267799</v>
      </c>
    </row>
    <row r="707" spans="1:7" ht="15" hidden="1" customHeight="1" x14ac:dyDescent="0.3">
      <c r="A707" t="s">
        <v>104</v>
      </c>
      <c r="B707" s="2">
        <v>45931</v>
      </c>
      <c r="C707" s="52">
        <v>3509.1</v>
      </c>
      <c r="D707" s="48">
        <f>_xlfn.XLOOKUP(expected_production[[#This Row],[Site Name]],Table1[[Site Name ]],Table1[Commisioned Date],"")</f>
        <v>45073</v>
      </c>
      <c r="E707" s="47">
        <f>IF(ISNUMBER(expected_production[[#This Row],[Commissioned Date]]),MAX(0,(expected_production[[#This Row],[Date]]-expected_production[[#This Row],[Commissioned Date]])/365.25),"")</f>
        <v>2.3490759753593431</v>
      </c>
      <c r="F707" s="49">
        <f>IF(expected_production[[#This Row],[Age (yrs)]]="",1,(1-DegradationRate)^expected_production[[#This Row],[Age (yrs)]])</f>
        <v>0.98363404736771742</v>
      </c>
      <c r="G707" s="52">
        <f>IF(expected_production[[#This Row],[Base Expected (kWh)]]="","",expected_production[[#This Row],[Base Expected (kWh)]]*expected_production[[#This Row],[Degradation Factor]])</f>
        <v>3451.6702356180572</v>
      </c>
    </row>
    <row r="708" spans="1:7" ht="15" hidden="1" customHeight="1" x14ac:dyDescent="0.3">
      <c r="A708" t="s">
        <v>104</v>
      </c>
      <c r="B708" s="2">
        <v>45962</v>
      </c>
      <c r="C708" s="52">
        <v>3348</v>
      </c>
      <c r="D708" s="48">
        <f>_xlfn.XLOOKUP(expected_production[[#This Row],[Site Name]],Table1[[Site Name ]],Table1[Commisioned Date],"")</f>
        <v>45073</v>
      </c>
      <c r="E708" s="47">
        <f>IF(ISNUMBER(expected_production[[#This Row],[Commissioned Date]]),MAX(0,(expected_production[[#This Row],[Date]]-expected_production[[#This Row],[Commissioned Date]])/365.25),"")</f>
        <v>2.4339493497604381</v>
      </c>
      <c r="F708" s="49">
        <f>IF(expected_production[[#This Row],[Age (yrs)]]="",1,(1-DegradationRate)^expected_production[[#This Row],[Age (yrs)]])</f>
        <v>0.98304777680593414</v>
      </c>
      <c r="G708" s="52">
        <f>IF(expected_production[[#This Row],[Base Expected (kWh)]]="","",expected_production[[#This Row],[Base Expected (kWh)]]*expected_production[[#This Row],[Degradation Factor]])</f>
        <v>3291.2439567462675</v>
      </c>
    </row>
    <row r="709" spans="1:7" ht="15" hidden="1" customHeight="1" x14ac:dyDescent="0.3">
      <c r="A709" t="s">
        <v>104</v>
      </c>
      <c r="B709" s="2">
        <v>45992</v>
      </c>
      <c r="C709" s="52">
        <v>3591.9</v>
      </c>
      <c r="D709" s="48">
        <f>_xlfn.XLOOKUP(expected_production[[#This Row],[Site Name]],Table1[[Site Name ]],Table1[Commisioned Date],"")</f>
        <v>45073</v>
      </c>
      <c r="E709" s="47">
        <f>IF(ISNUMBER(expected_production[[#This Row],[Commissioned Date]]),MAX(0,(expected_production[[#This Row],[Date]]-expected_production[[#This Row],[Commissioned Date]])/365.25),"")</f>
        <v>2.516084873374401</v>
      </c>
      <c r="F709" s="49">
        <f>IF(expected_production[[#This Row],[Age (yrs)]]="",1,(1-DegradationRate)^expected_production[[#This Row],[Age (yrs)]])</f>
        <v>0.98248075090565623</v>
      </c>
      <c r="G709" s="52">
        <f>IF(expected_production[[#This Row],[Base Expected (kWh)]]="","",expected_production[[#This Row],[Base Expected (kWh)]]*expected_production[[#This Row],[Degradation Factor]])</f>
        <v>3528.9726091780267</v>
      </c>
    </row>
    <row r="710" spans="1:7" ht="15" hidden="1" customHeight="1" x14ac:dyDescent="0.3">
      <c r="A710" t="s">
        <v>104</v>
      </c>
      <c r="B710" s="2">
        <v>46023</v>
      </c>
      <c r="C710" s="52">
        <v>4042.8</v>
      </c>
      <c r="D710" s="48">
        <f>_xlfn.XLOOKUP(expected_production[[#This Row],[Site Name]],Table1[[Site Name ]],Table1[Commisioned Date],"")</f>
        <v>45073</v>
      </c>
      <c r="E710" s="47">
        <f>IF(ISNUMBER(expected_production[[#This Row],[Commissioned Date]]),MAX(0,(expected_production[[#This Row],[Date]]-expected_production[[#This Row],[Commissioned Date]])/365.25),"")</f>
        <v>2.6009582477754964</v>
      </c>
      <c r="F710" s="49">
        <f>IF(expected_production[[#This Row],[Age (yrs)]]="",1,(1-DegradationRate)^expected_production[[#This Row],[Age (yrs)]])</f>
        <v>0.98189516773748897</v>
      </c>
      <c r="G710" s="52">
        <f>IF(expected_production[[#This Row],[Base Expected (kWh)]]="","",expected_production[[#This Row],[Base Expected (kWh)]]*expected_production[[#This Row],[Degradation Factor]])</f>
        <v>3969.6057841291208</v>
      </c>
    </row>
    <row r="711" spans="1:7" ht="15" hidden="1" customHeight="1" x14ac:dyDescent="0.3">
      <c r="A711" t="s">
        <v>104</v>
      </c>
      <c r="B711" s="2">
        <v>46054</v>
      </c>
      <c r="C711" s="52">
        <v>3650.4</v>
      </c>
      <c r="D711" s="48">
        <f>_xlfn.XLOOKUP(expected_production[[#This Row],[Site Name]],Table1[[Site Name ]],Table1[Commisioned Date],"")</f>
        <v>45073</v>
      </c>
      <c r="E711" s="47">
        <f>IF(ISNUMBER(expected_production[[#This Row],[Commissioned Date]]),MAX(0,(expected_production[[#This Row],[Date]]-expected_production[[#This Row],[Commissioned Date]])/365.25),"")</f>
        <v>2.6858316221765914</v>
      </c>
      <c r="F711" s="49">
        <f>IF(expected_production[[#This Row],[Age (yrs)]]="",1,(1-DegradationRate)^expected_production[[#This Row],[Age (yrs)]])</f>
        <v>0.98130993359157626</v>
      </c>
      <c r="G711" s="52">
        <f>IF(expected_production[[#This Row],[Base Expected (kWh)]]="","",expected_production[[#This Row],[Base Expected (kWh)]]*expected_production[[#This Row],[Degradation Factor]])</f>
        <v>3582.17378158269</v>
      </c>
    </row>
    <row r="712" spans="1:7" ht="15" hidden="1" customHeight="1" x14ac:dyDescent="0.3">
      <c r="A712" t="s">
        <v>104</v>
      </c>
      <c r="B712" s="2">
        <v>46082</v>
      </c>
      <c r="C712" s="52">
        <v>3957.3</v>
      </c>
      <c r="D712" s="48">
        <f>_xlfn.XLOOKUP(expected_production[[#This Row],[Site Name]],Table1[[Site Name ]],Table1[Commisioned Date],"")</f>
        <v>45073</v>
      </c>
      <c r="E712" s="47">
        <f>IF(ISNUMBER(expected_production[[#This Row],[Commissioned Date]]),MAX(0,(expected_production[[#This Row],[Date]]-expected_production[[#This Row],[Commissioned Date]])/365.25),"")</f>
        <v>2.7624914442162902</v>
      </c>
      <c r="F712" s="49">
        <f>IF(expected_production[[#This Row],[Age (yrs)]]="",1,(1-DegradationRate)^expected_production[[#This Row],[Age (yrs)]])</f>
        <v>0.98078163482720715</v>
      </c>
      <c r="G712" s="52">
        <f>IF(expected_production[[#This Row],[Base Expected (kWh)]]="","",expected_production[[#This Row],[Base Expected (kWh)]]*expected_production[[#This Row],[Degradation Factor]])</f>
        <v>3881.2471635017068</v>
      </c>
    </row>
    <row r="713" spans="1:7" ht="15" hidden="1" customHeight="1" x14ac:dyDescent="0.3">
      <c r="A713" t="s">
        <v>104</v>
      </c>
      <c r="B713" s="2">
        <v>46113</v>
      </c>
      <c r="C713" s="52">
        <v>3279.6</v>
      </c>
      <c r="D713" s="48">
        <f>_xlfn.XLOOKUP(expected_production[[#This Row],[Site Name]],Table1[[Site Name ]],Table1[Commisioned Date],"")</f>
        <v>45073</v>
      </c>
      <c r="E713" s="47">
        <f>IF(ISNUMBER(expected_production[[#This Row],[Commissioned Date]]),MAX(0,(expected_production[[#This Row],[Date]]-expected_production[[#This Row],[Commissioned Date]])/365.25),"")</f>
        <v>2.8473648186173852</v>
      </c>
      <c r="F713" s="49">
        <f>IF(expected_production[[#This Row],[Age (yrs)]]="",1,(1-DegradationRate)^expected_production[[#This Row],[Age (yrs)]])</f>
        <v>0.98019706437483645</v>
      </c>
      <c r="G713" s="52">
        <f>IF(expected_production[[#This Row],[Base Expected (kWh)]]="","",expected_production[[#This Row],[Base Expected (kWh)]]*expected_production[[#This Row],[Degradation Factor]])</f>
        <v>3214.6542923237134</v>
      </c>
    </row>
    <row r="714" spans="1:7" ht="15" hidden="1" customHeight="1" x14ac:dyDescent="0.3">
      <c r="A714" t="s">
        <v>104</v>
      </c>
      <c r="B714" s="2">
        <v>46143</v>
      </c>
      <c r="C714" s="52">
        <v>3050.1</v>
      </c>
      <c r="D714" s="48">
        <f>_xlfn.XLOOKUP(expected_production[[#This Row],[Site Name]],Table1[[Site Name ]],Table1[Commisioned Date],"")</f>
        <v>45073</v>
      </c>
      <c r="E714" s="47">
        <f>IF(ISNUMBER(expected_production[[#This Row],[Commissioned Date]]),MAX(0,(expected_production[[#This Row],[Date]]-expected_production[[#This Row],[Commissioned Date]])/365.25),"")</f>
        <v>2.9295003422313486</v>
      </c>
      <c r="F714" s="49">
        <f>IF(expected_production[[#This Row],[Age (yrs)]]="",1,(1-DegradationRate)^expected_production[[#This Row],[Age (yrs)]])</f>
        <v>0.97963168277692181</v>
      </c>
      <c r="G714" s="52">
        <f>IF(expected_production[[#This Row],[Base Expected (kWh)]]="","",expected_production[[#This Row],[Base Expected (kWh)]]*expected_production[[#This Row],[Degradation Factor]])</f>
        <v>2987.9745956378893</v>
      </c>
    </row>
    <row r="715" spans="1:7" ht="15" hidden="1" customHeight="1" x14ac:dyDescent="0.3">
      <c r="A715" t="s">
        <v>104</v>
      </c>
      <c r="B715" s="2">
        <v>46174</v>
      </c>
      <c r="C715" s="52">
        <v>2790</v>
      </c>
      <c r="D715" s="48">
        <f>_xlfn.XLOOKUP(expected_production[[#This Row],[Site Name]],Table1[[Site Name ]],Table1[Commisioned Date],"")</f>
        <v>45073</v>
      </c>
      <c r="E715" s="47">
        <f>IF(ISNUMBER(expected_production[[#This Row],[Commissioned Date]]),MAX(0,(expected_production[[#This Row],[Date]]-expected_production[[#This Row],[Commissioned Date]])/365.25),"")</f>
        <v>3.0143737166324436</v>
      </c>
      <c r="F715" s="49">
        <f>IF(expected_production[[#This Row],[Age (yrs)]]="",1,(1-DegradationRate)^expected_production[[#This Row],[Age (yrs)]])</f>
        <v>0.97904779772481398</v>
      </c>
      <c r="G715" s="52">
        <f>IF(expected_production[[#This Row],[Base Expected (kWh)]]="","",expected_production[[#This Row],[Base Expected (kWh)]]*expected_production[[#This Row],[Degradation Factor]])</f>
        <v>2731.5433556522312</v>
      </c>
    </row>
    <row r="716" spans="1:7" ht="15" hidden="1" customHeight="1" x14ac:dyDescent="0.3">
      <c r="A716" t="s">
        <v>104</v>
      </c>
      <c r="B716" s="2">
        <v>46204</v>
      </c>
      <c r="C716" s="52">
        <v>3044.7</v>
      </c>
      <c r="D716" s="48">
        <f>_xlfn.XLOOKUP(expected_production[[#This Row],[Site Name]],Table1[[Site Name ]],Table1[Commisioned Date],"")</f>
        <v>45073</v>
      </c>
      <c r="E716" s="47">
        <f>IF(ISNUMBER(expected_production[[#This Row],[Commissioned Date]]),MAX(0,(expected_production[[#This Row],[Date]]-expected_production[[#This Row],[Commissioned Date]])/365.25),"")</f>
        <v>3.0965092402464065</v>
      </c>
      <c r="F716" s="49">
        <f>IF(expected_production[[#This Row],[Age (yrs)]]="",1,(1-DegradationRate)^expected_production[[#This Row],[Age (yrs)]])</f>
        <v>0.97848307902851239</v>
      </c>
      <c r="G716" s="52">
        <f>IF(expected_production[[#This Row],[Base Expected (kWh)]]="","",expected_production[[#This Row],[Base Expected (kWh)]]*expected_production[[#This Row],[Degradation Factor]])</f>
        <v>2979.1874307181115</v>
      </c>
    </row>
    <row r="717" spans="1:7" ht="15" hidden="1" customHeight="1" x14ac:dyDescent="0.3">
      <c r="A717" t="s">
        <v>104</v>
      </c>
      <c r="B717" s="2">
        <v>46235</v>
      </c>
      <c r="C717" s="52">
        <v>3298.5</v>
      </c>
      <c r="D717" s="48">
        <f>_xlfn.XLOOKUP(expected_production[[#This Row],[Site Name]],Table1[[Site Name ]],Table1[Commisioned Date],"")</f>
        <v>45073</v>
      </c>
      <c r="E717" s="47">
        <f>IF(ISNUMBER(expected_production[[#This Row],[Commissioned Date]]),MAX(0,(expected_production[[#This Row],[Date]]-expected_production[[#This Row],[Commissioned Date]])/365.25),"")</f>
        <v>3.1813826146475015</v>
      </c>
      <c r="F717" s="49">
        <f>IF(expected_production[[#This Row],[Age (yrs)]]="",1,(1-DegradationRate)^expected_production[[#This Row],[Age (yrs)]])</f>
        <v>0.9778998785730455</v>
      </c>
      <c r="G717" s="52">
        <f>IF(expected_production[[#This Row],[Base Expected (kWh)]]="","",expected_production[[#This Row],[Base Expected (kWh)]]*expected_production[[#This Row],[Degradation Factor]])</f>
        <v>3225.6027494731907</v>
      </c>
    </row>
    <row r="718" spans="1:7" ht="15" hidden="1" customHeight="1" x14ac:dyDescent="0.3">
      <c r="A718" t="s">
        <v>104</v>
      </c>
      <c r="B718" s="2">
        <v>46266</v>
      </c>
      <c r="C718" s="52">
        <v>3492.9</v>
      </c>
      <c r="D718" s="48">
        <f>_xlfn.XLOOKUP(expected_production[[#This Row],[Site Name]],Table1[[Site Name ]],Table1[Commisioned Date],"")</f>
        <v>45073</v>
      </c>
      <c r="E718" s="47">
        <f>IF(ISNUMBER(expected_production[[#This Row],[Commissioned Date]]),MAX(0,(expected_production[[#This Row],[Date]]-expected_production[[#This Row],[Commissioned Date]])/365.25),"")</f>
        <v>3.2662559890485969</v>
      </c>
      <c r="F718" s="49">
        <f>IF(expected_production[[#This Row],[Age (yrs)]]="",1,(1-DegradationRate)^expected_production[[#This Row],[Age (yrs)]])</f>
        <v>0.97731702571967682</v>
      </c>
      <c r="G718" s="52">
        <f>IF(expected_production[[#This Row],[Base Expected (kWh)]]="","",expected_production[[#This Row],[Base Expected (kWh)]]*expected_production[[#This Row],[Degradation Factor]])</f>
        <v>3413.6706391362591</v>
      </c>
    </row>
    <row r="719" spans="1:7" ht="15" hidden="1" customHeight="1" x14ac:dyDescent="0.3">
      <c r="A719" t="s">
        <v>104</v>
      </c>
      <c r="B719" s="2">
        <v>46296</v>
      </c>
      <c r="C719" s="52">
        <v>3509.1</v>
      </c>
      <c r="D719" s="48">
        <f>_xlfn.XLOOKUP(expected_production[[#This Row],[Site Name]],Table1[[Site Name ]],Table1[Commisioned Date],"")</f>
        <v>45073</v>
      </c>
      <c r="E719" s="47">
        <f>IF(ISNUMBER(expected_production[[#This Row],[Commissioned Date]]),MAX(0,(expected_production[[#This Row],[Date]]-expected_production[[#This Row],[Commissioned Date]])/365.25),"")</f>
        <v>3.3483915126625599</v>
      </c>
      <c r="F719" s="49">
        <f>IF(expected_production[[#This Row],[Age (yrs)]]="",1,(1-DegradationRate)^expected_production[[#This Row],[Age (yrs)]])</f>
        <v>0.97675330533960925</v>
      </c>
      <c r="G719" s="52">
        <f>IF(expected_production[[#This Row],[Base Expected (kWh)]]="","",expected_production[[#This Row],[Base Expected (kWh)]]*expected_production[[#This Row],[Degradation Factor]])</f>
        <v>3427.5250237672226</v>
      </c>
    </row>
    <row r="720" spans="1:7" ht="15" hidden="1" customHeight="1" x14ac:dyDescent="0.3">
      <c r="A720" t="s">
        <v>104</v>
      </c>
      <c r="B720" s="2">
        <v>46327</v>
      </c>
      <c r="C720" s="52">
        <v>3348</v>
      </c>
      <c r="D720" s="48">
        <f>_xlfn.XLOOKUP(expected_production[[#This Row],[Site Name]],Table1[[Site Name ]],Table1[Commisioned Date],"")</f>
        <v>45073</v>
      </c>
      <c r="E720" s="47">
        <f>IF(ISNUMBER(expected_production[[#This Row],[Commissioned Date]]),MAX(0,(expected_production[[#This Row],[Date]]-expected_production[[#This Row],[Commissioned Date]])/365.25),"")</f>
        <v>3.4332648870636548</v>
      </c>
      <c r="F720" s="49">
        <f>IF(expected_production[[#This Row],[Age (yrs)]]="",1,(1-DegradationRate)^expected_production[[#This Row],[Age (yrs)]])</f>
        <v>0.9761711358726437</v>
      </c>
      <c r="G720" s="52">
        <f>IF(expected_production[[#This Row],[Base Expected (kWh)]]="","",expected_production[[#This Row],[Base Expected (kWh)]]*expected_production[[#This Row],[Degradation Factor]])</f>
        <v>3268.2209629016111</v>
      </c>
    </row>
    <row r="721" spans="1:7" ht="15" hidden="1" customHeight="1" x14ac:dyDescent="0.3">
      <c r="A721" t="s">
        <v>104</v>
      </c>
      <c r="B721" s="2">
        <v>46357</v>
      </c>
      <c r="C721" s="52">
        <v>3591.9</v>
      </c>
      <c r="D721" s="48">
        <f>_xlfn.XLOOKUP(expected_production[[#This Row],[Site Name]],Table1[[Site Name ]],Table1[Commisioned Date],"")</f>
        <v>45073</v>
      </c>
      <c r="E721" s="47">
        <f>IF(ISNUMBER(expected_production[[#This Row],[Commissioned Date]]),MAX(0,(expected_production[[#This Row],[Date]]-expected_production[[#This Row],[Commissioned Date]])/365.25),"")</f>
        <v>3.5154004106776182</v>
      </c>
      <c r="F721" s="49">
        <f>IF(expected_production[[#This Row],[Age (yrs)]]="",1,(1-DegradationRate)^expected_production[[#This Row],[Age (yrs)]])</f>
        <v>0.97560807644643566</v>
      </c>
      <c r="G721" s="52">
        <f>IF(expected_production[[#This Row],[Base Expected (kWh)]]="","",expected_production[[#This Row],[Base Expected (kWh)]]*expected_production[[#This Row],[Degradation Factor]])</f>
        <v>3504.2866497879522</v>
      </c>
    </row>
    <row r="722" spans="1:7" ht="15" hidden="1" customHeight="1" x14ac:dyDescent="0.3">
      <c r="A722" t="s">
        <v>107</v>
      </c>
      <c r="B722" s="2">
        <v>45292</v>
      </c>
      <c r="C722" s="52">
        <v>3618</v>
      </c>
      <c r="D722" s="48">
        <f>_xlfn.XLOOKUP(expected_production[[#This Row],[Site Name]],Table1[[Site Name ]],Table1[Commisioned Date],"")</f>
        <v>45072</v>
      </c>
      <c r="E722" s="47">
        <f>IF(ISNUMBER(expected_production[[#This Row],[Commissioned Date]]),MAX(0,(expected_production[[#This Row],[Date]]-expected_production[[#This Row],[Commissioned Date]])/365.25),"")</f>
        <v>0.60232717316906226</v>
      </c>
      <c r="F722" s="49">
        <f>IF(expected_production[[#This Row],[Age (yrs)]]="",1,(1-DegradationRate)^expected_production[[#This Row],[Age (yrs)]])</f>
        <v>0.99577782210451304</v>
      </c>
      <c r="G722" s="52">
        <f>IF(expected_production[[#This Row],[Base Expected (kWh)]]="","",expected_production[[#This Row],[Base Expected (kWh)]]*expected_production[[#This Row],[Degradation Factor]])</f>
        <v>3602.7241603741281</v>
      </c>
    </row>
    <row r="723" spans="1:7" ht="15" hidden="1" customHeight="1" x14ac:dyDescent="0.3">
      <c r="A723" t="s">
        <v>107</v>
      </c>
      <c r="B723" s="2">
        <v>45323</v>
      </c>
      <c r="C723" s="52">
        <v>3254.4</v>
      </c>
      <c r="D723" s="48">
        <f>_xlfn.XLOOKUP(expected_production[[#This Row],[Site Name]],Table1[[Site Name ]],Table1[Commisioned Date],"")</f>
        <v>45072</v>
      </c>
      <c r="E723" s="47">
        <f>IF(ISNUMBER(expected_production[[#This Row],[Commissioned Date]]),MAX(0,(expected_production[[#This Row],[Date]]-expected_production[[#This Row],[Commissioned Date]])/365.25),"")</f>
        <v>0.68720054757015747</v>
      </c>
      <c r="F723" s="49">
        <f>IF(expected_production[[#This Row],[Age (yrs)]]="",1,(1-DegradationRate)^expected_production[[#This Row],[Age (yrs)]])</f>
        <v>0.99518431354842052</v>
      </c>
      <c r="G723" s="52">
        <f>IF(expected_production[[#This Row],[Base Expected (kWh)]]="","",expected_production[[#This Row],[Base Expected (kWh)]]*expected_production[[#This Row],[Degradation Factor]])</f>
        <v>3238.7278300119797</v>
      </c>
    </row>
    <row r="724" spans="1:7" ht="15" hidden="1" customHeight="1" x14ac:dyDescent="0.3">
      <c r="A724" t="s">
        <v>107</v>
      </c>
      <c r="B724" s="2">
        <v>45352</v>
      </c>
      <c r="C724" s="52">
        <v>3608.1</v>
      </c>
      <c r="D724" s="48">
        <f>_xlfn.XLOOKUP(expected_production[[#This Row],[Site Name]],Table1[[Site Name ]],Table1[Commisioned Date],"")</f>
        <v>45072</v>
      </c>
      <c r="E724" s="47">
        <f>IF(ISNUMBER(expected_production[[#This Row],[Commissioned Date]]),MAX(0,(expected_production[[#This Row],[Date]]-expected_production[[#This Row],[Commissioned Date]])/365.25),"")</f>
        <v>0.76659822039698833</v>
      </c>
      <c r="F724" s="49">
        <f>IF(expected_production[[#This Row],[Age (yrs)]]="",1,(1-DegradationRate)^expected_production[[#This Row],[Age (yrs)]])</f>
        <v>0.99462941611972633</v>
      </c>
      <c r="G724" s="52">
        <f>IF(expected_production[[#This Row],[Base Expected (kWh)]]="","",expected_production[[#This Row],[Base Expected (kWh)]]*expected_production[[#This Row],[Degradation Factor]])</f>
        <v>3588.7223963015845</v>
      </c>
    </row>
    <row r="725" spans="1:7" ht="15" hidden="1" customHeight="1" x14ac:dyDescent="0.3">
      <c r="A725" t="s">
        <v>107</v>
      </c>
      <c r="B725" s="2">
        <v>45383</v>
      </c>
      <c r="C725" s="52">
        <v>2962.8</v>
      </c>
      <c r="D725" s="48">
        <f>_xlfn.XLOOKUP(expected_production[[#This Row],[Site Name]],Table1[[Site Name ]],Table1[Commisioned Date],"")</f>
        <v>45072</v>
      </c>
      <c r="E725" s="47">
        <f>IF(ISNUMBER(expected_production[[#This Row],[Commissioned Date]]),MAX(0,(expected_production[[#This Row],[Date]]-expected_production[[#This Row],[Commissioned Date]])/365.25),"")</f>
        <v>0.85147159479808354</v>
      </c>
      <c r="F725" s="49">
        <f>IF(expected_production[[#This Row],[Age (yrs)]]="",1,(1-DegradationRate)^expected_production[[#This Row],[Age (yrs)]])</f>
        <v>0.9940365920424028</v>
      </c>
      <c r="G725" s="52">
        <f>IF(expected_production[[#This Row],[Base Expected (kWh)]]="","",expected_production[[#This Row],[Base Expected (kWh)]]*expected_production[[#This Row],[Degradation Factor]])</f>
        <v>2945.1316149032314</v>
      </c>
    </row>
    <row r="726" spans="1:7" ht="15" hidden="1" customHeight="1" x14ac:dyDescent="0.3">
      <c r="A726" t="s">
        <v>107</v>
      </c>
      <c r="B726" s="2">
        <v>45413</v>
      </c>
      <c r="C726" s="52">
        <v>2723.4</v>
      </c>
      <c r="D726" s="48">
        <f>_xlfn.XLOOKUP(expected_production[[#This Row],[Site Name]],Table1[[Site Name ]],Table1[Commisioned Date],"")</f>
        <v>45072</v>
      </c>
      <c r="E726" s="47">
        <f>IF(ISNUMBER(expected_production[[#This Row],[Commissioned Date]]),MAX(0,(expected_production[[#This Row],[Date]]-expected_production[[#This Row],[Commissioned Date]])/365.25),"")</f>
        <v>0.93360711841204658</v>
      </c>
      <c r="F726" s="49">
        <f>IF(expected_production[[#This Row],[Age (yrs)]]="",1,(1-DegradationRate)^expected_production[[#This Row],[Age (yrs)]])</f>
        <v>0.99346322774942475</v>
      </c>
      <c r="G726" s="52">
        <f>IF(expected_production[[#This Row],[Base Expected (kWh)]]="","",expected_production[[#This Row],[Base Expected (kWh)]]*expected_production[[#This Row],[Degradation Factor]])</f>
        <v>2705.5977544527836</v>
      </c>
    </row>
    <row r="727" spans="1:7" ht="15" hidden="1" customHeight="1" x14ac:dyDescent="0.3">
      <c r="A727" t="s">
        <v>107</v>
      </c>
      <c r="B727" s="2">
        <v>45444</v>
      </c>
      <c r="C727" s="52">
        <v>2461.5</v>
      </c>
      <c r="D727" s="48">
        <f>_xlfn.XLOOKUP(expected_production[[#This Row],[Site Name]],Table1[[Site Name ]],Table1[Commisioned Date],"")</f>
        <v>45072</v>
      </c>
      <c r="E727" s="47">
        <f>IF(ISNUMBER(expected_production[[#This Row],[Commissioned Date]]),MAX(0,(expected_production[[#This Row],[Date]]-expected_production[[#This Row],[Commissioned Date]])/365.25),"")</f>
        <v>1.0184804928131417</v>
      </c>
      <c r="F727" s="49">
        <f>IF(expected_production[[#This Row],[Age (yrs)]]="",1,(1-DegradationRate)^expected_production[[#This Row],[Age (yrs)]])</f>
        <v>0.99287109874961788</v>
      </c>
      <c r="G727" s="52">
        <f>IF(expected_production[[#This Row],[Base Expected (kWh)]]="","",expected_production[[#This Row],[Base Expected (kWh)]]*expected_production[[#This Row],[Degradation Factor]])</f>
        <v>2443.9522095721845</v>
      </c>
    </row>
    <row r="728" spans="1:7" ht="15" hidden="1" customHeight="1" x14ac:dyDescent="0.3">
      <c r="A728" t="s">
        <v>107</v>
      </c>
      <c r="B728" s="2">
        <v>45474</v>
      </c>
      <c r="C728" s="52">
        <v>2701.8</v>
      </c>
      <c r="D728" s="48">
        <f>_xlfn.XLOOKUP(expected_production[[#This Row],[Site Name]],Table1[[Site Name ]],Table1[Commisioned Date],"")</f>
        <v>45072</v>
      </c>
      <c r="E728" s="47">
        <f>IF(ISNUMBER(expected_production[[#This Row],[Commissioned Date]]),MAX(0,(expected_production[[#This Row],[Date]]-expected_production[[#This Row],[Commissioned Date]])/365.25),"")</f>
        <v>1.1006160164271048</v>
      </c>
      <c r="F728" s="49">
        <f>IF(expected_production[[#This Row],[Age (yrs)]]="",1,(1-DegradationRate)^expected_production[[#This Row],[Age (yrs)]])</f>
        <v>0.99229840671784542</v>
      </c>
      <c r="G728" s="52">
        <f>IF(expected_production[[#This Row],[Base Expected (kWh)]]="","",expected_production[[#This Row],[Base Expected (kWh)]]*expected_production[[#This Row],[Degradation Factor]])</f>
        <v>2680.9918352702748</v>
      </c>
    </row>
    <row r="729" spans="1:7" ht="15" hidden="1" customHeight="1" x14ac:dyDescent="0.3">
      <c r="A729" t="s">
        <v>107</v>
      </c>
      <c r="B729" s="2">
        <v>45505</v>
      </c>
      <c r="C729" s="52">
        <v>2973.6</v>
      </c>
      <c r="D729" s="48">
        <f>_xlfn.XLOOKUP(expected_production[[#This Row],[Site Name]],Table1[[Site Name ]],Table1[Commisioned Date],"")</f>
        <v>45072</v>
      </c>
      <c r="E729" s="47">
        <f>IF(ISNUMBER(expected_production[[#This Row],[Commissioned Date]]),MAX(0,(expected_production[[#This Row],[Date]]-expected_production[[#This Row],[Commissioned Date]])/365.25),"")</f>
        <v>1.1854893908281998</v>
      </c>
      <c r="F729" s="49">
        <f>IF(expected_production[[#This Row],[Age (yrs)]]="",1,(1-DegradationRate)^expected_production[[#This Row],[Age (yrs)]])</f>
        <v>0.99170697198058722</v>
      </c>
      <c r="G729" s="52">
        <f>IF(expected_production[[#This Row],[Base Expected (kWh)]]="","",expected_production[[#This Row],[Base Expected (kWh)]]*expected_production[[#This Row],[Degradation Factor]])</f>
        <v>2948.9398518814742</v>
      </c>
    </row>
    <row r="730" spans="1:7" ht="15" hidden="1" customHeight="1" x14ac:dyDescent="0.3">
      <c r="A730" t="s">
        <v>107</v>
      </c>
      <c r="B730" s="2">
        <v>45536</v>
      </c>
      <c r="C730" s="52">
        <v>3147.3</v>
      </c>
      <c r="D730" s="48">
        <f>_xlfn.XLOOKUP(expected_production[[#This Row],[Site Name]],Table1[[Site Name ]],Table1[Commisioned Date],"")</f>
        <v>45072</v>
      </c>
      <c r="E730" s="47">
        <f>IF(ISNUMBER(expected_production[[#This Row],[Commissioned Date]]),MAX(0,(expected_production[[#This Row],[Date]]-expected_production[[#This Row],[Commissioned Date]])/365.25),"")</f>
        <v>1.270362765229295</v>
      </c>
      <c r="F730" s="49">
        <f>IF(expected_production[[#This Row],[Age (yrs)]]="",1,(1-DegradationRate)^expected_production[[#This Row],[Age (yrs)]])</f>
        <v>0.99111588975326548</v>
      </c>
      <c r="G730" s="52">
        <f>IF(expected_production[[#This Row],[Base Expected (kWh)]]="","",expected_production[[#This Row],[Base Expected (kWh)]]*expected_production[[#This Row],[Degradation Factor]])</f>
        <v>3119.3390398204524</v>
      </c>
    </row>
    <row r="731" spans="1:7" ht="15" hidden="1" customHeight="1" x14ac:dyDescent="0.3">
      <c r="A731" t="s">
        <v>107</v>
      </c>
      <c r="B731" s="2">
        <v>45566</v>
      </c>
      <c r="C731" s="52">
        <v>3179.7</v>
      </c>
      <c r="D731" s="48">
        <f>_xlfn.XLOOKUP(expected_production[[#This Row],[Site Name]],Table1[[Site Name ]],Table1[Commisioned Date],"")</f>
        <v>45072</v>
      </c>
      <c r="E731" s="47">
        <f>IF(ISNUMBER(expected_production[[#This Row],[Commissioned Date]]),MAX(0,(expected_production[[#This Row],[Date]]-expected_production[[#This Row],[Commissioned Date]])/365.25),"")</f>
        <v>1.352498288843258</v>
      </c>
      <c r="F731" s="49">
        <f>IF(expected_production[[#This Row],[Age (yrs)]]="",1,(1-DegradationRate)^expected_production[[#This Row],[Age (yrs)]])</f>
        <v>0.99054421013308158</v>
      </c>
      <c r="G731" s="52">
        <f>IF(expected_production[[#This Row],[Base Expected (kWh)]]="","",expected_production[[#This Row],[Base Expected (kWh)]]*expected_production[[#This Row],[Degradation Factor]])</f>
        <v>3149.6334249601591</v>
      </c>
    </row>
    <row r="732" spans="1:7" ht="15" hidden="1" customHeight="1" x14ac:dyDescent="0.3">
      <c r="A732" t="s">
        <v>107</v>
      </c>
      <c r="B732" s="2">
        <v>45597</v>
      </c>
      <c r="C732" s="52">
        <v>3013.2</v>
      </c>
      <c r="D732" s="48">
        <f>_xlfn.XLOOKUP(expected_production[[#This Row],[Site Name]],Table1[[Site Name ]],Table1[Commisioned Date],"")</f>
        <v>45072</v>
      </c>
      <c r="E732" s="47">
        <f>IF(ISNUMBER(expected_production[[#This Row],[Commissioned Date]]),MAX(0,(expected_production[[#This Row],[Date]]-expected_production[[#This Row],[Commissioned Date]])/365.25),"")</f>
        <v>1.4373716632443532</v>
      </c>
      <c r="F732" s="49">
        <f>IF(expected_production[[#This Row],[Age (yrs)]]="",1,(1-DegradationRate)^expected_production[[#This Row],[Age (yrs)]])</f>
        <v>0.98995382094098316</v>
      </c>
      <c r="G732" s="52">
        <f>IF(expected_production[[#This Row],[Base Expected (kWh)]]="","",expected_production[[#This Row],[Base Expected (kWh)]]*expected_production[[#This Row],[Degradation Factor]])</f>
        <v>2982.9288532593705</v>
      </c>
    </row>
    <row r="733" spans="1:7" ht="15" hidden="1" customHeight="1" x14ac:dyDescent="0.3">
      <c r="A733" t="s">
        <v>107</v>
      </c>
      <c r="B733" s="2">
        <v>45627</v>
      </c>
      <c r="C733" s="52">
        <v>3204</v>
      </c>
      <c r="D733" s="48">
        <f>_xlfn.XLOOKUP(expected_production[[#This Row],[Site Name]],Table1[[Site Name ]],Table1[Commisioned Date],"")</f>
        <v>45072</v>
      </c>
      <c r="E733" s="47">
        <f>IF(ISNUMBER(expected_production[[#This Row],[Commissioned Date]]),MAX(0,(expected_production[[#This Row],[Date]]-expected_production[[#This Row],[Commissioned Date]])/365.25),"")</f>
        <v>1.5195071868583163</v>
      </c>
      <c r="F733" s="49">
        <f>IF(expected_production[[#This Row],[Age (yrs)]]="",1,(1-DegradationRate)^expected_production[[#This Row],[Age (yrs)]])</f>
        <v>0.98938281160675068</v>
      </c>
      <c r="G733" s="52">
        <f>IF(expected_production[[#This Row],[Base Expected (kWh)]]="","",expected_production[[#This Row],[Base Expected (kWh)]]*expected_production[[#This Row],[Degradation Factor]])</f>
        <v>3169.9825283880291</v>
      </c>
    </row>
    <row r="734" spans="1:7" ht="15" hidden="1" customHeight="1" x14ac:dyDescent="0.3">
      <c r="A734" t="s">
        <v>107</v>
      </c>
      <c r="B734" s="2">
        <v>45658</v>
      </c>
      <c r="C734" s="52">
        <v>3618</v>
      </c>
      <c r="D734" s="48">
        <f>_xlfn.XLOOKUP(expected_production[[#This Row],[Site Name]],Table1[[Site Name ]],Table1[Commisioned Date],"")</f>
        <v>45072</v>
      </c>
      <c r="E734" s="47">
        <f>IF(ISNUMBER(expected_production[[#This Row],[Commissioned Date]]),MAX(0,(expected_production[[#This Row],[Date]]-expected_production[[#This Row],[Commissioned Date]])/365.25),"")</f>
        <v>1.6043805612594113</v>
      </c>
      <c r="F734" s="49">
        <f>IF(expected_production[[#This Row],[Age (yrs)]]="",1,(1-DegradationRate)^expected_production[[#This Row],[Age (yrs)]])</f>
        <v>0.9887931146373018</v>
      </c>
      <c r="G734" s="52">
        <f>IF(expected_production[[#This Row],[Base Expected (kWh)]]="","",expected_production[[#This Row],[Base Expected (kWh)]]*expected_production[[#This Row],[Degradation Factor]])</f>
        <v>3577.4534887577579</v>
      </c>
    </row>
    <row r="735" spans="1:7" ht="15" hidden="1" customHeight="1" x14ac:dyDescent="0.3">
      <c r="A735" t="s">
        <v>107</v>
      </c>
      <c r="B735" s="2">
        <v>45689</v>
      </c>
      <c r="C735" s="52">
        <v>3254.4</v>
      </c>
      <c r="D735" s="48">
        <f>_xlfn.XLOOKUP(expected_production[[#This Row],[Site Name]],Table1[[Site Name ]],Table1[Commisioned Date],"")</f>
        <v>45072</v>
      </c>
      <c r="E735" s="47">
        <f>IF(ISNUMBER(expected_production[[#This Row],[Commissioned Date]]),MAX(0,(expected_production[[#This Row],[Date]]-expected_production[[#This Row],[Commissioned Date]])/365.25),"")</f>
        <v>1.6892539356605065</v>
      </c>
      <c r="F735" s="49">
        <f>IF(expected_production[[#This Row],[Age (yrs)]]="",1,(1-DegradationRate)^expected_production[[#This Row],[Age (yrs)]])</f>
        <v>0.98820376914203634</v>
      </c>
      <c r="G735" s="52">
        <f>IF(expected_production[[#This Row],[Base Expected (kWh)]]="","",expected_production[[#This Row],[Base Expected (kWh)]]*expected_production[[#This Row],[Degradation Factor]])</f>
        <v>3216.0103462958432</v>
      </c>
    </row>
    <row r="736" spans="1:7" ht="15" hidden="1" customHeight="1" x14ac:dyDescent="0.3">
      <c r="A736" t="s">
        <v>107</v>
      </c>
      <c r="B736" s="2">
        <v>45717</v>
      </c>
      <c r="C736" s="52">
        <v>3608.1</v>
      </c>
      <c r="D736" s="48">
        <f>_xlfn.XLOOKUP(expected_production[[#This Row],[Site Name]],Table1[[Site Name ]],Table1[Commisioned Date],"")</f>
        <v>45072</v>
      </c>
      <c r="E736" s="47">
        <f>IF(ISNUMBER(expected_production[[#This Row],[Commissioned Date]]),MAX(0,(expected_production[[#This Row],[Date]]-expected_production[[#This Row],[Commissioned Date]])/365.25),"")</f>
        <v>1.7659137577002053</v>
      </c>
      <c r="F736" s="49">
        <f>IF(expected_production[[#This Row],[Age (yrs)]]="",1,(1-DegradationRate)^expected_production[[#This Row],[Age (yrs)]])</f>
        <v>0.98767175900710169</v>
      </c>
      <c r="G736" s="52">
        <f>IF(expected_production[[#This Row],[Base Expected (kWh)]]="","",expected_production[[#This Row],[Base Expected (kWh)]]*expected_production[[#This Row],[Degradation Factor]])</f>
        <v>3563.6184736735236</v>
      </c>
    </row>
    <row r="737" spans="1:7" ht="15" hidden="1" customHeight="1" x14ac:dyDescent="0.3">
      <c r="A737" t="s">
        <v>107</v>
      </c>
      <c r="B737" s="2">
        <v>45748</v>
      </c>
      <c r="C737" s="52">
        <v>2962.8</v>
      </c>
      <c r="D737" s="48">
        <f>_xlfn.XLOOKUP(expected_production[[#This Row],[Site Name]],Table1[[Site Name ]],Table1[Commisioned Date],"")</f>
        <v>45072</v>
      </c>
      <c r="E737" s="47">
        <f>IF(ISNUMBER(expected_production[[#This Row],[Commissioned Date]]),MAX(0,(expected_production[[#This Row],[Date]]-expected_production[[#This Row],[Commissioned Date]])/365.25),"")</f>
        <v>1.8507871321013005</v>
      </c>
      <c r="F737" s="49">
        <f>IF(expected_production[[#This Row],[Age (yrs)]]="",1,(1-DegradationRate)^expected_production[[#This Row],[Age (yrs)]])</f>
        <v>0.98708308186791538</v>
      </c>
      <c r="G737" s="52">
        <f>IF(expected_production[[#This Row],[Base Expected (kWh)]]="","",expected_production[[#This Row],[Base Expected (kWh)]]*expected_production[[#This Row],[Degradation Factor]])</f>
        <v>2924.5297549582597</v>
      </c>
    </row>
    <row r="738" spans="1:7" ht="15" hidden="1" customHeight="1" x14ac:dyDescent="0.3">
      <c r="A738" t="s">
        <v>107</v>
      </c>
      <c r="B738" s="2">
        <v>45778</v>
      </c>
      <c r="C738" s="52">
        <v>2723.4</v>
      </c>
      <c r="D738" s="48">
        <f>_xlfn.XLOOKUP(expected_production[[#This Row],[Site Name]],Table1[[Site Name ]],Table1[Commisioned Date],"")</f>
        <v>45072</v>
      </c>
      <c r="E738" s="47">
        <f>IF(ISNUMBER(expected_production[[#This Row],[Commissioned Date]]),MAX(0,(expected_production[[#This Row],[Date]]-expected_production[[#This Row],[Commissioned Date]])/365.25),"")</f>
        <v>1.9329226557152634</v>
      </c>
      <c r="F738" s="49">
        <f>IF(expected_production[[#This Row],[Age (yrs)]]="",1,(1-DegradationRate)^expected_production[[#This Row],[Age (yrs)]])</f>
        <v>0.98651372838749374</v>
      </c>
      <c r="G738" s="52">
        <f>IF(expected_production[[#This Row],[Base Expected (kWh)]]="","",expected_production[[#This Row],[Base Expected (kWh)]]*expected_production[[#This Row],[Degradation Factor]])</f>
        <v>2686.6714878905004</v>
      </c>
    </row>
    <row r="739" spans="1:7" ht="15" hidden="1" customHeight="1" x14ac:dyDescent="0.3">
      <c r="A739" t="s">
        <v>107</v>
      </c>
      <c r="B739" s="2">
        <v>45809</v>
      </c>
      <c r="C739" s="52">
        <v>2461.5</v>
      </c>
      <c r="D739" s="48">
        <f>_xlfn.XLOOKUP(expected_production[[#This Row],[Site Name]],Table1[[Site Name ]],Table1[Commisioned Date],"")</f>
        <v>45072</v>
      </c>
      <c r="E739" s="47">
        <f>IF(ISNUMBER(expected_production[[#This Row],[Commissioned Date]]),MAX(0,(expected_production[[#This Row],[Date]]-expected_production[[#This Row],[Commissioned Date]])/365.25),"")</f>
        <v>2.0177960301163584</v>
      </c>
      <c r="F739" s="49">
        <f>IF(expected_production[[#This Row],[Age (yrs)]]="",1,(1-DegradationRate)^expected_production[[#This Row],[Age (yrs)]])</f>
        <v>0.98592574146360024</v>
      </c>
      <c r="G739" s="52">
        <f>IF(expected_production[[#This Row],[Base Expected (kWh)]]="","",expected_production[[#This Row],[Base Expected (kWh)]]*expected_production[[#This Row],[Degradation Factor]])</f>
        <v>2426.8562126126521</v>
      </c>
    </row>
    <row r="740" spans="1:7" ht="15" hidden="1" customHeight="1" x14ac:dyDescent="0.3">
      <c r="A740" t="s">
        <v>107</v>
      </c>
      <c r="B740" s="2">
        <v>45839</v>
      </c>
      <c r="C740" s="52">
        <v>2701.8</v>
      </c>
      <c r="D740" s="48">
        <f>_xlfn.XLOOKUP(expected_production[[#This Row],[Site Name]],Table1[[Site Name ]],Table1[Commisioned Date],"")</f>
        <v>45072</v>
      </c>
      <c r="E740" s="47">
        <f>IF(ISNUMBER(expected_production[[#This Row],[Commissioned Date]]),MAX(0,(expected_production[[#This Row],[Date]]-expected_production[[#This Row],[Commissioned Date]])/365.25),"")</f>
        <v>2.0999315537303218</v>
      </c>
      <c r="F740" s="49">
        <f>IF(expected_production[[#This Row],[Age (yrs)]]="",1,(1-DegradationRate)^expected_production[[#This Row],[Age (yrs)]])</f>
        <v>0.98535705554176534</v>
      </c>
      <c r="G740" s="52">
        <f>IF(expected_production[[#This Row],[Base Expected (kWh)]]="","",expected_production[[#This Row],[Base Expected (kWh)]]*expected_production[[#This Row],[Degradation Factor]])</f>
        <v>2662.2376926627417</v>
      </c>
    </row>
    <row r="741" spans="1:7" ht="15" hidden="1" customHeight="1" x14ac:dyDescent="0.3">
      <c r="A741" t="s">
        <v>107</v>
      </c>
      <c r="B741" s="2">
        <v>45870</v>
      </c>
      <c r="C741" s="52">
        <v>2973.6</v>
      </c>
      <c r="D741" s="48">
        <f>_xlfn.XLOOKUP(expected_production[[#This Row],[Site Name]],Table1[[Site Name ]],Table1[Commisioned Date],"")</f>
        <v>45072</v>
      </c>
      <c r="E741" s="47">
        <f>IF(ISNUMBER(expected_production[[#This Row],[Commissioned Date]]),MAX(0,(expected_production[[#This Row],[Date]]-expected_production[[#This Row],[Commissioned Date]])/365.25),"")</f>
        <v>2.1848049281314168</v>
      </c>
      <c r="F741" s="49">
        <f>IF(expected_production[[#This Row],[Age (yrs)]]="",1,(1-DegradationRate)^expected_production[[#This Row],[Age (yrs)]])</f>
        <v>0.98476975802389721</v>
      </c>
      <c r="G741" s="52">
        <f>IF(expected_production[[#This Row],[Base Expected (kWh)]]="","",expected_production[[#This Row],[Base Expected (kWh)]]*expected_production[[#This Row],[Degradation Factor]])</f>
        <v>2928.3113524598607</v>
      </c>
    </row>
    <row r="742" spans="1:7" ht="15" hidden="1" customHeight="1" x14ac:dyDescent="0.3">
      <c r="A742" t="s">
        <v>107</v>
      </c>
      <c r="B742" s="2">
        <v>45901</v>
      </c>
      <c r="C742" s="52">
        <v>3147.3</v>
      </c>
      <c r="D742" s="48">
        <f>_xlfn.XLOOKUP(expected_production[[#This Row],[Site Name]],Table1[[Site Name ]],Table1[Commisioned Date],"")</f>
        <v>45072</v>
      </c>
      <c r="E742" s="47">
        <f>IF(ISNUMBER(expected_production[[#This Row],[Commissioned Date]]),MAX(0,(expected_production[[#This Row],[Date]]-expected_production[[#This Row],[Commissioned Date]])/365.25),"")</f>
        <v>2.2696783025325118</v>
      </c>
      <c r="F742" s="49">
        <f>IF(expected_production[[#This Row],[Age (yrs)]]="",1,(1-DegradationRate)^expected_production[[#This Row],[Age (yrs)]])</f>
        <v>0.98418281055007917</v>
      </c>
      <c r="G742" s="52">
        <f>IF(expected_production[[#This Row],[Base Expected (kWh)]]="","",expected_production[[#This Row],[Base Expected (kWh)]]*expected_production[[#This Row],[Degradation Factor]])</f>
        <v>3097.5185596442643</v>
      </c>
    </row>
    <row r="743" spans="1:7" ht="15" hidden="1" customHeight="1" x14ac:dyDescent="0.3">
      <c r="A743" t="s">
        <v>107</v>
      </c>
      <c r="B743" s="2">
        <v>45931</v>
      </c>
      <c r="C743" s="52">
        <v>3179.7</v>
      </c>
      <c r="D743" s="48">
        <f>_xlfn.XLOOKUP(expected_production[[#This Row],[Site Name]],Table1[[Site Name ]],Table1[Commisioned Date],"")</f>
        <v>45072</v>
      </c>
      <c r="E743" s="47">
        <f>IF(ISNUMBER(expected_production[[#This Row],[Commissioned Date]]),MAX(0,(expected_production[[#This Row],[Date]]-expected_production[[#This Row],[Commissioned Date]])/365.25),"")</f>
        <v>2.3518138261464752</v>
      </c>
      <c r="F743" s="49">
        <f>IF(expected_production[[#This Row],[Age (yrs)]]="",1,(1-DegradationRate)^expected_production[[#This Row],[Age (yrs)]])</f>
        <v>0.98361512995778544</v>
      </c>
      <c r="G743" s="52">
        <f>IF(expected_production[[#This Row],[Base Expected (kWh)]]="","",expected_production[[#This Row],[Base Expected (kWh)]]*expected_production[[#This Row],[Degradation Factor]])</f>
        <v>3127.60102872677</v>
      </c>
    </row>
    <row r="744" spans="1:7" ht="15" hidden="1" customHeight="1" x14ac:dyDescent="0.3">
      <c r="A744" t="s">
        <v>107</v>
      </c>
      <c r="B744" s="2">
        <v>45962</v>
      </c>
      <c r="C744" s="52">
        <v>3013.2</v>
      </c>
      <c r="D744" s="48">
        <f>_xlfn.XLOOKUP(expected_production[[#This Row],[Site Name]],Table1[[Site Name ]],Table1[Commisioned Date],"")</f>
        <v>45072</v>
      </c>
      <c r="E744" s="47">
        <f>IF(ISNUMBER(expected_production[[#This Row],[Commissioned Date]]),MAX(0,(expected_production[[#This Row],[Date]]-expected_production[[#This Row],[Commissioned Date]])/365.25),"")</f>
        <v>2.4366872005475702</v>
      </c>
      <c r="F744" s="49">
        <f>IF(expected_production[[#This Row],[Age (yrs)]]="",1,(1-DegradationRate)^expected_production[[#This Row],[Age (yrs)]])</f>
        <v>0.98302887067125289</v>
      </c>
      <c r="G744" s="52">
        <f>IF(expected_production[[#This Row],[Base Expected (kWh)]]="","",expected_production[[#This Row],[Base Expected (kWh)]]*expected_production[[#This Row],[Degradation Factor]])</f>
        <v>2962.0625931066188</v>
      </c>
    </row>
    <row r="745" spans="1:7" ht="15" hidden="1" customHeight="1" x14ac:dyDescent="0.3">
      <c r="A745" t="s">
        <v>107</v>
      </c>
      <c r="B745" s="2">
        <v>45992</v>
      </c>
      <c r="C745" s="52">
        <v>3204</v>
      </c>
      <c r="D745" s="48">
        <f>_xlfn.XLOOKUP(expected_production[[#This Row],[Site Name]],Table1[[Site Name ]],Table1[Commisioned Date],"")</f>
        <v>45072</v>
      </c>
      <c r="E745" s="47">
        <f>IF(ISNUMBER(expected_production[[#This Row],[Commissioned Date]]),MAX(0,(expected_production[[#This Row],[Date]]-expected_production[[#This Row],[Commissioned Date]])/365.25),"")</f>
        <v>2.5188227241615331</v>
      </c>
      <c r="F745" s="49">
        <f>IF(expected_production[[#This Row],[Age (yrs)]]="",1,(1-DegradationRate)^expected_production[[#This Row],[Age (yrs)]])</f>
        <v>0.98246185567610922</v>
      </c>
      <c r="G745" s="52">
        <f>IF(expected_production[[#This Row],[Base Expected (kWh)]]="","",expected_production[[#This Row],[Base Expected (kWh)]]*expected_production[[#This Row],[Degradation Factor]])</f>
        <v>3147.8077855862539</v>
      </c>
    </row>
    <row r="746" spans="1:7" ht="15" hidden="1" customHeight="1" x14ac:dyDescent="0.3">
      <c r="A746" t="s">
        <v>107</v>
      </c>
      <c r="B746" s="2">
        <v>46023</v>
      </c>
      <c r="C746" s="52">
        <v>3618</v>
      </c>
      <c r="D746" s="48">
        <f>_xlfn.XLOOKUP(expected_production[[#This Row],[Site Name]],Table1[[Site Name ]],Table1[Commisioned Date],"")</f>
        <v>45072</v>
      </c>
      <c r="E746" s="47">
        <f>IF(ISNUMBER(expected_production[[#This Row],[Commissioned Date]]),MAX(0,(expected_production[[#This Row],[Date]]-expected_production[[#This Row],[Commissioned Date]])/365.25),"")</f>
        <v>2.6036960985626285</v>
      </c>
      <c r="F746" s="49">
        <f>IF(expected_production[[#This Row],[Age (yrs)]]="",1,(1-DegradationRate)^expected_production[[#This Row],[Age (yrs)]])</f>
        <v>0.98187628376997271</v>
      </c>
      <c r="G746" s="52">
        <f>IF(expected_production[[#This Row],[Base Expected (kWh)]]="","",expected_production[[#This Row],[Base Expected (kWh)]]*expected_production[[#This Row],[Degradation Factor]])</f>
        <v>3552.4283946797614</v>
      </c>
    </row>
    <row r="747" spans="1:7" ht="15" hidden="1" customHeight="1" x14ac:dyDescent="0.3">
      <c r="A747" t="s">
        <v>107</v>
      </c>
      <c r="B747" s="2">
        <v>46054</v>
      </c>
      <c r="C747" s="52">
        <v>3254.4</v>
      </c>
      <c r="D747" s="48">
        <f>_xlfn.XLOOKUP(expected_production[[#This Row],[Site Name]],Table1[[Site Name ]],Table1[Commisioned Date],"")</f>
        <v>45072</v>
      </c>
      <c r="E747" s="47">
        <f>IF(ISNUMBER(expected_production[[#This Row],[Commissioned Date]]),MAX(0,(expected_production[[#This Row],[Date]]-expected_production[[#This Row],[Commissioned Date]])/365.25),"")</f>
        <v>2.6885694729637235</v>
      </c>
      <c r="F747" s="49">
        <f>IF(expected_production[[#This Row],[Age (yrs)]]="",1,(1-DegradationRate)^expected_production[[#This Row],[Age (yrs)]])</f>
        <v>0.98129106087937834</v>
      </c>
      <c r="G747" s="52">
        <f>IF(expected_production[[#This Row],[Base Expected (kWh)]]="","",expected_production[[#This Row],[Base Expected (kWh)]]*expected_production[[#This Row],[Degradation Factor]])</f>
        <v>3193.5136285258491</v>
      </c>
    </row>
    <row r="748" spans="1:7" ht="15" hidden="1" customHeight="1" x14ac:dyDescent="0.3">
      <c r="A748" t="s">
        <v>107</v>
      </c>
      <c r="B748" s="2">
        <v>46082</v>
      </c>
      <c r="C748" s="52">
        <v>3608.1</v>
      </c>
      <c r="D748" s="48">
        <f>_xlfn.XLOOKUP(expected_production[[#This Row],[Site Name]],Table1[[Site Name ]],Table1[Commisioned Date],"")</f>
        <v>45072</v>
      </c>
      <c r="E748" s="47">
        <f>IF(ISNUMBER(expected_production[[#This Row],[Commissioned Date]]),MAX(0,(expected_production[[#This Row],[Date]]-expected_production[[#This Row],[Commissioned Date]])/365.25),"")</f>
        <v>2.7652292950034223</v>
      </c>
      <c r="F748" s="49">
        <f>IF(expected_production[[#This Row],[Age (yrs)]]="",1,(1-DegradationRate)^expected_production[[#This Row],[Age (yrs)]])</f>
        <v>0.98076277227533681</v>
      </c>
      <c r="G748" s="52">
        <f>IF(expected_production[[#This Row],[Base Expected (kWh)]]="","",expected_production[[#This Row],[Base Expected (kWh)]]*expected_production[[#This Row],[Degradation Factor]])</f>
        <v>3538.6901586466429</v>
      </c>
    </row>
    <row r="749" spans="1:7" ht="15" hidden="1" customHeight="1" x14ac:dyDescent="0.3">
      <c r="A749" t="s">
        <v>107</v>
      </c>
      <c r="B749" s="2">
        <v>46113</v>
      </c>
      <c r="C749" s="52">
        <v>2962.8</v>
      </c>
      <c r="D749" s="48">
        <f>_xlfn.XLOOKUP(expected_production[[#This Row],[Site Name]],Table1[[Site Name ]],Table1[Commisioned Date],"")</f>
        <v>45072</v>
      </c>
      <c r="E749" s="47">
        <f>IF(ISNUMBER(expected_production[[#This Row],[Commissioned Date]]),MAX(0,(expected_production[[#This Row],[Date]]-expected_production[[#This Row],[Commissioned Date]])/365.25),"")</f>
        <v>2.8501026694045173</v>
      </c>
      <c r="F749" s="49">
        <f>IF(expected_production[[#This Row],[Age (yrs)]]="",1,(1-DegradationRate)^expected_production[[#This Row],[Age (yrs)]])</f>
        <v>0.98017821306552011</v>
      </c>
      <c r="G749" s="52">
        <f>IF(expected_production[[#This Row],[Base Expected (kWh)]]="","",expected_production[[#This Row],[Base Expected (kWh)]]*expected_production[[#This Row],[Degradation Factor]])</f>
        <v>2904.0720096705231</v>
      </c>
    </row>
    <row r="750" spans="1:7" ht="15" hidden="1" customHeight="1" x14ac:dyDescent="0.3">
      <c r="A750" t="s">
        <v>107</v>
      </c>
      <c r="B750" s="2">
        <v>46143</v>
      </c>
      <c r="C750" s="52">
        <v>2723.4</v>
      </c>
      <c r="D750" s="48">
        <f>_xlfn.XLOOKUP(expected_production[[#This Row],[Site Name]],Table1[[Site Name ]],Table1[Commisioned Date],"")</f>
        <v>45072</v>
      </c>
      <c r="E750" s="47">
        <f>IF(ISNUMBER(expected_production[[#This Row],[Commissioned Date]]),MAX(0,(expected_production[[#This Row],[Date]]-expected_production[[#This Row],[Commissioned Date]])/365.25),"")</f>
        <v>2.9322381930184807</v>
      </c>
      <c r="F750" s="49">
        <f>IF(expected_production[[#This Row],[Age (yrs)]]="",1,(1-DegradationRate)^expected_production[[#This Row],[Age (yrs)]])</f>
        <v>0.97961284234111645</v>
      </c>
      <c r="G750" s="52">
        <f>IF(expected_production[[#This Row],[Base Expected (kWh)]]="","",expected_production[[#This Row],[Base Expected (kWh)]]*expected_production[[#This Row],[Degradation Factor]])</f>
        <v>2667.8776148317966</v>
      </c>
    </row>
    <row r="751" spans="1:7" ht="15" hidden="1" customHeight="1" x14ac:dyDescent="0.3">
      <c r="A751" t="s">
        <v>107</v>
      </c>
      <c r="B751" s="2">
        <v>46174</v>
      </c>
      <c r="C751" s="52">
        <v>2461.5</v>
      </c>
      <c r="D751" s="48">
        <f>_xlfn.XLOOKUP(expected_production[[#This Row],[Site Name]],Table1[[Site Name ]],Table1[Commisioned Date],"")</f>
        <v>45072</v>
      </c>
      <c r="E751" s="47">
        <f>IF(ISNUMBER(expected_production[[#This Row],[Commissioned Date]]),MAX(0,(expected_production[[#This Row],[Date]]-expected_production[[#This Row],[Commissioned Date]])/365.25),"")</f>
        <v>3.0171115674195756</v>
      </c>
      <c r="F751" s="49">
        <f>IF(expected_production[[#This Row],[Age (yrs)]]="",1,(1-DegradationRate)^expected_production[[#This Row],[Age (yrs)]])</f>
        <v>0.97902896851838073</v>
      </c>
      <c r="G751" s="52">
        <f>IF(expected_production[[#This Row],[Base Expected (kWh)]]="","",expected_production[[#This Row],[Base Expected (kWh)]]*expected_production[[#This Row],[Degradation Factor]])</f>
        <v>2409.8798060079944</v>
      </c>
    </row>
    <row r="752" spans="1:7" ht="15" hidden="1" customHeight="1" x14ac:dyDescent="0.3">
      <c r="A752" t="s">
        <v>107</v>
      </c>
      <c r="B752" s="2">
        <v>46204</v>
      </c>
      <c r="C752" s="52">
        <v>2701.8</v>
      </c>
      <c r="D752" s="48">
        <f>_xlfn.XLOOKUP(expected_production[[#This Row],[Site Name]],Table1[[Site Name ]],Table1[Commisioned Date],"")</f>
        <v>45072</v>
      </c>
      <c r="E752" s="47">
        <f>IF(ISNUMBER(expected_production[[#This Row],[Commissioned Date]]),MAX(0,(expected_production[[#This Row],[Date]]-expected_production[[#This Row],[Commissioned Date]])/365.25),"")</f>
        <v>3.0992470910335386</v>
      </c>
      <c r="F752" s="49">
        <f>IF(expected_production[[#This Row],[Age (yrs)]]="",1,(1-DegradationRate)^expected_production[[#This Row],[Age (yrs)]])</f>
        <v>0.97846426068284098</v>
      </c>
      <c r="G752" s="52">
        <f>IF(expected_production[[#This Row],[Base Expected (kWh)]]="","",expected_production[[#This Row],[Base Expected (kWh)]]*expected_production[[#This Row],[Degradation Factor]])</f>
        <v>2643.6147395129001</v>
      </c>
    </row>
    <row r="753" spans="1:7" ht="15" hidden="1" customHeight="1" x14ac:dyDescent="0.3">
      <c r="A753" t="s">
        <v>107</v>
      </c>
      <c r="B753" s="2">
        <v>46235</v>
      </c>
      <c r="C753" s="52">
        <v>2973.6</v>
      </c>
      <c r="D753" s="48">
        <f>_xlfn.XLOOKUP(expected_production[[#This Row],[Site Name]],Table1[[Site Name ]],Table1[Commisioned Date],"")</f>
        <v>45072</v>
      </c>
      <c r="E753" s="47">
        <f>IF(ISNUMBER(expected_production[[#This Row],[Commissioned Date]]),MAX(0,(expected_production[[#This Row],[Date]]-expected_production[[#This Row],[Commissioned Date]])/365.25),"")</f>
        <v>3.184120465434634</v>
      </c>
      <c r="F753" s="49">
        <f>IF(expected_production[[#This Row],[Age (yrs)]]="",1,(1-DegradationRate)^expected_production[[#This Row],[Age (yrs)]])</f>
        <v>0.97788107144358005</v>
      </c>
      <c r="G753" s="52">
        <f>IF(expected_production[[#This Row],[Base Expected (kWh)]]="","",expected_production[[#This Row],[Base Expected (kWh)]]*expected_production[[#This Row],[Degradation Factor]])</f>
        <v>2907.8271540446294</v>
      </c>
    </row>
    <row r="754" spans="1:7" ht="15" hidden="1" customHeight="1" x14ac:dyDescent="0.3">
      <c r="A754" t="s">
        <v>107</v>
      </c>
      <c r="B754" s="2">
        <v>46266</v>
      </c>
      <c r="C754" s="52">
        <v>3147.3</v>
      </c>
      <c r="D754" s="48">
        <f>_xlfn.XLOOKUP(expected_production[[#This Row],[Site Name]],Table1[[Site Name ]],Table1[Commisioned Date],"")</f>
        <v>45072</v>
      </c>
      <c r="E754" s="47">
        <f>IF(ISNUMBER(expected_production[[#This Row],[Commissioned Date]]),MAX(0,(expected_production[[#This Row],[Date]]-expected_production[[#This Row],[Commissioned Date]])/365.25),"")</f>
        <v>3.268993839835729</v>
      </c>
      <c r="F754" s="49">
        <f>IF(expected_production[[#This Row],[Age (yrs)]]="",1,(1-DegradationRate)^expected_production[[#This Row],[Age (yrs)]])</f>
        <v>0.97729822979973224</v>
      </c>
      <c r="G754" s="52">
        <f>IF(expected_production[[#This Row],[Base Expected (kWh)]]="","",expected_production[[#This Row],[Base Expected (kWh)]]*expected_production[[#This Row],[Degradation Factor]])</f>
        <v>3075.8507186486977</v>
      </c>
    </row>
    <row r="755" spans="1:7" ht="15" hidden="1" customHeight="1" x14ac:dyDescent="0.3">
      <c r="A755" t="s">
        <v>107</v>
      </c>
      <c r="B755" s="2">
        <v>46296</v>
      </c>
      <c r="C755" s="52">
        <v>3179.7</v>
      </c>
      <c r="D755" s="48">
        <f>_xlfn.XLOOKUP(expected_production[[#This Row],[Site Name]],Table1[[Site Name ]],Table1[Commisioned Date],"")</f>
        <v>45072</v>
      </c>
      <c r="E755" s="47">
        <f>IF(ISNUMBER(expected_production[[#This Row],[Commissioned Date]]),MAX(0,(expected_production[[#This Row],[Date]]-expected_production[[#This Row],[Commissioned Date]])/365.25),"")</f>
        <v>3.3511293634496919</v>
      </c>
      <c r="F755" s="49">
        <f>IF(expected_production[[#This Row],[Age (yrs)]]="",1,(1-DegradationRate)^expected_production[[#This Row],[Age (yrs)]])</f>
        <v>0.97673452026122665</v>
      </c>
      <c r="G755" s="52">
        <f>IF(expected_production[[#This Row],[Base Expected (kWh)]]="","",expected_production[[#This Row],[Base Expected (kWh)]]*expected_production[[#This Row],[Degradation Factor]])</f>
        <v>3105.7227540746221</v>
      </c>
    </row>
    <row r="756" spans="1:7" ht="15" hidden="1" customHeight="1" x14ac:dyDescent="0.3">
      <c r="A756" t="s">
        <v>107</v>
      </c>
      <c r="B756" s="2">
        <v>46327</v>
      </c>
      <c r="C756" s="52">
        <v>3013.2</v>
      </c>
      <c r="D756" s="48">
        <f>_xlfn.XLOOKUP(expected_production[[#This Row],[Site Name]],Table1[[Site Name ]],Table1[Commisioned Date],"")</f>
        <v>45072</v>
      </c>
      <c r="E756" s="47">
        <f>IF(ISNUMBER(expected_production[[#This Row],[Commissioned Date]]),MAX(0,(expected_production[[#This Row],[Date]]-expected_production[[#This Row],[Commissioned Date]])/365.25),"")</f>
        <v>3.4360027378507869</v>
      </c>
      <c r="F756" s="49">
        <f>IF(expected_production[[#This Row],[Age (yrs)]]="",1,(1-DegradationRate)^expected_production[[#This Row],[Age (yrs)]])</f>
        <v>0.97615236199063904</v>
      </c>
      <c r="G756" s="52">
        <f>IF(expected_production[[#This Row],[Base Expected (kWh)]]="","",expected_production[[#This Row],[Base Expected (kWh)]]*expected_production[[#This Row],[Degradation Factor]])</f>
        <v>2941.3422971501932</v>
      </c>
    </row>
    <row r="757" spans="1:7" ht="15" hidden="1" customHeight="1" x14ac:dyDescent="0.3">
      <c r="A757" t="s">
        <v>107</v>
      </c>
      <c r="B757" s="2">
        <v>46357</v>
      </c>
      <c r="C757" s="52">
        <v>3204</v>
      </c>
      <c r="D757" s="48">
        <f>_xlfn.XLOOKUP(expected_production[[#This Row],[Site Name]],Table1[[Site Name ]],Table1[Commisioned Date],"")</f>
        <v>45072</v>
      </c>
      <c r="E757" s="47">
        <f>IF(ISNUMBER(expected_production[[#This Row],[Commissioned Date]]),MAX(0,(expected_production[[#This Row],[Date]]-expected_production[[#This Row],[Commissioned Date]])/365.25),"")</f>
        <v>3.5181382614647503</v>
      </c>
      <c r="F757" s="49">
        <f>IF(expected_production[[#This Row],[Age (yrs)]]="",1,(1-DegradationRate)^expected_production[[#This Row],[Age (yrs)]])</f>
        <v>0.97558931339328137</v>
      </c>
      <c r="G757" s="52">
        <f>IF(expected_production[[#This Row],[Base Expected (kWh)]]="","",expected_production[[#This Row],[Base Expected (kWh)]]*expected_production[[#This Row],[Degradation Factor]])</f>
        <v>3125.7881601120735</v>
      </c>
    </row>
    <row r="758" spans="1:7" ht="15" hidden="1" customHeight="1" x14ac:dyDescent="0.3">
      <c r="A758" t="s">
        <v>228</v>
      </c>
      <c r="B758" s="2">
        <v>45292</v>
      </c>
      <c r="C758" s="52">
        <v>29074.5</v>
      </c>
      <c r="D758" s="48">
        <f>_xlfn.XLOOKUP(expected_production[[#This Row],[Site Name]],Table1[[Site Name ]],Table1[Commisioned Date],"")</f>
        <v>46086</v>
      </c>
      <c r="E758" s="47">
        <f>IF(ISNUMBER(expected_production[[#This Row],[Commissioned Date]]),MAX(0,(expected_production[[#This Row],[Date]]-expected_production[[#This Row],[Commissioned Date]])/365.25),"")</f>
        <v>0</v>
      </c>
      <c r="F758" s="49">
        <f>IF(expected_production[[#This Row],[Age (yrs)]]="",1,(1-DegradationRate)^expected_production[[#This Row],[Age (yrs)]])</f>
        <v>1</v>
      </c>
      <c r="G758" s="52">
        <f>IF(expected_production[[#This Row],[Base Expected (kWh)]]="","",expected_production[[#This Row],[Base Expected (kWh)]]*expected_production[[#This Row],[Degradation Factor]])</f>
        <v>29074.5</v>
      </c>
    </row>
    <row r="759" spans="1:7" ht="15" hidden="1" customHeight="1" x14ac:dyDescent="0.3">
      <c r="A759" t="s">
        <v>228</v>
      </c>
      <c r="B759" s="2">
        <v>45323</v>
      </c>
      <c r="C759" s="52">
        <v>26716.5</v>
      </c>
      <c r="D759" s="48">
        <f>_xlfn.XLOOKUP(expected_production[[#This Row],[Site Name]],Table1[[Site Name ]],Table1[Commisioned Date],"")</f>
        <v>46086</v>
      </c>
      <c r="E759" s="47">
        <f>IF(ISNUMBER(expected_production[[#This Row],[Commissioned Date]]),MAX(0,(expected_production[[#This Row],[Date]]-expected_production[[#This Row],[Commissioned Date]])/365.25),"")</f>
        <v>0</v>
      </c>
      <c r="F759" s="49">
        <f>IF(expected_production[[#This Row],[Age (yrs)]]="",1,(1-DegradationRate)^expected_production[[#This Row],[Age (yrs)]])</f>
        <v>1</v>
      </c>
      <c r="G759" s="52">
        <f>IF(expected_production[[#This Row],[Base Expected (kWh)]]="","",expected_production[[#This Row],[Base Expected (kWh)]]*expected_production[[#This Row],[Degradation Factor]])</f>
        <v>26716.5</v>
      </c>
    </row>
    <row r="760" spans="1:7" ht="15" hidden="1" customHeight="1" x14ac:dyDescent="0.3">
      <c r="A760" t="s">
        <v>228</v>
      </c>
      <c r="B760" s="2">
        <v>45352</v>
      </c>
      <c r="C760" s="52">
        <v>27941.4</v>
      </c>
      <c r="D760" s="48">
        <f>_xlfn.XLOOKUP(expected_production[[#This Row],[Site Name]],Table1[[Site Name ]],Table1[Commisioned Date],"")</f>
        <v>46086</v>
      </c>
      <c r="E760" s="47">
        <f>IF(ISNUMBER(expected_production[[#This Row],[Commissioned Date]]),MAX(0,(expected_production[[#This Row],[Date]]-expected_production[[#This Row],[Commissioned Date]])/365.25),"")</f>
        <v>0</v>
      </c>
      <c r="F760" s="49">
        <f>IF(expected_production[[#This Row],[Age (yrs)]]="",1,(1-DegradationRate)^expected_production[[#This Row],[Age (yrs)]])</f>
        <v>1</v>
      </c>
      <c r="G760" s="52">
        <f>IF(expected_production[[#This Row],[Base Expected (kWh)]]="","",expected_production[[#This Row],[Base Expected (kWh)]]*expected_production[[#This Row],[Degradation Factor]])</f>
        <v>27941.4</v>
      </c>
    </row>
    <row r="761" spans="1:7" ht="15" hidden="1" customHeight="1" x14ac:dyDescent="0.3">
      <c r="A761" t="s">
        <v>228</v>
      </c>
      <c r="B761" s="2">
        <v>45383</v>
      </c>
      <c r="C761" s="52">
        <v>25610.400000000001</v>
      </c>
      <c r="D761" s="48">
        <f>_xlfn.XLOOKUP(expected_production[[#This Row],[Site Name]],Table1[[Site Name ]],Table1[Commisioned Date],"")</f>
        <v>46086</v>
      </c>
      <c r="E761" s="47">
        <f>IF(ISNUMBER(expected_production[[#This Row],[Commissioned Date]]),MAX(0,(expected_production[[#This Row],[Date]]-expected_production[[#This Row],[Commissioned Date]])/365.25),"")</f>
        <v>0</v>
      </c>
      <c r="F761" s="49">
        <f>IF(expected_production[[#This Row],[Age (yrs)]]="",1,(1-DegradationRate)^expected_production[[#This Row],[Age (yrs)]])</f>
        <v>1</v>
      </c>
      <c r="G761" s="52">
        <f>IF(expected_production[[#This Row],[Base Expected (kWh)]]="","",expected_production[[#This Row],[Base Expected (kWh)]]*expected_production[[#This Row],[Degradation Factor]])</f>
        <v>25610.400000000001</v>
      </c>
    </row>
    <row r="762" spans="1:7" ht="15" hidden="1" customHeight="1" x14ac:dyDescent="0.3">
      <c r="A762" t="s">
        <v>228</v>
      </c>
      <c r="B762" s="2">
        <v>45413</v>
      </c>
      <c r="C762" s="52">
        <v>25802.1</v>
      </c>
      <c r="D762" s="48">
        <f>_xlfn.XLOOKUP(expected_production[[#This Row],[Site Name]],Table1[[Site Name ]],Table1[Commisioned Date],"")</f>
        <v>46086</v>
      </c>
      <c r="E762" s="47">
        <f>IF(ISNUMBER(expected_production[[#This Row],[Commissioned Date]]),MAX(0,(expected_production[[#This Row],[Date]]-expected_production[[#This Row],[Commissioned Date]])/365.25),"")</f>
        <v>0</v>
      </c>
      <c r="F762" s="49">
        <f>IF(expected_production[[#This Row],[Age (yrs)]]="",1,(1-DegradationRate)^expected_production[[#This Row],[Age (yrs)]])</f>
        <v>1</v>
      </c>
      <c r="G762" s="52">
        <f>IF(expected_production[[#This Row],[Base Expected (kWh)]]="","",expected_production[[#This Row],[Base Expected (kWh)]]*expected_production[[#This Row],[Degradation Factor]])</f>
        <v>25802.1</v>
      </c>
    </row>
    <row r="763" spans="1:7" ht="15" hidden="1" customHeight="1" x14ac:dyDescent="0.3">
      <c r="A763" t="s">
        <v>228</v>
      </c>
      <c r="B763" s="2">
        <v>45444</v>
      </c>
      <c r="C763" s="52">
        <v>23428.799999999999</v>
      </c>
      <c r="D763" s="48">
        <f>_xlfn.XLOOKUP(expected_production[[#This Row],[Site Name]],Table1[[Site Name ]],Table1[Commisioned Date],"")</f>
        <v>46086</v>
      </c>
      <c r="E763" s="47">
        <f>IF(ISNUMBER(expected_production[[#This Row],[Commissioned Date]]),MAX(0,(expected_production[[#This Row],[Date]]-expected_production[[#This Row],[Commissioned Date]])/365.25),"")</f>
        <v>0</v>
      </c>
      <c r="F763" s="49">
        <f>IF(expected_production[[#This Row],[Age (yrs)]]="",1,(1-DegradationRate)^expected_production[[#This Row],[Age (yrs)]])</f>
        <v>1</v>
      </c>
      <c r="G763" s="52">
        <f>IF(expected_production[[#This Row],[Base Expected (kWh)]]="","",expected_production[[#This Row],[Base Expected (kWh)]]*expected_production[[#This Row],[Degradation Factor]])</f>
        <v>23428.799999999999</v>
      </c>
    </row>
    <row r="764" spans="1:7" ht="15" hidden="1" customHeight="1" x14ac:dyDescent="0.3">
      <c r="A764" t="s">
        <v>228</v>
      </c>
      <c r="B764" s="2">
        <v>45474</v>
      </c>
      <c r="C764" s="52">
        <v>25632</v>
      </c>
      <c r="D764" s="48">
        <f>_xlfn.XLOOKUP(expected_production[[#This Row],[Site Name]],Table1[[Site Name ]],Table1[Commisioned Date],"")</f>
        <v>46086</v>
      </c>
      <c r="E764" s="47">
        <f>IF(ISNUMBER(expected_production[[#This Row],[Commissioned Date]]),MAX(0,(expected_production[[#This Row],[Date]]-expected_production[[#This Row],[Commissioned Date]])/365.25),"")</f>
        <v>0</v>
      </c>
      <c r="F764" s="49">
        <f>IF(expected_production[[#This Row],[Age (yrs)]]="",1,(1-DegradationRate)^expected_production[[#This Row],[Age (yrs)]])</f>
        <v>1</v>
      </c>
      <c r="G764" s="52">
        <f>IF(expected_production[[#This Row],[Base Expected (kWh)]]="","",expected_production[[#This Row],[Base Expected (kWh)]]*expected_production[[#This Row],[Degradation Factor]])</f>
        <v>25632</v>
      </c>
    </row>
    <row r="765" spans="1:7" ht="15" hidden="1" customHeight="1" x14ac:dyDescent="0.3">
      <c r="A765" t="s">
        <v>228</v>
      </c>
      <c r="B765" s="2">
        <v>45505</v>
      </c>
      <c r="C765" s="52">
        <v>28549.8</v>
      </c>
      <c r="D765" s="48">
        <f>_xlfn.XLOOKUP(expected_production[[#This Row],[Site Name]],Table1[[Site Name ]],Table1[Commisioned Date],"")</f>
        <v>46086</v>
      </c>
      <c r="E765" s="47">
        <f>IF(ISNUMBER(expected_production[[#This Row],[Commissioned Date]]),MAX(0,(expected_production[[#This Row],[Date]]-expected_production[[#This Row],[Commissioned Date]])/365.25),"")</f>
        <v>0</v>
      </c>
      <c r="F765" s="49">
        <f>IF(expected_production[[#This Row],[Age (yrs)]]="",1,(1-DegradationRate)^expected_production[[#This Row],[Age (yrs)]])</f>
        <v>1</v>
      </c>
      <c r="G765" s="52">
        <f>IF(expected_production[[#This Row],[Base Expected (kWh)]]="","",expected_production[[#This Row],[Base Expected (kWh)]]*expected_production[[#This Row],[Degradation Factor]])</f>
        <v>28549.8</v>
      </c>
    </row>
    <row r="766" spans="1:7" ht="15" hidden="1" customHeight="1" x14ac:dyDescent="0.3">
      <c r="A766" t="s">
        <v>228</v>
      </c>
      <c r="B766" s="2">
        <v>45536</v>
      </c>
      <c r="C766" s="52">
        <v>29561.4</v>
      </c>
      <c r="D766" s="48">
        <f>_xlfn.XLOOKUP(expected_production[[#This Row],[Site Name]],Table1[[Site Name ]],Table1[Commisioned Date],"")</f>
        <v>46086</v>
      </c>
      <c r="E766" s="47">
        <f>IF(ISNUMBER(expected_production[[#This Row],[Commissioned Date]]),MAX(0,(expected_production[[#This Row],[Date]]-expected_production[[#This Row],[Commissioned Date]])/365.25),"")</f>
        <v>0</v>
      </c>
      <c r="F766" s="49">
        <f>IF(expected_production[[#This Row],[Age (yrs)]]="",1,(1-DegradationRate)^expected_production[[#This Row],[Age (yrs)]])</f>
        <v>1</v>
      </c>
      <c r="G766" s="52">
        <f>IF(expected_production[[#This Row],[Base Expected (kWh)]]="","",expected_production[[#This Row],[Base Expected (kWh)]]*expected_production[[#This Row],[Degradation Factor]])</f>
        <v>29561.4</v>
      </c>
    </row>
    <row r="767" spans="1:7" ht="15" hidden="1" customHeight="1" x14ac:dyDescent="0.3">
      <c r="A767" t="s">
        <v>228</v>
      </c>
      <c r="B767" s="2">
        <v>45566</v>
      </c>
      <c r="C767" s="52">
        <v>31417.200000000001</v>
      </c>
      <c r="D767" s="48">
        <f>_xlfn.XLOOKUP(expected_production[[#This Row],[Site Name]],Table1[[Site Name ]],Table1[Commisioned Date],"")</f>
        <v>46086</v>
      </c>
      <c r="E767" s="47">
        <f>IF(ISNUMBER(expected_production[[#This Row],[Commissioned Date]]),MAX(0,(expected_production[[#This Row],[Date]]-expected_production[[#This Row],[Commissioned Date]])/365.25),"")</f>
        <v>0</v>
      </c>
      <c r="F767" s="49">
        <f>IF(expected_production[[#This Row],[Age (yrs)]]="",1,(1-DegradationRate)^expected_production[[#This Row],[Age (yrs)]])</f>
        <v>1</v>
      </c>
      <c r="G767" s="52">
        <f>IF(expected_production[[#This Row],[Base Expected (kWh)]]="","",expected_production[[#This Row],[Base Expected (kWh)]]*expected_production[[#This Row],[Degradation Factor]])</f>
        <v>31417.200000000001</v>
      </c>
    </row>
    <row r="768" spans="1:7" ht="15" hidden="1" customHeight="1" x14ac:dyDescent="0.3">
      <c r="A768" t="s">
        <v>228</v>
      </c>
      <c r="B768" s="2">
        <v>45597</v>
      </c>
      <c r="C768" s="52">
        <v>30121.200000000001</v>
      </c>
      <c r="D768" s="48">
        <f>_xlfn.XLOOKUP(expected_production[[#This Row],[Site Name]],Table1[[Site Name ]],Table1[Commisioned Date],"")</f>
        <v>46086</v>
      </c>
      <c r="E768" s="47">
        <f>IF(ISNUMBER(expected_production[[#This Row],[Commissioned Date]]),MAX(0,(expected_production[[#This Row],[Date]]-expected_production[[#This Row],[Commissioned Date]])/365.25),"")</f>
        <v>0</v>
      </c>
      <c r="F768" s="49">
        <f>IF(expected_production[[#This Row],[Age (yrs)]]="",1,(1-DegradationRate)^expected_production[[#This Row],[Age (yrs)]])</f>
        <v>1</v>
      </c>
      <c r="G768" s="52">
        <f>IF(expected_production[[#This Row],[Base Expected (kWh)]]="","",expected_production[[#This Row],[Base Expected (kWh)]]*expected_production[[#This Row],[Degradation Factor]])</f>
        <v>30121.200000000001</v>
      </c>
    </row>
    <row r="769" spans="1:7" ht="15" hidden="1" customHeight="1" x14ac:dyDescent="0.3">
      <c r="A769" t="s">
        <v>228</v>
      </c>
      <c r="B769" s="2">
        <v>45627</v>
      </c>
      <c r="C769" s="52">
        <v>29445.3</v>
      </c>
      <c r="D769" s="48">
        <f>_xlfn.XLOOKUP(expected_production[[#This Row],[Site Name]],Table1[[Site Name ]],Table1[Commisioned Date],"")</f>
        <v>46086</v>
      </c>
      <c r="E769" s="47">
        <f>IF(ISNUMBER(expected_production[[#This Row],[Commissioned Date]]),MAX(0,(expected_production[[#This Row],[Date]]-expected_production[[#This Row],[Commissioned Date]])/365.25),"")</f>
        <v>0</v>
      </c>
      <c r="F769" s="49">
        <f>IF(expected_production[[#This Row],[Age (yrs)]]="",1,(1-DegradationRate)^expected_production[[#This Row],[Age (yrs)]])</f>
        <v>1</v>
      </c>
      <c r="G769" s="52">
        <f>IF(expected_production[[#This Row],[Base Expected (kWh)]]="","",expected_production[[#This Row],[Base Expected (kWh)]]*expected_production[[#This Row],[Degradation Factor]])</f>
        <v>29445.3</v>
      </c>
    </row>
    <row r="770" spans="1:7" ht="15" hidden="1" customHeight="1" x14ac:dyDescent="0.3">
      <c r="A770" t="s">
        <v>228</v>
      </c>
      <c r="B770" s="2">
        <v>45658</v>
      </c>
      <c r="C770" s="52">
        <v>29074.5</v>
      </c>
      <c r="D770" s="48">
        <f>_xlfn.XLOOKUP(expected_production[[#This Row],[Site Name]],Table1[[Site Name ]],Table1[Commisioned Date],"")</f>
        <v>46086</v>
      </c>
      <c r="E770" s="47">
        <f>IF(ISNUMBER(expected_production[[#This Row],[Commissioned Date]]),MAX(0,(expected_production[[#This Row],[Date]]-expected_production[[#This Row],[Commissioned Date]])/365.25),"")</f>
        <v>0</v>
      </c>
      <c r="F770" s="49">
        <f>IF(expected_production[[#This Row],[Age (yrs)]]="",1,(1-DegradationRate)^expected_production[[#This Row],[Age (yrs)]])</f>
        <v>1</v>
      </c>
      <c r="G770" s="52">
        <f>IF(expected_production[[#This Row],[Base Expected (kWh)]]="","",expected_production[[#This Row],[Base Expected (kWh)]]*expected_production[[#This Row],[Degradation Factor]])</f>
        <v>29074.5</v>
      </c>
    </row>
    <row r="771" spans="1:7" ht="15" hidden="1" customHeight="1" x14ac:dyDescent="0.3">
      <c r="A771" t="s">
        <v>228</v>
      </c>
      <c r="B771" s="2">
        <v>45689</v>
      </c>
      <c r="C771" s="52">
        <v>26716.5</v>
      </c>
      <c r="D771" s="48">
        <f>_xlfn.XLOOKUP(expected_production[[#This Row],[Site Name]],Table1[[Site Name ]],Table1[Commisioned Date],"")</f>
        <v>46086</v>
      </c>
      <c r="E771" s="47">
        <f>IF(ISNUMBER(expected_production[[#This Row],[Commissioned Date]]),MAX(0,(expected_production[[#This Row],[Date]]-expected_production[[#This Row],[Commissioned Date]])/365.25),"")</f>
        <v>0</v>
      </c>
      <c r="F771" s="49">
        <f>IF(expected_production[[#This Row],[Age (yrs)]]="",1,(1-DegradationRate)^expected_production[[#This Row],[Age (yrs)]])</f>
        <v>1</v>
      </c>
      <c r="G771" s="52">
        <f>IF(expected_production[[#This Row],[Base Expected (kWh)]]="","",expected_production[[#This Row],[Base Expected (kWh)]]*expected_production[[#This Row],[Degradation Factor]])</f>
        <v>26716.5</v>
      </c>
    </row>
    <row r="772" spans="1:7" ht="15" hidden="1" customHeight="1" x14ac:dyDescent="0.3">
      <c r="A772" t="s">
        <v>228</v>
      </c>
      <c r="B772" s="2">
        <v>45717</v>
      </c>
      <c r="C772" s="52">
        <v>27941.4</v>
      </c>
      <c r="D772" s="48">
        <f>_xlfn.XLOOKUP(expected_production[[#This Row],[Site Name]],Table1[[Site Name ]],Table1[Commisioned Date],"")</f>
        <v>46086</v>
      </c>
      <c r="E772" s="47">
        <f>IF(ISNUMBER(expected_production[[#This Row],[Commissioned Date]]),MAX(0,(expected_production[[#This Row],[Date]]-expected_production[[#This Row],[Commissioned Date]])/365.25),"")</f>
        <v>0</v>
      </c>
      <c r="F772" s="49">
        <f>IF(expected_production[[#This Row],[Age (yrs)]]="",1,(1-DegradationRate)^expected_production[[#This Row],[Age (yrs)]])</f>
        <v>1</v>
      </c>
      <c r="G772" s="52">
        <f>IF(expected_production[[#This Row],[Base Expected (kWh)]]="","",expected_production[[#This Row],[Base Expected (kWh)]]*expected_production[[#This Row],[Degradation Factor]])</f>
        <v>27941.4</v>
      </c>
    </row>
    <row r="773" spans="1:7" ht="15" hidden="1" customHeight="1" x14ac:dyDescent="0.3">
      <c r="A773" t="s">
        <v>228</v>
      </c>
      <c r="B773" s="2">
        <v>45748</v>
      </c>
      <c r="C773" s="52">
        <v>25610.400000000001</v>
      </c>
      <c r="D773" s="48">
        <f>_xlfn.XLOOKUP(expected_production[[#This Row],[Site Name]],Table1[[Site Name ]],Table1[Commisioned Date],"")</f>
        <v>46086</v>
      </c>
      <c r="E773" s="47">
        <f>IF(ISNUMBER(expected_production[[#This Row],[Commissioned Date]]),MAX(0,(expected_production[[#This Row],[Date]]-expected_production[[#This Row],[Commissioned Date]])/365.25),"")</f>
        <v>0</v>
      </c>
      <c r="F773" s="49">
        <f>IF(expected_production[[#This Row],[Age (yrs)]]="",1,(1-DegradationRate)^expected_production[[#This Row],[Age (yrs)]])</f>
        <v>1</v>
      </c>
      <c r="G773" s="52">
        <f>IF(expected_production[[#This Row],[Base Expected (kWh)]]="","",expected_production[[#This Row],[Base Expected (kWh)]]*expected_production[[#This Row],[Degradation Factor]])</f>
        <v>25610.400000000001</v>
      </c>
    </row>
    <row r="774" spans="1:7" ht="15" hidden="1" customHeight="1" x14ac:dyDescent="0.3">
      <c r="A774" t="s">
        <v>228</v>
      </c>
      <c r="B774" s="2">
        <v>45778</v>
      </c>
      <c r="C774" s="52">
        <v>25802.1</v>
      </c>
      <c r="D774" s="48">
        <f>_xlfn.XLOOKUP(expected_production[[#This Row],[Site Name]],Table1[[Site Name ]],Table1[Commisioned Date],"")</f>
        <v>46086</v>
      </c>
      <c r="E774" s="47">
        <f>IF(ISNUMBER(expected_production[[#This Row],[Commissioned Date]]),MAX(0,(expected_production[[#This Row],[Date]]-expected_production[[#This Row],[Commissioned Date]])/365.25),"")</f>
        <v>0</v>
      </c>
      <c r="F774" s="49">
        <f>IF(expected_production[[#This Row],[Age (yrs)]]="",1,(1-DegradationRate)^expected_production[[#This Row],[Age (yrs)]])</f>
        <v>1</v>
      </c>
      <c r="G774" s="52">
        <f>IF(expected_production[[#This Row],[Base Expected (kWh)]]="","",expected_production[[#This Row],[Base Expected (kWh)]]*expected_production[[#This Row],[Degradation Factor]])</f>
        <v>25802.1</v>
      </c>
    </row>
    <row r="775" spans="1:7" ht="15" hidden="1" customHeight="1" x14ac:dyDescent="0.3">
      <c r="A775" t="s">
        <v>228</v>
      </c>
      <c r="B775" s="2">
        <v>45809</v>
      </c>
      <c r="C775" s="52">
        <v>23428.799999999999</v>
      </c>
      <c r="D775" s="48">
        <f>_xlfn.XLOOKUP(expected_production[[#This Row],[Site Name]],Table1[[Site Name ]],Table1[Commisioned Date],"")</f>
        <v>46086</v>
      </c>
      <c r="E775" s="47">
        <f>IF(ISNUMBER(expected_production[[#This Row],[Commissioned Date]]),MAX(0,(expected_production[[#This Row],[Date]]-expected_production[[#This Row],[Commissioned Date]])/365.25),"")</f>
        <v>0</v>
      </c>
      <c r="F775" s="49">
        <f>IF(expected_production[[#This Row],[Age (yrs)]]="",1,(1-DegradationRate)^expected_production[[#This Row],[Age (yrs)]])</f>
        <v>1</v>
      </c>
      <c r="G775" s="52">
        <f>IF(expected_production[[#This Row],[Base Expected (kWh)]]="","",expected_production[[#This Row],[Base Expected (kWh)]]*expected_production[[#This Row],[Degradation Factor]])</f>
        <v>23428.799999999999</v>
      </c>
    </row>
    <row r="776" spans="1:7" ht="15" hidden="1" customHeight="1" x14ac:dyDescent="0.3">
      <c r="A776" t="s">
        <v>228</v>
      </c>
      <c r="B776" s="2">
        <v>45839</v>
      </c>
      <c r="C776" s="52">
        <v>25632</v>
      </c>
      <c r="D776" s="48">
        <f>_xlfn.XLOOKUP(expected_production[[#This Row],[Site Name]],Table1[[Site Name ]],Table1[Commisioned Date],"")</f>
        <v>46086</v>
      </c>
      <c r="E776" s="47">
        <f>IF(ISNUMBER(expected_production[[#This Row],[Commissioned Date]]),MAX(0,(expected_production[[#This Row],[Date]]-expected_production[[#This Row],[Commissioned Date]])/365.25),"")</f>
        <v>0</v>
      </c>
      <c r="F776" s="49">
        <f>IF(expected_production[[#This Row],[Age (yrs)]]="",1,(1-DegradationRate)^expected_production[[#This Row],[Age (yrs)]])</f>
        <v>1</v>
      </c>
      <c r="G776" s="52">
        <f>IF(expected_production[[#This Row],[Base Expected (kWh)]]="","",expected_production[[#This Row],[Base Expected (kWh)]]*expected_production[[#This Row],[Degradation Factor]])</f>
        <v>25632</v>
      </c>
    </row>
    <row r="777" spans="1:7" ht="15" hidden="1" customHeight="1" x14ac:dyDescent="0.3">
      <c r="A777" t="s">
        <v>228</v>
      </c>
      <c r="B777" s="2">
        <v>45870</v>
      </c>
      <c r="C777" s="52">
        <v>28549.8</v>
      </c>
      <c r="D777" s="48">
        <f>_xlfn.XLOOKUP(expected_production[[#This Row],[Site Name]],Table1[[Site Name ]],Table1[Commisioned Date],"")</f>
        <v>46086</v>
      </c>
      <c r="E777" s="47">
        <f>IF(ISNUMBER(expected_production[[#This Row],[Commissioned Date]]),MAX(0,(expected_production[[#This Row],[Date]]-expected_production[[#This Row],[Commissioned Date]])/365.25),"")</f>
        <v>0</v>
      </c>
      <c r="F777" s="49">
        <f>IF(expected_production[[#This Row],[Age (yrs)]]="",1,(1-DegradationRate)^expected_production[[#This Row],[Age (yrs)]])</f>
        <v>1</v>
      </c>
      <c r="G777" s="52">
        <f>IF(expected_production[[#This Row],[Base Expected (kWh)]]="","",expected_production[[#This Row],[Base Expected (kWh)]]*expected_production[[#This Row],[Degradation Factor]])</f>
        <v>28549.8</v>
      </c>
    </row>
    <row r="778" spans="1:7" ht="15" hidden="1" customHeight="1" x14ac:dyDescent="0.3">
      <c r="A778" t="s">
        <v>228</v>
      </c>
      <c r="B778" s="2">
        <v>45901</v>
      </c>
      <c r="C778" s="52">
        <v>29561.4</v>
      </c>
      <c r="D778" s="48">
        <f>_xlfn.XLOOKUP(expected_production[[#This Row],[Site Name]],Table1[[Site Name ]],Table1[Commisioned Date],"")</f>
        <v>46086</v>
      </c>
      <c r="E778" s="47">
        <f>IF(ISNUMBER(expected_production[[#This Row],[Commissioned Date]]),MAX(0,(expected_production[[#This Row],[Date]]-expected_production[[#This Row],[Commissioned Date]])/365.25),"")</f>
        <v>0</v>
      </c>
      <c r="F778" s="49">
        <f>IF(expected_production[[#This Row],[Age (yrs)]]="",1,(1-DegradationRate)^expected_production[[#This Row],[Age (yrs)]])</f>
        <v>1</v>
      </c>
      <c r="G778" s="52">
        <f>IF(expected_production[[#This Row],[Base Expected (kWh)]]="","",expected_production[[#This Row],[Base Expected (kWh)]]*expected_production[[#This Row],[Degradation Factor]])</f>
        <v>29561.4</v>
      </c>
    </row>
    <row r="779" spans="1:7" ht="15" hidden="1" customHeight="1" x14ac:dyDescent="0.3">
      <c r="A779" t="s">
        <v>228</v>
      </c>
      <c r="B779" s="2">
        <v>45931</v>
      </c>
      <c r="C779" s="52">
        <v>31417.200000000001</v>
      </c>
      <c r="D779" s="48">
        <f>_xlfn.XLOOKUP(expected_production[[#This Row],[Site Name]],Table1[[Site Name ]],Table1[Commisioned Date],"")</f>
        <v>46086</v>
      </c>
      <c r="E779" s="47">
        <f>IF(ISNUMBER(expected_production[[#This Row],[Commissioned Date]]),MAX(0,(expected_production[[#This Row],[Date]]-expected_production[[#This Row],[Commissioned Date]])/365.25),"")</f>
        <v>0</v>
      </c>
      <c r="F779" s="49">
        <f>IF(expected_production[[#This Row],[Age (yrs)]]="",1,(1-DegradationRate)^expected_production[[#This Row],[Age (yrs)]])</f>
        <v>1</v>
      </c>
      <c r="G779" s="52">
        <f>IF(expected_production[[#This Row],[Base Expected (kWh)]]="","",expected_production[[#This Row],[Base Expected (kWh)]]*expected_production[[#This Row],[Degradation Factor]])</f>
        <v>31417.200000000001</v>
      </c>
    </row>
    <row r="780" spans="1:7" ht="15" hidden="1" customHeight="1" x14ac:dyDescent="0.3">
      <c r="A780" t="s">
        <v>228</v>
      </c>
      <c r="B780" s="2">
        <v>45962</v>
      </c>
      <c r="C780" s="52">
        <v>30121.200000000001</v>
      </c>
      <c r="D780" s="48">
        <f>_xlfn.XLOOKUP(expected_production[[#This Row],[Site Name]],Table1[[Site Name ]],Table1[Commisioned Date],"")</f>
        <v>46086</v>
      </c>
      <c r="E780" s="47">
        <f>IF(ISNUMBER(expected_production[[#This Row],[Commissioned Date]]),MAX(0,(expected_production[[#This Row],[Date]]-expected_production[[#This Row],[Commissioned Date]])/365.25),"")</f>
        <v>0</v>
      </c>
      <c r="F780" s="49">
        <f>IF(expected_production[[#This Row],[Age (yrs)]]="",1,(1-DegradationRate)^expected_production[[#This Row],[Age (yrs)]])</f>
        <v>1</v>
      </c>
      <c r="G780" s="52">
        <f>IF(expected_production[[#This Row],[Base Expected (kWh)]]="","",expected_production[[#This Row],[Base Expected (kWh)]]*expected_production[[#This Row],[Degradation Factor]])</f>
        <v>30121.200000000001</v>
      </c>
    </row>
    <row r="781" spans="1:7" ht="15" hidden="1" customHeight="1" x14ac:dyDescent="0.3">
      <c r="A781" t="s">
        <v>228</v>
      </c>
      <c r="B781" s="2">
        <v>45992</v>
      </c>
      <c r="C781" s="52">
        <v>29445.3</v>
      </c>
      <c r="D781" s="48">
        <f>_xlfn.XLOOKUP(expected_production[[#This Row],[Site Name]],Table1[[Site Name ]],Table1[Commisioned Date],"")</f>
        <v>46086</v>
      </c>
      <c r="E781" s="47">
        <f>IF(ISNUMBER(expected_production[[#This Row],[Commissioned Date]]),MAX(0,(expected_production[[#This Row],[Date]]-expected_production[[#This Row],[Commissioned Date]])/365.25),"")</f>
        <v>0</v>
      </c>
      <c r="F781" s="49">
        <f>IF(expected_production[[#This Row],[Age (yrs)]]="",1,(1-DegradationRate)^expected_production[[#This Row],[Age (yrs)]])</f>
        <v>1</v>
      </c>
      <c r="G781" s="52">
        <f>IF(expected_production[[#This Row],[Base Expected (kWh)]]="","",expected_production[[#This Row],[Base Expected (kWh)]]*expected_production[[#This Row],[Degradation Factor]])</f>
        <v>29445.3</v>
      </c>
    </row>
    <row r="782" spans="1:7" ht="15" hidden="1" customHeight="1" x14ac:dyDescent="0.3">
      <c r="A782" t="s">
        <v>228</v>
      </c>
      <c r="B782" s="2">
        <v>46023</v>
      </c>
      <c r="C782" s="52">
        <v>29074.5</v>
      </c>
      <c r="D782" s="48">
        <f>_xlfn.XLOOKUP(expected_production[[#This Row],[Site Name]],Table1[[Site Name ]],Table1[Commisioned Date],"")</f>
        <v>46086</v>
      </c>
      <c r="E782" s="47">
        <f>IF(ISNUMBER(expected_production[[#This Row],[Commissioned Date]]),MAX(0,(expected_production[[#This Row],[Date]]-expected_production[[#This Row],[Commissioned Date]])/365.25),"")</f>
        <v>0</v>
      </c>
      <c r="F782" s="49">
        <f>IF(expected_production[[#This Row],[Age (yrs)]]="",1,(1-DegradationRate)^expected_production[[#This Row],[Age (yrs)]])</f>
        <v>1</v>
      </c>
      <c r="G782" s="52">
        <f>IF(expected_production[[#This Row],[Base Expected (kWh)]]="","",expected_production[[#This Row],[Base Expected (kWh)]]*expected_production[[#This Row],[Degradation Factor]])</f>
        <v>29074.5</v>
      </c>
    </row>
    <row r="783" spans="1:7" ht="15" hidden="1" customHeight="1" x14ac:dyDescent="0.3">
      <c r="A783" t="s">
        <v>228</v>
      </c>
      <c r="B783" s="2">
        <v>46054</v>
      </c>
      <c r="C783" s="52">
        <v>26716.5</v>
      </c>
      <c r="D783" s="48">
        <f>_xlfn.XLOOKUP(expected_production[[#This Row],[Site Name]],Table1[[Site Name ]],Table1[Commisioned Date],"")</f>
        <v>46086</v>
      </c>
      <c r="E783" s="47">
        <f>IF(ISNUMBER(expected_production[[#This Row],[Commissioned Date]]),MAX(0,(expected_production[[#This Row],[Date]]-expected_production[[#This Row],[Commissioned Date]])/365.25),"")</f>
        <v>0</v>
      </c>
      <c r="F783" s="49">
        <f>IF(expected_production[[#This Row],[Age (yrs)]]="",1,(1-DegradationRate)^expected_production[[#This Row],[Age (yrs)]])</f>
        <v>1</v>
      </c>
      <c r="G783" s="52">
        <f>IF(expected_production[[#This Row],[Base Expected (kWh)]]="","",expected_production[[#This Row],[Base Expected (kWh)]]*expected_production[[#This Row],[Degradation Factor]])</f>
        <v>26716.5</v>
      </c>
    </row>
    <row r="784" spans="1:7" ht="15" hidden="1" customHeight="1" x14ac:dyDescent="0.3">
      <c r="A784" t="s">
        <v>228</v>
      </c>
      <c r="B784" s="2">
        <v>46082</v>
      </c>
      <c r="C784" s="52">
        <v>27941.4</v>
      </c>
      <c r="D784" s="48">
        <f>_xlfn.XLOOKUP(expected_production[[#This Row],[Site Name]],Table1[[Site Name ]],Table1[Commisioned Date],"")</f>
        <v>46086</v>
      </c>
      <c r="E784" s="47">
        <f>IF(ISNUMBER(expected_production[[#This Row],[Commissioned Date]]),MAX(0,(expected_production[[#This Row],[Date]]-expected_production[[#This Row],[Commissioned Date]])/365.25),"")</f>
        <v>0</v>
      </c>
      <c r="F784" s="49">
        <f>IF(expected_production[[#This Row],[Age (yrs)]]="",1,(1-DegradationRate)^expected_production[[#This Row],[Age (yrs)]])</f>
        <v>1</v>
      </c>
      <c r="G784" s="52">
        <f>IF(expected_production[[#This Row],[Base Expected (kWh)]]="","",expected_production[[#This Row],[Base Expected (kWh)]]*expected_production[[#This Row],[Degradation Factor]])</f>
        <v>27941.4</v>
      </c>
    </row>
    <row r="785" spans="1:7" ht="15" hidden="1" customHeight="1" x14ac:dyDescent="0.3">
      <c r="A785" t="s">
        <v>228</v>
      </c>
      <c r="B785" s="2">
        <v>46113</v>
      </c>
      <c r="C785" s="52">
        <v>25610.400000000001</v>
      </c>
      <c r="D785" s="48">
        <f>_xlfn.XLOOKUP(expected_production[[#This Row],[Site Name]],Table1[[Site Name ]],Table1[Commisioned Date],"")</f>
        <v>46086</v>
      </c>
      <c r="E785" s="47">
        <f>IF(ISNUMBER(expected_production[[#This Row],[Commissioned Date]]),MAX(0,(expected_production[[#This Row],[Date]]-expected_production[[#This Row],[Commissioned Date]])/365.25),"")</f>
        <v>7.3921971252566734E-2</v>
      </c>
      <c r="F785" s="49">
        <f>IF(expected_production[[#This Row],[Age (yrs)]]="",1,(1-DegradationRate)^expected_production[[#This Row],[Age (yrs)]])</f>
        <v>0.99948086141565917</v>
      </c>
      <c r="G785" s="52">
        <f>IF(expected_production[[#This Row],[Base Expected (kWh)]]="","",expected_production[[#This Row],[Base Expected (kWh)]]*expected_production[[#This Row],[Degradation Factor]])</f>
        <v>25597.1046531996</v>
      </c>
    </row>
    <row r="786" spans="1:7" ht="15" hidden="1" customHeight="1" x14ac:dyDescent="0.3">
      <c r="A786" t="s">
        <v>228</v>
      </c>
      <c r="B786" s="2">
        <v>46113</v>
      </c>
      <c r="C786" s="52">
        <v>25610.400000000001</v>
      </c>
      <c r="D786" s="48">
        <f>_xlfn.XLOOKUP(expected_production[[#This Row],[Site Name]],Table1[[Site Name ]],Table1[Commisioned Date],"")</f>
        <v>46086</v>
      </c>
      <c r="E786" s="47">
        <f>IF(ISNUMBER(expected_production[[#This Row],[Commissioned Date]]),MAX(0,(expected_production[[#This Row],[Date]]-expected_production[[#This Row],[Commissioned Date]])/365.25),"")</f>
        <v>7.3921971252566734E-2</v>
      </c>
      <c r="F786" s="49">
        <f>IF(expected_production[[#This Row],[Age (yrs)]]="",1,(1-DegradationRate)^expected_production[[#This Row],[Age (yrs)]])</f>
        <v>0.99948086141565917</v>
      </c>
      <c r="G786" s="52">
        <f>IF(expected_production[[#This Row],[Base Expected (kWh)]]="","",expected_production[[#This Row],[Base Expected (kWh)]]*expected_production[[#This Row],[Degradation Factor]])</f>
        <v>25597.1046531996</v>
      </c>
    </row>
    <row r="787" spans="1:7" ht="15" hidden="1" customHeight="1" x14ac:dyDescent="0.3">
      <c r="A787" t="s">
        <v>228</v>
      </c>
      <c r="B787" s="2">
        <v>46143</v>
      </c>
      <c r="C787" s="52">
        <v>25802.1</v>
      </c>
      <c r="D787" s="48">
        <f>_xlfn.XLOOKUP(expected_production[[#This Row],[Site Name]],Table1[[Site Name ]],Table1[Commisioned Date],"")</f>
        <v>46086</v>
      </c>
      <c r="E787" s="47">
        <f>IF(ISNUMBER(expected_production[[#This Row],[Commissioned Date]]),MAX(0,(expected_production[[#This Row],[Date]]-expected_production[[#This Row],[Commissioned Date]])/365.25),"")</f>
        <v>0.15605749486652978</v>
      </c>
      <c r="F787" s="49">
        <f>IF(expected_production[[#This Row],[Age (yrs)]]="",1,(1-DegradationRate)^expected_production[[#This Row],[Age (yrs)]])</f>
        <v>0.99890435684627177</v>
      </c>
      <c r="G787" s="52">
        <f>IF(expected_production[[#This Row],[Base Expected (kWh)]]="","",expected_production[[#This Row],[Base Expected (kWh)]]*expected_production[[#This Row],[Degradation Factor]])</f>
        <v>25773.830105783189</v>
      </c>
    </row>
    <row r="788" spans="1:7" ht="15" hidden="1" customHeight="1" x14ac:dyDescent="0.3">
      <c r="A788" t="s">
        <v>228</v>
      </c>
      <c r="B788" s="2">
        <v>46174</v>
      </c>
      <c r="C788" s="52">
        <v>23428.799999999999</v>
      </c>
      <c r="D788" s="48">
        <f>_xlfn.XLOOKUP(expected_production[[#This Row],[Site Name]],Table1[[Site Name ]],Table1[Commisioned Date],"")</f>
        <v>46086</v>
      </c>
      <c r="E788" s="47">
        <f>IF(ISNUMBER(expected_production[[#This Row],[Commissioned Date]]),MAX(0,(expected_production[[#This Row],[Date]]-expected_production[[#This Row],[Commissioned Date]])/365.25),"")</f>
        <v>0.24093086926762491</v>
      </c>
      <c r="F788" s="49">
        <f>IF(expected_production[[#This Row],[Age (yrs)]]="",1,(1-DegradationRate)^expected_production[[#This Row],[Age (yrs)]])</f>
        <v>0.99830898479705965</v>
      </c>
      <c r="G788" s="52">
        <f>IF(expected_production[[#This Row],[Base Expected (kWh)]]="","",expected_production[[#This Row],[Base Expected (kWh)]]*expected_production[[#This Row],[Degradation Factor]])</f>
        <v>23389.18154301335</v>
      </c>
    </row>
    <row r="789" spans="1:7" ht="15" hidden="1" customHeight="1" x14ac:dyDescent="0.3">
      <c r="A789" t="s">
        <v>228</v>
      </c>
      <c r="B789" s="2">
        <v>46204</v>
      </c>
      <c r="C789" s="52">
        <v>25632</v>
      </c>
      <c r="D789" s="48">
        <f>_xlfn.XLOOKUP(expected_production[[#This Row],[Site Name]],Table1[[Site Name ]],Table1[Commisioned Date],"")</f>
        <v>46086</v>
      </c>
      <c r="E789" s="47">
        <f>IF(ISNUMBER(expected_production[[#This Row],[Commissioned Date]]),MAX(0,(expected_production[[#This Row],[Date]]-expected_production[[#This Row],[Commissioned Date]])/365.25),"")</f>
        <v>0.32306639288158795</v>
      </c>
      <c r="F789" s="49">
        <f>IF(expected_production[[#This Row],[Age (yrs)]]="",1,(1-DegradationRate)^expected_production[[#This Row],[Age (yrs)]])</f>
        <v>0.99773315617080582</v>
      </c>
      <c r="G789" s="52">
        <f>IF(expected_production[[#This Row],[Base Expected (kWh)]]="","",expected_production[[#This Row],[Base Expected (kWh)]]*expected_production[[#This Row],[Degradation Factor]])</f>
        <v>25573.896258970093</v>
      </c>
    </row>
    <row r="790" spans="1:7" ht="15" hidden="1" customHeight="1" x14ac:dyDescent="0.3">
      <c r="A790" t="s">
        <v>228</v>
      </c>
      <c r="B790" s="2">
        <v>46235</v>
      </c>
      <c r="C790" s="52">
        <v>28549.8</v>
      </c>
      <c r="D790" s="48">
        <f>_xlfn.XLOOKUP(expected_production[[#This Row],[Site Name]],Table1[[Site Name ]],Table1[Commisioned Date],"")</f>
        <v>46086</v>
      </c>
      <c r="E790" s="47">
        <f>IF(ISNUMBER(expected_production[[#This Row],[Commissioned Date]]),MAX(0,(expected_production[[#This Row],[Date]]-expected_production[[#This Row],[Commissioned Date]])/365.25),"")</f>
        <v>0.40793976728268311</v>
      </c>
      <c r="F790" s="49">
        <f>IF(expected_production[[#This Row],[Age (yrs)]]="",1,(1-DegradationRate)^expected_production[[#This Row],[Age (yrs)]])</f>
        <v>0.99713848218657009</v>
      </c>
      <c r="G790" s="52">
        <f>IF(expected_production[[#This Row],[Base Expected (kWh)]]="","",expected_production[[#This Row],[Base Expected (kWh)]]*expected_production[[#This Row],[Degradation Factor]])</f>
        <v>28468.104238730139</v>
      </c>
    </row>
    <row r="791" spans="1:7" ht="15" hidden="1" customHeight="1" x14ac:dyDescent="0.3">
      <c r="A791" t="s">
        <v>228</v>
      </c>
      <c r="B791" s="2">
        <v>46266</v>
      </c>
      <c r="C791" s="52">
        <v>29561.4</v>
      </c>
      <c r="D791" s="48">
        <f>_xlfn.XLOOKUP(expected_production[[#This Row],[Site Name]],Table1[[Site Name ]],Table1[Commisioned Date],"")</f>
        <v>46086</v>
      </c>
      <c r="E791" s="47">
        <f>IF(ISNUMBER(expected_production[[#This Row],[Commissioned Date]]),MAX(0,(expected_production[[#This Row],[Date]]-expected_production[[#This Row],[Commissioned Date]])/365.25),"")</f>
        <v>0.49281314168377821</v>
      </c>
      <c r="F791" s="49">
        <f>IF(expected_production[[#This Row],[Age (yrs)]]="",1,(1-DegradationRate)^expected_production[[#This Row],[Age (yrs)]])</f>
        <v>0.99654416264294332</v>
      </c>
      <c r="G791" s="52">
        <f>IF(expected_production[[#This Row],[Base Expected (kWh)]]="","",expected_production[[#This Row],[Base Expected (kWh)]]*expected_production[[#This Row],[Degradation Factor]])</f>
        <v>29459.240609553108</v>
      </c>
    </row>
    <row r="792" spans="1:7" ht="15" hidden="1" customHeight="1" x14ac:dyDescent="0.3">
      <c r="A792" t="s">
        <v>228</v>
      </c>
      <c r="B792" s="2">
        <v>46296</v>
      </c>
      <c r="C792" s="52">
        <v>31417.200000000001</v>
      </c>
      <c r="D792" s="48">
        <f>_xlfn.XLOOKUP(expected_production[[#This Row],[Site Name]],Table1[[Site Name ]],Table1[Commisioned Date],"")</f>
        <v>46086</v>
      </c>
      <c r="E792" s="47">
        <f>IF(ISNUMBER(expected_production[[#This Row],[Commissioned Date]]),MAX(0,(expected_production[[#This Row],[Date]]-expected_production[[#This Row],[Commissioned Date]])/365.25),"")</f>
        <v>0.57494866529774125</v>
      </c>
      <c r="F792" s="49">
        <f>IF(expected_production[[#This Row],[Age (yrs)]]="",1,(1-DegradationRate)^expected_production[[#This Row],[Age (yrs)]])</f>
        <v>0.99596935197318592</v>
      </c>
      <c r="G792" s="52">
        <f>IF(expected_production[[#This Row],[Base Expected (kWh)]]="","",expected_production[[#This Row],[Base Expected (kWh)]]*expected_production[[#This Row],[Degradation Factor]])</f>
        <v>31290.568324811979</v>
      </c>
    </row>
    <row r="793" spans="1:7" ht="15" hidden="1" customHeight="1" x14ac:dyDescent="0.3">
      <c r="A793" t="s">
        <v>228</v>
      </c>
      <c r="B793" s="2">
        <v>46327</v>
      </c>
      <c r="C793" s="52">
        <v>30121.200000000001</v>
      </c>
      <c r="D793" s="48">
        <f>_xlfn.XLOOKUP(expected_production[[#This Row],[Site Name]],Table1[[Site Name ]],Table1[Commisioned Date],"")</f>
        <v>46086</v>
      </c>
      <c r="E793" s="47">
        <f>IF(ISNUMBER(expected_production[[#This Row],[Commissioned Date]]),MAX(0,(expected_production[[#This Row],[Date]]-expected_production[[#This Row],[Commissioned Date]])/365.25),"")</f>
        <v>0.65982203969883646</v>
      </c>
      <c r="F793" s="49">
        <f>IF(expected_production[[#This Row],[Age (yrs)]]="",1,(1-DegradationRate)^expected_production[[#This Row],[Age (yrs)]])</f>
        <v>0.99537572926048812</v>
      </c>
      <c r="G793" s="52">
        <f>IF(expected_production[[#This Row],[Base Expected (kWh)]]="","",expected_production[[#This Row],[Base Expected (kWh)]]*expected_production[[#This Row],[Degradation Factor]])</f>
        <v>29981.911416201016</v>
      </c>
    </row>
    <row r="794" spans="1:7" ht="15" hidden="1" customHeight="1" x14ac:dyDescent="0.3">
      <c r="A794" t="s">
        <v>228</v>
      </c>
      <c r="B794" s="2">
        <v>46357</v>
      </c>
      <c r="C794" s="52">
        <v>29445.3</v>
      </c>
      <c r="D794" s="48">
        <f>_xlfn.XLOOKUP(expected_production[[#This Row],[Site Name]],Table1[[Site Name ]],Table1[Commisioned Date],"")</f>
        <v>46086</v>
      </c>
      <c r="E794" s="47">
        <f>IF(ISNUMBER(expected_production[[#This Row],[Commissioned Date]]),MAX(0,(expected_production[[#This Row],[Date]]-expected_production[[#This Row],[Commissioned Date]])/365.25),"")</f>
        <v>0.7419575633127995</v>
      </c>
      <c r="F794" s="49">
        <f>IF(expected_production[[#This Row],[Age (yrs)]]="",1,(1-DegradationRate)^expected_production[[#This Row],[Age (yrs)]])</f>
        <v>0.99480159254779188</v>
      </c>
      <c r="G794" s="52">
        <f>IF(expected_production[[#This Row],[Base Expected (kWh)]]="","",expected_production[[#This Row],[Base Expected (kWh)]]*expected_production[[#This Row],[Degradation Factor]])</f>
        <v>29292.231333047497</v>
      </c>
    </row>
    <row r="795" spans="1:7" ht="15" hidden="1" customHeight="1" x14ac:dyDescent="0.3">
      <c r="A795" t="s">
        <v>109</v>
      </c>
      <c r="B795" s="2">
        <v>45292</v>
      </c>
      <c r="C795" s="52">
        <v>4235.3999999999996</v>
      </c>
      <c r="D795" s="48">
        <f>_xlfn.XLOOKUP(expected_production[[#This Row],[Site Name]],Table1[[Site Name ]],Table1[Commisioned Date],"")</f>
        <v>45407</v>
      </c>
      <c r="E795" s="47">
        <f>IF(ISNUMBER(expected_production[[#This Row],[Commissioned Date]]),MAX(0,(expected_production[[#This Row],[Date]]-expected_production[[#This Row],[Commissioned Date]])/365.25),"")</f>
        <v>0</v>
      </c>
      <c r="F795" s="49">
        <f>IF(expected_production[[#This Row],[Age (yrs)]]="",1,(1-DegradationRate)^expected_production[[#This Row],[Age (yrs)]])</f>
        <v>1</v>
      </c>
      <c r="G795" s="52">
        <f>IF(expected_production[[#This Row],[Base Expected (kWh)]]="","",expected_production[[#This Row],[Base Expected (kWh)]]*expected_production[[#This Row],[Degradation Factor]])</f>
        <v>4235.3999999999996</v>
      </c>
    </row>
    <row r="796" spans="1:7" ht="15" hidden="1" customHeight="1" x14ac:dyDescent="0.3">
      <c r="A796" t="s">
        <v>109</v>
      </c>
      <c r="B796" s="2">
        <v>45323</v>
      </c>
      <c r="C796" s="52">
        <v>3699</v>
      </c>
      <c r="D796" s="48">
        <f>_xlfn.XLOOKUP(expected_production[[#This Row],[Site Name]],Table1[[Site Name ]],Table1[Commisioned Date],"")</f>
        <v>45407</v>
      </c>
      <c r="E796" s="47">
        <f>IF(ISNUMBER(expected_production[[#This Row],[Commissioned Date]]),MAX(0,(expected_production[[#This Row],[Date]]-expected_production[[#This Row],[Commissioned Date]])/365.25),"")</f>
        <v>0</v>
      </c>
      <c r="F796" s="49">
        <f>IF(expected_production[[#This Row],[Age (yrs)]]="",1,(1-DegradationRate)^expected_production[[#This Row],[Age (yrs)]])</f>
        <v>1</v>
      </c>
      <c r="G796" s="52">
        <f>IF(expected_production[[#This Row],[Base Expected (kWh)]]="","",expected_production[[#This Row],[Base Expected (kWh)]]*expected_production[[#This Row],[Degradation Factor]])</f>
        <v>3699</v>
      </c>
    </row>
    <row r="797" spans="1:7" ht="15" hidden="1" customHeight="1" x14ac:dyDescent="0.3">
      <c r="A797" t="s">
        <v>109</v>
      </c>
      <c r="B797" s="2">
        <v>45352</v>
      </c>
      <c r="C797" s="52">
        <v>3788.1</v>
      </c>
      <c r="D797" s="48">
        <f>_xlfn.XLOOKUP(expected_production[[#This Row],[Site Name]],Table1[[Site Name ]],Table1[Commisioned Date],"")</f>
        <v>45407</v>
      </c>
      <c r="E797" s="47">
        <f>IF(ISNUMBER(expected_production[[#This Row],[Commissioned Date]]),MAX(0,(expected_production[[#This Row],[Date]]-expected_production[[#This Row],[Commissioned Date]])/365.25),"")</f>
        <v>0</v>
      </c>
      <c r="F797" s="49">
        <f>IF(expected_production[[#This Row],[Age (yrs)]]="",1,(1-DegradationRate)^expected_production[[#This Row],[Age (yrs)]])</f>
        <v>1</v>
      </c>
      <c r="G797" s="52">
        <f>IF(expected_production[[#This Row],[Base Expected (kWh)]]="","",expected_production[[#This Row],[Base Expected (kWh)]]*expected_production[[#This Row],[Degradation Factor]])</f>
        <v>3788.1</v>
      </c>
    </row>
    <row r="798" spans="1:7" ht="15" hidden="1" customHeight="1" x14ac:dyDescent="0.3">
      <c r="A798" t="s">
        <v>109</v>
      </c>
      <c r="B798" s="2">
        <v>45383</v>
      </c>
      <c r="C798" s="52">
        <v>3184.2</v>
      </c>
      <c r="D798" s="48">
        <f>_xlfn.XLOOKUP(expected_production[[#This Row],[Site Name]],Table1[[Site Name ]],Table1[Commisioned Date],"")</f>
        <v>45407</v>
      </c>
      <c r="E798" s="47">
        <f>IF(ISNUMBER(expected_production[[#This Row],[Commissioned Date]]),MAX(0,(expected_production[[#This Row],[Date]]-expected_production[[#This Row],[Commissioned Date]])/365.25),"")</f>
        <v>0</v>
      </c>
      <c r="F798" s="49">
        <f>IF(expected_production[[#This Row],[Age (yrs)]]="",1,(1-DegradationRate)^expected_production[[#This Row],[Age (yrs)]])</f>
        <v>1</v>
      </c>
      <c r="G798" s="52">
        <f>IF(expected_production[[#This Row],[Base Expected (kWh)]]="","",expected_production[[#This Row],[Base Expected (kWh)]]*expected_production[[#This Row],[Degradation Factor]])</f>
        <v>3184.2</v>
      </c>
    </row>
    <row r="799" spans="1:7" ht="15" hidden="1" customHeight="1" x14ac:dyDescent="0.3">
      <c r="A799" t="s">
        <v>109</v>
      </c>
      <c r="B799" s="2">
        <v>45413</v>
      </c>
      <c r="C799" s="52">
        <v>3052.8</v>
      </c>
      <c r="D799" s="48">
        <f>_xlfn.XLOOKUP(expected_production[[#This Row],[Site Name]],Table1[[Site Name ]],Table1[Commisioned Date],"")</f>
        <v>45407</v>
      </c>
      <c r="E799" s="47">
        <f>IF(ISNUMBER(expected_production[[#This Row],[Commissioned Date]]),MAX(0,(expected_production[[#This Row],[Date]]-expected_production[[#This Row],[Commissioned Date]])/365.25),"")</f>
        <v>1.6427104722792608E-2</v>
      </c>
      <c r="F799" s="49">
        <f>IF(expected_production[[#This Row],[Age (yrs)]]="",1,(1-DegradationRate)^expected_production[[#This Row],[Age (yrs)]])</f>
        <v>0.99988461257243455</v>
      </c>
      <c r="G799" s="52">
        <f>IF(expected_production[[#This Row],[Base Expected (kWh)]]="","",expected_production[[#This Row],[Base Expected (kWh)]]*expected_production[[#This Row],[Degradation Factor]])</f>
        <v>3052.4477452611286</v>
      </c>
    </row>
    <row r="800" spans="1:7" ht="15" hidden="1" customHeight="1" x14ac:dyDescent="0.3">
      <c r="A800" t="s">
        <v>109</v>
      </c>
      <c r="B800" s="2">
        <v>45444</v>
      </c>
      <c r="C800" s="52">
        <v>2752.2</v>
      </c>
      <c r="D800" s="48">
        <f>_xlfn.XLOOKUP(expected_production[[#This Row],[Site Name]],Table1[[Site Name ]],Table1[Commisioned Date],"")</f>
        <v>45407</v>
      </c>
      <c r="E800" s="47">
        <f>IF(ISNUMBER(expected_production[[#This Row],[Commissioned Date]]),MAX(0,(expected_production[[#This Row],[Date]]-expected_production[[#This Row],[Commissioned Date]])/365.25),"")</f>
        <v>0.10130047912388775</v>
      </c>
      <c r="F800" s="49">
        <f>IF(expected_production[[#This Row],[Age (yrs)]]="",1,(1-DegradationRate)^expected_production[[#This Row],[Age (yrs)]])</f>
        <v>0.99928865626622487</v>
      </c>
      <c r="G800" s="52">
        <f>IF(expected_production[[#This Row],[Base Expected (kWh)]]="","",expected_production[[#This Row],[Base Expected (kWh)]]*expected_production[[#This Row],[Degradation Factor]])</f>
        <v>2750.2422397759037</v>
      </c>
    </row>
    <row r="801" spans="1:7" ht="15" hidden="1" customHeight="1" x14ac:dyDescent="0.3">
      <c r="A801" t="s">
        <v>109</v>
      </c>
      <c r="B801" s="2">
        <v>45474</v>
      </c>
      <c r="C801" s="52">
        <v>3029.4</v>
      </c>
      <c r="D801" s="48">
        <f>_xlfn.XLOOKUP(expected_production[[#This Row],[Site Name]],Table1[[Site Name ]],Table1[Commisioned Date],"")</f>
        <v>45407</v>
      </c>
      <c r="E801" s="47">
        <f>IF(ISNUMBER(expected_production[[#This Row],[Commissioned Date]]),MAX(0,(expected_production[[#This Row],[Date]]-expected_production[[#This Row],[Commissioned Date]])/365.25),"")</f>
        <v>0.1834360027378508</v>
      </c>
      <c r="F801" s="49">
        <f>IF(expected_production[[#This Row],[Age (yrs)]]="",1,(1-DegradationRate)^expected_production[[#This Row],[Age (yrs)]])</f>
        <v>0.99871226256153844</v>
      </c>
      <c r="G801" s="52">
        <f>IF(expected_production[[#This Row],[Base Expected (kWh)]]="","",expected_production[[#This Row],[Base Expected (kWh)]]*expected_production[[#This Row],[Degradation Factor]])</f>
        <v>3025.4989282039246</v>
      </c>
    </row>
    <row r="802" spans="1:7" ht="15" hidden="1" customHeight="1" x14ac:dyDescent="0.3">
      <c r="A802" t="s">
        <v>109</v>
      </c>
      <c r="B802" s="2">
        <v>45505</v>
      </c>
      <c r="C802" s="52">
        <v>3546.9</v>
      </c>
      <c r="D802" s="48">
        <f>_xlfn.XLOOKUP(expected_production[[#This Row],[Site Name]],Table1[[Site Name ]],Table1[Commisioned Date],"")</f>
        <v>45407</v>
      </c>
      <c r="E802" s="47">
        <f>IF(ISNUMBER(expected_production[[#This Row],[Commissioned Date]]),MAX(0,(expected_production[[#This Row],[Date]]-expected_production[[#This Row],[Commissioned Date]])/365.25),"")</f>
        <v>0.26830937713894593</v>
      </c>
      <c r="F802" s="49">
        <f>IF(expected_production[[#This Row],[Age (yrs)]]="",1,(1-DegradationRate)^expected_production[[#This Row],[Age (yrs)]])</f>
        <v>0.99811700500533784</v>
      </c>
      <c r="G802" s="52">
        <f>IF(expected_production[[#This Row],[Base Expected (kWh)]]="","",expected_production[[#This Row],[Base Expected (kWh)]]*expected_production[[#This Row],[Degradation Factor]])</f>
        <v>3540.2212050534331</v>
      </c>
    </row>
    <row r="803" spans="1:7" ht="15" hidden="1" customHeight="1" x14ac:dyDescent="0.3">
      <c r="A803" t="s">
        <v>109</v>
      </c>
      <c r="B803" s="2">
        <v>45536</v>
      </c>
      <c r="C803" s="52">
        <v>3911.4</v>
      </c>
      <c r="D803" s="48">
        <f>_xlfn.XLOOKUP(expected_production[[#This Row],[Site Name]],Table1[[Site Name ]],Table1[Commisioned Date],"")</f>
        <v>45407</v>
      </c>
      <c r="E803" s="47">
        <f>IF(ISNUMBER(expected_production[[#This Row],[Commissioned Date]]),MAX(0,(expected_production[[#This Row],[Date]]-expected_production[[#This Row],[Commissioned Date]])/365.25),"")</f>
        <v>0.35318275154004108</v>
      </c>
      <c r="F803" s="49">
        <f>IF(expected_production[[#This Row],[Age (yrs)]]="",1,(1-DegradationRate)^expected_production[[#This Row],[Age (yrs)]])</f>
        <v>0.99752210223756976</v>
      </c>
      <c r="G803" s="52">
        <f>IF(expected_production[[#This Row],[Base Expected (kWh)]]="","",expected_production[[#This Row],[Base Expected (kWh)]]*expected_production[[#This Row],[Degradation Factor]])</f>
        <v>3901.7079506920304</v>
      </c>
    </row>
    <row r="804" spans="1:7" ht="15" hidden="1" customHeight="1" x14ac:dyDescent="0.3">
      <c r="A804" t="s">
        <v>109</v>
      </c>
      <c r="B804" s="2">
        <v>45566</v>
      </c>
      <c r="C804" s="52">
        <v>4103.1000000000004</v>
      </c>
      <c r="D804" s="48">
        <f>_xlfn.XLOOKUP(expected_production[[#This Row],[Site Name]],Table1[[Site Name ]],Table1[Commisioned Date],"")</f>
        <v>45407</v>
      </c>
      <c r="E804" s="47">
        <f>IF(ISNUMBER(expected_production[[#This Row],[Commissioned Date]]),MAX(0,(expected_production[[#This Row],[Date]]-expected_production[[#This Row],[Commissioned Date]])/365.25),"")</f>
        <v>0.43531827515400412</v>
      </c>
      <c r="F804" s="49">
        <f>IF(expected_production[[#This Row],[Age (yrs)]]="",1,(1-DegradationRate)^expected_production[[#This Row],[Age (yrs)]])</f>
        <v>0.99694672748833202</v>
      </c>
      <c r="G804" s="52">
        <f>IF(expected_production[[#This Row],[Base Expected (kWh)]]="","",expected_production[[#This Row],[Base Expected (kWh)]]*expected_production[[#This Row],[Degradation Factor]])</f>
        <v>4090.5721175573753</v>
      </c>
    </row>
    <row r="805" spans="1:7" ht="15" hidden="1" customHeight="1" x14ac:dyDescent="0.3">
      <c r="A805" t="s">
        <v>109</v>
      </c>
      <c r="B805" s="2">
        <v>45597</v>
      </c>
      <c r="C805" s="52">
        <v>4120.2</v>
      </c>
      <c r="D805" s="48">
        <f>_xlfn.XLOOKUP(expected_production[[#This Row],[Site Name]],Table1[[Site Name ]],Table1[Commisioned Date],"")</f>
        <v>45407</v>
      </c>
      <c r="E805" s="47">
        <f>IF(ISNUMBER(expected_production[[#This Row],[Commissioned Date]]),MAX(0,(expected_production[[#This Row],[Date]]-expected_production[[#This Row],[Commissioned Date]])/365.25),"")</f>
        <v>0.52019164955509922</v>
      </c>
      <c r="F805" s="49">
        <f>IF(expected_production[[#This Row],[Age (yrs)]]="",1,(1-DegradationRate)^expected_production[[#This Row],[Age (yrs)]])</f>
        <v>0.99635252223531467</v>
      </c>
      <c r="G805" s="52">
        <f>IF(expected_production[[#This Row],[Base Expected (kWh)]]="","",expected_production[[#This Row],[Base Expected (kWh)]]*expected_production[[#This Row],[Degradation Factor]])</f>
        <v>4105.1716621139431</v>
      </c>
    </row>
    <row r="806" spans="1:7" ht="15" hidden="1" customHeight="1" x14ac:dyDescent="0.3">
      <c r="A806" t="s">
        <v>109</v>
      </c>
      <c r="B806" s="2">
        <v>45627</v>
      </c>
      <c r="C806" s="52">
        <v>4377.6000000000004</v>
      </c>
      <c r="D806" s="48">
        <f>_xlfn.XLOOKUP(expected_production[[#This Row],[Site Name]],Table1[[Site Name ]],Table1[Commisioned Date],"")</f>
        <v>45407</v>
      </c>
      <c r="E806" s="47">
        <f>IF(ISNUMBER(expected_production[[#This Row],[Commissioned Date]]),MAX(0,(expected_production[[#This Row],[Date]]-expected_production[[#This Row],[Commissioned Date]])/365.25),"")</f>
        <v>0.60232717316906226</v>
      </c>
      <c r="F806" s="49">
        <f>IF(expected_production[[#This Row],[Age (yrs)]]="",1,(1-DegradationRate)^expected_production[[#This Row],[Age (yrs)]])</f>
        <v>0.99577782210451304</v>
      </c>
      <c r="G806" s="52">
        <f>IF(expected_production[[#This Row],[Base Expected (kWh)]]="","",expected_production[[#This Row],[Base Expected (kWh)]]*expected_production[[#This Row],[Degradation Factor]])</f>
        <v>4359.1169940447171</v>
      </c>
    </row>
    <row r="807" spans="1:7" ht="15" hidden="1" customHeight="1" x14ac:dyDescent="0.3">
      <c r="A807" t="s">
        <v>109</v>
      </c>
      <c r="B807" s="2">
        <v>45658</v>
      </c>
      <c r="C807" s="52">
        <v>4235.3999999999996</v>
      </c>
      <c r="D807" s="48">
        <f>_xlfn.XLOOKUP(expected_production[[#This Row],[Site Name]],Table1[[Site Name ]],Table1[Commisioned Date],"")</f>
        <v>45407</v>
      </c>
      <c r="E807" s="47">
        <f>IF(ISNUMBER(expected_production[[#This Row],[Commissioned Date]]),MAX(0,(expected_production[[#This Row],[Date]]-expected_production[[#This Row],[Commissioned Date]])/365.25),"")</f>
        <v>0.68720054757015747</v>
      </c>
      <c r="F807" s="49">
        <f>IF(expected_production[[#This Row],[Age (yrs)]]="",1,(1-DegradationRate)^expected_production[[#This Row],[Age (yrs)]])</f>
        <v>0.99518431354842052</v>
      </c>
      <c r="G807" s="52">
        <f>IF(expected_production[[#This Row],[Base Expected (kWh)]]="","",expected_production[[#This Row],[Base Expected (kWh)]]*expected_production[[#This Row],[Degradation Factor]])</f>
        <v>4215.0036416029798</v>
      </c>
    </row>
    <row r="808" spans="1:7" ht="15" hidden="1" customHeight="1" x14ac:dyDescent="0.3">
      <c r="A808" t="s">
        <v>109</v>
      </c>
      <c r="B808" s="2">
        <v>45689</v>
      </c>
      <c r="C808" s="52">
        <v>3699</v>
      </c>
      <c r="D808" s="48">
        <f>_xlfn.XLOOKUP(expected_production[[#This Row],[Site Name]],Table1[[Site Name ]],Table1[Commisioned Date],"")</f>
        <v>45407</v>
      </c>
      <c r="E808" s="47">
        <f>IF(ISNUMBER(expected_production[[#This Row],[Commissioned Date]]),MAX(0,(expected_production[[#This Row],[Date]]-expected_production[[#This Row],[Commissioned Date]])/365.25),"")</f>
        <v>0.77207392197125257</v>
      </c>
      <c r="F808" s="49">
        <f>IF(expected_production[[#This Row],[Age (yrs)]]="",1,(1-DegradationRate)^expected_production[[#This Row],[Age (yrs)]])</f>
        <v>0.99459115873831261</v>
      </c>
      <c r="G808" s="52">
        <f>IF(expected_production[[#This Row],[Base Expected (kWh)]]="","",expected_production[[#This Row],[Base Expected (kWh)]]*expected_production[[#This Row],[Degradation Factor]])</f>
        <v>3678.9926961730184</v>
      </c>
    </row>
    <row r="809" spans="1:7" ht="15" hidden="1" customHeight="1" x14ac:dyDescent="0.3">
      <c r="A809" t="s">
        <v>109</v>
      </c>
      <c r="B809" s="2">
        <v>45717</v>
      </c>
      <c r="C809" s="52">
        <v>3788.1</v>
      </c>
      <c r="D809" s="48">
        <f>_xlfn.XLOOKUP(expected_production[[#This Row],[Site Name]],Table1[[Site Name ]],Table1[Commisioned Date],"")</f>
        <v>45407</v>
      </c>
      <c r="E809" s="47">
        <f>IF(ISNUMBER(expected_production[[#This Row],[Commissioned Date]]),MAX(0,(expected_production[[#This Row],[Date]]-expected_production[[#This Row],[Commissioned Date]])/365.25),"")</f>
        <v>0.84873374401095136</v>
      </c>
      <c r="F809" s="49">
        <f>IF(expected_production[[#This Row],[Age (yrs)]]="",1,(1-DegradationRate)^expected_production[[#This Row],[Age (yrs)]])</f>
        <v>0.99405570988344283</v>
      </c>
      <c r="G809" s="52">
        <f>IF(expected_production[[#This Row],[Base Expected (kWh)]]="","",expected_production[[#This Row],[Base Expected (kWh)]]*expected_production[[#This Row],[Degradation Factor]])</f>
        <v>3765.5824346094696</v>
      </c>
    </row>
    <row r="810" spans="1:7" ht="15" hidden="1" customHeight="1" x14ac:dyDescent="0.3">
      <c r="A810" t="s">
        <v>109</v>
      </c>
      <c r="B810" s="2">
        <v>45748</v>
      </c>
      <c r="C810" s="52">
        <v>3184.2</v>
      </c>
      <c r="D810" s="48">
        <f>_xlfn.XLOOKUP(expected_production[[#This Row],[Site Name]],Table1[[Site Name ]],Table1[Commisioned Date],"")</f>
        <v>45407</v>
      </c>
      <c r="E810" s="47">
        <f>IF(ISNUMBER(expected_production[[#This Row],[Commissioned Date]]),MAX(0,(expected_production[[#This Row],[Date]]-expected_production[[#This Row],[Commissioned Date]])/365.25),"")</f>
        <v>0.93360711841204658</v>
      </c>
      <c r="F810" s="49">
        <f>IF(expected_production[[#This Row],[Age (yrs)]]="",1,(1-DegradationRate)^expected_production[[#This Row],[Age (yrs)]])</f>
        <v>0.99346322774942475</v>
      </c>
      <c r="G810" s="52">
        <f>IF(expected_production[[#This Row],[Base Expected (kWh)]]="","",expected_production[[#This Row],[Base Expected (kWh)]]*expected_production[[#This Row],[Degradation Factor]])</f>
        <v>3163.3856097997182</v>
      </c>
    </row>
    <row r="811" spans="1:7" ht="15" hidden="1" customHeight="1" x14ac:dyDescent="0.3">
      <c r="A811" t="s">
        <v>109</v>
      </c>
      <c r="B811" s="2">
        <v>45778</v>
      </c>
      <c r="C811" s="52">
        <v>3052.8</v>
      </c>
      <c r="D811" s="48">
        <f>_xlfn.XLOOKUP(expected_production[[#This Row],[Site Name]],Table1[[Site Name ]],Table1[Commisioned Date],"")</f>
        <v>45407</v>
      </c>
      <c r="E811" s="47">
        <f>IF(ISNUMBER(expected_production[[#This Row],[Commissioned Date]]),MAX(0,(expected_production[[#This Row],[Date]]-expected_production[[#This Row],[Commissioned Date]])/365.25),"")</f>
        <v>1.0157426420260096</v>
      </c>
      <c r="F811" s="49">
        <f>IF(expected_production[[#This Row],[Age (yrs)]]="",1,(1-DegradationRate)^expected_production[[#This Row],[Age (yrs)]])</f>
        <v>0.99289019417527036</v>
      </c>
      <c r="G811" s="52">
        <f>IF(expected_production[[#This Row],[Base Expected (kWh)]]="","",expected_production[[#This Row],[Base Expected (kWh)]]*expected_production[[#This Row],[Degradation Factor]])</f>
        <v>3031.0951847782653</v>
      </c>
    </row>
    <row r="812" spans="1:7" ht="15" hidden="1" customHeight="1" x14ac:dyDescent="0.3">
      <c r="A812" t="s">
        <v>109</v>
      </c>
      <c r="B812" s="2">
        <v>45809</v>
      </c>
      <c r="C812" s="52">
        <v>2752.2</v>
      </c>
      <c r="D812" s="48">
        <f>_xlfn.XLOOKUP(expected_production[[#This Row],[Site Name]],Table1[[Site Name ]],Table1[Commisioned Date],"")</f>
        <v>45407</v>
      </c>
      <c r="E812" s="47">
        <f>IF(ISNUMBER(expected_production[[#This Row],[Commissioned Date]]),MAX(0,(expected_production[[#This Row],[Date]]-expected_production[[#This Row],[Commissioned Date]])/365.25),"")</f>
        <v>1.1006160164271048</v>
      </c>
      <c r="F812" s="49">
        <f>IF(expected_production[[#This Row],[Age (yrs)]]="",1,(1-DegradationRate)^expected_production[[#This Row],[Age (yrs)]])</f>
        <v>0.99229840671784542</v>
      </c>
      <c r="G812" s="52">
        <f>IF(expected_production[[#This Row],[Base Expected (kWh)]]="","",expected_production[[#This Row],[Base Expected (kWh)]]*expected_production[[#This Row],[Degradation Factor]])</f>
        <v>2731.0036749688538</v>
      </c>
    </row>
    <row r="813" spans="1:7" ht="15" hidden="1" customHeight="1" x14ac:dyDescent="0.3">
      <c r="A813" t="s">
        <v>109</v>
      </c>
      <c r="B813" s="2">
        <v>45839</v>
      </c>
      <c r="C813" s="52">
        <v>3029.4</v>
      </c>
      <c r="D813" s="48">
        <f>_xlfn.XLOOKUP(expected_production[[#This Row],[Site Name]],Table1[[Site Name ]],Table1[Commisioned Date],"")</f>
        <v>45407</v>
      </c>
      <c r="E813" s="47">
        <f>IF(ISNUMBER(expected_production[[#This Row],[Commissioned Date]]),MAX(0,(expected_production[[#This Row],[Date]]-expected_production[[#This Row],[Commissioned Date]])/365.25),"")</f>
        <v>1.1827515400410678</v>
      </c>
      <c r="F813" s="49">
        <f>IF(expected_production[[#This Row],[Age (yrs)]]="",1,(1-DegradationRate)^expected_production[[#This Row],[Age (yrs)]])</f>
        <v>0.99172604501713368</v>
      </c>
      <c r="G813" s="52">
        <f>IF(expected_production[[#This Row],[Base Expected (kWh)]]="","",expected_production[[#This Row],[Base Expected (kWh)]]*expected_production[[#This Row],[Degradation Factor]])</f>
        <v>3004.3348807749048</v>
      </c>
    </row>
    <row r="814" spans="1:7" ht="15" hidden="1" customHeight="1" x14ac:dyDescent="0.3">
      <c r="A814" t="s">
        <v>109</v>
      </c>
      <c r="B814" s="2">
        <v>45870</v>
      </c>
      <c r="C814" s="52">
        <v>3546.9</v>
      </c>
      <c r="D814" s="48">
        <f>_xlfn.XLOOKUP(expected_production[[#This Row],[Site Name]],Table1[[Site Name ]],Table1[Commisioned Date],"")</f>
        <v>45407</v>
      </c>
      <c r="E814" s="47">
        <f>IF(ISNUMBER(expected_production[[#This Row],[Commissioned Date]]),MAX(0,(expected_production[[#This Row],[Date]]-expected_production[[#This Row],[Commissioned Date]])/365.25),"")</f>
        <v>1.267624914442163</v>
      </c>
      <c r="F814" s="49">
        <f>IF(expected_production[[#This Row],[Age (yrs)]]="",1,(1-DegradationRate)^expected_production[[#This Row],[Age (yrs)]])</f>
        <v>0.99113495142180397</v>
      </c>
      <c r="G814" s="52">
        <f>IF(expected_production[[#This Row],[Base Expected (kWh)]]="","",expected_production[[#This Row],[Base Expected (kWh)]]*expected_production[[#This Row],[Degradation Factor]])</f>
        <v>3515.4565591979967</v>
      </c>
    </row>
    <row r="815" spans="1:7" ht="15" hidden="1" customHeight="1" x14ac:dyDescent="0.3">
      <c r="A815" t="s">
        <v>109</v>
      </c>
      <c r="B815" s="2">
        <v>45901</v>
      </c>
      <c r="C815" s="52">
        <v>3911.4</v>
      </c>
      <c r="D815" s="48">
        <f>_xlfn.XLOOKUP(expected_production[[#This Row],[Site Name]],Table1[[Site Name ]],Table1[Commisioned Date],"")</f>
        <v>45407</v>
      </c>
      <c r="E815" s="47">
        <f>IF(ISNUMBER(expected_production[[#This Row],[Commissioned Date]]),MAX(0,(expected_production[[#This Row],[Date]]-expected_production[[#This Row],[Commissioned Date]])/365.25),"")</f>
        <v>1.352498288843258</v>
      </c>
      <c r="F815" s="49">
        <f>IF(expected_production[[#This Row],[Age (yrs)]]="",1,(1-DegradationRate)^expected_production[[#This Row],[Age (yrs)]])</f>
        <v>0.99054421013308158</v>
      </c>
      <c r="G815" s="52">
        <f>IF(expected_production[[#This Row],[Base Expected (kWh)]]="","",expected_production[[#This Row],[Base Expected (kWh)]]*expected_production[[#This Row],[Degradation Factor]])</f>
        <v>3874.4146235145354</v>
      </c>
    </row>
    <row r="816" spans="1:7" ht="15" hidden="1" customHeight="1" x14ac:dyDescent="0.3">
      <c r="A816" t="s">
        <v>109</v>
      </c>
      <c r="B816" s="2">
        <v>45931</v>
      </c>
      <c r="C816" s="52">
        <v>4103.1000000000004</v>
      </c>
      <c r="D816" s="48">
        <f>_xlfn.XLOOKUP(expected_production[[#This Row],[Site Name]],Table1[[Site Name ]],Table1[Commisioned Date],"")</f>
        <v>45407</v>
      </c>
      <c r="E816" s="47">
        <f>IF(ISNUMBER(expected_production[[#This Row],[Commissioned Date]]),MAX(0,(expected_production[[#This Row],[Date]]-expected_production[[#This Row],[Commissioned Date]])/365.25),"")</f>
        <v>1.4346338124572211</v>
      </c>
      <c r="F816" s="49">
        <f>IF(expected_production[[#This Row],[Age (yrs)]]="",1,(1-DegradationRate)^expected_production[[#This Row],[Age (yrs)]])</f>
        <v>0.98997286025999531</v>
      </c>
      <c r="G816" s="52">
        <f>IF(expected_production[[#This Row],[Base Expected (kWh)]]="","",expected_production[[#This Row],[Base Expected (kWh)]]*expected_production[[#This Row],[Degradation Factor]])</f>
        <v>4061.9576429327872</v>
      </c>
    </row>
    <row r="817" spans="1:7" ht="15" hidden="1" customHeight="1" x14ac:dyDescent="0.3">
      <c r="A817" t="s">
        <v>109</v>
      </c>
      <c r="B817" s="2">
        <v>45962</v>
      </c>
      <c r="C817" s="52">
        <v>4120.2</v>
      </c>
      <c r="D817" s="48">
        <f>_xlfn.XLOOKUP(expected_production[[#This Row],[Site Name]],Table1[[Site Name ]],Table1[Commisioned Date],"")</f>
        <v>45407</v>
      </c>
      <c r="E817" s="47">
        <f>IF(ISNUMBER(expected_production[[#This Row],[Commissioned Date]]),MAX(0,(expected_production[[#This Row],[Date]]-expected_production[[#This Row],[Commissioned Date]])/365.25),"")</f>
        <v>1.5195071868583163</v>
      </c>
      <c r="F817" s="49">
        <f>IF(expected_production[[#This Row],[Age (yrs)]]="",1,(1-DegradationRate)^expected_production[[#This Row],[Age (yrs)]])</f>
        <v>0.98938281160675068</v>
      </c>
      <c r="G817" s="52">
        <f>IF(expected_production[[#This Row],[Base Expected (kWh)]]="","",expected_production[[#This Row],[Base Expected (kWh)]]*expected_production[[#This Row],[Degradation Factor]])</f>
        <v>4076.455060382134</v>
      </c>
    </row>
    <row r="818" spans="1:7" ht="15" hidden="1" customHeight="1" x14ac:dyDescent="0.3">
      <c r="A818" t="s">
        <v>109</v>
      </c>
      <c r="B818" s="2">
        <v>45992</v>
      </c>
      <c r="C818" s="52">
        <v>4377.6000000000004</v>
      </c>
      <c r="D818" s="48">
        <f>_xlfn.XLOOKUP(expected_production[[#This Row],[Site Name]],Table1[[Site Name ]],Table1[Commisioned Date],"")</f>
        <v>45407</v>
      </c>
      <c r="E818" s="47">
        <f>IF(ISNUMBER(expected_production[[#This Row],[Commissioned Date]]),MAX(0,(expected_production[[#This Row],[Date]]-expected_production[[#This Row],[Commissioned Date]])/365.25),"")</f>
        <v>1.6016427104722792</v>
      </c>
      <c r="F818" s="49">
        <f>IF(expected_production[[#This Row],[Age (yrs)]]="",1,(1-DegradationRate)^expected_production[[#This Row],[Age (yrs)]])</f>
        <v>0.98881213163299231</v>
      </c>
      <c r="G818" s="52">
        <f>IF(expected_production[[#This Row],[Base Expected (kWh)]]="","",expected_production[[#This Row],[Base Expected (kWh)]]*expected_production[[#This Row],[Degradation Factor]])</f>
        <v>4328.6239874365874</v>
      </c>
    </row>
    <row r="819" spans="1:7" ht="15" hidden="1" customHeight="1" x14ac:dyDescent="0.3">
      <c r="A819" t="s">
        <v>109</v>
      </c>
      <c r="B819" s="2">
        <v>46023</v>
      </c>
      <c r="C819" s="52">
        <v>4235.3999999999996</v>
      </c>
      <c r="D819" s="48">
        <f>_xlfn.XLOOKUP(expected_production[[#This Row],[Site Name]],Table1[[Site Name ]],Table1[Commisioned Date],"")</f>
        <v>45407</v>
      </c>
      <c r="E819" s="47">
        <f>IF(ISNUMBER(expected_production[[#This Row],[Commissioned Date]]),MAX(0,(expected_production[[#This Row],[Date]]-expected_production[[#This Row],[Commissioned Date]])/365.25),"")</f>
        <v>1.6865160848733745</v>
      </c>
      <c r="F819" s="49">
        <f>IF(expected_production[[#This Row],[Age (yrs)]]="",1,(1-DegradationRate)^expected_production[[#This Row],[Age (yrs)]])</f>
        <v>0.98822277480312049</v>
      </c>
      <c r="G819" s="52">
        <f>IF(expected_production[[#This Row],[Base Expected (kWh)]]="","",expected_production[[#This Row],[Base Expected (kWh)]]*expected_production[[#This Row],[Degradation Factor]])</f>
        <v>4185.5187404011358</v>
      </c>
    </row>
    <row r="820" spans="1:7" ht="15" hidden="1" customHeight="1" x14ac:dyDescent="0.3">
      <c r="A820" t="s">
        <v>109</v>
      </c>
      <c r="B820" s="2">
        <v>46054</v>
      </c>
      <c r="C820" s="52">
        <v>3699</v>
      </c>
      <c r="D820" s="48">
        <f>_xlfn.XLOOKUP(expected_production[[#This Row],[Site Name]],Table1[[Site Name ]],Table1[Commisioned Date],"")</f>
        <v>45407</v>
      </c>
      <c r="E820" s="47">
        <f>IF(ISNUMBER(expected_production[[#This Row],[Commissioned Date]]),MAX(0,(expected_production[[#This Row],[Date]]-expected_production[[#This Row],[Commissioned Date]])/365.25),"")</f>
        <v>1.7713894592744694</v>
      </c>
      <c r="F820" s="49">
        <f>IF(expected_production[[#This Row],[Age (yrs)]]="",1,(1-DegradationRate)^expected_production[[#This Row],[Age (yrs)]])</f>
        <v>0.98763376924470025</v>
      </c>
      <c r="G820" s="52">
        <f>IF(expected_production[[#This Row],[Base Expected (kWh)]]="","",expected_production[[#This Row],[Base Expected (kWh)]]*expected_production[[#This Row],[Degradation Factor]])</f>
        <v>3653.2573124361461</v>
      </c>
    </row>
    <row r="821" spans="1:7" ht="15" hidden="1" customHeight="1" x14ac:dyDescent="0.3">
      <c r="A821" t="s">
        <v>109</v>
      </c>
      <c r="B821" s="2">
        <v>46082</v>
      </c>
      <c r="C821" s="52">
        <v>3788.1</v>
      </c>
      <c r="D821" s="48">
        <f>_xlfn.XLOOKUP(expected_production[[#This Row],[Site Name]],Table1[[Site Name ]],Table1[Commisioned Date],"")</f>
        <v>45407</v>
      </c>
      <c r="E821" s="47">
        <f>IF(ISNUMBER(expected_production[[#This Row],[Commissioned Date]]),MAX(0,(expected_production[[#This Row],[Date]]-expected_production[[#This Row],[Commissioned Date]])/365.25),"")</f>
        <v>1.8480492813141685</v>
      </c>
      <c r="F821" s="49">
        <f>IF(expected_production[[#This Row],[Age (yrs)]]="",1,(1-DegradationRate)^expected_production[[#This Row],[Age (yrs)]])</f>
        <v>0.98710206597534522</v>
      </c>
      <c r="G821" s="52">
        <f>IF(expected_production[[#This Row],[Base Expected (kWh)]]="","",expected_production[[#This Row],[Base Expected (kWh)]]*expected_production[[#This Row],[Degradation Factor]])</f>
        <v>3739.2413361212052</v>
      </c>
    </row>
    <row r="822" spans="1:7" ht="15" hidden="1" customHeight="1" x14ac:dyDescent="0.3">
      <c r="A822" t="s">
        <v>109</v>
      </c>
      <c r="B822" s="2">
        <v>46113</v>
      </c>
      <c r="C822" s="52">
        <v>3184.2</v>
      </c>
      <c r="D822" s="48">
        <f>_xlfn.XLOOKUP(expected_production[[#This Row],[Site Name]],Table1[[Site Name ]],Table1[Commisioned Date],"")</f>
        <v>45407</v>
      </c>
      <c r="E822" s="47">
        <f>IF(ISNUMBER(expected_production[[#This Row],[Commissioned Date]]),MAX(0,(expected_production[[#This Row],[Date]]-expected_production[[#This Row],[Commissioned Date]])/365.25),"")</f>
        <v>1.9329226557152634</v>
      </c>
      <c r="F822" s="49">
        <f>IF(expected_production[[#This Row],[Age (yrs)]]="",1,(1-DegradationRate)^expected_production[[#This Row],[Age (yrs)]])</f>
        <v>0.98651372838749374</v>
      </c>
      <c r="G822" s="52">
        <f>IF(expected_production[[#This Row],[Base Expected (kWh)]]="","",expected_production[[#This Row],[Base Expected (kWh)]]*expected_production[[#This Row],[Degradation Factor]])</f>
        <v>3141.2570139314575</v>
      </c>
    </row>
    <row r="823" spans="1:7" ht="15" hidden="1" customHeight="1" x14ac:dyDescent="0.3">
      <c r="A823" t="s">
        <v>109</v>
      </c>
      <c r="B823" s="2">
        <v>46143</v>
      </c>
      <c r="C823" s="52">
        <v>3052.8</v>
      </c>
      <c r="D823" s="48">
        <f>_xlfn.XLOOKUP(expected_production[[#This Row],[Site Name]],Table1[[Site Name ]],Table1[Commisioned Date],"")</f>
        <v>45407</v>
      </c>
      <c r="E823" s="47">
        <f>IF(ISNUMBER(expected_production[[#This Row],[Commissioned Date]]),MAX(0,(expected_production[[#This Row],[Date]]-expected_production[[#This Row],[Commissioned Date]])/365.25),"")</f>
        <v>2.0150581793292264</v>
      </c>
      <c r="F823" s="49">
        <f>IF(expected_production[[#This Row],[Age (yrs)]]="",1,(1-DegradationRate)^expected_production[[#This Row],[Age (yrs)]])</f>
        <v>0.98594470331244299</v>
      </c>
      <c r="G823" s="52">
        <f>IF(expected_production[[#This Row],[Base Expected (kWh)]]="","",expected_production[[#This Row],[Base Expected (kWh)]]*expected_production[[#This Row],[Degradation Factor]])</f>
        <v>3009.8919902722259</v>
      </c>
    </row>
    <row r="824" spans="1:7" ht="15" hidden="1" customHeight="1" x14ac:dyDescent="0.3">
      <c r="A824" t="s">
        <v>109</v>
      </c>
      <c r="B824" s="2">
        <v>46174</v>
      </c>
      <c r="C824" s="52">
        <v>2752.2</v>
      </c>
      <c r="D824" s="48">
        <f>_xlfn.XLOOKUP(expected_production[[#This Row],[Site Name]],Table1[[Site Name ]],Table1[Commisioned Date],"")</f>
        <v>45407</v>
      </c>
      <c r="E824" s="47">
        <f>IF(ISNUMBER(expected_production[[#This Row],[Commissioned Date]]),MAX(0,(expected_production[[#This Row],[Date]]-expected_production[[#This Row],[Commissioned Date]])/365.25),"")</f>
        <v>2.0999315537303218</v>
      </c>
      <c r="F824" s="49">
        <f>IF(expected_production[[#This Row],[Age (yrs)]]="",1,(1-DegradationRate)^expected_production[[#This Row],[Age (yrs)]])</f>
        <v>0.98535705554176534</v>
      </c>
      <c r="G824" s="52">
        <f>IF(expected_production[[#This Row],[Base Expected (kWh)]]="","",expected_production[[#This Row],[Base Expected (kWh)]]*expected_production[[#This Row],[Degradation Factor]])</f>
        <v>2711.8996882620463</v>
      </c>
    </row>
    <row r="825" spans="1:7" ht="15" hidden="1" customHeight="1" x14ac:dyDescent="0.3">
      <c r="A825" t="s">
        <v>109</v>
      </c>
      <c r="B825" s="2">
        <v>46204</v>
      </c>
      <c r="C825" s="52">
        <v>3029.4</v>
      </c>
      <c r="D825" s="48">
        <f>_xlfn.XLOOKUP(expected_production[[#This Row],[Site Name]],Table1[[Site Name ]],Table1[Commisioned Date],"")</f>
        <v>45407</v>
      </c>
      <c r="E825" s="47">
        <f>IF(ISNUMBER(expected_production[[#This Row],[Commissioned Date]]),MAX(0,(expected_production[[#This Row],[Date]]-expected_production[[#This Row],[Commissioned Date]])/365.25),"")</f>
        <v>2.1820670773442847</v>
      </c>
      <c r="F825" s="49">
        <f>IF(expected_production[[#This Row],[Age (yrs)]]="",1,(1-DegradationRate)^expected_production[[#This Row],[Age (yrs)]])</f>
        <v>0.98478869764025101</v>
      </c>
      <c r="G825" s="52">
        <f>IF(expected_production[[#This Row],[Base Expected (kWh)]]="","",expected_production[[#This Row],[Base Expected (kWh)]]*expected_production[[#This Row],[Degradation Factor]])</f>
        <v>2983.3188806313765</v>
      </c>
    </row>
    <row r="826" spans="1:7" ht="15" hidden="1" customHeight="1" x14ac:dyDescent="0.3">
      <c r="A826" t="s">
        <v>109</v>
      </c>
      <c r="B826" s="2">
        <v>46235</v>
      </c>
      <c r="C826" s="52">
        <v>3546.9</v>
      </c>
      <c r="D826" s="48">
        <f>_xlfn.XLOOKUP(expected_production[[#This Row],[Site Name]],Table1[[Site Name ]],Table1[Commisioned Date],"")</f>
        <v>45407</v>
      </c>
      <c r="E826" s="47">
        <f>IF(ISNUMBER(expected_production[[#This Row],[Commissioned Date]]),MAX(0,(expected_production[[#This Row],[Date]]-expected_production[[#This Row],[Commissioned Date]])/365.25),"")</f>
        <v>2.2669404517453797</v>
      </c>
      <c r="F826" s="49">
        <f>IF(expected_production[[#This Row],[Age (yrs)]]="",1,(1-DegradationRate)^expected_production[[#This Row],[Age (yrs)]])</f>
        <v>0.9842017388779466</v>
      </c>
      <c r="G826" s="52">
        <f>IF(expected_production[[#This Row],[Base Expected (kWh)]]="","",expected_production[[#This Row],[Base Expected (kWh)]]*expected_production[[#This Row],[Degradation Factor]])</f>
        <v>3490.8651476261889</v>
      </c>
    </row>
    <row r="827" spans="1:7" ht="15" hidden="1" customHeight="1" x14ac:dyDescent="0.3">
      <c r="A827" t="s">
        <v>109</v>
      </c>
      <c r="B827" s="2">
        <v>46266</v>
      </c>
      <c r="C827" s="52">
        <v>3911.4</v>
      </c>
      <c r="D827" s="48">
        <f>_xlfn.XLOOKUP(expected_production[[#This Row],[Site Name]],Table1[[Site Name ]],Table1[Commisioned Date],"")</f>
        <v>45407</v>
      </c>
      <c r="E827" s="47">
        <f>IF(ISNUMBER(expected_production[[#This Row],[Commissioned Date]]),MAX(0,(expected_production[[#This Row],[Date]]-expected_production[[#This Row],[Commissioned Date]])/365.25),"")</f>
        <v>2.3518138261464752</v>
      </c>
      <c r="F827" s="49">
        <f>IF(expected_production[[#This Row],[Age (yrs)]]="",1,(1-DegradationRate)^expected_production[[#This Row],[Age (yrs)]])</f>
        <v>0.98361512995778544</v>
      </c>
      <c r="G827" s="52">
        <f>IF(expected_production[[#This Row],[Base Expected (kWh)]]="","",expected_production[[#This Row],[Base Expected (kWh)]]*expected_production[[#This Row],[Degradation Factor]])</f>
        <v>3847.312219316882</v>
      </c>
    </row>
    <row r="828" spans="1:7" ht="15" hidden="1" customHeight="1" x14ac:dyDescent="0.3">
      <c r="A828" t="s">
        <v>109</v>
      </c>
      <c r="B828" s="2">
        <v>46296</v>
      </c>
      <c r="C828" s="52">
        <v>4103.1000000000004</v>
      </c>
      <c r="D828" s="48">
        <f>_xlfn.XLOOKUP(expected_production[[#This Row],[Site Name]],Table1[[Site Name ]],Table1[Commisioned Date],"")</f>
        <v>45407</v>
      </c>
      <c r="E828" s="47">
        <f>IF(ISNUMBER(expected_production[[#This Row],[Commissioned Date]]),MAX(0,(expected_production[[#This Row],[Date]]-expected_production[[#This Row],[Commissioned Date]])/365.25),"")</f>
        <v>2.4339493497604381</v>
      </c>
      <c r="F828" s="49">
        <f>IF(expected_production[[#This Row],[Age (yrs)]]="",1,(1-DegradationRate)^expected_production[[#This Row],[Age (yrs)]])</f>
        <v>0.98304777680593414</v>
      </c>
      <c r="G828" s="52">
        <f>IF(expected_production[[#This Row],[Base Expected (kWh)]]="","",expected_production[[#This Row],[Base Expected (kWh)]]*expected_production[[#This Row],[Degradation Factor]])</f>
        <v>4033.5433330124288</v>
      </c>
    </row>
    <row r="829" spans="1:7" ht="15" hidden="1" customHeight="1" x14ac:dyDescent="0.3">
      <c r="A829" t="s">
        <v>109</v>
      </c>
      <c r="B829" s="2">
        <v>46327</v>
      </c>
      <c r="C829" s="52">
        <v>4120.2</v>
      </c>
      <c r="D829" s="48">
        <f>_xlfn.XLOOKUP(expected_production[[#This Row],[Site Name]],Table1[[Site Name ]],Table1[Commisioned Date],"")</f>
        <v>45407</v>
      </c>
      <c r="E829" s="47">
        <f>IF(ISNUMBER(expected_production[[#This Row],[Commissioned Date]]),MAX(0,(expected_production[[#This Row],[Date]]-expected_production[[#This Row],[Commissioned Date]])/365.25),"")</f>
        <v>2.5188227241615331</v>
      </c>
      <c r="F829" s="49">
        <f>IF(expected_production[[#This Row],[Age (yrs)]]="",1,(1-DegradationRate)^expected_production[[#This Row],[Age (yrs)]])</f>
        <v>0.98246185567610922</v>
      </c>
      <c r="G829" s="52">
        <f>IF(expected_production[[#This Row],[Base Expected (kWh)]]="","",expected_production[[#This Row],[Base Expected (kWh)]]*expected_production[[#This Row],[Degradation Factor]])</f>
        <v>4047.9393377567048</v>
      </c>
    </row>
    <row r="830" spans="1:7" ht="15" hidden="1" customHeight="1" x14ac:dyDescent="0.3">
      <c r="A830" t="s">
        <v>109</v>
      </c>
      <c r="B830" s="2">
        <v>46357</v>
      </c>
      <c r="C830" s="52">
        <v>4377.6000000000004</v>
      </c>
      <c r="D830" s="48">
        <f>_xlfn.XLOOKUP(expected_production[[#This Row],[Site Name]],Table1[[Site Name ]],Table1[Commisioned Date],"")</f>
        <v>45407</v>
      </c>
      <c r="E830" s="47">
        <f>IF(ISNUMBER(expected_production[[#This Row],[Commissioned Date]]),MAX(0,(expected_production[[#This Row],[Date]]-expected_production[[#This Row],[Commissioned Date]])/365.25),"")</f>
        <v>2.6009582477754964</v>
      </c>
      <c r="F830" s="49">
        <f>IF(expected_production[[#This Row],[Age (yrs)]]="",1,(1-DegradationRate)^expected_production[[#This Row],[Age (yrs)]])</f>
        <v>0.98189516773748897</v>
      </c>
      <c r="G830" s="52">
        <f>IF(expected_production[[#This Row],[Base Expected (kWh)]]="","",expected_production[[#This Row],[Base Expected (kWh)]]*expected_production[[#This Row],[Degradation Factor]])</f>
        <v>4298.3442862876318</v>
      </c>
    </row>
    <row r="831" spans="1:7" ht="15" hidden="1" customHeight="1" x14ac:dyDescent="0.3">
      <c r="A831" t="s">
        <v>113</v>
      </c>
      <c r="B831" s="2">
        <v>45292</v>
      </c>
      <c r="C831" s="52">
        <v>39600.81</v>
      </c>
      <c r="D831" s="48">
        <f>_xlfn.XLOOKUP(expected_production[[#This Row],[Site Name]],Table1[[Site Name ]],Table1[Commisioned Date],"")</f>
        <v>43700</v>
      </c>
      <c r="E831" s="47">
        <f>IF(ISNUMBER(expected_production[[#This Row],[Commissioned Date]]),MAX(0,(expected_production[[#This Row],[Date]]-expected_production[[#This Row],[Commissioned Date]])/365.25),"")</f>
        <v>4.3586584531143053</v>
      </c>
      <c r="F831" s="49">
        <f>IF(expected_production[[#This Row],[Age (yrs)]]="",1,(1-DegradationRate)^expected_production[[#This Row],[Age (yrs)]])</f>
        <v>0.96984608311638232</v>
      </c>
      <c r="G831" s="52">
        <f>IF(expected_production[[#This Row],[Base Expected (kWh)]]="","",expected_production[[#This Row],[Base Expected (kWh)]]*expected_production[[#This Row],[Degradation Factor]])</f>
        <v>38406.690466736065</v>
      </c>
    </row>
    <row r="832" spans="1:7" ht="15" hidden="1" customHeight="1" x14ac:dyDescent="0.3">
      <c r="A832" t="s">
        <v>113</v>
      </c>
      <c r="B832" s="2">
        <v>45323</v>
      </c>
      <c r="C832" s="52">
        <v>33064.92</v>
      </c>
      <c r="D832" s="48">
        <f>_xlfn.XLOOKUP(expected_production[[#This Row],[Site Name]],Table1[[Site Name ]],Table1[Commisioned Date],"")</f>
        <v>43700</v>
      </c>
      <c r="E832" s="47">
        <f>IF(ISNUMBER(expected_production[[#This Row],[Commissioned Date]]),MAX(0,(expected_production[[#This Row],[Date]]-expected_production[[#This Row],[Commissioned Date]])/365.25),"")</f>
        <v>4.4435318275154003</v>
      </c>
      <c r="F832" s="49">
        <f>IF(expected_production[[#This Row],[Age (yrs)]]="",1,(1-DegradationRate)^expected_production[[#This Row],[Age (yrs)]])</f>
        <v>0.96926803052709498</v>
      </c>
      <c r="G832" s="52">
        <f>IF(expected_production[[#This Row],[Base Expected (kWh)]]="","",expected_production[[#This Row],[Base Expected (kWh)]]*expected_production[[#This Row],[Degradation Factor]])</f>
        <v>32048.769887935952</v>
      </c>
    </row>
    <row r="833" spans="1:7" ht="15" hidden="1" customHeight="1" x14ac:dyDescent="0.3">
      <c r="A833" t="s">
        <v>113</v>
      </c>
      <c r="B833" s="2">
        <v>45352</v>
      </c>
      <c r="C833" s="52">
        <v>32219.55</v>
      </c>
      <c r="D833" s="48">
        <f>_xlfn.XLOOKUP(expected_production[[#This Row],[Site Name]],Table1[[Site Name ]],Table1[Commisioned Date],"")</f>
        <v>43700</v>
      </c>
      <c r="E833" s="47">
        <f>IF(ISNUMBER(expected_production[[#This Row],[Commissioned Date]]),MAX(0,(expected_production[[#This Row],[Date]]-expected_production[[#This Row],[Commissioned Date]])/365.25),"")</f>
        <v>4.5229295003422312</v>
      </c>
      <c r="F833" s="49">
        <f>IF(expected_production[[#This Row],[Age (yrs)]]="",1,(1-DegradationRate)^expected_production[[#This Row],[Age (yrs)]])</f>
        <v>0.96872758356613231</v>
      </c>
      <c r="G833" s="52">
        <f>IF(expected_production[[#This Row],[Base Expected (kWh)]]="","",expected_production[[#This Row],[Base Expected (kWh)]]*expected_production[[#This Row],[Degradation Factor]])</f>
        <v>31211.966815088177</v>
      </c>
    </row>
    <row r="834" spans="1:7" ht="15" hidden="1" customHeight="1" x14ac:dyDescent="0.3">
      <c r="A834" t="s">
        <v>113</v>
      </c>
      <c r="B834" s="2">
        <v>45383</v>
      </c>
      <c r="C834" s="52">
        <v>23614.38</v>
      </c>
      <c r="D834" s="48">
        <f>_xlfn.XLOOKUP(expected_production[[#This Row],[Site Name]],Table1[[Site Name ]],Table1[Commisioned Date],"")</f>
        <v>43700</v>
      </c>
      <c r="E834" s="47">
        <f>IF(ISNUMBER(expected_production[[#This Row],[Commissioned Date]]),MAX(0,(expected_production[[#This Row],[Date]]-expected_production[[#This Row],[Commissioned Date]])/365.25),"")</f>
        <v>4.6078028747433262</v>
      </c>
      <c r="F834" s="49">
        <f>IF(expected_production[[#This Row],[Age (yrs)]]="",1,(1-DegradationRate)^expected_production[[#This Row],[Age (yrs)]])</f>
        <v>0.96815019763062904</v>
      </c>
      <c r="G834" s="52">
        <f>IF(expected_production[[#This Row],[Base Expected (kWh)]]="","",expected_production[[#This Row],[Base Expected (kWh)]]*expected_production[[#This Row],[Degradation Factor]])</f>
        <v>22862.266663924776</v>
      </c>
    </row>
    <row r="835" spans="1:7" ht="15" hidden="1" customHeight="1" x14ac:dyDescent="0.3">
      <c r="A835" t="s">
        <v>113</v>
      </c>
      <c r="B835" s="2">
        <v>45413</v>
      </c>
      <c r="C835" s="52">
        <v>17952.57</v>
      </c>
      <c r="D835" s="48">
        <f>_xlfn.XLOOKUP(expected_production[[#This Row],[Site Name]],Table1[[Site Name ]],Table1[Commisioned Date],"")</f>
        <v>43700</v>
      </c>
      <c r="E835" s="47">
        <f>IF(ISNUMBER(expected_production[[#This Row],[Commissioned Date]]),MAX(0,(expected_production[[#This Row],[Date]]-expected_production[[#This Row],[Commissioned Date]])/365.25),"")</f>
        <v>4.6899383983572891</v>
      </c>
      <c r="F835" s="49">
        <f>IF(expected_production[[#This Row],[Age (yrs)]]="",1,(1-DegradationRate)^expected_production[[#This Row],[Age (yrs)]])</f>
        <v>0.96759176471376773</v>
      </c>
      <c r="G835" s="52">
        <f>IF(expected_production[[#This Row],[Base Expected (kWh)]]="","",expected_production[[#This Row],[Base Expected (kWh)]]*expected_production[[#This Row],[Degradation Factor]])</f>
        <v>17370.758887447446</v>
      </c>
    </row>
    <row r="836" spans="1:7" ht="15" hidden="1" customHeight="1" x14ac:dyDescent="0.3">
      <c r="A836" t="s">
        <v>113</v>
      </c>
      <c r="B836" s="2">
        <v>45444</v>
      </c>
      <c r="C836" s="52">
        <v>14925.6</v>
      </c>
      <c r="D836" s="48">
        <f>_xlfn.XLOOKUP(expected_production[[#This Row],[Site Name]],Table1[[Site Name ]],Table1[Commisioned Date],"")</f>
        <v>43700</v>
      </c>
      <c r="E836" s="47">
        <f>IF(ISNUMBER(expected_production[[#This Row],[Commissioned Date]]),MAX(0,(expected_production[[#This Row],[Date]]-expected_production[[#This Row],[Commissioned Date]])/365.25),"")</f>
        <v>4.774811772758385</v>
      </c>
      <c r="F836" s="49">
        <f>IF(expected_production[[#This Row],[Age (yrs)]]="",1,(1-DegradationRate)^expected_production[[#This Row],[Age (yrs)]])</f>
        <v>0.96701505575478675</v>
      </c>
      <c r="G836" s="52">
        <f>IF(expected_production[[#This Row],[Base Expected (kWh)]]="","",expected_production[[#This Row],[Base Expected (kWh)]]*expected_production[[#This Row],[Degradation Factor]])</f>
        <v>14433.279916173646</v>
      </c>
    </row>
    <row r="837" spans="1:7" ht="15" hidden="1" customHeight="1" x14ac:dyDescent="0.3">
      <c r="A837" t="s">
        <v>113</v>
      </c>
      <c r="B837" s="2">
        <v>45474</v>
      </c>
      <c r="C837" s="52">
        <v>16774.830000000002</v>
      </c>
      <c r="D837" s="48">
        <f>_xlfn.XLOOKUP(expected_production[[#This Row],[Site Name]],Table1[[Site Name ]],Table1[Commisioned Date],"")</f>
        <v>43700</v>
      </c>
      <c r="E837" s="47">
        <f>IF(ISNUMBER(expected_production[[#This Row],[Commissioned Date]]),MAX(0,(expected_production[[#This Row],[Date]]-expected_production[[#This Row],[Commissioned Date]])/365.25),"")</f>
        <v>4.8569472963723479</v>
      </c>
      <c r="F837" s="49">
        <f>IF(expected_production[[#This Row],[Age (yrs)]]="",1,(1-DegradationRate)^expected_production[[#This Row],[Age (yrs)]])</f>
        <v>0.96645727759231204</v>
      </c>
      <c r="G837" s="52">
        <f>IF(expected_production[[#This Row],[Base Expected (kWh)]]="","",expected_production[[#This Row],[Base Expected (kWh)]]*expected_production[[#This Row],[Degradation Factor]])</f>
        <v>16212.156533873846</v>
      </c>
    </row>
    <row r="838" spans="1:7" ht="15" hidden="1" customHeight="1" x14ac:dyDescent="0.3">
      <c r="A838" t="s">
        <v>113</v>
      </c>
      <c r="B838" s="2">
        <v>45505</v>
      </c>
      <c r="C838" s="52">
        <v>20886.75</v>
      </c>
      <c r="D838" s="48">
        <f>_xlfn.XLOOKUP(expected_production[[#This Row],[Site Name]],Table1[[Site Name ]],Table1[Commisioned Date],"")</f>
        <v>43700</v>
      </c>
      <c r="E838" s="47">
        <f>IF(ISNUMBER(expected_production[[#This Row],[Commissioned Date]]),MAX(0,(expected_production[[#This Row],[Date]]-expected_production[[#This Row],[Commissioned Date]])/365.25),"")</f>
        <v>4.9418206707734429</v>
      </c>
      <c r="F838" s="49">
        <f>IF(expected_production[[#This Row],[Age (yrs)]]="",1,(1-DegradationRate)^expected_production[[#This Row],[Age (yrs)]])</f>
        <v>0.96588124481610838</v>
      </c>
      <c r="G838" s="52">
        <f>IF(expected_production[[#This Row],[Base Expected (kWh)]]="","",expected_production[[#This Row],[Base Expected (kWh)]]*expected_production[[#This Row],[Degradation Factor]])</f>
        <v>20174.120090162851</v>
      </c>
    </row>
    <row r="839" spans="1:7" ht="15" hidden="1" customHeight="1" x14ac:dyDescent="0.3">
      <c r="A839" t="s">
        <v>113</v>
      </c>
      <c r="B839" s="2">
        <v>45536</v>
      </c>
      <c r="C839" s="52">
        <v>26689.95</v>
      </c>
      <c r="D839" s="48">
        <f>_xlfn.XLOOKUP(expected_production[[#This Row],[Site Name]],Table1[[Site Name ]],Table1[Commisioned Date],"")</f>
        <v>43700</v>
      </c>
      <c r="E839" s="47">
        <f>IF(ISNUMBER(expected_production[[#This Row],[Commissioned Date]]),MAX(0,(expected_production[[#This Row],[Date]]-expected_production[[#This Row],[Commissioned Date]])/365.25),"")</f>
        <v>5.0266940451745379</v>
      </c>
      <c r="F839" s="49">
        <f>IF(expected_production[[#This Row],[Age (yrs)]]="",1,(1-DegradationRate)^expected_production[[#This Row],[Age (yrs)]])</f>
        <v>0.96530555536988627</v>
      </c>
      <c r="G839" s="52">
        <f>IF(expected_production[[#This Row],[Base Expected (kWh)]]="","",expected_production[[#This Row],[Base Expected (kWh)]]*expected_production[[#This Row],[Degradation Factor]])</f>
        <v>25763.957007544497</v>
      </c>
    </row>
    <row r="840" spans="1:7" ht="15" hidden="1" customHeight="1" x14ac:dyDescent="0.3">
      <c r="A840" t="s">
        <v>113</v>
      </c>
      <c r="B840" s="2">
        <v>45566</v>
      </c>
      <c r="C840" s="52">
        <v>33024.69</v>
      </c>
      <c r="D840" s="48">
        <f>_xlfn.XLOOKUP(expected_production[[#This Row],[Site Name]],Table1[[Site Name ]],Table1[Commisioned Date],"")</f>
        <v>43700</v>
      </c>
      <c r="E840" s="47">
        <f>IF(ISNUMBER(expected_production[[#This Row],[Commissioned Date]]),MAX(0,(expected_production[[#This Row],[Date]]-expected_production[[#This Row],[Commissioned Date]])/365.25),"")</f>
        <v>5.1088295687885008</v>
      </c>
      <c r="F840" s="49">
        <f>IF(expected_production[[#This Row],[Age (yrs)]]="",1,(1-DegradationRate)^expected_production[[#This Row],[Age (yrs)]])</f>
        <v>0.96474876325408976</v>
      </c>
      <c r="G840" s="52">
        <f>IF(expected_production[[#This Row],[Base Expected (kWh)]]="","",expected_production[[#This Row],[Base Expected (kWh)]]*expected_production[[#This Row],[Degradation Factor]])</f>
        <v>31860.528834349709</v>
      </c>
    </row>
    <row r="841" spans="1:7" ht="15" hidden="1" customHeight="1" x14ac:dyDescent="0.3">
      <c r="A841" t="s">
        <v>113</v>
      </c>
      <c r="B841" s="2">
        <v>45597</v>
      </c>
      <c r="C841" s="52">
        <v>37111.769999999997</v>
      </c>
      <c r="D841" s="48">
        <f>_xlfn.XLOOKUP(expected_production[[#This Row],[Site Name]],Table1[[Site Name ]],Table1[Commisioned Date],"")</f>
        <v>43700</v>
      </c>
      <c r="E841" s="47">
        <f>IF(ISNUMBER(expected_production[[#This Row],[Commissioned Date]]),MAX(0,(expected_production[[#This Row],[Date]]-expected_production[[#This Row],[Commissioned Date]])/365.25),"")</f>
        <v>5.1937029431895958</v>
      </c>
      <c r="F841" s="49">
        <f>IF(expected_production[[#This Row],[Age (yrs)]]="",1,(1-DegradationRate)^expected_production[[#This Row],[Age (yrs)]])</f>
        <v>0.96417374879528117</v>
      </c>
      <c r="G841" s="52">
        <f>IF(expected_production[[#This Row],[Base Expected (kWh)]]="","",expected_production[[#This Row],[Base Expected (kWh)]]*expected_production[[#This Row],[Degradation Factor]])</f>
        <v>35782.19440532825</v>
      </c>
    </row>
    <row r="842" spans="1:7" ht="15" hidden="1" customHeight="1" x14ac:dyDescent="0.3">
      <c r="A842" t="s">
        <v>113</v>
      </c>
      <c r="B842" s="2">
        <v>45627</v>
      </c>
      <c r="C842" s="52">
        <v>40125.69</v>
      </c>
      <c r="D842" s="48">
        <f>_xlfn.XLOOKUP(expected_production[[#This Row],[Site Name]],Table1[[Site Name ]],Table1[Commisioned Date],"")</f>
        <v>43700</v>
      </c>
      <c r="E842" s="47">
        <f>IF(ISNUMBER(expected_production[[#This Row],[Commissioned Date]]),MAX(0,(expected_production[[#This Row],[Date]]-expected_production[[#This Row],[Commissioned Date]])/365.25),"")</f>
        <v>5.2758384668035596</v>
      </c>
      <c r="F842" s="49">
        <f>IF(expected_production[[#This Row],[Age (yrs)]]="",1,(1-DegradationRate)^expected_production[[#This Row],[Age (yrs)]])</f>
        <v>0.96361760951005615</v>
      </c>
      <c r="G842" s="52">
        <f>IF(expected_production[[#This Row],[Base Expected (kWh)]]="","",expected_production[[#This Row],[Base Expected (kWh)]]*expected_production[[#This Row],[Degradation Factor]])</f>
        <v>38665.821477741571</v>
      </c>
    </row>
    <row r="843" spans="1:7" ht="15" hidden="1" customHeight="1" x14ac:dyDescent="0.3">
      <c r="A843" t="s">
        <v>113</v>
      </c>
      <c r="B843" s="2">
        <v>45658</v>
      </c>
      <c r="C843" s="52">
        <v>39600.81</v>
      </c>
      <c r="D843" s="48">
        <f>_xlfn.XLOOKUP(expected_production[[#This Row],[Site Name]],Table1[[Site Name ]],Table1[Commisioned Date],"")</f>
        <v>43700</v>
      </c>
      <c r="E843" s="47">
        <f>IF(ISNUMBER(expected_production[[#This Row],[Commissioned Date]]),MAX(0,(expected_production[[#This Row],[Date]]-expected_production[[#This Row],[Commissioned Date]])/365.25),"")</f>
        <v>5.3607118412046546</v>
      </c>
      <c r="F843" s="49">
        <f>IF(expected_production[[#This Row],[Age (yrs)]]="",1,(1-DegradationRate)^expected_production[[#This Row],[Age (yrs)]])</f>
        <v>0.96304326924724837</v>
      </c>
      <c r="G843" s="52">
        <f>IF(expected_production[[#This Row],[Base Expected (kWh)]]="","",expected_production[[#This Row],[Base Expected (kWh)]]*expected_production[[#This Row],[Degradation Factor]])</f>
        <v>38137.293527239126</v>
      </c>
    </row>
    <row r="844" spans="1:7" ht="15" hidden="1" customHeight="1" x14ac:dyDescent="0.3">
      <c r="A844" t="s">
        <v>113</v>
      </c>
      <c r="B844" s="2">
        <v>45689</v>
      </c>
      <c r="C844" s="52">
        <v>33064.92</v>
      </c>
      <c r="D844" s="48">
        <f>_xlfn.XLOOKUP(expected_production[[#This Row],[Site Name]],Table1[[Site Name ]],Table1[Commisioned Date],"")</f>
        <v>43700</v>
      </c>
      <c r="E844" s="47">
        <f>IF(ISNUMBER(expected_production[[#This Row],[Commissioned Date]]),MAX(0,(expected_production[[#This Row],[Date]]-expected_production[[#This Row],[Commissioned Date]])/365.25),"")</f>
        <v>5.4455852156057496</v>
      </c>
      <c r="F844" s="49">
        <f>IF(expected_production[[#This Row],[Age (yrs)]]="",1,(1-DegradationRate)^expected_production[[#This Row],[Age (yrs)]])</f>
        <v>0.96246927130564175</v>
      </c>
      <c r="G844" s="52">
        <f>IF(expected_production[[#This Row],[Base Expected (kWh)]]="","",expected_production[[#This Row],[Base Expected (kWh)]]*expected_production[[#This Row],[Degradation Factor]])</f>
        <v>31823.969458179337</v>
      </c>
    </row>
    <row r="845" spans="1:7" ht="15" hidden="1" customHeight="1" x14ac:dyDescent="0.3">
      <c r="A845" t="s">
        <v>113</v>
      </c>
      <c r="B845" s="2">
        <v>45717</v>
      </c>
      <c r="C845" s="52">
        <v>32219.55</v>
      </c>
      <c r="D845" s="48">
        <f>_xlfn.XLOOKUP(expected_production[[#This Row],[Site Name]],Table1[[Site Name ]],Table1[Commisioned Date],"")</f>
        <v>43700</v>
      </c>
      <c r="E845" s="47">
        <f>IF(ISNUMBER(expected_production[[#This Row],[Commissioned Date]]),MAX(0,(expected_production[[#This Row],[Date]]-expected_production[[#This Row],[Commissioned Date]])/365.25),"")</f>
        <v>5.5222450376454484</v>
      </c>
      <c r="F845" s="49">
        <f>IF(expected_production[[#This Row],[Age (yrs)]]="",1,(1-DegradationRate)^expected_production[[#This Row],[Age (yrs)]])</f>
        <v>0.96195111561459201</v>
      </c>
      <c r="G845" s="52">
        <f>IF(expected_production[[#This Row],[Base Expected (kWh)]]="","",expected_production[[#This Row],[Base Expected (kWh)]]*expected_production[[#This Row],[Degradation Factor]])</f>
        <v>30993.632067100127</v>
      </c>
    </row>
    <row r="846" spans="1:7" ht="15" hidden="1" customHeight="1" x14ac:dyDescent="0.3">
      <c r="A846" t="s">
        <v>113</v>
      </c>
      <c r="B846" s="2">
        <v>45748</v>
      </c>
      <c r="C846" s="52">
        <v>23614.38</v>
      </c>
      <c r="D846" s="48">
        <f>_xlfn.XLOOKUP(expected_production[[#This Row],[Site Name]],Table1[[Site Name ]],Table1[Commisioned Date],"")</f>
        <v>43700</v>
      </c>
      <c r="E846" s="47">
        <f>IF(ISNUMBER(expected_production[[#This Row],[Commissioned Date]]),MAX(0,(expected_production[[#This Row],[Date]]-expected_production[[#This Row],[Commissioned Date]])/365.25),"")</f>
        <v>5.6071184120465434</v>
      </c>
      <c r="F846" s="49">
        <f>IF(expected_production[[#This Row],[Age (yrs)]]="",1,(1-DegradationRate)^expected_production[[#This Row],[Age (yrs)]])</f>
        <v>0.96137776862394175</v>
      </c>
      <c r="G846" s="52">
        <f>IF(expected_production[[#This Row],[Base Expected (kWh)]]="","",expected_production[[#This Row],[Base Expected (kWh)]]*expected_production[[#This Row],[Degradation Factor]])</f>
        <v>22702.339951837839</v>
      </c>
    </row>
    <row r="847" spans="1:7" ht="15" hidden="1" customHeight="1" x14ac:dyDescent="0.3">
      <c r="A847" t="s">
        <v>113</v>
      </c>
      <c r="B847" s="2">
        <v>45778</v>
      </c>
      <c r="C847" s="52">
        <v>17952.57</v>
      </c>
      <c r="D847" s="48">
        <f>_xlfn.XLOOKUP(expected_production[[#This Row],[Site Name]],Table1[[Site Name ]],Table1[Commisioned Date],"")</f>
        <v>43700</v>
      </c>
      <c r="E847" s="47">
        <f>IF(ISNUMBER(expected_production[[#This Row],[Commissioned Date]]),MAX(0,(expected_production[[#This Row],[Date]]-expected_production[[#This Row],[Commissioned Date]])/365.25),"")</f>
        <v>5.6892539356605063</v>
      </c>
      <c r="F847" s="49">
        <f>IF(expected_production[[#This Row],[Age (yrs)]]="",1,(1-DegradationRate)^expected_production[[#This Row],[Age (yrs)]])</f>
        <v>0.96082324207129299</v>
      </c>
      <c r="G847" s="52">
        <f>IF(expected_production[[#This Row],[Base Expected (kWh)]]="","",expected_production[[#This Row],[Base Expected (kWh)]]*expected_production[[#This Row],[Degradation Factor]])</f>
        <v>17249.246510911831</v>
      </c>
    </row>
    <row r="848" spans="1:7" ht="15" hidden="1" customHeight="1" x14ac:dyDescent="0.3">
      <c r="A848" t="s">
        <v>113</v>
      </c>
      <c r="B848" s="2">
        <v>45809</v>
      </c>
      <c r="C848" s="52">
        <v>14925.6</v>
      </c>
      <c r="D848" s="48">
        <f>_xlfn.XLOOKUP(expected_production[[#This Row],[Site Name]],Table1[[Site Name ]],Table1[Commisioned Date],"")</f>
        <v>43700</v>
      </c>
      <c r="E848" s="47">
        <f>IF(ISNUMBER(expected_production[[#This Row],[Commissioned Date]]),MAX(0,(expected_production[[#This Row],[Date]]-expected_production[[#This Row],[Commissioned Date]])/365.25),"")</f>
        <v>5.7741273100616013</v>
      </c>
      <c r="F848" s="49">
        <f>IF(expected_production[[#This Row],[Age (yrs)]]="",1,(1-DegradationRate)^expected_production[[#This Row],[Age (yrs)]])</f>
        <v>0.96025056732156155</v>
      </c>
      <c r="G848" s="52">
        <f>IF(expected_production[[#This Row],[Base Expected (kWh)]]="","",expected_production[[#This Row],[Base Expected (kWh)]]*expected_production[[#This Row],[Degradation Factor]])</f>
        <v>14332.3158676147</v>
      </c>
    </row>
    <row r="849" spans="1:7" ht="15" hidden="1" customHeight="1" x14ac:dyDescent="0.3">
      <c r="A849" t="s">
        <v>113</v>
      </c>
      <c r="B849" s="2">
        <v>45839</v>
      </c>
      <c r="C849" s="52">
        <v>16774.830000000002</v>
      </c>
      <c r="D849" s="48">
        <f>_xlfn.XLOOKUP(expected_production[[#This Row],[Site Name]],Table1[[Site Name ]],Table1[Commisioned Date],"")</f>
        <v>43700</v>
      </c>
      <c r="E849" s="47">
        <f>IF(ISNUMBER(expected_production[[#This Row],[Commissioned Date]]),MAX(0,(expected_production[[#This Row],[Date]]-expected_production[[#This Row],[Commissioned Date]])/365.25),"")</f>
        <v>5.8562628336755651</v>
      </c>
      <c r="F849" s="49">
        <f>IF(expected_production[[#This Row],[Age (yrs)]]="",1,(1-DegradationRate)^expected_production[[#This Row],[Age (yrs)]])</f>
        <v>0.9596966909431448</v>
      </c>
      <c r="G849" s="52">
        <f>IF(expected_production[[#This Row],[Base Expected (kWh)]]="","",expected_production[[#This Row],[Base Expected (kWh)]]*expected_production[[#This Row],[Degradation Factor]])</f>
        <v>16098.748842133795</v>
      </c>
    </row>
    <row r="850" spans="1:7" ht="15" hidden="1" customHeight="1" x14ac:dyDescent="0.3">
      <c r="A850" t="s">
        <v>113</v>
      </c>
      <c r="B850" s="2">
        <v>45870</v>
      </c>
      <c r="C850" s="52">
        <v>20886.75</v>
      </c>
      <c r="D850" s="48">
        <f>_xlfn.XLOOKUP(expected_production[[#This Row],[Site Name]],Table1[[Site Name ]],Table1[Commisioned Date],"")</f>
        <v>43700</v>
      </c>
      <c r="E850" s="47">
        <f>IF(ISNUMBER(expected_production[[#This Row],[Commissioned Date]]),MAX(0,(expected_production[[#This Row],[Date]]-expected_production[[#This Row],[Commissioned Date]])/365.25),"")</f>
        <v>5.9411362080766601</v>
      </c>
      <c r="F850" s="49">
        <f>IF(expected_production[[#This Row],[Age (yrs)]]="",1,(1-DegradationRate)^expected_production[[#This Row],[Age (yrs)]])</f>
        <v>0.95912468764613967</v>
      </c>
      <c r="G850" s="52">
        <f>IF(expected_production[[#This Row],[Base Expected (kWh)]]="","",expected_production[[#This Row],[Base Expected (kWh)]]*expected_production[[#This Row],[Degradation Factor]])</f>
        <v>20032.997569693009</v>
      </c>
    </row>
    <row r="851" spans="1:7" ht="15" hidden="1" customHeight="1" x14ac:dyDescent="0.3">
      <c r="A851" t="s">
        <v>113</v>
      </c>
      <c r="B851" s="2">
        <v>45901</v>
      </c>
      <c r="C851" s="52">
        <v>26689.95</v>
      </c>
      <c r="D851" s="48">
        <f>_xlfn.XLOOKUP(expected_production[[#This Row],[Site Name]],Table1[[Site Name ]],Table1[Commisioned Date],"")</f>
        <v>43700</v>
      </c>
      <c r="E851" s="47">
        <f>IF(ISNUMBER(expected_production[[#This Row],[Commissioned Date]]),MAX(0,(expected_production[[#This Row],[Date]]-expected_production[[#This Row],[Commissioned Date]])/365.25),"")</f>
        <v>6.0260095824777551</v>
      </c>
      <c r="F851" s="49">
        <f>IF(expected_production[[#This Row],[Age (yrs)]]="",1,(1-DegradationRate)^expected_production[[#This Row],[Age (yrs)]])</f>
        <v>0.95855302527744535</v>
      </c>
      <c r="G851" s="52">
        <f>IF(expected_production[[#This Row],[Base Expected (kWh)]]="","",expected_production[[#This Row],[Base Expected (kWh)]]*expected_production[[#This Row],[Degradation Factor]])</f>
        <v>25583.732317003753</v>
      </c>
    </row>
    <row r="852" spans="1:7" ht="15" hidden="1" customHeight="1" x14ac:dyDescent="0.3">
      <c r="A852" t="s">
        <v>113</v>
      </c>
      <c r="B852" s="2">
        <v>45931</v>
      </c>
      <c r="C852" s="52">
        <v>33024.69</v>
      </c>
      <c r="D852" s="48">
        <f>_xlfn.XLOOKUP(expected_production[[#This Row],[Site Name]],Table1[[Site Name ]],Table1[Commisioned Date],"")</f>
        <v>43700</v>
      </c>
      <c r="E852" s="47">
        <f>IF(ISNUMBER(expected_production[[#This Row],[Commissioned Date]]),MAX(0,(expected_production[[#This Row],[Date]]-expected_production[[#This Row],[Commissioned Date]])/365.25),"")</f>
        <v>6.108145106091718</v>
      </c>
      <c r="F852" s="49">
        <f>IF(expected_production[[#This Row],[Age (yrs)]]="",1,(1-DegradationRate)^expected_production[[#This Row],[Age (yrs)]])</f>
        <v>0.95800012804808787</v>
      </c>
      <c r="G852" s="52">
        <f>IF(expected_production[[#This Row],[Base Expected (kWh)]]="","",expected_production[[#This Row],[Base Expected (kWh)]]*expected_production[[#This Row],[Degradation Factor]])</f>
        <v>31637.657248748408</v>
      </c>
    </row>
    <row r="853" spans="1:7" ht="15" hidden="1" customHeight="1" x14ac:dyDescent="0.3">
      <c r="A853" t="s">
        <v>113</v>
      </c>
      <c r="B853" s="2">
        <v>45962</v>
      </c>
      <c r="C853" s="52">
        <v>37111.769999999997</v>
      </c>
      <c r="D853" s="48">
        <f>_xlfn.XLOOKUP(expected_production[[#This Row],[Site Name]],Table1[[Site Name ]],Table1[Commisioned Date],"")</f>
        <v>43700</v>
      </c>
      <c r="E853" s="47">
        <f>IF(ISNUMBER(expected_production[[#This Row],[Commissioned Date]]),MAX(0,(expected_production[[#This Row],[Date]]-expected_production[[#This Row],[Commissioned Date]])/365.25),"")</f>
        <v>6.193018480492813</v>
      </c>
      <c r="F853" s="49">
        <f>IF(expected_production[[#This Row],[Age (yrs)]]="",1,(1-DegradationRate)^expected_production[[#This Row],[Age (yrs)]])</f>
        <v>0.95742913594511803</v>
      </c>
      <c r="G853" s="52">
        <f>IF(expected_production[[#This Row],[Base Expected (kWh)]]="","",expected_production[[#This Row],[Base Expected (kWh)]]*expected_production[[#This Row],[Degradation Factor]])</f>
        <v>35531.889884493947</v>
      </c>
    </row>
    <row r="854" spans="1:7" ht="15" hidden="1" customHeight="1" x14ac:dyDescent="0.3">
      <c r="A854" t="s">
        <v>113</v>
      </c>
      <c r="B854" s="2">
        <v>45992</v>
      </c>
      <c r="C854" s="52">
        <v>40125.69</v>
      </c>
      <c r="D854" s="48">
        <f>_xlfn.XLOOKUP(expected_production[[#This Row],[Site Name]],Table1[[Site Name ]],Table1[Commisioned Date],"")</f>
        <v>43700</v>
      </c>
      <c r="E854" s="47">
        <f>IF(ISNUMBER(expected_production[[#This Row],[Commissioned Date]]),MAX(0,(expected_production[[#This Row],[Date]]-expected_production[[#This Row],[Commissioned Date]])/365.25),"")</f>
        <v>6.2751540041067759</v>
      </c>
      <c r="F854" s="49">
        <f>IF(expected_production[[#This Row],[Age (yrs)]]="",1,(1-DegradationRate)^expected_production[[#This Row],[Age (yrs)]])</f>
        <v>0.95687688697963491</v>
      </c>
      <c r="G854" s="52">
        <f>IF(expected_production[[#This Row],[Base Expected (kWh)]]="","",expected_production[[#This Row],[Base Expected (kWh)]]*expected_production[[#This Row],[Degradation Factor]])</f>
        <v>38395.345335109872</v>
      </c>
    </row>
    <row r="855" spans="1:7" ht="15" hidden="1" customHeight="1" x14ac:dyDescent="0.3">
      <c r="A855" t="s">
        <v>113</v>
      </c>
      <c r="B855" s="2">
        <v>46023</v>
      </c>
      <c r="C855" s="52">
        <v>39600.81</v>
      </c>
      <c r="D855" s="48">
        <f>_xlfn.XLOOKUP(expected_production[[#This Row],[Site Name]],Table1[[Site Name ]],Table1[Commisioned Date],"")</f>
        <v>43700</v>
      </c>
      <c r="E855" s="47">
        <f>IF(ISNUMBER(expected_production[[#This Row],[Commissioned Date]]),MAX(0,(expected_production[[#This Row],[Date]]-expected_production[[#This Row],[Commissioned Date]])/365.25),"")</f>
        <v>6.3600273785078709</v>
      </c>
      <c r="F855" s="49">
        <f>IF(expected_production[[#This Row],[Age (yrs)]]="",1,(1-DegradationRate)^expected_production[[#This Row],[Age (yrs)]])</f>
        <v>0.95630656435651262</v>
      </c>
      <c r="G855" s="52">
        <f>IF(expected_production[[#This Row],[Base Expected (kWh)]]="","",expected_production[[#This Row],[Base Expected (kWh)]]*expected_production[[#This Row],[Degradation Factor]])</f>
        <v>37870.514556835027</v>
      </c>
    </row>
    <row r="856" spans="1:7" ht="15" hidden="1" customHeight="1" x14ac:dyDescent="0.3">
      <c r="A856" t="s">
        <v>113</v>
      </c>
      <c r="B856" s="2">
        <v>46054</v>
      </c>
      <c r="C856" s="52">
        <v>33064.92</v>
      </c>
      <c r="D856" s="48">
        <f>_xlfn.XLOOKUP(expected_production[[#This Row],[Site Name]],Table1[[Site Name ]],Table1[Commisioned Date],"")</f>
        <v>43700</v>
      </c>
      <c r="E856" s="47">
        <f>IF(ISNUMBER(expected_production[[#This Row],[Commissioned Date]]),MAX(0,(expected_production[[#This Row],[Date]]-expected_production[[#This Row],[Commissioned Date]])/365.25),"")</f>
        <v>6.4449007529089668</v>
      </c>
      <c r="F856" s="49">
        <f>IF(expected_production[[#This Row],[Age (yrs)]]="",1,(1-DegradationRate)^expected_production[[#This Row],[Age (yrs)]])</f>
        <v>0.95573658165997755</v>
      </c>
      <c r="G856" s="52">
        <f>IF(expected_production[[#This Row],[Base Expected (kWh)]]="","",expected_production[[#This Row],[Base Expected (kWh)]]*expected_production[[#This Row],[Degradation Factor]])</f>
        <v>31601.353613660624</v>
      </c>
    </row>
    <row r="857" spans="1:7" ht="15" hidden="1" customHeight="1" x14ac:dyDescent="0.3">
      <c r="A857" t="s">
        <v>113</v>
      </c>
      <c r="B857" s="2">
        <v>46082</v>
      </c>
      <c r="C857" s="52">
        <v>32219.55</v>
      </c>
      <c r="D857" s="48">
        <f>_xlfn.XLOOKUP(expected_production[[#This Row],[Site Name]],Table1[[Site Name ]],Table1[Commisioned Date],"")</f>
        <v>43700</v>
      </c>
      <c r="E857" s="47">
        <f>IF(ISNUMBER(expected_production[[#This Row],[Commissioned Date]]),MAX(0,(expected_production[[#This Row],[Date]]-expected_production[[#This Row],[Commissioned Date]])/365.25),"")</f>
        <v>6.5215605749486656</v>
      </c>
      <c r="F857" s="49">
        <f>IF(expected_production[[#This Row],[Age (yrs)]]="",1,(1-DegradationRate)^expected_production[[#This Row],[Age (yrs)]])</f>
        <v>0.95522205058486098</v>
      </c>
      <c r="G857" s="52">
        <f>IF(expected_production[[#This Row],[Base Expected (kWh)]]="","",expected_production[[#This Row],[Base Expected (kWh)]]*expected_production[[#This Row],[Degradation Factor]])</f>
        <v>30776.824619921455</v>
      </c>
    </row>
    <row r="858" spans="1:7" ht="15" hidden="1" customHeight="1" x14ac:dyDescent="0.3">
      <c r="A858" t="s">
        <v>113</v>
      </c>
      <c r="B858" s="2">
        <v>46113</v>
      </c>
      <c r="C858" s="52">
        <v>23614.38</v>
      </c>
      <c r="D858" s="48">
        <f>_xlfn.XLOOKUP(expected_production[[#This Row],[Site Name]],Table1[[Site Name ]],Table1[Commisioned Date],"")</f>
        <v>43700</v>
      </c>
      <c r="E858" s="47">
        <f>IF(ISNUMBER(expected_production[[#This Row],[Commissioned Date]]),MAX(0,(expected_production[[#This Row],[Date]]-expected_production[[#This Row],[Commissioned Date]])/365.25),"")</f>
        <v>6.6064339493497606</v>
      </c>
      <c r="F858" s="49">
        <f>IF(expected_production[[#This Row],[Age (yrs)]]="",1,(1-DegradationRate)^expected_production[[#This Row],[Age (yrs)]])</f>
        <v>0.95465271428573339</v>
      </c>
      <c r="G858" s="52">
        <f>IF(expected_production[[#This Row],[Base Expected (kWh)]]="","",expected_production[[#This Row],[Base Expected (kWh)]]*expected_production[[#This Row],[Degradation Factor]])</f>
        <v>22543.531963174737</v>
      </c>
    </row>
    <row r="859" spans="1:7" ht="15" hidden="1" customHeight="1" x14ac:dyDescent="0.3">
      <c r="A859" t="s">
        <v>113</v>
      </c>
      <c r="B859" s="2">
        <v>46143</v>
      </c>
      <c r="C859" s="52">
        <v>17952.57</v>
      </c>
      <c r="D859" s="48">
        <f>_xlfn.XLOOKUP(expected_production[[#This Row],[Site Name]],Table1[[Site Name ]],Table1[Commisioned Date],"")</f>
        <v>43700</v>
      </c>
      <c r="E859" s="47">
        <f>IF(ISNUMBER(expected_production[[#This Row],[Commissioned Date]]),MAX(0,(expected_production[[#This Row],[Date]]-expected_production[[#This Row],[Commissioned Date]])/365.25),"")</f>
        <v>6.6885694729637235</v>
      </c>
      <c r="F859" s="49">
        <f>IF(expected_production[[#This Row],[Age (yrs)]]="",1,(1-DegradationRate)^expected_production[[#This Row],[Age (yrs)]])</f>
        <v>0.95410206677139853</v>
      </c>
      <c r="G859" s="52">
        <f>IF(expected_production[[#This Row],[Base Expected (kWh)]]="","",expected_production[[#This Row],[Base Expected (kWh)]]*expected_production[[#This Row],[Degradation Factor]])</f>
        <v>17128.584140858206</v>
      </c>
    </row>
    <row r="860" spans="1:7" ht="15" hidden="1" customHeight="1" x14ac:dyDescent="0.3">
      <c r="A860" t="s">
        <v>113</v>
      </c>
      <c r="B860" s="2">
        <v>46174</v>
      </c>
      <c r="C860" s="52">
        <v>14925.6</v>
      </c>
      <c r="D860" s="48">
        <f>_xlfn.XLOOKUP(expected_production[[#This Row],[Site Name]],Table1[[Site Name ]],Table1[Commisioned Date],"")</f>
        <v>43700</v>
      </c>
      <c r="E860" s="47">
        <f>IF(ISNUMBER(expected_production[[#This Row],[Commissioned Date]]),MAX(0,(expected_production[[#This Row],[Date]]-expected_production[[#This Row],[Commissioned Date]])/365.25),"")</f>
        <v>6.7734428473648185</v>
      </c>
      <c r="F860" s="49">
        <f>IF(expected_production[[#This Row],[Age (yrs)]]="",1,(1-DegradationRate)^expected_production[[#This Row],[Age (yrs)]])</f>
        <v>0.95353339801071302</v>
      </c>
      <c r="G860" s="52">
        <f>IF(expected_production[[#This Row],[Base Expected (kWh)]]="","",expected_production[[#This Row],[Base Expected (kWh)]]*expected_production[[#This Row],[Degradation Factor]])</f>
        <v>14232.058085348699</v>
      </c>
    </row>
    <row r="861" spans="1:7" ht="15" hidden="1" customHeight="1" x14ac:dyDescent="0.3">
      <c r="A861" t="s">
        <v>113</v>
      </c>
      <c r="B861" s="2">
        <v>46204</v>
      </c>
      <c r="C861" s="52">
        <v>16774.830000000002</v>
      </c>
      <c r="D861" s="48">
        <f>_xlfn.XLOOKUP(expected_production[[#This Row],[Site Name]],Table1[[Site Name ]],Table1[Commisioned Date],"")</f>
        <v>43700</v>
      </c>
      <c r="E861" s="47">
        <f>IF(ISNUMBER(expected_production[[#This Row],[Commissioned Date]]),MAX(0,(expected_production[[#This Row],[Date]]-expected_production[[#This Row],[Commissioned Date]])/365.25),"")</f>
        <v>6.8555783709787814</v>
      </c>
      <c r="F861" s="49">
        <f>IF(expected_production[[#This Row],[Age (yrs)]]="",1,(1-DegradationRate)^expected_production[[#This Row],[Age (yrs)]])</f>
        <v>0.95298339612249461</v>
      </c>
      <c r="G861" s="52">
        <f>IF(expected_production[[#This Row],[Base Expected (kWh)]]="","",expected_production[[#This Row],[Base Expected (kWh)]]*expected_production[[#This Row],[Degradation Factor]])</f>
        <v>15986.134462777507</v>
      </c>
    </row>
    <row r="862" spans="1:7" ht="15" hidden="1" customHeight="1" x14ac:dyDescent="0.3">
      <c r="A862" t="s">
        <v>113</v>
      </c>
      <c r="B862" s="2">
        <v>46235</v>
      </c>
      <c r="C862" s="52">
        <v>20886.75</v>
      </c>
      <c r="D862" s="48">
        <f>_xlfn.XLOOKUP(expected_production[[#This Row],[Site Name]],Table1[[Site Name ]],Table1[Commisioned Date],"")</f>
        <v>43700</v>
      </c>
      <c r="E862" s="47">
        <f>IF(ISNUMBER(expected_production[[#This Row],[Commissioned Date]]),MAX(0,(expected_production[[#This Row],[Date]]-expected_production[[#This Row],[Commissioned Date]])/365.25),"")</f>
        <v>6.9404517453798764</v>
      </c>
      <c r="F862" s="49">
        <f>IF(expected_production[[#This Row],[Age (yrs)]]="",1,(1-DegradationRate)^expected_production[[#This Row],[Age (yrs)]])</f>
        <v>0.95241539411757214</v>
      </c>
      <c r="G862" s="52">
        <f>IF(expected_production[[#This Row],[Base Expected (kWh)]]="","",expected_production[[#This Row],[Base Expected (kWh)]]*expected_production[[#This Row],[Degradation Factor]])</f>
        <v>19892.862233085201</v>
      </c>
    </row>
    <row r="863" spans="1:7" ht="15" hidden="1" customHeight="1" x14ac:dyDescent="0.3">
      <c r="A863" t="s">
        <v>113</v>
      </c>
      <c r="B863" s="2">
        <v>46266</v>
      </c>
      <c r="C863" s="52">
        <v>26689.95</v>
      </c>
      <c r="D863" s="48">
        <f>_xlfn.XLOOKUP(expected_production[[#This Row],[Site Name]],Table1[[Site Name ]],Table1[Commisioned Date],"")</f>
        <v>43700</v>
      </c>
      <c r="E863" s="47">
        <f>IF(ISNUMBER(expected_production[[#This Row],[Commissioned Date]]),MAX(0,(expected_production[[#This Row],[Date]]-expected_production[[#This Row],[Commissioned Date]])/365.25),"")</f>
        <v>7.0253251197809723</v>
      </c>
      <c r="F863" s="49">
        <f>IF(expected_production[[#This Row],[Age (yrs)]]="",1,(1-DegradationRate)^expected_production[[#This Row],[Age (yrs)]])</f>
        <v>0.95184773065608996</v>
      </c>
      <c r="G863" s="52">
        <f>IF(expected_production[[#This Row],[Base Expected (kWh)]]="","",expected_production[[#This Row],[Base Expected (kWh)]]*expected_production[[#This Row],[Degradation Factor]])</f>
        <v>25404.76833882451</v>
      </c>
    </row>
    <row r="864" spans="1:7" ht="15" hidden="1" customHeight="1" x14ac:dyDescent="0.3">
      <c r="A864" t="s">
        <v>113</v>
      </c>
      <c r="B864" s="2">
        <v>46296</v>
      </c>
      <c r="C864" s="52">
        <v>33024.69</v>
      </c>
      <c r="D864" s="48">
        <f>_xlfn.XLOOKUP(expected_production[[#This Row],[Site Name]],Table1[[Site Name ]],Table1[Commisioned Date],"")</f>
        <v>43700</v>
      </c>
      <c r="E864" s="47">
        <f>IF(ISNUMBER(expected_production[[#This Row],[Commissioned Date]]),MAX(0,(expected_production[[#This Row],[Date]]-expected_production[[#This Row],[Commissioned Date]])/365.25),"")</f>
        <v>7.1074606433949352</v>
      </c>
      <c r="F864" s="49">
        <f>IF(expected_production[[#This Row],[Age (yrs)]]="",1,(1-DegradationRate)^expected_production[[#This Row],[Age (yrs)]])</f>
        <v>0.95129870106756242</v>
      </c>
      <c r="G864" s="52">
        <f>IF(expected_production[[#This Row],[Base Expected (kWh)]]="","",expected_production[[#This Row],[Base Expected (kWh)]]*expected_production[[#This Row],[Degradation Factor]])</f>
        <v>31416.344700158919</v>
      </c>
    </row>
    <row r="865" spans="1:7" ht="15" hidden="1" customHeight="1" x14ac:dyDescent="0.3">
      <c r="A865" t="s">
        <v>113</v>
      </c>
      <c r="B865" s="2">
        <v>46327</v>
      </c>
      <c r="C865" s="52">
        <v>37111.769999999997</v>
      </c>
      <c r="D865" s="48">
        <f>_xlfn.XLOOKUP(expected_production[[#This Row],[Site Name]],Table1[[Site Name ]],Table1[Commisioned Date],"")</f>
        <v>43700</v>
      </c>
      <c r="E865" s="47">
        <f>IF(ISNUMBER(expected_production[[#This Row],[Commissioned Date]]),MAX(0,(expected_production[[#This Row],[Date]]-expected_production[[#This Row],[Commissioned Date]])/365.25),"")</f>
        <v>7.1923340177960302</v>
      </c>
      <c r="F865" s="49">
        <f>IF(expected_production[[#This Row],[Age (yrs)]]="",1,(1-DegradationRate)^expected_production[[#This Row],[Age (yrs)]])</f>
        <v>0.95073170318314471</v>
      </c>
      <c r="G865" s="52">
        <f>IF(expected_production[[#This Row],[Base Expected (kWh)]]="","",expected_production[[#This Row],[Base Expected (kWh)]]*expected_production[[#This Row],[Degradation Factor]])</f>
        <v>35283.336300241128</v>
      </c>
    </row>
    <row r="866" spans="1:7" ht="15" hidden="1" customHeight="1" x14ac:dyDescent="0.3">
      <c r="A866" t="s">
        <v>113</v>
      </c>
      <c r="B866" s="2">
        <v>46357</v>
      </c>
      <c r="C866" s="52">
        <v>40125.69</v>
      </c>
      <c r="D866" s="48">
        <f>_xlfn.XLOOKUP(expected_production[[#This Row],[Site Name]],Table1[[Site Name ]],Table1[Commisioned Date],"")</f>
        <v>43700</v>
      </c>
      <c r="E866" s="47">
        <f>IF(ISNUMBER(expected_production[[#This Row],[Commissioned Date]]),MAX(0,(expected_production[[#This Row],[Date]]-expected_production[[#This Row],[Commissioned Date]])/365.25),"")</f>
        <v>7.2744695414099931</v>
      </c>
      <c r="F866" s="49">
        <f>IF(expected_production[[#This Row],[Age (yrs)]]="",1,(1-DegradationRate)^expected_production[[#This Row],[Age (yrs)]])</f>
        <v>0.95018331732373951</v>
      </c>
      <c r="G866" s="52">
        <f>IF(expected_production[[#This Row],[Base Expected (kWh)]]="","",expected_production[[#This Row],[Base Expected (kWh)]]*expected_production[[#This Row],[Degradation Factor]])</f>
        <v>38126.761234104</v>
      </c>
    </row>
    <row r="867" spans="1:7" ht="15" hidden="1" customHeight="1" x14ac:dyDescent="0.3">
      <c r="A867" t="s">
        <v>114</v>
      </c>
      <c r="B867" s="2">
        <v>45292</v>
      </c>
      <c r="C867" s="52">
        <v>29391.3</v>
      </c>
      <c r="D867" s="48">
        <f>_xlfn.XLOOKUP(expected_production[[#This Row],[Site Name]],Table1[[Site Name ]],Table1[Commisioned Date],"")</f>
        <v>45056</v>
      </c>
      <c r="E867" s="47">
        <f>IF(ISNUMBER(expected_production[[#This Row],[Commissioned Date]]),MAX(0,(expected_production[[#This Row],[Date]]-expected_production[[#This Row],[Commissioned Date]])/365.25),"")</f>
        <v>0.6461327857631759</v>
      </c>
      <c r="F867" s="49">
        <f>IF(expected_production[[#This Row],[Age (yrs)]]="",1,(1-DegradationRate)^expected_production[[#This Row],[Age (yrs)]])</f>
        <v>0.99547145092255762</v>
      </c>
      <c r="G867" s="52">
        <f>IF(expected_production[[#This Row],[Base Expected (kWh)]]="","",expected_production[[#This Row],[Base Expected (kWh)]]*expected_production[[#This Row],[Degradation Factor]])</f>
        <v>29258.200055500169</v>
      </c>
    </row>
    <row r="868" spans="1:7" ht="15" hidden="1" customHeight="1" x14ac:dyDescent="0.3">
      <c r="A868" t="s">
        <v>114</v>
      </c>
      <c r="B868" s="2">
        <v>45323</v>
      </c>
      <c r="C868" s="52">
        <v>25677</v>
      </c>
      <c r="D868" s="48">
        <f>_xlfn.XLOOKUP(expected_production[[#This Row],[Site Name]],Table1[[Site Name ]],Table1[Commisioned Date],"")</f>
        <v>45056</v>
      </c>
      <c r="E868" s="47">
        <f>IF(ISNUMBER(expected_production[[#This Row],[Commissioned Date]]),MAX(0,(expected_production[[#This Row],[Date]]-expected_production[[#This Row],[Commissioned Date]])/365.25),"")</f>
        <v>0.731006160164271</v>
      </c>
      <c r="F868" s="49">
        <f>IF(expected_production[[#This Row],[Age (yrs)]]="",1,(1-DegradationRate)^expected_production[[#This Row],[Age (yrs)]])</f>
        <v>0.9948781249713734</v>
      </c>
      <c r="G868" s="52">
        <f>IF(expected_production[[#This Row],[Base Expected (kWh)]]="","",expected_production[[#This Row],[Base Expected (kWh)]]*expected_production[[#This Row],[Degradation Factor]])</f>
        <v>25545.485614889956</v>
      </c>
    </row>
    <row r="869" spans="1:7" ht="15" hidden="1" customHeight="1" x14ac:dyDescent="0.3">
      <c r="A869" t="s">
        <v>114</v>
      </c>
      <c r="B869" s="2">
        <v>45352</v>
      </c>
      <c r="C869" s="52">
        <v>24204.6</v>
      </c>
      <c r="D869" s="48">
        <f>_xlfn.XLOOKUP(expected_production[[#This Row],[Site Name]],Table1[[Site Name ]],Table1[Commisioned Date],"")</f>
        <v>45056</v>
      </c>
      <c r="E869" s="47">
        <f>IF(ISNUMBER(expected_production[[#This Row],[Commissioned Date]]),MAX(0,(expected_production[[#This Row],[Date]]-expected_production[[#This Row],[Commissioned Date]])/365.25),"")</f>
        <v>0.81040383299110197</v>
      </c>
      <c r="F869" s="49">
        <f>IF(expected_production[[#This Row],[Age (yrs)]]="",1,(1-DegradationRate)^expected_production[[#This Row],[Age (yrs)]])</f>
        <v>0.99432339826809335</v>
      </c>
      <c r="G869" s="52">
        <f>IF(expected_production[[#This Row],[Base Expected (kWh)]]="","",expected_production[[#This Row],[Base Expected (kWh)]]*expected_production[[#This Row],[Degradation Factor]])</f>
        <v>24067.20012571989</v>
      </c>
    </row>
    <row r="870" spans="1:7" ht="15" hidden="1" customHeight="1" x14ac:dyDescent="0.3">
      <c r="A870" t="s">
        <v>114</v>
      </c>
      <c r="B870" s="2">
        <v>45383</v>
      </c>
      <c r="C870" s="52">
        <v>21550.5</v>
      </c>
      <c r="D870" s="48">
        <f>_xlfn.XLOOKUP(expected_production[[#This Row],[Site Name]],Table1[[Site Name ]],Table1[Commisioned Date],"")</f>
        <v>45056</v>
      </c>
      <c r="E870" s="47">
        <f>IF(ISNUMBER(expected_production[[#This Row],[Commissioned Date]]),MAX(0,(expected_production[[#This Row],[Date]]-expected_production[[#This Row],[Commissioned Date]])/365.25),"")</f>
        <v>0.89527720739219707</v>
      </c>
      <c r="F870" s="49">
        <f>IF(expected_production[[#This Row],[Age (yrs)]]="",1,(1-DegradationRate)^expected_production[[#This Row],[Age (yrs)]])</f>
        <v>0.99373075658508436</v>
      </c>
      <c r="G870" s="52">
        <f>IF(expected_production[[#This Row],[Base Expected (kWh)]]="","",expected_production[[#This Row],[Base Expected (kWh)]]*expected_production[[#This Row],[Degradation Factor]])</f>
        <v>21415.39466978686</v>
      </c>
    </row>
    <row r="871" spans="1:7" ht="15" hidden="1" customHeight="1" x14ac:dyDescent="0.3">
      <c r="A871" t="s">
        <v>114</v>
      </c>
      <c r="B871" s="2">
        <v>45413</v>
      </c>
      <c r="C871" s="52">
        <v>19301.400000000001</v>
      </c>
      <c r="D871" s="48">
        <f>_xlfn.XLOOKUP(expected_production[[#This Row],[Site Name]],Table1[[Site Name ]],Table1[Commisioned Date],"")</f>
        <v>45056</v>
      </c>
      <c r="E871" s="47">
        <f>IF(ISNUMBER(expected_production[[#This Row],[Commissioned Date]]),MAX(0,(expected_production[[#This Row],[Date]]-expected_production[[#This Row],[Commissioned Date]])/365.25),"")</f>
        <v>0.97741273100616022</v>
      </c>
      <c r="F871" s="49">
        <f>IF(expected_production[[#This Row],[Age (yrs)]]="",1,(1-DegradationRate)^expected_production[[#This Row],[Age (yrs)]])</f>
        <v>0.99315756869922456</v>
      </c>
      <c r="G871" s="52">
        <f>IF(expected_production[[#This Row],[Base Expected (kWh)]]="","",expected_production[[#This Row],[Base Expected (kWh)]]*expected_production[[#This Row],[Degradation Factor]])</f>
        <v>19169.331496491213</v>
      </c>
    </row>
    <row r="872" spans="1:7" ht="15" hidden="1" customHeight="1" x14ac:dyDescent="0.3">
      <c r="A872" t="s">
        <v>114</v>
      </c>
      <c r="B872" s="2">
        <v>45444</v>
      </c>
      <c r="C872" s="52">
        <v>17076.599999999999</v>
      </c>
      <c r="D872" s="48">
        <f>_xlfn.XLOOKUP(expected_production[[#This Row],[Site Name]],Table1[[Site Name ]],Table1[Commisioned Date],"")</f>
        <v>45056</v>
      </c>
      <c r="E872" s="47">
        <f>IF(ISNUMBER(expected_production[[#This Row],[Commissioned Date]]),MAX(0,(expected_production[[#This Row],[Date]]-expected_production[[#This Row],[Commissioned Date]])/365.25),"")</f>
        <v>1.0622861054072552</v>
      </c>
      <c r="F872" s="49">
        <f>IF(expected_production[[#This Row],[Age (yrs)]]="",1,(1-DegradationRate)^expected_production[[#This Row],[Age (yrs)]])</f>
        <v>0.99256562187987762</v>
      </c>
      <c r="G872" s="52">
        <f>IF(expected_production[[#This Row],[Base Expected (kWh)]]="","",expected_production[[#This Row],[Base Expected (kWh)]]*expected_production[[#This Row],[Degradation Factor]])</f>
        <v>16949.646098593916</v>
      </c>
    </row>
    <row r="873" spans="1:7" ht="15" hidden="1" customHeight="1" x14ac:dyDescent="0.3">
      <c r="A873" t="s">
        <v>114</v>
      </c>
      <c r="B873" s="2">
        <v>45474</v>
      </c>
      <c r="C873" s="52">
        <v>19010.7</v>
      </c>
      <c r="D873" s="48">
        <f>_xlfn.XLOOKUP(expected_production[[#This Row],[Site Name]],Table1[[Site Name ]],Table1[Commisioned Date],"")</f>
        <v>45056</v>
      </c>
      <c r="E873" s="47">
        <f>IF(ISNUMBER(expected_production[[#This Row],[Commissioned Date]]),MAX(0,(expected_production[[#This Row],[Date]]-expected_production[[#This Row],[Commissioned Date]])/365.25),"")</f>
        <v>1.1444216290212184</v>
      </c>
      <c r="F873" s="49">
        <f>IF(expected_production[[#This Row],[Age (yrs)]]="",1,(1-DegradationRate)^expected_production[[#This Row],[Age (yrs)]])</f>
        <v>0.99199310604838875</v>
      </c>
      <c r="G873" s="52">
        <f>IF(expected_production[[#This Row],[Base Expected (kWh)]]="","",expected_production[[#This Row],[Base Expected (kWh)]]*expected_production[[#This Row],[Degradation Factor]])</f>
        <v>18858.483341154104</v>
      </c>
    </row>
    <row r="874" spans="1:7" ht="15" hidden="1" customHeight="1" x14ac:dyDescent="0.3">
      <c r="A874" t="s">
        <v>114</v>
      </c>
      <c r="B874" s="2">
        <v>45505</v>
      </c>
      <c r="C874" s="52">
        <v>22169.7</v>
      </c>
      <c r="D874" s="48">
        <f>_xlfn.XLOOKUP(expected_production[[#This Row],[Site Name]],Table1[[Site Name ]],Table1[Commisioned Date],"")</f>
        <v>45056</v>
      </c>
      <c r="E874" s="47">
        <f>IF(ISNUMBER(expected_production[[#This Row],[Commissioned Date]]),MAX(0,(expected_production[[#This Row],[Date]]-expected_production[[#This Row],[Commissioned Date]])/365.25),"")</f>
        <v>1.2292950034223136</v>
      </c>
      <c r="F874" s="49">
        <f>IF(expected_production[[#This Row],[Age (yrs)]]="",1,(1-DegradationRate)^expected_production[[#This Row],[Age (yrs)]])</f>
        <v>0.99140185327798647</v>
      </c>
      <c r="G874" s="52">
        <f>IF(expected_production[[#This Row],[Base Expected (kWh)]]="","",expected_production[[#This Row],[Base Expected (kWh)]]*expected_production[[#This Row],[Degradation Factor]])</f>
        <v>21979.081666616978</v>
      </c>
    </row>
    <row r="875" spans="1:7" ht="15" hidden="1" customHeight="1" x14ac:dyDescent="0.3">
      <c r="A875" t="s">
        <v>114</v>
      </c>
      <c r="B875" s="2">
        <v>45536</v>
      </c>
      <c r="C875" s="52">
        <v>24661.8</v>
      </c>
      <c r="D875" s="48">
        <f>_xlfn.XLOOKUP(expected_production[[#This Row],[Site Name]],Table1[[Site Name ]],Table1[Commisioned Date],"")</f>
        <v>45056</v>
      </c>
      <c r="E875" s="47">
        <f>IF(ISNUMBER(expected_production[[#This Row],[Commissioned Date]]),MAX(0,(expected_production[[#This Row],[Date]]-expected_production[[#This Row],[Commissioned Date]])/365.25),"")</f>
        <v>1.3141683778234086</v>
      </c>
      <c r="F875" s="49">
        <f>IF(expected_production[[#This Row],[Age (yrs)]]="",1,(1-DegradationRate)^expected_production[[#This Row],[Age (yrs)]])</f>
        <v>0.99081095290906396</v>
      </c>
      <c r="G875" s="52">
        <f>IF(expected_production[[#This Row],[Base Expected (kWh)]]="","",expected_production[[#This Row],[Base Expected (kWh)]]*expected_production[[#This Row],[Degradation Factor]])</f>
        <v>24435.181558452754</v>
      </c>
    </row>
    <row r="876" spans="1:7" ht="15" hidden="1" customHeight="1" x14ac:dyDescent="0.3">
      <c r="A876" t="s">
        <v>114</v>
      </c>
      <c r="B876" s="2">
        <v>45566</v>
      </c>
      <c r="C876" s="52">
        <v>27450.9</v>
      </c>
      <c r="D876" s="48">
        <f>_xlfn.XLOOKUP(expected_production[[#This Row],[Site Name]],Table1[[Site Name ]],Table1[Commisioned Date],"")</f>
        <v>45056</v>
      </c>
      <c r="E876" s="47">
        <f>IF(ISNUMBER(expected_production[[#This Row],[Commissioned Date]]),MAX(0,(expected_production[[#This Row],[Date]]-expected_production[[#This Row],[Commissioned Date]])/365.25),"")</f>
        <v>1.3963039014373717</v>
      </c>
      <c r="F876" s="49">
        <f>IF(expected_production[[#This Row],[Age (yrs)]]="",1,(1-DegradationRate)^expected_production[[#This Row],[Age (yrs)]])</f>
        <v>0.9902394491776747</v>
      </c>
      <c r="G876" s="52">
        <f>IF(expected_production[[#This Row],[Base Expected (kWh)]]="","",expected_production[[#This Row],[Base Expected (kWh)]]*expected_production[[#This Row],[Degradation Factor]])</f>
        <v>27182.964095431431</v>
      </c>
    </row>
    <row r="877" spans="1:7" ht="15" hidden="1" customHeight="1" x14ac:dyDescent="0.3">
      <c r="A877" t="s">
        <v>114</v>
      </c>
      <c r="B877" s="2">
        <v>45597</v>
      </c>
      <c r="C877" s="52">
        <v>28825.200000000001</v>
      </c>
      <c r="D877" s="48">
        <f>_xlfn.XLOOKUP(expected_production[[#This Row],[Site Name]],Table1[[Site Name ]],Table1[Commisioned Date],"")</f>
        <v>45056</v>
      </c>
      <c r="E877" s="47">
        <f>IF(ISNUMBER(expected_production[[#This Row],[Commissioned Date]]),MAX(0,(expected_production[[#This Row],[Date]]-expected_production[[#This Row],[Commissioned Date]])/365.25),"")</f>
        <v>1.4811772758384667</v>
      </c>
      <c r="F877" s="49">
        <f>IF(expected_production[[#This Row],[Age (yrs)]]="",1,(1-DegradationRate)^expected_production[[#This Row],[Age (yrs)]])</f>
        <v>0.98964924163074908</v>
      </c>
      <c r="G877" s="52">
        <f>IF(expected_production[[#This Row],[Base Expected (kWh)]]="","",expected_production[[#This Row],[Base Expected (kWh)]]*expected_production[[#This Row],[Degradation Factor]])</f>
        <v>28526.837319854669</v>
      </c>
    </row>
    <row r="878" spans="1:7" ht="15" hidden="1" customHeight="1" x14ac:dyDescent="0.3">
      <c r="A878" t="s">
        <v>114</v>
      </c>
      <c r="B878" s="2">
        <v>45627</v>
      </c>
      <c r="C878" s="52">
        <v>28327.5</v>
      </c>
      <c r="D878" s="48">
        <f>_xlfn.XLOOKUP(expected_production[[#This Row],[Site Name]],Table1[[Site Name ]],Table1[Commisioned Date],"")</f>
        <v>45056</v>
      </c>
      <c r="E878" s="47">
        <f>IF(ISNUMBER(expected_production[[#This Row],[Commissioned Date]]),MAX(0,(expected_production[[#This Row],[Date]]-expected_production[[#This Row],[Commissioned Date]])/365.25),"")</f>
        <v>1.5633127994524298</v>
      </c>
      <c r="F878" s="49">
        <f>IF(expected_production[[#This Row],[Age (yrs)]]="",1,(1-DegradationRate)^expected_production[[#This Row],[Age (yrs)]])</f>
        <v>0.98907840797908431</v>
      </c>
      <c r="G878" s="52">
        <f>IF(expected_production[[#This Row],[Base Expected (kWh)]]="","",expected_production[[#This Row],[Base Expected (kWh)]]*expected_production[[#This Row],[Degradation Factor]])</f>
        <v>28018.118602027509</v>
      </c>
    </row>
    <row r="879" spans="1:7" ht="15" hidden="1" customHeight="1" x14ac:dyDescent="0.3">
      <c r="A879" t="s">
        <v>114</v>
      </c>
      <c r="B879" s="2">
        <v>45658</v>
      </c>
      <c r="C879" s="52">
        <v>29391.3</v>
      </c>
      <c r="D879" s="48">
        <f>_xlfn.XLOOKUP(expected_production[[#This Row],[Site Name]],Table1[[Site Name ]],Table1[Commisioned Date],"")</f>
        <v>45056</v>
      </c>
      <c r="E879" s="47">
        <f>IF(ISNUMBER(expected_production[[#This Row],[Commissioned Date]]),MAX(0,(expected_production[[#This Row],[Date]]-expected_production[[#This Row],[Commissioned Date]])/365.25),"")</f>
        <v>1.6481861738535251</v>
      </c>
      <c r="F879" s="49">
        <f>IF(expected_production[[#This Row],[Age (yrs)]]="",1,(1-DegradationRate)^expected_production[[#This Row],[Age (yrs)]])</f>
        <v>0.98848889244183202</v>
      </c>
      <c r="G879" s="52">
        <f>IF(expected_production[[#This Row],[Base Expected (kWh)]]="","",expected_production[[#This Row],[Base Expected (kWh)]]*expected_production[[#This Row],[Degradation Factor]])</f>
        <v>29052.973584425617</v>
      </c>
    </row>
    <row r="880" spans="1:7" ht="15" hidden="1" customHeight="1" x14ac:dyDescent="0.3">
      <c r="A880" t="s">
        <v>114</v>
      </c>
      <c r="B880" s="2">
        <v>45689</v>
      </c>
      <c r="C880" s="52">
        <v>25677</v>
      </c>
      <c r="D880" s="48">
        <f>_xlfn.XLOOKUP(expected_production[[#This Row],[Site Name]],Table1[[Site Name ]],Table1[Commisioned Date],"")</f>
        <v>45056</v>
      </c>
      <c r="E880" s="47">
        <f>IF(ISNUMBER(expected_production[[#This Row],[Commissioned Date]]),MAX(0,(expected_production[[#This Row],[Date]]-expected_production[[#This Row],[Commissioned Date]])/365.25),"")</f>
        <v>1.7330595482546201</v>
      </c>
      <c r="F880" s="49">
        <f>IF(expected_production[[#This Row],[Age (yrs)]]="",1,(1-DegradationRate)^expected_production[[#This Row],[Age (yrs)]])</f>
        <v>0.98789972827062489</v>
      </c>
      <c r="G880" s="52">
        <f>IF(expected_production[[#This Row],[Base Expected (kWh)]]="","",expected_production[[#This Row],[Base Expected (kWh)]]*expected_production[[#This Row],[Degradation Factor]])</f>
        <v>25366.301322804837</v>
      </c>
    </row>
    <row r="881" spans="1:7" ht="15" hidden="1" customHeight="1" x14ac:dyDescent="0.3">
      <c r="A881" t="s">
        <v>114</v>
      </c>
      <c r="B881" s="2">
        <v>45717</v>
      </c>
      <c r="C881" s="52">
        <v>24204.6</v>
      </c>
      <c r="D881" s="48">
        <f>_xlfn.XLOOKUP(expected_production[[#This Row],[Site Name]],Table1[[Site Name ]],Table1[Commisioned Date],"")</f>
        <v>45056</v>
      </c>
      <c r="E881" s="47">
        <f>IF(ISNUMBER(expected_production[[#This Row],[Commissioned Date]]),MAX(0,(expected_production[[#This Row],[Date]]-expected_production[[#This Row],[Commissioned Date]])/365.25),"")</f>
        <v>1.8097193702943191</v>
      </c>
      <c r="F881" s="49">
        <f>IF(expected_production[[#This Row],[Age (yrs)]]="",1,(1-DegradationRate)^expected_production[[#This Row],[Age (yrs)]])</f>
        <v>0.98736788181936574</v>
      </c>
      <c r="G881" s="52">
        <f>IF(expected_production[[#This Row],[Base Expected (kWh)]]="","",expected_production[[#This Row],[Base Expected (kWh)]]*expected_production[[#This Row],[Degradation Factor]])</f>
        <v>23898.844632285018</v>
      </c>
    </row>
    <row r="882" spans="1:7" ht="15" hidden="1" customHeight="1" x14ac:dyDescent="0.3">
      <c r="A882" t="s">
        <v>114</v>
      </c>
      <c r="B882" s="2">
        <v>45748</v>
      </c>
      <c r="C882" s="52">
        <v>21550.5</v>
      </c>
      <c r="D882" s="48">
        <f>_xlfn.XLOOKUP(expected_production[[#This Row],[Site Name]],Table1[[Site Name ]],Table1[Commisioned Date],"")</f>
        <v>45056</v>
      </c>
      <c r="E882" s="47">
        <f>IF(ISNUMBER(expected_production[[#This Row],[Commissioned Date]]),MAX(0,(expected_production[[#This Row],[Date]]-expected_production[[#This Row],[Commissioned Date]])/365.25),"")</f>
        <v>1.8945927446954141</v>
      </c>
      <c r="F882" s="49">
        <f>IF(expected_production[[#This Row],[Age (yrs)]]="",1,(1-DegradationRate)^expected_production[[#This Row],[Age (yrs)]])</f>
        <v>0.98677938579860458</v>
      </c>
      <c r="G882" s="52">
        <f>IF(expected_production[[#This Row],[Base Expected (kWh)]]="","",expected_production[[#This Row],[Base Expected (kWh)]]*expected_production[[#This Row],[Degradation Factor]])</f>
        <v>21265.589153652829</v>
      </c>
    </row>
    <row r="883" spans="1:7" ht="15" hidden="1" customHeight="1" x14ac:dyDescent="0.3">
      <c r="A883" t="s">
        <v>114</v>
      </c>
      <c r="B883" s="2">
        <v>45778</v>
      </c>
      <c r="C883" s="52">
        <v>19301.400000000001</v>
      </c>
      <c r="D883" s="48">
        <f>_xlfn.XLOOKUP(expected_production[[#This Row],[Site Name]],Table1[[Site Name ]],Table1[Commisioned Date],"")</f>
        <v>45056</v>
      </c>
      <c r="E883" s="47">
        <f>IF(ISNUMBER(expected_production[[#This Row],[Commissioned Date]]),MAX(0,(expected_production[[#This Row],[Date]]-expected_production[[#This Row],[Commissioned Date]])/365.25),"")</f>
        <v>1.9767282683093772</v>
      </c>
      <c r="F883" s="49">
        <f>IF(expected_production[[#This Row],[Age (yrs)]]="",1,(1-DegradationRate)^expected_production[[#This Row],[Age (yrs)]])</f>
        <v>0.98621020749129373</v>
      </c>
      <c r="G883" s="52">
        <f>IF(expected_production[[#This Row],[Base Expected (kWh)]]="","",expected_production[[#This Row],[Base Expected (kWh)]]*expected_production[[#This Row],[Degradation Factor]])</f>
        <v>19035.237698872457</v>
      </c>
    </row>
    <row r="884" spans="1:7" ht="15" hidden="1" customHeight="1" x14ac:dyDescent="0.3">
      <c r="A884" t="s">
        <v>114</v>
      </c>
      <c r="B884" s="2">
        <v>45809</v>
      </c>
      <c r="C884" s="52">
        <v>17076.599999999999</v>
      </c>
      <c r="D884" s="48">
        <f>_xlfn.XLOOKUP(expected_production[[#This Row],[Site Name]],Table1[[Site Name ]],Table1[Commisioned Date],"")</f>
        <v>45056</v>
      </c>
      <c r="E884" s="47">
        <f>IF(ISNUMBER(expected_production[[#This Row],[Commissioned Date]]),MAX(0,(expected_production[[#This Row],[Date]]-expected_production[[#This Row],[Commissioned Date]])/365.25),"")</f>
        <v>2.0616016427104724</v>
      </c>
      <c r="F884" s="49">
        <f>IF(expected_production[[#This Row],[Age (yrs)]]="",1,(1-DegradationRate)^expected_production[[#This Row],[Age (yrs)]])</f>
        <v>0.98562240147346658</v>
      </c>
      <c r="G884" s="52">
        <f>IF(expected_production[[#This Row],[Base Expected (kWh)]]="","",expected_production[[#This Row],[Base Expected (kWh)]]*expected_production[[#This Row],[Degradation Factor]])</f>
        <v>16831.079501001797</v>
      </c>
    </row>
    <row r="885" spans="1:7" ht="15" hidden="1" customHeight="1" x14ac:dyDescent="0.3">
      <c r="A885" t="s">
        <v>114</v>
      </c>
      <c r="B885" s="2">
        <v>45839</v>
      </c>
      <c r="C885" s="52">
        <v>19010.7</v>
      </c>
      <c r="D885" s="48">
        <f>_xlfn.XLOOKUP(expected_production[[#This Row],[Site Name]],Table1[[Site Name ]],Table1[Commisioned Date],"")</f>
        <v>45056</v>
      </c>
      <c r="E885" s="47">
        <f>IF(ISNUMBER(expected_production[[#This Row],[Commissioned Date]]),MAX(0,(expected_production[[#This Row],[Date]]-expected_production[[#This Row],[Commissioned Date]])/365.25),"")</f>
        <v>2.1437371663244353</v>
      </c>
      <c r="F885" s="49">
        <f>IF(expected_production[[#This Row],[Age (yrs)]]="",1,(1-DegradationRate)^expected_production[[#This Row],[Age (yrs)]])</f>
        <v>0.98505389051935466</v>
      </c>
      <c r="G885" s="52">
        <f>IF(expected_production[[#This Row],[Base Expected (kWh)]]="","",expected_production[[#This Row],[Base Expected (kWh)]]*expected_production[[#This Row],[Degradation Factor]])</f>
        <v>18726.563996496297</v>
      </c>
    </row>
    <row r="886" spans="1:7" ht="15" hidden="1" customHeight="1" x14ac:dyDescent="0.3">
      <c r="A886" t="s">
        <v>114</v>
      </c>
      <c r="B886" s="2">
        <v>45870</v>
      </c>
      <c r="C886" s="52">
        <v>22169.7</v>
      </c>
      <c r="D886" s="48">
        <f>_xlfn.XLOOKUP(expected_production[[#This Row],[Site Name]],Table1[[Site Name ]],Table1[Commisioned Date],"")</f>
        <v>45056</v>
      </c>
      <c r="E886" s="47">
        <f>IF(ISNUMBER(expected_production[[#This Row],[Commissioned Date]]),MAX(0,(expected_production[[#This Row],[Date]]-expected_production[[#This Row],[Commissioned Date]])/365.25),"")</f>
        <v>2.2286105407255303</v>
      </c>
      <c r="F886" s="49">
        <f>IF(expected_production[[#This Row],[Age (yrs)]]="",1,(1-DegradationRate)^expected_production[[#This Row],[Age (yrs)]])</f>
        <v>0.98446677369544322</v>
      </c>
      <c r="G886" s="52">
        <f>IF(expected_production[[#This Row],[Base Expected (kWh)]]="","",expected_production[[#This Row],[Base Expected (kWh)]]*expected_production[[#This Row],[Degradation Factor]])</f>
        <v>21825.333032795868</v>
      </c>
    </row>
    <row r="887" spans="1:7" ht="15" hidden="1" customHeight="1" x14ac:dyDescent="0.3">
      <c r="A887" t="s">
        <v>114</v>
      </c>
      <c r="B887" s="2">
        <v>45901</v>
      </c>
      <c r="C887" s="52">
        <v>24661.8</v>
      </c>
      <c r="D887" s="48">
        <f>_xlfn.XLOOKUP(expected_production[[#This Row],[Site Name]],Table1[[Site Name ]],Table1[Commisioned Date],"")</f>
        <v>45056</v>
      </c>
      <c r="E887" s="47">
        <f>IF(ISNUMBER(expected_production[[#This Row],[Commissioned Date]]),MAX(0,(expected_production[[#This Row],[Date]]-expected_production[[#This Row],[Commissioned Date]])/365.25),"")</f>
        <v>2.3134839151266258</v>
      </c>
      <c r="F887" s="49">
        <f>IF(expected_production[[#This Row],[Age (yrs)]]="",1,(1-DegradationRate)^expected_production[[#This Row],[Age (yrs)]])</f>
        <v>0.98388000680788379</v>
      </c>
      <c r="G887" s="52">
        <f>IF(expected_production[[#This Row],[Base Expected (kWh)]]="","",expected_production[[#This Row],[Base Expected (kWh)]]*expected_production[[#This Row],[Degradation Factor]])</f>
        <v>24264.251951894668</v>
      </c>
    </row>
    <row r="888" spans="1:7" ht="15" hidden="1" customHeight="1" x14ac:dyDescent="0.3">
      <c r="A888" t="s">
        <v>114</v>
      </c>
      <c r="B888" s="2">
        <v>45931</v>
      </c>
      <c r="C888" s="52">
        <v>27450.9</v>
      </c>
      <c r="D888" s="48">
        <f>_xlfn.XLOOKUP(expected_production[[#This Row],[Site Name]],Table1[[Site Name ]],Table1[Commisioned Date],"")</f>
        <v>45056</v>
      </c>
      <c r="E888" s="47">
        <f>IF(ISNUMBER(expected_production[[#This Row],[Commissioned Date]]),MAX(0,(expected_production[[#This Row],[Date]]-expected_production[[#This Row],[Commissioned Date]])/365.25),"")</f>
        <v>2.3956194387405887</v>
      </c>
      <c r="F888" s="49">
        <f>IF(expected_production[[#This Row],[Age (yrs)]]="",1,(1-DegradationRate)^expected_production[[#This Row],[Age (yrs)]])</f>
        <v>0.98331250087400301</v>
      </c>
      <c r="G888" s="52">
        <f>IF(expected_production[[#This Row],[Base Expected (kWh)]]="","",expected_production[[#This Row],[Base Expected (kWh)]]*expected_production[[#This Row],[Degradation Factor]])</f>
        <v>26992.813130242172</v>
      </c>
    </row>
    <row r="889" spans="1:7" ht="15" hidden="1" customHeight="1" x14ac:dyDescent="0.3">
      <c r="A889" t="s">
        <v>114</v>
      </c>
      <c r="B889" s="2">
        <v>45962</v>
      </c>
      <c r="C889" s="52">
        <v>28825.200000000001</v>
      </c>
      <c r="D889" s="48">
        <f>_xlfn.XLOOKUP(expected_production[[#This Row],[Site Name]],Table1[[Site Name ]],Table1[Commisioned Date],"")</f>
        <v>45056</v>
      </c>
      <c r="E889" s="47">
        <f>IF(ISNUMBER(expected_production[[#This Row],[Commissioned Date]]),MAX(0,(expected_production[[#This Row],[Date]]-expected_production[[#This Row],[Commissioned Date]])/365.25),"")</f>
        <v>2.4804928131416837</v>
      </c>
      <c r="F889" s="49">
        <f>IF(expected_production[[#This Row],[Age (yrs)]]="",1,(1-DegradationRate)^expected_production[[#This Row],[Age (yrs)]])</f>
        <v>0.98272642196199433</v>
      </c>
      <c r="G889" s="52">
        <f>IF(expected_production[[#This Row],[Base Expected (kWh)]]="","",expected_production[[#This Row],[Base Expected (kWh)]]*expected_production[[#This Row],[Degradation Factor]])</f>
        <v>28327.285658338878</v>
      </c>
    </row>
    <row r="890" spans="1:7" ht="15" hidden="1" customHeight="1" x14ac:dyDescent="0.3">
      <c r="A890" t="s">
        <v>114</v>
      </c>
      <c r="B890" s="2">
        <v>45992</v>
      </c>
      <c r="C890" s="52">
        <v>28327.5</v>
      </c>
      <c r="D890" s="48">
        <f>_xlfn.XLOOKUP(expected_production[[#This Row],[Site Name]],Table1[[Site Name ]],Table1[Commisioned Date],"")</f>
        <v>45056</v>
      </c>
      <c r="E890" s="47">
        <f>IF(ISNUMBER(expected_production[[#This Row],[Commissioned Date]]),MAX(0,(expected_production[[#This Row],[Date]]-expected_production[[#This Row],[Commissioned Date]])/365.25),"")</f>
        <v>2.5626283367556466</v>
      </c>
      <c r="F890" s="49">
        <f>IF(expected_production[[#This Row],[Age (yrs)]]="",1,(1-DegradationRate)^expected_production[[#This Row],[Age (yrs)]])</f>
        <v>0.98215958142047921</v>
      </c>
      <c r="G890" s="52">
        <f>IF(expected_production[[#This Row],[Base Expected (kWh)]]="","",expected_production[[#This Row],[Base Expected (kWh)]]*expected_production[[#This Row],[Degradation Factor]])</f>
        <v>27822.125542688624</v>
      </c>
    </row>
    <row r="891" spans="1:7" ht="15" hidden="1" customHeight="1" x14ac:dyDescent="0.3">
      <c r="A891" t="s">
        <v>114</v>
      </c>
      <c r="B891" s="2">
        <v>46023</v>
      </c>
      <c r="C891" s="52">
        <v>29391.3</v>
      </c>
      <c r="D891" s="48">
        <f>_xlfn.XLOOKUP(expected_production[[#This Row],[Site Name]],Table1[[Site Name ]],Table1[Commisioned Date],"")</f>
        <v>45056</v>
      </c>
      <c r="E891" s="47">
        <f>IF(ISNUMBER(expected_production[[#This Row],[Commissioned Date]]),MAX(0,(expected_production[[#This Row],[Date]]-expected_production[[#This Row],[Commissioned Date]])/365.25),"")</f>
        <v>2.647501711156742</v>
      </c>
      <c r="F891" s="49">
        <f>IF(expected_production[[#This Row],[Age (yrs)]]="",1,(1-DegradationRate)^expected_production[[#This Row],[Age (yrs)]])</f>
        <v>0.98157418967737997</v>
      </c>
      <c r="G891" s="52">
        <f>IF(expected_production[[#This Row],[Base Expected (kWh)]]="","",expected_production[[#This Row],[Base Expected (kWh)]]*expected_production[[#This Row],[Degradation Factor]])</f>
        <v>28849.741481064779</v>
      </c>
    </row>
    <row r="892" spans="1:7" ht="15" hidden="1" customHeight="1" x14ac:dyDescent="0.3">
      <c r="A892" t="s">
        <v>114</v>
      </c>
      <c r="B892" s="2">
        <v>46054</v>
      </c>
      <c r="C892" s="52">
        <v>25677</v>
      </c>
      <c r="D892" s="48">
        <f>_xlfn.XLOOKUP(expected_production[[#This Row],[Site Name]],Table1[[Site Name ]],Table1[Commisioned Date],"")</f>
        <v>45056</v>
      </c>
      <c r="E892" s="47">
        <f>IF(ISNUMBER(expected_production[[#This Row],[Commissioned Date]]),MAX(0,(expected_production[[#This Row],[Date]]-expected_production[[#This Row],[Commissioned Date]])/365.25),"")</f>
        <v>2.732375085557837</v>
      </c>
      <c r="F892" s="49">
        <f>IF(expected_production[[#This Row],[Age (yrs)]]="",1,(1-DegradationRate)^expected_production[[#This Row],[Age (yrs)]])</f>
        <v>0.98098914684244132</v>
      </c>
      <c r="G892" s="52">
        <f>IF(expected_production[[#This Row],[Base Expected (kWh)]]="","",expected_production[[#This Row],[Base Expected (kWh)]]*expected_production[[#This Row],[Degradation Factor]])</f>
        <v>25188.858323473367</v>
      </c>
    </row>
    <row r="893" spans="1:7" ht="15" hidden="1" customHeight="1" x14ac:dyDescent="0.3">
      <c r="A893" t="s">
        <v>114</v>
      </c>
      <c r="B893" s="2">
        <v>46082</v>
      </c>
      <c r="C893" s="52">
        <v>24204.6</v>
      </c>
      <c r="D893" s="48">
        <f>_xlfn.XLOOKUP(expected_production[[#This Row],[Site Name]],Table1[[Site Name ]],Table1[Commisioned Date],"")</f>
        <v>45056</v>
      </c>
      <c r="E893" s="47">
        <f>IF(ISNUMBER(expected_production[[#This Row],[Commissioned Date]]),MAX(0,(expected_production[[#This Row],[Date]]-expected_production[[#This Row],[Commissioned Date]])/365.25),"")</f>
        <v>2.8090349075975358</v>
      </c>
      <c r="F893" s="49">
        <f>IF(expected_production[[#This Row],[Age (yrs)]]="",1,(1-DegradationRate)^expected_production[[#This Row],[Age (yrs)]])</f>
        <v>0.98046102077707109</v>
      </c>
      <c r="G893" s="52">
        <f>IF(expected_production[[#This Row],[Base Expected (kWh)]]="","",expected_production[[#This Row],[Base Expected (kWh)]]*expected_production[[#This Row],[Degradation Factor]])</f>
        <v>23731.666823500695</v>
      </c>
    </row>
    <row r="894" spans="1:7" ht="15" hidden="1" customHeight="1" x14ac:dyDescent="0.3">
      <c r="A894" t="s">
        <v>114</v>
      </c>
      <c r="B894" s="2">
        <v>46113</v>
      </c>
      <c r="C894" s="52">
        <v>21550.5</v>
      </c>
      <c r="D894" s="48">
        <f>_xlfn.XLOOKUP(expected_production[[#This Row],[Site Name]],Table1[[Site Name ]],Table1[Commisioned Date],"")</f>
        <v>45056</v>
      </c>
      <c r="E894" s="47">
        <f>IF(ISNUMBER(expected_production[[#This Row],[Commissioned Date]]),MAX(0,(expected_production[[#This Row],[Date]]-expected_production[[#This Row],[Commissioned Date]])/365.25),"")</f>
        <v>2.8939082819986313</v>
      </c>
      <c r="F894" s="49">
        <f>IF(expected_production[[#This Row],[Age (yrs)]]="",1,(1-DegradationRate)^expected_production[[#This Row],[Age (yrs)]])</f>
        <v>0.97987664141871533</v>
      </c>
      <c r="G894" s="52">
        <f>IF(expected_production[[#This Row],[Base Expected (kWh)]]="","",expected_production[[#This Row],[Base Expected (kWh)]]*expected_production[[#This Row],[Degradation Factor]])</f>
        <v>21116.831560894025</v>
      </c>
    </row>
    <row r="895" spans="1:7" ht="15" hidden="1" customHeight="1" x14ac:dyDescent="0.3">
      <c r="A895" t="s">
        <v>114</v>
      </c>
      <c r="B895" s="2">
        <v>46143</v>
      </c>
      <c r="C895" s="52">
        <v>19301.400000000001</v>
      </c>
      <c r="D895" s="48">
        <f>_xlfn.XLOOKUP(expected_production[[#This Row],[Site Name]],Table1[[Site Name ]],Table1[Commisioned Date],"")</f>
        <v>45056</v>
      </c>
      <c r="E895" s="47">
        <f>IF(ISNUMBER(expected_production[[#This Row],[Commissioned Date]]),MAX(0,(expected_production[[#This Row],[Date]]-expected_production[[#This Row],[Commissioned Date]])/365.25),"")</f>
        <v>2.9760438056125942</v>
      </c>
      <c r="F895" s="49">
        <f>IF(expected_production[[#This Row],[Age (yrs)]]="",1,(1-DegradationRate)^expected_production[[#This Row],[Age (yrs)]])</f>
        <v>0.97931144464204689</v>
      </c>
      <c r="G895" s="52">
        <f>IF(expected_production[[#This Row],[Base Expected (kWh)]]="","",expected_production[[#This Row],[Base Expected (kWh)]]*expected_production[[#This Row],[Degradation Factor]])</f>
        <v>18902.081917614007</v>
      </c>
    </row>
    <row r="896" spans="1:7" ht="15" hidden="1" customHeight="1" x14ac:dyDescent="0.3">
      <c r="A896" t="s">
        <v>114</v>
      </c>
      <c r="B896" s="2">
        <v>46174</v>
      </c>
      <c r="C896" s="52">
        <v>17076.599999999999</v>
      </c>
      <c r="D896" s="48">
        <f>_xlfn.XLOOKUP(expected_production[[#This Row],[Site Name]],Table1[[Site Name ]],Table1[Commisioned Date],"")</f>
        <v>45056</v>
      </c>
      <c r="E896" s="47">
        <f>IF(ISNUMBER(expected_production[[#This Row],[Commissioned Date]]),MAX(0,(expected_production[[#This Row],[Date]]-expected_production[[#This Row],[Commissioned Date]])/365.25),"")</f>
        <v>3.0609171800136892</v>
      </c>
      <c r="F896" s="49">
        <f>IF(expected_production[[#This Row],[Age (yrs)]]="",1,(1-DegradationRate)^expected_production[[#This Row],[Age (yrs)]])</f>
        <v>0.97872775045989902</v>
      </c>
      <c r="G896" s="52">
        <f>IF(expected_production[[#This Row],[Base Expected (kWh)]]="","",expected_production[[#This Row],[Base Expected (kWh)]]*expected_production[[#This Row],[Degradation Factor]])</f>
        <v>16713.342303503508</v>
      </c>
    </row>
    <row r="897" spans="1:7" ht="15" hidden="1" customHeight="1" x14ac:dyDescent="0.3">
      <c r="A897" t="s">
        <v>114</v>
      </c>
      <c r="B897" s="2">
        <v>46204</v>
      </c>
      <c r="C897" s="52">
        <v>19010.7</v>
      </c>
      <c r="D897" s="48">
        <f>_xlfn.XLOOKUP(expected_production[[#This Row],[Site Name]],Table1[[Site Name ]],Table1[Commisioned Date],"")</f>
        <v>45056</v>
      </c>
      <c r="E897" s="47">
        <f>IF(ISNUMBER(expected_production[[#This Row],[Commissioned Date]]),MAX(0,(expected_production[[#This Row],[Date]]-expected_production[[#This Row],[Commissioned Date]])/365.25),"")</f>
        <v>3.1430527036276521</v>
      </c>
      <c r="F897" s="49">
        <f>IF(expected_production[[#This Row],[Age (yrs)]]="",1,(1-DegradationRate)^expected_production[[#This Row],[Age (yrs)]])</f>
        <v>0.97816321636814341</v>
      </c>
      <c r="G897" s="52">
        <f>IF(expected_production[[#This Row],[Base Expected (kWh)]]="","",expected_production[[#This Row],[Base Expected (kWh)]]*expected_production[[#This Row],[Degradation Factor]])</f>
        <v>18595.567457409863</v>
      </c>
    </row>
    <row r="898" spans="1:7" ht="15" hidden="1" customHeight="1" x14ac:dyDescent="0.3">
      <c r="A898" t="s">
        <v>114</v>
      </c>
      <c r="B898" s="2">
        <v>46235</v>
      </c>
      <c r="C898" s="52">
        <v>22169.7</v>
      </c>
      <c r="D898" s="48">
        <f>_xlfn.XLOOKUP(expected_production[[#This Row],[Site Name]],Table1[[Site Name ]],Table1[Commisioned Date],"")</f>
        <v>45056</v>
      </c>
      <c r="E898" s="47">
        <f>IF(ISNUMBER(expected_production[[#This Row],[Commissioned Date]]),MAX(0,(expected_production[[#This Row],[Date]]-expected_production[[#This Row],[Commissioned Date]])/365.25),"")</f>
        <v>3.2279260780287475</v>
      </c>
      <c r="F898" s="49">
        <f>IF(expected_production[[#This Row],[Age (yrs)]]="",1,(1-DegradationRate)^expected_production[[#This Row],[Age (yrs)]])</f>
        <v>0.97758020655884426</v>
      </c>
      <c r="G898" s="52">
        <f>IF(expected_production[[#This Row],[Base Expected (kWh)]]="","",expected_production[[#This Row],[Base Expected (kWh)]]*expected_production[[#This Row],[Degradation Factor]])</f>
        <v>21672.659905347609</v>
      </c>
    </row>
    <row r="899" spans="1:7" ht="15" hidden="1" customHeight="1" x14ac:dyDescent="0.3">
      <c r="A899" t="s">
        <v>114</v>
      </c>
      <c r="B899" s="2">
        <v>46266</v>
      </c>
      <c r="C899" s="52">
        <v>24661.8</v>
      </c>
      <c r="D899" s="48">
        <f>_xlfn.XLOOKUP(expected_production[[#This Row],[Site Name]],Table1[[Site Name ]],Table1[Commisioned Date],"")</f>
        <v>45056</v>
      </c>
      <c r="E899" s="47">
        <f>IF(ISNUMBER(expected_production[[#This Row],[Commissioned Date]]),MAX(0,(expected_production[[#This Row],[Date]]-expected_production[[#This Row],[Commissioned Date]])/365.25),"")</f>
        <v>3.3127994524298425</v>
      </c>
      <c r="F899" s="49">
        <f>IF(expected_production[[#This Row],[Age (yrs)]]="",1,(1-DegradationRate)^expected_production[[#This Row],[Age (yrs)]])</f>
        <v>0.97699754423801344</v>
      </c>
      <c r="G899" s="52">
        <f>IF(expected_production[[#This Row],[Base Expected (kWh)]]="","",expected_production[[#This Row],[Base Expected (kWh)]]*expected_production[[#This Row],[Degradation Factor]])</f>
        <v>24094.51803648904</v>
      </c>
    </row>
    <row r="900" spans="1:7" ht="15" hidden="1" customHeight="1" x14ac:dyDescent="0.3">
      <c r="A900" t="s">
        <v>114</v>
      </c>
      <c r="B900" s="2">
        <v>46296</v>
      </c>
      <c r="C900" s="52">
        <v>27450.9</v>
      </c>
      <c r="D900" s="48">
        <f>_xlfn.XLOOKUP(expected_production[[#This Row],[Site Name]],Table1[[Site Name ]],Table1[Commisioned Date],"")</f>
        <v>45056</v>
      </c>
      <c r="E900" s="47">
        <f>IF(ISNUMBER(expected_production[[#This Row],[Commissioned Date]]),MAX(0,(expected_production[[#This Row],[Date]]-expected_production[[#This Row],[Commissioned Date]])/365.25),"")</f>
        <v>3.3949349760438055</v>
      </c>
      <c r="F900" s="49">
        <f>IF(expected_production[[#This Row],[Age (yrs)]]="",1,(1-DegradationRate)^expected_production[[#This Row],[Age (yrs)]])</f>
        <v>0.97643400813614578</v>
      </c>
      <c r="G900" s="52">
        <f>IF(expected_production[[#This Row],[Base Expected (kWh)]]="","",expected_production[[#This Row],[Base Expected (kWh)]]*expected_production[[#This Row],[Degradation Factor]])</f>
        <v>26803.992313944527</v>
      </c>
    </row>
    <row r="901" spans="1:7" ht="15" hidden="1" customHeight="1" x14ac:dyDescent="0.3">
      <c r="A901" t="s">
        <v>114</v>
      </c>
      <c r="B901" s="2">
        <v>46327</v>
      </c>
      <c r="C901" s="52">
        <v>28825.200000000001</v>
      </c>
      <c r="D901" s="48">
        <f>_xlfn.XLOOKUP(expected_production[[#This Row],[Site Name]],Table1[[Site Name ]],Table1[Commisioned Date],"")</f>
        <v>45056</v>
      </c>
      <c r="E901" s="47">
        <f>IF(ISNUMBER(expected_production[[#This Row],[Commissioned Date]]),MAX(0,(expected_production[[#This Row],[Date]]-expected_production[[#This Row],[Commissioned Date]])/365.25),"")</f>
        <v>3.4798083504449009</v>
      </c>
      <c r="F901" s="49">
        <f>IF(expected_production[[#This Row],[Age (yrs)]]="",1,(1-DegradationRate)^expected_production[[#This Row],[Age (yrs)]])</f>
        <v>0.97585202897832146</v>
      </c>
      <c r="G901" s="52">
        <f>IF(expected_production[[#This Row],[Base Expected (kWh)]]="","",expected_production[[#This Row],[Base Expected (kWh)]]*expected_production[[#This Row],[Degradation Factor]])</f>
        <v>28129.129905705911</v>
      </c>
    </row>
    <row r="902" spans="1:7" ht="15" hidden="1" customHeight="1" x14ac:dyDescent="0.3">
      <c r="A902" t="s">
        <v>114</v>
      </c>
      <c r="B902" s="2">
        <v>46357</v>
      </c>
      <c r="C902" s="52">
        <v>28327.5</v>
      </c>
      <c r="D902" s="48">
        <f>_xlfn.XLOOKUP(expected_production[[#This Row],[Site Name]],Table1[[Site Name ]],Table1[Commisioned Date],"")</f>
        <v>45056</v>
      </c>
      <c r="E902" s="47">
        <f>IF(ISNUMBER(expected_production[[#This Row],[Commissioned Date]]),MAX(0,(expected_production[[#This Row],[Date]]-expected_production[[#This Row],[Commissioned Date]])/365.25),"")</f>
        <v>3.5619438740588638</v>
      </c>
      <c r="F902" s="49">
        <f>IF(expected_production[[#This Row],[Age (yrs)]]="",1,(1-DegradationRate)^expected_production[[#This Row],[Age (yrs)]])</f>
        <v>0.97528915361424984</v>
      </c>
      <c r="G902" s="52">
        <f>IF(expected_production[[#This Row],[Base Expected (kWh)]]="","",expected_production[[#This Row],[Base Expected (kWh)]]*expected_production[[#This Row],[Degradation Factor]])</f>
        <v>27627.503499007664</v>
      </c>
    </row>
    <row r="903" spans="1:7" ht="15" hidden="1" customHeight="1" x14ac:dyDescent="0.3">
      <c r="A903" t="s">
        <v>117</v>
      </c>
      <c r="B903" s="2">
        <v>45292</v>
      </c>
      <c r="C903" s="52">
        <v>30214.799999999999</v>
      </c>
      <c r="D903" s="48">
        <f>_xlfn.XLOOKUP(expected_production[[#This Row],[Site Name]],Table1[[Site Name ]],Table1[Commisioned Date],"")</f>
        <v>45463</v>
      </c>
      <c r="E903" s="47">
        <f>IF(ISNUMBER(expected_production[[#This Row],[Commissioned Date]]),MAX(0,(expected_production[[#This Row],[Date]]-expected_production[[#This Row],[Commissioned Date]])/365.25),"")</f>
        <v>0</v>
      </c>
      <c r="F903" s="49">
        <f>IF(expected_production[[#This Row],[Age (yrs)]]="",1,(1-DegradationRate)^expected_production[[#This Row],[Age (yrs)]])</f>
        <v>1</v>
      </c>
      <c r="G903" s="52">
        <f>IF(expected_production[[#This Row],[Base Expected (kWh)]]="","",expected_production[[#This Row],[Base Expected (kWh)]]*expected_production[[#This Row],[Degradation Factor]])</f>
        <v>30214.799999999999</v>
      </c>
    </row>
    <row r="904" spans="1:7" ht="15" hidden="1" customHeight="1" x14ac:dyDescent="0.3">
      <c r="A904" t="s">
        <v>117</v>
      </c>
      <c r="B904" s="2">
        <v>45323</v>
      </c>
      <c r="C904" s="52">
        <v>26381.7</v>
      </c>
      <c r="D904" s="48">
        <f>_xlfn.XLOOKUP(expected_production[[#This Row],[Site Name]],Table1[[Site Name ]],Table1[Commisioned Date],"")</f>
        <v>45463</v>
      </c>
      <c r="E904" s="47">
        <f>IF(ISNUMBER(expected_production[[#This Row],[Commissioned Date]]),MAX(0,(expected_production[[#This Row],[Date]]-expected_production[[#This Row],[Commissioned Date]])/365.25),"")</f>
        <v>0</v>
      </c>
      <c r="F904" s="49">
        <f>IF(expected_production[[#This Row],[Age (yrs)]]="",1,(1-DegradationRate)^expected_production[[#This Row],[Age (yrs)]])</f>
        <v>1</v>
      </c>
      <c r="G904" s="52">
        <f>IF(expected_production[[#This Row],[Base Expected (kWh)]]="","",expected_production[[#This Row],[Base Expected (kWh)]]*expected_production[[#This Row],[Degradation Factor]])</f>
        <v>26381.7</v>
      </c>
    </row>
    <row r="905" spans="1:7" ht="15" hidden="1" customHeight="1" x14ac:dyDescent="0.3">
      <c r="A905" t="s">
        <v>117</v>
      </c>
      <c r="B905" s="2">
        <v>45352</v>
      </c>
      <c r="C905" s="52">
        <v>27566.1</v>
      </c>
      <c r="D905" s="48">
        <f>_xlfn.XLOOKUP(expected_production[[#This Row],[Site Name]],Table1[[Site Name ]],Table1[Commisioned Date],"")</f>
        <v>45463</v>
      </c>
      <c r="E905" s="47">
        <f>IF(ISNUMBER(expected_production[[#This Row],[Commissioned Date]]),MAX(0,(expected_production[[#This Row],[Date]]-expected_production[[#This Row],[Commissioned Date]])/365.25),"")</f>
        <v>0</v>
      </c>
      <c r="F905" s="49">
        <f>IF(expected_production[[#This Row],[Age (yrs)]]="",1,(1-DegradationRate)^expected_production[[#This Row],[Age (yrs)]])</f>
        <v>1</v>
      </c>
      <c r="G905" s="52">
        <f>IF(expected_production[[#This Row],[Base Expected (kWh)]]="","",expected_production[[#This Row],[Base Expected (kWh)]]*expected_production[[#This Row],[Degradation Factor]])</f>
        <v>27566.1</v>
      </c>
    </row>
    <row r="906" spans="1:7" ht="15" hidden="1" customHeight="1" x14ac:dyDescent="0.3">
      <c r="A906" t="s">
        <v>117</v>
      </c>
      <c r="B906" s="2">
        <v>45383</v>
      </c>
      <c r="C906" s="52">
        <v>23747.4</v>
      </c>
      <c r="D906" s="48">
        <f>_xlfn.XLOOKUP(expected_production[[#This Row],[Site Name]],Table1[[Site Name ]],Table1[Commisioned Date],"")</f>
        <v>45463</v>
      </c>
      <c r="E906" s="47">
        <f>IF(ISNUMBER(expected_production[[#This Row],[Commissioned Date]]),MAX(0,(expected_production[[#This Row],[Date]]-expected_production[[#This Row],[Commissioned Date]])/365.25),"")</f>
        <v>0</v>
      </c>
      <c r="F906" s="49">
        <f>IF(expected_production[[#This Row],[Age (yrs)]]="",1,(1-DegradationRate)^expected_production[[#This Row],[Age (yrs)]])</f>
        <v>1</v>
      </c>
      <c r="G906" s="52">
        <f>IF(expected_production[[#This Row],[Base Expected (kWh)]]="","",expected_production[[#This Row],[Base Expected (kWh)]]*expected_production[[#This Row],[Degradation Factor]])</f>
        <v>23747.4</v>
      </c>
    </row>
    <row r="907" spans="1:7" ht="15" hidden="1" customHeight="1" x14ac:dyDescent="0.3">
      <c r="A907" t="s">
        <v>117</v>
      </c>
      <c r="B907" s="2">
        <v>45413</v>
      </c>
      <c r="C907" s="52">
        <v>22569.3</v>
      </c>
      <c r="D907" s="48">
        <f>_xlfn.XLOOKUP(expected_production[[#This Row],[Site Name]],Table1[[Site Name ]],Table1[Commisioned Date],"")</f>
        <v>45463</v>
      </c>
      <c r="E907" s="47">
        <f>IF(ISNUMBER(expected_production[[#This Row],[Commissioned Date]]),MAX(0,(expected_production[[#This Row],[Date]]-expected_production[[#This Row],[Commissioned Date]])/365.25),"")</f>
        <v>0</v>
      </c>
      <c r="F907" s="49">
        <f>IF(expected_production[[#This Row],[Age (yrs)]]="",1,(1-DegradationRate)^expected_production[[#This Row],[Age (yrs)]])</f>
        <v>1</v>
      </c>
      <c r="G907" s="52">
        <f>IF(expected_production[[#This Row],[Base Expected (kWh)]]="","",expected_production[[#This Row],[Base Expected (kWh)]]*expected_production[[#This Row],[Degradation Factor]])</f>
        <v>22569.3</v>
      </c>
    </row>
    <row r="908" spans="1:7" ht="15" hidden="1" customHeight="1" x14ac:dyDescent="0.3">
      <c r="A908" t="s">
        <v>117</v>
      </c>
      <c r="B908" s="2">
        <v>45444</v>
      </c>
      <c r="C908" s="52">
        <v>20228.400000000001</v>
      </c>
      <c r="D908" s="48">
        <f>_xlfn.XLOOKUP(expected_production[[#This Row],[Site Name]],Table1[[Site Name ]],Table1[Commisioned Date],"")</f>
        <v>45463</v>
      </c>
      <c r="E908" s="47">
        <f>IF(ISNUMBER(expected_production[[#This Row],[Commissioned Date]]),MAX(0,(expected_production[[#This Row],[Date]]-expected_production[[#This Row],[Commissioned Date]])/365.25),"")</f>
        <v>0</v>
      </c>
      <c r="F908" s="49">
        <f>IF(expected_production[[#This Row],[Age (yrs)]]="",1,(1-DegradationRate)^expected_production[[#This Row],[Age (yrs)]])</f>
        <v>1</v>
      </c>
      <c r="G908" s="52">
        <f>IF(expected_production[[#This Row],[Base Expected (kWh)]]="","",expected_production[[#This Row],[Base Expected (kWh)]]*expected_production[[#This Row],[Degradation Factor]])</f>
        <v>20228.400000000001</v>
      </c>
    </row>
    <row r="909" spans="1:7" ht="15" hidden="1" customHeight="1" x14ac:dyDescent="0.3">
      <c r="A909" t="s">
        <v>117</v>
      </c>
      <c r="B909" s="2">
        <v>45474</v>
      </c>
      <c r="C909" s="52">
        <v>22354.2</v>
      </c>
      <c r="D909" s="48">
        <f>_xlfn.XLOOKUP(expected_production[[#This Row],[Site Name]],Table1[[Site Name ]],Table1[Commisioned Date],"")</f>
        <v>45463</v>
      </c>
      <c r="E909" s="47">
        <f>IF(ISNUMBER(expected_production[[#This Row],[Commissioned Date]]),MAX(0,(expected_production[[#This Row],[Date]]-expected_production[[#This Row],[Commissioned Date]])/365.25),"")</f>
        <v>3.0116358658453114E-2</v>
      </c>
      <c r="F909" s="49">
        <f>IF(expected_production[[#This Row],[Age (yrs)]]="",1,(1-DegradationRate)^expected_production[[#This Row],[Age (yrs)]])</f>
        <v>0.99978846655347597</v>
      </c>
      <c r="G909" s="52">
        <f>IF(expected_production[[#This Row],[Base Expected (kWh)]]="","",expected_production[[#This Row],[Base Expected (kWh)]]*expected_production[[#This Row],[Degradation Factor]])</f>
        <v>22349.471339029715</v>
      </c>
    </row>
    <row r="910" spans="1:7" ht="15" hidden="1" customHeight="1" x14ac:dyDescent="0.3">
      <c r="A910" t="s">
        <v>117</v>
      </c>
      <c r="B910" s="2">
        <v>45505</v>
      </c>
      <c r="C910" s="52">
        <v>26968.5</v>
      </c>
      <c r="D910" s="48">
        <f>_xlfn.XLOOKUP(expected_production[[#This Row],[Site Name]],Table1[[Site Name ]],Table1[Commisioned Date],"")</f>
        <v>45463</v>
      </c>
      <c r="E910" s="47">
        <f>IF(ISNUMBER(expected_production[[#This Row],[Commissioned Date]]),MAX(0,(expected_production[[#This Row],[Date]]-expected_production[[#This Row],[Commissioned Date]])/365.25),"")</f>
        <v>0.11498973305954825</v>
      </c>
      <c r="F910" s="49">
        <f>IF(expected_production[[#This Row],[Age (yrs)]]="",1,(1-DegradationRate)^expected_production[[#This Row],[Age (yrs)]])</f>
        <v>0.99919256755270491</v>
      </c>
      <c r="G910" s="52">
        <f>IF(expected_production[[#This Row],[Base Expected (kWh)]]="","",expected_production[[#This Row],[Base Expected (kWh)]]*expected_production[[#This Row],[Degradation Factor]])</f>
        <v>26946.724758045122</v>
      </c>
    </row>
    <row r="911" spans="1:7" ht="15" hidden="1" customHeight="1" x14ac:dyDescent="0.3">
      <c r="A911" t="s">
        <v>117</v>
      </c>
      <c r="B911" s="2">
        <v>45536</v>
      </c>
      <c r="C911" s="52">
        <v>28840.5</v>
      </c>
      <c r="D911" s="48">
        <f>_xlfn.XLOOKUP(expected_production[[#This Row],[Site Name]],Table1[[Site Name ]],Table1[Commisioned Date],"")</f>
        <v>45463</v>
      </c>
      <c r="E911" s="47">
        <f>IF(ISNUMBER(expected_production[[#This Row],[Commissioned Date]]),MAX(0,(expected_production[[#This Row],[Date]]-expected_production[[#This Row],[Commissioned Date]])/365.25),"")</f>
        <v>0.1998631074606434</v>
      </c>
      <c r="F911" s="49">
        <f>IF(expected_production[[#This Row],[Age (yrs)]]="",1,(1-DegradationRate)^expected_production[[#This Row],[Age (yrs)]])</f>
        <v>0.99859702372268344</v>
      </c>
      <c r="G911" s="52">
        <f>IF(expected_production[[#This Row],[Base Expected (kWh)]]="","",expected_production[[#This Row],[Base Expected (kWh)]]*expected_production[[#This Row],[Degradation Factor]])</f>
        <v>28800.037462674052</v>
      </c>
    </row>
    <row r="912" spans="1:7" ht="15" hidden="1" customHeight="1" x14ac:dyDescent="0.3">
      <c r="A912" t="s">
        <v>117</v>
      </c>
      <c r="B912" s="2">
        <v>45566</v>
      </c>
      <c r="C912" s="52">
        <v>30258</v>
      </c>
      <c r="D912" s="48">
        <f>_xlfn.XLOOKUP(expected_production[[#This Row],[Site Name]],Table1[[Site Name ]],Table1[Commisioned Date],"")</f>
        <v>45463</v>
      </c>
      <c r="E912" s="47">
        <f>IF(ISNUMBER(expected_production[[#This Row],[Commissioned Date]]),MAX(0,(expected_production[[#This Row],[Date]]-expected_production[[#This Row],[Commissioned Date]])/365.25),"")</f>
        <v>0.28199863107460643</v>
      </c>
      <c r="F912" s="49">
        <f>IF(expected_production[[#This Row],[Age (yrs)]]="",1,(1-DegradationRate)^expected_production[[#This Row],[Age (yrs)]])</f>
        <v>0.99802102895442202</v>
      </c>
      <c r="G912" s="52">
        <f>IF(expected_production[[#This Row],[Base Expected (kWh)]]="","",expected_production[[#This Row],[Base Expected (kWh)]]*expected_production[[#This Row],[Degradation Factor]])</f>
        <v>30198.120294102901</v>
      </c>
    </row>
    <row r="913" spans="1:7" ht="15" hidden="1" customHeight="1" x14ac:dyDescent="0.3">
      <c r="A913" t="s">
        <v>117</v>
      </c>
      <c r="B913" s="2">
        <v>45597</v>
      </c>
      <c r="C913" s="52">
        <v>29380.5</v>
      </c>
      <c r="D913" s="48">
        <f>_xlfn.XLOOKUP(expected_production[[#This Row],[Site Name]],Table1[[Site Name ]],Table1[Commisioned Date],"")</f>
        <v>45463</v>
      </c>
      <c r="E913" s="47">
        <f>IF(ISNUMBER(expected_production[[#This Row],[Commissioned Date]]),MAX(0,(expected_production[[#This Row],[Date]]-expected_production[[#This Row],[Commissioned Date]])/365.25),"")</f>
        <v>0.36687200547570159</v>
      </c>
      <c r="F913" s="49">
        <f>IF(expected_production[[#This Row],[Age (yrs)]]="",1,(1-DegradationRate)^expected_production[[#This Row],[Age (yrs)]])</f>
        <v>0.99742618339078737</v>
      </c>
      <c r="G913" s="52">
        <f>IF(expected_production[[#This Row],[Base Expected (kWh)]]="","",expected_production[[#This Row],[Base Expected (kWh)]]*expected_production[[#This Row],[Degradation Factor]])</f>
        <v>29304.879981113027</v>
      </c>
    </row>
    <row r="914" spans="1:7" ht="15" hidden="1" customHeight="1" x14ac:dyDescent="0.3">
      <c r="A914" t="s">
        <v>117</v>
      </c>
      <c r="B914" s="2">
        <v>45627</v>
      </c>
      <c r="C914" s="52">
        <v>31219.200000000001</v>
      </c>
      <c r="D914" s="48">
        <f>_xlfn.XLOOKUP(expected_production[[#This Row],[Site Name]],Table1[[Site Name ]],Table1[Commisioned Date],"")</f>
        <v>45463</v>
      </c>
      <c r="E914" s="47">
        <f>IF(ISNUMBER(expected_production[[#This Row],[Commissioned Date]]),MAX(0,(expected_production[[#This Row],[Date]]-expected_production[[#This Row],[Commissioned Date]])/365.25),"")</f>
        <v>0.44900752908966463</v>
      </c>
      <c r="F914" s="49">
        <f>IF(expected_production[[#This Row],[Age (yrs)]]="",1,(1-DegradationRate)^expected_production[[#This Row],[Age (yrs)]])</f>
        <v>0.99685086396792522</v>
      </c>
      <c r="G914" s="52">
        <f>IF(expected_production[[#This Row],[Base Expected (kWh)]]="","",expected_production[[#This Row],[Base Expected (kWh)]]*expected_production[[#This Row],[Degradation Factor]])</f>
        <v>31120.88649238745</v>
      </c>
    </row>
    <row r="915" spans="1:7" ht="15" hidden="1" customHeight="1" x14ac:dyDescent="0.3">
      <c r="A915" t="s">
        <v>117</v>
      </c>
      <c r="B915" s="2">
        <v>45658</v>
      </c>
      <c r="C915" s="52">
        <v>30214.799999999999</v>
      </c>
      <c r="D915" s="48">
        <f>_xlfn.XLOOKUP(expected_production[[#This Row],[Site Name]],Table1[[Site Name ]],Table1[Commisioned Date],"")</f>
        <v>45463</v>
      </c>
      <c r="E915" s="47">
        <f>IF(ISNUMBER(expected_production[[#This Row],[Commissioned Date]]),MAX(0,(expected_production[[#This Row],[Date]]-expected_production[[#This Row],[Commissioned Date]])/365.25),"")</f>
        <v>0.53388090349075978</v>
      </c>
      <c r="F915" s="49">
        <f>IF(expected_production[[#This Row],[Age (yrs)]]="",1,(1-DegradationRate)^expected_production[[#This Row],[Age (yrs)]])</f>
        <v>0.99625671585197029</v>
      </c>
      <c r="G915" s="52">
        <f>IF(expected_production[[#This Row],[Base Expected (kWh)]]="","",expected_production[[#This Row],[Base Expected (kWh)]]*expected_production[[#This Row],[Degradation Factor]])</f>
        <v>30101.697418124109</v>
      </c>
    </row>
    <row r="916" spans="1:7" ht="15" hidden="1" customHeight="1" x14ac:dyDescent="0.3">
      <c r="A916" t="s">
        <v>117</v>
      </c>
      <c r="B916" s="2">
        <v>45689</v>
      </c>
      <c r="C916" s="52">
        <v>26381.7</v>
      </c>
      <c r="D916" s="48">
        <f>_xlfn.XLOOKUP(expected_production[[#This Row],[Site Name]],Table1[[Site Name ]],Table1[Commisioned Date],"")</f>
        <v>45463</v>
      </c>
      <c r="E916" s="47">
        <f>IF(ISNUMBER(expected_production[[#This Row],[Commissioned Date]]),MAX(0,(expected_production[[#This Row],[Date]]-expected_production[[#This Row],[Commissioned Date]])/365.25),"")</f>
        <v>0.61875427789185489</v>
      </c>
      <c r="F916" s="49">
        <f>IF(expected_production[[#This Row],[Age (yrs)]]="",1,(1-DegradationRate)^expected_production[[#This Row],[Age (yrs)]])</f>
        <v>0.99566292186319361</v>
      </c>
      <c r="G916" s="52">
        <f>IF(expected_production[[#This Row],[Base Expected (kWh)]]="","",expected_production[[#This Row],[Base Expected (kWh)]]*expected_production[[#This Row],[Degradation Factor]])</f>
        <v>26267.280505718216</v>
      </c>
    </row>
    <row r="917" spans="1:7" ht="15" hidden="1" customHeight="1" x14ac:dyDescent="0.3">
      <c r="A917" t="s">
        <v>117</v>
      </c>
      <c r="B917" s="2">
        <v>45717</v>
      </c>
      <c r="C917" s="52">
        <v>27566.1</v>
      </c>
      <c r="D917" s="48">
        <f>_xlfn.XLOOKUP(expected_production[[#This Row],[Site Name]],Table1[[Site Name ]],Table1[Commisioned Date],"")</f>
        <v>45463</v>
      </c>
      <c r="E917" s="47">
        <f>IF(ISNUMBER(expected_production[[#This Row],[Commissioned Date]]),MAX(0,(expected_production[[#This Row],[Date]]-expected_production[[#This Row],[Commissioned Date]])/365.25),"")</f>
        <v>0.69541409993155368</v>
      </c>
      <c r="F917" s="49">
        <f>IF(expected_production[[#This Row],[Age (yrs)]]="",1,(1-DegradationRate)^expected_production[[#This Row],[Age (yrs)]])</f>
        <v>0.99512689601311044</v>
      </c>
      <c r="G917" s="52">
        <f>IF(expected_production[[#This Row],[Base Expected (kWh)]]="","",expected_production[[#This Row],[Base Expected (kWh)]]*expected_production[[#This Row],[Degradation Factor]])</f>
        <v>27431.767528187003</v>
      </c>
    </row>
    <row r="918" spans="1:7" ht="15" hidden="1" customHeight="1" x14ac:dyDescent="0.3">
      <c r="A918" t="s">
        <v>117</v>
      </c>
      <c r="B918" s="2">
        <v>45748</v>
      </c>
      <c r="C918" s="52">
        <v>23747.4</v>
      </c>
      <c r="D918" s="48">
        <f>_xlfn.XLOOKUP(expected_production[[#This Row],[Site Name]],Table1[[Site Name ]],Table1[Commisioned Date],"")</f>
        <v>45463</v>
      </c>
      <c r="E918" s="47">
        <f>IF(ISNUMBER(expected_production[[#This Row],[Commissioned Date]]),MAX(0,(expected_production[[#This Row],[Date]]-expected_production[[#This Row],[Commissioned Date]])/365.25),"")</f>
        <v>0.78028747433264889</v>
      </c>
      <c r="F918" s="49">
        <f>IF(expected_production[[#This Row],[Age (yrs)]]="",1,(1-DegradationRate)^expected_production[[#This Row],[Age (yrs)]])</f>
        <v>0.99453377542529364</v>
      </c>
      <c r="G918" s="52">
        <f>IF(expected_production[[#This Row],[Base Expected (kWh)]]="","",expected_production[[#This Row],[Base Expected (kWh)]]*expected_production[[#This Row],[Degradation Factor]])</f>
        <v>23617.59137853462</v>
      </c>
    </row>
    <row r="919" spans="1:7" ht="15" hidden="1" customHeight="1" x14ac:dyDescent="0.3">
      <c r="A919" t="s">
        <v>117</v>
      </c>
      <c r="B919" s="2">
        <v>45778</v>
      </c>
      <c r="C919" s="52">
        <v>22569.3</v>
      </c>
      <c r="D919" s="48">
        <f>_xlfn.XLOOKUP(expected_production[[#This Row],[Site Name]],Table1[[Site Name ]],Table1[Commisioned Date],"")</f>
        <v>45463</v>
      </c>
      <c r="E919" s="47">
        <f>IF(ISNUMBER(expected_production[[#This Row],[Commissioned Date]]),MAX(0,(expected_production[[#This Row],[Date]]-expected_production[[#This Row],[Commissioned Date]])/365.25),"")</f>
        <v>0.86242299794661192</v>
      </c>
      <c r="F919" s="49">
        <f>IF(expected_production[[#This Row],[Age (yrs)]]="",1,(1-DegradationRate)^expected_production[[#This Row],[Age (yrs)]])</f>
        <v>0.99396012435494629</v>
      </c>
      <c r="G919" s="52">
        <f>IF(expected_production[[#This Row],[Base Expected (kWh)]]="","",expected_production[[#This Row],[Base Expected (kWh)]]*expected_production[[#This Row],[Degradation Factor]])</f>
        <v>22432.98423460409</v>
      </c>
    </row>
    <row r="920" spans="1:7" ht="15" hidden="1" customHeight="1" x14ac:dyDescent="0.3">
      <c r="A920" t="s">
        <v>117</v>
      </c>
      <c r="B920" s="2">
        <v>45809</v>
      </c>
      <c r="C920" s="52">
        <v>20228.400000000001</v>
      </c>
      <c r="D920" s="48">
        <f>_xlfn.XLOOKUP(expected_production[[#This Row],[Site Name]],Table1[[Site Name ]],Table1[Commisioned Date],"")</f>
        <v>45463</v>
      </c>
      <c r="E920" s="47">
        <f>IF(ISNUMBER(expected_production[[#This Row],[Commissioned Date]]),MAX(0,(expected_production[[#This Row],[Date]]-expected_production[[#This Row],[Commissioned Date]])/365.25),"")</f>
        <v>0.94729637234770703</v>
      </c>
      <c r="F920" s="49">
        <f>IF(expected_production[[#This Row],[Age (yrs)]]="",1,(1-DegradationRate)^expected_production[[#This Row],[Age (yrs)]])</f>
        <v>0.99336769919230039</v>
      </c>
      <c r="G920" s="52">
        <f>IF(expected_production[[#This Row],[Base Expected (kWh)]]="","",expected_production[[#This Row],[Base Expected (kWh)]]*expected_production[[#This Row],[Degradation Factor]])</f>
        <v>20094.239166341529</v>
      </c>
    </row>
    <row r="921" spans="1:7" ht="15" hidden="1" customHeight="1" x14ac:dyDescent="0.3">
      <c r="A921" t="s">
        <v>117</v>
      </c>
      <c r="B921" s="2">
        <v>45839</v>
      </c>
      <c r="C921" s="52">
        <v>22354.2</v>
      </c>
      <c r="D921" s="48">
        <f>_xlfn.XLOOKUP(expected_production[[#This Row],[Site Name]],Table1[[Site Name ]],Table1[Commisioned Date],"")</f>
        <v>45463</v>
      </c>
      <c r="E921" s="47">
        <f>IF(ISNUMBER(expected_production[[#This Row],[Commissioned Date]]),MAX(0,(expected_production[[#This Row],[Date]]-expected_production[[#This Row],[Commissioned Date]])/365.25),"")</f>
        <v>1.0294318959616702</v>
      </c>
      <c r="F921" s="49">
        <f>IF(expected_production[[#This Row],[Age (yrs)]]="",1,(1-DegradationRate)^expected_production[[#This Row],[Age (yrs)]])</f>
        <v>0.99279472071940089</v>
      </c>
      <c r="G921" s="52">
        <f>IF(expected_production[[#This Row],[Base Expected (kWh)]]="","",expected_production[[#This Row],[Base Expected (kWh)]]*expected_production[[#This Row],[Degradation Factor]])</f>
        <v>22193.131745905634</v>
      </c>
    </row>
    <row r="922" spans="1:7" ht="15" hidden="1" customHeight="1" x14ac:dyDescent="0.3">
      <c r="A922" t="s">
        <v>117</v>
      </c>
      <c r="B922" s="2">
        <v>45870</v>
      </c>
      <c r="C922" s="52">
        <v>26968.5</v>
      </c>
      <c r="D922" s="48">
        <f>_xlfn.XLOOKUP(expected_production[[#This Row],[Site Name]],Table1[[Site Name ]],Table1[Commisioned Date],"")</f>
        <v>45463</v>
      </c>
      <c r="E922" s="47">
        <f>IF(ISNUMBER(expected_production[[#This Row],[Commissioned Date]]),MAX(0,(expected_production[[#This Row],[Date]]-expected_production[[#This Row],[Commissioned Date]])/365.25),"")</f>
        <v>1.1143052703627652</v>
      </c>
      <c r="F922" s="49">
        <f>IF(expected_production[[#This Row],[Age (yrs)]]="",1,(1-DegradationRate)^expected_production[[#This Row],[Age (yrs)]])</f>
        <v>0.99220299016655011</v>
      </c>
      <c r="G922" s="52">
        <f>IF(expected_production[[#This Row],[Base Expected (kWh)]]="","",expected_production[[#This Row],[Base Expected (kWh)]]*expected_production[[#This Row],[Degradation Factor]])</f>
        <v>26758.226340306606</v>
      </c>
    </row>
    <row r="923" spans="1:7" ht="15" hidden="1" customHeight="1" x14ac:dyDescent="0.3">
      <c r="A923" t="s">
        <v>117</v>
      </c>
      <c r="B923" s="2">
        <v>45901</v>
      </c>
      <c r="C923" s="52">
        <v>28840.5</v>
      </c>
      <c r="D923" s="48">
        <f>_xlfn.XLOOKUP(expected_production[[#This Row],[Site Name]],Table1[[Site Name ]],Table1[Commisioned Date],"")</f>
        <v>45463</v>
      </c>
      <c r="E923" s="47">
        <f>IF(ISNUMBER(expected_production[[#This Row],[Commissioned Date]]),MAX(0,(expected_production[[#This Row],[Date]]-expected_production[[#This Row],[Commissioned Date]])/365.25),"")</f>
        <v>1.1991786447638604</v>
      </c>
      <c r="F923" s="49">
        <f>IF(expected_production[[#This Row],[Age (yrs)]]="",1,(1-DegradationRate)^expected_production[[#This Row],[Age (yrs)]])</f>
        <v>0.99161161229994954</v>
      </c>
      <c r="G923" s="52">
        <f>IF(expected_production[[#This Row],[Base Expected (kWh)]]="","",expected_production[[#This Row],[Base Expected (kWh)]]*expected_production[[#This Row],[Degradation Factor]])</f>
        <v>28598.574704536695</v>
      </c>
    </row>
    <row r="924" spans="1:7" ht="15" hidden="1" customHeight="1" x14ac:dyDescent="0.3">
      <c r="A924" t="s">
        <v>117</v>
      </c>
      <c r="B924" s="2">
        <v>45931</v>
      </c>
      <c r="C924" s="52">
        <v>30258</v>
      </c>
      <c r="D924" s="48">
        <f>_xlfn.XLOOKUP(expected_production[[#This Row],[Site Name]],Table1[[Site Name ]],Table1[Commisioned Date],"")</f>
        <v>45463</v>
      </c>
      <c r="E924" s="47">
        <f>IF(ISNUMBER(expected_production[[#This Row],[Commissioned Date]]),MAX(0,(expected_production[[#This Row],[Date]]-expected_production[[#This Row],[Commissioned Date]])/365.25),"")</f>
        <v>1.2813141683778233</v>
      </c>
      <c r="F924" s="49">
        <f>IF(expected_production[[#This Row],[Age (yrs)]]="",1,(1-DegradationRate)^expected_production[[#This Row],[Age (yrs)]])</f>
        <v>0.99103964674501255</v>
      </c>
      <c r="G924" s="52">
        <f>IF(expected_production[[#This Row],[Base Expected (kWh)]]="","",expected_production[[#This Row],[Base Expected (kWh)]]*expected_production[[#This Row],[Degradation Factor]])</f>
        <v>29986.877631210591</v>
      </c>
    </row>
    <row r="925" spans="1:7" ht="15" hidden="1" customHeight="1" x14ac:dyDescent="0.3">
      <c r="A925" t="s">
        <v>117</v>
      </c>
      <c r="B925" s="2">
        <v>45962</v>
      </c>
      <c r="C925" s="52">
        <v>29380.5</v>
      </c>
      <c r="D925" s="48">
        <f>_xlfn.XLOOKUP(expected_production[[#This Row],[Site Name]],Table1[[Site Name ]],Table1[Commisioned Date],"")</f>
        <v>45463</v>
      </c>
      <c r="E925" s="47">
        <f>IF(ISNUMBER(expected_production[[#This Row],[Commissioned Date]]),MAX(0,(expected_production[[#This Row],[Date]]-expected_production[[#This Row],[Commissioned Date]])/365.25),"")</f>
        <v>1.3661875427789185</v>
      </c>
      <c r="F925" s="49">
        <f>IF(expected_production[[#This Row],[Age (yrs)]]="",1,(1-DegradationRate)^expected_production[[#This Row],[Age (yrs)]])</f>
        <v>0.9904489622602678</v>
      </c>
      <c r="G925" s="52">
        <f>IF(expected_production[[#This Row],[Base Expected (kWh)]]="","",expected_production[[#This Row],[Base Expected (kWh)]]*expected_production[[#This Row],[Degradation Factor]])</f>
        <v>29099.8857356878</v>
      </c>
    </row>
    <row r="926" spans="1:7" ht="15" hidden="1" customHeight="1" x14ac:dyDescent="0.3">
      <c r="A926" t="s">
        <v>117</v>
      </c>
      <c r="B926" s="2">
        <v>45992</v>
      </c>
      <c r="C926" s="52">
        <v>31219.200000000001</v>
      </c>
      <c r="D926" s="48">
        <f>_xlfn.XLOOKUP(expected_production[[#This Row],[Site Name]],Table1[[Site Name ]],Table1[Commisioned Date],"")</f>
        <v>45463</v>
      </c>
      <c r="E926" s="47">
        <f>IF(ISNUMBER(expected_production[[#This Row],[Commissioned Date]]),MAX(0,(expected_production[[#This Row],[Date]]-expected_production[[#This Row],[Commissioned Date]])/365.25),"")</f>
        <v>1.4483230663928817</v>
      </c>
      <c r="F926" s="49">
        <f>IF(expected_production[[#This Row],[Age (yrs)]]="",1,(1-DegradationRate)^expected_production[[#This Row],[Age (yrs)]])</f>
        <v>0.98987766732653659</v>
      </c>
      <c r="G926" s="52">
        <f>IF(expected_production[[#This Row],[Base Expected (kWh)]]="","",expected_production[[#This Row],[Base Expected (kWh)]]*expected_production[[#This Row],[Degradation Factor]])</f>
        <v>30903.188871800612</v>
      </c>
    </row>
    <row r="927" spans="1:7" ht="15" hidden="1" customHeight="1" x14ac:dyDescent="0.3">
      <c r="A927" t="s">
        <v>117</v>
      </c>
      <c r="B927" s="2">
        <v>46023</v>
      </c>
      <c r="C927" s="52">
        <v>30214.799999999999</v>
      </c>
      <c r="D927" s="48">
        <f>_xlfn.XLOOKUP(expected_production[[#This Row],[Site Name]],Table1[[Site Name ]],Table1[Commisioned Date],"")</f>
        <v>45463</v>
      </c>
      <c r="E927" s="47">
        <f>IF(ISNUMBER(expected_production[[#This Row],[Commissioned Date]]),MAX(0,(expected_production[[#This Row],[Date]]-expected_production[[#This Row],[Commissioned Date]])/365.25),"")</f>
        <v>1.5331964407939767</v>
      </c>
      <c r="F927" s="49">
        <f>IF(expected_production[[#This Row],[Age (yrs)]]="",1,(1-DegradationRate)^expected_production[[#This Row],[Age (yrs)]])</f>
        <v>0.98928767541066776</v>
      </c>
      <c r="G927" s="52">
        <f>IF(expected_production[[#This Row],[Base Expected (kWh)]]="","",expected_production[[#This Row],[Base Expected (kWh)]]*expected_production[[#This Row],[Degradation Factor]])</f>
        <v>29891.129254998243</v>
      </c>
    </row>
    <row r="928" spans="1:7" ht="15" hidden="1" customHeight="1" x14ac:dyDescent="0.3">
      <c r="A928" t="s">
        <v>117</v>
      </c>
      <c r="B928" s="2">
        <v>46054</v>
      </c>
      <c r="C928" s="52">
        <v>26381.7</v>
      </c>
      <c r="D928" s="48">
        <f>_xlfn.XLOOKUP(expected_production[[#This Row],[Site Name]],Table1[[Site Name ]],Table1[Commisioned Date],"")</f>
        <v>45463</v>
      </c>
      <c r="E928" s="47">
        <f>IF(ISNUMBER(expected_production[[#This Row],[Commissioned Date]]),MAX(0,(expected_production[[#This Row],[Date]]-expected_production[[#This Row],[Commissioned Date]])/365.25),"")</f>
        <v>1.6180698151950719</v>
      </c>
      <c r="F928" s="49">
        <f>IF(expected_production[[#This Row],[Age (yrs)]]="",1,(1-DegradationRate)^expected_production[[#This Row],[Age (yrs)]])</f>
        <v>0.98869803514477772</v>
      </c>
      <c r="G928" s="52">
        <f>IF(expected_production[[#This Row],[Base Expected (kWh)]]="","",expected_production[[#This Row],[Base Expected (kWh)]]*expected_production[[#This Row],[Degradation Factor]])</f>
        <v>26083.534953778984</v>
      </c>
    </row>
    <row r="929" spans="1:7" ht="15" hidden="1" customHeight="1" x14ac:dyDescent="0.3">
      <c r="A929" t="s">
        <v>117</v>
      </c>
      <c r="B929" s="2">
        <v>46082</v>
      </c>
      <c r="C929" s="52">
        <v>27566.1</v>
      </c>
      <c r="D929" s="48">
        <f>_xlfn.XLOOKUP(expected_production[[#This Row],[Site Name]],Table1[[Site Name ]],Table1[Commisioned Date],"")</f>
        <v>45463</v>
      </c>
      <c r="E929" s="47">
        <f>IF(ISNUMBER(expected_production[[#This Row],[Commissioned Date]]),MAX(0,(expected_production[[#This Row],[Date]]-expected_production[[#This Row],[Commissioned Date]])/365.25),"")</f>
        <v>1.6947296372347707</v>
      </c>
      <c r="F929" s="49">
        <f>IF(expected_production[[#This Row],[Age (yrs)]]="",1,(1-DegradationRate)^expected_production[[#This Row],[Age (yrs)]])</f>
        <v>0.98816575891642089</v>
      </c>
      <c r="G929" s="52">
        <f>IF(expected_production[[#This Row],[Base Expected (kWh)]]="","",expected_production[[#This Row],[Base Expected (kWh)]]*expected_production[[#This Row],[Degradation Factor]])</f>
        <v>27239.876126865947</v>
      </c>
    </row>
    <row r="930" spans="1:7" ht="15" hidden="1" customHeight="1" x14ac:dyDescent="0.3">
      <c r="A930" t="s">
        <v>117</v>
      </c>
      <c r="B930" s="2">
        <v>46113</v>
      </c>
      <c r="C930" s="52">
        <v>23747.4</v>
      </c>
      <c r="D930" s="48">
        <f>_xlfn.XLOOKUP(expected_production[[#This Row],[Site Name]],Table1[[Site Name ]],Table1[Commisioned Date],"")</f>
        <v>45463</v>
      </c>
      <c r="E930" s="47">
        <f>IF(ISNUMBER(expected_production[[#This Row],[Commissioned Date]]),MAX(0,(expected_production[[#This Row],[Date]]-expected_production[[#This Row],[Commissioned Date]])/365.25),"")</f>
        <v>1.7796030116358659</v>
      </c>
      <c r="F930" s="49">
        <f>IF(expected_production[[#This Row],[Age (yrs)]]="",1,(1-DegradationRate)^expected_production[[#This Row],[Age (yrs)]])</f>
        <v>0.98757678734089915</v>
      </c>
      <c r="G930" s="52">
        <f>IF(expected_production[[#This Row],[Base Expected (kWh)]]="","",expected_production[[#This Row],[Base Expected (kWh)]]*expected_production[[#This Row],[Degradation Factor]])</f>
        <v>23452.380999699271</v>
      </c>
    </row>
    <row r="931" spans="1:7" ht="15" hidden="1" customHeight="1" x14ac:dyDescent="0.3">
      <c r="A931" t="s">
        <v>117</v>
      </c>
      <c r="B931" s="2">
        <v>46143</v>
      </c>
      <c r="C931" s="52">
        <v>22569.3</v>
      </c>
      <c r="D931" s="48">
        <f>_xlfn.XLOOKUP(expected_production[[#This Row],[Site Name]],Table1[[Site Name ]],Table1[Commisioned Date],"")</f>
        <v>45463</v>
      </c>
      <c r="E931" s="47">
        <f>IF(ISNUMBER(expected_production[[#This Row],[Commissioned Date]]),MAX(0,(expected_production[[#This Row],[Date]]-expected_production[[#This Row],[Commissioned Date]])/365.25),"")</f>
        <v>1.8617385352498288</v>
      </c>
      <c r="F931" s="49">
        <f>IF(expected_production[[#This Row],[Age (yrs)]]="",1,(1-DegradationRate)^expected_production[[#This Row],[Age (yrs)]])</f>
        <v>0.98700714908918052</v>
      </c>
      <c r="G931" s="52">
        <f>IF(expected_production[[#This Row],[Base Expected (kWh)]]="","",expected_production[[#This Row],[Base Expected (kWh)]]*expected_production[[#This Row],[Degradation Factor]])</f>
        <v>22276.060449938443</v>
      </c>
    </row>
    <row r="932" spans="1:7" ht="15" hidden="1" customHeight="1" x14ac:dyDescent="0.3">
      <c r="A932" t="s">
        <v>117</v>
      </c>
      <c r="B932" s="2">
        <v>46174</v>
      </c>
      <c r="C932" s="52">
        <v>20228.400000000001</v>
      </c>
      <c r="D932" s="48">
        <f>_xlfn.XLOOKUP(expected_production[[#This Row],[Site Name]],Table1[[Site Name ]],Table1[Commisioned Date],"")</f>
        <v>45463</v>
      </c>
      <c r="E932" s="47">
        <f>IF(ISNUMBER(expected_production[[#This Row],[Commissioned Date]]),MAX(0,(expected_production[[#This Row],[Date]]-expected_production[[#This Row],[Commissioned Date]])/365.25),"")</f>
        <v>1.946611909650924</v>
      </c>
      <c r="F932" s="49">
        <f>IF(expected_production[[#This Row],[Age (yrs)]]="",1,(1-DegradationRate)^expected_production[[#This Row],[Age (yrs)]])</f>
        <v>0.98641886807417378</v>
      </c>
      <c r="G932" s="52">
        <f>IF(expected_production[[#This Row],[Base Expected (kWh)]]="","",expected_production[[#This Row],[Base Expected (kWh)]]*expected_production[[#This Row],[Degradation Factor]])</f>
        <v>19953.675430951618</v>
      </c>
    </row>
    <row r="933" spans="1:7" ht="15" hidden="1" customHeight="1" x14ac:dyDescent="0.3">
      <c r="A933" t="s">
        <v>117</v>
      </c>
      <c r="B933" s="2">
        <v>46204</v>
      </c>
      <c r="C933" s="52">
        <v>22354.2</v>
      </c>
      <c r="D933" s="48">
        <f>_xlfn.XLOOKUP(expected_production[[#This Row],[Site Name]],Table1[[Site Name ]],Table1[Commisioned Date],"")</f>
        <v>45463</v>
      </c>
      <c r="E933" s="47">
        <f>IF(ISNUMBER(expected_production[[#This Row],[Commissioned Date]]),MAX(0,(expected_production[[#This Row],[Date]]-expected_production[[#This Row],[Commissioned Date]])/365.25),"")</f>
        <v>2.0287474332648872</v>
      </c>
      <c r="F933" s="49">
        <f>IF(expected_production[[#This Row],[Age (yrs)]]="",1,(1-DegradationRate)^expected_production[[#This Row],[Age (yrs)]])</f>
        <v>0.98584989771493226</v>
      </c>
      <c r="G933" s="52">
        <f>IF(expected_production[[#This Row],[Base Expected (kWh)]]="","",expected_production[[#This Row],[Base Expected (kWh)]]*expected_production[[#This Row],[Degradation Factor]])</f>
        <v>22037.88578349914</v>
      </c>
    </row>
    <row r="934" spans="1:7" ht="15" hidden="1" customHeight="1" x14ac:dyDescent="0.3">
      <c r="A934" t="s">
        <v>117</v>
      </c>
      <c r="B934" s="2">
        <v>46235</v>
      </c>
      <c r="C934" s="52">
        <v>26968.5</v>
      </c>
      <c r="D934" s="48">
        <f>_xlfn.XLOOKUP(expected_production[[#This Row],[Site Name]],Table1[[Site Name ]],Table1[Commisioned Date],"")</f>
        <v>45463</v>
      </c>
      <c r="E934" s="47">
        <f>IF(ISNUMBER(expected_production[[#This Row],[Commissioned Date]]),MAX(0,(expected_production[[#This Row],[Date]]-expected_production[[#This Row],[Commissioned Date]])/365.25),"")</f>
        <v>2.1136208076659821</v>
      </c>
      <c r="F934" s="49">
        <f>IF(expected_production[[#This Row],[Age (yrs)]]="",1,(1-DegradationRate)^expected_production[[#This Row],[Age (yrs)]])</f>
        <v>0.9852623064507684</v>
      </c>
      <c r="G934" s="52">
        <f>IF(expected_production[[#This Row],[Base Expected (kWh)]]="","",expected_production[[#This Row],[Base Expected (kWh)]]*expected_production[[#This Row],[Degradation Factor]])</f>
        <v>26571.046511517547</v>
      </c>
    </row>
    <row r="935" spans="1:7" ht="15" hidden="1" customHeight="1" x14ac:dyDescent="0.3">
      <c r="A935" t="s">
        <v>117</v>
      </c>
      <c r="B935" s="2">
        <v>46266</v>
      </c>
      <c r="C935" s="52">
        <v>28840.5</v>
      </c>
      <c r="D935" s="48">
        <f>_xlfn.XLOOKUP(expected_production[[#This Row],[Site Name]],Table1[[Site Name ]],Table1[Commisioned Date],"")</f>
        <v>45463</v>
      </c>
      <c r="E935" s="47">
        <f>IF(ISNUMBER(expected_production[[#This Row],[Commissioned Date]]),MAX(0,(expected_production[[#This Row],[Date]]-expected_production[[#This Row],[Commissioned Date]])/365.25),"")</f>
        <v>2.1984941820670771</v>
      </c>
      <c r="F935" s="49">
        <f>IF(expected_production[[#This Row],[Age (yrs)]]="",1,(1-DegradationRate)^expected_production[[#This Row],[Age (yrs)]])</f>
        <v>0.9846750654057348</v>
      </c>
      <c r="G935" s="52">
        <f>IF(expected_production[[#This Row],[Base Expected (kWh)]]="","",expected_production[[#This Row],[Base Expected (kWh)]]*expected_production[[#This Row],[Degradation Factor]])</f>
        <v>28398.521223834094</v>
      </c>
    </row>
    <row r="936" spans="1:7" ht="15" hidden="1" customHeight="1" x14ac:dyDescent="0.3">
      <c r="A936" t="s">
        <v>117</v>
      </c>
      <c r="B936" s="2">
        <v>46296</v>
      </c>
      <c r="C936" s="52">
        <v>30258</v>
      </c>
      <c r="D936" s="48">
        <f>_xlfn.XLOOKUP(expected_production[[#This Row],[Site Name]],Table1[[Site Name ]],Table1[Commisioned Date],"")</f>
        <v>45463</v>
      </c>
      <c r="E936" s="47">
        <f>IF(ISNUMBER(expected_production[[#This Row],[Commissioned Date]]),MAX(0,(expected_production[[#This Row],[Date]]-expected_production[[#This Row],[Commissioned Date]])/365.25),"")</f>
        <v>2.2806297056810405</v>
      </c>
      <c r="F936" s="49">
        <f>IF(expected_production[[#This Row],[Age (yrs)]]="",1,(1-DegradationRate)^expected_production[[#This Row],[Age (yrs)]])</f>
        <v>0.9841071008788661</v>
      </c>
      <c r="G936" s="52">
        <f>IF(expected_production[[#This Row],[Base Expected (kWh)]]="","",expected_production[[#This Row],[Base Expected (kWh)]]*expected_production[[#This Row],[Degradation Factor]])</f>
        <v>29777.112658392729</v>
      </c>
    </row>
    <row r="937" spans="1:7" ht="15" hidden="1" customHeight="1" x14ac:dyDescent="0.3">
      <c r="A937" t="s">
        <v>117</v>
      </c>
      <c r="B937" s="2">
        <v>46327</v>
      </c>
      <c r="C937" s="52">
        <v>29380.5</v>
      </c>
      <c r="D937" s="48">
        <f>_xlfn.XLOOKUP(expected_production[[#This Row],[Site Name]],Table1[[Site Name ]],Table1[Commisioned Date],"")</f>
        <v>45463</v>
      </c>
      <c r="E937" s="47">
        <f>IF(ISNUMBER(expected_production[[#This Row],[Commissioned Date]]),MAX(0,(expected_production[[#This Row],[Date]]-expected_production[[#This Row],[Commissioned Date]])/365.25),"")</f>
        <v>2.3655030800821355</v>
      </c>
      <c r="F937" s="49">
        <f>IF(expected_production[[#This Row],[Age (yrs)]]="",1,(1-DegradationRate)^expected_production[[#This Row],[Age (yrs)]])</f>
        <v>0.98352054836532588</v>
      </c>
      <c r="G937" s="52">
        <f>IF(expected_production[[#This Row],[Base Expected (kWh)]]="","",expected_production[[#This Row],[Base Expected (kWh)]]*expected_production[[#This Row],[Degradation Factor]])</f>
        <v>28896.325471247455</v>
      </c>
    </row>
    <row r="938" spans="1:7" ht="15" hidden="1" customHeight="1" x14ac:dyDescent="0.3">
      <c r="A938" t="s">
        <v>117</v>
      </c>
      <c r="B938" s="2">
        <v>46357</v>
      </c>
      <c r="C938" s="52">
        <v>31219.200000000001</v>
      </c>
      <c r="D938" s="48">
        <f>_xlfn.XLOOKUP(expected_production[[#This Row],[Site Name]],Table1[[Site Name ]],Table1[Commisioned Date],"")</f>
        <v>45463</v>
      </c>
      <c r="E938" s="47">
        <f>IF(ISNUMBER(expected_production[[#This Row],[Commissioned Date]]),MAX(0,(expected_production[[#This Row],[Date]]-expected_production[[#This Row],[Commissioned Date]])/365.25),"")</f>
        <v>2.4476386036960984</v>
      </c>
      <c r="F938" s="49">
        <f>IF(expected_production[[#This Row],[Age (yrs)]]="",1,(1-DegradationRate)^expected_production[[#This Row],[Age (yrs)]])</f>
        <v>0.9829532497685165</v>
      </c>
      <c r="G938" s="52">
        <f>IF(expected_production[[#This Row],[Base Expected (kWh)]]="","",expected_production[[#This Row],[Base Expected (kWh)]]*expected_production[[#This Row],[Degradation Factor]])</f>
        <v>30687.014095173272</v>
      </c>
    </row>
    <row r="939" spans="1:7" ht="15" hidden="1" customHeight="1" x14ac:dyDescent="0.3">
      <c r="A939" t="s">
        <v>225</v>
      </c>
      <c r="B939" s="2">
        <v>45292</v>
      </c>
      <c r="C939" s="52">
        <v>7573.5</v>
      </c>
      <c r="D939" s="48">
        <f>_xlfn.XLOOKUP(expected_production[[#This Row],[Site Name]],Table1[[Site Name ]],Table1[Commisioned Date],"")</f>
        <v>45934</v>
      </c>
      <c r="E939" s="47">
        <f>IF(ISNUMBER(expected_production[[#This Row],[Commissioned Date]]),MAX(0,(expected_production[[#This Row],[Date]]-expected_production[[#This Row],[Commissioned Date]])/365.25),"")</f>
        <v>0</v>
      </c>
      <c r="F939" s="49">
        <f>IF(expected_production[[#This Row],[Age (yrs)]]="",1,(1-DegradationRate)^expected_production[[#This Row],[Age (yrs)]])</f>
        <v>1</v>
      </c>
      <c r="G939" s="52">
        <f>IF(expected_production[[#This Row],[Base Expected (kWh)]]="","",expected_production[[#This Row],[Base Expected (kWh)]]*expected_production[[#This Row],[Degradation Factor]])</f>
        <v>7573.5</v>
      </c>
    </row>
    <row r="940" spans="1:7" ht="15" hidden="1" customHeight="1" x14ac:dyDescent="0.3">
      <c r="A940" t="s">
        <v>225</v>
      </c>
      <c r="B940" s="2">
        <v>45323</v>
      </c>
      <c r="C940" s="52">
        <v>6513.75</v>
      </c>
      <c r="D940" s="48">
        <f>_xlfn.XLOOKUP(expected_production[[#This Row],[Site Name]],Table1[[Site Name ]],Table1[Commisioned Date],"")</f>
        <v>45934</v>
      </c>
      <c r="E940" s="47">
        <f>IF(ISNUMBER(expected_production[[#This Row],[Commissioned Date]]),MAX(0,(expected_production[[#This Row],[Date]]-expected_production[[#This Row],[Commissioned Date]])/365.25),"")</f>
        <v>0</v>
      </c>
      <c r="F940" s="49">
        <f>IF(expected_production[[#This Row],[Age (yrs)]]="",1,(1-DegradationRate)^expected_production[[#This Row],[Age (yrs)]])</f>
        <v>1</v>
      </c>
      <c r="G940" s="52">
        <f>IF(expected_production[[#This Row],[Base Expected (kWh)]]="","",expected_production[[#This Row],[Base Expected (kWh)]]*expected_production[[#This Row],[Degradation Factor]])</f>
        <v>6513.75</v>
      </c>
    </row>
    <row r="941" spans="1:7" ht="15" hidden="1" customHeight="1" x14ac:dyDescent="0.3">
      <c r="A941" t="s">
        <v>225</v>
      </c>
      <c r="B941" s="2">
        <v>45352</v>
      </c>
      <c r="C941" s="52">
        <v>6841.35</v>
      </c>
      <c r="D941" s="48">
        <f>_xlfn.XLOOKUP(expected_production[[#This Row],[Site Name]],Table1[[Site Name ]],Table1[Commisioned Date],"")</f>
        <v>45934</v>
      </c>
      <c r="E941" s="47">
        <f>IF(ISNUMBER(expected_production[[#This Row],[Commissioned Date]]),MAX(0,(expected_production[[#This Row],[Date]]-expected_production[[#This Row],[Commissioned Date]])/365.25),"")</f>
        <v>0</v>
      </c>
      <c r="F941" s="49">
        <f>IF(expected_production[[#This Row],[Age (yrs)]]="",1,(1-DegradationRate)^expected_production[[#This Row],[Age (yrs)]])</f>
        <v>1</v>
      </c>
      <c r="G941" s="52">
        <f>IF(expected_production[[#This Row],[Base Expected (kWh)]]="","",expected_production[[#This Row],[Base Expected (kWh)]]*expected_production[[#This Row],[Degradation Factor]])</f>
        <v>6841.35</v>
      </c>
    </row>
    <row r="942" spans="1:7" ht="15" hidden="1" customHeight="1" x14ac:dyDescent="0.3">
      <c r="A942" t="s">
        <v>225</v>
      </c>
      <c r="B942" s="2">
        <v>45383</v>
      </c>
      <c r="C942" s="52">
        <v>618.29999999999995</v>
      </c>
      <c r="D942" s="48">
        <f>_xlfn.XLOOKUP(expected_production[[#This Row],[Site Name]],Table1[[Site Name ]],Table1[Commisioned Date],"")</f>
        <v>45934</v>
      </c>
      <c r="E942" s="47">
        <f>IF(ISNUMBER(expected_production[[#This Row],[Commissioned Date]]),MAX(0,(expected_production[[#This Row],[Date]]-expected_production[[#This Row],[Commissioned Date]])/365.25),"")</f>
        <v>0</v>
      </c>
      <c r="F942" s="49">
        <f>IF(expected_production[[#This Row],[Age (yrs)]]="",1,(1-DegradationRate)^expected_production[[#This Row],[Age (yrs)]])</f>
        <v>1</v>
      </c>
      <c r="G942" s="52">
        <f>IF(expected_production[[#This Row],[Base Expected (kWh)]]="","",expected_production[[#This Row],[Base Expected (kWh)]]*expected_production[[#This Row],[Degradation Factor]])</f>
        <v>618.29999999999995</v>
      </c>
    </row>
    <row r="943" spans="1:7" ht="15" hidden="1" customHeight="1" x14ac:dyDescent="0.3">
      <c r="A943" t="s">
        <v>225</v>
      </c>
      <c r="B943" s="2">
        <v>45413</v>
      </c>
      <c r="C943" s="52">
        <v>5924.7</v>
      </c>
      <c r="D943" s="48">
        <f>_xlfn.XLOOKUP(expected_production[[#This Row],[Site Name]],Table1[[Site Name ]],Table1[Commisioned Date],"")</f>
        <v>45934</v>
      </c>
      <c r="E943" s="47">
        <f>IF(ISNUMBER(expected_production[[#This Row],[Commissioned Date]]),MAX(0,(expected_production[[#This Row],[Date]]-expected_production[[#This Row],[Commissioned Date]])/365.25),"")</f>
        <v>0</v>
      </c>
      <c r="F943" s="49">
        <f>IF(expected_production[[#This Row],[Age (yrs)]]="",1,(1-DegradationRate)^expected_production[[#This Row],[Age (yrs)]])</f>
        <v>1</v>
      </c>
      <c r="G943" s="52">
        <f>IF(expected_production[[#This Row],[Base Expected (kWh)]]="","",expected_production[[#This Row],[Base Expected (kWh)]]*expected_production[[#This Row],[Degradation Factor]])</f>
        <v>5924.7</v>
      </c>
    </row>
    <row r="944" spans="1:7" ht="15" hidden="1" customHeight="1" x14ac:dyDescent="0.3">
      <c r="A944" t="s">
        <v>225</v>
      </c>
      <c r="B944" s="2">
        <v>45444</v>
      </c>
      <c r="C944" s="52">
        <v>5295.6</v>
      </c>
      <c r="D944" s="48">
        <f>_xlfn.XLOOKUP(expected_production[[#This Row],[Site Name]],Table1[[Site Name ]],Table1[Commisioned Date],"")</f>
        <v>45934</v>
      </c>
      <c r="E944" s="47">
        <f>IF(ISNUMBER(expected_production[[#This Row],[Commissioned Date]]),MAX(0,(expected_production[[#This Row],[Date]]-expected_production[[#This Row],[Commissioned Date]])/365.25),"")</f>
        <v>0</v>
      </c>
      <c r="F944" s="49">
        <f>IF(expected_production[[#This Row],[Age (yrs)]]="",1,(1-DegradationRate)^expected_production[[#This Row],[Age (yrs)]])</f>
        <v>1</v>
      </c>
      <c r="G944" s="52">
        <f>IF(expected_production[[#This Row],[Base Expected (kWh)]]="","",expected_production[[#This Row],[Base Expected (kWh)]]*expected_production[[#This Row],[Degradation Factor]])</f>
        <v>5295.6</v>
      </c>
    </row>
    <row r="945" spans="1:7" ht="15" hidden="1" customHeight="1" x14ac:dyDescent="0.3">
      <c r="A945" t="s">
        <v>225</v>
      </c>
      <c r="B945" s="2">
        <v>45474</v>
      </c>
      <c r="C945" s="52">
        <v>5785.2</v>
      </c>
      <c r="D945" s="48">
        <f>_xlfn.XLOOKUP(expected_production[[#This Row],[Site Name]],Table1[[Site Name ]],Table1[Commisioned Date],"")</f>
        <v>45934</v>
      </c>
      <c r="E945" s="47">
        <f>IF(ISNUMBER(expected_production[[#This Row],[Commissioned Date]]),MAX(0,(expected_production[[#This Row],[Date]]-expected_production[[#This Row],[Commissioned Date]])/365.25),"")</f>
        <v>0</v>
      </c>
      <c r="F945" s="49">
        <f>IF(expected_production[[#This Row],[Age (yrs)]]="",1,(1-DegradationRate)^expected_production[[#This Row],[Age (yrs)]])</f>
        <v>1</v>
      </c>
      <c r="G945" s="52">
        <f>IF(expected_production[[#This Row],[Base Expected (kWh)]]="","",expected_production[[#This Row],[Base Expected (kWh)]]*expected_production[[#This Row],[Degradation Factor]])</f>
        <v>5785.2</v>
      </c>
    </row>
    <row r="946" spans="1:7" ht="15" hidden="1" customHeight="1" x14ac:dyDescent="0.3">
      <c r="A946" t="s">
        <v>225</v>
      </c>
      <c r="B946" s="2">
        <v>45505</v>
      </c>
      <c r="C946" s="52">
        <v>6585.3</v>
      </c>
      <c r="D946" s="48">
        <f>_xlfn.XLOOKUP(expected_production[[#This Row],[Site Name]],Table1[[Site Name ]],Table1[Commisioned Date],"")</f>
        <v>45934</v>
      </c>
      <c r="E946" s="47">
        <f>IF(ISNUMBER(expected_production[[#This Row],[Commissioned Date]]),MAX(0,(expected_production[[#This Row],[Date]]-expected_production[[#This Row],[Commissioned Date]])/365.25),"")</f>
        <v>0</v>
      </c>
      <c r="F946" s="49">
        <f>IF(expected_production[[#This Row],[Age (yrs)]]="",1,(1-DegradationRate)^expected_production[[#This Row],[Age (yrs)]])</f>
        <v>1</v>
      </c>
      <c r="G946" s="52">
        <f>IF(expected_production[[#This Row],[Base Expected (kWh)]]="","",expected_production[[#This Row],[Base Expected (kWh)]]*expected_production[[#This Row],[Degradation Factor]])</f>
        <v>6585.3</v>
      </c>
    </row>
    <row r="947" spans="1:7" ht="15" hidden="1" customHeight="1" x14ac:dyDescent="0.3">
      <c r="A947" t="s">
        <v>225</v>
      </c>
      <c r="B947" s="2">
        <v>45536</v>
      </c>
      <c r="C947" s="52">
        <v>7018.65</v>
      </c>
      <c r="D947" s="48">
        <f>_xlfn.XLOOKUP(expected_production[[#This Row],[Site Name]],Table1[[Site Name ]],Table1[Commisioned Date],"")</f>
        <v>45934</v>
      </c>
      <c r="E947" s="47">
        <f>IF(ISNUMBER(expected_production[[#This Row],[Commissioned Date]]),MAX(0,(expected_production[[#This Row],[Date]]-expected_production[[#This Row],[Commissioned Date]])/365.25),"")</f>
        <v>0</v>
      </c>
      <c r="F947" s="49">
        <f>IF(expected_production[[#This Row],[Age (yrs)]]="",1,(1-DegradationRate)^expected_production[[#This Row],[Age (yrs)]])</f>
        <v>1</v>
      </c>
      <c r="G947" s="52">
        <f>IF(expected_production[[#This Row],[Base Expected (kWh)]]="","",expected_production[[#This Row],[Base Expected (kWh)]]*expected_production[[#This Row],[Degradation Factor]])</f>
        <v>7018.65</v>
      </c>
    </row>
    <row r="948" spans="1:7" ht="15" hidden="1" customHeight="1" x14ac:dyDescent="0.3">
      <c r="A948" t="s">
        <v>225</v>
      </c>
      <c r="B948" s="2">
        <v>45566</v>
      </c>
      <c r="C948" s="52">
        <v>7479.45</v>
      </c>
      <c r="D948" s="48">
        <f>_xlfn.XLOOKUP(expected_production[[#This Row],[Site Name]],Table1[[Site Name ]],Table1[Commisioned Date],"")</f>
        <v>45934</v>
      </c>
      <c r="E948" s="47">
        <f>IF(ISNUMBER(expected_production[[#This Row],[Commissioned Date]]),MAX(0,(expected_production[[#This Row],[Date]]-expected_production[[#This Row],[Commissioned Date]])/365.25),"")</f>
        <v>0</v>
      </c>
      <c r="F948" s="49">
        <f>IF(expected_production[[#This Row],[Age (yrs)]]="",1,(1-DegradationRate)^expected_production[[#This Row],[Age (yrs)]])</f>
        <v>1</v>
      </c>
      <c r="G948" s="52">
        <f>IF(expected_production[[#This Row],[Base Expected (kWh)]]="","",expected_production[[#This Row],[Base Expected (kWh)]]*expected_production[[#This Row],[Degradation Factor]])</f>
        <v>7479.45</v>
      </c>
    </row>
    <row r="949" spans="1:7" ht="15" hidden="1" customHeight="1" x14ac:dyDescent="0.3">
      <c r="A949" t="s">
        <v>225</v>
      </c>
      <c r="B949" s="2">
        <v>45597</v>
      </c>
      <c r="C949" s="52">
        <v>7552.8</v>
      </c>
      <c r="D949" s="48">
        <f>_xlfn.XLOOKUP(expected_production[[#This Row],[Site Name]],Table1[[Site Name ]],Table1[Commisioned Date],"")</f>
        <v>45934</v>
      </c>
      <c r="E949" s="47">
        <f>IF(ISNUMBER(expected_production[[#This Row],[Commissioned Date]]),MAX(0,(expected_production[[#This Row],[Date]]-expected_production[[#This Row],[Commissioned Date]])/365.25),"")</f>
        <v>0</v>
      </c>
      <c r="F949" s="49">
        <f>IF(expected_production[[#This Row],[Age (yrs)]]="",1,(1-DegradationRate)^expected_production[[#This Row],[Age (yrs)]])</f>
        <v>1</v>
      </c>
      <c r="G949" s="52">
        <f>IF(expected_production[[#This Row],[Base Expected (kWh)]]="","",expected_production[[#This Row],[Base Expected (kWh)]]*expected_production[[#This Row],[Degradation Factor]])</f>
        <v>7552.8</v>
      </c>
    </row>
    <row r="950" spans="1:7" ht="15" hidden="1" customHeight="1" x14ac:dyDescent="0.3">
      <c r="A950" t="s">
        <v>225</v>
      </c>
      <c r="B950" s="2">
        <v>45627</v>
      </c>
      <c r="C950" s="52">
        <v>7415.1</v>
      </c>
      <c r="D950" s="48">
        <f>_xlfn.XLOOKUP(expected_production[[#This Row],[Site Name]],Table1[[Site Name ]],Table1[Commisioned Date],"")</f>
        <v>45934</v>
      </c>
      <c r="E950" s="47">
        <f>IF(ISNUMBER(expected_production[[#This Row],[Commissioned Date]]),MAX(0,(expected_production[[#This Row],[Date]]-expected_production[[#This Row],[Commissioned Date]])/365.25),"")</f>
        <v>0</v>
      </c>
      <c r="F950" s="49">
        <f>IF(expected_production[[#This Row],[Age (yrs)]]="",1,(1-DegradationRate)^expected_production[[#This Row],[Age (yrs)]])</f>
        <v>1</v>
      </c>
      <c r="G950" s="52">
        <f>IF(expected_production[[#This Row],[Base Expected (kWh)]]="","",expected_production[[#This Row],[Base Expected (kWh)]]*expected_production[[#This Row],[Degradation Factor]])</f>
        <v>7415.1</v>
      </c>
    </row>
    <row r="951" spans="1:7" ht="15" hidden="1" customHeight="1" x14ac:dyDescent="0.3">
      <c r="A951" t="s">
        <v>225</v>
      </c>
      <c r="B951" s="2">
        <v>45658</v>
      </c>
      <c r="C951" s="52">
        <v>7573.5</v>
      </c>
      <c r="D951" s="48">
        <f>_xlfn.XLOOKUP(expected_production[[#This Row],[Site Name]],Table1[[Site Name ]],Table1[Commisioned Date],"")</f>
        <v>45934</v>
      </c>
      <c r="E951" s="47">
        <f>IF(ISNUMBER(expected_production[[#This Row],[Commissioned Date]]),MAX(0,(expected_production[[#This Row],[Date]]-expected_production[[#This Row],[Commissioned Date]])/365.25),"")</f>
        <v>0</v>
      </c>
      <c r="F951" s="49">
        <f>IF(expected_production[[#This Row],[Age (yrs)]]="",1,(1-DegradationRate)^expected_production[[#This Row],[Age (yrs)]])</f>
        <v>1</v>
      </c>
      <c r="G951" s="52">
        <f>IF(expected_production[[#This Row],[Base Expected (kWh)]]="","",expected_production[[#This Row],[Base Expected (kWh)]]*expected_production[[#This Row],[Degradation Factor]])</f>
        <v>7573.5</v>
      </c>
    </row>
    <row r="952" spans="1:7" ht="15" hidden="1" customHeight="1" x14ac:dyDescent="0.3">
      <c r="A952" t="s">
        <v>225</v>
      </c>
      <c r="B952" s="2">
        <v>45689</v>
      </c>
      <c r="C952" s="52">
        <v>6513.75</v>
      </c>
      <c r="D952" s="48">
        <f>_xlfn.XLOOKUP(expected_production[[#This Row],[Site Name]],Table1[[Site Name ]],Table1[Commisioned Date],"")</f>
        <v>45934</v>
      </c>
      <c r="E952" s="47">
        <f>IF(ISNUMBER(expected_production[[#This Row],[Commissioned Date]]),MAX(0,(expected_production[[#This Row],[Date]]-expected_production[[#This Row],[Commissioned Date]])/365.25),"")</f>
        <v>0</v>
      </c>
      <c r="F952" s="49">
        <f>IF(expected_production[[#This Row],[Age (yrs)]]="",1,(1-DegradationRate)^expected_production[[#This Row],[Age (yrs)]])</f>
        <v>1</v>
      </c>
      <c r="G952" s="52">
        <f>IF(expected_production[[#This Row],[Base Expected (kWh)]]="","",expected_production[[#This Row],[Base Expected (kWh)]]*expected_production[[#This Row],[Degradation Factor]])</f>
        <v>6513.75</v>
      </c>
    </row>
    <row r="953" spans="1:7" ht="15" hidden="1" customHeight="1" x14ac:dyDescent="0.3">
      <c r="A953" t="s">
        <v>225</v>
      </c>
      <c r="B953" s="2">
        <v>45717</v>
      </c>
      <c r="C953" s="52">
        <v>6841.35</v>
      </c>
      <c r="D953" s="48">
        <f>_xlfn.XLOOKUP(expected_production[[#This Row],[Site Name]],Table1[[Site Name ]],Table1[Commisioned Date],"")</f>
        <v>45934</v>
      </c>
      <c r="E953" s="47">
        <f>IF(ISNUMBER(expected_production[[#This Row],[Commissioned Date]]),MAX(0,(expected_production[[#This Row],[Date]]-expected_production[[#This Row],[Commissioned Date]])/365.25),"")</f>
        <v>0</v>
      </c>
      <c r="F953" s="49">
        <f>IF(expected_production[[#This Row],[Age (yrs)]]="",1,(1-DegradationRate)^expected_production[[#This Row],[Age (yrs)]])</f>
        <v>1</v>
      </c>
      <c r="G953" s="52">
        <f>IF(expected_production[[#This Row],[Base Expected (kWh)]]="","",expected_production[[#This Row],[Base Expected (kWh)]]*expected_production[[#This Row],[Degradation Factor]])</f>
        <v>6841.35</v>
      </c>
    </row>
    <row r="954" spans="1:7" ht="15" hidden="1" customHeight="1" x14ac:dyDescent="0.3">
      <c r="A954" t="s">
        <v>225</v>
      </c>
      <c r="B954" s="2">
        <v>45748</v>
      </c>
      <c r="C954" s="52">
        <v>618.29999999999995</v>
      </c>
      <c r="D954" s="48">
        <f>_xlfn.XLOOKUP(expected_production[[#This Row],[Site Name]],Table1[[Site Name ]],Table1[Commisioned Date],"")</f>
        <v>45934</v>
      </c>
      <c r="E954" s="47">
        <f>IF(ISNUMBER(expected_production[[#This Row],[Commissioned Date]]),MAX(0,(expected_production[[#This Row],[Date]]-expected_production[[#This Row],[Commissioned Date]])/365.25),"")</f>
        <v>0</v>
      </c>
      <c r="F954" s="49">
        <f>IF(expected_production[[#This Row],[Age (yrs)]]="",1,(1-DegradationRate)^expected_production[[#This Row],[Age (yrs)]])</f>
        <v>1</v>
      </c>
      <c r="G954" s="52">
        <f>IF(expected_production[[#This Row],[Base Expected (kWh)]]="","",expected_production[[#This Row],[Base Expected (kWh)]]*expected_production[[#This Row],[Degradation Factor]])</f>
        <v>618.29999999999995</v>
      </c>
    </row>
    <row r="955" spans="1:7" ht="15" hidden="1" customHeight="1" x14ac:dyDescent="0.3">
      <c r="A955" t="s">
        <v>225</v>
      </c>
      <c r="B955" s="2">
        <v>45778</v>
      </c>
      <c r="C955" s="52">
        <v>5924.7</v>
      </c>
      <c r="D955" s="48">
        <f>_xlfn.XLOOKUP(expected_production[[#This Row],[Site Name]],Table1[[Site Name ]],Table1[Commisioned Date],"")</f>
        <v>45934</v>
      </c>
      <c r="E955" s="47">
        <f>IF(ISNUMBER(expected_production[[#This Row],[Commissioned Date]]),MAX(0,(expected_production[[#This Row],[Date]]-expected_production[[#This Row],[Commissioned Date]])/365.25),"")</f>
        <v>0</v>
      </c>
      <c r="F955" s="49">
        <f>IF(expected_production[[#This Row],[Age (yrs)]]="",1,(1-DegradationRate)^expected_production[[#This Row],[Age (yrs)]])</f>
        <v>1</v>
      </c>
      <c r="G955" s="52">
        <f>IF(expected_production[[#This Row],[Base Expected (kWh)]]="","",expected_production[[#This Row],[Base Expected (kWh)]]*expected_production[[#This Row],[Degradation Factor]])</f>
        <v>5924.7</v>
      </c>
    </row>
    <row r="956" spans="1:7" ht="15" hidden="1" customHeight="1" x14ac:dyDescent="0.3">
      <c r="A956" t="s">
        <v>225</v>
      </c>
      <c r="B956" s="2">
        <v>45809</v>
      </c>
      <c r="C956" s="52">
        <v>5295.6</v>
      </c>
      <c r="D956" s="48">
        <f>_xlfn.XLOOKUP(expected_production[[#This Row],[Site Name]],Table1[[Site Name ]],Table1[Commisioned Date],"")</f>
        <v>45934</v>
      </c>
      <c r="E956" s="47">
        <f>IF(ISNUMBER(expected_production[[#This Row],[Commissioned Date]]),MAX(0,(expected_production[[#This Row],[Date]]-expected_production[[#This Row],[Commissioned Date]])/365.25),"")</f>
        <v>0</v>
      </c>
      <c r="F956" s="49">
        <f>IF(expected_production[[#This Row],[Age (yrs)]]="",1,(1-DegradationRate)^expected_production[[#This Row],[Age (yrs)]])</f>
        <v>1</v>
      </c>
      <c r="G956" s="52">
        <f>IF(expected_production[[#This Row],[Base Expected (kWh)]]="","",expected_production[[#This Row],[Base Expected (kWh)]]*expected_production[[#This Row],[Degradation Factor]])</f>
        <v>5295.6</v>
      </c>
    </row>
    <row r="957" spans="1:7" ht="15" hidden="1" customHeight="1" x14ac:dyDescent="0.3">
      <c r="A957" t="s">
        <v>225</v>
      </c>
      <c r="B957" s="2">
        <v>45839</v>
      </c>
      <c r="C957" s="52">
        <v>5785.2</v>
      </c>
      <c r="D957" s="48">
        <f>_xlfn.XLOOKUP(expected_production[[#This Row],[Site Name]],Table1[[Site Name ]],Table1[Commisioned Date],"")</f>
        <v>45934</v>
      </c>
      <c r="E957" s="47">
        <f>IF(ISNUMBER(expected_production[[#This Row],[Commissioned Date]]),MAX(0,(expected_production[[#This Row],[Date]]-expected_production[[#This Row],[Commissioned Date]])/365.25),"")</f>
        <v>0</v>
      </c>
      <c r="F957" s="49">
        <f>IF(expected_production[[#This Row],[Age (yrs)]]="",1,(1-DegradationRate)^expected_production[[#This Row],[Age (yrs)]])</f>
        <v>1</v>
      </c>
      <c r="G957" s="52">
        <f>IF(expected_production[[#This Row],[Base Expected (kWh)]]="","",expected_production[[#This Row],[Base Expected (kWh)]]*expected_production[[#This Row],[Degradation Factor]])</f>
        <v>5785.2</v>
      </c>
    </row>
    <row r="958" spans="1:7" ht="15" hidden="1" customHeight="1" x14ac:dyDescent="0.3">
      <c r="A958" t="s">
        <v>225</v>
      </c>
      <c r="B958" s="2">
        <v>45870</v>
      </c>
      <c r="C958" s="52">
        <v>6585.3</v>
      </c>
      <c r="D958" s="48">
        <f>_xlfn.XLOOKUP(expected_production[[#This Row],[Site Name]],Table1[[Site Name ]],Table1[Commisioned Date],"")</f>
        <v>45934</v>
      </c>
      <c r="E958" s="47">
        <f>IF(ISNUMBER(expected_production[[#This Row],[Commissioned Date]]),MAX(0,(expected_production[[#This Row],[Date]]-expected_production[[#This Row],[Commissioned Date]])/365.25),"")</f>
        <v>0</v>
      </c>
      <c r="F958" s="49">
        <f>IF(expected_production[[#This Row],[Age (yrs)]]="",1,(1-DegradationRate)^expected_production[[#This Row],[Age (yrs)]])</f>
        <v>1</v>
      </c>
      <c r="G958" s="52">
        <f>IF(expected_production[[#This Row],[Base Expected (kWh)]]="","",expected_production[[#This Row],[Base Expected (kWh)]]*expected_production[[#This Row],[Degradation Factor]])</f>
        <v>6585.3</v>
      </c>
    </row>
    <row r="959" spans="1:7" ht="15" hidden="1" customHeight="1" x14ac:dyDescent="0.3">
      <c r="A959" t="s">
        <v>225</v>
      </c>
      <c r="B959" s="2">
        <v>45901</v>
      </c>
      <c r="C959" s="52">
        <v>7018.65</v>
      </c>
      <c r="D959" s="48">
        <f>_xlfn.XLOOKUP(expected_production[[#This Row],[Site Name]],Table1[[Site Name ]],Table1[Commisioned Date],"")</f>
        <v>45934</v>
      </c>
      <c r="E959" s="47">
        <f>IF(ISNUMBER(expected_production[[#This Row],[Commissioned Date]]),MAX(0,(expected_production[[#This Row],[Date]]-expected_production[[#This Row],[Commissioned Date]])/365.25),"")</f>
        <v>0</v>
      </c>
      <c r="F959" s="49">
        <f>IF(expected_production[[#This Row],[Age (yrs)]]="",1,(1-DegradationRate)^expected_production[[#This Row],[Age (yrs)]])</f>
        <v>1</v>
      </c>
      <c r="G959" s="52">
        <f>IF(expected_production[[#This Row],[Base Expected (kWh)]]="","",expected_production[[#This Row],[Base Expected (kWh)]]*expected_production[[#This Row],[Degradation Factor]])</f>
        <v>7018.65</v>
      </c>
    </row>
    <row r="960" spans="1:7" ht="15" hidden="1" customHeight="1" x14ac:dyDescent="0.3">
      <c r="A960" t="s">
        <v>225</v>
      </c>
      <c r="B960" s="2">
        <v>45931</v>
      </c>
      <c r="C960" s="52">
        <v>7479.45</v>
      </c>
      <c r="D960" s="48">
        <f>_xlfn.XLOOKUP(expected_production[[#This Row],[Site Name]],Table1[[Site Name ]],Table1[Commisioned Date],"")</f>
        <v>45934</v>
      </c>
      <c r="E960" s="47">
        <f>IF(ISNUMBER(expected_production[[#This Row],[Commissioned Date]]),MAX(0,(expected_production[[#This Row],[Date]]-expected_production[[#This Row],[Commissioned Date]])/365.25),"")</f>
        <v>0</v>
      </c>
      <c r="F960" s="49">
        <f>IF(expected_production[[#This Row],[Age (yrs)]]="",1,(1-DegradationRate)^expected_production[[#This Row],[Age (yrs)]])</f>
        <v>1</v>
      </c>
      <c r="G960" s="52">
        <f>IF(expected_production[[#This Row],[Base Expected (kWh)]]="","",expected_production[[#This Row],[Base Expected (kWh)]]*expected_production[[#This Row],[Degradation Factor]])</f>
        <v>7479.45</v>
      </c>
    </row>
    <row r="961" spans="1:7" ht="15" hidden="1" customHeight="1" x14ac:dyDescent="0.3">
      <c r="A961" t="s">
        <v>225</v>
      </c>
      <c r="B961" s="2">
        <v>45962</v>
      </c>
      <c r="C961" s="52">
        <v>7552.8</v>
      </c>
      <c r="D961" s="48">
        <f>_xlfn.XLOOKUP(expected_production[[#This Row],[Site Name]],Table1[[Site Name ]],Table1[Commisioned Date],"")</f>
        <v>45934</v>
      </c>
      <c r="E961" s="47">
        <f>IF(ISNUMBER(expected_production[[#This Row],[Commissioned Date]]),MAX(0,(expected_production[[#This Row],[Date]]-expected_production[[#This Row],[Commissioned Date]])/365.25),"")</f>
        <v>7.665982203969883E-2</v>
      </c>
      <c r="F961" s="49">
        <f>IF(expected_production[[#This Row],[Age (yrs)]]="",1,(1-DegradationRate)^expected_production[[#This Row],[Age (yrs)]])</f>
        <v>0.99946163923722275</v>
      </c>
      <c r="G961" s="52">
        <f>IF(expected_production[[#This Row],[Base Expected (kWh)]]="","",expected_production[[#This Row],[Base Expected (kWh)]]*expected_production[[#This Row],[Degradation Factor]])</f>
        <v>7548.7338688308964</v>
      </c>
    </row>
    <row r="962" spans="1:7" ht="15" hidden="1" customHeight="1" x14ac:dyDescent="0.3">
      <c r="A962" t="s">
        <v>225</v>
      </c>
      <c r="B962" s="2">
        <v>45992</v>
      </c>
      <c r="C962" s="52">
        <v>7415.1</v>
      </c>
      <c r="D962" s="48">
        <f>_xlfn.XLOOKUP(expected_production[[#This Row],[Site Name]],Table1[[Site Name ]],Table1[Commisioned Date],"")</f>
        <v>45934</v>
      </c>
      <c r="E962" s="47">
        <f>IF(ISNUMBER(expected_production[[#This Row],[Commissioned Date]]),MAX(0,(expected_production[[#This Row],[Date]]-expected_production[[#This Row],[Commissioned Date]])/365.25),"")</f>
        <v>0.15879534565366188</v>
      </c>
      <c r="F962" s="49">
        <f>IF(expected_production[[#This Row],[Age (yrs)]]="",1,(1-DegradationRate)^expected_production[[#This Row],[Age (yrs)]])</f>
        <v>0.99888514575526499</v>
      </c>
      <c r="G962" s="52">
        <f>IF(expected_production[[#This Row],[Base Expected (kWh)]]="","",expected_production[[#This Row],[Base Expected (kWh)]]*expected_production[[#This Row],[Degradation Factor]])</f>
        <v>7406.8332442898654</v>
      </c>
    </row>
    <row r="963" spans="1:7" ht="15" hidden="1" customHeight="1" x14ac:dyDescent="0.3">
      <c r="A963" t="s">
        <v>225</v>
      </c>
      <c r="B963" s="2">
        <v>46023</v>
      </c>
      <c r="C963" s="52">
        <v>7573.5</v>
      </c>
      <c r="D963" s="48">
        <f>_xlfn.XLOOKUP(expected_production[[#This Row],[Site Name]],Table1[[Site Name ]],Table1[Commisioned Date],"")</f>
        <v>45934</v>
      </c>
      <c r="E963" s="47">
        <f>IF(ISNUMBER(expected_production[[#This Row],[Commissioned Date]]),MAX(0,(expected_production[[#This Row],[Date]]-expected_production[[#This Row],[Commissioned Date]])/365.25),"")</f>
        <v>0.24366872005475701</v>
      </c>
      <c r="F963" s="49">
        <f>IF(expected_production[[#This Row],[Age (yrs)]]="",1,(1-DegradationRate)^expected_production[[#This Row],[Age (yrs)]])</f>
        <v>0.99828978515634492</v>
      </c>
      <c r="G963" s="52">
        <f>IF(expected_production[[#This Row],[Base Expected (kWh)]]="","",expected_production[[#This Row],[Base Expected (kWh)]]*expected_production[[#This Row],[Degradation Factor]])</f>
        <v>7560.547687881578</v>
      </c>
    </row>
    <row r="964" spans="1:7" ht="15" hidden="1" customHeight="1" x14ac:dyDescent="0.3">
      <c r="A964" t="s">
        <v>225</v>
      </c>
      <c r="B964" s="2">
        <v>46054</v>
      </c>
      <c r="C964" s="52">
        <v>6513.75</v>
      </c>
      <c r="D964" s="48">
        <f>_xlfn.XLOOKUP(expected_production[[#This Row],[Site Name]],Table1[[Site Name ]],Table1[Commisioned Date],"")</f>
        <v>45934</v>
      </c>
      <c r="E964" s="47">
        <f>IF(ISNUMBER(expected_production[[#This Row],[Commissioned Date]]),MAX(0,(expected_production[[#This Row],[Date]]-expected_production[[#This Row],[Commissioned Date]])/365.25),"")</f>
        <v>0.32854209445585214</v>
      </c>
      <c r="F964" s="49">
        <f>IF(expected_production[[#This Row],[Age (yrs)]]="",1,(1-DegradationRate)^expected_production[[#This Row],[Age (yrs)]])</f>
        <v>0.99769477940727358</v>
      </c>
      <c r="G964" s="52">
        <f>IF(expected_production[[#This Row],[Base Expected (kWh)]]="","",expected_production[[#This Row],[Base Expected (kWh)]]*expected_production[[#This Row],[Degradation Factor]])</f>
        <v>6498.7343693641287</v>
      </c>
    </row>
    <row r="965" spans="1:7" ht="15" hidden="1" customHeight="1" x14ac:dyDescent="0.3">
      <c r="A965" t="s">
        <v>225</v>
      </c>
      <c r="B965" s="2">
        <v>46082</v>
      </c>
      <c r="C965" s="52">
        <v>6841.35</v>
      </c>
      <c r="D965" s="48">
        <f>_xlfn.XLOOKUP(expected_production[[#This Row],[Site Name]],Table1[[Site Name ]],Table1[Commisioned Date],"")</f>
        <v>45934</v>
      </c>
      <c r="E965" s="47">
        <f>IF(ISNUMBER(expected_production[[#This Row],[Commissioned Date]]),MAX(0,(expected_production[[#This Row],[Date]]-expected_production[[#This Row],[Commissioned Date]])/365.25),"")</f>
        <v>0.40520191649555098</v>
      </c>
      <c r="F965" s="49">
        <f>IF(expected_production[[#This Row],[Age (yrs)]]="",1,(1-DegradationRate)^expected_production[[#This Row],[Age (yrs)]])</f>
        <v>0.99715765968481296</v>
      </c>
      <c r="G965" s="52">
        <f>IF(expected_production[[#This Row],[Base Expected (kWh)]]="","",expected_production[[#This Row],[Base Expected (kWh)]]*expected_production[[#This Row],[Degradation Factor]])</f>
        <v>6821.9045550846959</v>
      </c>
    </row>
    <row r="966" spans="1:7" ht="15" hidden="1" customHeight="1" x14ac:dyDescent="0.3">
      <c r="A966" t="s">
        <v>225</v>
      </c>
      <c r="B966" s="2">
        <v>46113</v>
      </c>
      <c r="C966" s="52">
        <v>6183</v>
      </c>
      <c r="D966" s="48">
        <f>_xlfn.XLOOKUP(expected_production[[#This Row],[Site Name]],Table1[[Site Name ]],Table1[Commisioned Date],"")</f>
        <v>45934</v>
      </c>
      <c r="E966" s="47">
        <f>IF(ISNUMBER(expected_production[[#This Row],[Commissioned Date]]),MAX(0,(expected_production[[#This Row],[Date]]-expected_production[[#This Row],[Commissioned Date]])/365.25),"")</f>
        <v>0.49007529089664614</v>
      </c>
      <c r="F966" s="49">
        <f>IF(expected_production[[#This Row],[Age (yrs)]]="",1,(1-DegradationRate)^expected_production[[#This Row],[Age (yrs)]])</f>
        <v>0.99656332871091635</v>
      </c>
      <c r="G966" s="52">
        <f>IF(expected_production[[#This Row],[Base Expected (kWh)]]="","",expected_production[[#This Row],[Base Expected (kWh)]]*expected_production[[#This Row],[Degradation Factor]])</f>
        <v>6161.7510614195962</v>
      </c>
    </row>
    <row r="967" spans="1:7" ht="15" hidden="1" customHeight="1" x14ac:dyDescent="0.3">
      <c r="A967" t="s">
        <v>225</v>
      </c>
      <c r="B967" s="2">
        <v>46143</v>
      </c>
      <c r="C967" s="52">
        <v>5924.7</v>
      </c>
      <c r="D967" s="48">
        <f>_xlfn.XLOOKUP(expected_production[[#This Row],[Site Name]],Table1[[Site Name ]],Table1[Commisioned Date],"")</f>
        <v>45934</v>
      </c>
      <c r="E967" s="47">
        <f>IF(ISNUMBER(expected_production[[#This Row],[Commissioned Date]]),MAX(0,(expected_production[[#This Row],[Date]]-expected_production[[#This Row],[Commissioned Date]])/365.25),"")</f>
        <v>0.57221081451060918</v>
      </c>
      <c r="F967" s="49">
        <f>IF(expected_production[[#This Row],[Age (yrs)]]="",1,(1-DegradationRate)^expected_production[[#This Row],[Age (yrs)]])</f>
        <v>0.99598850698609409</v>
      </c>
      <c r="G967" s="52">
        <f>IF(expected_production[[#This Row],[Base Expected (kWh)]]="","",expected_production[[#This Row],[Base Expected (kWh)]]*expected_production[[#This Row],[Degradation Factor]])</f>
        <v>5900.9331073405119</v>
      </c>
    </row>
    <row r="968" spans="1:7" ht="15" hidden="1" customHeight="1" x14ac:dyDescent="0.3">
      <c r="A968" t="s">
        <v>225</v>
      </c>
      <c r="B968" s="2">
        <v>46174</v>
      </c>
      <c r="C968" s="52">
        <v>5295.6</v>
      </c>
      <c r="D968" s="48">
        <f>_xlfn.XLOOKUP(expected_production[[#This Row],[Site Name]],Table1[[Site Name ]],Table1[Commisioned Date],"")</f>
        <v>45934</v>
      </c>
      <c r="E968" s="47">
        <f>IF(ISNUMBER(expected_production[[#This Row],[Commissioned Date]]),MAX(0,(expected_production[[#This Row],[Date]]-expected_production[[#This Row],[Commissioned Date]])/365.25),"")</f>
        <v>0.65708418891170428</v>
      </c>
      <c r="F968" s="49">
        <f>IF(expected_production[[#This Row],[Age (yrs)]]="",1,(1-DegradationRate)^expected_production[[#This Row],[Age (yrs)]])</f>
        <v>0.99539487285652817</v>
      </c>
      <c r="G968" s="52">
        <f>IF(expected_production[[#This Row],[Base Expected (kWh)]]="","",expected_production[[#This Row],[Base Expected (kWh)]]*expected_production[[#This Row],[Degradation Factor]])</f>
        <v>5271.2130886990308</v>
      </c>
    </row>
    <row r="969" spans="1:7" ht="15" hidden="1" customHeight="1" x14ac:dyDescent="0.3">
      <c r="A969" t="s">
        <v>225</v>
      </c>
      <c r="B969" s="2">
        <v>46204</v>
      </c>
      <c r="C969" s="52">
        <v>5785.2</v>
      </c>
      <c r="D969" s="48">
        <f>_xlfn.XLOOKUP(expected_production[[#This Row],[Site Name]],Table1[[Site Name ]],Table1[Commisioned Date],"")</f>
        <v>45934</v>
      </c>
      <c r="E969" s="47">
        <f>IF(ISNUMBER(expected_production[[#This Row],[Commissioned Date]]),MAX(0,(expected_production[[#This Row],[Date]]-expected_production[[#This Row],[Commissioned Date]])/365.25),"")</f>
        <v>0.73921971252566732</v>
      </c>
      <c r="F969" s="49">
        <f>IF(expected_production[[#This Row],[Age (yrs)]]="",1,(1-DegradationRate)^expected_production[[#This Row],[Age (yrs)]])</f>
        <v>0.99482072510172903</v>
      </c>
      <c r="G969" s="52">
        <f>IF(expected_production[[#This Row],[Base Expected (kWh)]]="","",expected_production[[#This Row],[Base Expected (kWh)]]*expected_production[[#This Row],[Degradation Factor]])</f>
        <v>5755.2368588585223</v>
      </c>
    </row>
    <row r="970" spans="1:7" ht="15" hidden="1" customHeight="1" x14ac:dyDescent="0.3">
      <c r="A970" t="s">
        <v>225</v>
      </c>
      <c r="B970" s="2">
        <v>46235</v>
      </c>
      <c r="C970" s="52">
        <v>6585.3</v>
      </c>
      <c r="D970" s="48">
        <f>_xlfn.XLOOKUP(expected_production[[#This Row],[Site Name]],Table1[[Site Name ]],Table1[Commisioned Date],"")</f>
        <v>45934</v>
      </c>
      <c r="E970" s="47">
        <f>IF(ISNUMBER(expected_production[[#This Row],[Commissioned Date]]),MAX(0,(expected_production[[#This Row],[Date]]-expected_production[[#This Row],[Commissioned Date]])/365.25),"")</f>
        <v>0.82409308692676253</v>
      </c>
      <c r="F970" s="49">
        <f>IF(expected_production[[#This Row],[Age (yrs)]]="",1,(1-DegradationRate)^expected_production[[#This Row],[Age (yrs)]])</f>
        <v>0.99422778699945413</v>
      </c>
      <c r="G970" s="52">
        <f>IF(expected_production[[#This Row],[Base Expected (kWh)]]="","",expected_production[[#This Row],[Base Expected (kWh)]]*expected_production[[#This Row],[Degradation Factor]])</f>
        <v>6547.2882457275055</v>
      </c>
    </row>
    <row r="971" spans="1:7" ht="15" hidden="1" customHeight="1" x14ac:dyDescent="0.3">
      <c r="A971" t="s">
        <v>225</v>
      </c>
      <c r="B971" s="2">
        <v>46266</v>
      </c>
      <c r="C971" s="52">
        <v>7018.65</v>
      </c>
      <c r="D971" s="48">
        <f>_xlfn.XLOOKUP(expected_production[[#This Row],[Site Name]],Table1[[Site Name ]],Table1[Commisioned Date],"")</f>
        <v>45934</v>
      </c>
      <c r="E971" s="47">
        <f>IF(ISNUMBER(expected_production[[#This Row],[Commissioned Date]]),MAX(0,(expected_production[[#This Row],[Date]]-expected_production[[#This Row],[Commissioned Date]])/365.25),"")</f>
        <v>0.90896646132785763</v>
      </c>
      <c r="F971" s="49">
        <f>IF(expected_production[[#This Row],[Age (yrs)]]="",1,(1-DegradationRate)^expected_production[[#This Row],[Age (yrs)]])</f>
        <v>0.99363520230315916</v>
      </c>
      <c r="G971" s="52">
        <f>IF(expected_production[[#This Row],[Base Expected (kWh)]]="","",expected_production[[#This Row],[Base Expected (kWh)]]*expected_production[[#This Row],[Degradation Factor]])</f>
        <v>6973.9777126450681</v>
      </c>
    </row>
    <row r="972" spans="1:7" ht="15" hidden="1" customHeight="1" x14ac:dyDescent="0.3">
      <c r="A972" t="s">
        <v>225</v>
      </c>
      <c r="B972" s="2">
        <v>46296</v>
      </c>
      <c r="C972" s="52">
        <v>7479.45</v>
      </c>
      <c r="D972" s="48">
        <f>_xlfn.XLOOKUP(expected_production[[#This Row],[Site Name]],Table1[[Site Name ]],Table1[Commisioned Date],"")</f>
        <v>45934</v>
      </c>
      <c r="E972" s="47">
        <f>IF(ISNUMBER(expected_production[[#This Row],[Commissioned Date]]),MAX(0,(expected_production[[#This Row],[Date]]-expected_production[[#This Row],[Commissioned Date]])/365.25),"")</f>
        <v>0.99110198494182067</v>
      </c>
      <c r="F972" s="49">
        <f>IF(expected_production[[#This Row],[Age (yrs)]]="",1,(1-DegradationRate)^expected_production[[#This Row],[Age (yrs)]])</f>
        <v>0.99306206953339249</v>
      </c>
      <c r="G972" s="52">
        <f>IF(expected_production[[#This Row],[Base Expected (kWh)]]="","",expected_production[[#This Row],[Base Expected (kWh)]]*expected_production[[#This Row],[Degradation Factor]])</f>
        <v>7427.5580959715326</v>
      </c>
    </row>
    <row r="973" spans="1:7" ht="15" hidden="1" customHeight="1" x14ac:dyDescent="0.3">
      <c r="A973" t="s">
        <v>225</v>
      </c>
      <c r="B973" s="2">
        <v>46327</v>
      </c>
      <c r="C973" s="52">
        <v>7552.8</v>
      </c>
      <c r="D973" s="48">
        <f>_xlfn.XLOOKUP(expected_production[[#This Row],[Site Name]],Table1[[Site Name ]],Table1[Commisioned Date],"")</f>
        <v>45934</v>
      </c>
      <c r="E973" s="47">
        <f>IF(ISNUMBER(expected_production[[#This Row],[Commissioned Date]]),MAX(0,(expected_production[[#This Row],[Date]]-expected_production[[#This Row],[Commissioned Date]])/365.25),"")</f>
        <v>1.0759753593429158</v>
      </c>
      <c r="F973" s="49">
        <f>IF(expected_production[[#This Row],[Age (yrs)]]="",1,(1-DegradationRate)^expected_production[[#This Row],[Age (yrs)]])</f>
        <v>0.99247017963394357</v>
      </c>
      <c r="G973" s="52">
        <f>IF(expected_production[[#This Row],[Base Expected (kWh)]]="","",expected_production[[#This Row],[Base Expected (kWh)]]*expected_production[[#This Row],[Degradation Factor]])</f>
        <v>7495.9287727392493</v>
      </c>
    </row>
    <row r="974" spans="1:7" ht="15" hidden="1" customHeight="1" x14ac:dyDescent="0.3">
      <c r="A974" t="s">
        <v>225</v>
      </c>
      <c r="B974" s="2">
        <v>46357</v>
      </c>
      <c r="C974" s="52">
        <v>7415.1</v>
      </c>
      <c r="D974" s="48">
        <f>_xlfn.XLOOKUP(expected_production[[#This Row],[Site Name]],Table1[[Site Name ]],Table1[Commisioned Date],"")</f>
        <v>45934</v>
      </c>
      <c r="E974" s="47">
        <f>IF(ISNUMBER(expected_production[[#This Row],[Commissioned Date]]),MAX(0,(expected_production[[#This Row],[Date]]-expected_production[[#This Row],[Commissioned Date]])/365.25),"")</f>
        <v>1.1581108829568789</v>
      </c>
      <c r="F974" s="49">
        <f>IF(expected_production[[#This Row],[Age (yrs)]]="",1,(1-DegradationRate)^expected_production[[#This Row],[Age (yrs)]])</f>
        <v>0.99189771885392486</v>
      </c>
      <c r="G974" s="52">
        <f>IF(expected_production[[#This Row],[Base Expected (kWh)]]="","",expected_production[[#This Row],[Base Expected (kWh)]]*expected_production[[#This Row],[Degradation Factor]])</f>
        <v>7355.0207750737382</v>
      </c>
    </row>
    <row r="975" spans="1:7" ht="15" hidden="1" customHeight="1" x14ac:dyDescent="0.3">
      <c r="A975" t="s">
        <v>223</v>
      </c>
      <c r="B975" s="2">
        <v>45292</v>
      </c>
      <c r="C975" s="52">
        <v>7573.5</v>
      </c>
      <c r="D975" s="48">
        <f>_xlfn.XLOOKUP(expected_production[[#This Row],[Site Name]],Table1[[Site Name ]],Table1[Commisioned Date],"")</f>
        <v>45934</v>
      </c>
      <c r="E975" s="47">
        <f>IF(ISNUMBER(expected_production[[#This Row],[Commissioned Date]]),MAX(0,(expected_production[[#This Row],[Date]]-expected_production[[#This Row],[Commissioned Date]])/365.25),"")</f>
        <v>0</v>
      </c>
      <c r="F975" s="49">
        <f>IF(expected_production[[#This Row],[Age (yrs)]]="",1,(1-DegradationRate)^expected_production[[#This Row],[Age (yrs)]])</f>
        <v>1</v>
      </c>
      <c r="G975" s="52">
        <f>IF(expected_production[[#This Row],[Base Expected (kWh)]]="","",expected_production[[#This Row],[Base Expected (kWh)]]*expected_production[[#This Row],[Degradation Factor]])</f>
        <v>7573.5</v>
      </c>
    </row>
    <row r="976" spans="1:7" ht="15" hidden="1" customHeight="1" x14ac:dyDescent="0.3">
      <c r="A976" t="s">
        <v>223</v>
      </c>
      <c r="B976" s="2">
        <v>45323</v>
      </c>
      <c r="C976" s="52">
        <v>6513.75</v>
      </c>
      <c r="D976" s="48">
        <f>_xlfn.XLOOKUP(expected_production[[#This Row],[Site Name]],Table1[[Site Name ]],Table1[Commisioned Date],"")</f>
        <v>45934</v>
      </c>
      <c r="E976" s="47">
        <f>IF(ISNUMBER(expected_production[[#This Row],[Commissioned Date]]),MAX(0,(expected_production[[#This Row],[Date]]-expected_production[[#This Row],[Commissioned Date]])/365.25),"")</f>
        <v>0</v>
      </c>
      <c r="F976" s="49">
        <f>IF(expected_production[[#This Row],[Age (yrs)]]="",1,(1-DegradationRate)^expected_production[[#This Row],[Age (yrs)]])</f>
        <v>1</v>
      </c>
      <c r="G976" s="52">
        <f>IF(expected_production[[#This Row],[Base Expected (kWh)]]="","",expected_production[[#This Row],[Base Expected (kWh)]]*expected_production[[#This Row],[Degradation Factor]])</f>
        <v>6513.75</v>
      </c>
    </row>
    <row r="977" spans="1:7" ht="15" hidden="1" customHeight="1" x14ac:dyDescent="0.3">
      <c r="A977" t="s">
        <v>223</v>
      </c>
      <c r="B977" s="2">
        <v>45352</v>
      </c>
      <c r="C977" s="52">
        <v>6841.35</v>
      </c>
      <c r="D977" s="48">
        <f>_xlfn.XLOOKUP(expected_production[[#This Row],[Site Name]],Table1[[Site Name ]],Table1[Commisioned Date],"")</f>
        <v>45934</v>
      </c>
      <c r="E977" s="47">
        <f>IF(ISNUMBER(expected_production[[#This Row],[Commissioned Date]]),MAX(0,(expected_production[[#This Row],[Date]]-expected_production[[#This Row],[Commissioned Date]])/365.25),"")</f>
        <v>0</v>
      </c>
      <c r="F977" s="49">
        <f>IF(expected_production[[#This Row],[Age (yrs)]]="",1,(1-DegradationRate)^expected_production[[#This Row],[Age (yrs)]])</f>
        <v>1</v>
      </c>
      <c r="G977" s="52">
        <f>IF(expected_production[[#This Row],[Base Expected (kWh)]]="","",expected_production[[#This Row],[Base Expected (kWh)]]*expected_production[[#This Row],[Degradation Factor]])</f>
        <v>6841.35</v>
      </c>
    </row>
    <row r="978" spans="1:7" ht="15" hidden="1" customHeight="1" x14ac:dyDescent="0.3">
      <c r="A978" t="s">
        <v>223</v>
      </c>
      <c r="B978" s="2">
        <v>45383</v>
      </c>
      <c r="C978" s="52">
        <v>618.29999999999995</v>
      </c>
      <c r="D978" s="48">
        <f>_xlfn.XLOOKUP(expected_production[[#This Row],[Site Name]],Table1[[Site Name ]],Table1[Commisioned Date],"")</f>
        <v>45934</v>
      </c>
      <c r="E978" s="47">
        <f>IF(ISNUMBER(expected_production[[#This Row],[Commissioned Date]]),MAX(0,(expected_production[[#This Row],[Date]]-expected_production[[#This Row],[Commissioned Date]])/365.25),"")</f>
        <v>0</v>
      </c>
      <c r="F978" s="49">
        <f>IF(expected_production[[#This Row],[Age (yrs)]]="",1,(1-DegradationRate)^expected_production[[#This Row],[Age (yrs)]])</f>
        <v>1</v>
      </c>
      <c r="G978" s="52">
        <f>IF(expected_production[[#This Row],[Base Expected (kWh)]]="","",expected_production[[#This Row],[Base Expected (kWh)]]*expected_production[[#This Row],[Degradation Factor]])</f>
        <v>618.29999999999995</v>
      </c>
    </row>
    <row r="979" spans="1:7" ht="15" hidden="1" customHeight="1" x14ac:dyDescent="0.3">
      <c r="A979" t="s">
        <v>223</v>
      </c>
      <c r="B979" s="2">
        <v>45413</v>
      </c>
      <c r="C979" s="52">
        <v>5924.7</v>
      </c>
      <c r="D979" s="48">
        <f>_xlfn.XLOOKUP(expected_production[[#This Row],[Site Name]],Table1[[Site Name ]],Table1[Commisioned Date],"")</f>
        <v>45934</v>
      </c>
      <c r="E979" s="47">
        <f>IF(ISNUMBER(expected_production[[#This Row],[Commissioned Date]]),MAX(0,(expected_production[[#This Row],[Date]]-expected_production[[#This Row],[Commissioned Date]])/365.25),"")</f>
        <v>0</v>
      </c>
      <c r="F979" s="49">
        <f>IF(expected_production[[#This Row],[Age (yrs)]]="",1,(1-DegradationRate)^expected_production[[#This Row],[Age (yrs)]])</f>
        <v>1</v>
      </c>
      <c r="G979" s="52">
        <f>IF(expected_production[[#This Row],[Base Expected (kWh)]]="","",expected_production[[#This Row],[Base Expected (kWh)]]*expected_production[[#This Row],[Degradation Factor]])</f>
        <v>5924.7</v>
      </c>
    </row>
    <row r="980" spans="1:7" ht="15" hidden="1" customHeight="1" x14ac:dyDescent="0.3">
      <c r="A980" t="s">
        <v>223</v>
      </c>
      <c r="B980" s="2">
        <v>45444</v>
      </c>
      <c r="C980" s="52">
        <v>5295.6</v>
      </c>
      <c r="D980" s="48">
        <f>_xlfn.XLOOKUP(expected_production[[#This Row],[Site Name]],Table1[[Site Name ]],Table1[Commisioned Date],"")</f>
        <v>45934</v>
      </c>
      <c r="E980" s="47">
        <f>IF(ISNUMBER(expected_production[[#This Row],[Commissioned Date]]),MAX(0,(expected_production[[#This Row],[Date]]-expected_production[[#This Row],[Commissioned Date]])/365.25),"")</f>
        <v>0</v>
      </c>
      <c r="F980" s="49">
        <f>IF(expected_production[[#This Row],[Age (yrs)]]="",1,(1-DegradationRate)^expected_production[[#This Row],[Age (yrs)]])</f>
        <v>1</v>
      </c>
      <c r="G980" s="52">
        <f>IF(expected_production[[#This Row],[Base Expected (kWh)]]="","",expected_production[[#This Row],[Base Expected (kWh)]]*expected_production[[#This Row],[Degradation Factor]])</f>
        <v>5295.6</v>
      </c>
    </row>
    <row r="981" spans="1:7" ht="15" hidden="1" customHeight="1" x14ac:dyDescent="0.3">
      <c r="A981" t="s">
        <v>223</v>
      </c>
      <c r="B981" s="2">
        <v>45474</v>
      </c>
      <c r="C981" s="52">
        <v>5785.2</v>
      </c>
      <c r="D981" s="48">
        <f>_xlfn.XLOOKUP(expected_production[[#This Row],[Site Name]],Table1[[Site Name ]],Table1[Commisioned Date],"")</f>
        <v>45934</v>
      </c>
      <c r="E981" s="47">
        <f>IF(ISNUMBER(expected_production[[#This Row],[Commissioned Date]]),MAX(0,(expected_production[[#This Row],[Date]]-expected_production[[#This Row],[Commissioned Date]])/365.25),"")</f>
        <v>0</v>
      </c>
      <c r="F981" s="49">
        <f>IF(expected_production[[#This Row],[Age (yrs)]]="",1,(1-DegradationRate)^expected_production[[#This Row],[Age (yrs)]])</f>
        <v>1</v>
      </c>
      <c r="G981" s="52">
        <f>IF(expected_production[[#This Row],[Base Expected (kWh)]]="","",expected_production[[#This Row],[Base Expected (kWh)]]*expected_production[[#This Row],[Degradation Factor]])</f>
        <v>5785.2</v>
      </c>
    </row>
    <row r="982" spans="1:7" ht="15" hidden="1" customHeight="1" x14ac:dyDescent="0.3">
      <c r="A982" t="s">
        <v>223</v>
      </c>
      <c r="B982" s="2">
        <v>45505</v>
      </c>
      <c r="C982" s="52">
        <v>6585.3</v>
      </c>
      <c r="D982" s="48">
        <f>_xlfn.XLOOKUP(expected_production[[#This Row],[Site Name]],Table1[[Site Name ]],Table1[Commisioned Date],"")</f>
        <v>45934</v>
      </c>
      <c r="E982" s="47">
        <f>IF(ISNUMBER(expected_production[[#This Row],[Commissioned Date]]),MAX(0,(expected_production[[#This Row],[Date]]-expected_production[[#This Row],[Commissioned Date]])/365.25),"")</f>
        <v>0</v>
      </c>
      <c r="F982" s="49">
        <f>IF(expected_production[[#This Row],[Age (yrs)]]="",1,(1-DegradationRate)^expected_production[[#This Row],[Age (yrs)]])</f>
        <v>1</v>
      </c>
      <c r="G982" s="52">
        <f>IF(expected_production[[#This Row],[Base Expected (kWh)]]="","",expected_production[[#This Row],[Base Expected (kWh)]]*expected_production[[#This Row],[Degradation Factor]])</f>
        <v>6585.3</v>
      </c>
    </row>
    <row r="983" spans="1:7" ht="15" hidden="1" customHeight="1" x14ac:dyDescent="0.3">
      <c r="A983" t="s">
        <v>223</v>
      </c>
      <c r="B983" s="2">
        <v>45536</v>
      </c>
      <c r="C983" s="52">
        <v>7018.65</v>
      </c>
      <c r="D983" s="48">
        <f>_xlfn.XLOOKUP(expected_production[[#This Row],[Site Name]],Table1[[Site Name ]],Table1[Commisioned Date],"")</f>
        <v>45934</v>
      </c>
      <c r="E983" s="47">
        <f>IF(ISNUMBER(expected_production[[#This Row],[Commissioned Date]]),MAX(0,(expected_production[[#This Row],[Date]]-expected_production[[#This Row],[Commissioned Date]])/365.25),"")</f>
        <v>0</v>
      </c>
      <c r="F983" s="49">
        <f>IF(expected_production[[#This Row],[Age (yrs)]]="",1,(1-DegradationRate)^expected_production[[#This Row],[Age (yrs)]])</f>
        <v>1</v>
      </c>
      <c r="G983" s="52">
        <f>IF(expected_production[[#This Row],[Base Expected (kWh)]]="","",expected_production[[#This Row],[Base Expected (kWh)]]*expected_production[[#This Row],[Degradation Factor]])</f>
        <v>7018.65</v>
      </c>
    </row>
    <row r="984" spans="1:7" ht="15" hidden="1" customHeight="1" x14ac:dyDescent="0.3">
      <c r="A984" t="s">
        <v>223</v>
      </c>
      <c r="B984" s="2">
        <v>45566</v>
      </c>
      <c r="C984" s="52">
        <v>7479.45</v>
      </c>
      <c r="D984" s="48">
        <f>_xlfn.XLOOKUP(expected_production[[#This Row],[Site Name]],Table1[[Site Name ]],Table1[Commisioned Date],"")</f>
        <v>45934</v>
      </c>
      <c r="E984" s="47">
        <f>IF(ISNUMBER(expected_production[[#This Row],[Commissioned Date]]),MAX(0,(expected_production[[#This Row],[Date]]-expected_production[[#This Row],[Commissioned Date]])/365.25),"")</f>
        <v>0</v>
      </c>
      <c r="F984" s="49">
        <f>IF(expected_production[[#This Row],[Age (yrs)]]="",1,(1-DegradationRate)^expected_production[[#This Row],[Age (yrs)]])</f>
        <v>1</v>
      </c>
      <c r="G984" s="52">
        <f>IF(expected_production[[#This Row],[Base Expected (kWh)]]="","",expected_production[[#This Row],[Base Expected (kWh)]]*expected_production[[#This Row],[Degradation Factor]])</f>
        <v>7479.45</v>
      </c>
    </row>
    <row r="985" spans="1:7" ht="15" hidden="1" customHeight="1" x14ac:dyDescent="0.3">
      <c r="A985" t="s">
        <v>223</v>
      </c>
      <c r="B985" s="2">
        <v>45597</v>
      </c>
      <c r="C985" s="52">
        <v>7552.8</v>
      </c>
      <c r="D985" s="48">
        <f>_xlfn.XLOOKUP(expected_production[[#This Row],[Site Name]],Table1[[Site Name ]],Table1[Commisioned Date],"")</f>
        <v>45934</v>
      </c>
      <c r="E985" s="47">
        <f>IF(ISNUMBER(expected_production[[#This Row],[Commissioned Date]]),MAX(0,(expected_production[[#This Row],[Date]]-expected_production[[#This Row],[Commissioned Date]])/365.25),"")</f>
        <v>0</v>
      </c>
      <c r="F985" s="49">
        <f>IF(expected_production[[#This Row],[Age (yrs)]]="",1,(1-DegradationRate)^expected_production[[#This Row],[Age (yrs)]])</f>
        <v>1</v>
      </c>
      <c r="G985" s="52">
        <f>IF(expected_production[[#This Row],[Base Expected (kWh)]]="","",expected_production[[#This Row],[Base Expected (kWh)]]*expected_production[[#This Row],[Degradation Factor]])</f>
        <v>7552.8</v>
      </c>
    </row>
    <row r="986" spans="1:7" ht="15" hidden="1" customHeight="1" x14ac:dyDescent="0.3">
      <c r="A986" t="s">
        <v>223</v>
      </c>
      <c r="B986" s="2">
        <v>45627</v>
      </c>
      <c r="C986" s="52">
        <v>7415.1</v>
      </c>
      <c r="D986" s="48">
        <f>_xlfn.XLOOKUP(expected_production[[#This Row],[Site Name]],Table1[[Site Name ]],Table1[Commisioned Date],"")</f>
        <v>45934</v>
      </c>
      <c r="E986" s="47">
        <f>IF(ISNUMBER(expected_production[[#This Row],[Commissioned Date]]),MAX(0,(expected_production[[#This Row],[Date]]-expected_production[[#This Row],[Commissioned Date]])/365.25),"")</f>
        <v>0</v>
      </c>
      <c r="F986" s="49">
        <f>IF(expected_production[[#This Row],[Age (yrs)]]="",1,(1-DegradationRate)^expected_production[[#This Row],[Age (yrs)]])</f>
        <v>1</v>
      </c>
      <c r="G986" s="52">
        <f>IF(expected_production[[#This Row],[Base Expected (kWh)]]="","",expected_production[[#This Row],[Base Expected (kWh)]]*expected_production[[#This Row],[Degradation Factor]])</f>
        <v>7415.1</v>
      </c>
    </row>
    <row r="987" spans="1:7" ht="15" hidden="1" customHeight="1" x14ac:dyDescent="0.3">
      <c r="A987" t="s">
        <v>223</v>
      </c>
      <c r="B987" s="2">
        <v>45658</v>
      </c>
      <c r="C987" s="52">
        <v>7573.5</v>
      </c>
      <c r="D987" s="48">
        <f>_xlfn.XLOOKUP(expected_production[[#This Row],[Site Name]],Table1[[Site Name ]],Table1[Commisioned Date],"")</f>
        <v>45934</v>
      </c>
      <c r="E987" s="47">
        <f>IF(ISNUMBER(expected_production[[#This Row],[Commissioned Date]]),MAX(0,(expected_production[[#This Row],[Date]]-expected_production[[#This Row],[Commissioned Date]])/365.25),"")</f>
        <v>0</v>
      </c>
      <c r="F987" s="49">
        <f>IF(expected_production[[#This Row],[Age (yrs)]]="",1,(1-DegradationRate)^expected_production[[#This Row],[Age (yrs)]])</f>
        <v>1</v>
      </c>
      <c r="G987" s="52">
        <f>IF(expected_production[[#This Row],[Base Expected (kWh)]]="","",expected_production[[#This Row],[Base Expected (kWh)]]*expected_production[[#This Row],[Degradation Factor]])</f>
        <v>7573.5</v>
      </c>
    </row>
    <row r="988" spans="1:7" ht="15" hidden="1" customHeight="1" x14ac:dyDescent="0.3">
      <c r="A988" t="s">
        <v>223</v>
      </c>
      <c r="B988" s="2">
        <v>45689</v>
      </c>
      <c r="C988" s="52">
        <v>6513.75</v>
      </c>
      <c r="D988" s="48">
        <f>_xlfn.XLOOKUP(expected_production[[#This Row],[Site Name]],Table1[[Site Name ]],Table1[Commisioned Date],"")</f>
        <v>45934</v>
      </c>
      <c r="E988" s="47">
        <f>IF(ISNUMBER(expected_production[[#This Row],[Commissioned Date]]),MAX(0,(expected_production[[#This Row],[Date]]-expected_production[[#This Row],[Commissioned Date]])/365.25),"")</f>
        <v>0</v>
      </c>
      <c r="F988" s="49">
        <f>IF(expected_production[[#This Row],[Age (yrs)]]="",1,(1-DegradationRate)^expected_production[[#This Row],[Age (yrs)]])</f>
        <v>1</v>
      </c>
      <c r="G988" s="52">
        <f>IF(expected_production[[#This Row],[Base Expected (kWh)]]="","",expected_production[[#This Row],[Base Expected (kWh)]]*expected_production[[#This Row],[Degradation Factor]])</f>
        <v>6513.75</v>
      </c>
    </row>
    <row r="989" spans="1:7" ht="15" hidden="1" customHeight="1" x14ac:dyDescent="0.3">
      <c r="A989" t="s">
        <v>223</v>
      </c>
      <c r="B989" s="2">
        <v>45717</v>
      </c>
      <c r="C989" s="52">
        <v>6841.35</v>
      </c>
      <c r="D989" s="48">
        <f>_xlfn.XLOOKUP(expected_production[[#This Row],[Site Name]],Table1[[Site Name ]],Table1[Commisioned Date],"")</f>
        <v>45934</v>
      </c>
      <c r="E989" s="47">
        <f>IF(ISNUMBER(expected_production[[#This Row],[Commissioned Date]]),MAX(0,(expected_production[[#This Row],[Date]]-expected_production[[#This Row],[Commissioned Date]])/365.25),"")</f>
        <v>0</v>
      </c>
      <c r="F989" s="49">
        <f>IF(expected_production[[#This Row],[Age (yrs)]]="",1,(1-DegradationRate)^expected_production[[#This Row],[Age (yrs)]])</f>
        <v>1</v>
      </c>
      <c r="G989" s="52">
        <f>IF(expected_production[[#This Row],[Base Expected (kWh)]]="","",expected_production[[#This Row],[Base Expected (kWh)]]*expected_production[[#This Row],[Degradation Factor]])</f>
        <v>6841.35</v>
      </c>
    </row>
    <row r="990" spans="1:7" ht="15" hidden="1" customHeight="1" x14ac:dyDescent="0.3">
      <c r="A990" t="s">
        <v>223</v>
      </c>
      <c r="B990" s="2">
        <v>45748</v>
      </c>
      <c r="C990" s="52">
        <v>618.29999999999995</v>
      </c>
      <c r="D990" s="48">
        <f>_xlfn.XLOOKUP(expected_production[[#This Row],[Site Name]],Table1[[Site Name ]],Table1[Commisioned Date],"")</f>
        <v>45934</v>
      </c>
      <c r="E990" s="47">
        <f>IF(ISNUMBER(expected_production[[#This Row],[Commissioned Date]]),MAX(0,(expected_production[[#This Row],[Date]]-expected_production[[#This Row],[Commissioned Date]])/365.25),"")</f>
        <v>0</v>
      </c>
      <c r="F990" s="49">
        <f>IF(expected_production[[#This Row],[Age (yrs)]]="",1,(1-DegradationRate)^expected_production[[#This Row],[Age (yrs)]])</f>
        <v>1</v>
      </c>
      <c r="G990" s="52">
        <f>IF(expected_production[[#This Row],[Base Expected (kWh)]]="","",expected_production[[#This Row],[Base Expected (kWh)]]*expected_production[[#This Row],[Degradation Factor]])</f>
        <v>618.29999999999995</v>
      </c>
    </row>
    <row r="991" spans="1:7" ht="15" hidden="1" customHeight="1" x14ac:dyDescent="0.3">
      <c r="A991" t="s">
        <v>223</v>
      </c>
      <c r="B991" s="2">
        <v>45778</v>
      </c>
      <c r="C991" s="52">
        <v>5924.7</v>
      </c>
      <c r="D991" s="48">
        <f>_xlfn.XLOOKUP(expected_production[[#This Row],[Site Name]],Table1[[Site Name ]],Table1[Commisioned Date],"")</f>
        <v>45934</v>
      </c>
      <c r="E991" s="47">
        <f>IF(ISNUMBER(expected_production[[#This Row],[Commissioned Date]]),MAX(0,(expected_production[[#This Row],[Date]]-expected_production[[#This Row],[Commissioned Date]])/365.25),"")</f>
        <v>0</v>
      </c>
      <c r="F991" s="49">
        <f>IF(expected_production[[#This Row],[Age (yrs)]]="",1,(1-DegradationRate)^expected_production[[#This Row],[Age (yrs)]])</f>
        <v>1</v>
      </c>
      <c r="G991" s="52">
        <f>IF(expected_production[[#This Row],[Base Expected (kWh)]]="","",expected_production[[#This Row],[Base Expected (kWh)]]*expected_production[[#This Row],[Degradation Factor]])</f>
        <v>5924.7</v>
      </c>
    </row>
    <row r="992" spans="1:7" ht="15" hidden="1" customHeight="1" x14ac:dyDescent="0.3">
      <c r="A992" t="s">
        <v>223</v>
      </c>
      <c r="B992" s="2">
        <v>45809</v>
      </c>
      <c r="C992" s="52">
        <v>5295.6</v>
      </c>
      <c r="D992" s="48">
        <f>_xlfn.XLOOKUP(expected_production[[#This Row],[Site Name]],Table1[[Site Name ]],Table1[Commisioned Date],"")</f>
        <v>45934</v>
      </c>
      <c r="E992" s="47">
        <f>IF(ISNUMBER(expected_production[[#This Row],[Commissioned Date]]),MAX(0,(expected_production[[#This Row],[Date]]-expected_production[[#This Row],[Commissioned Date]])/365.25),"")</f>
        <v>0</v>
      </c>
      <c r="F992" s="49">
        <f>IF(expected_production[[#This Row],[Age (yrs)]]="",1,(1-DegradationRate)^expected_production[[#This Row],[Age (yrs)]])</f>
        <v>1</v>
      </c>
      <c r="G992" s="52">
        <f>IF(expected_production[[#This Row],[Base Expected (kWh)]]="","",expected_production[[#This Row],[Base Expected (kWh)]]*expected_production[[#This Row],[Degradation Factor]])</f>
        <v>5295.6</v>
      </c>
    </row>
    <row r="993" spans="1:7" ht="15" hidden="1" customHeight="1" x14ac:dyDescent="0.3">
      <c r="A993" t="s">
        <v>223</v>
      </c>
      <c r="B993" s="2">
        <v>45839</v>
      </c>
      <c r="C993" s="52">
        <v>5785.2</v>
      </c>
      <c r="D993" s="48">
        <f>_xlfn.XLOOKUP(expected_production[[#This Row],[Site Name]],Table1[[Site Name ]],Table1[Commisioned Date],"")</f>
        <v>45934</v>
      </c>
      <c r="E993" s="47">
        <f>IF(ISNUMBER(expected_production[[#This Row],[Commissioned Date]]),MAX(0,(expected_production[[#This Row],[Date]]-expected_production[[#This Row],[Commissioned Date]])/365.25),"")</f>
        <v>0</v>
      </c>
      <c r="F993" s="49">
        <f>IF(expected_production[[#This Row],[Age (yrs)]]="",1,(1-DegradationRate)^expected_production[[#This Row],[Age (yrs)]])</f>
        <v>1</v>
      </c>
      <c r="G993" s="52">
        <f>IF(expected_production[[#This Row],[Base Expected (kWh)]]="","",expected_production[[#This Row],[Base Expected (kWh)]]*expected_production[[#This Row],[Degradation Factor]])</f>
        <v>5785.2</v>
      </c>
    </row>
    <row r="994" spans="1:7" ht="15" hidden="1" customHeight="1" x14ac:dyDescent="0.3">
      <c r="A994" t="s">
        <v>223</v>
      </c>
      <c r="B994" s="2">
        <v>45870</v>
      </c>
      <c r="C994" s="52">
        <v>6585.3</v>
      </c>
      <c r="D994" s="48">
        <f>_xlfn.XLOOKUP(expected_production[[#This Row],[Site Name]],Table1[[Site Name ]],Table1[Commisioned Date],"")</f>
        <v>45934</v>
      </c>
      <c r="E994" s="47">
        <f>IF(ISNUMBER(expected_production[[#This Row],[Commissioned Date]]),MAX(0,(expected_production[[#This Row],[Date]]-expected_production[[#This Row],[Commissioned Date]])/365.25),"")</f>
        <v>0</v>
      </c>
      <c r="F994" s="49">
        <f>IF(expected_production[[#This Row],[Age (yrs)]]="",1,(1-DegradationRate)^expected_production[[#This Row],[Age (yrs)]])</f>
        <v>1</v>
      </c>
      <c r="G994" s="52">
        <f>IF(expected_production[[#This Row],[Base Expected (kWh)]]="","",expected_production[[#This Row],[Base Expected (kWh)]]*expected_production[[#This Row],[Degradation Factor]])</f>
        <v>6585.3</v>
      </c>
    </row>
    <row r="995" spans="1:7" ht="15" hidden="1" customHeight="1" x14ac:dyDescent="0.3">
      <c r="A995" t="s">
        <v>223</v>
      </c>
      <c r="B995" s="2">
        <v>45901</v>
      </c>
      <c r="C995" s="52">
        <v>7018.65</v>
      </c>
      <c r="D995" s="48">
        <f>_xlfn.XLOOKUP(expected_production[[#This Row],[Site Name]],Table1[[Site Name ]],Table1[Commisioned Date],"")</f>
        <v>45934</v>
      </c>
      <c r="E995" s="47">
        <f>IF(ISNUMBER(expected_production[[#This Row],[Commissioned Date]]),MAX(0,(expected_production[[#This Row],[Date]]-expected_production[[#This Row],[Commissioned Date]])/365.25),"")</f>
        <v>0</v>
      </c>
      <c r="F995" s="49">
        <f>IF(expected_production[[#This Row],[Age (yrs)]]="",1,(1-DegradationRate)^expected_production[[#This Row],[Age (yrs)]])</f>
        <v>1</v>
      </c>
      <c r="G995" s="52">
        <f>IF(expected_production[[#This Row],[Base Expected (kWh)]]="","",expected_production[[#This Row],[Base Expected (kWh)]]*expected_production[[#This Row],[Degradation Factor]])</f>
        <v>7018.65</v>
      </c>
    </row>
    <row r="996" spans="1:7" ht="15" hidden="1" customHeight="1" x14ac:dyDescent="0.3">
      <c r="A996" t="s">
        <v>223</v>
      </c>
      <c r="B996" s="2">
        <v>45931</v>
      </c>
      <c r="C996" s="52">
        <v>7479.45</v>
      </c>
      <c r="D996" s="48">
        <f>_xlfn.XLOOKUP(expected_production[[#This Row],[Site Name]],Table1[[Site Name ]],Table1[Commisioned Date],"")</f>
        <v>45934</v>
      </c>
      <c r="E996" s="47">
        <f>IF(ISNUMBER(expected_production[[#This Row],[Commissioned Date]]),MAX(0,(expected_production[[#This Row],[Date]]-expected_production[[#This Row],[Commissioned Date]])/365.25),"")</f>
        <v>0</v>
      </c>
      <c r="F996" s="49">
        <f>IF(expected_production[[#This Row],[Age (yrs)]]="",1,(1-DegradationRate)^expected_production[[#This Row],[Age (yrs)]])</f>
        <v>1</v>
      </c>
      <c r="G996" s="52">
        <f>IF(expected_production[[#This Row],[Base Expected (kWh)]]="","",expected_production[[#This Row],[Base Expected (kWh)]]*expected_production[[#This Row],[Degradation Factor]])</f>
        <v>7479.45</v>
      </c>
    </row>
    <row r="997" spans="1:7" ht="15" hidden="1" customHeight="1" x14ac:dyDescent="0.3">
      <c r="A997" t="s">
        <v>223</v>
      </c>
      <c r="B997" s="2">
        <v>45962</v>
      </c>
      <c r="C997" s="52">
        <v>7552.8</v>
      </c>
      <c r="D997" s="48">
        <f>_xlfn.XLOOKUP(expected_production[[#This Row],[Site Name]],Table1[[Site Name ]],Table1[Commisioned Date],"")</f>
        <v>45934</v>
      </c>
      <c r="E997" s="47">
        <f>IF(ISNUMBER(expected_production[[#This Row],[Commissioned Date]]),MAX(0,(expected_production[[#This Row],[Date]]-expected_production[[#This Row],[Commissioned Date]])/365.25),"")</f>
        <v>7.665982203969883E-2</v>
      </c>
      <c r="F997" s="49">
        <f>IF(expected_production[[#This Row],[Age (yrs)]]="",1,(1-DegradationRate)^expected_production[[#This Row],[Age (yrs)]])</f>
        <v>0.99946163923722275</v>
      </c>
      <c r="G997" s="52">
        <f>IF(expected_production[[#This Row],[Base Expected (kWh)]]="","",expected_production[[#This Row],[Base Expected (kWh)]]*expected_production[[#This Row],[Degradation Factor]])</f>
        <v>7548.7338688308964</v>
      </c>
    </row>
    <row r="998" spans="1:7" ht="15" hidden="1" customHeight="1" x14ac:dyDescent="0.3">
      <c r="A998" t="s">
        <v>223</v>
      </c>
      <c r="B998" s="2">
        <v>45992</v>
      </c>
      <c r="C998" s="52">
        <v>7415.1</v>
      </c>
      <c r="D998" s="48">
        <f>_xlfn.XLOOKUP(expected_production[[#This Row],[Site Name]],Table1[[Site Name ]],Table1[Commisioned Date],"")</f>
        <v>45934</v>
      </c>
      <c r="E998" s="47">
        <f>IF(ISNUMBER(expected_production[[#This Row],[Commissioned Date]]),MAX(0,(expected_production[[#This Row],[Date]]-expected_production[[#This Row],[Commissioned Date]])/365.25),"")</f>
        <v>0.15879534565366188</v>
      </c>
      <c r="F998" s="49">
        <f>IF(expected_production[[#This Row],[Age (yrs)]]="",1,(1-DegradationRate)^expected_production[[#This Row],[Age (yrs)]])</f>
        <v>0.99888514575526499</v>
      </c>
      <c r="G998" s="52">
        <f>IF(expected_production[[#This Row],[Base Expected (kWh)]]="","",expected_production[[#This Row],[Base Expected (kWh)]]*expected_production[[#This Row],[Degradation Factor]])</f>
        <v>7406.8332442898654</v>
      </c>
    </row>
    <row r="999" spans="1:7" ht="15" hidden="1" customHeight="1" x14ac:dyDescent="0.3">
      <c r="A999" t="s">
        <v>223</v>
      </c>
      <c r="B999" s="2">
        <v>46023</v>
      </c>
      <c r="C999" s="52">
        <v>7573.5</v>
      </c>
      <c r="D999" s="48">
        <f>_xlfn.XLOOKUP(expected_production[[#This Row],[Site Name]],Table1[[Site Name ]],Table1[Commisioned Date],"")</f>
        <v>45934</v>
      </c>
      <c r="E999" s="47">
        <f>IF(ISNUMBER(expected_production[[#This Row],[Commissioned Date]]),MAX(0,(expected_production[[#This Row],[Date]]-expected_production[[#This Row],[Commissioned Date]])/365.25),"")</f>
        <v>0.24366872005475701</v>
      </c>
      <c r="F999" s="49">
        <f>IF(expected_production[[#This Row],[Age (yrs)]]="",1,(1-DegradationRate)^expected_production[[#This Row],[Age (yrs)]])</f>
        <v>0.99828978515634492</v>
      </c>
      <c r="G999" s="52">
        <f>IF(expected_production[[#This Row],[Base Expected (kWh)]]="","",expected_production[[#This Row],[Base Expected (kWh)]]*expected_production[[#This Row],[Degradation Factor]])</f>
        <v>7560.547687881578</v>
      </c>
    </row>
    <row r="1000" spans="1:7" ht="15" hidden="1" customHeight="1" x14ac:dyDescent="0.3">
      <c r="A1000" t="s">
        <v>223</v>
      </c>
      <c r="B1000" s="2">
        <v>46054</v>
      </c>
      <c r="C1000" s="52">
        <v>6513.75</v>
      </c>
      <c r="D1000" s="48">
        <f>_xlfn.XLOOKUP(expected_production[[#This Row],[Site Name]],Table1[[Site Name ]],Table1[Commisioned Date],"")</f>
        <v>45934</v>
      </c>
      <c r="E1000" s="47">
        <f>IF(ISNUMBER(expected_production[[#This Row],[Commissioned Date]]),MAX(0,(expected_production[[#This Row],[Date]]-expected_production[[#This Row],[Commissioned Date]])/365.25),"")</f>
        <v>0.32854209445585214</v>
      </c>
      <c r="F1000" s="49">
        <f>IF(expected_production[[#This Row],[Age (yrs)]]="",1,(1-DegradationRate)^expected_production[[#This Row],[Age (yrs)]])</f>
        <v>0.99769477940727358</v>
      </c>
      <c r="G1000" s="52">
        <f>IF(expected_production[[#This Row],[Base Expected (kWh)]]="","",expected_production[[#This Row],[Base Expected (kWh)]]*expected_production[[#This Row],[Degradation Factor]])</f>
        <v>6498.7343693641287</v>
      </c>
    </row>
    <row r="1001" spans="1:7" ht="15" hidden="1" customHeight="1" x14ac:dyDescent="0.3">
      <c r="A1001" t="s">
        <v>223</v>
      </c>
      <c r="B1001" s="2">
        <v>46082</v>
      </c>
      <c r="C1001" s="52">
        <v>6841.35</v>
      </c>
      <c r="D1001" s="48">
        <f>_xlfn.XLOOKUP(expected_production[[#This Row],[Site Name]],Table1[[Site Name ]],Table1[Commisioned Date],"")</f>
        <v>45934</v>
      </c>
      <c r="E1001" s="47">
        <f>IF(ISNUMBER(expected_production[[#This Row],[Commissioned Date]]),MAX(0,(expected_production[[#This Row],[Date]]-expected_production[[#This Row],[Commissioned Date]])/365.25),"")</f>
        <v>0.40520191649555098</v>
      </c>
      <c r="F1001" s="49">
        <f>IF(expected_production[[#This Row],[Age (yrs)]]="",1,(1-DegradationRate)^expected_production[[#This Row],[Age (yrs)]])</f>
        <v>0.99715765968481296</v>
      </c>
      <c r="G1001" s="52">
        <f>IF(expected_production[[#This Row],[Base Expected (kWh)]]="","",expected_production[[#This Row],[Base Expected (kWh)]]*expected_production[[#This Row],[Degradation Factor]])</f>
        <v>6821.9045550846959</v>
      </c>
    </row>
    <row r="1002" spans="1:7" ht="15" hidden="1" customHeight="1" x14ac:dyDescent="0.3">
      <c r="A1002" t="s">
        <v>223</v>
      </c>
      <c r="B1002" s="2">
        <v>46113</v>
      </c>
      <c r="C1002" s="52">
        <v>6183</v>
      </c>
      <c r="D1002" s="48">
        <f>_xlfn.XLOOKUP(expected_production[[#This Row],[Site Name]],Table1[[Site Name ]],Table1[Commisioned Date],"")</f>
        <v>45934</v>
      </c>
      <c r="E1002" s="47">
        <f>IF(ISNUMBER(expected_production[[#This Row],[Commissioned Date]]),MAX(0,(expected_production[[#This Row],[Date]]-expected_production[[#This Row],[Commissioned Date]])/365.25),"")</f>
        <v>0.49007529089664614</v>
      </c>
      <c r="F1002" s="49">
        <f>IF(expected_production[[#This Row],[Age (yrs)]]="",1,(1-DegradationRate)^expected_production[[#This Row],[Age (yrs)]])</f>
        <v>0.99656332871091635</v>
      </c>
      <c r="G1002" s="52">
        <f>IF(expected_production[[#This Row],[Base Expected (kWh)]]="","",expected_production[[#This Row],[Base Expected (kWh)]]*expected_production[[#This Row],[Degradation Factor]])</f>
        <v>6161.7510614195962</v>
      </c>
    </row>
    <row r="1003" spans="1:7" ht="15" hidden="1" customHeight="1" x14ac:dyDescent="0.3">
      <c r="A1003" t="s">
        <v>223</v>
      </c>
      <c r="B1003" s="2">
        <v>46143</v>
      </c>
      <c r="C1003" s="52">
        <v>5924.7</v>
      </c>
      <c r="D1003" s="48">
        <f>_xlfn.XLOOKUP(expected_production[[#This Row],[Site Name]],Table1[[Site Name ]],Table1[Commisioned Date],"")</f>
        <v>45934</v>
      </c>
      <c r="E1003" s="47">
        <f>IF(ISNUMBER(expected_production[[#This Row],[Commissioned Date]]),MAX(0,(expected_production[[#This Row],[Date]]-expected_production[[#This Row],[Commissioned Date]])/365.25),"")</f>
        <v>0.57221081451060918</v>
      </c>
      <c r="F1003" s="49">
        <f>IF(expected_production[[#This Row],[Age (yrs)]]="",1,(1-DegradationRate)^expected_production[[#This Row],[Age (yrs)]])</f>
        <v>0.99598850698609409</v>
      </c>
      <c r="G1003" s="52">
        <f>IF(expected_production[[#This Row],[Base Expected (kWh)]]="","",expected_production[[#This Row],[Base Expected (kWh)]]*expected_production[[#This Row],[Degradation Factor]])</f>
        <v>5900.9331073405119</v>
      </c>
    </row>
    <row r="1004" spans="1:7" ht="15" hidden="1" customHeight="1" x14ac:dyDescent="0.3">
      <c r="A1004" t="s">
        <v>223</v>
      </c>
      <c r="B1004" s="2">
        <v>46174</v>
      </c>
      <c r="C1004" s="52">
        <v>5295.6</v>
      </c>
      <c r="D1004" s="48">
        <f>_xlfn.XLOOKUP(expected_production[[#This Row],[Site Name]],Table1[[Site Name ]],Table1[Commisioned Date],"")</f>
        <v>45934</v>
      </c>
      <c r="E1004" s="47">
        <f>IF(ISNUMBER(expected_production[[#This Row],[Commissioned Date]]),MAX(0,(expected_production[[#This Row],[Date]]-expected_production[[#This Row],[Commissioned Date]])/365.25),"")</f>
        <v>0.65708418891170428</v>
      </c>
      <c r="F1004" s="49">
        <f>IF(expected_production[[#This Row],[Age (yrs)]]="",1,(1-DegradationRate)^expected_production[[#This Row],[Age (yrs)]])</f>
        <v>0.99539487285652817</v>
      </c>
      <c r="G1004" s="52">
        <f>IF(expected_production[[#This Row],[Base Expected (kWh)]]="","",expected_production[[#This Row],[Base Expected (kWh)]]*expected_production[[#This Row],[Degradation Factor]])</f>
        <v>5271.2130886990308</v>
      </c>
    </row>
    <row r="1005" spans="1:7" ht="15" hidden="1" customHeight="1" x14ac:dyDescent="0.3">
      <c r="A1005" t="s">
        <v>223</v>
      </c>
      <c r="B1005" s="2">
        <v>46204</v>
      </c>
      <c r="C1005" s="52">
        <v>5785.2</v>
      </c>
      <c r="D1005" s="48">
        <f>_xlfn.XLOOKUP(expected_production[[#This Row],[Site Name]],Table1[[Site Name ]],Table1[Commisioned Date],"")</f>
        <v>45934</v>
      </c>
      <c r="E1005" s="47">
        <f>IF(ISNUMBER(expected_production[[#This Row],[Commissioned Date]]),MAX(0,(expected_production[[#This Row],[Date]]-expected_production[[#This Row],[Commissioned Date]])/365.25),"")</f>
        <v>0.73921971252566732</v>
      </c>
      <c r="F1005" s="49">
        <f>IF(expected_production[[#This Row],[Age (yrs)]]="",1,(1-DegradationRate)^expected_production[[#This Row],[Age (yrs)]])</f>
        <v>0.99482072510172903</v>
      </c>
      <c r="G1005" s="52">
        <f>IF(expected_production[[#This Row],[Base Expected (kWh)]]="","",expected_production[[#This Row],[Base Expected (kWh)]]*expected_production[[#This Row],[Degradation Factor]])</f>
        <v>5755.2368588585223</v>
      </c>
    </row>
    <row r="1006" spans="1:7" ht="15" hidden="1" customHeight="1" x14ac:dyDescent="0.3">
      <c r="A1006" t="s">
        <v>223</v>
      </c>
      <c r="B1006" s="2">
        <v>46235</v>
      </c>
      <c r="C1006" s="52">
        <v>6585.3</v>
      </c>
      <c r="D1006" s="48">
        <f>_xlfn.XLOOKUP(expected_production[[#This Row],[Site Name]],Table1[[Site Name ]],Table1[Commisioned Date],"")</f>
        <v>45934</v>
      </c>
      <c r="E1006" s="47">
        <f>IF(ISNUMBER(expected_production[[#This Row],[Commissioned Date]]),MAX(0,(expected_production[[#This Row],[Date]]-expected_production[[#This Row],[Commissioned Date]])/365.25),"")</f>
        <v>0.82409308692676253</v>
      </c>
      <c r="F1006" s="49">
        <f>IF(expected_production[[#This Row],[Age (yrs)]]="",1,(1-DegradationRate)^expected_production[[#This Row],[Age (yrs)]])</f>
        <v>0.99422778699945413</v>
      </c>
      <c r="G1006" s="52">
        <f>IF(expected_production[[#This Row],[Base Expected (kWh)]]="","",expected_production[[#This Row],[Base Expected (kWh)]]*expected_production[[#This Row],[Degradation Factor]])</f>
        <v>6547.2882457275055</v>
      </c>
    </row>
    <row r="1007" spans="1:7" ht="15" hidden="1" customHeight="1" x14ac:dyDescent="0.3">
      <c r="A1007" t="s">
        <v>223</v>
      </c>
      <c r="B1007" s="2">
        <v>46266</v>
      </c>
      <c r="C1007" s="52">
        <v>7018.65</v>
      </c>
      <c r="D1007" s="48">
        <f>_xlfn.XLOOKUP(expected_production[[#This Row],[Site Name]],Table1[[Site Name ]],Table1[Commisioned Date],"")</f>
        <v>45934</v>
      </c>
      <c r="E1007" s="47">
        <f>IF(ISNUMBER(expected_production[[#This Row],[Commissioned Date]]),MAX(0,(expected_production[[#This Row],[Date]]-expected_production[[#This Row],[Commissioned Date]])/365.25),"")</f>
        <v>0.90896646132785763</v>
      </c>
      <c r="F1007" s="49">
        <f>IF(expected_production[[#This Row],[Age (yrs)]]="",1,(1-DegradationRate)^expected_production[[#This Row],[Age (yrs)]])</f>
        <v>0.99363520230315916</v>
      </c>
      <c r="G1007" s="52">
        <f>IF(expected_production[[#This Row],[Base Expected (kWh)]]="","",expected_production[[#This Row],[Base Expected (kWh)]]*expected_production[[#This Row],[Degradation Factor]])</f>
        <v>6973.9777126450681</v>
      </c>
    </row>
    <row r="1008" spans="1:7" ht="15" hidden="1" customHeight="1" x14ac:dyDescent="0.3">
      <c r="A1008" t="s">
        <v>223</v>
      </c>
      <c r="B1008" s="2">
        <v>46296</v>
      </c>
      <c r="C1008" s="52">
        <v>7479.45</v>
      </c>
      <c r="D1008" s="48">
        <f>_xlfn.XLOOKUP(expected_production[[#This Row],[Site Name]],Table1[[Site Name ]],Table1[Commisioned Date],"")</f>
        <v>45934</v>
      </c>
      <c r="E1008" s="47">
        <f>IF(ISNUMBER(expected_production[[#This Row],[Commissioned Date]]),MAX(0,(expected_production[[#This Row],[Date]]-expected_production[[#This Row],[Commissioned Date]])/365.25),"")</f>
        <v>0.99110198494182067</v>
      </c>
      <c r="F1008" s="49">
        <f>IF(expected_production[[#This Row],[Age (yrs)]]="",1,(1-DegradationRate)^expected_production[[#This Row],[Age (yrs)]])</f>
        <v>0.99306206953339249</v>
      </c>
      <c r="G1008" s="52">
        <f>IF(expected_production[[#This Row],[Base Expected (kWh)]]="","",expected_production[[#This Row],[Base Expected (kWh)]]*expected_production[[#This Row],[Degradation Factor]])</f>
        <v>7427.5580959715326</v>
      </c>
    </row>
    <row r="1009" spans="1:7" ht="15" hidden="1" customHeight="1" x14ac:dyDescent="0.3">
      <c r="A1009" t="s">
        <v>223</v>
      </c>
      <c r="B1009" s="2">
        <v>46327</v>
      </c>
      <c r="C1009" s="52">
        <v>7552.8</v>
      </c>
      <c r="D1009" s="48">
        <f>_xlfn.XLOOKUP(expected_production[[#This Row],[Site Name]],Table1[[Site Name ]],Table1[Commisioned Date],"")</f>
        <v>45934</v>
      </c>
      <c r="E1009" s="47">
        <f>IF(ISNUMBER(expected_production[[#This Row],[Commissioned Date]]),MAX(0,(expected_production[[#This Row],[Date]]-expected_production[[#This Row],[Commissioned Date]])/365.25),"")</f>
        <v>1.0759753593429158</v>
      </c>
      <c r="F1009" s="49">
        <f>IF(expected_production[[#This Row],[Age (yrs)]]="",1,(1-DegradationRate)^expected_production[[#This Row],[Age (yrs)]])</f>
        <v>0.99247017963394357</v>
      </c>
      <c r="G1009" s="52">
        <f>IF(expected_production[[#This Row],[Base Expected (kWh)]]="","",expected_production[[#This Row],[Base Expected (kWh)]]*expected_production[[#This Row],[Degradation Factor]])</f>
        <v>7495.9287727392493</v>
      </c>
    </row>
    <row r="1010" spans="1:7" ht="15" hidden="1" customHeight="1" x14ac:dyDescent="0.3">
      <c r="A1010" t="s">
        <v>223</v>
      </c>
      <c r="B1010" s="2">
        <v>46357</v>
      </c>
      <c r="C1010" s="52">
        <v>7415.1</v>
      </c>
      <c r="D1010" s="48">
        <f>_xlfn.XLOOKUP(expected_production[[#This Row],[Site Name]],Table1[[Site Name ]],Table1[Commisioned Date],"")</f>
        <v>45934</v>
      </c>
      <c r="E1010" s="47">
        <f>IF(ISNUMBER(expected_production[[#This Row],[Commissioned Date]]),MAX(0,(expected_production[[#This Row],[Date]]-expected_production[[#This Row],[Commissioned Date]])/365.25),"")</f>
        <v>1.1581108829568789</v>
      </c>
      <c r="F1010" s="49">
        <f>IF(expected_production[[#This Row],[Age (yrs)]]="",1,(1-DegradationRate)^expected_production[[#This Row],[Age (yrs)]])</f>
        <v>0.99189771885392486</v>
      </c>
      <c r="G1010" s="52">
        <f>IF(expected_production[[#This Row],[Base Expected (kWh)]]="","",expected_production[[#This Row],[Base Expected (kWh)]]*expected_production[[#This Row],[Degradation Factor]])</f>
        <v>7355.0207750737382</v>
      </c>
    </row>
    <row r="1011" spans="1:7" ht="15" hidden="1" customHeight="1" x14ac:dyDescent="0.3">
      <c r="A1011" t="s">
        <v>120</v>
      </c>
      <c r="B1011" s="2">
        <v>45292</v>
      </c>
      <c r="C1011" s="52">
        <v>12213</v>
      </c>
      <c r="D1011" s="48" t="str">
        <f>_xlfn.XLOOKUP(expected_production[[#This Row],[Site Name]],Table1[[Site Name ]],Table1[Commisioned Date],"")</f>
        <v>2022/16/12</v>
      </c>
      <c r="E1011" s="47" t="str">
        <f>IF(ISNUMBER(expected_production[[#This Row],[Commissioned Date]]),MAX(0,(expected_production[[#This Row],[Date]]-expected_production[[#This Row],[Commissioned Date]])/365.25),"")</f>
        <v/>
      </c>
      <c r="F1011" s="49">
        <f>IF(expected_production[[#This Row],[Age (yrs)]]="",1,(1-DegradationRate)^expected_production[[#This Row],[Age (yrs)]])</f>
        <v>1</v>
      </c>
      <c r="G1011" s="52">
        <f>IF(expected_production[[#This Row],[Base Expected (kWh)]]="","",expected_production[[#This Row],[Base Expected (kWh)]]*expected_production[[#This Row],[Degradation Factor]])</f>
        <v>12213</v>
      </c>
    </row>
    <row r="1012" spans="1:7" ht="15" hidden="1" customHeight="1" x14ac:dyDescent="0.3">
      <c r="A1012" t="s">
        <v>120</v>
      </c>
      <c r="B1012" s="2">
        <v>45323</v>
      </c>
      <c r="C1012" s="52">
        <v>10570.5</v>
      </c>
      <c r="D1012" s="48" t="str">
        <f>_xlfn.XLOOKUP(expected_production[[#This Row],[Site Name]],Table1[[Site Name ]],Table1[Commisioned Date],"")</f>
        <v>2022/16/12</v>
      </c>
      <c r="E1012" s="47" t="str">
        <f>IF(ISNUMBER(expected_production[[#This Row],[Commissioned Date]]),MAX(0,(expected_production[[#This Row],[Date]]-expected_production[[#This Row],[Commissioned Date]])/365.25),"")</f>
        <v/>
      </c>
      <c r="F1012" s="49">
        <f>IF(expected_production[[#This Row],[Age (yrs)]]="",1,(1-DegradationRate)^expected_production[[#This Row],[Age (yrs)]])</f>
        <v>1</v>
      </c>
      <c r="G1012" s="52">
        <f>IF(expected_production[[#This Row],[Base Expected (kWh)]]="","",expected_production[[#This Row],[Base Expected (kWh)]]*expected_production[[#This Row],[Degradation Factor]])</f>
        <v>10570.5</v>
      </c>
    </row>
    <row r="1013" spans="1:7" ht="15" hidden="1" customHeight="1" x14ac:dyDescent="0.3">
      <c r="A1013" t="s">
        <v>120</v>
      </c>
      <c r="B1013" s="2">
        <v>45352</v>
      </c>
      <c r="C1013" s="52">
        <v>10619.1</v>
      </c>
      <c r="D1013" s="48" t="str">
        <f>_xlfn.XLOOKUP(expected_production[[#This Row],[Site Name]],Table1[[Site Name ]],Table1[Commisioned Date],"")</f>
        <v>2022/16/12</v>
      </c>
      <c r="E1013" s="47" t="str">
        <f>IF(ISNUMBER(expected_production[[#This Row],[Commissioned Date]]),MAX(0,(expected_production[[#This Row],[Date]]-expected_production[[#This Row],[Commissioned Date]])/365.25),"")</f>
        <v/>
      </c>
      <c r="F1013" s="49">
        <f>IF(expected_production[[#This Row],[Age (yrs)]]="",1,(1-DegradationRate)^expected_production[[#This Row],[Age (yrs)]])</f>
        <v>1</v>
      </c>
      <c r="G1013" s="52">
        <f>IF(expected_production[[#This Row],[Base Expected (kWh)]]="","",expected_production[[#This Row],[Base Expected (kWh)]]*expected_production[[#This Row],[Degradation Factor]])</f>
        <v>10619.1</v>
      </c>
    </row>
    <row r="1014" spans="1:7" ht="15" hidden="1" customHeight="1" x14ac:dyDescent="0.3">
      <c r="A1014" t="s">
        <v>120</v>
      </c>
      <c r="B1014" s="2">
        <v>45383</v>
      </c>
      <c r="C1014" s="52">
        <v>9139.5</v>
      </c>
      <c r="D1014" s="48" t="str">
        <f>_xlfn.XLOOKUP(expected_production[[#This Row],[Site Name]],Table1[[Site Name ]],Table1[Commisioned Date],"")</f>
        <v>2022/16/12</v>
      </c>
      <c r="E1014" s="47" t="str">
        <f>IF(ISNUMBER(expected_production[[#This Row],[Commissioned Date]]),MAX(0,(expected_production[[#This Row],[Date]]-expected_production[[#This Row],[Commissioned Date]])/365.25),"")</f>
        <v/>
      </c>
      <c r="F1014" s="49">
        <f>IF(expected_production[[#This Row],[Age (yrs)]]="",1,(1-DegradationRate)^expected_production[[#This Row],[Age (yrs)]])</f>
        <v>1</v>
      </c>
      <c r="G1014" s="52">
        <f>IF(expected_production[[#This Row],[Base Expected (kWh)]]="","",expected_production[[#This Row],[Base Expected (kWh)]]*expected_production[[#This Row],[Degradation Factor]])</f>
        <v>9139.5</v>
      </c>
    </row>
    <row r="1015" spans="1:7" ht="15" hidden="1" customHeight="1" x14ac:dyDescent="0.3">
      <c r="A1015" t="s">
        <v>120</v>
      </c>
      <c r="B1015" s="2">
        <v>45413</v>
      </c>
      <c r="C1015" s="52">
        <v>8593.2000000000007</v>
      </c>
      <c r="D1015" s="48" t="str">
        <f>_xlfn.XLOOKUP(expected_production[[#This Row],[Site Name]],Table1[[Site Name ]],Table1[Commisioned Date],"")</f>
        <v>2022/16/12</v>
      </c>
      <c r="E1015" s="47" t="str">
        <f>IF(ISNUMBER(expected_production[[#This Row],[Commissioned Date]]),MAX(0,(expected_production[[#This Row],[Date]]-expected_production[[#This Row],[Commissioned Date]])/365.25),"")</f>
        <v/>
      </c>
      <c r="F1015" s="49">
        <f>IF(expected_production[[#This Row],[Age (yrs)]]="",1,(1-DegradationRate)^expected_production[[#This Row],[Age (yrs)]])</f>
        <v>1</v>
      </c>
      <c r="G1015" s="52">
        <f>IF(expected_production[[#This Row],[Base Expected (kWh)]]="","",expected_production[[#This Row],[Base Expected (kWh)]]*expected_production[[#This Row],[Degradation Factor]])</f>
        <v>8593.2000000000007</v>
      </c>
    </row>
    <row r="1016" spans="1:7" ht="15" hidden="1" customHeight="1" x14ac:dyDescent="0.3">
      <c r="A1016" t="s">
        <v>120</v>
      </c>
      <c r="B1016" s="2">
        <v>45444</v>
      </c>
      <c r="C1016" s="52">
        <v>7680.6</v>
      </c>
      <c r="D1016" s="48" t="str">
        <f>_xlfn.XLOOKUP(expected_production[[#This Row],[Site Name]],Table1[[Site Name ]],Table1[Commisioned Date],"")</f>
        <v>2022/16/12</v>
      </c>
      <c r="E1016" s="47" t="str">
        <f>IF(ISNUMBER(expected_production[[#This Row],[Commissioned Date]]),MAX(0,(expected_production[[#This Row],[Date]]-expected_production[[#This Row],[Commissioned Date]])/365.25),"")</f>
        <v/>
      </c>
      <c r="F1016" s="49">
        <f>IF(expected_production[[#This Row],[Age (yrs)]]="",1,(1-DegradationRate)^expected_production[[#This Row],[Age (yrs)]])</f>
        <v>1</v>
      </c>
      <c r="G1016" s="52">
        <f>IF(expected_production[[#This Row],[Base Expected (kWh)]]="","",expected_production[[#This Row],[Base Expected (kWh)]]*expected_production[[#This Row],[Degradation Factor]])</f>
        <v>7680.6</v>
      </c>
    </row>
    <row r="1017" spans="1:7" ht="15" hidden="1" customHeight="1" x14ac:dyDescent="0.3">
      <c r="A1017" t="s">
        <v>120</v>
      </c>
      <c r="B1017" s="2">
        <v>45474</v>
      </c>
      <c r="C1017" s="52">
        <v>8550.9</v>
      </c>
      <c r="D1017" s="48" t="str">
        <f>_xlfn.XLOOKUP(expected_production[[#This Row],[Site Name]],Table1[[Site Name ]],Table1[Commisioned Date],"")</f>
        <v>2022/16/12</v>
      </c>
      <c r="E1017" s="47" t="str">
        <f>IF(ISNUMBER(expected_production[[#This Row],[Commissioned Date]]),MAX(0,(expected_production[[#This Row],[Date]]-expected_production[[#This Row],[Commissioned Date]])/365.25),"")</f>
        <v/>
      </c>
      <c r="F1017" s="49">
        <f>IF(expected_production[[#This Row],[Age (yrs)]]="",1,(1-DegradationRate)^expected_production[[#This Row],[Age (yrs)]])</f>
        <v>1</v>
      </c>
      <c r="G1017" s="52">
        <f>IF(expected_production[[#This Row],[Base Expected (kWh)]]="","",expected_production[[#This Row],[Base Expected (kWh)]]*expected_production[[#This Row],[Degradation Factor]])</f>
        <v>8550.9</v>
      </c>
    </row>
    <row r="1018" spans="1:7" ht="15" hidden="1" customHeight="1" x14ac:dyDescent="0.3">
      <c r="A1018" t="s">
        <v>120</v>
      </c>
      <c r="B1018" s="2">
        <v>45505</v>
      </c>
      <c r="C1018" s="52">
        <v>9997.2000000000007</v>
      </c>
      <c r="D1018" s="48" t="str">
        <f>_xlfn.XLOOKUP(expected_production[[#This Row],[Site Name]],Table1[[Site Name ]],Table1[Commisioned Date],"")</f>
        <v>2022/16/12</v>
      </c>
      <c r="E1018" s="47" t="str">
        <f>IF(ISNUMBER(expected_production[[#This Row],[Commissioned Date]]),MAX(0,(expected_production[[#This Row],[Date]]-expected_production[[#This Row],[Commissioned Date]])/365.25),"")</f>
        <v/>
      </c>
      <c r="F1018" s="49">
        <f>IF(expected_production[[#This Row],[Age (yrs)]]="",1,(1-DegradationRate)^expected_production[[#This Row],[Age (yrs)]])</f>
        <v>1</v>
      </c>
      <c r="G1018" s="52">
        <f>IF(expected_production[[#This Row],[Base Expected (kWh)]]="","",expected_production[[#This Row],[Base Expected (kWh)]]*expected_production[[#This Row],[Degradation Factor]])</f>
        <v>9997.2000000000007</v>
      </c>
    </row>
    <row r="1019" spans="1:7" ht="15" hidden="1" customHeight="1" x14ac:dyDescent="0.3">
      <c r="A1019" t="s">
        <v>120</v>
      </c>
      <c r="B1019" s="2">
        <v>45536</v>
      </c>
      <c r="C1019" s="52">
        <v>10701.9</v>
      </c>
      <c r="D1019" s="48" t="str">
        <f>_xlfn.XLOOKUP(expected_production[[#This Row],[Site Name]],Table1[[Site Name ]],Table1[Commisioned Date],"")</f>
        <v>2022/16/12</v>
      </c>
      <c r="E1019" s="47" t="str">
        <f>IF(ISNUMBER(expected_production[[#This Row],[Commissioned Date]]),MAX(0,(expected_production[[#This Row],[Date]]-expected_production[[#This Row],[Commissioned Date]])/365.25),"")</f>
        <v/>
      </c>
      <c r="F1019" s="49">
        <f>IF(expected_production[[#This Row],[Age (yrs)]]="",1,(1-DegradationRate)^expected_production[[#This Row],[Age (yrs)]])</f>
        <v>1</v>
      </c>
      <c r="G1019" s="52">
        <f>IF(expected_production[[#This Row],[Base Expected (kWh)]]="","",expected_production[[#This Row],[Base Expected (kWh)]]*expected_production[[#This Row],[Degradation Factor]])</f>
        <v>10701.9</v>
      </c>
    </row>
    <row r="1020" spans="1:7" ht="15" hidden="1" customHeight="1" x14ac:dyDescent="0.3">
      <c r="A1020" t="s">
        <v>120</v>
      </c>
      <c r="B1020" s="2">
        <v>45566</v>
      </c>
      <c r="C1020" s="52">
        <v>11834.1</v>
      </c>
      <c r="D1020" s="48" t="str">
        <f>_xlfn.XLOOKUP(expected_production[[#This Row],[Site Name]],Table1[[Site Name ]],Table1[Commisioned Date],"")</f>
        <v>2022/16/12</v>
      </c>
      <c r="E1020" s="47" t="str">
        <f>IF(ISNUMBER(expected_production[[#This Row],[Commissioned Date]]),MAX(0,(expected_production[[#This Row],[Date]]-expected_production[[#This Row],[Commissioned Date]])/365.25),"")</f>
        <v/>
      </c>
      <c r="F1020" s="49">
        <f>IF(expected_production[[#This Row],[Age (yrs)]]="",1,(1-DegradationRate)^expected_production[[#This Row],[Age (yrs)]])</f>
        <v>1</v>
      </c>
      <c r="G1020" s="52">
        <f>IF(expected_production[[#This Row],[Base Expected (kWh)]]="","",expected_production[[#This Row],[Base Expected (kWh)]]*expected_production[[#This Row],[Degradation Factor]])</f>
        <v>11834.1</v>
      </c>
    </row>
    <row r="1021" spans="1:7" ht="15" hidden="1" customHeight="1" x14ac:dyDescent="0.3">
      <c r="A1021" t="s">
        <v>120</v>
      </c>
      <c r="B1021" s="2">
        <v>45597</v>
      </c>
      <c r="C1021" s="52">
        <v>12129.3</v>
      </c>
      <c r="D1021" s="48" t="str">
        <f>_xlfn.XLOOKUP(expected_production[[#This Row],[Site Name]],Table1[[Site Name ]],Table1[Commisioned Date],"")</f>
        <v>2022/16/12</v>
      </c>
      <c r="E1021" s="47" t="str">
        <f>IF(ISNUMBER(expected_production[[#This Row],[Commissioned Date]]),MAX(0,(expected_production[[#This Row],[Date]]-expected_production[[#This Row],[Commissioned Date]])/365.25),"")</f>
        <v/>
      </c>
      <c r="F1021" s="49">
        <f>IF(expected_production[[#This Row],[Age (yrs)]]="",1,(1-DegradationRate)^expected_production[[#This Row],[Age (yrs)]])</f>
        <v>1</v>
      </c>
      <c r="G1021" s="52">
        <f>IF(expected_production[[#This Row],[Base Expected (kWh)]]="","",expected_production[[#This Row],[Base Expected (kWh)]]*expected_production[[#This Row],[Degradation Factor]])</f>
        <v>12129.3</v>
      </c>
    </row>
    <row r="1022" spans="1:7" ht="15" hidden="1" customHeight="1" x14ac:dyDescent="0.3">
      <c r="A1022" t="s">
        <v>120</v>
      </c>
      <c r="B1022" s="2">
        <v>45627</v>
      </c>
      <c r="C1022" s="52">
        <v>12998.7</v>
      </c>
      <c r="D1022" s="48" t="str">
        <f>_xlfn.XLOOKUP(expected_production[[#This Row],[Site Name]],Table1[[Site Name ]],Table1[Commisioned Date],"")</f>
        <v>2022/16/12</v>
      </c>
      <c r="E1022" s="47" t="str">
        <f>IF(ISNUMBER(expected_production[[#This Row],[Commissioned Date]]),MAX(0,(expected_production[[#This Row],[Date]]-expected_production[[#This Row],[Commissioned Date]])/365.25),"")</f>
        <v/>
      </c>
      <c r="F1022" s="49">
        <f>IF(expected_production[[#This Row],[Age (yrs)]]="",1,(1-DegradationRate)^expected_production[[#This Row],[Age (yrs)]])</f>
        <v>1</v>
      </c>
      <c r="G1022" s="52">
        <f>IF(expected_production[[#This Row],[Base Expected (kWh)]]="","",expected_production[[#This Row],[Base Expected (kWh)]]*expected_production[[#This Row],[Degradation Factor]])</f>
        <v>12998.7</v>
      </c>
    </row>
    <row r="1023" spans="1:7" ht="15" hidden="1" customHeight="1" x14ac:dyDescent="0.3">
      <c r="A1023" t="s">
        <v>120</v>
      </c>
      <c r="B1023" s="2">
        <v>45658</v>
      </c>
      <c r="C1023" s="52">
        <v>12213</v>
      </c>
      <c r="D1023" s="48" t="str">
        <f>_xlfn.XLOOKUP(expected_production[[#This Row],[Site Name]],Table1[[Site Name ]],Table1[Commisioned Date],"")</f>
        <v>2022/16/12</v>
      </c>
      <c r="E1023" s="47" t="str">
        <f>IF(ISNUMBER(expected_production[[#This Row],[Commissioned Date]]),MAX(0,(expected_production[[#This Row],[Date]]-expected_production[[#This Row],[Commissioned Date]])/365.25),"")</f>
        <v/>
      </c>
      <c r="F1023" s="49">
        <f>IF(expected_production[[#This Row],[Age (yrs)]]="",1,(1-DegradationRate)^expected_production[[#This Row],[Age (yrs)]])</f>
        <v>1</v>
      </c>
      <c r="G1023" s="52">
        <f>IF(expected_production[[#This Row],[Base Expected (kWh)]]="","",expected_production[[#This Row],[Base Expected (kWh)]]*expected_production[[#This Row],[Degradation Factor]])</f>
        <v>12213</v>
      </c>
    </row>
    <row r="1024" spans="1:7" ht="15" hidden="1" customHeight="1" x14ac:dyDescent="0.3">
      <c r="A1024" t="s">
        <v>120</v>
      </c>
      <c r="B1024" s="2">
        <v>45689</v>
      </c>
      <c r="C1024" s="52">
        <v>10570.5</v>
      </c>
      <c r="D1024" s="48" t="str">
        <f>_xlfn.XLOOKUP(expected_production[[#This Row],[Site Name]],Table1[[Site Name ]],Table1[Commisioned Date],"")</f>
        <v>2022/16/12</v>
      </c>
      <c r="E1024" s="47" t="str">
        <f>IF(ISNUMBER(expected_production[[#This Row],[Commissioned Date]]),MAX(0,(expected_production[[#This Row],[Date]]-expected_production[[#This Row],[Commissioned Date]])/365.25),"")</f>
        <v/>
      </c>
      <c r="F1024" s="49">
        <f>IF(expected_production[[#This Row],[Age (yrs)]]="",1,(1-DegradationRate)^expected_production[[#This Row],[Age (yrs)]])</f>
        <v>1</v>
      </c>
      <c r="G1024" s="52">
        <f>IF(expected_production[[#This Row],[Base Expected (kWh)]]="","",expected_production[[#This Row],[Base Expected (kWh)]]*expected_production[[#This Row],[Degradation Factor]])</f>
        <v>10570.5</v>
      </c>
    </row>
    <row r="1025" spans="1:7" ht="15" hidden="1" customHeight="1" x14ac:dyDescent="0.3">
      <c r="A1025" t="s">
        <v>120</v>
      </c>
      <c r="B1025" s="2">
        <v>45717</v>
      </c>
      <c r="C1025" s="52">
        <v>10619.1</v>
      </c>
      <c r="D1025" s="48" t="str">
        <f>_xlfn.XLOOKUP(expected_production[[#This Row],[Site Name]],Table1[[Site Name ]],Table1[Commisioned Date],"")</f>
        <v>2022/16/12</v>
      </c>
      <c r="E1025" s="47" t="str">
        <f>IF(ISNUMBER(expected_production[[#This Row],[Commissioned Date]]),MAX(0,(expected_production[[#This Row],[Date]]-expected_production[[#This Row],[Commissioned Date]])/365.25),"")</f>
        <v/>
      </c>
      <c r="F1025" s="49">
        <f>IF(expected_production[[#This Row],[Age (yrs)]]="",1,(1-DegradationRate)^expected_production[[#This Row],[Age (yrs)]])</f>
        <v>1</v>
      </c>
      <c r="G1025" s="52">
        <f>IF(expected_production[[#This Row],[Base Expected (kWh)]]="","",expected_production[[#This Row],[Base Expected (kWh)]]*expected_production[[#This Row],[Degradation Factor]])</f>
        <v>10619.1</v>
      </c>
    </row>
    <row r="1026" spans="1:7" ht="15" hidden="1" customHeight="1" x14ac:dyDescent="0.3">
      <c r="A1026" t="s">
        <v>120</v>
      </c>
      <c r="B1026" s="2">
        <v>45748</v>
      </c>
      <c r="C1026" s="52">
        <v>9139.5</v>
      </c>
      <c r="D1026" s="48" t="str">
        <f>_xlfn.XLOOKUP(expected_production[[#This Row],[Site Name]],Table1[[Site Name ]],Table1[Commisioned Date],"")</f>
        <v>2022/16/12</v>
      </c>
      <c r="E1026" s="47" t="str">
        <f>IF(ISNUMBER(expected_production[[#This Row],[Commissioned Date]]),MAX(0,(expected_production[[#This Row],[Date]]-expected_production[[#This Row],[Commissioned Date]])/365.25),"")</f>
        <v/>
      </c>
      <c r="F1026" s="49">
        <f>IF(expected_production[[#This Row],[Age (yrs)]]="",1,(1-DegradationRate)^expected_production[[#This Row],[Age (yrs)]])</f>
        <v>1</v>
      </c>
      <c r="G1026" s="52">
        <f>IF(expected_production[[#This Row],[Base Expected (kWh)]]="","",expected_production[[#This Row],[Base Expected (kWh)]]*expected_production[[#This Row],[Degradation Factor]])</f>
        <v>9139.5</v>
      </c>
    </row>
    <row r="1027" spans="1:7" ht="15" hidden="1" customHeight="1" x14ac:dyDescent="0.3">
      <c r="A1027" t="s">
        <v>120</v>
      </c>
      <c r="B1027" s="2">
        <v>45778</v>
      </c>
      <c r="C1027" s="52">
        <v>8593.2000000000007</v>
      </c>
      <c r="D1027" s="48" t="str">
        <f>_xlfn.XLOOKUP(expected_production[[#This Row],[Site Name]],Table1[[Site Name ]],Table1[Commisioned Date],"")</f>
        <v>2022/16/12</v>
      </c>
      <c r="E1027" s="47" t="str">
        <f>IF(ISNUMBER(expected_production[[#This Row],[Commissioned Date]]),MAX(0,(expected_production[[#This Row],[Date]]-expected_production[[#This Row],[Commissioned Date]])/365.25),"")</f>
        <v/>
      </c>
      <c r="F1027" s="49">
        <f>IF(expected_production[[#This Row],[Age (yrs)]]="",1,(1-DegradationRate)^expected_production[[#This Row],[Age (yrs)]])</f>
        <v>1</v>
      </c>
      <c r="G1027" s="52">
        <f>IF(expected_production[[#This Row],[Base Expected (kWh)]]="","",expected_production[[#This Row],[Base Expected (kWh)]]*expected_production[[#This Row],[Degradation Factor]])</f>
        <v>8593.2000000000007</v>
      </c>
    </row>
    <row r="1028" spans="1:7" ht="15" hidden="1" customHeight="1" x14ac:dyDescent="0.3">
      <c r="A1028" t="s">
        <v>120</v>
      </c>
      <c r="B1028" s="2">
        <v>45809</v>
      </c>
      <c r="C1028" s="52">
        <v>7680.6</v>
      </c>
      <c r="D1028" s="48" t="str">
        <f>_xlfn.XLOOKUP(expected_production[[#This Row],[Site Name]],Table1[[Site Name ]],Table1[Commisioned Date],"")</f>
        <v>2022/16/12</v>
      </c>
      <c r="E1028" s="47" t="str">
        <f>IF(ISNUMBER(expected_production[[#This Row],[Commissioned Date]]),MAX(0,(expected_production[[#This Row],[Date]]-expected_production[[#This Row],[Commissioned Date]])/365.25),"")</f>
        <v/>
      </c>
      <c r="F1028" s="49">
        <f>IF(expected_production[[#This Row],[Age (yrs)]]="",1,(1-DegradationRate)^expected_production[[#This Row],[Age (yrs)]])</f>
        <v>1</v>
      </c>
      <c r="G1028" s="52">
        <f>IF(expected_production[[#This Row],[Base Expected (kWh)]]="","",expected_production[[#This Row],[Base Expected (kWh)]]*expected_production[[#This Row],[Degradation Factor]])</f>
        <v>7680.6</v>
      </c>
    </row>
    <row r="1029" spans="1:7" ht="15" hidden="1" customHeight="1" x14ac:dyDescent="0.3">
      <c r="A1029" t="s">
        <v>120</v>
      </c>
      <c r="B1029" s="2">
        <v>45839</v>
      </c>
      <c r="C1029" s="52">
        <v>8550.9</v>
      </c>
      <c r="D1029" s="48" t="str">
        <f>_xlfn.XLOOKUP(expected_production[[#This Row],[Site Name]],Table1[[Site Name ]],Table1[Commisioned Date],"")</f>
        <v>2022/16/12</v>
      </c>
      <c r="E1029" s="47" t="str">
        <f>IF(ISNUMBER(expected_production[[#This Row],[Commissioned Date]]),MAX(0,(expected_production[[#This Row],[Date]]-expected_production[[#This Row],[Commissioned Date]])/365.25),"")</f>
        <v/>
      </c>
      <c r="F1029" s="49">
        <f>IF(expected_production[[#This Row],[Age (yrs)]]="",1,(1-DegradationRate)^expected_production[[#This Row],[Age (yrs)]])</f>
        <v>1</v>
      </c>
      <c r="G1029" s="52">
        <f>IF(expected_production[[#This Row],[Base Expected (kWh)]]="","",expected_production[[#This Row],[Base Expected (kWh)]]*expected_production[[#This Row],[Degradation Factor]])</f>
        <v>8550.9</v>
      </c>
    </row>
    <row r="1030" spans="1:7" ht="15" hidden="1" customHeight="1" x14ac:dyDescent="0.3">
      <c r="A1030" t="s">
        <v>120</v>
      </c>
      <c r="B1030" s="2">
        <v>45870</v>
      </c>
      <c r="C1030" s="52">
        <v>9997.2000000000007</v>
      </c>
      <c r="D1030" s="48" t="str">
        <f>_xlfn.XLOOKUP(expected_production[[#This Row],[Site Name]],Table1[[Site Name ]],Table1[Commisioned Date],"")</f>
        <v>2022/16/12</v>
      </c>
      <c r="E1030" s="47" t="str">
        <f>IF(ISNUMBER(expected_production[[#This Row],[Commissioned Date]]),MAX(0,(expected_production[[#This Row],[Date]]-expected_production[[#This Row],[Commissioned Date]])/365.25),"")</f>
        <v/>
      </c>
      <c r="F1030" s="49">
        <f>IF(expected_production[[#This Row],[Age (yrs)]]="",1,(1-DegradationRate)^expected_production[[#This Row],[Age (yrs)]])</f>
        <v>1</v>
      </c>
      <c r="G1030" s="52">
        <f>IF(expected_production[[#This Row],[Base Expected (kWh)]]="","",expected_production[[#This Row],[Base Expected (kWh)]]*expected_production[[#This Row],[Degradation Factor]])</f>
        <v>9997.2000000000007</v>
      </c>
    </row>
    <row r="1031" spans="1:7" ht="15" hidden="1" customHeight="1" x14ac:dyDescent="0.3">
      <c r="A1031" t="s">
        <v>120</v>
      </c>
      <c r="B1031" s="2">
        <v>45901</v>
      </c>
      <c r="C1031" s="52">
        <v>10701.9</v>
      </c>
      <c r="D1031" s="48" t="str">
        <f>_xlfn.XLOOKUP(expected_production[[#This Row],[Site Name]],Table1[[Site Name ]],Table1[Commisioned Date],"")</f>
        <v>2022/16/12</v>
      </c>
      <c r="E1031" s="47" t="str">
        <f>IF(ISNUMBER(expected_production[[#This Row],[Commissioned Date]]),MAX(0,(expected_production[[#This Row],[Date]]-expected_production[[#This Row],[Commissioned Date]])/365.25),"")</f>
        <v/>
      </c>
      <c r="F1031" s="49">
        <f>IF(expected_production[[#This Row],[Age (yrs)]]="",1,(1-DegradationRate)^expected_production[[#This Row],[Age (yrs)]])</f>
        <v>1</v>
      </c>
      <c r="G1031" s="52">
        <f>IF(expected_production[[#This Row],[Base Expected (kWh)]]="","",expected_production[[#This Row],[Base Expected (kWh)]]*expected_production[[#This Row],[Degradation Factor]])</f>
        <v>10701.9</v>
      </c>
    </row>
    <row r="1032" spans="1:7" ht="15" hidden="1" customHeight="1" x14ac:dyDescent="0.3">
      <c r="A1032" t="s">
        <v>120</v>
      </c>
      <c r="B1032" s="2">
        <v>45931</v>
      </c>
      <c r="C1032" s="52">
        <v>11834.1</v>
      </c>
      <c r="D1032" s="48" t="str">
        <f>_xlfn.XLOOKUP(expected_production[[#This Row],[Site Name]],Table1[[Site Name ]],Table1[Commisioned Date],"")</f>
        <v>2022/16/12</v>
      </c>
      <c r="E1032" s="47" t="str">
        <f>IF(ISNUMBER(expected_production[[#This Row],[Commissioned Date]]),MAX(0,(expected_production[[#This Row],[Date]]-expected_production[[#This Row],[Commissioned Date]])/365.25),"")</f>
        <v/>
      </c>
      <c r="F1032" s="49">
        <f>IF(expected_production[[#This Row],[Age (yrs)]]="",1,(1-DegradationRate)^expected_production[[#This Row],[Age (yrs)]])</f>
        <v>1</v>
      </c>
      <c r="G1032" s="52">
        <f>IF(expected_production[[#This Row],[Base Expected (kWh)]]="","",expected_production[[#This Row],[Base Expected (kWh)]]*expected_production[[#This Row],[Degradation Factor]])</f>
        <v>11834.1</v>
      </c>
    </row>
    <row r="1033" spans="1:7" ht="15" hidden="1" customHeight="1" x14ac:dyDescent="0.3">
      <c r="A1033" t="s">
        <v>120</v>
      </c>
      <c r="B1033" s="2">
        <v>45962</v>
      </c>
      <c r="C1033" s="52">
        <v>12129.3</v>
      </c>
      <c r="D1033" s="48" t="str">
        <f>_xlfn.XLOOKUP(expected_production[[#This Row],[Site Name]],Table1[[Site Name ]],Table1[Commisioned Date],"")</f>
        <v>2022/16/12</v>
      </c>
      <c r="E1033" s="47" t="str">
        <f>IF(ISNUMBER(expected_production[[#This Row],[Commissioned Date]]),MAX(0,(expected_production[[#This Row],[Date]]-expected_production[[#This Row],[Commissioned Date]])/365.25),"")</f>
        <v/>
      </c>
      <c r="F1033" s="49">
        <f>IF(expected_production[[#This Row],[Age (yrs)]]="",1,(1-DegradationRate)^expected_production[[#This Row],[Age (yrs)]])</f>
        <v>1</v>
      </c>
      <c r="G1033" s="52">
        <f>IF(expected_production[[#This Row],[Base Expected (kWh)]]="","",expected_production[[#This Row],[Base Expected (kWh)]]*expected_production[[#This Row],[Degradation Factor]])</f>
        <v>12129.3</v>
      </c>
    </row>
    <row r="1034" spans="1:7" ht="15" hidden="1" customHeight="1" x14ac:dyDescent="0.3">
      <c r="A1034" t="s">
        <v>120</v>
      </c>
      <c r="B1034" s="2">
        <v>45992</v>
      </c>
      <c r="C1034" s="52">
        <v>12998.7</v>
      </c>
      <c r="D1034" s="48" t="str">
        <f>_xlfn.XLOOKUP(expected_production[[#This Row],[Site Name]],Table1[[Site Name ]],Table1[Commisioned Date],"")</f>
        <v>2022/16/12</v>
      </c>
      <c r="E1034" s="47" t="str">
        <f>IF(ISNUMBER(expected_production[[#This Row],[Commissioned Date]]),MAX(0,(expected_production[[#This Row],[Date]]-expected_production[[#This Row],[Commissioned Date]])/365.25),"")</f>
        <v/>
      </c>
      <c r="F1034" s="49">
        <f>IF(expected_production[[#This Row],[Age (yrs)]]="",1,(1-DegradationRate)^expected_production[[#This Row],[Age (yrs)]])</f>
        <v>1</v>
      </c>
      <c r="G1034" s="52">
        <f>IF(expected_production[[#This Row],[Base Expected (kWh)]]="","",expected_production[[#This Row],[Base Expected (kWh)]]*expected_production[[#This Row],[Degradation Factor]])</f>
        <v>12998.7</v>
      </c>
    </row>
    <row r="1035" spans="1:7" ht="15" hidden="1" customHeight="1" x14ac:dyDescent="0.3">
      <c r="A1035" t="s">
        <v>120</v>
      </c>
      <c r="B1035" s="2">
        <v>46023</v>
      </c>
      <c r="C1035" s="52">
        <v>12213</v>
      </c>
      <c r="D1035" s="48" t="str">
        <f>_xlfn.XLOOKUP(expected_production[[#This Row],[Site Name]],Table1[[Site Name ]],Table1[Commisioned Date],"")</f>
        <v>2022/16/12</v>
      </c>
      <c r="E1035" s="47" t="str">
        <f>IF(ISNUMBER(expected_production[[#This Row],[Commissioned Date]]),MAX(0,(expected_production[[#This Row],[Date]]-expected_production[[#This Row],[Commissioned Date]])/365.25),"")</f>
        <v/>
      </c>
      <c r="F1035" s="49">
        <f>IF(expected_production[[#This Row],[Age (yrs)]]="",1,(1-DegradationRate)^expected_production[[#This Row],[Age (yrs)]])</f>
        <v>1</v>
      </c>
      <c r="G1035" s="52">
        <f>IF(expected_production[[#This Row],[Base Expected (kWh)]]="","",expected_production[[#This Row],[Base Expected (kWh)]]*expected_production[[#This Row],[Degradation Factor]])</f>
        <v>12213</v>
      </c>
    </row>
    <row r="1036" spans="1:7" ht="15" hidden="1" customHeight="1" x14ac:dyDescent="0.3">
      <c r="A1036" t="s">
        <v>120</v>
      </c>
      <c r="B1036" s="2">
        <v>46054</v>
      </c>
      <c r="C1036" s="52">
        <v>10570.5</v>
      </c>
      <c r="D1036" s="48" t="str">
        <f>_xlfn.XLOOKUP(expected_production[[#This Row],[Site Name]],Table1[[Site Name ]],Table1[Commisioned Date],"")</f>
        <v>2022/16/12</v>
      </c>
      <c r="E1036" s="47" t="str">
        <f>IF(ISNUMBER(expected_production[[#This Row],[Commissioned Date]]),MAX(0,(expected_production[[#This Row],[Date]]-expected_production[[#This Row],[Commissioned Date]])/365.25),"")</f>
        <v/>
      </c>
      <c r="F1036" s="49">
        <f>IF(expected_production[[#This Row],[Age (yrs)]]="",1,(1-DegradationRate)^expected_production[[#This Row],[Age (yrs)]])</f>
        <v>1</v>
      </c>
      <c r="G1036" s="52">
        <f>IF(expected_production[[#This Row],[Base Expected (kWh)]]="","",expected_production[[#This Row],[Base Expected (kWh)]]*expected_production[[#This Row],[Degradation Factor]])</f>
        <v>10570.5</v>
      </c>
    </row>
    <row r="1037" spans="1:7" ht="15" hidden="1" customHeight="1" x14ac:dyDescent="0.3">
      <c r="A1037" t="s">
        <v>120</v>
      </c>
      <c r="B1037" s="2">
        <v>46082</v>
      </c>
      <c r="C1037" s="52">
        <v>10619.1</v>
      </c>
      <c r="D1037" s="48" t="str">
        <f>_xlfn.XLOOKUP(expected_production[[#This Row],[Site Name]],Table1[[Site Name ]],Table1[Commisioned Date],"")</f>
        <v>2022/16/12</v>
      </c>
      <c r="E1037" s="47" t="str">
        <f>IF(ISNUMBER(expected_production[[#This Row],[Commissioned Date]]),MAX(0,(expected_production[[#This Row],[Date]]-expected_production[[#This Row],[Commissioned Date]])/365.25),"")</f>
        <v/>
      </c>
      <c r="F1037" s="49">
        <f>IF(expected_production[[#This Row],[Age (yrs)]]="",1,(1-DegradationRate)^expected_production[[#This Row],[Age (yrs)]])</f>
        <v>1</v>
      </c>
      <c r="G1037" s="52">
        <f>IF(expected_production[[#This Row],[Base Expected (kWh)]]="","",expected_production[[#This Row],[Base Expected (kWh)]]*expected_production[[#This Row],[Degradation Factor]])</f>
        <v>10619.1</v>
      </c>
    </row>
    <row r="1038" spans="1:7" ht="15" hidden="1" customHeight="1" x14ac:dyDescent="0.3">
      <c r="A1038" t="s">
        <v>120</v>
      </c>
      <c r="B1038" s="2">
        <v>46113</v>
      </c>
      <c r="C1038" s="52">
        <v>9139.5</v>
      </c>
      <c r="D1038" s="48" t="str">
        <f>_xlfn.XLOOKUP(expected_production[[#This Row],[Site Name]],Table1[[Site Name ]],Table1[Commisioned Date],"")</f>
        <v>2022/16/12</v>
      </c>
      <c r="E1038" s="47" t="str">
        <f>IF(ISNUMBER(expected_production[[#This Row],[Commissioned Date]]),MAX(0,(expected_production[[#This Row],[Date]]-expected_production[[#This Row],[Commissioned Date]])/365.25),"")</f>
        <v/>
      </c>
      <c r="F1038" s="49">
        <f>IF(expected_production[[#This Row],[Age (yrs)]]="",1,(1-DegradationRate)^expected_production[[#This Row],[Age (yrs)]])</f>
        <v>1</v>
      </c>
      <c r="G1038" s="52">
        <f>IF(expected_production[[#This Row],[Base Expected (kWh)]]="","",expected_production[[#This Row],[Base Expected (kWh)]]*expected_production[[#This Row],[Degradation Factor]])</f>
        <v>9139.5</v>
      </c>
    </row>
    <row r="1039" spans="1:7" ht="15" hidden="1" customHeight="1" x14ac:dyDescent="0.3">
      <c r="A1039" t="s">
        <v>120</v>
      </c>
      <c r="B1039" s="2">
        <v>46143</v>
      </c>
      <c r="C1039" s="52">
        <v>8593.2000000000007</v>
      </c>
      <c r="D1039" s="48" t="str">
        <f>_xlfn.XLOOKUP(expected_production[[#This Row],[Site Name]],Table1[[Site Name ]],Table1[Commisioned Date],"")</f>
        <v>2022/16/12</v>
      </c>
      <c r="E1039" s="47" t="str">
        <f>IF(ISNUMBER(expected_production[[#This Row],[Commissioned Date]]),MAX(0,(expected_production[[#This Row],[Date]]-expected_production[[#This Row],[Commissioned Date]])/365.25),"")</f>
        <v/>
      </c>
      <c r="F1039" s="49">
        <f>IF(expected_production[[#This Row],[Age (yrs)]]="",1,(1-DegradationRate)^expected_production[[#This Row],[Age (yrs)]])</f>
        <v>1</v>
      </c>
      <c r="G1039" s="52">
        <f>IF(expected_production[[#This Row],[Base Expected (kWh)]]="","",expected_production[[#This Row],[Base Expected (kWh)]]*expected_production[[#This Row],[Degradation Factor]])</f>
        <v>8593.2000000000007</v>
      </c>
    </row>
    <row r="1040" spans="1:7" ht="15" hidden="1" customHeight="1" x14ac:dyDescent="0.3">
      <c r="A1040" t="s">
        <v>120</v>
      </c>
      <c r="B1040" s="2">
        <v>46174</v>
      </c>
      <c r="C1040" s="52">
        <v>7680.6</v>
      </c>
      <c r="D1040" s="48" t="str">
        <f>_xlfn.XLOOKUP(expected_production[[#This Row],[Site Name]],Table1[[Site Name ]],Table1[Commisioned Date],"")</f>
        <v>2022/16/12</v>
      </c>
      <c r="E1040" s="47" t="str">
        <f>IF(ISNUMBER(expected_production[[#This Row],[Commissioned Date]]),MAX(0,(expected_production[[#This Row],[Date]]-expected_production[[#This Row],[Commissioned Date]])/365.25),"")</f>
        <v/>
      </c>
      <c r="F1040" s="49">
        <f>IF(expected_production[[#This Row],[Age (yrs)]]="",1,(1-DegradationRate)^expected_production[[#This Row],[Age (yrs)]])</f>
        <v>1</v>
      </c>
      <c r="G1040" s="52">
        <f>IF(expected_production[[#This Row],[Base Expected (kWh)]]="","",expected_production[[#This Row],[Base Expected (kWh)]]*expected_production[[#This Row],[Degradation Factor]])</f>
        <v>7680.6</v>
      </c>
    </row>
    <row r="1041" spans="1:7" ht="15" hidden="1" customHeight="1" x14ac:dyDescent="0.3">
      <c r="A1041" t="s">
        <v>120</v>
      </c>
      <c r="B1041" s="2">
        <v>46204</v>
      </c>
      <c r="C1041" s="52">
        <v>8550.9</v>
      </c>
      <c r="D1041" s="48" t="str">
        <f>_xlfn.XLOOKUP(expected_production[[#This Row],[Site Name]],Table1[[Site Name ]],Table1[Commisioned Date],"")</f>
        <v>2022/16/12</v>
      </c>
      <c r="E1041" s="47" t="str">
        <f>IF(ISNUMBER(expected_production[[#This Row],[Commissioned Date]]),MAX(0,(expected_production[[#This Row],[Date]]-expected_production[[#This Row],[Commissioned Date]])/365.25),"")</f>
        <v/>
      </c>
      <c r="F1041" s="49">
        <f>IF(expected_production[[#This Row],[Age (yrs)]]="",1,(1-DegradationRate)^expected_production[[#This Row],[Age (yrs)]])</f>
        <v>1</v>
      </c>
      <c r="G1041" s="52">
        <f>IF(expected_production[[#This Row],[Base Expected (kWh)]]="","",expected_production[[#This Row],[Base Expected (kWh)]]*expected_production[[#This Row],[Degradation Factor]])</f>
        <v>8550.9</v>
      </c>
    </row>
    <row r="1042" spans="1:7" ht="15" hidden="1" customHeight="1" x14ac:dyDescent="0.3">
      <c r="A1042" t="s">
        <v>120</v>
      </c>
      <c r="B1042" s="2">
        <v>46235</v>
      </c>
      <c r="C1042" s="52">
        <v>9997.2000000000007</v>
      </c>
      <c r="D1042" s="48" t="str">
        <f>_xlfn.XLOOKUP(expected_production[[#This Row],[Site Name]],Table1[[Site Name ]],Table1[Commisioned Date],"")</f>
        <v>2022/16/12</v>
      </c>
      <c r="E1042" s="47" t="str">
        <f>IF(ISNUMBER(expected_production[[#This Row],[Commissioned Date]]),MAX(0,(expected_production[[#This Row],[Date]]-expected_production[[#This Row],[Commissioned Date]])/365.25),"")</f>
        <v/>
      </c>
      <c r="F1042" s="49">
        <f>IF(expected_production[[#This Row],[Age (yrs)]]="",1,(1-DegradationRate)^expected_production[[#This Row],[Age (yrs)]])</f>
        <v>1</v>
      </c>
      <c r="G1042" s="52">
        <f>IF(expected_production[[#This Row],[Base Expected (kWh)]]="","",expected_production[[#This Row],[Base Expected (kWh)]]*expected_production[[#This Row],[Degradation Factor]])</f>
        <v>9997.2000000000007</v>
      </c>
    </row>
    <row r="1043" spans="1:7" ht="15" hidden="1" customHeight="1" x14ac:dyDescent="0.3">
      <c r="A1043" t="s">
        <v>120</v>
      </c>
      <c r="B1043" s="2">
        <v>46266</v>
      </c>
      <c r="C1043" s="52">
        <v>10701.9</v>
      </c>
      <c r="D1043" s="48" t="str">
        <f>_xlfn.XLOOKUP(expected_production[[#This Row],[Site Name]],Table1[[Site Name ]],Table1[Commisioned Date],"")</f>
        <v>2022/16/12</v>
      </c>
      <c r="E1043" s="47" t="str">
        <f>IF(ISNUMBER(expected_production[[#This Row],[Commissioned Date]]),MAX(0,(expected_production[[#This Row],[Date]]-expected_production[[#This Row],[Commissioned Date]])/365.25),"")</f>
        <v/>
      </c>
      <c r="F1043" s="49">
        <f>IF(expected_production[[#This Row],[Age (yrs)]]="",1,(1-DegradationRate)^expected_production[[#This Row],[Age (yrs)]])</f>
        <v>1</v>
      </c>
      <c r="G1043" s="52">
        <f>IF(expected_production[[#This Row],[Base Expected (kWh)]]="","",expected_production[[#This Row],[Base Expected (kWh)]]*expected_production[[#This Row],[Degradation Factor]])</f>
        <v>10701.9</v>
      </c>
    </row>
    <row r="1044" spans="1:7" ht="15" hidden="1" customHeight="1" x14ac:dyDescent="0.3">
      <c r="A1044" t="s">
        <v>120</v>
      </c>
      <c r="B1044" s="2">
        <v>46296</v>
      </c>
      <c r="C1044" s="52">
        <v>11834.1</v>
      </c>
      <c r="D1044" s="48" t="str">
        <f>_xlfn.XLOOKUP(expected_production[[#This Row],[Site Name]],Table1[[Site Name ]],Table1[Commisioned Date],"")</f>
        <v>2022/16/12</v>
      </c>
      <c r="E1044" s="47" t="str">
        <f>IF(ISNUMBER(expected_production[[#This Row],[Commissioned Date]]),MAX(0,(expected_production[[#This Row],[Date]]-expected_production[[#This Row],[Commissioned Date]])/365.25),"")</f>
        <v/>
      </c>
      <c r="F1044" s="49">
        <f>IF(expected_production[[#This Row],[Age (yrs)]]="",1,(1-DegradationRate)^expected_production[[#This Row],[Age (yrs)]])</f>
        <v>1</v>
      </c>
      <c r="G1044" s="52">
        <f>IF(expected_production[[#This Row],[Base Expected (kWh)]]="","",expected_production[[#This Row],[Base Expected (kWh)]]*expected_production[[#This Row],[Degradation Factor]])</f>
        <v>11834.1</v>
      </c>
    </row>
    <row r="1045" spans="1:7" ht="15" hidden="1" customHeight="1" x14ac:dyDescent="0.3">
      <c r="A1045" t="s">
        <v>120</v>
      </c>
      <c r="B1045" s="2">
        <v>46327</v>
      </c>
      <c r="C1045" s="52">
        <v>12129.3</v>
      </c>
      <c r="D1045" s="48" t="str">
        <f>_xlfn.XLOOKUP(expected_production[[#This Row],[Site Name]],Table1[[Site Name ]],Table1[Commisioned Date],"")</f>
        <v>2022/16/12</v>
      </c>
      <c r="E1045" s="47" t="str">
        <f>IF(ISNUMBER(expected_production[[#This Row],[Commissioned Date]]),MAX(0,(expected_production[[#This Row],[Date]]-expected_production[[#This Row],[Commissioned Date]])/365.25),"")</f>
        <v/>
      </c>
      <c r="F1045" s="49">
        <f>IF(expected_production[[#This Row],[Age (yrs)]]="",1,(1-DegradationRate)^expected_production[[#This Row],[Age (yrs)]])</f>
        <v>1</v>
      </c>
      <c r="G1045" s="52">
        <f>IF(expected_production[[#This Row],[Base Expected (kWh)]]="","",expected_production[[#This Row],[Base Expected (kWh)]]*expected_production[[#This Row],[Degradation Factor]])</f>
        <v>12129.3</v>
      </c>
    </row>
    <row r="1046" spans="1:7" ht="15" hidden="1" customHeight="1" x14ac:dyDescent="0.3">
      <c r="A1046" t="s">
        <v>120</v>
      </c>
      <c r="B1046" s="2">
        <v>46357</v>
      </c>
      <c r="C1046" s="52">
        <v>12998.7</v>
      </c>
      <c r="D1046" s="48" t="str">
        <f>_xlfn.XLOOKUP(expected_production[[#This Row],[Site Name]],Table1[[Site Name ]],Table1[Commisioned Date],"")</f>
        <v>2022/16/12</v>
      </c>
      <c r="E1046" s="47" t="str">
        <f>IF(ISNUMBER(expected_production[[#This Row],[Commissioned Date]]),MAX(0,(expected_production[[#This Row],[Date]]-expected_production[[#This Row],[Commissioned Date]])/365.25),"")</f>
        <v/>
      </c>
      <c r="F1046" s="49">
        <f>IF(expected_production[[#This Row],[Age (yrs)]]="",1,(1-DegradationRate)^expected_production[[#This Row],[Age (yrs)]])</f>
        <v>1</v>
      </c>
      <c r="G1046" s="52">
        <f>IF(expected_production[[#This Row],[Base Expected (kWh)]]="","",expected_production[[#This Row],[Base Expected (kWh)]]*expected_production[[#This Row],[Degradation Factor]])</f>
        <v>12998.7</v>
      </c>
    </row>
    <row r="1047" spans="1:7" ht="15" hidden="1" customHeight="1" x14ac:dyDescent="0.3">
      <c r="A1047" t="s">
        <v>236</v>
      </c>
      <c r="B1047" s="2">
        <v>45292</v>
      </c>
      <c r="C1047" s="52" cm="1">
        <f t="array" ref="C1047">IFERROR(INDEX('Expected Production'!$C$2:$N$79,MATCH($A1047,'Expected Production'!$A$2:$A$79,0),MONTH($B1047)),"")</f>
        <v>16602.939455286778</v>
      </c>
      <c r="D1047" s="48">
        <f>_xlfn.XLOOKUP(expected_production[[#This Row],[Site Name]],Table1[[Site Name ]],Table1[Commisioned Date],"")</f>
        <v>45050</v>
      </c>
      <c r="E1047" s="47">
        <f>IF(ISNUMBER(expected_production[[#This Row],[Commissioned Date]]),MAX(0,(expected_production[[#This Row],[Date]]-expected_production[[#This Row],[Commissioned Date]])/365.25),"")</f>
        <v>0.66255989048596853</v>
      </c>
      <c r="F1047" s="49">
        <f>IF(expected_production[[#This Row],[Age (yrs)]]="",1,(1-DegradationRate)^expected_production[[#This Row],[Age (yrs)]])</f>
        <v>0.99535658603262078</v>
      </c>
      <c r="G1047" s="52">
        <f>IF(expected_production[[#This Row],[Base Expected (kWh)]]="","",expected_production[[#This Row],[Base Expected (kWh)]]*expected_production[[#This Row],[Degradation Factor]])</f>
        <v>16525.845134320549</v>
      </c>
    </row>
    <row r="1048" spans="1:7" ht="15" hidden="1" customHeight="1" x14ac:dyDescent="0.3">
      <c r="A1048" t="s">
        <v>236</v>
      </c>
      <c r="B1048" s="2">
        <v>45323</v>
      </c>
      <c r="C1048" s="52" cm="1">
        <f t="array" ref="C1048">IFERROR(INDEX('Expected Production'!$C$2:$N$79,MATCH($A1048,'Expected Production'!$A$2:$A$79,0),MONTH($B1048)),"")</f>
        <v>14966.051031447027</v>
      </c>
      <c r="D1048" s="48">
        <f>_xlfn.XLOOKUP(expected_production[[#This Row],[Site Name]],Table1[[Site Name ]],Table1[Commisioned Date],"")</f>
        <v>45050</v>
      </c>
      <c r="E1048" s="47">
        <f>IF(ISNUMBER(expected_production[[#This Row],[Commissioned Date]]),MAX(0,(expected_production[[#This Row],[Date]]-expected_production[[#This Row],[Commissioned Date]])/365.25),"")</f>
        <v>0.74743326488706363</v>
      </c>
      <c r="F1048" s="49">
        <f>IF(expected_production[[#This Row],[Age (yrs)]]="",1,(1-DegradationRate)^expected_production[[#This Row],[Age (yrs)]])</f>
        <v>0.99476332854379179</v>
      </c>
      <c r="G1048" s="52">
        <f>IF(expected_production[[#This Row],[Base Expected (kWh)]]="","",expected_production[[#This Row],[Base Expected (kWh)]]*expected_production[[#This Row],[Degradation Factor]])</f>
        <v>14887.678739198493</v>
      </c>
    </row>
    <row r="1049" spans="1:7" ht="15" hidden="1" customHeight="1" x14ac:dyDescent="0.3">
      <c r="A1049" t="s">
        <v>236</v>
      </c>
      <c r="B1049" s="2">
        <v>45352</v>
      </c>
      <c r="C1049" s="52" cm="1">
        <f t="array" ref="C1049">IFERROR(INDEX('Expected Production'!$C$2:$N$79,MATCH($A1049,'Expected Production'!$A$2:$A$79,0),MONTH($B1049)),"")</f>
        <v>16335.485545927229</v>
      </c>
      <c r="D1049" s="48">
        <f>_xlfn.XLOOKUP(expected_production[[#This Row],[Site Name]],Table1[[Site Name ]],Table1[Commisioned Date],"")</f>
        <v>45050</v>
      </c>
      <c r="E1049" s="47">
        <f>IF(ISNUMBER(expected_production[[#This Row],[Commissioned Date]]),MAX(0,(expected_production[[#This Row],[Date]]-expected_production[[#This Row],[Commissioned Date]])/365.25),"")</f>
        <v>0.8268309377138946</v>
      </c>
      <c r="F1049" s="49">
        <f>IF(expected_production[[#This Row],[Age (yrs)]]="",1,(1-DegradationRate)^expected_production[[#This Row],[Age (yrs)]])</f>
        <v>0.99420866584899903</v>
      </c>
      <c r="G1049" s="52">
        <f>IF(expected_production[[#This Row],[Base Expected (kWh)]]="","",expected_production[[#This Row],[Base Expected (kWh)]]*expected_production[[#This Row],[Degradation Factor]])</f>
        <v>16240.881290611918</v>
      </c>
    </row>
    <row r="1050" spans="1:7" ht="15" hidden="1" customHeight="1" x14ac:dyDescent="0.3">
      <c r="A1050" t="s">
        <v>236</v>
      </c>
      <c r="B1050" s="2">
        <v>45383</v>
      </c>
      <c r="C1050" s="52" cm="1">
        <f t="array" ref="C1050">IFERROR(INDEX('Expected Production'!$C$2:$N$79,MATCH($A1050,'Expected Production'!$A$2:$A$79,0),MONTH($B1050)),"")</f>
        <v>15100.35078692115</v>
      </c>
      <c r="D1050" s="48">
        <f>_xlfn.XLOOKUP(expected_production[[#This Row],[Site Name]],Table1[[Site Name ]],Table1[Commisioned Date],"")</f>
        <v>45050</v>
      </c>
      <c r="E1050" s="47">
        <f>IF(ISNUMBER(expected_production[[#This Row],[Commissioned Date]]),MAX(0,(expected_production[[#This Row],[Date]]-expected_production[[#This Row],[Commissioned Date]])/365.25),"")</f>
        <v>0.9117043121149897</v>
      </c>
      <c r="F1050" s="49">
        <f>IF(expected_production[[#This Row],[Age (yrs)]]="",1,(1-DegradationRate)^expected_production[[#This Row],[Age (yrs)]])</f>
        <v>0.99361609254938932</v>
      </c>
      <c r="G1050" s="52">
        <f>IF(expected_production[[#This Row],[Base Expected (kWh)]]="","",expected_production[[#This Row],[Base Expected (kWh)]]*expected_production[[#This Row],[Degradation Factor]])</f>
        <v>15003.951545025689</v>
      </c>
    </row>
    <row r="1051" spans="1:7" ht="15" hidden="1" customHeight="1" x14ac:dyDescent="0.3">
      <c r="A1051" t="s">
        <v>236</v>
      </c>
      <c r="B1051" s="2">
        <v>45413</v>
      </c>
      <c r="C1051" s="52" cm="1">
        <f t="array" ref="C1051">IFERROR(INDEX('Expected Production'!$C$2:$N$79,MATCH($A1051,'Expected Production'!$A$2:$A$79,0),MONTH($B1051)),"")</f>
        <v>15271.045423635958</v>
      </c>
      <c r="D1051" s="48">
        <f>_xlfn.XLOOKUP(expected_production[[#This Row],[Site Name]],Table1[[Site Name ]],Table1[Commisioned Date],"")</f>
        <v>45050</v>
      </c>
      <c r="E1051" s="47">
        <f>IF(ISNUMBER(expected_production[[#This Row],[Commissioned Date]]),MAX(0,(expected_production[[#This Row],[Date]]-expected_production[[#This Row],[Commissioned Date]])/365.25),"")</f>
        <v>0.99383983572895274</v>
      </c>
      <c r="F1051" s="49">
        <f>IF(expected_production[[#This Row],[Age (yrs)]]="",1,(1-DegradationRate)^expected_production[[#This Row],[Age (yrs)]])</f>
        <v>0.99304297080220527</v>
      </c>
      <c r="G1051" s="52">
        <f>IF(expected_production[[#This Row],[Base Expected (kWh)]]="","",expected_production[[#This Row],[Base Expected (kWh)]]*expected_production[[#This Row],[Degradation Factor]])</f>
        <v>15164.804314742873</v>
      </c>
    </row>
    <row r="1052" spans="1:7" ht="15" hidden="1" customHeight="1" x14ac:dyDescent="0.3">
      <c r="A1052" t="s">
        <v>236</v>
      </c>
      <c r="B1052" s="2">
        <v>45444</v>
      </c>
      <c r="C1052" s="52" cm="1">
        <f t="array" ref="C1052">IFERROR(INDEX('Expected Production'!$C$2:$N$79,MATCH($A1052,'Expected Production'!$A$2:$A$79,0),MONTH($B1052)),"")</f>
        <v>14168.00734012575</v>
      </c>
      <c r="D1052" s="48">
        <f>_xlfn.XLOOKUP(expected_production[[#This Row],[Site Name]],Table1[[Site Name ]],Table1[Commisioned Date],"")</f>
        <v>45050</v>
      </c>
      <c r="E1052" s="47">
        <f>IF(ISNUMBER(expected_production[[#This Row],[Commissioned Date]]),MAX(0,(expected_production[[#This Row],[Date]]-expected_production[[#This Row],[Commissioned Date]])/365.25),"")</f>
        <v>1.0787132101300478</v>
      </c>
      <c r="F1052" s="49">
        <f>IF(expected_production[[#This Row],[Age (yrs)]]="",1,(1-DegradationRate)^expected_production[[#This Row],[Age (yrs)]])</f>
        <v>0.99245109228607908</v>
      </c>
      <c r="G1052" s="52">
        <f>IF(expected_production[[#This Row],[Base Expected (kWh)]]="","",expected_production[[#This Row],[Base Expected (kWh)]]*expected_production[[#This Row],[Degradation Factor]])</f>
        <v>14061.054360224987</v>
      </c>
    </row>
    <row r="1053" spans="1:7" ht="15" hidden="1" customHeight="1" x14ac:dyDescent="0.3">
      <c r="A1053" t="s">
        <v>236</v>
      </c>
      <c r="B1053" s="2">
        <v>45474</v>
      </c>
      <c r="C1053" s="52" cm="1">
        <f t="array" ref="C1053">IFERROR(INDEX('Expected Production'!$C$2:$N$79,MATCH($A1053,'Expected Production'!$A$2:$A$79,0),MONTH($B1053)),"")</f>
        <v>15171.289962220802</v>
      </c>
      <c r="D1053" s="48">
        <f>_xlfn.XLOOKUP(expected_production[[#This Row],[Site Name]],Table1[[Site Name ]],Table1[Commisioned Date],"")</f>
        <v>45050</v>
      </c>
      <c r="E1053" s="47">
        <f>IF(ISNUMBER(expected_production[[#This Row],[Commissioned Date]]),MAX(0,(expected_production[[#This Row],[Date]]-expected_production[[#This Row],[Commissioned Date]])/365.25),"")</f>
        <v>1.160848733744011</v>
      </c>
      <c r="F1053" s="49">
        <f>IF(expected_production[[#This Row],[Age (yrs)]]="",1,(1-DegradationRate)^expected_production[[#This Row],[Age (yrs)]])</f>
        <v>0.99187864251571922</v>
      </c>
      <c r="G1053" s="52">
        <f>IF(expected_production[[#This Row],[Base Expected (kWh)]]="","",expected_production[[#This Row],[Base Expected (kWh)]]*expected_production[[#This Row],[Degradation Factor]])</f>
        <v>15048.078492939927</v>
      </c>
    </row>
    <row r="1054" spans="1:7" ht="15" hidden="1" customHeight="1" x14ac:dyDescent="0.3">
      <c r="A1054" t="s">
        <v>236</v>
      </c>
      <c r="B1054" s="2">
        <v>45505</v>
      </c>
      <c r="C1054" s="52" cm="1">
        <f t="array" ref="C1054">IFERROR(INDEX('Expected Production'!$C$2:$N$79,MATCH($A1054,'Expected Production'!$A$2:$A$79,0),MONTH($B1054)),"")</f>
        <v>16365.447433631431</v>
      </c>
      <c r="D1054" s="48">
        <f>_xlfn.XLOOKUP(expected_production[[#This Row],[Site Name]],Table1[[Site Name ]],Table1[Commisioned Date],"")</f>
        <v>45050</v>
      </c>
      <c r="E1054" s="47">
        <f>IF(ISNUMBER(expected_production[[#This Row],[Commissioned Date]]),MAX(0,(expected_production[[#This Row],[Date]]-expected_production[[#This Row],[Commissioned Date]])/365.25),"")</f>
        <v>1.2457221081451062</v>
      </c>
      <c r="F1054" s="49">
        <f>IF(expected_production[[#This Row],[Age (yrs)]]="",1,(1-DegradationRate)^expected_production[[#This Row],[Age (yrs)]])</f>
        <v>0.99128745796845308</v>
      </c>
      <c r="G1054" s="52">
        <f>IF(expected_production[[#This Row],[Base Expected (kWh)]]="","",expected_production[[#This Row],[Base Expected (kWh)]]*expected_production[[#This Row],[Degradation Factor]])</f>
        <v>16222.862785000845</v>
      </c>
    </row>
    <row r="1055" spans="1:7" ht="15" hidden="1" customHeight="1" x14ac:dyDescent="0.3">
      <c r="A1055" t="s">
        <v>236</v>
      </c>
      <c r="B1055" s="2">
        <v>45536</v>
      </c>
      <c r="C1055" s="52" cm="1">
        <f t="array" ref="C1055">IFERROR(INDEX('Expected Production'!$C$2:$N$79,MATCH($A1055,'Expected Production'!$A$2:$A$79,0),MONTH($B1055)),"")</f>
        <v>16283.93347443618</v>
      </c>
      <c r="D1055" s="48">
        <f>_xlfn.XLOOKUP(expected_production[[#This Row],[Site Name]],Table1[[Site Name ]],Table1[Commisioned Date],"")</f>
        <v>45050</v>
      </c>
      <c r="E1055" s="47">
        <f>IF(ISNUMBER(expected_production[[#This Row],[Commissioned Date]]),MAX(0,(expected_production[[#This Row],[Date]]-expected_production[[#This Row],[Commissioned Date]])/365.25),"")</f>
        <v>1.3305954825462012</v>
      </c>
      <c r="F1055" s="49">
        <f>IF(expected_production[[#This Row],[Age (yrs)]]="",1,(1-DegradationRate)^expected_production[[#This Row],[Age (yrs)]])</f>
        <v>0.99069662578200413</v>
      </c>
      <c r="G1055" s="52">
        <f>IF(expected_production[[#This Row],[Base Expected (kWh)]]="","",expected_production[[#This Row],[Base Expected (kWh)]]*expected_production[[#This Row],[Degradation Factor]])</f>
        <v>16132.437947582552</v>
      </c>
    </row>
    <row r="1056" spans="1:7" ht="15" hidden="1" customHeight="1" x14ac:dyDescent="0.3">
      <c r="A1056" t="s">
        <v>236</v>
      </c>
      <c r="B1056" s="2">
        <v>45566</v>
      </c>
      <c r="C1056" s="52" cm="1">
        <f t="array" ref="C1056">IFERROR(INDEX('Expected Production'!$C$2:$N$79,MATCH($A1056,'Expected Production'!$A$2:$A$79,0),MONTH($B1056)),"")</f>
        <v>15891.080252714639</v>
      </c>
      <c r="D1056" s="48">
        <f>_xlfn.XLOOKUP(expected_production[[#This Row],[Site Name]],Table1[[Site Name ]],Table1[Commisioned Date],"")</f>
        <v>45050</v>
      </c>
      <c r="E1056" s="47">
        <f>IF(ISNUMBER(expected_production[[#This Row],[Commissioned Date]]),MAX(0,(expected_production[[#This Row],[Date]]-expected_production[[#This Row],[Commissioned Date]])/365.25),"")</f>
        <v>1.4127310061601643</v>
      </c>
      <c r="F1056" s="49">
        <f>IF(expected_production[[#This Row],[Age (yrs)]]="",1,(1-DegradationRate)^expected_production[[#This Row],[Age (yrs)]])</f>
        <v>0.9901251879949603</v>
      </c>
      <c r="G1056" s="52">
        <f>IF(expected_production[[#This Row],[Base Expected (kWh)]]="","",expected_production[[#This Row],[Base Expected (kWh)]]*expected_production[[#This Row],[Degradation Factor]])</f>
        <v>15734.158822662082</v>
      </c>
    </row>
    <row r="1057" spans="1:7" ht="15" hidden="1" customHeight="1" x14ac:dyDescent="0.3">
      <c r="A1057" t="s">
        <v>236</v>
      </c>
      <c r="B1057" s="2">
        <v>45597</v>
      </c>
      <c r="C1057" s="52" cm="1">
        <f t="array" ref="C1057">IFERROR(INDEX('Expected Production'!$C$2:$N$79,MATCH($A1057,'Expected Production'!$A$2:$A$79,0),MONTH($B1057)),"")</f>
        <v>15343.218323723426</v>
      </c>
      <c r="D1057" s="48">
        <f>_xlfn.XLOOKUP(expected_production[[#This Row],[Site Name]],Table1[[Site Name ]],Table1[Commisioned Date],"")</f>
        <v>45050</v>
      </c>
      <c r="E1057" s="47">
        <f>IF(ISNUMBER(expected_production[[#This Row],[Commissioned Date]]),MAX(0,(expected_production[[#This Row],[Date]]-expected_production[[#This Row],[Commissioned Date]])/365.25),"")</f>
        <v>1.4976043805612593</v>
      </c>
      <c r="F1057" s="49">
        <f>IF(expected_production[[#This Row],[Age (yrs)]]="",1,(1-DegradationRate)^expected_production[[#This Row],[Age (yrs)]])</f>
        <v>0.98953504855056518</v>
      </c>
      <c r="G1057" s="52">
        <f>IF(expected_production[[#This Row],[Base Expected (kWh)]]="","",expected_production[[#This Row],[Base Expected (kWh)]]*expected_production[[#This Row],[Degradation Factor]])</f>
        <v>15182.652288887581</v>
      </c>
    </row>
    <row r="1058" spans="1:7" ht="15" hidden="1" customHeight="1" x14ac:dyDescent="0.3">
      <c r="A1058" t="s">
        <v>236</v>
      </c>
      <c r="B1058" s="2">
        <v>45627</v>
      </c>
      <c r="C1058" s="52" cm="1">
        <f t="array" ref="C1058">IFERROR(INDEX('Expected Production'!$C$2:$N$79,MATCH($A1058,'Expected Production'!$A$2:$A$79,0),MONTH($B1058)),"")</f>
        <v>16261.638305056289</v>
      </c>
      <c r="D1058" s="48">
        <f>_xlfn.XLOOKUP(expected_production[[#This Row],[Site Name]],Table1[[Site Name ]],Table1[Commisioned Date],"")</f>
        <v>45050</v>
      </c>
      <c r="E1058" s="47">
        <f>IF(ISNUMBER(expected_production[[#This Row],[Commissioned Date]]),MAX(0,(expected_production[[#This Row],[Date]]-expected_production[[#This Row],[Commissioned Date]])/365.25),"")</f>
        <v>1.5797399041752225</v>
      </c>
      <c r="F1058" s="49">
        <f>IF(expected_production[[#This Row],[Age (yrs)]]="",1,(1-DegradationRate)^expected_production[[#This Row],[Age (yrs)]])</f>
        <v>0.98896428076592713</v>
      </c>
      <c r="G1058" s="52">
        <f>IF(expected_production[[#This Row],[Base Expected (kWh)]]="","",expected_production[[#This Row],[Base Expected (kWh)]]*expected_production[[#This Row],[Degradation Factor]])</f>
        <v>16082.179430435643</v>
      </c>
    </row>
    <row r="1059" spans="1:7" ht="15" hidden="1" customHeight="1" x14ac:dyDescent="0.3">
      <c r="A1059" t="s">
        <v>236</v>
      </c>
      <c r="B1059" s="2">
        <v>45658</v>
      </c>
      <c r="C1059" s="52" cm="1">
        <f t="array" ref="C1059">IFERROR(INDEX('Expected Production'!$C$2:$N$79,MATCH($A1059,'Expected Production'!$A$2:$A$79,0),MONTH($B1059)),"")</f>
        <v>16602.939455286778</v>
      </c>
      <c r="D1059" s="48">
        <f>_xlfn.XLOOKUP(expected_production[[#This Row],[Site Name]],Table1[[Site Name ]],Table1[Commisioned Date],"")</f>
        <v>45050</v>
      </c>
      <c r="E1059" s="47">
        <f>IF(ISNUMBER(expected_production[[#This Row],[Commissioned Date]]),MAX(0,(expected_production[[#This Row],[Date]]-expected_production[[#This Row],[Commissioned Date]])/365.25),"")</f>
        <v>1.6646132785763177</v>
      </c>
      <c r="F1059" s="49">
        <f>IF(expected_production[[#This Row],[Age (yrs)]]="",1,(1-DegradationRate)^expected_production[[#This Row],[Age (yrs)]])</f>
        <v>0.98837483325135611</v>
      </c>
      <c r="G1059" s="52">
        <f>IF(expected_production[[#This Row],[Base Expected (kWh)]]="","",expected_production[[#This Row],[Base Expected (kWh)]]*expected_production[[#This Row],[Degradation Factor]])</f>
        <v>16409.92751560143</v>
      </c>
    </row>
    <row r="1060" spans="1:7" ht="15" hidden="1" customHeight="1" x14ac:dyDescent="0.3">
      <c r="A1060" t="s">
        <v>236</v>
      </c>
      <c r="B1060" s="2">
        <v>45689</v>
      </c>
      <c r="C1060" s="52" cm="1">
        <f t="array" ref="C1060">IFERROR(INDEX('Expected Production'!$C$2:$N$79,MATCH($A1060,'Expected Production'!$A$2:$A$79,0),MONTH($B1060)),"")</f>
        <v>14966.051031447027</v>
      </c>
      <c r="D1060" s="48">
        <f>_xlfn.XLOOKUP(expected_production[[#This Row],[Site Name]],Table1[[Site Name ]],Table1[Commisioned Date],"")</f>
        <v>45050</v>
      </c>
      <c r="E1060" s="47">
        <f>IF(ISNUMBER(expected_production[[#This Row],[Commissioned Date]]),MAX(0,(expected_production[[#This Row],[Date]]-expected_production[[#This Row],[Commissioned Date]])/365.25),"")</f>
        <v>1.7494866529774127</v>
      </c>
      <c r="F1060" s="49">
        <f>IF(expected_production[[#This Row],[Age (yrs)]]="",1,(1-DegradationRate)^expected_production[[#This Row],[Age (yrs)]])</f>
        <v>0.98778573706228712</v>
      </c>
      <c r="G1060" s="52">
        <f>IF(expected_production[[#This Row],[Base Expected (kWh)]]="","",expected_production[[#This Row],[Base Expected (kWh)]]*expected_production[[#This Row],[Degradation Factor]])</f>
        <v>14783.251749009703</v>
      </c>
    </row>
    <row r="1061" spans="1:7" ht="15" hidden="1" customHeight="1" x14ac:dyDescent="0.3">
      <c r="A1061" t="s">
        <v>236</v>
      </c>
      <c r="B1061" s="2">
        <v>45717</v>
      </c>
      <c r="C1061" s="52" cm="1">
        <f t="array" ref="C1061">IFERROR(INDEX('Expected Production'!$C$2:$N$79,MATCH($A1061,'Expected Production'!$A$2:$A$79,0),MONTH($B1061)),"")</f>
        <v>16335.485545927229</v>
      </c>
      <c r="D1061" s="48">
        <f>_xlfn.XLOOKUP(expected_production[[#This Row],[Site Name]],Table1[[Site Name ]],Table1[Commisioned Date],"")</f>
        <v>45050</v>
      </c>
      <c r="E1061" s="47">
        <f>IF(ISNUMBER(expected_production[[#This Row],[Commissioned Date]]),MAX(0,(expected_production[[#This Row],[Date]]-expected_production[[#This Row],[Commissioned Date]])/365.25),"")</f>
        <v>1.8261464750171115</v>
      </c>
      <c r="F1061" s="49">
        <f>IF(expected_production[[#This Row],[Age (yrs)]]="",1,(1-DegradationRate)^expected_production[[#This Row],[Age (yrs)]])</f>
        <v>0.9872539519794219</v>
      </c>
      <c r="G1061" s="52">
        <f>IF(expected_production[[#This Row],[Base Expected (kWh)]]="","",expected_production[[#This Row],[Base Expected (kWh)]]*expected_production[[#This Row],[Degradation Factor]])</f>
        <v>16127.272662719381</v>
      </c>
    </row>
    <row r="1062" spans="1:7" ht="15" hidden="1" customHeight="1" x14ac:dyDescent="0.3">
      <c r="A1062" t="s">
        <v>236</v>
      </c>
      <c r="B1062" s="2">
        <v>45748</v>
      </c>
      <c r="C1062" s="52" cm="1">
        <f t="array" ref="C1062">IFERROR(INDEX('Expected Production'!$C$2:$N$79,MATCH($A1062,'Expected Production'!$A$2:$A$79,0),MONTH($B1062)),"")</f>
        <v>15100.35078692115</v>
      </c>
      <c r="D1062" s="48">
        <f>_xlfn.XLOOKUP(expected_production[[#This Row],[Site Name]],Table1[[Site Name ]],Table1[Commisioned Date],"")</f>
        <v>45050</v>
      </c>
      <c r="E1062" s="47">
        <f>IF(ISNUMBER(expected_production[[#This Row],[Commissioned Date]]),MAX(0,(expected_production[[#This Row],[Date]]-expected_production[[#This Row],[Commissioned Date]])/365.25),"")</f>
        <v>1.9110198494182067</v>
      </c>
      <c r="F1062" s="49">
        <f>IF(expected_production[[#This Row],[Age (yrs)]]="",1,(1-DegradationRate)^expected_production[[#This Row],[Age (yrs)]])</f>
        <v>0.98666552386370265</v>
      </c>
      <c r="G1062" s="52">
        <f>IF(expected_production[[#This Row],[Base Expected (kWh)]]="","",expected_production[[#This Row],[Base Expected (kWh)]]*expected_production[[#This Row],[Degradation Factor]])</f>
        <v>14898.99551970323</v>
      </c>
    </row>
    <row r="1063" spans="1:7" ht="15" hidden="1" customHeight="1" x14ac:dyDescent="0.3">
      <c r="A1063" t="s">
        <v>236</v>
      </c>
      <c r="B1063" s="2">
        <v>45778</v>
      </c>
      <c r="C1063" s="52" cm="1">
        <f t="array" ref="C1063">IFERROR(INDEX('Expected Production'!$C$2:$N$79,MATCH($A1063,'Expected Production'!$A$2:$A$79,0),MONTH($B1063)),"")</f>
        <v>15271.045423635958</v>
      </c>
      <c r="D1063" s="48">
        <f>_xlfn.XLOOKUP(expected_production[[#This Row],[Site Name]],Table1[[Site Name ]],Table1[Commisioned Date],"")</f>
        <v>45050</v>
      </c>
      <c r="E1063" s="47">
        <f>IF(ISNUMBER(expected_production[[#This Row],[Commissioned Date]]),MAX(0,(expected_production[[#This Row],[Date]]-expected_production[[#This Row],[Commissioned Date]])/365.25),"")</f>
        <v>1.9931553730321698</v>
      </c>
      <c r="F1063" s="49">
        <f>IF(expected_production[[#This Row],[Age (yrs)]]="",1,(1-DegradationRate)^expected_production[[#This Row],[Age (yrs)]])</f>
        <v>0.98609641123241254</v>
      </c>
      <c r="G1063" s="52">
        <f>IF(expected_production[[#This Row],[Base Expected (kWh)]]="","",expected_production[[#This Row],[Base Expected (kWh)]]*expected_production[[#This Row],[Degradation Factor]])</f>
        <v>15058.723088014576</v>
      </c>
    </row>
    <row r="1064" spans="1:7" ht="15" hidden="1" customHeight="1" x14ac:dyDescent="0.3">
      <c r="A1064" t="s">
        <v>236</v>
      </c>
      <c r="B1064" s="2">
        <v>45809</v>
      </c>
      <c r="C1064" s="52" cm="1">
        <f t="array" ref="C1064">IFERROR(INDEX('Expected Production'!$C$2:$N$79,MATCH($A1064,'Expected Production'!$A$2:$A$79,0),MONTH($B1064)),"")</f>
        <v>14168.00734012575</v>
      </c>
      <c r="D1064" s="48">
        <f>_xlfn.XLOOKUP(expected_production[[#This Row],[Site Name]],Table1[[Site Name ]],Table1[Commisioned Date],"")</f>
        <v>45050</v>
      </c>
      <c r="E1064" s="47">
        <f>IF(ISNUMBER(expected_production[[#This Row],[Commissioned Date]]),MAX(0,(expected_production[[#This Row],[Date]]-expected_production[[#This Row],[Commissioned Date]])/365.25),"")</f>
        <v>2.0780287474332648</v>
      </c>
      <c r="F1064" s="49">
        <f>IF(expected_production[[#This Row],[Age (yrs)]]="",1,(1-DegradationRate)^expected_production[[#This Row],[Age (yrs)]])</f>
        <v>0.98550867304000966</v>
      </c>
      <c r="G1064" s="52">
        <f>IF(expected_production[[#This Row],[Base Expected (kWh)]]="","",expected_production[[#This Row],[Base Expected (kWh)]]*expected_production[[#This Row],[Degradation Factor]])</f>
        <v>13962.694113388445</v>
      </c>
    </row>
    <row r="1065" spans="1:7" ht="15" hidden="1" customHeight="1" x14ac:dyDescent="0.3">
      <c r="A1065" t="s">
        <v>236</v>
      </c>
      <c r="B1065" s="2">
        <v>45839</v>
      </c>
      <c r="C1065" s="52" cm="1">
        <f t="array" ref="C1065">IFERROR(INDEX('Expected Production'!$C$2:$N$79,MATCH($A1065,'Expected Production'!$A$2:$A$79,0),MONTH($B1065)),"")</f>
        <v>15171.289962220802</v>
      </c>
      <c r="D1065" s="48">
        <f>_xlfn.XLOOKUP(expected_production[[#This Row],[Site Name]],Table1[[Site Name ]],Table1[Commisioned Date],"")</f>
        <v>45050</v>
      </c>
      <c r="E1065" s="47">
        <f>IF(ISNUMBER(expected_production[[#This Row],[Commissioned Date]]),MAX(0,(expected_production[[#This Row],[Date]]-expected_production[[#This Row],[Commissioned Date]])/365.25),"")</f>
        <v>2.1601642710472277</v>
      </c>
      <c r="F1065" s="49">
        <f>IF(expected_production[[#This Row],[Age (yrs)]]="",1,(1-DegradationRate)^expected_production[[#This Row],[Age (yrs)]])</f>
        <v>0.98494022768491429</v>
      </c>
      <c r="G1065" s="52">
        <f>IF(expected_production[[#This Row],[Base Expected (kWh)]]="","",expected_production[[#This Row],[Base Expected (kWh)]]*expected_production[[#This Row],[Degradation Factor]])</f>
        <v>14942.813789663613</v>
      </c>
    </row>
    <row r="1066" spans="1:7" ht="15" hidden="1" customHeight="1" x14ac:dyDescent="0.3">
      <c r="A1066" t="s">
        <v>236</v>
      </c>
      <c r="B1066" s="2">
        <v>45870</v>
      </c>
      <c r="C1066" s="52" cm="1">
        <f t="array" ref="C1066">IFERROR(INDEX('Expected Production'!$C$2:$N$79,MATCH($A1066,'Expected Production'!$A$2:$A$79,0),MONTH($B1066)),"")</f>
        <v>16365.447433631431</v>
      </c>
      <c r="D1066" s="48">
        <f>_xlfn.XLOOKUP(expected_production[[#This Row],[Site Name]],Table1[[Site Name ]],Table1[Commisioned Date],"")</f>
        <v>45050</v>
      </c>
      <c r="E1066" s="47">
        <f>IF(ISNUMBER(expected_production[[#This Row],[Commissioned Date]]),MAX(0,(expected_production[[#This Row],[Date]]-expected_production[[#This Row],[Commissioned Date]])/365.25),"")</f>
        <v>2.2450376454483232</v>
      </c>
      <c r="F1066" s="49">
        <f>IF(expected_production[[#This Row],[Age (yrs)]]="",1,(1-DegradationRate)^expected_production[[#This Row],[Age (yrs)]])</f>
        <v>0.98435317860690286</v>
      </c>
      <c r="G1066" s="52">
        <f>IF(expected_production[[#This Row],[Base Expected (kWh)]]="","",expected_production[[#This Row],[Base Expected (kWh)]]*expected_production[[#This Row],[Degradation Factor]])</f>
        <v>16109.38020061928</v>
      </c>
    </row>
    <row r="1067" spans="1:7" ht="15" hidden="1" customHeight="1" x14ac:dyDescent="0.3">
      <c r="A1067" t="s">
        <v>236</v>
      </c>
      <c r="B1067" s="2">
        <v>45901</v>
      </c>
      <c r="C1067" s="52" cm="1">
        <f t="array" ref="C1067">IFERROR(INDEX('Expected Production'!$C$2:$N$79,MATCH($A1067,'Expected Production'!$A$2:$A$79,0),MONTH($B1067)),"")</f>
        <v>16283.93347443618</v>
      </c>
      <c r="D1067" s="48">
        <f>_xlfn.XLOOKUP(expected_production[[#This Row],[Site Name]],Table1[[Site Name ]],Table1[Commisioned Date],"")</f>
        <v>45050</v>
      </c>
      <c r="E1067" s="47">
        <f>IF(ISNUMBER(expected_production[[#This Row],[Commissioned Date]]),MAX(0,(expected_production[[#This Row],[Date]]-expected_production[[#This Row],[Commissioned Date]])/365.25),"")</f>
        <v>2.3299110198494182</v>
      </c>
      <c r="F1067" s="49">
        <f>IF(expected_production[[#This Row],[Age (yrs)]]="",1,(1-DegradationRate)^expected_production[[#This Row],[Age (yrs)]])</f>
        <v>0.98376647942486517</v>
      </c>
      <c r="G1067" s="52">
        <f>IF(expected_production[[#This Row],[Base Expected (kWh)]]="","",expected_production[[#This Row],[Base Expected (kWh)]]*expected_production[[#This Row],[Degradation Factor]])</f>
        <v>16019.587905334794</v>
      </c>
    </row>
    <row r="1068" spans="1:7" ht="15" hidden="1" customHeight="1" x14ac:dyDescent="0.3">
      <c r="A1068" t="s">
        <v>236</v>
      </c>
      <c r="B1068" s="2">
        <v>45931</v>
      </c>
      <c r="C1068" s="52" cm="1">
        <f t="array" ref="C1068">IFERROR(INDEX('Expected Production'!$C$2:$N$79,MATCH($A1068,'Expected Production'!$A$2:$A$79,0),MONTH($B1068)),"")</f>
        <v>15891.080252714639</v>
      </c>
      <c r="D1068" s="48">
        <f>_xlfn.XLOOKUP(expected_production[[#This Row],[Site Name]],Table1[[Site Name ]],Table1[Commisioned Date],"")</f>
        <v>45050</v>
      </c>
      <c r="E1068" s="47">
        <f>IF(ISNUMBER(expected_production[[#This Row],[Commissioned Date]]),MAX(0,(expected_production[[#This Row],[Date]]-expected_production[[#This Row],[Commissioned Date]])/365.25),"")</f>
        <v>2.4120465434633811</v>
      </c>
      <c r="F1068" s="49">
        <f>IF(expected_production[[#This Row],[Age (yrs)]]="",1,(1-DegradationRate)^expected_production[[#This Row],[Age (yrs)]])</f>
        <v>0.98319903897403416</v>
      </c>
      <c r="G1068" s="52">
        <f>IF(expected_production[[#This Row],[Base Expected (kWh)]]="","",expected_production[[#This Row],[Base Expected (kWh)]]*expected_production[[#This Row],[Degradation Factor]])</f>
        <v>15624.094832728284</v>
      </c>
    </row>
    <row r="1069" spans="1:7" ht="15" hidden="1" customHeight="1" x14ac:dyDescent="0.3">
      <c r="A1069" t="s">
        <v>236</v>
      </c>
      <c r="B1069" s="2">
        <v>45962</v>
      </c>
      <c r="C1069" s="52" cm="1">
        <f t="array" ref="C1069">IFERROR(INDEX('Expected Production'!$C$2:$N$79,MATCH($A1069,'Expected Production'!$A$2:$A$79,0),MONTH($B1069)),"")</f>
        <v>15343.218323723426</v>
      </c>
      <c r="D1069" s="48">
        <f>_xlfn.XLOOKUP(expected_production[[#This Row],[Site Name]],Table1[[Site Name ]],Table1[Commisioned Date],"")</f>
        <v>45050</v>
      </c>
      <c r="E1069" s="47">
        <f>IF(ISNUMBER(expected_production[[#This Row],[Commissioned Date]]),MAX(0,(expected_production[[#This Row],[Date]]-expected_production[[#This Row],[Commissioned Date]])/365.25),"")</f>
        <v>2.4969199178644765</v>
      </c>
      <c r="F1069" s="49">
        <f>IF(expected_production[[#This Row],[Age (yrs)]]="",1,(1-DegradationRate)^expected_production[[#This Row],[Age (yrs)]])</f>
        <v>0.9826130276881635</v>
      </c>
      <c r="G1069" s="52">
        <f>IF(expected_production[[#This Row],[Base Expected (kWh)]]="","",expected_production[[#This Row],[Base Expected (kWh)]]*expected_production[[#This Row],[Degradation Factor]])</f>
        <v>15076.446211554385</v>
      </c>
    </row>
    <row r="1070" spans="1:7" ht="15" hidden="1" customHeight="1" x14ac:dyDescent="0.3">
      <c r="A1070" t="s">
        <v>236</v>
      </c>
      <c r="B1070" s="2">
        <v>45992</v>
      </c>
      <c r="C1070" s="52" cm="1">
        <f t="array" ref="C1070">IFERROR(INDEX('Expected Production'!$C$2:$N$79,MATCH($A1070,'Expected Production'!$A$2:$A$79,0),MONTH($B1070)),"")</f>
        <v>16261.638305056289</v>
      </c>
      <c r="D1070" s="48">
        <f>_xlfn.XLOOKUP(expected_production[[#This Row],[Site Name]],Table1[[Site Name ]],Table1[Commisioned Date],"")</f>
        <v>45050</v>
      </c>
      <c r="E1070" s="47">
        <f>IF(ISNUMBER(expected_production[[#This Row],[Commissioned Date]]),MAX(0,(expected_production[[#This Row],[Date]]-expected_production[[#This Row],[Commissioned Date]])/365.25),"")</f>
        <v>2.5790554414784395</v>
      </c>
      <c r="F1070" s="49">
        <f>IF(expected_production[[#This Row],[Age (yrs)]]="",1,(1-DegradationRate)^expected_production[[#This Row],[Age (yrs)]])</f>
        <v>0.98204625255292033</v>
      </c>
      <c r="G1070" s="52">
        <f>IF(expected_production[[#This Row],[Base Expected (kWh)]]="","",expected_production[[#This Row],[Base Expected (kWh)]]*expected_production[[#This Row],[Degradation Factor]])</f>
        <v>15969.680957851551</v>
      </c>
    </row>
    <row r="1071" spans="1:7" ht="15" hidden="1" customHeight="1" x14ac:dyDescent="0.3">
      <c r="A1071" t="s">
        <v>236</v>
      </c>
      <c r="B1071" s="2">
        <v>46023</v>
      </c>
      <c r="C1071" s="52" cm="1">
        <f t="array" ref="C1071">IFERROR(INDEX('Expected Production'!$C$2:$N$79,MATCH($A1071,'Expected Production'!$A$2:$A$79,0),MONTH($B1071)),"")</f>
        <v>16602.939455286778</v>
      </c>
      <c r="D1071" s="48">
        <f>_xlfn.XLOOKUP(expected_production[[#This Row],[Site Name]],Table1[[Site Name ]],Table1[Commisioned Date],"")</f>
        <v>45050</v>
      </c>
      <c r="E1071" s="47">
        <f>IF(ISNUMBER(expected_production[[#This Row],[Commissioned Date]]),MAX(0,(expected_production[[#This Row],[Date]]-expected_production[[#This Row],[Commissioned Date]])/365.25),"")</f>
        <v>2.6639288158795345</v>
      </c>
      <c r="F1071" s="49">
        <f>IF(expected_production[[#This Row],[Age (yrs)]]="",1,(1-DegradationRate)^expected_production[[#This Row],[Age (yrs)]])</f>
        <v>0.98146092835666854</v>
      </c>
      <c r="G1071" s="52">
        <f>IF(expected_production[[#This Row],[Base Expected (kWh)]]="","",expected_production[[#This Row],[Base Expected (kWh)]]*expected_production[[#This Row],[Degradation Factor]])</f>
        <v>16295.136371235321</v>
      </c>
    </row>
    <row r="1072" spans="1:7" ht="15" hidden="1" customHeight="1" x14ac:dyDescent="0.3">
      <c r="A1072" t="s">
        <v>236</v>
      </c>
      <c r="B1072" s="2">
        <v>46054</v>
      </c>
      <c r="C1072" s="52" cm="1">
        <f t="array" ref="C1072">IFERROR(INDEX('Expected Production'!$C$2:$N$79,MATCH($A1072,'Expected Production'!$A$2:$A$79,0),MONTH($B1072)),"")</f>
        <v>14966.051031447027</v>
      </c>
      <c r="D1072" s="48">
        <f>_xlfn.XLOOKUP(expected_production[[#This Row],[Site Name]],Table1[[Site Name ]],Table1[Commisioned Date],"")</f>
        <v>45050</v>
      </c>
      <c r="E1072" s="47">
        <f>IF(ISNUMBER(expected_production[[#This Row],[Commissioned Date]]),MAX(0,(expected_production[[#This Row],[Date]]-expected_production[[#This Row],[Commissioned Date]])/365.25),"")</f>
        <v>2.7488021902806299</v>
      </c>
      <c r="F1072" s="49">
        <f>IF(expected_production[[#This Row],[Age (yrs)]]="",1,(1-DegradationRate)^expected_production[[#This Row],[Age (yrs)]])</f>
        <v>0.98087595302831754</v>
      </c>
      <c r="G1072" s="52">
        <f>IF(expected_production[[#This Row],[Base Expected (kWh)]]="","",expected_production[[#This Row],[Base Expected (kWh)]]*expected_production[[#This Row],[Degradation Factor]])</f>
        <v>14679.839568541038</v>
      </c>
    </row>
    <row r="1073" spans="1:7" ht="15" hidden="1" customHeight="1" x14ac:dyDescent="0.3">
      <c r="A1073" t="s">
        <v>236</v>
      </c>
      <c r="B1073" s="2">
        <v>46082</v>
      </c>
      <c r="C1073" s="52" cm="1">
        <f t="array" ref="C1073">IFERROR(INDEX('Expected Production'!$C$2:$N$79,MATCH($A1073,'Expected Production'!$A$2:$A$79,0),MONTH($B1073)),"")</f>
        <v>16335.485545927229</v>
      </c>
      <c r="D1073" s="48">
        <f>_xlfn.XLOOKUP(expected_production[[#This Row],[Site Name]],Table1[[Site Name ]],Table1[Commisioned Date],"")</f>
        <v>45050</v>
      </c>
      <c r="E1073" s="47">
        <f>IF(ISNUMBER(expected_production[[#This Row],[Commissioned Date]]),MAX(0,(expected_production[[#This Row],[Date]]-expected_production[[#This Row],[Commissioned Date]])/365.25),"")</f>
        <v>2.8254620123203287</v>
      </c>
      <c r="F1073" s="49">
        <f>IF(expected_production[[#This Row],[Age (yrs)]]="",1,(1-DegradationRate)^expected_production[[#This Row],[Age (yrs)]])</f>
        <v>0.9803478879020554</v>
      </c>
      <c r="G1073" s="52">
        <f>IF(expected_production[[#This Row],[Base Expected (kWh)]]="","",expected_production[[#This Row],[Base Expected (kWh)]]*expected_production[[#This Row],[Degradation Factor]])</f>
        <v>16014.458752804314</v>
      </c>
    </row>
    <row r="1074" spans="1:7" ht="15" hidden="1" customHeight="1" x14ac:dyDescent="0.3">
      <c r="A1074" t="s">
        <v>236</v>
      </c>
      <c r="B1074" s="2">
        <v>46113</v>
      </c>
      <c r="C1074" s="52" cm="1">
        <f t="array" ref="C1074">IFERROR(INDEX('Expected Production'!$C$2:$N$79,MATCH($A1074,'Expected Production'!$A$2:$A$79,0),MONTH($B1074)),"")</f>
        <v>15100.35078692115</v>
      </c>
      <c r="D1074" s="48">
        <f>_xlfn.XLOOKUP(expected_production[[#This Row],[Site Name]],Table1[[Site Name ]],Table1[Commisioned Date],"")</f>
        <v>45050</v>
      </c>
      <c r="E1074" s="47">
        <f>IF(ISNUMBER(expected_production[[#This Row],[Commissioned Date]]),MAX(0,(expected_production[[#This Row],[Date]]-expected_production[[#This Row],[Commissioned Date]])/365.25),"")</f>
        <v>2.9103353867214237</v>
      </c>
      <c r="F1074" s="49">
        <f>IF(expected_production[[#This Row],[Age (yrs)]]="",1,(1-DegradationRate)^expected_production[[#This Row],[Age (yrs)]])</f>
        <v>0.97976357597373054</v>
      </c>
      <c r="G1074" s="52">
        <f>IF(expected_production[[#This Row],[Base Expected (kWh)]]="","",expected_production[[#This Row],[Base Expected (kWh)]]*expected_production[[#This Row],[Degradation Factor]])</f>
        <v>14794.773685451602</v>
      </c>
    </row>
    <row r="1075" spans="1:7" ht="15" hidden="1" customHeight="1" x14ac:dyDescent="0.3">
      <c r="A1075" t="s">
        <v>236</v>
      </c>
      <c r="B1075" s="2">
        <v>46143</v>
      </c>
      <c r="C1075" s="52" cm="1">
        <f t="array" ref="C1075">IFERROR(INDEX('Expected Production'!$C$2:$N$79,MATCH($A1075,'Expected Production'!$A$2:$A$79,0),MONTH($B1075)),"")</f>
        <v>15271.045423635958</v>
      </c>
      <c r="D1075" s="48">
        <f>_xlfn.XLOOKUP(expected_production[[#This Row],[Site Name]],Table1[[Site Name ]],Table1[Commisioned Date],"")</f>
        <v>45050</v>
      </c>
      <c r="E1075" s="47">
        <f>IF(ISNUMBER(expected_production[[#This Row],[Commissioned Date]]),MAX(0,(expected_production[[#This Row],[Date]]-expected_production[[#This Row],[Commissioned Date]])/365.25),"")</f>
        <v>2.9924709103353866</v>
      </c>
      <c r="F1075" s="49">
        <f>IF(expected_production[[#This Row],[Age (yrs)]]="",1,(1-DegradationRate)^expected_production[[#This Row],[Age (yrs)]])</f>
        <v>0.97919844441366433</v>
      </c>
      <c r="G1075" s="52">
        <f>IF(expected_production[[#This Row],[Base Expected (kWh)]]="","",expected_production[[#This Row],[Base Expected (kWh)]]*expected_production[[#This Row],[Degradation Factor]])</f>
        <v>14953.383923394738</v>
      </c>
    </row>
    <row r="1076" spans="1:7" ht="15" hidden="1" customHeight="1" x14ac:dyDescent="0.3">
      <c r="A1076" t="s">
        <v>236</v>
      </c>
      <c r="B1076" s="2">
        <v>46174</v>
      </c>
      <c r="C1076" s="52" cm="1">
        <f t="array" ref="C1076">IFERROR(INDEX('Expected Production'!$C$2:$N$79,MATCH($A1076,'Expected Production'!$A$2:$A$79,0),MONTH($B1076)),"")</f>
        <v>14168.00734012575</v>
      </c>
      <c r="D1076" s="48">
        <f>_xlfn.XLOOKUP(expected_production[[#This Row],[Site Name]],Table1[[Site Name ]],Table1[Commisioned Date],"")</f>
        <v>45050</v>
      </c>
      <c r="E1076" s="47">
        <f>IF(ISNUMBER(expected_production[[#This Row],[Commissioned Date]]),MAX(0,(expected_production[[#This Row],[Date]]-expected_production[[#This Row],[Commissioned Date]])/365.25),"")</f>
        <v>3.077344284736482</v>
      </c>
      <c r="F1076" s="49">
        <f>IF(expected_production[[#This Row],[Age (yrs)]]="",1,(1-DegradationRate)^expected_production[[#This Row],[Age (yrs)]])</f>
        <v>0.97861481758248647</v>
      </c>
      <c r="G1076" s="52">
        <f>IF(expected_production[[#This Row],[Base Expected (kWh)]]="","",expected_production[[#This Row],[Base Expected (kWh)]]*expected_production[[#This Row],[Degradation Factor]])</f>
        <v>13865.02191866449</v>
      </c>
    </row>
    <row r="1077" spans="1:7" ht="15" hidden="1" customHeight="1" x14ac:dyDescent="0.3">
      <c r="A1077" t="s">
        <v>236</v>
      </c>
      <c r="B1077" s="2">
        <v>46204</v>
      </c>
      <c r="C1077" s="52" cm="1">
        <f t="array" ref="C1077">IFERROR(INDEX('Expected Production'!$C$2:$N$79,MATCH($A1077,'Expected Production'!$A$2:$A$79,0),MONTH($B1077)),"")</f>
        <v>15171.289962220802</v>
      </c>
      <c r="D1077" s="48">
        <f>_xlfn.XLOOKUP(expected_production[[#This Row],[Site Name]],Table1[[Site Name ]],Table1[Commisioned Date],"")</f>
        <v>45050</v>
      </c>
      <c r="E1077" s="47">
        <f>IF(ISNUMBER(expected_production[[#This Row],[Commissioned Date]]),MAX(0,(expected_production[[#This Row],[Date]]-expected_production[[#This Row],[Commissioned Date]])/365.25),"")</f>
        <v>3.159479808350445</v>
      </c>
      <c r="F1077" s="49">
        <f>IF(expected_production[[#This Row],[Age (yrs)]]="",1,(1-DegradationRate)^expected_production[[#This Row],[Age (yrs)]])</f>
        <v>0.97805034863086748</v>
      </c>
      <c r="G1077" s="52">
        <f>IF(expected_production[[#This Row],[Base Expected (kWh)]]="","",expected_production[[#This Row],[Base Expected (kWh)]]*expected_production[[#This Row],[Degradation Factor]])</f>
        <v>14838.285436730037</v>
      </c>
    </row>
    <row r="1078" spans="1:7" ht="15" hidden="1" customHeight="1" x14ac:dyDescent="0.3">
      <c r="A1078" t="s">
        <v>236</v>
      </c>
      <c r="B1078" s="2">
        <v>46235</v>
      </c>
      <c r="C1078" s="52" cm="1">
        <f t="array" ref="C1078">IFERROR(INDEX('Expected Production'!$C$2:$N$79,MATCH($A1078,'Expected Production'!$A$2:$A$79,0),MONTH($B1078)),"")</f>
        <v>16365.447433631431</v>
      </c>
      <c r="D1078" s="48">
        <f>_xlfn.XLOOKUP(expected_production[[#This Row],[Site Name]],Table1[[Site Name ]],Table1[Commisioned Date],"")</f>
        <v>45050</v>
      </c>
      <c r="E1078" s="47">
        <f>IF(ISNUMBER(expected_production[[#This Row],[Commissioned Date]]),MAX(0,(expected_production[[#This Row],[Date]]-expected_production[[#This Row],[Commissioned Date]])/365.25),"")</f>
        <v>3.2443531827515399</v>
      </c>
      <c r="F1078" s="49">
        <f>IF(expected_production[[#This Row],[Age (yrs)]]="",1,(1-DegradationRate)^expected_production[[#This Row],[Age (yrs)]])</f>
        <v>0.97746740609357052</v>
      </c>
      <c r="G1078" s="52">
        <f>IF(expected_production[[#This Row],[Base Expected (kWh)]]="","",expected_production[[#This Row],[Base Expected (kWh)]]*expected_production[[#This Row],[Degradation Factor]])</f>
        <v>15996.691452512396</v>
      </c>
    </row>
    <row r="1079" spans="1:7" ht="15" hidden="1" customHeight="1" x14ac:dyDescent="0.3">
      <c r="A1079" t="s">
        <v>236</v>
      </c>
      <c r="B1079" s="2">
        <v>46266</v>
      </c>
      <c r="C1079" s="52" cm="1">
        <f t="array" ref="C1079">IFERROR(INDEX('Expected Production'!$C$2:$N$79,MATCH($A1079,'Expected Production'!$A$2:$A$79,0),MONTH($B1079)),"")</f>
        <v>16283.93347443618</v>
      </c>
      <c r="D1079" s="48">
        <f>_xlfn.XLOOKUP(expected_production[[#This Row],[Site Name]],Table1[[Site Name ]],Table1[Commisioned Date],"")</f>
        <v>45050</v>
      </c>
      <c r="E1079" s="47">
        <f>IF(ISNUMBER(expected_production[[#This Row],[Commissioned Date]]),MAX(0,(expected_production[[#This Row],[Date]]-expected_production[[#This Row],[Commissioned Date]])/365.25),"")</f>
        <v>3.3292265571526354</v>
      </c>
      <c r="F1079" s="49">
        <f>IF(expected_production[[#This Row],[Age (yrs)]]="",1,(1-DegradationRate)^expected_production[[#This Row],[Age (yrs)]])</f>
        <v>0.97688481100464597</v>
      </c>
      <c r="G1079" s="52">
        <f>IF(expected_production[[#This Row],[Base Expected (kWh)]]="","",expected_production[[#This Row],[Base Expected (kWh)]]*expected_production[[#This Row],[Degradation Factor]])</f>
        <v>15907.527274586817</v>
      </c>
    </row>
    <row r="1080" spans="1:7" ht="15" hidden="1" customHeight="1" x14ac:dyDescent="0.3">
      <c r="A1080" t="s">
        <v>236</v>
      </c>
      <c r="B1080" s="2">
        <v>46296</v>
      </c>
      <c r="C1080" s="52" cm="1">
        <f t="array" ref="C1080">IFERROR(INDEX('Expected Production'!$C$2:$N$79,MATCH($A1080,'Expected Production'!$A$2:$A$79,0),MONTH($B1080)),"")</f>
        <v>15891.080252714639</v>
      </c>
      <c r="D1080" s="48">
        <f>_xlfn.XLOOKUP(expected_production[[#This Row],[Site Name]],Table1[[Site Name ]],Table1[Commisioned Date],"")</f>
        <v>45050</v>
      </c>
      <c r="E1080" s="47">
        <f>IF(ISNUMBER(expected_production[[#This Row],[Commissioned Date]]),MAX(0,(expected_production[[#This Row],[Date]]-expected_production[[#This Row],[Commissioned Date]])/365.25),"")</f>
        <v>3.4113620807665983</v>
      </c>
      <c r="F1080" s="49">
        <f>IF(expected_production[[#This Row],[Age (yrs)]]="",1,(1-DegradationRate)^expected_production[[#This Row],[Age (yrs)]])</f>
        <v>0.97632133992775949</v>
      </c>
      <c r="G1080" s="52">
        <f>IF(expected_production[[#This Row],[Base Expected (kWh)]]="","",expected_production[[#This Row],[Base Expected (kWh)]]*expected_production[[#This Row],[Degradation Factor]])</f>
        <v>15514.800765229915</v>
      </c>
    </row>
    <row r="1081" spans="1:7" ht="15" hidden="1" customHeight="1" x14ac:dyDescent="0.3">
      <c r="A1081" t="s">
        <v>236</v>
      </c>
      <c r="B1081" s="2">
        <v>46327</v>
      </c>
      <c r="C1081" s="52" cm="1">
        <f t="array" ref="C1081">IFERROR(INDEX('Expected Production'!$C$2:$N$79,MATCH($A1081,'Expected Production'!$A$2:$A$79,0),MONTH($B1081)),"")</f>
        <v>15343.218323723426</v>
      </c>
      <c r="D1081" s="48">
        <f>_xlfn.XLOOKUP(expected_production[[#This Row],[Site Name]],Table1[[Site Name ]],Table1[Commisioned Date],"")</f>
        <v>45050</v>
      </c>
      <c r="E1081" s="47">
        <f>IF(ISNUMBER(expected_production[[#This Row],[Commissioned Date]]),MAX(0,(expected_production[[#This Row],[Date]]-expected_production[[#This Row],[Commissioned Date]])/365.25),"")</f>
        <v>3.4962354551676933</v>
      </c>
      <c r="F1081" s="49">
        <f>IF(expected_production[[#This Row],[Age (yrs)]]="",1,(1-DegradationRate)^expected_production[[#This Row],[Age (yrs)]])</f>
        <v>0.97573942792301316</v>
      </c>
      <c r="G1081" s="52">
        <f>IF(expected_production[[#This Row],[Base Expected (kWh)]]="","",expected_production[[#This Row],[Base Expected (kWh)]]*expected_production[[#This Row],[Degradation Factor]])</f>
        <v>14970.983069687789</v>
      </c>
    </row>
    <row r="1082" spans="1:7" ht="15" hidden="1" customHeight="1" x14ac:dyDescent="0.3">
      <c r="A1082" t="s">
        <v>236</v>
      </c>
      <c r="B1082" s="2">
        <v>46357</v>
      </c>
      <c r="C1082" s="52" cm="1">
        <f t="array" ref="C1082">IFERROR(INDEX('Expected Production'!$C$2:$N$79,MATCH($A1082,'Expected Production'!$A$2:$A$79,0),MONTH($B1082)),"")</f>
        <v>16261.638305056289</v>
      </c>
      <c r="D1082" s="48">
        <f>_xlfn.XLOOKUP(expected_production[[#This Row],[Site Name]],Table1[[Site Name ]],Table1[Commisioned Date],"")</f>
        <v>45050</v>
      </c>
      <c r="E1082" s="47">
        <f>IF(ISNUMBER(expected_production[[#This Row],[Commissioned Date]]),MAX(0,(expected_production[[#This Row],[Date]]-expected_production[[#This Row],[Commissioned Date]])/365.25),"")</f>
        <v>3.5783709787816562</v>
      </c>
      <c r="F1082" s="49">
        <f>IF(expected_production[[#This Row],[Age (yrs)]]="",1,(1-DegradationRate)^expected_production[[#This Row],[Age (yrs)]])</f>
        <v>0.97517661750768181</v>
      </c>
      <c r="G1082" s="52">
        <f>IF(expected_production[[#This Row],[Base Expected (kWh)]]="","",expected_production[[#This Row],[Base Expected (kWh)]]*expected_production[[#This Row],[Degradation Factor]])</f>
        <v>15857.969437458143</v>
      </c>
    </row>
    <row r="1083" spans="1:7" ht="15" hidden="1" customHeight="1" x14ac:dyDescent="0.3">
      <c r="A1083" t="s">
        <v>122</v>
      </c>
      <c r="B1083" s="2">
        <v>45292</v>
      </c>
      <c r="C1083" s="52">
        <v>22241.7</v>
      </c>
      <c r="D1083" s="48">
        <f>_xlfn.XLOOKUP(expected_production[[#This Row],[Site Name]],Table1[[Site Name ]],Table1[Commisioned Date],"")</f>
        <v>44879</v>
      </c>
      <c r="E1083" s="47">
        <f>IF(ISNUMBER(expected_production[[#This Row],[Commissioned Date]]),MAX(0,(expected_production[[#This Row],[Date]]-expected_production[[#This Row],[Commissioned Date]])/365.25),"")</f>
        <v>1.1307323750855578</v>
      </c>
      <c r="F1083" s="49">
        <f>IF(expected_production[[#This Row],[Age (yrs)]]="",1,(1-DegradationRate)^expected_production[[#This Row],[Age (yrs)]])</f>
        <v>0.99208850241589208</v>
      </c>
      <c r="G1083" s="52">
        <f>IF(expected_production[[#This Row],[Base Expected (kWh)]]="","",expected_production[[#This Row],[Base Expected (kWh)]]*expected_production[[#This Row],[Degradation Factor]])</f>
        <v>22065.734844183549</v>
      </c>
    </row>
    <row r="1084" spans="1:7" ht="15" hidden="1" customHeight="1" x14ac:dyDescent="0.3">
      <c r="A1084" t="s">
        <v>122</v>
      </c>
      <c r="B1084" s="2">
        <v>45323</v>
      </c>
      <c r="C1084" s="52">
        <v>19450.8</v>
      </c>
      <c r="D1084" s="48">
        <f>_xlfn.XLOOKUP(expected_production[[#This Row],[Site Name]],Table1[[Site Name ]],Table1[Commisioned Date],"")</f>
        <v>44879</v>
      </c>
      <c r="E1084" s="47">
        <f>IF(ISNUMBER(expected_production[[#This Row],[Commissioned Date]]),MAX(0,(expected_production[[#This Row],[Date]]-expected_production[[#This Row],[Commissioned Date]])/365.25),"")</f>
        <v>1.215605749486653</v>
      </c>
      <c r="F1084" s="49">
        <f>IF(expected_production[[#This Row],[Age (yrs)]]="",1,(1-DegradationRate)^expected_production[[#This Row],[Age (yrs)]])</f>
        <v>0.99149719278686221</v>
      </c>
      <c r="G1084" s="52">
        <f>IF(expected_production[[#This Row],[Base Expected (kWh)]]="","",expected_production[[#This Row],[Base Expected (kWh)]]*expected_production[[#This Row],[Degradation Factor]])</f>
        <v>19285.413597458697</v>
      </c>
    </row>
    <row r="1085" spans="1:7" ht="15" hidden="1" customHeight="1" x14ac:dyDescent="0.3">
      <c r="A1085" t="s">
        <v>122</v>
      </c>
      <c r="B1085" s="2">
        <v>45352</v>
      </c>
      <c r="C1085" s="52">
        <v>19575</v>
      </c>
      <c r="D1085" s="48">
        <f>_xlfn.XLOOKUP(expected_production[[#This Row],[Site Name]],Table1[[Site Name ]],Table1[Commisioned Date],"")</f>
        <v>44879</v>
      </c>
      <c r="E1085" s="47">
        <f>IF(ISNUMBER(expected_production[[#This Row],[Commissioned Date]]),MAX(0,(expected_production[[#This Row],[Date]]-expected_production[[#This Row],[Commissioned Date]])/365.25),"")</f>
        <v>1.2950034223134839</v>
      </c>
      <c r="F1085" s="49">
        <f>IF(expected_production[[#This Row],[Age (yrs)]]="",1,(1-DegradationRate)^expected_production[[#This Row],[Age (yrs)]])</f>
        <v>0.99094435123244384</v>
      </c>
      <c r="G1085" s="52">
        <f>IF(expected_production[[#This Row],[Base Expected (kWh)]]="","",expected_production[[#This Row],[Base Expected (kWh)]]*expected_production[[#This Row],[Degradation Factor]])</f>
        <v>19397.735675375086</v>
      </c>
    </row>
    <row r="1086" spans="1:7" ht="15" hidden="1" customHeight="1" x14ac:dyDescent="0.3">
      <c r="A1086" t="s">
        <v>122</v>
      </c>
      <c r="B1086" s="2">
        <v>45383</v>
      </c>
      <c r="C1086" s="52">
        <v>15792.3</v>
      </c>
      <c r="D1086" s="48">
        <f>_xlfn.XLOOKUP(expected_production[[#This Row],[Site Name]],Table1[[Site Name ]],Table1[Commisioned Date],"")</f>
        <v>44879</v>
      </c>
      <c r="E1086" s="47">
        <f>IF(ISNUMBER(expected_production[[#This Row],[Commissioned Date]]),MAX(0,(expected_production[[#This Row],[Date]]-expected_production[[#This Row],[Commissioned Date]])/365.25),"")</f>
        <v>1.3798767967145791</v>
      </c>
      <c r="F1086" s="49">
        <f>IF(expected_production[[#This Row],[Age (yrs)]]="",1,(1-DegradationRate)^expected_production[[#This Row],[Age (yrs)]])</f>
        <v>0.99035372354621454</v>
      </c>
      <c r="G1086" s="52">
        <f>IF(expected_production[[#This Row],[Base Expected (kWh)]]="","",expected_production[[#This Row],[Base Expected (kWh)]]*expected_production[[#This Row],[Degradation Factor]])</f>
        <v>15639.963108358883</v>
      </c>
    </row>
    <row r="1087" spans="1:7" ht="15" hidden="1" customHeight="1" x14ac:dyDescent="0.3">
      <c r="A1087" t="s">
        <v>122</v>
      </c>
      <c r="B1087" s="2">
        <v>45413</v>
      </c>
      <c r="C1087" s="52">
        <v>13477.5</v>
      </c>
      <c r="D1087" s="48">
        <f>_xlfn.XLOOKUP(expected_production[[#This Row],[Site Name]],Table1[[Site Name ]],Table1[Commisioned Date],"")</f>
        <v>44879</v>
      </c>
      <c r="E1087" s="47">
        <f>IF(ISNUMBER(expected_production[[#This Row],[Commissioned Date]]),MAX(0,(expected_production[[#This Row],[Date]]-expected_production[[#This Row],[Commissioned Date]])/365.25),"")</f>
        <v>1.462012320328542</v>
      </c>
      <c r="F1087" s="49">
        <f>IF(expected_production[[#This Row],[Age (yrs)]]="",1,(1-DegradationRate)^expected_production[[#This Row],[Age (yrs)]])</f>
        <v>0.98978248354655562</v>
      </c>
      <c r="G1087" s="52">
        <f>IF(expected_production[[#This Row],[Base Expected (kWh)]]="","",expected_production[[#This Row],[Base Expected (kWh)]]*expected_production[[#This Row],[Degradation Factor]])</f>
        <v>13339.793421998704</v>
      </c>
    </row>
    <row r="1088" spans="1:7" ht="15" hidden="1" customHeight="1" x14ac:dyDescent="0.3">
      <c r="A1088" t="s">
        <v>122</v>
      </c>
      <c r="B1088" s="2">
        <v>45444</v>
      </c>
      <c r="C1088" s="52">
        <v>12124.8</v>
      </c>
      <c r="D1088" s="48">
        <f>_xlfn.XLOOKUP(expected_production[[#This Row],[Site Name]],Table1[[Site Name ]],Table1[Commisioned Date],"")</f>
        <v>44879</v>
      </c>
      <c r="E1088" s="47">
        <f>IF(ISNUMBER(expected_production[[#This Row],[Commissioned Date]]),MAX(0,(expected_production[[#This Row],[Date]]-expected_production[[#This Row],[Commissioned Date]])/365.25),"")</f>
        <v>1.5468856947296372</v>
      </c>
      <c r="F1088" s="49">
        <f>IF(expected_production[[#This Row],[Age (yrs)]]="",1,(1-DegradationRate)^expected_production[[#This Row],[Age (yrs)]])</f>
        <v>0.98919254836260684</v>
      </c>
      <c r="G1088" s="52">
        <f>IF(expected_production[[#This Row],[Base Expected (kWh)]]="","",expected_production[[#This Row],[Base Expected (kWh)]]*expected_production[[#This Row],[Degradation Factor]])</f>
        <v>11993.761810386935</v>
      </c>
    </row>
    <row r="1089" spans="1:7" ht="15" hidden="1" customHeight="1" x14ac:dyDescent="0.3">
      <c r="A1089" t="s">
        <v>122</v>
      </c>
      <c r="B1089" s="2">
        <v>45474</v>
      </c>
      <c r="C1089" s="52">
        <v>13099.5</v>
      </c>
      <c r="D1089" s="48">
        <f>_xlfn.XLOOKUP(expected_production[[#This Row],[Site Name]],Table1[[Site Name ]],Table1[Commisioned Date],"")</f>
        <v>44879</v>
      </c>
      <c r="E1089" s="47">
        <f>IF(ISNUMBER(expected_production[[#This Row],[Commissioned Date]]),MAX(0,(expected_production[[#This Row],[Date]]-expected_production[[#This Row],[Commissioned Date]])/365.25),"")</f>
        <v>1.6290212183436004</v>
      </c>
      <c r="F1089" s="49">
        <f>IF(expected_production[[#This Row],[Age (yrs)]]="",1,(1-DegradationRate)^expected_production[[#This Row],[Age (yrs)]])</f>
        <v>0.98862197813345076</v>
      </c>
      <c r="G1089" s="52">
        <f>IF(expected_production[[#This Row],[Base Expected (kWh)]]="","",expected_production[[#This Row],[Base Expected (kWh)]]*expected_production[[#This Row],[Degradation Factor]])</f>
        <v>12950.453602559139</v>
      </c>
    </row>
    <row r="1090" spans="1:7" ht="15" hidden="1" customHeight="1" x14ac:dyDescent="0.3">
      <c r="A1090" t="s">
        <v>122</v>
      </c>
      <c r="B1090" s="2">
        <v>45505</v>
      </c>
      <c r="C1090" s="52">
        <v>15450.3</v>
      </c>
      <c r="D1090" s="48">
        <f>_xlfn.XLOOKUP(expected_production[[#This Row],[Site Name]],Table1[[Site Name ]],Table1[Commisioned Date],"")</f>
        <v>44879</v>
      </c>
      <c r="E1090" s="47">
        <f>IF(ISNUMBER(expected_production[[#This Row],[Commissioned Date]]),MAX(0,(expected_production[[#This Row],[Date]]-expected_production[[#This Row],[Commissioned Date]])/365.25),"")</f>
        <v>1.7138945927446954</v>
      </c>
      <c r="F1090" s="49">
        <f>IF(expected_production[[#This Row],[Age (yrs)]]="",1,(1-DegradationRate)^expected_production[[#This Row],[Age (yrs)]])</f>
        <v>0.98803273463983365</v>
      </c>
      <c r="G1090" s="52">
        <f>IF(expected_production[[#This Row],[Base Expected (kWh)]]="","",expected_production[[#This Row],[Base Expected (kWh)]]*expected_production[[#This Row],[Degradation Factor]])</f>
        <v>15265.40216000582</v>
      </c>
    </row>
    <row r="1091" spans="1:7" ht="15" hidden="1" customHeight="1" x14ac:dyDescent="0.3">
      <c r="A1091" t="s">
        <v>122</v>
      </c>
      <c r="B1091" s="2">
        <v>45536</v>
      </c>
      <c r="C1091" s="52">
        <v>16583.400000000001</v>
      </c>
      <c r="D1091" s="48">
        <f>_xlfn.XLOOKUP(expected_production[[#This Row],[Site Name]],Table1[[Site Name ]],Table1[Commisioned Date],"")</f>
        <v>44879</v>
      </c>
      <c r="E1091" s="47">
        <f>IF(ISNUMBER(expected_production[[#This Row],[Commissioned Date]]),MAX(0,(expected_production[[#This Row],[Date]]-expected_production[[#This Row],[Commissioned Date]])/365.25),"")</f>
        <v>1.7987679671457906</v>
      </c>
      <c r="F1091" s="49">
        <f>IF(expected_production[[#This Row],[Age (yrs)]]="",1,(1-DegradationRate)^expected_production[[#This Row],[Age (yrs)]])</f>
        <v>0.98744384235011706</v>
      </c>
      <c r="G1091" s="52">
        <f>IF(expected_production[[#This Row],[Base Expected (kWh)]]="","",expected_production[[#This Row],[Base Expected (kWh)]]*expected_production[[#This Row],[Degradation Factor]])</f>
        <v>16375.176215228932</v>
      </c>
    </row>
    <row r="1092" spans="1:7" ht="15" hidden="1" customHeight="1" x14ac:dyDescent="0.3">
      <c r="A1092" t="s">
        <v>122</v>
      </c>
      <c r="B1092" s="2">
        <v>45566</v>
      </c>
      <c r="C1092" s="52">
        <v>19432.8</v>
      </c>
      <c r="D1092" s="48">
        <f>_xlfn.XLOOKUP(expected_production[[#This Row],[Site Name]],Table1[[Site Name ]],Table1[Commisioned Date],"")</f>
        <v>44879</v>
      </c>
      <c r="E1092" s="47">
        <f>IF(ISNUMBER(expected_production[[#This Row],[Commissioned Date]]),MAX(0,(expected_production[[#This Row],[Date]]-expected_production[[#This Row],[Commissioned Date]])/365.25),"")</f>
        <v>1.8809034907597535</v>
      </c>
      <c r="F1092" s="49">
        <f>IF(expected_production[[#This Row],[Age (yrs)]]="",1,(1-DegradationRate)^expected_production[[#This Row],[Age (yrs)]])</f>
        <v>0.98687428078160233</v>
      </c>
      <c r="G1092" s="52">
        <f>IF(expected_production[[#This Row],[Base Expected (kWh)]]="","",expected_production[[#This Row],[Base Expected (kWh)]]*expected_production[[#This Row],[Degradation Factor]])</f>
        <v>19177.730523572722</v>
      </c>
    </row>
    <row r="1093" spans="1:7" ht="15" hidden="1" customHeight="1" x14ac:dyDescent="0.3">
      <c r="A1093" t="s">
        <v>122</v>
      </c>
      <c r="B1093" s="2">
        <v>45597</v>
      </c>
      <c r="C1093" s="52">
        <v>20010.599999999999</v>
      </c>
      <c r="D1093" s="48">
        <f>_xlfn.XLOOKUP(expected_production[[#This Row],[Site Name]],Table1[[Site Name ]],Table1[Commisioned Date],"")</f>
        <v>44879</v>
      </c>
      <c r="E1093" s="47">
        <f>IF(ISNUMBER(expected_production[[#This Row],[Commissioned Date]]),MAX(0,(expected_production[[#This Row],[Date]]-expected_production[[#This Row],[Commissioned Date]])/365.25),"")</f>
        <v>1.9657768651608487</v>
      </c>
      <c r="F1093" s="49">
        <f>IF(expected_production[[#This Row],[Age (yrs)]]="",1,(1-DegradationRate)^expected_production[[#This Row],[Age (yrs)]])</f>
        <v>0.98628607895943921</v>
      </c>
      <c r="G1093" s="52">
        <f>IF(expected_production[[#This Row],[Base Expected (kWh)]]="","",expected_production[[#This Row],[Base Expected (kWh)]]*expected_production[[#This Row],[Degradation Factor]])</f>
        <v>19736.176211625752</v>
      </c>
    </row>
    <row r="1094" spans="1:7" ht="15" hidden="1" customHeight="1" x14ac:dyDescent="0.3">
      <c r="A1094" t="s">
        <v>122</v>
      </c>
      <c r="B1094" s="2">
        <v>45627</v>
      </c>
      <c r="C1094" s="52">
        <v>22485.599999999999</v>
      </c>
      <c r="D1094" s="48">
        <f>_xlfn.XLOOKUP(expected_production[[#This Row],[Site Name]],Table1[[Site Name ]],Table1[Commisioned Date],"")</f>
        <v>44879</v>
      </c>
      <c r="E1094" s="47">
        <f>IF(ISNUMBER(expected_production[[#This Row],[Commissioned Date]]),MAX(0,(expected_production[[#This Row],[Date]]-expected_production[[#This Row],[Commissioned Date]])/365.25),"")</f>
        <v>2.0479123887748116</v>
      </c>
      <c r="F1094" s="49">
        <f>IF(expected_production[[#This Row],[Age (yrs)]]="",1,(1-DegradationRate)^expected_production[[#This Row],[Age (yrs)]])</f>
        <v>0.98571718519349161</v>
      </c>
      <c r="G1094" s="52">
        <f>IF(expected_production[[#This Row],[Base Expected (kWh)]]="","",expected_production[[#This Row],[Base Expected (kWh)]]*expected_production[[#This Row],[Degradation Factor]])</f>
        <v>22164.442339386773</v>
      </c>
    </row>
    <row r="1095" spans="1:7" ht="15" hidden="1" customHeight="1" x14ac:dyDescent="0.3">
      <c r="A1095" t="s">
        <v>122</v>
      </c>
      <c r="B1095" s="2">
        <v>45658</v>
      </c>
      <c r="C1095" s="52">
        <v>22241.7</v>
      </c>
      <c r="D1095" s="48">
        <f>_xlfn.XLOOKUP(expected_production[[#This Row],[Site Name]],Table1[[Site Name ]],Table1[Commisioned Date],"")</f>
        <v>44879</v>
      </c>
      <c r="E1095" s="47">
        <f>IF(ISNUMBER(expected_production[[#This Row],[Commissioned Date]]),MAX(0,(expected_production[[#This Row],[Date]]-expected_production[[#This Row],[Commissioned Date]])/365.25),"")</f>
        <v>2.1327857631759071</v>
      </c>
      <c r="F1095" s="49">
        <f>IF(expected_production[[#This Row],[Age (yrs)]]="",1,(1-DegradationRate)^expected_production[[#This Row],[Age (yrs)]])</f>
        <v>0.98512967302931898</v>
      </c>
      <c r="G1095" s="52">
        <f>IF(expected_production[[#This Row],[Base Expected (kWh)]]="","",expected_production[[#This Row],[Base Expected (kWh)]]*expected_production[[#This Row],[Degradation Factor]])</f>
        <v>21910.958648616204</v>
      </c>
    </row>
    <row r="1096" spans="1:7" ht="15" hidden="1" customHeight="1" x14ac:dyDescent="0.3">
      <c r="A1096" t="s">
        <v>122</v>
      </c>
      <c r="B1096" s="2">
        <v>45689</v>
      </c>
      <c r="C1096" s="52">
        <v>19450.8</v>
      </c>
      <c r="D1096" s="48">
        <f>_xlfn.XLOOKUP(expected_production[[#This Row],[Site Name]],Table1[[Site Name ]],Table1[Commisioned Date],"")</f>
        <v>44879</v>
      </c>
      <c r="E1096" s="47">
        <f>IF(ISNUMBER(expected_production[[#This Row],[Commissioned Date]]),MAX(0,(expected_production[[#This Row],[Date]]-expected_production[[#This Row],[Commissioned Date]])/365.25),"")</f>
        <v>2.2176591375770021</v>
      </c>
      <c r="F1096" s="49">
        <f>IF(expected_production[[#This Row],[Age (yrs)]]="",1,(1-DegradationRate)^expected_production[[#This Row],[Age (yrs)]])</f>
        <v>0.98454251103713097</v>
      </c>
      <c r="G1096" s="52">
        <f>IF(expected_production[[#This Row],[Base Expected (kWh)]]="","",expected_production[[#This Row],[Base Expected (kWh)]]*expected_production[[#This Row],[Degradation Factor]])</f>
        <v>19150.139473681025</v>
      </c>
    </row>
    <row r="1097" spans="1:7" ht="15" hidden="1" customHeight="1" x14ac:dyDescent="0.3">
      <c r="A1097" t="s">
        <v>122</v>
      </c>
      <c r="B1097" s="2">
        <v>45717</v>
      </c>
      <c r="C1097" s="52">
        <v>19575</v>
      </c>
      <c r="D1097" s="48">
        <f>_xlfn.XLOOKUP(expected_production[[#This Row],[Site Name]],Table1[[Site Name ]],Table1[Commisioned Date],"")</f>
        <v>44879</v>
      </c>
      <c r="E1097" s="47">
        <f>IF(ISNUMBER(expected_production[[#This Row],[Commissioned Date]]),MAX(0,(expected_production[[#This Row],[Date]]-expected_production[[#This Row],[Commissioned Date]])/365.25),"")</f>
        <v>2.2943189596167008</v>
      </c>
      <c r="F1097" s="49">
        <f>IF(expected_production[[#This Row],[Age (yrs)]]="",1,(1-DegradationRate)^expected_production[[#This Row],[Age (yrs)]])</f>
        <v>0.98401247197990249</v>
      </c>
      <c r="G1097" s="52">
        <f>IF(expected_production[[#This Row],[Base Expected (kWh)]]="","",expected_production[[#This Row],[Base Expected (kWh)]]*expected_production[[#This Row],[Degradation Factor]])</f>
        <v>19262.04413900659</v>
      </c>
    </row>
    <row r="1098" spans="1:7" ht="15" hidden="1" customHeight="1" x14ac:dyDescent="0.3">
      <c r="A1098" t="s">
        <v>122</v>
      </c>
      <c r="B1098" s="2">
        <v>45748</v>
      </c>
      <c r="C1098" s="52">
        <v>15792.3</v>
      </c>
      <c r="D1098" s="48">
        <f>_xlfn.XLOOKUP(expected_production[[#This Row],[Site Name]],Table1[[Site Name ]],Table1[Commisioned Date],"")</f>
        <v>44879</v>
      </c>
      <c r="E1098" s="47">
        <f>IF(ISNUMBER(expected_production[[#This Row],[Commissioned Date]]),MAX(0,(expected_production[[#This Row],[Date]]-expected_production[[#This Row],[Commissioned Date]])/365.25),"")</f>
        <v>2.3791923340177958</v>
      </c>
      <c r="F1098" s="49">
        <f>IF(expected_production[[#This Row],[Age (yrs)]]="",1,(1-DegradationRate)^expected_production[[#This Row],[Age (yrs)]])</f>
        <v>0.98342597586755942</v>
      </c>
      <c r="G1098" s="52">
        <f>IF(expected_production[[#This Row],[Base Expected (kWh)]]="","",expected_production[[#This Row],[Base Expected (kWh)]]*expected_production[[#This Row],[Degradation Factor]])</f>
        <v>15530.558038693258</v>
      </c>
    </row>
    <row r="1099" spans="1:7" ht="15" hidden="1" customHeight="1" x14ac:dyDescent="0.3">
      <c r="A1099" t="s">
        <v>122</v>
      </c>
      <c r="B1099" s="2">
        <v>45778</v>
      </c>
      <c r="C1099" s="52">
        <v>13477.5</v>
      </c>
      <c r="D1099" s="48">
        <f>_xlfn.XLOOKUP(expected_production[[#This Row],[Site Name]],Table1[[Site Name ]],Table1[Commisioned Date],"")</f>
        <v>44879</v>
      </c>
      <c r="E1099" s="47">
        <f>IF(ISNUMBER(expected_production[[#This Row],[Commissioned Date]]),MAX(0,(expected_production[[#This Row],[Date]]-expected_production[[#This Row],[Commissioned Date]])/365.25),"")</f>
        <v>2.4613278576317592</v>
      </c>
      <c r="F1099" s="49">
        <f>IF(expected_production[[#This Row],[Age (yrs)]]="",1,(1-DegradationRate)^expected_production[[#This Row],[Age (yrs)]])</f>
        <v>0.98285873182054595</v>
      </c>
      <c r="G1099" s="52">
        <f>IF(expected_production[[#This Row],[Base Expected (kWh)]]="","",expected_production[[#This Row],[Base Expected (kWh)]]*expected_production[[#This Row],[Degradation Factor]])</f>
        <v>13246.478558111408</v>
      </c>
    </row>
    <row r="1100" spans="1:7" ht="15" hidden="1" customHeight="1" x14ac:dyDescent="0.3">
      <c r="A1100" t="s">
        <v>122</v>
      </c>
      <c r="B1100" s="2">
        <v>45809</v>
      </c>
      <c r="C1100" s="52">
        <v>12124.8</v>
      </c>
      <c r="D1100" s="48">
        <f>_xlfn.XLOOKUP(expected_production[[#This Row],[Site Name]],Table1[[Site Name ]],Table1[Commisioned Date],"")</f>
        <v>44879</v>
      </c>
      <c r="E1100" s="47">
        <f>IF(ISNUMBER(expected_production[[#This Row],[Commissioned Date]]),MAX(0,(expected_production[[#This Row],[Date]]-expected_production[[#This Row],[Commissioned Date]])/365.25),"")</f>
        <v>2.5462012320328542</v>
      </c>
      <c r="F1100" s="49">
        <f>IF(expected_production[[#This Row],[Age (yrs)]]="",1,(1-DegradationRate)^expected_production[[#This Row],[Age (yrs)]])</f>
        <v>0.98227292336627359</v>
      </c>
      <c r="G1100" s="52">
        <f>IF(expected_production[[#This Row],[Base Expected (kWh)]]="","",expected_production[[#This Row],[Base Expected (kWh)]]*expected_production[[#This Row],[Degradation Factor]])</f>
        <v>11909.862741231393</v>
      </c>
    </row>
    <row r="1101" spans="1:7" ht="15" hidden="1" customHeight="1" x14ac:dyDescent="0.3">
      <c r="A1101" t="s">
        <v>122</v>
      </c>
      <c r="B1101" s="2">
        <v>45839</v>
      </c>
      <c r="C1101" s="52">
        <v>13099.5</v>
      </c>
      <c r="D1101" s="48">
        <f>_xlfn.XLOOKUP(expected_production[[#This Row],[Site Name]],Table1[[Site Name ]],Table1[Commisioned Date],"")</f>
        <v>44879</v>
      </c>
      <c r="E1101" s="47">
        <f>IF(ISNUMBER(expected_production[[#This Row],[Commissioned Date]]),MAX(0,(expected_production[[#This Row],[Date]]-expected_production[[#This Row],[Commissioned Date]])/365.25),"")</f>
        <v>2.6283367556468171</v>
      </c>
      <c r="F1101" s="49">
        <f>IF(expected_production[[#This Row],[Age (yrs)]]="",1,(1-DegradationRate)^expected_production[[#This Row],[Age (yrs)]])</f>
        <v>0.98170634440456728</v>
      </c>
      <c r="G1101" s="52">
        <f>IF(expected_production[[#This Row],[Base Expected (kWh)]]="","",expected_production[[#This Row],[Base Expected (kWh)]]*expected_production[[#This Row],[Degradation Factor]])</f>
        <v>12859.86225852763</v>
      </c>
    </row>
    <row r="1102" spans="1:7" ht="15" hidden="1" customHeight="1" x14ac:dyDescent="0.3">
      <c r="A1102" t="s">
        <v>122</v>
      </c>
      <c r="B1102" s="2">
        <v>45870</v>
      </c>
      <c r="C1102" s="52">
        <v>15450.3</v>
      </c>
      <c r="D1102" s="48">
        <f>_xlfn.XLOOKUP(expected_production[[#This Row],[Site Name]],Table1[[Site Name ]],Table1[Commisioned Date],"")</f>
        <v>44879</v>
      </c>
      <c r="E1102" s="47">
        <f>IF(ISNUMBER(expected_production[[#This Row],[Commissioned Date]]),MAX(0,(expected_production[[#This Row],[Date]]-expected_production[[#This Row],[Commissioned Date]])/365.25),"")</f>
        <v>2.7132101300479126</v>
      </c>
      <c r="F1102" s="49">
        <f>IF(expected_production[[#This Row],[Age (yrs)]]="",1,(1-DegradationRate)^expected_production[[#This Row],[Age (yrs)]])</f>
        <v>0.98112122280209679</v>
      </c>
      <c r="G1102" s="52">
        <f>IF(expected_production[[#This Row],[Base Expected (kWh)]]="","",expected_production[[#This Row],[Base Expected (kWh)]]*expected_production[[#This Row],[Degradation Factor]])</f>
        <v>15158.617228659235</v>
      </c>
    </row>
    <row r="1103" spans="1:7" ht="15" hidden="1" customHeight="1" x14ac:dyDescent="0.3">
      <c r="A1103" t="s">
        <v>122</v>
      </c>
      <c r="B1103" s="2">
        <v>45901</v>
      </c>
      <c r="C1103" s="52">
        <v>16583.400000000001</v>
      </c>
      <c r="D1103" s="48">
        <f>_xlfn.XLOOKUP(expected_production[[#This Row],[Site Name]],Table1[[Site Name ]],Table1[Commisioned Date],"")</f>
        <v>44879</v>
      </c>
      <c r="E1103" s="47">
        <f>IF(ISNUMBER(expected_production[[#This Row],[Commissioned Date]]),MAX(0,(expected_production[[#This Row],[Date]]-expected_production[[#This Row],[Commissioned Date]])/365.25),"")</f>
        <v>2.7980835044490076</v>
      </c>
      <c r="F1103" s="49">
        <f>IF(expected_production[[#This Row],[Age (yrs)]]="",1,(1-DegradationRate)^expected_production[[#This Row],[Age (yrs)]])</f>
        <v>0.98053644994677625</v>
      </c>
      <c r="G1103" s="52">
        <f>IF(expected_production[[#This Row],[Base Expected (kWh)]]="","",expected_production[[#This Row],[Base Expected (kWh)]]*expected_production[[#This Row],[Degradation Factor]])</f>
        <v>16260.62816404737</v>
      </c>
    </row>
    <row r="1104" spans="1:7" ht="15" hidden="1" customHeight="1" x14ac:dyDescent="0.3">
      <c r="A1104" t="s">
        <v>122</v>
      </c>
      <c r="B1104" s="2">
        <v>45931</v>
      </c>
      <c r="C1104" s="52">
        <v>19432.8</v>
      </c>
      <c r="D1104" s="48">
        <f>_xlfn.XLOOKUP(expected_production[[#This Row],[Site Name]],Table1[[Site Name ]],Table1[Commisioned Date],"")</f>
        <v>44879</v>
      </c>
      <c r="E1104" s="47">
        <f>IF(ISNUMBER(expected_production[[#This Row],[Commissioned Date]]),MAX(0,(expected_production[[#This Row],[Date]]-expected_production[[#This Row],[Commissioned Date]])/365.25),"")</f>
        <v>2.8802190280629705</v>
      </c>
      <c r="F1104" s="49">
        <f>IF(expected_production[[#This Row],[Age (yrs)]]="",1,(1-DegradationRate)^expected_production[[#This Row],[Age (yrs)]])</f>
        <v>0.97997087258990268</v>
      </c>
      <c r="G1104" s="52">
        <f>IF(expected_production[[#This Row],[Base Expected (kWh)]]="","",expected_production[[#This Row],[Base Expected (kWh)]]*expected_production[[#This Row],[Degradation Factor]])</f>
        <v>19043.57797286506</v>
      </c>
    </row>
    <row r="1105" spans="1:7" ht="15" hidden="1" customHeight="1" x14ac:dyDescent="0.3">
      <c r="A1105" t="s">
        <v>122</v>
      </c>
      <c r="B1105" s="2">
        <v>45962</v>
      </c>
      <c r="C1105" s="52">
        <v>20010.599999999999</v>
      </c>
      <c r="D1105" s="48">
        <f>_xlfn.XLOOKUP(expected_production[[#This Row],[Site Name]],Table1[[Site Name ]],Table1[Commisioned Date],"")</f>
        <v>44879</v>
      </c>
      <c r="E1105" s="47">
        <f>IF(ISNUMBER(expected_production[[#This Row],[Commissioned Date]]),MAX(0,(expected_production[[#This Row],[Date]]-expected_production[[#This Row],[Commissioned Date]])/365.25),"")</f>
        <v>2.9650924024640659</v>
      </c>
      <c r="F1105" s="49">
        <f>IF(expected_production[[#This Row],[Age (yrs)]]="",1,(1-DegradationRate)^expected_production[[#This Row],[Age (yrs)]])</f>
        <v>0.97938678537215929</v>
      </c>
      <c r="G1105" s="52">
        <f>IF(expected_production[[#This Row],[Base Expected (kWh)]]="","",expected_production[[#This Row],[Base Expected (kWh)]]*expected_production[[#This Row],[Degradation Factor]])</f>
        <v>19598.11720736813</v>
      </c>
    </row>
    <row r="1106" spans="1:7" ht="15" hidden="1" customHeight="1" x14ac:dyDescent="0.3">
      <c r="A1106" t="s">
        <v>122</v>
      </c>
      <c r="B1106" s="2">
        <v>45992</v>
      </c>
      <c r="C1106" s="52">
        <v>22485.599999999999</v>
      </c>
      <c r="D1106" s="48">
        <f>_xlfn.XLOOKUP(expected_production[[#This Row],[Site Name]],Table1[[Site Name ]],Table1[Commisioned Date],"")</f>
        <v>44879</v>
      </c>
      <c r="E1106" s="47">
        <f>IF(ISNUMBER(expected_production[[#This Row],[Commissioned Date]]),MAX(0,(expected_production[[#This Row],[Date]]-expected_production[[#This Row],[Commissioned Date]])/365.25),"")</f>
        <v>3.0472279260780288</v>
      </c>
      <c r="F1106" s="49">
        <f>IF(expected_production[[#This Row],[Age (yrs)]]="",1,(1-DegradationRate)^expected_production[[#This Row],[Age (yrs)]])</f>
        <v>0.97882187114642316</v>
      </c>
      <c r="G1106" s="52">
        <f>IF(expected_production[[#This Row],[Base Expected (kWh)]]="","",expected_production[[#This Row],[Base Expected (kWh)]]*expected_production[[#This Row],[Degradation Factor]])</f>
        <v>22009.397065850011</v>
      </c>
    </row>
    <row r="1107" spans="1:7" ht="15" hidden="1" customHeight="1" x14ac:dyDescent="0.3">
      <c r="A1107" t="s">
        <v>122</v>
      </c>
      <c r="B1107" s="2">
        <v>46023</v>
      </c>
      <c r="C1107" s="52">
        <v>22241.7</v>
      </c>
      <c r="D1107" s="48">
        <f>_xlfn.XLOOKUP(expected_production[[#This Row],[Site Name]],Table1[[Site Name ]],Table1[Commisioned Date],"")</f>
        <v>44879</v>
      </c>
      <c r="E1107" s="47">
        <f>IF(ISNUMBER(expected_production[[#This Row],[Commissioned Date]]),MAX(0,(expected_production[[#This Row],[Date]]-expected_production[[#This Row],[Commissioned Date]])/365.25),"")</f>
        <v>3.1321013004791238</v>
      </c>
      <c r="F1107" s="49">
        <f>IF(expected_production[[#This Row],[Age (yrs)]]="",1,(1-DegradationRate)^expected_production[[#This Row],[Age (yrs)]])</f>
        <v>0.97823846876235721</v>
      </c>
      <c r="G1107" s="52">
        <f>IF(expected_production[[#This Row],[Base Expected (kWh)]]="","",expected_production[[#This Row],[Base Expected (kWh)]]*expected_production[[#This Row],[Degradation Factor]])</f>
        <v>21757.686550671722</v>
      </c>
    </row>
    <row r="1108" spans="1:7" ht="15" hidden="1" customHeight="1" x14ac:dyDescent="0.3">
      <c r="A1108" t="s">
        <v>122</v>
      </c>
      <c r="B1108" s="2">
        <v>46054</v>
      </c>
      <c r="C1108" s="52">
        <v>19450.8</v>
      </c>
      <c r="D1108" s="48">
        <f>_xlfn.XLOOKUP(expected_production[[#This Row],[Site Name]],Table1[[Site Name ]],Table1[Commisioned Date],"")</f>
        <v>44879</v>
      </c>
      <c r="E1108" s="47">
        <f>IF(ISNUMBER(expected_production[[#This Row],[Commissioned Date]]),MAX(0,(expected_production[[#This Row],[Date]]-expected_production[[#This Row],[Commissioned Date]])/365.25),"")</f>
        <v>3.2169746748802188</v>
      </c>
      <c r="F1108" s="49">
        <f>IF(expected_production[[#This Row],[Age (yrs)]]="",1,(1-DegradationRate)^expected_production[[#This Row],[Age (yrs)]])</f>
        <v>0.97765541410074375</v>
      </c>
      <c r="G1108" s="52">
        <f>IF(expected_production[[#This Row],[Base Expected (kWh)]]="","",expected_production[[#This Row],[Base Expected (kWh)]]*expected_production[[#This Row],[Degradation Factor]])</f>
        <v>19016.179928590747</v>
      </c>
    </row>
    <row r="1109" spans="1:7" ht="15" hidden="1" customHeight="1" x14ac:dyDescent="0.3">
      <c r="A1109" t="s">
        <v>122</v>
      </c>
      <c r="B1109" s="2">
        <v>46082</v>
      </c>
      <c r="C1109" s="52">
        <v>19575</v>
      </c>
      <c r="D1109" s="48">
        <f>_xlfn.XLOOKUP(expected_production[[#This Row],[Site Name]],Table1[[Site Name ]],Table1[Commisioned Date],"")</f>
        <v>44879</v>
      </c>
      <c r="E1109" s="47">
        <f>IF(ISNUMBER(expected_production[[#This Row],[Commissioned Date]]),MAX(0,(expected_production[[#This Row],[Date]]-expected_production[[#This Row],[Commissioned Date]])/365.25),"")</f>
        <v>3.2936344969199181</v>
      </c>
      <c r="F1109" s="49">
        <f>IF(expected_production[[#This Row],[Age (yrs)]]="",1,(1-DegradationRate)^expected_production[[#This Row],[Age (yrs)]])</f>
        <v>0.97712908278627519</v>
      </c>
      <c r="G1109" s="52">
        <f>IF(expected_production[[#This Row],[Base Expected (kWh)]]="","",expected_production[[#This Row],[Base Expected (kWh)]]*expected_production[[#This Row],[Degradation Factor]])</f>
        <v>19127.301795541338</v>
      </c>
    </row>
    <row r="1110" spans="1:7" ht="15" hidden="1" customHeight="1" x14ac:dyDescent="0.3">
      <c r="A1110" t="s">
        <v>122</v>
      </c>
      <c r="B1110" s="2">
        <v>46113</v>
      </c>
      <c r="C1110" s="52">
        <v>15792.3</v>
      </c>
      <c r="D1110" s="48">
        <f>_xlfn.XLOOKUP(expected_production[[#This Row],[Site Name]],Table1[[Site Name ]],Table1[Commisioned Date],"")</f>
        <v>44879</v>
      </c>
      <c r="E1110" s="47">
        <f>IF(ISNUMBER(expected_production[[#This Row],[Commissioned Date]]),MAX(0,(expected_production[[#This Row],[Date]]-expected_production[[#This Row],[Commissioned Date]])/365.25),"")</f>
        <v>3.378507871321013</v>
      </c>
      <c r="F1110" s="49">
        <f>IF(expected_production[[#This Row],[Age (yrs)]]="",1,(1-DegradationRate)^expected_production[[#This Row],[Age (yrs)]])</f>
        <v>0.976546689346527</v>
      </c>
      <c r="G1110" s="52">
        <f>IF(expected_production[[#This Row],[Base Expected (kWh)]]="","",expected_production[[#This Row],[Base Expected (kWh)]]*expected_production[[#This Row],[Degradation Factor]])</f>
        <v>15421.918282167158</v>
      </c>
    </row>
    <row r="1111" spans="1:7" ht="15" hidden="1" customHeight="1" x14ac:dyDescent="0.3">
      <c r="A1111" t="s">
        <v>122</v>
      </c>
      <c r="B1111" s="2">
        <v>46143</v>
      </c>
      <c r="C1111" s="52">
        <v>13477.5</v>
      </c>
      <c r="D1111" s="48">
        <f>_xlfn.XLOOKUP(expected_production[[#This Row],[Site Name]],Table1[[Site Name ]],Table1[Commisioned Date],"")</f>
        <v>44879</v>
      </c>
      <c r="E1111" s="47">
        <f>IF(ISNUMBER(expected_production[[#This Row],[Commissioned Date]]),MAX(0,(expected_production[[#This Row],[Date]]-expected_production[[#This Row],[Commissioned Date]])/365.25),"")</f>
        <v>3.460643394934976</v>
      </c>
      <c r="F1111" s="49">
        <f>IF(expected_production[[#This Row],[Age (yrs)]]="",1,(1-DegradationRate)^expected_production[[#This Row],[Age (yrs)]])</f>
        <v>0.97598341329956895</v>
      </c>
      <c r="G1111" s="52">
        <f>IF(expected_production[[#This Row],[Base Expected (kWh)]]="","",expected_production[[#This Row],[Base Expected (kWh)]]*expected_production[[#This Row],[Degradation Factor]])</f>
        <v>13153.816452744941</v>
      </c>
    </row>
    <row r="1112" spans="1:7" ht="15" hidden="1" customHeight="1" x14ac:dyDescent="0.3">
      <c r="A1112" t="s">
        <v>122</v>
      </c>
      <c r="B1112" s="2">
        <v>46174</v>
      </c>
      <c r="C1112" s="52">
        <v>12124.8</v>
      </c>
      <c r="D1112" s="48">
        <f>_xlfn.XLOOKUP(expected_production[[#This Row],[Site Name]],Table1[[Site Name ]],Table1[Commisioned Date],"")</f>
        <v>44879</v>
      </c>
      <c r="E1112" s="47">
        <f>IF(ISNUMBER(expected_production[[#This Row],[Commissioned Date]]),MAX(0,(expected_production[[#This Row],[Date]]-expected_production[[#This Row],[Commissioned Date]])/365.25),"")</f>
        <v>3.5455167693360714</v>
      </c>
      <c r="F1112" s="49">
        <f>IF(expected_production[[#This Row],[Age (yrs)]]="",1,(1-DegradationRate)^expected_production[[#This Row],[Age (yrs)]])</f>
        <v>0.97540170270756821</v>
      </c>
      <c r="G1112" s="52">
        <f>IF(expected_production[[#This Row],[Base Expected (kWh)]]="","",expected_production[[#This Row],[Base Expected (kWh)]]*expected_production[[#This Row],[Degradation Factor]])</f>
        <v>11826.550564988722</v>
      </c>
    </row>
    <row r="1113" spans="1:7" ht="15" hidden="1" customHeight="1" x14ac:dyDescent="0.3">
      <c r="A1113" t="s">
        <v>122</v>
      </c>
      <c r="B1113" s="2">
        <v>46204</v>
      </c>
      <c r="C1113" s="52">
        <v>13099.5</v>
      </c>
      <c r="D1113" s="48">
        <f>_xlfn.XLOOKUP(expected_production[[#This Row],[Site Name]],Table1[[Site Name ]],Table1[Commisioned Date],"")</f>
        <v>44879</v>
      </c>
      <c r="E1113" s="47">
        <f>IF(ISNUMBER(expected_production[[#This Row],[Commissioned Date]]),MAX(0,(expected_production[[#This Row],[Date]]-expected_production[[#This Row],[Commissioned Date]])/365.25),"")</f>
        <v>3.6276522929500343</v>
      </c>
      <c r="F1113" s="49">
        <f>IF(expected_production[[#This Row],[Age (yrs)]]="",1,(1-DegradationRate)^expected_production[[#This Row],[Age (yrs)]])</f>
        <v>0.97483908709349565</v>
      </c>
      <c r="G1113" s="52">
        <f>IF(expected_production[[#This Row],[Base Expected (kWh)]]="","",expected_production[[#This Row],[Base Expected (kWh)]]*expected_production[[#This Row],[Degradation Factor]])</f>
        <v>12769.904621381247</v>
      </c>
    </row>
    <row r="1114" spans="1:7" ht="15" hidden="1" customHeight="1" x14ac:dyDescent="0.3">
      <c r="A1114" t="s">
        <v>122</v>
      </c>
      <c r="B1114" s="2">
        <v>46235</v>
      </c>
      <c r="C1114" s="52">
        <v>15450.3</v>
      </c>
      <c r="D1114" s="48">
        <f>_xlfn.XLOOKUP(expected_production[[#This Row],[Site Name]],Table1[[Site Name ]],Table1[Commisioned Date],"")</f>
        <v>44879</v>
      </c>
      <c r="E1114" s="47">
        <f>IF(ISNUMBER(expected_production[[#This Row],[Commissioned Date]]),MAX(0,(expected_production[[#This Row],[Date]]-expected_production[[#This Row],[Commissioned Date]])/365.25),"")</f>
        <v>3.7125256673511293</v>
      </c>
      <c r="F1114" s="49">
        <f>IF(expected_production[[#This Row],[Age (yrs)]]="",1,(1-DegradationRate)^expected_production[[#This Row],[Age (yrs)]])</f>
        <v>0.97425805854861347</v>
      </c>
      <c r="G1114" s="52">
        <f>IF(expected_production[[#This Row],[Base Expected (kWh)]]="","",expected_production[[#This Row],[Base Expected (kWh)]]*expected_production[[#This Row],[Degradation Factor]])</f>
        <v>15052.579281993641</v>
      </c>
    </row>
    <row r="1115" spans="1:7" ht="15" hidden="1" customHeight="1" x14ac:dyDescent="0.3">
      <c r="A1115" t="s">
        <v>122</v>
      </c>
      <c r="B1115" s="2">
        <v>46266</v>
      </c>
      <c r="C1115" s="52">
        <v>16583.400000000001</v>
      </c>
      <c r="D1115" s="48">
        <f>_xlfn.XLOOKUP(expected_production[[#This Row],[Site Name]],Table1[[Site Name ]],Table1[Commisioned Date],"")</f>
        <v>44879</v>
      </c>
      <c r="E1115" s="47">
        <f>IF(ISNUMBER(expected_production[[#This Row],[Commissioned Date]]),MAX(0,(expected_production[[#This Row],[Date]]-expected_production[[#This Row],[Commissioned Date]])/365.25),"")</f>
        <v>3.7973990417522243</v>
      </c>
      <c r="F1115" s="49">
        <f>IF(expected_production[[#This Row],[Age (yrs)]]="",1,(1-DegradationRate)^expected_production[[#This Row],[Age (yrs)]])</f>
        <v>0.97367737631131612</v>
      </c>
      <c r="G1115" s="52">
        <f>IF(expected_production[[#This Row],[Base Expected (kWh)]]="","",expected_production[[#This Row],[Base Expected (kWh)]]*expected_production[[#This Row],[Degradation Factor]])</f>
        <v>16146.881402321082</v>
      </c>
    </row>
    <row r="1116" spans="1:7" ht="15" hidden="1" customHeight="1" x14ac:dyDescent="0.3">
      <c r="A1116" t="s">
        <v>122</v>
      </c>
      <c r="B1116" s="2">
        <v>46296</v>
      </c>
      <c r="C1116" s="52">
        <v>19432.8</v>
      </c>
      <c r="D1116" s="48">
        <f>_xlfn.XLOOKUP(expected_production[[#This Row],[Site Name]],Table1[[Site Name ]],Table1[Commisioned Date],"")</f>
        <v>44879</v>
      </c>
      <c r="E1116" s="47">
        <f>IF(ISNUMBER(expected_production[[#This Row],[Commissioned Date]]),MAX(0,(expected_production[[#This Row],[Date]]-expected_production[[#This Row],[Commissioned Date]])/365.25),"")</f>
        <v>3.8795345653661877</v>
      </c>
      <c r="F1116" s="49">
        <f>IF(expected_production[[#This Row],[Age (yrs)]]="",1,(1-DegradationRate)^expected_production[[#This Row],[Age (yrs)]])</f>
        <v>0.97311575529562455</v>
      </c>
      <c r="G1116" s="52">
        <f>IF(expected_production[[#This Row],[Base Expected (kWh)]]="","",expected_production[[#This Row],[Base Expected (kWh)]]*expected_production[[#This Row],[Degradation Factor]])</f>
        <v>18910.363849508813</v>
      </c>
    </row>
    <row r="1117" spans="1:7" ht="15" hidden="1" customHeight="1" x14ac:dyDescent="0.3">
      <c r="A1117" t="s">
        <v>122</v>
      </c>
      <c r="B1117" s="2">
        <v>46327</v>
      </c>
      <c r="C1117" s="52">
        <v>20010.599999999999</v>
      </c>
      <c r="D1117" s="48">
        <f>_xlfn.XLOOKUP(expected_production[[#This Row],[Site Name]],Table1[[Site Name ]],Table1[Commisioned Date],"")</f>
        <v>44879</v>
      </c>
      <c r="E1117" s="47">
        <f>IF(ISNUMBER(expected_production[[#This Row],[Commissioned Date]]),MAX(0,(expected_production[[#This Row],[Date]]-expected_production[[#This Row],[Commissioned Date]])/365.25),"")</f>
        <v>3.9644079397672827</v>
      </c>
      <c r="F1117" s="49">
        <f>IF(expected_production[[#This Row],[Age (yrs)]]="",1,(1-DegradationRate)^expected_production[[#This Row],[Age (yrs)]])</f>
        <v>0.97253575389971503</v>
      </c>
      <c r="G1117" s="52">
        <f>IF(expected_production[[#This Row],[Base Expected (kWh)]]="","",expected_production[[#This Row],[Base Expected (kWh)]]*expected_production[[#This Row],[Degradation Factor]])</f>
        <v>19461.023956985635</v>
      </c>
    </row>
    <row r="1118" spans="1:7" ht="15" hidden="1" customHeight="1" x14ac:dyDescent="0.3">
      <c r="A1118" t="s">
        <v>122</v>
      </c>
      <c r="B1118" s="2">
        <v>46357</v>
      </c>
      <c r="C1118" s="52">
        <v>22485.599999999999</v>
      </c>
      <c r="D1118" s="48">
        <f>_xlfn.XLOOKUP(expected_production[[#This Row],[Site Name]],Table1[[Site Name ]],Table1[Commisioned Date],"")</f>
        <v>44879</v>
      </c>
      <c r="E1118" s="47">
        <f>IF(ISNUMBER(expected_production[[#This Row],[Commissioned Date]]),MAX(0,(expected_production[[#This Row],[Date]]-expected_production[[#This Row],[Commissioned Date]])/365.25),"")</f>
        <v>4.046543463381246</v>
      </c>
      <c r="F1118" s="49">
        <f>IF(expected_production[[#This Row],[Age (yrs)]]="",1,(1-DegradationRate)^expected_production[[#This Row],[Age (yrs)]])</f>
        <v>0.97197479137640896</v>
      </c>
      <c r="G1118" s="52">
        <f>IF(expected_production[[#This Row],[Base Expected (kWh)]]="","",expected_production[[#This Row],[Base Expected (kWh)]]*expected_production[[#This Row],[Degradation Factor]])</f>
        <v>21855.43636897338</v>
      </c>
    </row>
    <row r="1119" spans="1:7" ht="15" hidden="1" customHeight="1" x14ac:dyDescent="0.3">
      <c r="A1119" t="s">
        <v>124</v>
      </c>
      <c r="B1119" s="2">
        <v>45292</v>
      </c>
      <c r="C1119" s="52">
        <v>61302.85</v>
      </c>
      <c r="D1119" s="48">
        <f>_xlfn.XLOOKUP(expected_production[[#This Row],[Site Name]],Table1[[Site Name ]],Table1[Commisioned Date],"")</f>
        <v>44692</v>
      </c>
      <c r="E1119" s="47">
        <f>IF(ISNUMBER(expected_production[[#This Row],[Commissioned Date]]),MAX(0,(expected_production[[#This Row],[Date]]-expected_production[[#This Row],[Commissioned Date]])/365.25),"")</f>
        <v>1.6427104722792607</v>
      </c>
      <c r="F1119" s="49">
        <f>IF(expected_production[[#This Row],[Age (yrs)]]="",1,(1-DegradationRate)^expected_production[[#This Row],[Age (yrs)]])</f>
        <v>0.98852691509691903</v>
      </c>
      <c r="G1119" s="52">
        <f>IF(expected_production[[#This Row],[Base Expected (kWh)]]="","",expected_production[[#This Row],[Base Expected (kWh)]]*expected_production[[#This Row],[Degradation Factor]])</f>
        <v>60599.517197149158</v>
      </c>
    </row>
    <row r="1120" spans="1:7" ht="15" hidden="1" customHeight="1" x14ac:dyDescent="0.3">
      <c r="A1120" t="s">
        <v>124</v>
      </c>
      <c r="B1120" s="2">
        <v>45323</v>
      </c>
      <c r="C1120" s="52">
        <v>55639.3</v>
      </c>
      <c r="D1120" s="48">
        <f>_xlfn.XLOOKUP(expected_production[[#This Row],[Site Name]],Table1[[Site Name ]],Table1[Commisioned Date],"")</f>
        <v>44692</v>
      </c>
      <c r="E1120" s="47">
        <f>IF(ISNUMBER(expected_production[[#This Row],[Commissioned Date]]),MAX(0,(expected_production[[#This Row],[Date]]-expected_production[[#This Row],[Commissioned Date]])/365.25),"")</f>
        <v>1.7275838466803559</v>
      </c>
      <c r="F1120" s="49">
        <f>IF(expected_production[[#This Row],[Age (yrs)]]="",1,(1-DegradationRate)^expected_production[[#This Row],[Age (yrs)]])</f>
        <v>0.98793772826325588</v>
      </c>
      <c r="G1120" s="52">
        <f>IF(expected_production[[#This Row],[Base Expected (kWh)]]="","",expected_production[[#This Row],[Base Expected (kWh)]]*expected_production[[#This Row],[Degradation Factor]])</f>
        <v>54968.163644157772</v>
      </c>
    </row>
    <row r="1121" spans="1:7" ht="15" hidden="1" customHeight="1" x14ac:dyDescent="0.3">
      <c r="A1121" t="s">
        <v>124</v>
      </c>
      <c r="B1121" s="2">
        <v>45352</v>
      </c>
      <c r="C1121" s="52">
        <v>58024.4</v>
      </c>
      <c r="D1121" s="48">
        <f>_xlfn.XLOOKUP(expected_production[[#This Row],[Site Name]],Table1[[Site Name ]],Table1[Commisioned Date],"")</f>
        <v>44692</v>
      </c>
      <c r="E1121" s="47">
        <f>IF(ISNUMBER(expected_production[[#This Row],[Commissioned Date]]),MAX(0,(expected_production[[#This Row],[Date]]-expected_production[[#This Row],[Commissioned Date]])/365.25),"")</f>
        <v>1.8069815195071868</v>
      </c>
      <c r="F1121" s="49">
        <f>IF(expected_production[[#This Row],[Age (yrs)]]="",1,(1-DegradationRate)^expected_production[[#This Row],[Age (yrs)]])</f>
        <v>0.98738687140421988</v>
      </c>
      <c r="G1121" s="52">
        <f>IF(expected_production[[#This Row],[Base Expected (kWh)]]="","",expected_production[[#This Row],[Base Expected (kWh)]]*expected_production[[#This Row],[Degradation Factor]])</f>
        <v>57292.530781107016</v>
      </c>
    </row>
    <row r="1122" spans="1:7" ht="15" hidden="1" customHeight="1" x14ac:dyDescent="0.3">
      <c r="A1122" t="s">
        <v>124</v>
      </c>
      <c r="B1122" s="2">
        <v>45383</v>
      </c>
      <c r="C1122" s="52">
        <v>48946.400000000001</v>
      </c>
      <c r="D1122" s="48">
        <f>_xlfn.XLOOKUP(expected_production[[#This Row],[Site Name]],Table1[[Site Name ]],Table1[Commisioned Date],"")</f>
        <v>44692</v>
      </c>
      <c r="E1122" s="47">
        <f>IF(ISNUMBER(expected_production[[#This Row],[Commissioned Date]]),MAX(0,(expected_production[[#This Row],[Date]]-expected_production[[#This Row],[Commissioned Date]])/365.25),"")</f>
        <v>1.891854893908282</v>
      </c>
      <c r="F1122" s="49">
        <f>IF(expected_production[[#This Row],[Age (yrs)]]="",1,(1-DegradationRate)^expected_production[[#This Row],[Age (yrs)]])</f>
        <v>0.98679836406518984</v>
      </c>
      <c r="G1122" s="52">
        <f>IF(expected_production[[#This Row],[Base Expected (kWh)]]="","",expected_production[[#This Row],[Base Expected (kWh)]]*expected_production[[#This Row],[Degradation Factor]])</f>
        <v>48300.22744688041</v>
      </c>
    </row>
    <row r="1123" spans="1:7" ht="15" hidden="1" customHeight="1" x14ac:dyDescent="0.3">
      <c r="A1123" t="s">
        <v>124</v>
      </c>
      <c r="B1123" s="2">
        <v>45413</v>
      </c>
      <c r="C1123" s="52">
        <v>44310.5</v>
      </c>
      <c r="D1123" s="48">
        <f>_xlfn.XLOOKUP(expected_production[[#This Row],[Site Name]],Table1[[Site Name ]],Table1[Commisioned Date],"")</f>
        <v>44692</v>
      </c>
      <c r="E1123" s="47">
        <f>IF(ISNUMBER(expected_production[[#This Row],[Commissioned Date]]),MAX(0,(expected_production[[#This Row],[Date]]-expected_production[[#This Row],[Commissioned Date]])/365.25),"")</f>
        <v>1.9739904175222451</v>
      </c>
      <c r="F1123" s="49">
        <f>IF(expected_production[[#This Row],[Age (yrs)]]="",1,(1-DegradationRate)^expected_production[[#This Row],[Age (yrs)]])</f>
        <v>0.9862291748111387</v>
      </c>
      <c r="G1123" s="52">
        <f>IF(expected_production[[#This Row],[Base Expected (kWh)]]="","",expected_production[[#This Row],[Base Expected (kWh)]]*expected_production[[#This Row],[Degradation Factor]])</f>
        <v>43700.307850468962</v>
      </c>
    </row>
    <row r="1124" spans="1:7" ht="15" hidden="1" customHeight="1" x14ac:dyDescent="0.3">
      <c r="A1124" t="s">
        <v>124</v>
      </c>
      <c r="B1124" s="2">
        <v>45444</v>
      </c>
      <c r="C1124" s="52">
        <v>40933.449999999997</v>
      </c>
      <c r="D1124" s="48">
        <f>_xlfn.XLOOKUP(expected_production[[#This Row],[Site Name]],Table1[[Site Name ]],Table1[Commisioned Date],"")</f>
        <v>44692</v>
      </c>
      <c r="E1124" s="47">
        <f>IF(ISNUMBER(expected_production[[#This Row],[Commissioned Date]]),MAX(0,(expected_production[[#This Row],[Date]]-expected_production[[#This Row],[Commissioned Date]])/365.25),"")</f>
        <v>2.0588637919233403</v>
      </c>
      <c r="F1124" s="49">
        <f>IF(expected_production[[#This Row],[Age (yrs)]]="",1,(1-DegradationRate)^expected_production[[#This Row],[Age (yrs)]])</f>
        <v>0.98564135748831327</v>
      </c>
      <c r="G1124" s="52">
        <f>IF(expected_production[[#This Row],[Base Expected (kWh)]]="","",expected_production[[#This Row],[Base Expected (kWh)]]*expected_production[[#This Row],[Degradation Factor]])</f>
        <v>40345.701224679993</v>
      </c>
    </row>
    <row r="1125" spans="1:7" ht="15" hidden="1" customHeight="1" x14ac:dyDescent="0.3">
      <c r="A1125" t="s">
        <v>124</v>
      </c>
      <c r="B1125" s="2">
        <v>45474</v>
      </c>
      <c r="C1125" s="52">
        <v>43977.3</v>
      </c>
      <c r="D1125" s="48">
        <f>_xlfn.XLOOKUP(expected_production[[#This Row],[Site Name]],Table1[[Site Name ]],Table1[Commisioned Date],"")</f>
        <v>44692</v>
      </c>
      <c r="E1125" s="47">
        <f>IF(ISNUMBER(expected_production[[#This Row],[Commissioned Date]]),MAX(0,(expected_production[[#This Row],[Date]]-expected_production[[#This Row],[Commissioned Date]])/365.25),"")</f>
        <v>2.1409993155373033</v>
      </c>
      <c r="F1125" s="49">
        <f>IF(expected_production[[#This Row],[Age (yrs)]]="",1,(1-DegradationRate)^expected_production[[#This Row],[Age (yrs)]])</f>
        <v>0.9850728356002959</v>
      </c>
      <c r="G1125" s="52">
        <f>IF(expected_production[[#This Row],[Base Expected (kWh)]]="","",expected_production[[#This Row],[Base Expected (kWh)]]*expected_production[[#This Row],[Degradation Factor]])</f>
        <v>43320.843613044897</v>
      </c>
    </row>
    <row r="1126" spans="1:7" ht="15" hidden="1" customHeight="1" x14ac:dyDescent="0.3">
      <c r="A1126" t="s">
        <v>124</v>
      </c>
      <c r="B1126" s="2">
        <v>45505</v>
      </c>
      <c r="C1126" s="52">
        <v>48620.85</v>
      </c>
      <c r="D1126" s="48">
        <f>_xlfn.XLOOKUP(expected_production[[#This Row],[Site Name]],Table1[[Site Name ]],Table1[Commisioned Date],"")</f>
        <v>44692</v>
      </c>
      <c r="E1126" s="47">
        <f>IF(ISNUMBER(expected_production[[#This Row],[Commissioned Date]]),MAX(0,(expected_production[[#This Row],[Date]]-expected_production[[#This Row],[Commissioned Date]])/365.25),"")</f>
        <v>2.2258726899383983</v>
      </c>
      <c r="F1126" s="49">
        <f>IF(expected_production[[#This Row],[Age (yrs)]]="",1,(1-DegradationRate)^expected_production[[#This Row],[Age (yrs)]])</f>
        <v>0.98448570748464115</v>
      </c>
      <c r="G1126" s="52">
        <f>IF(expected_production[[#This Row],[Base Expected (kWh)]]="","",expected_production[[#This Row],[Base Expected (kWh)]]*expected_production[[#This Row],[Degradation Factor]])</f>
        <v>47866.531910754617</v>
      </c>
    </row>
    <row r="1127" spans="1:7" ht="15" hidden="1" customHeight="1" x14ac:dyDescent="0.3">
      <c r="A1127" t="s">
        <v>124</v>
      </c>
      <c r="B1127" s="2">
        <v>45536</v>
      </c>
      <c r="C1127" s="52">
        <v>50331.05</v>
      </c>
      <c r="D1127" s="48">
        <f>_xlfn.XLOOKUP(expected_production[[#This Row],[Site Name]],Table1[[Site Name ]],Table1[Commisioned Date],"")</f>
        <v>44692</v>
      </c>
      <c r="E1127" s="47">
        <f>IF(ISNUMBER(expected_production[[#This Row],[Commissioned Date]]),MAX(0,(expected_production[[#This Row],[Date]]-expected_production[[#This Row],[Commissioned Date]])/365.25),"")</f>
        <v>2.3107460643394937</v>
      </c>
      <c r="F1127" s="49">
        <f>IF(expected_production[[#This Row],[Age (yrs)]]="",1,(1-DegradationRate)^expected_production[[#This Row],[Age (yrs)]])</f>
        <v>0.98389892931206846</v>
      </c>
      <c r="G1127" s="52">
        <f>IF(expected_production[[#This Row],[Base Expected (kWh)]]="","",expected_production[[#This Row],[Base Expected (kWh)]]*expected_production[[#This Row],[Degradation Factor]])</f>
        <v>49520.666206152186</v>
      </c>
    </row>
    <row r="1128" spans="1:7" ht="15" hidden="1" customHeight="1" x14ac:dyDescent="0.3">
      <c r="A1128" t="s">
        <v>124</v>
      </c>
      <c r="B1128" s="2">
        <v>45566</v>
      </c>
      <c r="C1128" s="52">
        <v>55230.45</v>
      </c>
      <c r="D1128" s="48">
        <f>_xlfn.XLOOKUP(expected_production[[#This Row],[Site Name]],Table1[[Site Name ]],Table1[Commisioned Date],"")</f>
        <v>44692</v>
      </c>
      <c r="E1128" s="47">
        <f>IF(ISNUMBER(expected_production[[#This Row],[Commissioned Date]]),MAX(0,(expected_production[[#This Row],[Date]]-expected_production[[#This Row],[Commissioned Date]])/365.25),"")</f>
        <v>2.3928815879534566</v>
      </c>
      <c r="F1128" s="49">
        <f>IF(expected_production[[#This Row],[Age (yrs)]]="",1,(1-DegradationRate)^expected_production[[#This Row],[Age (yrs)]])</f>
        <v>0.98333141246361133</v>
      </c>
      <c r="G1128" s="52">
        <f>IF(expected_production[[#This Row],[Base Expected (kWh)]]="","",expected_production[[#This Row],[Base Expected (kWh)]]*expected_production[[#This Row],[Degradation Factor]])</f>
        <v>54309.836409500858</v>
      </c>
    </row>
    <row r="1129" spans="1:7" ht="15" hidden="1" customHeight="1" x14ac:dyDescent="0.3">
      <c r="A1129" t="s">
        <v>124</v>
      </c>
      <c r="B1129" s="2">
        <v>45597</v>
      </c>
      <c r="C1129" s="52">
        <v>56583.65</v>
      </c>
      <c r="D1129" s="48">
        <f>_xlfn.XLOOKUP(expected_production[[#This Row],[Site Name]],Table1[[Site Name ]],Table1[Commisioned Date],"")</f>
        <v>44692</v>
      </c>
      <c r="E1129" s="47">
        <f>IF(ISNUMBER(expected_production[[#This Row],[Commissioned Date]]),MAX(0,(expected_production[[#This Row],[Date]]-expected_production[[#This Row],[Commissioned Date]])/365.25),"")</f>
        <v>2.4777549623545516</v>
      </c>
      <c r="F1129" s="49">
        <f>IF(expected_production[[#This Row],[Age (yrs)]]="",1,(1-DegradationRate)^expected_production[[#This Row],[Age (yrs)]])</f>
        <v>0.98274532227982092</v>
      </c>
      <c r="G1129" s="52">
        <f>IF(expected_production[[#This Row],[Base Expected (kWh)]]="","",expected_production[[#This Row],[Base Expected (kWh)]]*expected_production[[#This Row],[Degradation Factor]])</f>
        <v>55607.317355018589</v>
      </c>
    </row>
    <row r="1130" spans="1:7" ht="15" hidden="1" customHeight="1" x14ac:dyDescent="0.3">
      <c r="A1130" t="s">
        <v>124</v>
      </c>
      <c r="B1130" s="2">
        <v>45627</v>
      </c>
      <c r="C1130" s="52">
        <v>61075.9</v>
      </c>
      <c r="D1130" s="48">
        <f>_xlfn.XLOOKUP(expected_production[[#This Row],[Site Name]],Table1[[Site Name ]],Table1[Commisioned Date],"")</f>
        <v>44692</v>
      </c>
      <c r="E1130" s="47">
        <f>IF(ISNUMBER(expected_production[[#This Row],[Commissioned Date]]),MAX(0,(expected_production[[#This Row],[Date]]-expected_production[[#This Row],[Commissioned Date]])/365.25),"")</f>
        <v>2.5598904859685145</v>
      </c>
      <c r="F1130" s="49">
        <f>IF(expected_production[[#This Row],[Age (yrs)]]="",1,(1-DegradationRate)^expected_production[[#This Row],[Age (yrs)]])</f>
        <v>0.98217847083652665</v>
      </c>
      <c r="G1130" s="52">
        <f>IF(expected_production[[#This Row],[Base Expected (kWh)]]="","",expected_production[[#This Row],[Base Expected (kWh)]]*expected_production[[#This Row],[Degradation Factor]])</f>
        <v>59987.434066964619</v>
      </c>
    </row>
    <row r="1131" spans="1:7" ht="15" hidden="1" customHeight="1" x14ac:dyDescent="0.3">
      <c r="A1131" t="s">
        <v>124</v>
      </c>
      <c r="B1131" s="2">
        <v>45658</v>
      </c>
      <c r="C1131" s="52">
        <v>61302.85</v>
      </c>
      <c r="D1131" s="48">
        <f>_xlfn.XLOOKUP(expected_production[[#This Row],[Site Name]],Table1[[Site Name ]],Table1[Commisioned Date],"")</f>
        <v>44692</v>
      </c>
      <c r="E1131" s="47">
        <f>IF(ISNUMBER(expected_production[[#This Row],[Commissioned Date]]),MAX(0,(expected_production[[#This Row],[Date]]-expected_production[[#This Row],[Commissioned Date]])/365.25),"")</f>
        <v>2.64476386036961</v>
      </c>
      <c r="F1131" s="49">
        <f>IF(expected_production[[#This Row],[Age (yrs)]]="",1,(1-DegradationRate)^expected_production[[#This Row],[Age (yrs)]])</f>
        <v>0.98159306783486178</v>
      </c>
      <c r="G1131" s="52">
        <f>IF(expected_production[[#This Row],[Base Expected (kWh)]]="","",expected_production[[#This Row],[Base Expected (kWh)]]*expected_production[[#This Row],[Degradation Factor]])</f>
        <v>60174.452598520358</v>
      </c>
    </row>
    <row r="1132" spans="1:7" ht="15" hidden="1" customHeight="1" x14ac:dyDescent="0.3">
      <c r="A1132" t="s">
        <v>124</v>
      </c>
      <c r="B1132" s="2">
        <v>45689</v>
      </c>
      <c r="C1132" s="52">
        <v>55639.3</v>
      </c>
      <c r="D1132" s="48">
        <f>_xlfn.XLOOKUP(expected_production[[#This Row],[Site Name]],Table1[[Site Name ]],Table1[Commisioned Date],"")</f>
        <v>44692</v>
      </c>
      <c r="E1132" s="47">
        <f>IF(ISNUMBER(expected_production[[#This Row],[Commissioned Date]]),MAX(0,(expected_production[[#This Row],[Date]]-expected_production[[#This Row],[Commissioned Date]])/365.25),"")</f>
        <v>2.729637234770705</v>
      </c>
      <c r="F1132" s="49">
        <f>IF(expected_production[[#This Row],[Age (yrs)]]="",1,(1-DegradationRate)^expected_production[[#This Row],[Age (yrs)]])</f>
        <v>0.98100801374806779</v>
      </c>
      <c r="G1132" s="52">
        <f>IF(expected_production[[#This Row],[Base Expected (kWh)]]="","",expected_production[[#This Row],[Base Expected (kWh)]]*expected_production[[#This Row],[Degradation Factor]])</f>
        <v>54582.599179332872</v>
      </c>
    </row>
    <row r="1133" spans="1:7" ht="15" hidden="1" customHeight="1" x14ac:dyDescent="0.3">
      <c r="A1133" t="s">
        <v>124</v>
      </c>
      <c r="B1133" s="2">
        <v>45717</v>
      </c>
      <c r="C1133" s="52">
        <v>58024.4</v>
      </c>
      <c r="D1133" s="48">
        <f>_xlfn.XLOOKUP(expected_production[[#This Row],[Site Name]],Table1[[Site Name ]],Table1[Commisioned Date],"")</f>
        <v>44692</v>
      </c>
      <c r="E1133" s="47">
        <f>IF(ISNUMBER(expected_production[[#This Row],[Commissioned Date]]),MAX(0,(expected_production[[#This Row],[Date]]-expected_production[[#This Row],[Commissioned Date]])/365.25),"")</f>
        <v>2.8062970568104038</v>
      </c>
      <c r="F1133" s="49">
        <f>IF(expected_production[[#This Row],[Age (yrs)]]="",1,(1-DegradationRate)^expected_production[[#This Row],[Age (yrs)]])</f>
        <v>0.98047987752549592</v>
      </c>
      <c r="G1133" s="52">
        <f>IF(expected_production[[#This Row],[Base Expected (kWh)]]="","",expected_production[[#This Row],[Base Expected (kWh)]]*expected_production[[#This Row],[Degradation Factor]])</f>
        <v>56891.756605490387</v>
      </c>
    </row>
    <row r="1134" spans="1:7" ht="15" hidden="1" customHeight="1" x14ac:dyDescent="0.3">
      <c r="A1134" t="s">
        <v>124</v>
      </c>
      <c r="B1134" s="2">
        <v>45748</v>
      </c>
      <c r="C1134" s="52">
        <v>48946.400000000001</v>
      </c>
      <c r="D1134" s="48">
        <f>_xlfn.XLOOKUP(expected_production[[#This Row],[Site Name]],Table1[[Site Name ]],Table1[Commisioned Date],"")</f>
        <v>44692</v>
      </c>
      <c r="E1134" s="47">
        <f>IF(ISNUMBER(expected_production[[#This Row],[Commissioned Date]]),MAX(0,(expected_production[[#This Row],[Date]]-expected_production[[#This Row],[Commissioned Date]])/365.25),"")</f>
        <v>2.8911704312114992</v>
      </c>
      <c r="F1134" s="49">
        <f>IF(expected_production[[#This Row],[Age (yrs)]]="",1,(1-DegradationRate)^expected_production[[#This Row],[Age (yrs)]])</f>
        <v>0.97989548692804507</v>
      </c>
      <c r="G1134" s="52">
        <f>IF(expected_production[[#This Row],[Base Expected (kWh)]]="","",expected_production[[#This Row],[Base Expected (kWh)]]*expected_production[[#This Row],[Degradation Factor]])</f>
        <v>47962.356461374868</v>
      </c>
    </row>
    <row r="1135" spans="1:7" ht="15" hidden="1" customHeight="1" x14ac:dyDescent="0.3">
      <c r="A1135" t="s">
        <v>124</v>
      </c>
      <c r="B1135" s="2">
        <v>45778</v>
      </c>
      <c r="C1135" s="52">
        <v>44310.5</v>
      </c>
      <c r="D1135" s="48">
        <f>_xlfn.XLOOKUP(expected_production[[#This Row],[Site Name]],Table1[[Site Name ]],Table1[Commisioned Date],"")</f>
        <v>44692</v>
      </c>
      <c r="E1135" s="47">
        <f>IF(ISNUMBER(expected_production[[#This Row],[Commissioned Date]]),MAX(0,(expected_production[[#This Row],[Date]]-expected_production[[#This Row],[Commissioned Date]])/365.25),"")</f>
        <v>2.9733059548254621</v>
      </c>
      <c r="F1135" s="49">
        <f>IF(expected_production[[#This Row],[Age (yrs)]]="",1,(1-DegradationRate)^expected_production[[#This Row],[Age (yrs)]])</f>
        <v>0.9793302792812113</v>
      </c>
      <c r="G1135" s="52">
        <f>IF(expected_production[[#This Row],[Base Expected (kWh)]]="","",expected_production[[#This Row],[Base Expected (kWh)]]*expected_production[[#This Row],[Degradation Factor]])</f>
        <v>43394.614340090113</v>
      </c>
    </row>
    <row r="1136" spans="1:7" ht="15" hidden="1" customHeight="1" x14ac:dyDescent="0.3">
      <c r="A1136" t="s">
        <v>124</v>
      </c>
      <c r="B1136" s="2">
        <v>45809</v>
      </c>
      <c r="C1136" s="52">
        <v>40933.449999999997</v>
      </c>
      <c r="D1136" s="48">
        <f>_xlfn.XLOOKUP(expected_production[[#This Row],[Site Name]],Table1[[Site Name ]],Table1[Commisioned Date],"")</f>
        <v>44692</v>
      </c>
      <c r="E1136" s="47">
        <f>IF(ISNUMBER(expected_production[[#This Row],[Commissioned Date]]),MAX(0,(expected_production[[#This Row],[Date]]-expected_production[[#This Row],[Commissioned Date]])/365.25),"")</f>
        <v>3.0581793292265571</v>
      </c>
      <c r="F1136" s="49">
        <f>IF(expected_production[[#This Row],[Age (yrs)]]="",1,(1-DegradationRate)^expected_production[[#This Row],[Age (yrs)]])</f>
        <v>0.97874657387314612</v>
      </c>
      <c r="G1136" s="52">
        <f>IF(expected_production[[#This Row],[Base Expected (kWh)]]="","",expected_production[[#This Row],[Base Expected (kWh)]]*expected_production[[#This Row],[Degradation Factor]])</f>
        <v>40063.473944307727</v>
      </c>
    </row>
    <row r="1137" spans="1:7" ht="15" hidden="1" customHeight="1" x14ac:dyDescent="0.3">
      <c r="A1137" t="s">
        <v>124</v>
      </c>
      <c r="B1137" s="2">
        <v>45839</v>
      </c>
      <c r="C1137" s="52">
        <v>43977.3</v>
      </c>
      <c r="D1137" s="48">
        <f>_xlfn.XLOOKUP(expected_production[[#This Row],[Site Name]],Table1[[Site Name ]],Table1[Commisioned Date],"")</f>
        <v>44692</v>
      </c>
      <c r="E1137" s="47">
        <f>IF(ISNUMBER(expected_production[[#This Row],[Commissioned Date]]),MAX(0,(expected_production[[#This Row],[Date]]-expected_production[[#This Row],[Commissioned Date]])/365.25),"")</f>
        <v>3.14031485284052</v>
      </c>
      <c r="F1137" s="49">
        <f>IF(expected_production[[#This Row],[Age (yrs)]]="",1,(1-DegradationRate)^expected_production[[#This Row],[Age (yrs)]])</f>
        <v>0.97818202892397021</v>
      </c>
      <c r="G1137" s="52">
        <f>IF(expected_production[[#This Row],[Base Expected (kWh)]]="","",expected_production[[#This Row],[Base Expected (kWh)]]*expected_production[[#This Row],[Degradation Factor]])</f>
        <v>43017.804540598117</v>
      </c>
    </row>
    <row r="1138" spans="1:7" ht="15" hidden="1" customHeight="1" x14ac:dyDescent="0.3">
      <c r="A1138" t="s">
        <v>124</v>
      </c>
      <c r="B1138" s="2">
        <v>45870</v>
      </c>
      <c r="C1138" s="52">
        <v>48620.85</v>
      </c>
      <c r="D1138" s="48">
        <f>_xlfn.XLOOKUP(expected_production[[#This Row],[Site Name]],Table1[[Site Name ]],Table1[Commisioned Date],"")</f>
        <v>44692</v>
      </c>
      <c r="E1138" s="47">
        <f>IF(ISNUMBER(expected_production[[#This Row],[Commissioned Date]]),MAX(0,(expected_production[[#This Row],[Date]]-expected_production[[#This Row],[Commissioned Date]])/365.25),"")</f>
        <v>3.2251882272416155</v>
      </c>
      <c r="F1138" s="49">
        <f>IF(expected_production[[#This Row],[Age (yrs)]]="",1,(1-DegradationRate)^expected_production[[#This Row],[Age (yrs)]])</f>
        <v>0.97759900790191601</v>
      </c>
      <c r="G1138" s="52">
        <f>IF(expected_production[[#This Row],[Base Expected (kWh)]]="","",expected_production[[#This Row],[Base Expected (kWh)]]*expected_production[[#This Row],[Degradation Factor]])</f>
        <v>47531.694723347871</v>
      </c>
    </row>
    <row r="1139" spans="1:7" ht="15" hidden="1" customHeight="1" x14ac:dyDescent="0.3">
      <c r="A1139" t="s">
        <v>124</v>
      </c>
      <c r="B1139" s="2">
        <v>45901</v>
      </c>
      <c r="C1139" s="52">
        <v>50331.05</v>
      </c>
      <c r="D1139" s="48">
        <f>_xlfn.XLOOKUP(expected_production[[#This Row],[Site Name]],Table1[[Site Name ]],Table1[Commisioned Date],"")</f>
        <v>44692</v>
      </c>
      <c r="E1139" s="47">
        <f>IF(ISNUMBER(expected_production[[#This Row],[Commissioned Date]]),MAX(0,(expected_production[[#This Row],[Date]]-expected_production[[#This Row],[Commissioned Date]])/365.25),"")</f>
        <v>3.3100616016427105</v>
      </c>
      <c r="F1139" s="49">
        <f>IF(expected_production[[#This Row],[Age (yrs)]]="",1,(1-DegradationRate)^expected_production[[#This Row],[Age (yrs)]])</f>
        <v>0.97701633437501312</v>
      </c>
      <c r="G1139" s="52">
        <f>IF(expected_production[[#This Row],[Base Expected (kWh)]]="","",expected_production[[#This Row],[Base Expected (kWh)]]*expected_production[[#This Row],[Degradation Factor]])</f>
        <v>49174.257976245506</v>
      </c>
    </row>
    <row r="1140" spans="1:7" ht="15" hidden="1" customHeight="1" x14ac:dyDescent="0.3">
      <c r="A1140" t="s">
        <v>124</v>
      </c>
      <c r="B1140" s="2">
        <v>45931</v>
      </c>
      <c r="C1140" s="52">
        <v>55230.45</v>
      </c>
      <c r="D1140" s="48">
        <f>_xlfn.XLOOKUP(expected_production[[#This Row],[Site Name]],Table1[[Site Name ]],Table1[Commisioned Date],"")</f>
        <v>44692</v>
      </c>
      <c r="E1140" s="47">
        <f>IF(ISNUMBER(expected_production[[#This Row],[Commissioned Date]]),MAX(0,(expected_production[[#This Row],[Date]]-expected_production[[#This Row],[Commissioned Date]])/365.25),"")</f>
        <v>3.3921971252566734</v>
      </c>
      <c r="F1140" s="49">
        <f>IF(expected_production[[#This Row],[Age (yrs)]]="",1,(1-DegradationRate)^expected_production[[#This Row],[Age (yrs)]])</f>
        <v>0.97645278743491914</v>
      </c>
      <c r="G1140" s="52">
        <f>IF(expected_production[[#This Row],[Base Expected (kWh)]]="","",expected_production[[#This Row],[Base Expected (kWh)]]*expected_production[[#This Row],[Degradation Factor]])</f>
        <v>53929.926853784928</v>
      </c>
    </row>
    <row r="1141" spans="1:7" ht="15" hidden="1" customHeight="1" x14ac:dyDescent="0.3">
      <c r="A1141" t="s">
        <v>124</v>
      </c>
      <c r="B1141" s="2">
        <v>45962</v>
      </c>
      <c r="C1141" s="52">
        <v>56583.65</v>
      </c>
      <c r="D1141" s="48">
        <f>_xlfn.XLOOKUP(expected_production[[#This Row],[Site Name]],Table1[[Site Name ]],Table1[Commisioned Date],"")</f>
        <v>44692</v>
      </c>
      <c r="E1141" s="47">
        <f>IF(ISNUMBER(expected_production[[#This Row],[Commissioned Date]]),MAX(0,(expected_production[[#This Row],[Date]]-expected_production[[#This Row],[Commissioned Date]])/365.25),"")</f>
        <v>3.4770704996577688</v>
      </c>
      <c r="F1141" s="49">
        <f>IF(expected_production[[#This Row],[Age (yrs)]]="",1,(1-DegradationRate)^expected_production[[#This Row],[Age (yrs)]])</f>
        <v>0.9758707970841618</v>
      </c>
      <c r="G1141" s="52">
        <f>IF(expected_production[[#This Row],[Base Expected (kWh)]]="","",expected_production[[#This Row],[Base Expected (kWh)]]*expected_production[[#This Row],[Degradation Factor]])</f>
        <v>55218.331627431231</v>
      </c>
    </row>
    <row r="1142" spans="1:7" ht="15" hidden="1" customHeight="1" x14ac:dyDescent="0.3">
      <c r="A1142" t="s">
        <v>124</v>
      </c>
      <c r="B1142" s="2">
        <v>45992</v>
      </c>
      <c r="C1142" s="52">
        <v>61075.9</v>
      </c>
      <c r="D1142" s="48">
        <f>_xlfn.XLOOKUP(expected_production[[#This Row],[Site Name]],Table1[[Site Name ]],Table1[Commisioned Date],"")</f>
        <v>44692</v>
      </c>
      <c r="E1142" s="47">
        <f>IF(ISNUMBER(expected_production[[#This Row],[Commissioned Date]]),MAX(0,(expected_production[[#This Row],[Date]]-expected_production[[#This Row],[Commissioned Date]])/365.25),"")</f>
        <v>3.5592060232717317</v>
      </c>
      <c r="F1142" s="49">
        <f>IF(expected_production[[#This Row],[Age (yrs)]]="",1,(1-DegradationRate)^expected_production[[#This Row],[Age (yrs)]])</f>
        <v>0.97530791089457147</v>
      </c>
      <c r="G1142" s="52">
        <f>IF(expected_production[[#This Row],[Base Expected (kWh)]]="","",expected_production[[#This Row],[Base Expected (kWh)]]*expected_production[[#This Row],[Degradation Factor]])</f>
        <v>59567.808435005762</v>
      </c>
    </row>
    <row r="1143" spans="1:7" ht="15" hidden="1" customHeight="1" x14ac:dyDescent="0.3">
      <c r="A1143" t="s">
        <v>124</v>
      </c>
      <c r="B1143" s="2">
        <v>46023</v>
      </c>
      <c r="C1143" s="52">
        <v>61302.85</v>
      </c>
      <c r="D1143" s="48">
        <f>_xlfn.XLOOKUP(expected_production[[#This Row],[Site Name]],Table1[[Site Name ]],Table1[Commisioned Date],"")</f>
        <v>44692</v>
      </c>
      <c r="E1143" s="47">
        <f>IF(ISNUMBER(expected_production[[#This Row],[Commissioned Date]]),MAX(0,(expected_production[[#This Row],[Date]]-expected_production[[#This Row],[Commissioned Date]])/365.25),"")</f>
        <v>3.6440793976728267</v>
      </c>
      <c r="F1143" s="49">
        <f>IF(expected_production[[#This Row],[Age (yrs)]]="",1,(1-DegradationRate)^expected_production[[#This Row],[Age (yrs)]])</f>
        <v>0.97472660291894564</v>
      </c>
      <c r="G1143" s="52">
        <f>IF(expected_production[[#This Row],[Base Expected (kWh)]]="","",expected_production[[#This Row],[Base Expected (kWh)]]*expected_production[[#This Row],[Degradation Factor]])</f>
        <v>59753.518729749689</v>
      </c>
    </row>
    <row r="1144" spans="1:7" ht="15" hidden="1" customHeight="1" x14ac:dyDescent="0.3">
      <c r="A1144" t="s">
        <v>124</v>
      </c>
      <c r="B1144" s="2">
        <v>46054</v>
      </c>
      <c r="C1144" s="52">
        <v>55639.3</v>
      </c>
      <c r="D1144" s="48">
        <f>_xlfn.XLOOKUP(expected_production[[#This Row],[Site Name]],Table1[[Site Name ]],Table1[Commisioned Date],"")</f>
        <v>44692</v>
      </c>
      <c r="E1144" s="47">
        <f>IF(ISNUMBER(expected_production[[#This Row],[Commissioned Date]]),MAX(0,(expected_production[[#This Row],[Date]]-expected_production[[#This Row],[Commissioned Date]])/365.25),"")</f>
        <v>3.7289527720739222</v>
      </c>
      <c r="F1144" s="49">
        <f>IF(expected_production[[#This Row],[Age (yrs)]]="",1,(1-DegradationRate)^expected_production[[#This Row],[Age (yrs)]])</f>
        <v>0.97414564141745263</v>
      </c>
      <c r="G1144" s="52">
        <f>IF(expected_production[[#This Row],[Base Expected (kWh)]]="","",expected_production[[#This Row],[Base Expected (kWh)]]*expected_production[[#This Row],[Degradation Factor]])</f>
        <v>54200.781586518075</v>
      </c>
    </row>
    <row r="1145" spans="1:7" ht="15" hidden="1" customHeight="1" x14ac:dyDescent="0.3">
      <c r="A1145" t="s">
        <v>124</v>
      </c>
      <c r="B1145" s="2">
        <v>46082</v>
      </c>
      <c r="C1145" s="52">
        <v>58024.4</v>
      </c>
      <c r="D1145" s="48">
        <f>_xlfn.XLOOKUP(expected_production[[#This Row],[Site Name]],Table1[[Site Name ]],Table1[Commisioned Date],"")</f>
        <v>44692</v>
      </c>
      <c r="E1145" s="47">
        <f>IF(ISNUMBER(expected_production[[#This Row],[Commissioned Date]]),MAX(0,(expected_production[[#This Row],[Date]]-expected_production[[#This Row],[Commissioned Date]])/365.25),"")</f>
        <v>3.805612594113621</v>
      </c>
      <c r="F1145" s="49">
        <f>IF(expected_production[[#This Row],[Age (yrs)]]="",1,(1-DegradationRate)^expected_production[[#This Row],[Age (yrs)]])</f>
        <v>0.97362119962688298</v>
      </c>
      <c r="G1145" s="52">
        <f>IF(expected_production[[#This Row],[Base Expected (kWh)]]="","",expected_production[[#This Row],[Base Expected (kWh)]]*expected_production[[#This Row],[Degradation Factor]])</f>
        <v>56493.785935630112</v>
      </c>
    </row>
    <row r="1146" spans="1:7" ht="15" hidden="1" customHeight="1" x14ac:dyDescent="0.3">
      <c r="A1146" t="s">
        <v>124</v>
      </c>
      <c r="B1146" s="2">
        <v>46113</v>
      </c>
      <c r="C1146" s="52">
        <v>48946.400000000001</v>
      </c>
      <c r="D1146" s="48">
        <f>_xlfn.XLOOKUP(expected_production[[#This Row],[Site Name]],Table1[[Site Name ]],Table1[Commisioned Date],"")</f>
        <v>44692</v>
      </c>
      <c r="E1146" s="47">
        <f>IF(ISNUMBER(expected_production[[#This Row],[Commissioned Date]]),MAX(0,(expected_production[[#This Row],[Date]]-expected_production[[#This Row],[Commissioned Date]])/365.25),"")</f>
        <v>3.890485968514716</v>
      </c>
      <c r="F1146" s="49">
        <f>IF(expected_production[[#This Row],[Age (yrs)]]="",1,(1-DegradationRate)^expected_production[[#This Row],[Age (yrs)]])</f>
        <v>0.97304089697347551</v>
      </c>
      <c r="G1146" s="52">
        <f>IF(expected_production[[#This Row],[Base Expected (kWh)]]="","",expected_production[[#This Row],[Base Expected (kWh)]]*expected_production[[#This Row],[Degradation Factor]])</f>
        <v>47626.848959622526</v>
      </c>
    </row>
    <row r="1147" spans="1:7" ht="15" hidden="1" customHeight="1" x14ac:dyDescent="0.3">
      <c r="A1147" t="s">
        <v>124</v>
      </c>
      <c r="B1147" s="2">
        <v>46143</v>
      </c>
      <c r="C1147" s="52">
        <v>44310.5</v>
      </c>
      <c r="D1147" s="48">
        <f>_xlfn.XLOOKUP(expected_production[[#This Row],[Site Name]],Table1[[Site Name ]],Table1[Commisioned Date],"")</f>
        <v>44692</v>
      </c>
      <c r="E1147" s="47">
        <f>IF(ISNUMBER(expected_production[[#This Row],[Commissioned Date]]),MAX(0,(expected_production[[#This Row],[Date]]-expected_production[[#This Row],[Commissioned Date]])/365.25),"")</f>
        <v>3.9726214921286789</v>
      </c>
      <c r="F1147" s="49">
        <f>IF(expected_production[[#This Row],[Age (yrs)]]="",1,(1-DegradationRate)^expected_production[[#This Row],[Age (yrs)]])</f>
        <v>0.97247964308161861</v>
      </c>
      <c r="G1147" s="52">
        <f>IF(expected_production[[#This Row],[Base Expected (kWh)]]="","",expected_production[[#This Row],[Base Expected (kWh)]]*expected_production[[#This Row],[Degradation Factor]])</f>
        <v>43091.059224768062</v>
      </c>
    </row>
    <row r="1148" spans="1:7" ht="15" hidden="1" customHeight="1" x14ac:dyDescent="0.3">
      <c r="A1148" t="s">
        <v>124</v>
      </c>
      <c r="B1148" s="2">
        <v>46174</v>
      </c>
      <c r="C1148" s="52">
        <v>40933.449999999997</v>
      </c>
      <c r="D1148" s="48">
        <f>_xlfn.XLOOKUP(expected_production[[#This Row],[Site Name]],Table1[[Site Name ]],Table1[Commisioned Date],"")</f>
        <v>44692</v>
      </c>
      <c r="E1148" s="47">
        <f>IF(ISNUMBER(expected_production[[#This Row],[Commissioned Date]]),MAX(0,(expected_production[[#This Row],[Date]]-expected_production[[#This Row],[Commissioned Date]])/365.25),"")</f>
        <v>4.0574948665297743</v>
      </c>
      <c r="F1148" s="49">
        <f>IF(expected_production[[#This Row],[Age (yrs)]]="",1,(1-DegradationRate)^expected_production[[#This Row],[Age (yrs)]])</f>
        <v>0.9719000208245423</v>
      </c>
      <c r="G1148" s="52">
        <f>IF(expected_production[[#This Row],[Base Expected (kWh)]]="","",expected_production[[#This Row],[Base Expected (kWh)]]*expected_production[[#This Row],[Degradation Factor]])</f>
        <v>39783.220907420357</v>
      </c>
    </row>
    <row r="1149" spans="1:7" ht="15" hidden="1" customHeight="1" x14ac:dyDescent="0.3">
      <c r="A1149" t="s">
        <v>124</v>
      </c>
      <c r="B1149" s="2">
        <v>46204</v>
      </c>
      <c r="C1149" s="52">
        <v>43977.3</v>
      </c>
      <c r="D1149" s="48">
        <f>_xlfn.XLOOKUP(expected_production[[#This Row],[Site Name]],Table1[[Site Name ]],Table1[Commisioned Date],"")</f>
        <v>44692</v>
      </c>
      <c r="E1149" s="47">
        <f>IF(ISNUMBER(expected_production[[#This Row],[Commissioned Date]]),MAX(0,(expected_production[[#This Row],[Date]]-expected_production[[#This Row],[Commissioned Date]])/365.25),"")</f>
        <v>4.1396303901437372</v>
      </c>
      <c r="F1149" s="49">
        <f>IF(expected_production[[#This Row],[Age (yrs)]]="",1,(1-DegradationRate)^expected_production[[#This Row],[Age (yrs)]])</f>
        <v>0.97133942499462378</v>
      </c>
      <c r="G1149" s="52">
        <f>IF(expected_production[[#This Row],[Base Expected (kWh)]]="","",expected_production[[#This Row],[Base Expected (kWh)]]*expected_production[[#This Row],[Degradation Factor]])</f>
        <v>42716.885294816071</v>
      </c>
    </row>
    <row r="1150" spans="1:7" ht="15" hidden="1" customHeight="1" x14ac:dyDescent="0.3">
      <c r="A1150" t="s">
        <v>124</v>
      </c>
      <c r="B1150" s="2">
        <v>46235</v>
      </c>
      <c r="C1150" s="52">
        <v>48620.85</v>
      </c>
      <c r="D1150" s="48">
        <f>_xlfn.XLOOKUP(expected_production[[#This Row],[Site Name]],Table1[[Site Name ]],Table1[Commisioned Date],"")</f>
        <v>44692</v>
      </c>
      <c r="E1150" s="47">
        <f>IF(ISNUMBER(expected_production[[#This Row],[Commissioned Date]]),MAX(0,(expected_production[[#This Row],[Date]]-expected_production[[#This Row],[Commissioned Date]])/365.25),"")</f>
        <v>4.2245037645448322</v>
      </c>
      <c r="F1150" s="49">
        <f>IF(expected_production[[#This Row],[Age (yrs)]]="",1,(1-DegradationRate)^expected_production[[#This Row],[Age (yrs)]])</f>
        <v>0.970760482336124</v>
      </c>
      <c r="G1150" s="52">
        <f>IF(expected_production[[#This Row],[Base Expected (kWh)]]="","",expected_production[[#This Row],[Base Expected (kWh)]]*expected_production[[#This Row],[Degradation Factor]])</f>
        <v>47199.19979759233</v>
      </c>
    </row>
    <row r="1151" spans="1:7" ht="15" hidden="1" customHeight="1" x14ac:dyDescent="0.3">
      <c r="A1151" t="s">
        <v>124</v>
      </c>
      <c r="B1151" s="2">
        <v>46266</v>
      </c>
      <c r="C1151" s="52">
        <v>50331.05</v>
      </c>
      <c r="D1151" s="48">
        <f>_xlfn.XLOOKUP(expected_production[[#This Row],[Site Name]],Table1[[Site Name ]],Table1[Commisioned Date],"")</f>
        <v>44692</v>
      </c>
      <c r="E1151" s="47">
        <f>IF(ISNUMBER(expected_production[[#This Row],[Commissioned Date]]),MAX(0,(expected_production[[#This Row],[Date]]-expected_production[[#This Row],[Commissioned Date]])/365.25),"")</f>
        <v>4.3093771389459272</v>
      </c>
      <c r="F1151" s="49">
        <f>IF(expected_production[[#This Row],[Age (yrs)]]="",1,(1-DegradationRate)^expected_production[[#This Row],[Age (yrs)]])</f>
        <v>0.97018188474196865</v>
      </c>
      <c r="G1151" s="52">
        <f>IF(expected_production[[#This Row],[Base Expected (kWh)]]="","",expected_production[[#This Row],[Base Expected (kWh)]]*expected_production[[#This Row],[Degradation Factor]])</f>
        <v>48830.272950042265</v>
      </c>
    </row>
    <row r="1152" spans="1:7" ht="15" hidden="1" customHeight="1" x14ac:dyDescent="0.3">
      <c r="A1152" t="s">
        <v>124</v>
      </c>
      <c r="B1152" s="2">
        <v>46296</v>
      </c>
      <c r="C1152" s="52">
        <v>55230.45</v>
      </c>
      <c r="D1152" s="48">
        <f>_xlfn.XLOOKUP(expected_production[[#This Row],[Site Name]],Table1[[Site Name ]],Table1[Commisioned Date],"")</f>
        <v>44692</v>
      </c>
      <c r="E1152" s="47">
        <f>IF(ISNUMBER(expected_production[[#This Row],[Commissioned Date]]),MAX(0,(expected_production[[#This Row],[Date]]-expected_production[[#This Row],[Commissioned Date]])/365.25),"")</f>
        <v>4.3915126625598901</v>
      </c>
      <c r="F1152" s="49">
        <f>IF(expected_production[[#This Row],[Age (yrs)]]="",1,(1-DegradationRate)^expected_production[[#This Row],[Age (yrs)]])</f>
        <v>0.96962227993983319</v>
      </c>
      <c r="G1152" s="52">
        <f>IF(expected_production[[#This Row],[Base Expected (kWh)]]="","",expected_production[[#This Row],[Base Expected (kWh)]]*expected_production[[#This Row],[Degradation Factor]])</f>
        <v>53552.674851102958</v>
      </c>
    </row>
    <row r="1153" spans="1:7" ht="15" hidden="1" customHeight="1" x14ac:dyDescent="0.3">
      <c r="A1153" t="s">
        <v>124</v>
      </c>
      <c r="B1153" s="2">
        <v>46327</v>
      </c>
      <c r="C1153" s="52">
        <v>56583.65</v>
      </c>
      <c r="D1153" s="48">
        <f>_xlfn.XLOOKUP(expected_production[[#This Row],[Site Name]],Table1[[Site Name ]],Table1[Commisioned Date],"")</f>
        <v>44692</v>
      </c>
      <c r="E1153" s="47">
        <f>IF(ISNUMBER(expected_production[[#This Row],[Commissioned Date]]),MAX(0,(expected_production[[#This Row],[Date]]-expected_production[[#This Row],[Commissioned Date]])/365.25),"")</f>
        <v>4.476386036960986</v>
      </c>
      <c r="F1153" s="49">
        <f>IF(expected_production[[#This Row],[Age (yrs)]]="",1,(1-DegradationRate)^expected_production[[#This Row],[Age (yrs)]])</f>
        <v>0.96904436074285216</v>
      </c>
      <c r="G1153" s="52">
        <f>IF(expected_production[[#This Row],[Base Expected (kWh)]]="","",expected_production[[#This Row],[Base Expected (kWh)]]*expected_production[[#This Row],[Degradation Factor]])</f>
        <v>54832.066942747289</v>
      </c>
    </row>
    <row r="1154" spans="1:7" ht="15" hidden="1" customHeight="1" x14ac:dyDescent="0.3">
      <c r="A1154" t="s">
        <v>124</v>
      </c>
      <c r="B1154" s="2">
        <v>46357</v>
      </c>
      <c r="C1154" s="52">
        <v>61075.9</v>
      </c>
      <c r="D1154" s="48">
        <f>_xlfn.XLOOKUP(expected_production[[#This Row],[Site Name]],Table1[[Site Name ]],Table1[Commisioned Date],"")</f>
        <v>44692</v>
      </c>
      <c r="E1154" s="47">
        <f>IF(ISNUMBER(expected_production[[#This Row],[Commissioned Date]]),MAX(0,(expected_production[[#This Row],[Date]]-expected_production[[#This Row],[Commissioned Date]])/365.25),"")</f>
        <v>4.5585215605749489</v>
      </c>
      <c r="F1154" s="49">
        <f>IF(expected_production[[#This Row],[Age (yrs)]]="",1,(1-DegradationRate)^expected_production[[#This Row],[Age (yrs)]])</f>
        <v>0.96848541206912164</v>
      </c>
      <c r="G1154" s="52">
        <f>IF(expected_production[[#This Row],[Base Expected (kWh)]]="","",expected_production[[#This Row],[Base Expected (kWh)]]*expected_production[[#This Row],[Degradation Factor]])</f>
        <v>59151.118178992467</v>
      </c>
    </row>
    <row r="1155" spans="1:7" ht="15" hidden="1" customHeight="1" x14ac:dyDescent="0.3">
      <c r="A1155" t="s">
        <v>127</v>
      </c>
      <c r="B1155" s="2">
        <v>45292</v>
      </c>
      <c r="C1155" s="52">
        <v>15870.6</v>
      </c>
      <c r="D1155" s="48">
        <f>_xlfn.XLOOKUP(expected_production[[#This Row],[Site Name]],Table1[[Site Name ]],Table1[Commisioned Date],"")</f>
        <v>45399</v>
      </c>
      <c r="E1155" s="47">
        <f>IF(ISNUMBER(expected_production[[#This Row],[Commissioned Date]]),MAX(0,(expected_production[[#This Row],[Date]]-expected_production[[#This Row],[Commissioned Date]])/365.25),"")</f>
        <v>0</v>
      </c>
      <c r="F1155" s="49">
        <f>IF(expected_production[[#This Row],[Age (yrs)]]="",1,(1-DegradationRate)^expected_production[[#This Row],[Age (yrs)]])</f>
        <v>1</v>
      </c>
      <c r="G1155" s="52">
        <f>IF(expected_production[[#This Row],[Base Expected (kWh)]]="","",expected_production[[#This Row],[Base Expected (kWh)]]*expected_production[[#This Row],[Degradation Factor]])</f>
        <v>15870.6</v>
      </c>
    </row>
    <row r="1156" spans="1:7" ht="15" hidden="1" customHeight="1" x14ac:dyDescent="0.3">
      <c r="A1156" t="s">
        <v>127</v>
      </c>
      <c r="B1156" s="2">
        <v>45323</v>
      </c>
      <c r="C1156" s="52">
        <v>14825.7</v>
      </c>
      <c r="D1156" s="48">
        <f>_xlfn.XLOOKUP(expected_production[[#This Row],[Site Name]],Table1[[Site Name ]],Table1[Commisioned Date],"")</f>
        <v>45399</v>
      </c>
      <c r="E1156" s="47">
        <f>IF(ISNUMBER(expected_production[[#This Row],[Commissioned Date]]),MAX(0,(expected_production[[#This Row],[Date]]-expected_production[[#This Row],[Commissioned Date]])/365.25),"")</f>
        <v>0</v>
      </c>
      <c r="F1156" s="49">
        <f>IF(expected_production[[#This Row],[Age (yrs)]]="",1,(1-DegradationRate)^expected_production[[#This Row],[Age (yrs)]])</f>
        <v>1</v>
      </c>
      <c r="G1156" s="52">
        <f>IF(expected_production[[#This Row],[Base Expected (kWh)]]="","",expected_production[[#This Row],[Base Expected (kWh)]]*expected_production[[#This Row],[Degradation Factor]])</f>
        <v>14825.7</v>
      </c>
    </row>
    <row r="1157" spans="1:7" ht="15" hidden="1" customHeight="1" x14ac:dyDescent="0.3">
      <c r="A1157" t="s">
        <v>127</v>
      </c>
      <c r="B1157" s="2">
        <v>45352</v>
      </c>
      <c r="C1157" s="52">
        <v>17314.2</v>
      </c>
      <c r="D1157" s="48">
        <f>_xlfn.XLOOKUP(expected_production[[#This Row],[Site Name]],Table1[[Site Name ]],Table1[Commisioned Date],"")</f>
        <v>45399</v>
      </c>
      <c r="E1157" s="47">
        <f>IF(ISNUMBER(expected_production[[#This Row],[Commissioned Date]]),MAX(0,(expected_production[[#This Row],[Date]]-expected_production[[#This Row],[Commissioned Date]])/365.25),"")</f>
        <v>0</v>
      </c>
      <c r="F1157" s="49">
        <f>IF(expected_production[[#This Row],[Age (yrs)]]="",1,(1-DegradationRate)^expected_production[[#This Row],[Age (yrs)]])</f>
        <v>1</v>
      </c>
      <c r="G1157" s="52">
        <f>IF(expected_production[[#This Row],[Base Expected (kWh)]]="","",expected_production[[#This Row],[Base Expected (kWh)]]*expected_production[[#This Row],[Degradation Factor]])</f>
        <v>17314.2</v>
      </c>
    </row>
    <row r="1158" spans="1:7" ht="15" hidden="1" customHeight="1" x14ac:dyDescent="0.3">
      <c r="A1158" t="s">
        <v>127</v>
      </c>
      <c r="B1158" s="2">
        <v>45383</v>
      </c>
      <c r="C1158" s="52">
        <v>15358.5</v>
      </c>
      <c r="D1158" s="48">
        <f>_xlfn.XLOOKUP(expected_production[[#This Row],[Site Name]],Table1[[Site Name ]],Table1[Commisioned Date],"")</f>
        <v>45399</v>
      </c>
      <c r="E1158" s="47">
        <f>IF(ISNUMBER(expected_production[[#This Row],[Commissioned Date]]),MAX(0,(expected_production[[#This Row],[Date]]-expected_production[[#This Row],[Commissioned Date]])/365.25),"")</f>
        <v>0</v>
      </c>
      <c r="F1158" s="49">
        <f>IF(expected_production[[#This Row],[Age (yrs)]]="",1,(1-DegradationRate)^expected_production[[#This Row],[Age (yrs)]])</f>
        <v>1</v>
      </c>
      <c r="G1158" s="52">
        <f>IF(expected_production[[#This Row],[Base Expected (kWh)]]="","",expected_production[[#This Row],[Base Expected (kWh)]]*expected_production[[#This Row],[Degradation Factor]])</f>
        <v>15358.5</v>
      </c>
    </row>
    <row r="1159" spans="1:7" ht="15" hidden="1" customHeight="1" x14ac:dyDescent="0.3">
      <c r="A1159" t="s">
        <v>127</v>
      </c>
      <c r="B1159" s="2">
        <v>45413</v>
      </c>
      <c r="C1159" s="52">
        <v>15197.4</v>
      </c>
      <c r="D1159" s="48">
        <f>_xlfn.XLOOKUP(expected_production[[#This Row],[Site Name]],Table1[[Site Name ]],Table1[Commisioned Date],"")</f>
        <v>45399</v>
      </c>
      <c r="E1159" s="47">
        <f>IF(ISNUMBER(expected_production[[#This Row],[Commissioned Date]]),MAX(0,(expected_production[[#This Row],[Date]]-expected_production[[#This Row],[Commissioned Date]])/365.25),"")</f>
        <v>3.8329911019849415E-2</v>
      </c>
      <c r="F1159" s="49">
        <f>IF(expected_production[[#This Row],[Age (yrs)]]="",1,(1-DegradationRate)^expected_production[[#This Row],[Age (yrs)]])</f>
        <v>0.99973078337981713</v>
      </c>
      <c r="G1159" s="52">
        <f>IF(expected_production[[#This Row],[Base Expected (kWh)]]="","",expected_production[[#This Row],[Base Expected (kWh)]]*expected_production[[#This Row],[Degradation Factor]])</f>
        <v>15193.308607336432</v>
      </c>
    </row>
    <row r="1160" spans="1:7" ht="15" hidden="1" customHeight="1" x14ac:dyDescent="0.3">
      <c r="A1160" t="s">
        <v>127</v>
      </c>
      <c r="B1160" s="2">
        <v>45444</v>
      </c>
      <c r="C1160" s="52">
        <v>14489.1</v>
      </c>
      <c r="D1160" s="48">
        <f>_xlfn.XLOOKUP(expected_production[[#This Row],[Site Name]],Table1[[Site Name ]],Table1[Commisioned Date],"")</f>
        <v>45399</v>
      </c>
      <c r="E1160" s="47">
        <f>IF(ISNUMBER(expected_production[[#This Row],[Commissioned Date]]),MAX(0,(expected_production[[#This Row],[Date]]-expected_production[[#This Row],[Commissioned Date]])/365.25),"")</f>
        <v>0.12320328542094455</v>
      </c>
      <c r="F1160" s="49">
        <f>IF(expected_production[[#This Row],[Age (yrs)]]="",1,(1-DegradationRate)^expected_production[[#This Row],[Age (yrs)]])</f>
        <v>0.9991349187596642</v>
      </c>
      <c r="G1160" s="52">
        <f>IF(expected_production[[#This Row],[Base Expected (kWh)]]="","",expected_production[[#This Row],[Base Expected (kWh)]]*expected_production[[#This Row],[Degradation Factor]])</f>
        <v>14476.565751400651</v>
      </c>
    </row>
    <row r="1161" spans="1:7" ht="15" hidden="1" customHeight="1" x14ac:dyDescent="0.3">
      <c r="A1161" t="s">
        <v>127</v>
      </c>
      <c r="B1161" s="2">
        <v>45474</v>
      </c>
      <c r="C1161" s="52">
        <v>15390.9</v>
      </c>
      <c r="D1161" s="48">
        <f>_xlfn.XLOOKUP(expected_production[[#This Row],[Site Name]],Table1[[Site Name ]],Table1[Commisioned Date],"")</f>
        <v>45399</v>
      </c>
      <c r="E1161" s="47">
        <f>IF(ISNUMBER(expected_production[[#This Row],[Commissioned Date]]),MAX(0,(expected_production[[#This Row],[Date]]-expected_production[[#This Row],[Commissioned Date]])/365.25),"")</f>
        <v>0.20533880903490759</v>
      </c>
      <c r="F1161" s="49">
        <f>IF(expected_production[[#This Row],[Age (yrs)]]="",1,(1-DegradationRate)^expected_production[[#This Row],[Age (yrs)]])</f>
        <v>0.99855861373138821</v>
      </c>
      <c r="G1161" s="52">
        <f>IF(expected_production[[#This Row],[Base Expected (kWh)]]="","",expected_production[[#This Row],[Base Expected (kWh)]]*expected_production[[#This Row],[Degradation Factor]])</f>
        <v>15368.715768078422</v>
      </c>
    </row>
    <row r="1162" spans="1:7" ht="15" hidden="1" customHeight="1" x14ac:dyDescent="0.3">
      <c r="A1162" t="s">
        <v>127</v>
      </c>
      <c r="B1162" s="2">
        <v>45505</v>
      </c>
      <c r="C1162" s="52">
        <v>15613.2</v>
      </c>
      <c r="D1162" s="48">
        <f>_xlfn.XLOOKUP(expected_production[[#This Row],[Site Name]],Table1[[Site Name ]],Table1[Commisioned Date],"")</f>
        <v>45399</v>
      </c>
      <c r="E1162" s="47">
        <f>IF(ISNUMBER(expected_production[[#This Row],[Commissioned Date]]),MAX(0,(expected_production[[#This Row],[Date]]-expected_production[[#This Row],[Commissioned Date]])/365.25),"")</f>
        <v>0.29021218343600275</v>
      </c>
      <c r="F1162" s="49">
        <f>IF(expected_production[[#This Row],[Age (yrs)]]="",1,(1-DegradationRate)^expected_production[[#This Row],[Age (yrs)]])</f>
        <v>0.9979634477537439</v>
      </c>
      <c r="G1162" s="52">
        <f>IF(expected_production[[#This Row],[Base Expected (kWh)]]="","",expected_production[[#This Row],[Base Expected (kWh)]]*expected_production[[#This Row],[Degradation Factor]])</f>
        <v>15581.402902468755</v>
      </c>
    </row>
    <row r="1163" spans="1:7" ht="15" hidden="1" customHeight="1" x14ac:dyDescent="0.3">
      <c r="A1163" t="s">
        <v>127</v>
      </c>
      <c r="B1163" s="2">
        <v>45536</v>
      </c>
      <c r="C1163" s="52">
        <v>15191.1</v>
      </c>
      <c r="D1163" s="48">
        <f>_xlfn.XLOOKUP(expected_production[[#This Row],[Site Name]],Table1[[Site Name ]],Table1[Commisioned Date],"")</f>
        <v>45399</v>
      </c>
      <c r="E1163" s="47">
        <f>IF(ISNUMBER(expected_production[[#This Row],[Commissioned Date]]),MAX(0,(expected_production[[#This Row],[Date]]-expected_production[[#This Row],[Commissioned Date]])/365.25),"")</f>
        <v>0.3750855578370979</v>
      </c>
      <c r="F1163" s="49">
        <f>IF(expected_production[[#This Row],[Age (yrs)]]="",1,(1-DegradationRate)^expected_production[[#This Row],[Age (yrs)]])</f>
        <v>0.99736863650994889</v>
      </c>
      <c r="G1163" s="52">
        <f>IF(expected_production[[#This Row],[Base Expected (kWh)]]="","",expected_production[[#This Row],[Base Expected (kWh)]]*expected_production[[#This Row],[Degradation Factor]])</f>
        <v>15151.126694086284</v>
      </c>
    </row>
    <row r="1164" spans="1:7" ht="15" hidden="1" customHeight="1" x14ac:dyDescent="0.3">
      <c r="A1164" t="s">
        <v>127</v>
      </c>
      <c r="B1164" s="2">
        <v>45566</v>
      </c>
      <c r="C1164" s="52">
        <v>14349.6</v>
      </c>
      <c r="D1164" s="48">
        <f>_xlfn.XLOOKUP(expected_production[[#This Row],[Site Name]],Table1[[Site Name ]],Table1[Commisioned Date],"")</f>
        <v>45399</v>
      </c>
      <c r="E1164" s="47">
        <f>IF(ISNUMBER(expected_production[[#This Row],[Commissioned Date]]),MAX(0,(expected_production[[#This Row],[Date]]-expected_production[[#This Row],[Commissioned Date]])/365.25),"")</f>
        <v>0.45722108145106094</v>
      </c>
      <c r="F1164" s="49">
        <f>IF(expected_production[[#This Row],[Age (yrs)]]="",1,(1-DegradationRate)^expected_production[[#This Row],[Age (yrs)]])</f>
        <v>0.99679335028035843</v>
      </c>
      <c r="G1164" s="52">
        <f>IF(expected_production[[#This Row],[Base Expected (kWh)]]="","",expected_production[[#This Row],[Base Expected (kWh)]]*expected_production[[#This Row],[Degradation Factor]])</f>
        <v>14303.585859183031</v>
      </c>
    </row>
    <row r="1165" spans="1:7" ht="15" hidden="1" customHeight="1" x14ac:dyDescent="0.3">
      <c r="A1165" t="s">
        <v>127</v>
      </c>
      <c r="B1165" s="2">
        <v>45597</v>
      </c>
      <c r="C1165" s="52">
        <v>13257.9</v>
      </c>
      <c r="D1165" s="48">
        <f>_xlfn.XLOOKUP(expected_production[[#This Row],[Site Name]],Table1[[Site Name ]],Table1[Commisioned Date],"")</f>
        <v>45399</v>
      </c>
      <c r="E1165" s="47">
        <f>IF(ISNUMBER(expected_production[[#This Row],[Commissioned Date]]),MAX(0,(expected_production[[#This Row],[Date]]-expected_production[[#This Row],[Commissioned Date]])/365.25),"")</f>
        <v>0.5420944558521561</v>
      </c>
      <c r="F1165" s="49">
        <f>IF(expected_production[[#This Row],[Age (yrs)]]="",1,(1-DegradationRate)^expected_production[[#This Row],[Age (yrs)]])</f>
        <v>0.99619923644400366</v>
      </c>
      <c r="G1165" s="52">
        <f>IF(expected_production[[#This Row],[Base Expected (kWh)]]="","",expected_production[[#This Row],[Base Expected (kWh)]]*expected_production[[#This Row],[Degradation Factor]])</f>
        <v>13207.509856850957</v>
      </c>
    </row>
    <row r="1166" spans="1:7" ht="15" hidden="1" customHeight="1" x14ac:dyDescent="0.3">
      <c r="A1166" t="s">
        <v>127</v>
      </c>
      <c r="B1166" s="2">
        <v>45627</v>
      </c>
      <c r="C1166" s="52">
        <v>13839.3</v>
      </c>
      <c r="D1166" s="48">
        <f>_xlfn.XLOOKUP(expected_production[[#This Row],[Site Name]],Table1[[Site Name ]],Table1[Commisioned Date],"")</f>
        <v>45399</v>
      </c>
      <c r="E1166" s="47">
        <f>IF(ISNUMBER(expected_production[[#This Row],[Commissioned Date]]),MAX(0,(expected_production[[#This Row],[Date]]-expected_production[[#This Row],[Commissioned Date]])/365.25),"")</f>
        <v>0.62422997946611913</v>
      </c>
      <c r="F1166" s="49">
        <f>IF(expected_production[[#This Row],[Age (yrs)]]="",1,(1-DegradationRate)^expected_production[[#This Row],[Age (yrs)]])</f>
        <v>0.99562462472906121</v>
      </c>
      <c r="G1166" s="52">
        <f>IF(expected_production[[#This Row],[Base Expected (kWh)]]="","",expected_production[[#This Row],[Base Expected (kWh)]]*expected_production[[#This Row],[Degradation Factor]])</f>
        <v>13778.747869012896</v>
      </c>
    </row>
    <row r="1167" spans="1:7" ht="15" hidden="1" customHeight="1" x14ac:dyDescent="0.3">
      <c r="A1167" t="s">
        <v>127</v>
      </c>
      <c r="B1167" s="2">
        <v>45658</v>
      </c>
      <c r="C1167" s="52">
        <v>15870.6</v>
      </c>
      <c r="D1167" s="48">
        <f>_xlfn.XLOOKUP(expected_production[[#This Row],[Site Name]],Table1[[Site Name ]],Table1[Commisioned Date],"")</f>
        <v>45399</v>
      </c>
      <c r="E1167" s="47">
        <f>IF(ISNUMBER(expected_production[[#This Row],[Commissioned Date]]),MAX(0,(expected_production[[#This Row],[Date]]-expected_production[[#This Row],[Commissioned Date]])/365.25),"")</f>
        <v>0.70910335386721424</v>
      </c>
      <c r="F1167" s="49">
        <f>IF(expected_production[[#This Row],[Age (yrs)]]="",1,(1-DegradationRate)^expected_production[[#This Row],[Age (yrs)]])</f>
        <v>0.99503120748244667</v>
      </c>
      <c r="G1167" s="52">
        <f>IF(expected_production[[#This Row],[Base Expected (kWh)]]="","",expected_production[[#This Row],[Base Expected (kWh)]]*expected_production[[#This Row],[Degradation Factor]])</f>
        <v>15791.742281470919</v>
      </c>
    </row>
    <row r="1168" spans="1:7" ht="15" hidden="1" customHeight="1" x14ac:dyDescent="0.3">
      <c r="A1168" t="s">
        <v>127</v>
      </c>
      <c r="B1168" s="2">
        <v>45689</v>
      </c>
      <c r="C1168" s="52">
        <v>14825.7</v>
      </c>
      <c r="D1168" s="48">
        <f>_xlfn.XLOOKUP(expected_production[[#This Row],[Site Name]],Table1[[Site Name ]],Table1[Commisioned Date],"")</f>
        <v>45399</v>
      </c>
      <c r="E1168" s="47">
        <f>IF(ISNUMBER(expected_production[[#This Row],[Commissioned Date]]),MAX(0,(expected_production[[#This Row],[Date]]-expected_production[[#This Row],[Commissioned Date]])/365.25),"")</f>
        <v>0.79397672826830934</v>
      </c>
      <c r="F1168" s="49">
        <f>IF(expected_production[[#This Row],[Age (yrs)]]="",1,(1-DegradationRate)^expected_production[[#This Row],[Age (yrs)]])</f>
        <v>0.99443814392739405</v>
      </c>
      <c r="G1168" s="52">
        <f>IF(expected_production[[#This Row],[Base Expected (kWh)]]="","",expected_production[[#This Row],[Base Expected (kWh)]]*expected_production[[#This Row],[Degradation Factor]])</f>
        <v>14743.241590424366</v>
      </c>
    </row>
    <row r="1169" spans="1:7" ht="15" hidden="1" customHeight="1" x14ac:dyDescent="0.3">
      <c r="A1169" t="s">
        <v>127</v>
      </c>
      <c r="B1169" s="2">
        <v>45717</v>
      </c>
      <c r="C1169" s="52">
        <v>17314.2</v>
      </c>
      <c r="D1169" s="48">
        <f>_xlfn.XLOOKUP(expected_production[[#This Row],[Site Name]],Table1[[Site Name ]],Table1[Commisioned Date],"")</f>
        <v>45399</v>
      </c>
      <c r="E1169" s="47">
        <f>IF(ISNUMBER(expected_production[[#This Row],[Commissioned Date]]),MAX(0,(expected_production[[#This Row],[Date]]-expected_production[[#This Row],[Commissioned Date]])/365.25),"")</f>
        <v>0.87063655030800824</v>
      </c>
      <c r="F1169" s="49">
        <f>IF(expected_production[[#This Row],[Age (yrs)]]="",1,(1-DegradationRate)^expected_production[[#This Row],[Age (yrs)]])</f>
        <v>0.99390277744969457</v>
      </c>
      <c r="G1169" s="52">
        <f>IF(expected_production[[#This Row],[Base Expected (kWh)]]="","",expected_production[[#This Row],[Base Expected (kWh)]]*expected_production[[#This Row],[Degradation Factor]])</f>
        <v>17208.631469319502</v>
      </c>
    </row>
    <row r="1170" spans="1:7" ht="15" hidden="1" customHeight="1" x14ac:dyDescent="0.3">
      <c r="A1170" t="s">
        <v>127</v>
      </c>
      <c r="B1170" s="2">
        <v>45748</v>
      </c>
      <c r="C1170" s="52">
        <v>15358.5</v>
      </c>
      <c r="D1170" s="48">
        <f>_xlfn.XLOOKUP(expected_production[[#This Row],[Site Name]],Table1[[Site Name ]],Table1[Commisioned Date],"")</f>
        <v>45399</v>
      </c>
      <c r="E1170" s="47">
        <f>IF(ISNUMBER(expected_production[[#This Row],[Commissioned Date]]),MAX(0,(expected_production[[#This Row],[Date]]-expected_production[[#This Row],[Commissioned Date]])/365.25),"")</f>
        <v>0.95550992470910334</v>
      </c>
      <c r="F1170" s="49">
        <f>IF(expected_production[[#This Row],[Age (yrs)]]="",1,(1-DegradationRate)^expected_production[[#This Row],[Age (yrs)]])</f>
        <v>0.99331038646724257</v>
      </c>
      <c r="G1170" s="52">
        <f>IF(expected_production[[#This Row],[Base Expected (kWh)]]="","",expected_production[[#This Row],[Base Expected (kWh)]]*expected_production[[#This Row],[Degradation Factor]])</f>
        <v>15255.757570557145</v>
      </c>
    </row>
    <row r="1171" spans="1:7" ht="15" hidden="1" customHeight="1" x14ac:dyDescent="0.3">
      <c r="A1171" t="s">
        <v>127</v>
      </c>
      <c r="B1171" s="2">
        <v>45778</v>
      </c>
      <c r="C1171" s="52">
        <v>15197.4</v>
      </c>
      <c r="D1171" s="48">
        <f>_xlfn.XLOOKUP(expected_production[[#This Row],[Site Name]],Table1[[Site Name ]],Table1[Commisioned Date],"")</f>
        <v>45399</v>
      </c>
      <c r="E1171" s="47">
        <f>IF(ISNUMBER(expected_production[[#This Row],[Commissioned Date]]),MAX(0,(expected_production[[#This Row],[Date]]-expected_production[[#This Row],[Commissioned Date]])/365.25),"")</f>
        <v>1.0376454483230664</v>
      </c>
      <c r="F1171" s="49">
        <f>IF(expected_production[[#This Row],[Age (yrs)]]="",1,(1-DegradationRate)^expected_production[[#This Row],[Age (yrs)]])</f>
        <v>0.99273744105255268</v>
      </c>
      <c r="G1171" s="52">
        <f>IF(expected_production[[#This Row],[Base Expected (kWh)]]="","",expected_production[[#This Row],[Base Expected (kWh)]]*expected_production[[#This Row],[Degradation Factor]])</f>
        <v>15087.027986652063</v>
      </c>
    </row>
    <row r="1172" spans="1:7" ht="15" hidden="1" customHeight="1" x14ac:dyDescent="0.3">
      <c r="A1172" t="s">
        <v>127</v>
      </c>
      <c r="B1172" s="2">
        <v>45809</v>
      </c>
      <c r="C1172" s="52">
        <v>14489.1</v>
      </c>
      <c r="D1172" s="48">
        <f>_xlfn.XLOOKUP(expected_production[[#This Row],[Site Name]],Table1[[Site Name ]],Table1[Commisioned Date],"")</f>
        <v>45399</v>
      </c>
      <c r="E1172" s="47">
        <f>IF(ISNUMBER(expected_production[[#This Row],[Commissioned Date]]),MAX(0,(expected_production[[#This Row],[Date]]-expected_production[[#This Row],[Commissioned Date]])/365.25),"")</f>
        <v>1.1225188227241616</v>
      </c>
      <c r="F1172" s="49">
        <f>IF(expected_production[[#This Row],[Age (yrs)]]="",1,(1-DegradationRate)^expected_production[[#This Row],[Age (yrs)]])</f>
        <v>0.99214574463981997</v>
      </c>
      <c r="G1172" s="52">
        <f>IF(expected_production[[#This Row],[Base Expected (kWh)]]="","",expected_production[[#This Row],[Base Expected (kWh)]]*expected_production[[#This Row],[Degradation Factor]])</f>
        <v>14375.298908660816</v>
      </c>
    </row>
    <row r="1173" spans="1:7" ht="15" hidden="1" customHeight="1" x14ac:dyDescent="0.3">
      <c r="A1173" t="s">
        <v>127</v>
      </c>
      <c r="B1173" s="2">
        <v>45839</v>
      </c>
      <c r="C1173" s="52">
        <v>15390.9</v>
      </c>
      <c r="D1173" s="48">
        <f>_xlfn.XLOOKUP(expected_production[[#This Row],[Site Name]],Table1[[Site Name ]],Table1[Commisioned Date],"")</f>
        <v>45399</v>
      </c>
      <c r="E1173" s="47">
        <f>IF(ISNUMBER(expected_production[[#This Row],[Commissioned Date]]),MAX(0,(expected_production[[#This Row],[Date]]-expected_production[[#This Row],[Commissioned Date]])/365.25),"")</f>
        <v>1.2046543463381245</v>
      </c>
      <c r="F1173" s="49">
        <f>IF(expected_production[[#This Row],[Age (yrs)]]="",1,(1-DegradationRate)^expected_production[[#This Row],[Age (yrs)]])</f>
        <v>0.9915734709952071</v>
      </c>
      <c r="G1173" s="52">
        <f>IF(expected_production[[#This Row],[Base Expected (kWh)]]="","",expected_production[[#This Row],[Base Expected (kWh)]]*expected_production[[#This Row],[Degradation Factor]])</f>
        <v>15261.208134740133</v>
      </c>
    </row>
    <row r="1174" spans="1:7" ht="15" hidden="1" customHeight="1" x14ac:dyDescent="0.3">
      <c r="A1174" t="s">
        <v>127</v>
      </c>
      <c r="B1174" s="2">
        <v>45870</v>
      </c>
      <c r="C1174" s="52">
        <v>15613.2</v>
      </c>
      <c r="D1174" s="48">
        <f>_xlfn.XLOOKUP(expected_production[[#This Row],[Site Name]],Table1[[Site Name ]],Table1[Commisioned Date],"")</f>
        <v>45399</v>
      </c>
      <c r="E1174" s="47">
        <f>IF(ISNUMBER(expected_production[[#This Row],[Commissioned Date]]),MAX(0,(expected_production[[#This Row],[Date]]-expected_production[[#This Row],[Commissioned Date]])/365.25),"")</f>
        <v>1.2895277207392197</v>
      </c>
      <c r="F1174" s="49">
        <f>IF(expected_production[[#This Row],[Age (yrs)]]="",1,(1-DegradationRate)^expected_production[[#This Row],[Age (yrs)]])</f>
        <v>0.990982468337821</v>
      </c>
      <c r="G1174" s="52">
        <f>IF(expected_production[[#This Row],[Base Expected (kWh)]]="","",expected_production[[#This Row],[Base Expected (kWh)]]*expected_production[[#This Row],[Degradation Factor]])</f>
        <v>15472.407474652067</v>
      </c>
    </row>
    <row r="1175" spans="1:7" ht="15" hidden="1" customHeight="1" x14ac:dyDescent="0.3">
      <c r="A1175" t="s">
        <v>127</v>
      </c>
      <c r="B1175" s="2">
        <v>45901</v>
      </c>
      <c r="C1175" s="52">
        <v>15191.1</v>
      </c>
      <c r="D1175" s="48">
        <f>_xlfn.XLOOKUP(expected_production[[#This Row],[Site Name]],Table1[[Site Name ]],Table1[Commisioned Date],"")</f>
        <v>45399</v>
      </c>
      <c r="E1175" s="47">
        <f>IF(ISNUMBER(expected_production[[#This Row],[Commissioned Date]]),MAX(0,(expected_production[[#This Row],[Date]]-expected_production[[#This Row],[Commissioned Date]])/365.25),"")</f>
        <v>1.3744010951403149</v>
      </c>
      <c r="F1175" s="49">
        <f>IF(expected_production[[#This Row],[Age (yrs)]]="",1,(1-DegradationRate)^expected_production[[#This Row],[Age (yrs)]])</f>
        <v>0.99039181793284092</v>
      </c>
      <c r="G1175" s="52">
        <f>IF(expected_production[[#This Row],[Base Expected (kWh)]]="","",expected_production[[#This Row],[Base Expected (kWh)]]*expected_production[[#This Row],[Degradation Factor]])</f>
        <v>15045.141145399581</v>
      </c>
    </row>
    <row r="1176" spans="1:7" ht="15" hidden="1" customHeight="1" x14ac:dyDescent="0.3">
      <c r="A1176" t="s">
        <v>127</v>
      </c>
      <c r="B1176" s="2">
        <v>45931</v>
      </c>
      <c r="C1176" s="52">
        <v>14349.6</v>
      </c>
      <c r="D1176" s="48">
        <f>_xlfn.XLOOKUP(expected_production[[#This Row],[Site Name]],Table1[[Site Name ]],Table1[Commisioned Date],"")</f>
        <v>45399</v>
      </c>
      <c r="E1176" s="47">
        <f>IF(ISNUMBER(expected_production[[#This Row],[Commissioned Date]]),MAX(0,(expected_production[[#This Row],[Date]]-expected_production[[#This Row],[Commissioned Date]])/365.25),"")</f>
        <v>1.4565366187542779</v>
      </c>
      <c r="F1176" s="49">
        <f>IF(expected_production[[#This Row],[Age (yrs)]]="",1,(1-DegradationRate)^expected_production[[#This Row],[Age (yrs)]])</f>
        <v>0.98982055596018703</v>
      </c>
      <c r="G1176" s="52">
        <f>IF(expected_production[[#This Row],[Base Expected (kWh)]]="","",expected_production[[#This Row],[Base Expected (kWh)]]*expected_production[[#This Row],[Degradation Factor]])</f>
        <v>14203.5290498063</v>
      </c>
    </row>
    <row r="1177" spans="1:7" ht="15" hidden="1" customHeight="1" x14ac:dyDescent="0.3">
      <c r="A1177" t="s">
        <v>127</v>
      </c>
      <c r="B1177" s="2">
        <v>45962</v>
      </c>
      <c r="C1177" s="52">
        <v>13257.9</v>
      </c>
      <c r="D1177" s="48">
        <f>_xlfn.XLOOKUP(expected_production[[#This Row],[Site Name]],Table1[[Site Name ]],Table1[Commisioned Date],"")</f>
        <v>45399</v>
      </c>
      <c r="E1177" s="47">
        <f>IF(ISNUMBER(expected_production[[#This Row],[Commissioned Date]]),MAX(0,(expected_production[[#This Row],[Date]]-expected_production[[#This Row],[Commissioned Date]])/365.25),"")</f>
        <v>1.5414099931553731</v>
      </c>
      <c r="F1177" s="49">
        <f>IF(expected_production[[#This Row],[Age (yrs)]]="",1,(1-DegradationRate)^expected_production[[#This Row],[Age (yrs)]])</f>
        <v>0.98923059808412483</v>
      </c>
      <c r="G1177" s="52">
        <f>IF(expected_production[[#This Row],[Base Expected (kWh)]]="","",expected_production[[#This Row],[Base Expected (kWh)]]*expected_production[[#This Row],[Degradation Factor]])</f>
        <v>13115.120346339518</v>
      </c>
    </row>
    <row r="1178" spans="1:7" ht="15" hidden="1" customHeight="1" x14ac:dyDescent="0.3">
      <c r="A1178" t="s">
        <v>127</v>
      </c>
      <c r="B1178" s="2">
        <v>45992</v>
      </c>
      <c r="C1178" s="52">
        <v>13839.3</v>
      </c>
      <c r="D1178" s="48">
        <f>_xlfn.XLOOKUP(expected_production[[#This Row],[Site Name]],Table1[[Site Name ]],Table1[Commisioned Date],"")</f>
        <v>45399</v>
      </c>
      <c r="E1178" s="47">
        <f>IF(ISNUMBER(expected_production[[#This Row],[Commissioned Date]]),MAX(0,(expected_production[[#This Row],[Date]]-expected_production[[#This Row],[Commissioned Date]])/365.25),"")</f>
        <v>1.623545516769336</v>
      </c>
      <c r="F1178" s="49">
        <f>IF(expected_production[[#This Row],[Age (yrs)]]="",1,(1-DegradationRate)^expected_production[[#This Row],[Age (yrs)]])</f>
        <v>0.98866000590773684</v>
      </c>
      <c r="G1178" s="52">
        <f>IF(expected_production[[#This Row],[Base Expected (kWh)]]="","",expected_production[[#This Row],[Base Expected (kWh)]]*expected_production[[#This Row],[Degradation Factor]])</f>
        <v>13682.362419758942</v>
      </c>
    </row>
    <row r="1179" spans="1:7" ht="15" hidden="1" customHeight="1" x14ac:dyDescent="0.3">
      <c r="A1179" t="s">
        <v>127</v>
      </c>
      <c r="B1179" s="2">
        <v>46023</v>
      </c>
      <c r="C1179" s="52">
        <v>15870.6</v>
      </c>
      <c r="D1179" s="48">
        <f>_xlfn.XLOOKUP(expected_production[[#This Row],[Site Name]],Table1[[Site Name ]],Table1[Commisioned Date],"")</f>
        <v>45399</v>
      </c>
      <c r="E1179" s="47">
        <f>IF(ISNUMBER(expected_production[[#This Row],[Commissioned Date]]),MAX(0,(expected_production[[#This Row],[Date]]-expected_production[[#This Row],[Commissioned Date]])/365.25),"")</f>
        <v>1.7084188911704312</v>
      </c>
      <c r="F1179" s="49">
        <f>IF(expected_production[[#This Row],[Age (yrs)]]="",1,(1-DegradationRate)^expected_production[[#This Row],[Age (yrs)]])</f>
        <v>0.98807073974861248</v>
      </c>
      <c r="G1179" s="52">
        <f>IF(expected_production[[#This Row],[Base Expected (kWh)]]="","",expected_production[[#This Row],[Base Expected (kWh)]]*expected_production[[#This Row],[Degradation Factor]])</f>
        <v>15681.27548225433</v>
      </c>
    </row>
    <row r="1180" spans="1:7" ht="15" hidden="1" customHeight="1" x14ac:dyDescent="0.3">
      <c r="A1180" t="s">
        <v>127</v>
      </c>
      <c r="B1180" s="2">
        <v>46054</v>
      </c>
      <c r="C1180" s="52">
        <v>14825.7</v>
      </c>
      <c r="D1180" s="48">
        <f>_xlfn.XLOOKUP(expected_production[[#This Row],[Site Name]],Table1[[Site Name ]],Table1[Commisioned Date],"")</f>
        <v>45399</v>
      </c>
      <c r="E1180" s="47">
        <f>IF(ISNUMBER(expected_production[[#This Row],[Commissioned Date]]),MAX(0,(expected_production[[#This Row],[Date]]-expected_production[[#This Row],[Commissioned Date]])/365.25),"")</f>
        <v>1.7932922655715264</v>
      </c>
      <c r="F1180" s="49">
        <f>IF(expected_production[[#This Row],[Age (yrs)]]="",1,(1-DegradationRate)^expected_production[[#This Row],[Age (yrs)]])</f>
        <v>0.98748182480689783</v>
      </c>
      <c r="G1180" s="52">
        <f>IF(expected_production[[#This Row],[Base Expected (kWh)]]="","",expected_production[[#This Row],[Base Expected (kWh)]]*expected_production[[#This Row],[Degradation Factor]])</f>
        <v>14640.109290039625</v>
      </c>
    </row>
    <row r="1181" spans="1:7" ht="15" hidden="1" customHeight="1" x14ac:dyDescent="0.3">
      <c r="A1181" t="s">
        <v>127</v>
      </c>
      <c r="B1181" s="2">
        <v>46082</v>
      </c>
      <c r="C1181" s="52">
        <v>17314.2</v>
      </c>
      <c r="D1181" s="48">
        <f>_xlfn.XLOOKUP(expected_production[[#This Row],[Site Name]],Table1[[Site Name ]],Table1[Commisioned Date],"")</f>
        <v>45399</v>
      </c>
      <c r="E1181" s="47">
        <f>IF(ISNUMBER(expected_production[[#This Row],[Commissioned Date]]),MAX(0,(expected_production[[#This Row],[Date]]-expected_production[[#This Row],[Commissioned Date]])/365.25),"")</f>
        <v>1.8699520876112252</v>
      </c>
      <c r="F1181" s="49">
        <f>IF(expected_production[[#This Row],[Age (yrs)]]="",1,(1-DegradationRate)^expected_production[[#This Row],[Age (yrs)]])</f>
        <v>0.98695020333846617</v>
      </c>
      <c r="G1181" s="52">
        <f>IF(expected_production[[#This Row],[Base Expected (kWh)]]="","",expected_production[[#This Row],[Base Expected (kWh)]]*expected_production[[#This Row],[Degradation Factor]])</f>
        <v>17088.253210642873</v>
      </c>
    </row>
    <row r="1182" spans="1:7" ht="15" hidden="1" customHeight="1" x14ac:dyDescent="0.3">
      <c r="A1182" t="s">
        <v>127</v>
      </c>
      <c r="B1182" s="2">
        <v>46113</v>
      </c>
      <c r="C1182" s="52">
        <v>15358.5</v>
      </c>
      <c r="D1182" s="48">
        <f>_xlfn.XLOOKUP(expected_production[[#This Row],[Site Name]],Table1[[Site Name ]],Table1[Commisioned Date],"")</f>
        <v>45399</v>
      </c>
      <c r="E1182" s="47">
        <f>IF(ISNUMBER(expected_production[[#This Row],[Commissioned Date]]),MAX(0,(expected_production[[#This Row],[Date]]-expected_production[[#This Row],[Commissioned Date]])/365.25),"")</f>
        <v>1.9548254620123204</v>
      </c>
      <c r="F1182" s="49">
        <f>IF(expected_production[[#This Row],[Age (yrs)]]="",1,(1-DegradationRate)^expected_production[[#This Row],[Age (yrs)]])</f>
        <v>0.98636195626455503</v>
      </c>
      <c r="G1182" s="52">
        <f>IF(expected_production[[#This Row],[Base Expected (kWh)]]="","",expected_production[[#This Row],[Base Expected (kWh)]]*expected_production[[#This Row],[Degradation Factor]])</f>
        <v>15149.040105289168</v>
      </c>
    </row>
    <row r="1183" spans="1:7" ht="15" hidden="1" customHeight="1" x14ac:dyDescent="0.3">
      <c r="A1183" t="s">
        <v>127</v>
      </c>
      <c r="B1183" s="2">
        <v>46143</v>
      </c>
      <c r="C1183" s="52">
        <v>15197.4</v>
      </c>
      <c r="D1183" s="48">
        <f>_xlfn.XLOOKUP(expected_production[[#This Row],[Site Name]],Table1[[Site Name ]],Table1[Commisioned Date],"")</f>
        <v>45399</v>
      </c>
      <c r="E1183" s="47">
        <f>IF(ISNUMBER(expected_production[[#This Row],[Commissioned Date]]),MAX(0,(expected_production[[#This Row],[Date]]-expected_production[[#This Row],[Commissioned Date]])/365.25),"")</f>
        <v>2.0369609856262834</v>
      </c>
      <c r="F1183" s="49">
        <f>IF(expected_production[[#This Row],[Age (yrs)]]="",1,(1-DegradationRate)^expected_production[[#This Row],[Age (yrs)]])</f>
        <v>0.98579301873227354</v>
      </c>
      <c r="G1183" s="52">
        <f>IF(expected_production[[#This Row],[Base Expected (kWh)]]="","",expected_production[[#This Row],[Base Expected (kWh)]]*expected_production[[#This Row],[Degradation Factor]])</f>
        <v>14981.490822881853</v>
      </c>
    </row>
    <row r="1184" spans="1:7" ht="15" hidden="1" customHeight="1" x14ac:dyDescent="0.3">
      <c r="A1184" t="s">
        <v>127</v>
      </c>
      <c r="B1184" s="2">
        <v>46174</v>
      </c>
      <c r="C1184" s="52">
        <v>14489.1</v>
      </c>
      <c r="D1184" s="48">
        <f>_xlfn.XLOOKUP(expected_production[[#This Row],[Site Name]],Table1[[Site Name ]],Table1[Commisioned Date],"")</f>
        <v>45399</v>
      </c>
      <c r="E1184" s="47">
        <f>IF(ISNUMBER(expected_production[[#This Row],[Commissioned Date]]),MAX(0,(expected_production[[#This Row],[Date]]-expected_production[[#This Row],[Commissioned Date]])/365.25),"")</f>
        <v>2.1218343600273784</v>
      </c>
      <c r="F1184" s="49">
        <f>IF(expected_production[[#This Row],[Age (yrs)]]="",1,(1-DegradationRate)^expected_production[[#This Row],[Age (yrs)]])</f>
        <v>0.9852054613694099</v>
      </c>
      <c r="G1184" s="52">
        <f>IF(expected_production[[#This Row],[Base Expected (kWh)]]="","",expected_production[[#This Row],[Base Expected (kWh)]]*expected_production[[#This Row],[Degradation Factor]])</f>
        <v>14274.740450327517</v>
      </c>
    </row>
    <row r="1185" spans="1:7" ht="15" hidden="1" customHeight="1" x14ac:dyDescent="0.3">
      <c r="A1185" t="s">
        <v>127</v>
      </c>
      <c r="B1185" s="2">
        <v>46204</v>
      </c>
      <c r="C1185" s="52">
        <v>15390.9</v>
      </c>
      <c r="D1185" s="48">
        <f>_xlfn.XLOOKUP(expected_production[[#This Row],[Site Name]],Table1[[Site Name ]],Table1[Commisioned Date],"")</f>
        <v>45399</v>
      </c>
      <c r="E1185" s="47">
        <f>IF(ISNUMBER(expected_production[[#This Row],[Commissioned Date]]),MAX(0,(expected_production[[#This Row],[Date]]-expected_production[[#This Row],[Commissioned Date]])/365.25),"")</f>
        <v>2.2039698836413417</v>
      </c>
      <c r="F1185" s="49">
        <f>IF(expected_production[[#This Row],[Age (yrs)]]="",1,(1-DegradationRate)^expected_production[[#This Row],[Age (yrs)]])</f>
        <v>0.98463719090802215</v>
      </c>
      <c r="G1185" s="52">
        <f>IF(expected_production[[#This Row],[Base Expected (kWh)]]="","",expected_production[[#This Row],[Base Expected (kWh)]]*expected_production[[#This Row],[Degradation Factor]])</f>
        <v>15154.452541546278</v>
      </c>
    </row>
    <row r="1186" spans="1:7" ht="15" hidden="1" customHeight="1" x14ac:dyDescent="0.3">
      <c r="A1186" t="s">
        <v>127</v>
      </c>
      <c r="B1186" s="2">
        <v>46235</v>
      </c>
      <c r="C1186" s="52">
        <v>15613.2</v>
      </c>
      <c r="D1186" s="48">
        <f>_xlfn.XLOOKUP(expected_production[[#This Row],[Site Name]],Table1[[Site Name ]],Table1[Commisioned Date],"")</f>
        <v>45399</v>
      </c>
      <c r="E1186" s="47">
        <f>IF(ISNUMBER(expected_production[[#This Row],[Commissioned Date]]),MAX(0,(expected_production[[#This Row],[Date]]-expected_production[[#This Row],[Commissioned Date]])/365.25),"")</f>
        <v>2.2888432580424367</v>
      </c>
      <c r="F1186" s="49">
        <f>IF(expected_production[[#This Row],[Age (yrs)]]="",1,(1-DegradationRate)^expected_production[[#This Row],[Age (yrs)]])</f>
        <v>0.98405032244752988</v>
      </c>
      <c r="G1186" s="52">
        <f>IF(expected_production[[#This Row],[Base Expected (kWh)]]="","",expected_production[[#This Row],[Base Expected (kWh)]]*expected_production[[#This Row],[Degradation Factor]])</f>
        <v>15364.174494437775</v>
      </c>
    </row>
    <row r="1187" spans="1:7" ht="15" hidden="1" customHeight="1" x14ac:dyDescent="0.3">
      <c r="A1187" t="s">
        <v>127</v>
      </c>
      <c r="B1187" s="2">
        <v>46266</v>
      </c>
      <c r="C1187" s="52">
        <v>15191.1</v>
      </c>
      <c r="D1187" s="48">
        <f>_xlfn.XLOOKUP(expected_production[[#This Row],[Site Name]],Table1[[Site Name ]],Table1[Commisioned Date],"")</f>
        <v>45399</v>
      </c>
      <c r="E1187" s="47">
        <f>IF(ISNUMBER(expected_production[[#This Row],[Commissioned Date]]),MAX(0,(expected_production[[#This Row],[Date]]-expected_production[[#This Row],[Commissioned Date]])/365.25),"")</f>
        <v>2.3737166324435317</v>
      </c>
      <c r="F1187" s="49">
        <f>IF(expected_production[[#This Row],[Age (yrs)]]="",1,(1-DegradationRate)^expected_production[[#This Row],[Age (yrs)]])</f>
        <v>0.9834638037753588</v>
      </c>
      <c r="G1187" s="52">
        <f>IF(expected_production[[#This Row],[Base Expected (kWh)]]="","",expected_production[[#This Row],[Base Expected (kWh)]]*expected_production[[#This Row],[Degradation Factor]])</f>
        <v>14939.896989531853</v>
      </c>
    </row>
    <row r="1188" spans="1:7" ht="15" hidden="1" customHeight="1" x14ac:dyDescent="0.3">
      <c r="A1188" t="s">
        <v>127</v>
      </c>
      <c r="B1188" s="2">
        <v>46296</v>
      </c>
      <c r="C1188" s="52">
        <v>14349.6</v>
      </c>
      <c r="D1188" s="48">
        <f>_xlfn.XLOOKUP(expected_production[[#This Row],[Site Name]],Table1[[Site Name ]],Table1[Commisioned Date],"")</f>
        <v>45399</v>
      </c>
      <c r="E1188" s="47">
        <f>IF(ISNUMBER(expected_production[[#This Row],[Commissioned Date]]),MAX(0,(expected_production[[#This Row],[Date]]-expected_production[[#This Row],[Commissioned Date]])/365.25),"")</f>
        <v>2.4558521560574951</v>
      </c>
      <c r="F1188" s="49">
        <f>IF(expected_production[[#This Row],[Age (yrs)]]="",1,(1-DegradationRate)^expected_production[[#This Row],[Age (yrs)]])</f>
        <v>0.9828965379090564</v>
      </c>
      <c r="G1188" s="52">
        <f>IF(expected_production[[#This Row],[Base Expected (kWh)]]="","",expected_production[[#This Row],[Base Expected (kWh)]]*expected_production[[#This Row],[Degradation Factor]])</f>
        <v>14104.172160379796</v>
      </c>
    </row>
    <row r="1189" spans="1:7" ht="15" hidden="1" customHeight="1" x14ac:dyDescent="0.3">
      <c r="A1189" t="s">
        <v>127</v>
      </c>
      <c r="B1189" s="2">
        <v>46327</v>
      </c>
      <c r="C1189" s="52">
        <v>13257.9</v>
      </c>
      <c r="D1189" s="48">
        <f>_xlfn.XLOOKUP(expected_production[[#This Row],[Site Name]],Table1[[Site Name ]],Table1[Commisioned Date],"")</f>
        <v>45399</v>
      </c>
      <c r="E1189" s="47">
        <f>IF(ISNUMBER(expected_production[[#This Row],[Commissioned Date]]),MAX(0,(expected_production[[#This Row],[Date]]-expected_production[[#This Row],[Commissioned Date]])/365.25),"")</f>
        <v>2.5407255304585901</v>
      </c>
      <c r="F1189" s="49">
        <f>IF(expected_production[[#This Row],[Age (yrs)]]="",1,(1-DegradationRate)^expected_production[[#This Row],[Age (yrs)]])</f>
        <v>0.98231070692140721</v>
      </c>
      <c r="G1189" s="52">
        <f>IF(expected_production[[#This Row],[Base Expected (kWh)]]="","",expected_production[[#This Row],[Base Expected (kWh)]]*expected_production[[#This Row],[Degradation Factor]])</f>
        <v>13023.377121293324</v>
      </c>
    </row>
    <row r="1190" spans="1:7" ht="15" hidden="1" customHeight="1" x14ac:dyDescent="0.3">
      <c r="A1190" t="s">
        <v>127</v>
      </c>
      <c r="B1190" s="2">
        <v>46357</v>
      </c>
      <c r="C1190" s="52">
        <v>13839.3</v>
      </c>
      <c r="D1190" s="48">
        <f>_xlfn.XLOOKUP(expected_production[[#This Row],[Site Name]],Table1[[Site Name ]],Table1[Commisioned Date],"")</f>
        <v>45399</v>
      </c>
      <c r="E1190" s="47">
        <f>IF(ISNUMBER(expected_production[[#This Row],[Commissioned Date]]),MAX(0,(expected_production[[#This Row],[Date]]-expected_production[[#This Row],[Commissioned Date]])/365.25),"")</f>
        <v>2.622861054072553</v>
      </c>
      <c r="F1190" s="49">
        <f>IF(expected_production[[#This Row],[Age (yrs)]]="",1,(1-DegradationRate)^expected_production[[#This Row],[Age (yrs)]])</f>
        <v>0.98174410616599472</v>
      </c>
      <c r="G1190" s="52">
        <f>IF(expected_production[[#This Row],[Base Expected (kWh)]]="","",expected_production[[#This Row],[Base Expected (kWh)]]*expected_production[[#This Row],[Degradation Factor]])</f>
        <v>13586.65120846305</v>
      </c>
    </row>
    <row r="1191" spans="1:7" ht="15" hidden="1" customHeight="1" x14ac:dyDescent="0.3">
      <c r="A1191" t="s">
        <v>234</v>
      </c>
      <c r="B1191" s="2">
        <v>45292</v>
      </c>
      <c r="C1191" s="52">
        <v>53361.9</v>
      </c>
      <c r="D1191" s="48">
        <f>_xlfn.XLOOKUP(expected_production[[#This Row],[Site Name]],Table1[[Site Name ]],Table1[Commisioned Date],"")</f>
        <v>45713</v>
      </c>
      <c r="E1191" s="47">
        <f>IF(ISNUMBER(expected_production[[#This Row],[Commissioned Date]]),MAX(0,(expected_production[[#This Row],[Date]]-expected_production[[#This Row],[Commissioned Date]])/365.25),"")</f>
        <v>0</v>
      </c>
      <c r="F1191" s="49">
        <f>IF(expected_production[[#This Row],[Age (yrs)]]="",1,(1-DegradationRate)^expected_production[[#This Row],[Age (yrs)]])</f>
        <v>1</v>
      </c>
      <c r="G1191" s="52">
        <f>IF(expected_production[[#This Row],[Base Expected (kWh)]]="","",expected_production[[#This Row],[Base Expected (kWh)]]*expected_production[[#This Row],[Degradation Factor]])</f>
        <v>53361.9</v>
      </c>
    </row>
    <row r="1192" spans="1:7" ht="15" hidden="1" customHeight="1" x14ac:dyDescent="0.3">
      <c r="A1192" t="s">
        <v>234</v>
      </c>
      <c r="B1192" s="2">
        <v>45323</v>
      </c>
      <c r="C1192" s="52">
        <v>43750.8</v>
      </c>
      <c r="D1192" s="48">
        <f>_xlfn.XLOOKUP(expected_production[[#This Row],[Site Name]],Table1[[Site Name ]],Table1[Commisioned Date],"")</f>
        <v>45713</v>
      </c>
      <c r="E1192" s="47">
        <f>IF(ISNUMBER(expected_production[[#This Row],[Commissioned Date]]),MAX(0,(expected_production[[#This Row],[Date]]-expected_production[[#This Row],[Commissioned Date]])/365.25),"")</f>
        <v>0</v>
      </c>
      <c r="F1192" s="49">
        <f>IF(expected_production[[#This Row],[Age (yrs)]]="",1,(1-DegradationRate)^expected_production[[#This Row],[Age (yrs)]])</f>
        <v>1</v>
      </c>
      <c r="G1192" s="52">
        <f>IF(expected_production[[#This Row],[Base Expected (kWh)]]="","",expected_production[[#This Row],[Base Expected (kWh)]]*expected_production[[#This Row],[Degradation Factor]])</f>
        <v>43750.8</v>
      </c>
    </row>
    <row r="1193" spans="1:7" ht="15" hidden="1" customHeight="1" x14ac:dyDescent="0.3">
      <c r="A1193" t="s">
        <v>234</v>
      </c>
      <c r="B1193" s="2">
        <v>45352</v>
      </c>
      <c r="C1193" s="52">
        <v>40931.1</v>
      </c>
      <c r="D1193" s="48">
        <f>_xlfn.XLOOKUP(expected_production[[#This Row],[Site Name]],Table1[[Site Name ]],Table1[Commisioned Date],"")</f>
        <v>45713</v>
      </c>
      <c r="E1193" s="47">
        <f>IF(ISNUMBER(expected_production[[#This Row],[Commissioned Date]]),MAX(0,(expected_production[[#This Row],[Date]]-expected_production[[#This Row],[Commissioned Date]])/365.25),"")</f>
        <v>0</v>
      </c>
      <c r="F1193" s="49">
        <f>IF(expected_production[[#This Row],[Age (yrs)]]="",1,(1-DegradationRate)^expected_production[[#This Row],[Age (yrs)]])</f>
        <v>1</v>
      </c>
      <c r="G1193" s="52">
        <f>IF(expected_production[[#This Row],[Base Expected (kWh)]]="","",expected_production[[#This Row],[Base Expected (kWh)]]*expected_production[[#This Row],[Degradation Factor]])</f>
        <v>40931.1</v>
      </c>
    </row>
    <row r="1194" spans="1:7" ht="15" hidden="1" customHeight="1" x14ac:dyDescent="0.3">
      <c r="A1194" t="s">
        <v>234</v>
      </c>
      <c r="B1194" s="2">
        <v>45383</v>
      </c>
      <c r="C1194" s="52">
        <v>29080.799999999999</v>
      </c>
      <c r="D1194" s="48">
        <f>_xlfn.XLOOKUP(expected_production[[#This Row],[Site Name]],Table1[[Site Name ]],Table1[Commisioned Date],"")</f>
        <v>45713</v>
      </c>
      <c r="E1194" s="47">
        <f>IF(ISNUMBER(expected_production[[#This Row],[Commissioned Date]]),MAX(0,(expected_production[[#This Row],[Date]]-expected_production[[#This Row],[Commissioned Date]])/365.25),"")</f>
        <v>0</v>
      </c>
      <c r="F1194" s="49">
        <f>IF(expected_production[[#This Row],[Age (yrs)]]="",1,(1-DegradationRate)^expected_production[[#This Row],[Age (yrs)]])</f>
        <v>1</v>
      </c>
      <c r="G1194" s="52">
        <f>IF(expected_production[[#This Row],[Base Expected (kWh)]]="","",expected_production[[#This Row],[Base Expected (kWh)]]*expected_production[[#This Row],[Degradation Factor]])</f>
        <v>29080.799999999999</v>
      </c>
    </row>
    <row r="1195" spans="1:7" ht="15" hidden="1" customHeight="1" x14ac:dyDescent="0.3">
      <c r="A1195" t="s">
        <v>234</v>
      </c>
      <c r="B1195" s="2">
        <v>45413</v>
      </c>
      <c r="C1195" s="52">
        <v>21434.400000000001</v>
      </c>
      <c r="D1195" s="48">
        <f>_xlfn.XLOOKUP(expected_production[[#This Row],[Site Name]],Table1[[Site Name ]],Table1[Commisioned Date],"")</f>
        <v>45713</v>
      </c>
      <c r="E1195" s="47">
        <f>IF(ISNUMBER(expected_production[[#This Row],[Commissioned Date]]),MAX(0,(expected_production[[#This Row],[Date]]-expected_production[[#This Row],[Commissioned Date]])/365.25),"")</f>
        <v>0</v>
      </c>
      <c r="F1195" s="49">
        <f>IF(expected_production[[#This Row],[Age (yrs)]]="",1,(1-DegradationRate)^expected_production[[#This Row],[Age (yrs)]])</f>
        <v>1</v>
      </c>
      <c r="G1195" s="52">
        <f>IF(expected_production[[#This Row],[Base Expected (kWh)]]="","",expected_production[[#This Row],[Base Expected (kWh)]]*expected_production[[#This Row],[Degradation Factor]])</f>
        <v>21434.400000000001</v>
      </c>
    </row>
    <row r="1196" spans="1:7" ht="15" hidden="1" customHeight="1" x14ac:dyDescent="0.3">
      <c r="A1196" t="s">
        <v>234</v>
      </c>
      <c r="B1196" s="2">
        <v>45444</v>
      </c>
      <c r="C1196" s="52">
        <v>17483.400000000001</v>
      </c>
      <c r="D1196" s="48">
        <f>_xlfn.XLOOKUP(expected_production[[#This Row],[Site Name]],Table1[[Site Name ]],Table1[Commisioned Date],"")</f>
        <v>45713</v>
      </c>
      <c r="E1196" s="47">
        <f>IF(ISNUMBER(expected_production[[#This Row],[Commissioned Date]]),MAX(0,(expected_production[[#This Row],[Date]]-expected_production[[#This Row],[Commissioned Date]])/365.25),"")</f>
        <v>0</v>
      </c>
      <c r="F1196" s="49">
        <f>IF(expected_production[[#This Row],[Age (yrs)]]="",1,(1-DegradationRate)^expected_production[[#This Row],[Age (yrs)]])</f>
        <v>1</v>
      </c>
      <c r="G1196" s="52">
        <f>IF(expected_production[[#This Row],[Base Expected (kWh)]]="","",expected_production[[#This Row],[Base Expected (kWh)]]*expected_production[[#This Row],[Degradation Factor]])</f>
        <v>17483.400000000001</v>
      </c>
    </row>
    <row r="1197" spans="1:7" ht="15" hidden="1" customHeight="1" x14ac:dyDescent="0.3">
      <c r="A1197" t="s">
        <v>234</v>
      </c>
      <c r="B1197" s="2">
        <v>45474</v>
      </c>
      <c r="C1197" s="52">
        <v>19783.8</v>
      </c>
      <c r="D1197" s="48">
        <f>_xlfn.XLOOKUP(expected_production[[#This Row],[Site Name]],Table1[[Site Name ]],Table1[Commisioned Date],"")</f>
        <v>45713</v>
      </c>
      <c r="E1197" s="47">
        <f>IF(ISNUMBER(expected_production[[#This Row],[Commissioned Date]]),MAX(0,(expected_production[[#This Row],[Date]]-expected_production[[#This Row],[Commissioned Date]])/365.25),"")</f>
        <v>0</v>
      </c>
      <c r="F1197" s="49">
        <f>IF(expected_production[[#This Row],[Age (yrs)]]="",1,(1-DegradationRate)^expected_production[[#This Row],[Age (yrs)]])</f>
        <v>1</v>
      </c>
      <c r="G1197" s="52">
        <f>IF(expected_production[[#This Row],[Base Expected (kWh)]]="","",expected_production[[#This Row],[Base Expected (kWh)]]*expected_production[[#This Row],[Degradation Factor]])</f>
        <v>19783.8</v>
      </c>
    </row>
    <row r="1198" spans="1:7" ht="15" hidden="1" customHeight="1" x14ac:dyDescent="0.3">
      <c r="A1198" t="s">
        <v>234</v>
      </c>
      <c r="B1198" s="2">
        <v>45505</v>
      </c>
      <c r="C1198" s="52">
        <v>25524</v>
      </c>
      <c r="D1198" s="48">
        <f>_xlfn.XLOOKUP(expected_production[[#This Row],[Site Name]],Table1[[Site Name ]],Table1[Commisioned Date],"")</f>
        <v>45713</v>
      </c>
      <c r="E1198" s="47">
        <f>IF(ISNUMBER(expected_production[[#This Row],[Commissioned Date]]),MAX(0,(expected_production[[#This Row],[Date]]-expected_production[[#This Row],[Commissioned Date]])/365.25),"")</f>
        <v>0</v>
      </c>
      <c r="F1198" s="49">
        <f>IF(expected_production[[#This Row],[Age (yrs)]]="",1,(1-DegradationRate)^expected_production[[#This Row],[Age (yrs)]])</f>
        <v>1</v>
      </c>
      <c r="G1198" s="52">
        <f>IF(expected_production[[#This Row],[Base Expected (kWh)]]="","",expected_production[[#This Row],[Base Expected (kWh)]]*expected_production[[#This Row],[Degradation Factor]])</f>
        <v>25524</v>
      </c>
    </row>
    <row r="1199" spans="1:7" ht="15" hidden="1" customHeight="1" x14ac:dyDescent="0.3">
      <c r="A1199" t="s">
        <v>234</v>
      </c>
      <c r="B1199" s="2">
        <v>45536</v>
      </c>
      <c r="C1199" s="52">
        <v>33381.9</v>
      </c>
      <c r="D1199" s="48">
        <f>_xlfn.XLOOKUP(expected_production[[#This Row],[Site Name]],Table1[[Site Name ]],Table1[Commisioned Date],"")</f>
        <v>45713</v>
      </c>
      <c r="E1199" s="47">
        <f>IF(ISNUMBER(expected_production[[#This Row],[Commissioned Date]]),MAX(0,(expected_production[[#This Row],[Date]]-expected_production[[#This Row],[Commissioned Date]])/365.25),"")</f>
        <v>0</v>
      </c>
      <c r="F1199" s="49">
        <f>IF(expected_production[[#This Row],[Age (yrs)]]="",1,(1-DegradationRate)^expected_production[[#This Row],[Age (yrs)]])</f>
        <v>1</v>
      </c>
      <c r="G1199" s="52">
        <f>IF(expected_production[[#This Row],[Base Expected (kWh)]]="","",expected_production[[#This Row],[Base Expected (kWh)]]*expected_production[[#This Row],[Degradation Factor]])</f>
        <v>33381.9</v>
      </c>
    </row>
    <row r="1200" spans="1:7" ht="15" hidden="1" customHeight="1" x14ac:dyDescent="0.3">
      <c r="A1200" t="s">
        <v>234</v>
      </c>
      <c r="B1200" s="2">
        <v>45566</v>
      </c>
      <c r="C1200" s="52">
        <v>43038</v>
      </c>
      <c r="D1200" s="48">
        <f>_xlfn.XLOOKUP(expected_production[[#This Row],[Site Name]],Table1[[Site Name ]],Table1[Commisioned Date],"")</f>
        <v>45713</v>
      </c>
      <c r="E1200" s="47">
        <f>IF(ISNUMBER(expected_production[[#This Row],[Commissioned Date]]),MAX(0,(expected_production[[#This Row],[Date]]-expected_production[[#This Row],[Commissioned Date]])/365.25),"")</f>
        <v>0</v>
      </c>
      <c r="F1200" s="49">
        <f>IF(expected_production[[#This Row],[Age (yrs)]]="",1,(1-DegradationRate)^expected_production[[#This Row],[Age (yrs)]])</f>
        <v>1</v>
      </c>
      <c r="G1200" s="52">
        <f>IF(expected_production[[#This Row],[Base Expected (kWh)]]="","",expected_production[[#This Row],[Base Expected (kWh)]]*expected_production[[#This Row],[Degradation Factor]])</f>
        <v>43038</v>
      </c>
    </row>
    <row r="1201" spans="1:7" ht="15" hidden="1" customHeight="1" x14ac:dyDescent="0.3">
      <c r="A1201" t="s">
        <v>234</v>
      </c>
      <c r="B1201" s="2">
        <v>45597</v>
      </c>
      <c r="C1201" s="52">
        <v>49565.7</v>
      </c>
      <c r="D1201" s="48">
        <f>_xlfn.XLOOKUP(expected_production[[#This Row],[Site Name]],Table1[[Site Name ]],Table1[Commisioned Date],"")</f>
        <v>45713</v>
      </c>
      <c r="E1201" s="47">
        <f>IF(ISNUMBER(expected_production[[#This Row],[Commissioned Date]]),MAX(0,(expected_production[[#This Row],[Date]]-expected_production[[#This Row],[Commissioned Date]])/365.25),"")</f>
        <v>0</v>
      </c>
      <c r="F1201" s="49">
        <f>IF(expected_production[[#This Row],[Age (yrs)]]="",1,(1-DegradationRate)^expected_production[[#This Row],[Age (yrs)]])</f>
        <v>1</v>
      </c>
      <c r="G1201" s="52">
        <f>IF(expected_production[[#This Row],[Base Expected (kWh)]]="","",expected_production[[#This Row],[Base Expected (kWh)]]*expected_production[[#This Row],[Degradation Factor]])</f>
        <v>49565.7</v>
      </c>
    </row>
    <row r="1202" spans="1:7" ht="15" hidden="1" customHeight="1" x14ac:dyDescent="0.3">
      <c r="A1202" t="s">
        <v>234</v>
      </c>
      <c r="B1202" s="2">
        <v>45627</v>
      </c>
      <c r="C1202" s="52">
        <v>54135.9</v>
      </c>
      <c r="D1202" s="48">
        <f>_xlfn.XLOOKUP(expected_production[[#This Row],[Site Name]],Table1[[Site Name ]],Table1[Commisioned Date],"")</f>
        <v>45713</v>
      </c>
      <c r="E1202" s="47">
        <f>IF(ISNUMBER(expected_production[[#This Row],[Commissioned Date]]),MAX(0,(expected_production[[#This Row],[Date]]-expected_production[[#This Row],[Commissioned Date]])/365.25),"")</f>
        <v>0</v>
      </c>
      <c r="F1202" s="49">
        <f>IF(expected_production[[#This Row],[Age (yrs)]]="",1,(1-DegradationRate)^expected_production[[#This Row],[Age (yrs)]])</f>
        <v>1</v>
      </c>
      <c r="G1202" s="52">
        <f>IF(expected_production[[#This Row],[Base Expected (kWh)]]="","",expected_production[[#This Row],[Base Expected (kWh)]]*expected_production[[#This Row],[Degradation Factor]])</f>
        <v>54135.9</v>
      </c>
    </row>
    <row r="1203" spans="1:7" ht="15" hidden="1" customHeight="1" x14ac:dyDescent="0.3">
      <c r="A1203" t="s">
        <v>234</v>
      </c>
      <c r="B1203" s="2">
        <v>45658</v>
      </c>
      <c r="C1203" s="52">
        <v>53361.9</v>
      </c>
      <c r="D1203" s="48">
        <f>_xlfn.XLOOKUP(expected_production[[#This Row],[Site Name]],Table1[[Site Name ]],Table1[Commisioned Date],"")</f>
        <v>45713</v>
      </c>
      <c r="E1203" s="47">
        <f>IF(ISNUMBER(expected_production[[#This Row],[Commissioned Date]]),MAX(0,(expected_production[[#This Row],[Date]]-expected_production[[#This Row],[Commissioned Date]])/365.25),"")</f>
        <v>0</v>
      </c>
      <c r="F1203" s="49">
        <f>IF(expected_production[[#This Row],[Age (yrs)]]="",1,(1-DegradationRate)^expected_production[[#This Row],[Age (yrs)]])</f>
        <v>1</v>
      </c>
      <c r="G1203" s="52">
        <f>IF(expected_production[[#This Row],[Base Expected (kWh)]]="","",expected_production[[#This Row],[Base Expected (kWh)]]*expected_production[[#This Row],[Degradation Factor]])</f>
        <v>53361.9</v>
      </c>
    </row>
    <row r="1204" spans="1:7" ht="15" hidden="1" customHeight="1" x14ac:dyDescent="0.3">
      <c r="A1204" t="s">
        <v>234</v>
      </c>
      <c r="B1204" s="2">
        <v>45689</v>
      </c>
      <c r="C1204" s="52">
        <v>43750.8</v>
      </c>
      <c r="D1204" s="48">
        <f>_xlfn.XLOOKUP(expected_production[[#This Row],[Site Name]],Table1[[Site Name ]],Table1[Commisioned Date],"")</f>
        <v>45713</v>
      </c>
      <c r="E1204" s="47">
        <f>IF(ISNUMBER(expected_production[[#This Row],[Commissioned Date]]),MAX(0,(expected_production[[#This Row],[Date]]-expected_production[[#This Row],[Commissioned Date]])/365.25),"")</f>
        <v>0</v>
      </c>
      <c r="F1204" s="49">
        <f>IF(expected_production[[#This Row],[Age (yrs)]]="",1,(1-DegradationRate)^expected_production[[#This Row],[Age (yrs)]])</f>
        <v>1</v>
      </c>
      <c r="G1204" s="52">
        <f>IF(expected_production[[#This Row],[Base Expected (kWh)]]="","",expected_production[[#This Row],[Base Expected (kWh)]]*expected_production[[#This Row],[Degradation Factor]])</f>
        <v>43750.8</v>
      </c>
    </row>
    <row r="1205" spans="1:7" ht="15" hidden="1" customHeight="1" x14ac:dyDescent="0.3">
      <c r="A1205" t="s">
        <v>234</v>
      </c>
      <c r="B1205" s="2">
        <v>45717</v>
      </c>
      <c r="C1205" s="52">
        <v>40931.1</v>
      </c>
      <c r="D1205" s="48">
        <f>_xlfn.XLOOKUP(expected_production[[#This Row],[Site Name]],Table1[[Site Name ]],Table1[Commisioned Date],"")</f>
        <v>45713</v>
      </c>
      <c r="E1205" s="47">
        <f>IF(ISNUMBER(expected_production[[#This Row],[Commissioned Date]]),MAX(0,(expected_production[[#This Row],[Date]]-expected_production[[#This Row],[Commissioned Date]])/365.25),"")</f>
        <v>1.0951403148528405E-2</v>
      </c>
      <c r="F1205" s="49">
        <f>IF(expected_production[[#This Row],[Age (yrs)]]="",1,(1-DegradationRate)^expected_production[[#This Row],[Age (yrs)]])</f>
        <v>0.99992307356885179</v>
      </c>
      <c r="G1205" s="52">
        <f>IF(expected_production[[#This Row],[Base Expected (kWh)]]="","",expected_production[[#This Row],[Base Expected (kWh)]]*expected_production[[#This Row],[Degradation Factor]])</f>
        <v>40927.951316554027</v>
      </c>
    </row>
    <row r="1206" spans="1:7" ht="15" hidden="1" customHeight="1" x14ac:dyDescent="0.3">
      <c r="A1206" t="s">
        <v>234</v>
      </c>
      <c r="B1206" s="2">
        <v>45748</v>
      </c>
      <c r="C1206" s="52">
        <v>29080.799999999999</v>
      </c>
      <c r="D1206" s="48">
        <f>_xlfn.XLOOKUP(expected_production[[#This Row],[Site Name]],Table1[[Site Name ]],Table1[Commisioned Date],"")</f>
        <v>45713</v>
      </c>
      <c r="E1206" s="47">
        <f>IF(ISNUMBER(expected_production[[#This Row],[Commissioned Date]]),MAX(0,(expected_production[[#This Row],[Date]]-expected_production[[#This Row],[Commissioned Date]])/365.25),"")</f>
        <v>9.5824777549623541E-2</v>
      </c>
      <c r="F1206" s="49">
        <f>IF(expected_production[[#This Row],[Age (yrs)]]="",1,(1-DegradationRate)^expected_production[[#This Row],[Age (yrs)]])</f>
        <v>0.99932709433892364</v>
      </c>
      <c r="G1206" s="52">
        <f>IF(expected_production[[#This Row],[Base Expected (kWh)]]="","",expected_production[[#This Row],[Base Expected (kWh)]]*expected_production[[#This Row],[Degradation Factor]])</f>
        <v>29061.231365051372</v>
      </c>
    </row>
    <row r="1207" spans="1:7" ht="15" hidden="1" customHeight="1" x14ac:dyDescent="0.3">
      <c r="A1207" t="s">
        <v>234</v>
      </c>
      <c r="B1207" s="2">
        <v>45778</v>
      </c>
      <c r="C1207" s="52">
        <v>21434.400000000001</v>
      </c>
      <c r="D1207" s="48">
        <f>_xlfn.XLOOKUP(expected_production[[#This Row],[Site Name]],Table1[[Site Name ]],Table1[Commisioned Date],"")</f>
        <v>45713</v>
      </c>
      <c r="E1207" s="47">
        <f>IF(ISNUMBER(expected_production[[#This Row],[Commissioned Date]]),MAX(0,(expected_production[[#This Row],[Date]]-expected_production[[#This Row],[Commissioned Date]])/365.25),"")</f>
        <v>0.17796030116358658</v>
      </c>
      <c r="F1207" s="49">
        <f>IF(expected_production[[#This Row],[Age (yrs)]]="",1,(1-DegradationRate)^expected_production[[#This Row],[Age (yrs)]])</f>
        <v>0.99875067846300281</v>
      </c>
      <c r="G1207" s="52">
        <f>IF(expected_production[[#This Row],[Base Expected (kWh)]]="","",expected_production[[#This Row],[Base Expected (kWh)]]*expected_production[[#This Row],[Degradation Factor]])</f>
        <v>21407.621542447388</v>
      </c>
    </row>
    <row r="1208" spans="1:7" ht="15" hidden="1" customHeight="1" x14ac:dyDescent="0.3">
      <c r="A1208" t="s">
        <v>234</v>
      </c>
      <c r="B1208" s="2">
        <v>45809</v>
      </c>
      <c r="C1208" s="52">
        <v>17483.400000000001</v>
      </c>
      <c r="D1208" s="48">
        <f>_xlfn.XLOOKUP(expected_production[[#This Row],[Site Name]],Table1[[Site Name ]],Table1[Commisioned Date],"")</f>
        <v>45713</v>
      </c>
      <c r="E1208" s="47">
        <f>IF(ISNUMBER(expected_production[[#This Row],[Commissioned Date]]),MAX(0,(expected_production[[#This Row],[Date]]-expected_production[[#This Row],[Commissioned Date]])/365.25),"")</f>
        <v>0.26283367556468173</v>
      </c>
      <c r="F1208" s="49">
        <f>IF(expected_production[[#This Row],[Age (yrs)]]="",1,(1-DegradationRate)^expected_production[[#This Row],[Age (yrs)]])</f>
        <v>0.99815539800996134</v>
      </c>
      <c r="G1208" s="52">
        <f>IF(expected_production[[#This Row],[Base Expected (kWh)]]="","",expected_production[[#This Row],[Base Expected (kWh)]]*expected_production[[#This Row],[Degradation Factor]])</f>
        <v>17451.150085567358</v>
      </c>
    </row>
    <row r="1209" spans="1:7" ht="15" hidden="1" customHeight="1" x14ac:dyDescent="0.3">
      <c r="A1209" t="s">
        <v>234</v>
      </c>
      <c r="B1209" s="2">
        <v>45839</v>
      </c>
      <c r="C1209" s="52">
        <v>19783.8</v>
      </c>
      <c r="D1209" s="48">
        <f>_xlfn.XLOOKUP(expected_production[[#This Row],[Site Name]],Table1[[Site Name ]],Table1[Commisioned Date],"")</f>
        <v>45713</v>
      </c>
      <c r="E1209" s="47">
        <f>IF(ISNUMBER(expected_production[[#This Row],[Commissioned Date]]),MAX(0,(expected_production[[#This Row],[Date]]-expected_production[[#This Row],[Commissioned Date]])/365.25),"")</f>
        <v>0.34496919917864477</v>
      </c>
      <c r="F1209" s="49">
        <f>IF(expected_production[[#This Row],[Age (yrs)]]="",1,(1-DegradationRate)^expected_production[[#This Row],[Age (yrs)]])</f>
        <v>0.99757965797318227</v>
      </c>
      <c r="G1209" s="52">
        <f>IF(expected_production[[#This Row],[Base Expected (kWh)]]="","",expected_production[[#This Row],[Base Expected (kWh)]]*expected_production[[#This Row],[Degradation Factor]])</f>
        <v>19735.916437409844</v>
      </c>
    </row>
    <row r="1210" spans="1:7" ht="15" hidden="1" customHeight="1" x14ac:dyDescent="0.3">
      <c r="A1210" t="s">
        <v>234</v>
      </c>
      <c r="B1210" s="2">
        <v>45870</v>
      </c>
      <c r="C1210" s="52">
        <v>25524</v>
      </c>
      <c r="D1210" s="48">
        <f>_xlfn.XLOOKUP(expected_production[[#This Row],[Site Name]],Table1[[Site Name ]],Table1[Commisioned Date],"")</f>
        <v>45713</v>
      </c>
      <c r="E1210" s="47">
        <f>IF(ISNUMBER(expected_production[[#This Row],[Commissioned Date]]),MAX(0,(expected_production[[#This Row],[Date]]-expected_production[[#This Row],[Commissioned Date]])/365.25),"")</f>
        <v>0.42984257357973993</v>
      </c>
      <c r="F1210" s="49">
        <f>IF(expected_production[[#This Row],[Age (yrs)]]="",1,(1-DegradationRate)^expected_production[[#This Row],[Age (yrs)]])</f>
        <v>0.99698507547772197</v>
      </c>
      <c r="G1210" s="52">
        <f>IF(expected_production[[#This Row],[Base Expected (kWh)]]="","",expected_production[[#This Row],[Base Expected (kWh)]]*expected_production[[#This Row],[Degradation Factor]])</f>
        <v>25447.047066493375</v>
      </c>
    </row>
    <row r="1211" spans="1:7" ht="15" hidden="1" customHeight="1" x14ac:dyDescent="0.3">
      <c r="A1211" t="s">
        <v>234</v>
      </c>
      <c r="B1211" s="2">
        <v>45901</v>
      </c>
      <c r="C1211" s="52">
        <v>33381.9</v>
      </c>
      <c r="D1211" s="48">
        <f>_xlfn.XLOOKUP(expected_production[[#This Row],[Site Name]],Table1[[Site Name ]],Table1[Commisioned Date],"")</f>
        <v>45713</v>
      </c>
      <c r="E1211" s="47">
        <f>IF(ISNUMBER(expected_production[[#This Row],[Commissioned Date]]),MAX(0,(expected_production[[#This Row],[Date]]-expected_production[[#This Row],[Commissioned Date]])/365.25),"")</f>
        <v>0.51471594798083509</v>
      </c>
      <c r="F1211" s="49">
        <f>IF(expected_production[[#This Row],[Age (yrs)]]="",1,(1-DegradationRate)^expected_production[[#This Row],[Age (yrs)]])</f>
        <v>0.99639084736834116</v>
      </c>
      <c r="G1211" s="52">
        <f>IF(expected_production[[#This Row],[Base Expected (kWh)]]="","",expected_production[[#This Row],[Base Expected (kWh)]]*expected_production[[#This Row],[Degradation Factor]])</f>
        <v>33261.41962776523</v>
      </c>
    </row>
    <row r="1212" spans="1:7" ht="15" hidden="1" customHeight="1" x14ac:dyDescent="0.3">
      <c r="A1212" t="s">
        <v>234</v>
      </c>
      <c r="B1212" s="2">
        <v>45931</v>
      </c>
      <c r="C1212" s="52">
        <v>43038</v>
      </c>
      <c r="D1212" s="48">
        <f>_xlfn.XLOOKUP(expected_production[[#This Row],[Site Name]],Table1[[Site Name ]],Table1[Commisioned Date],"")</f>
        <v>45713</v>
      </c>
      <c r="E1212" s="47">
        <f>IF(ISNUMBER(expected_production[[#This Row],[Commissioned Date]]),MAX(0,(expected_production[[#This Row],[Date]]-expected_production[[#This Row],[Commissioned Date]])/365.25),"")</f>
        <v>0.59685147159479812</v>
      </c>
      <c r="F1212" s="49">
        <f>IF(expected_production[[#This Row],[Age (yrs)]]="",1,(1-DegradationRate)^expected_production[[#This Row],[Age (yrs)]])</f>
        <v>0.99581612513144901</v>
      </c>
      <c r="G1212" s="52">
        <f>IF(expected_production[[#This Row],[Base Expected (kWh)]]="","",expected_production[[#This Row],[Base Expected (kWh)]]*expected_production[[#This Row],[Degradation Factor]])</f>
        <v>42857.934393407304</v>
      </c>
    </row>
    <row r="1213" spans="1:7" ht="15" hidden="1" customHeight="1" x14ac:dyDescent="0.3">
      <c r="A1213" t="s">
        <v>234</v>
      </c>
      <c r="B1213" s="2">
        <v>45962</v>
      </c>
      <c r="C1213" s="52">
        <v>49565.7</v>
      </c>
      <c r="D1213" s="48">
        <f>_xlfn.XLOOKUP(expected_production[[#This Row],[Site Name]],Table1[[Site Name ]],Table1[Commisioned Date],"")</f>
        <v>45713</v>
      </c>
      <c r="E1213" s="47">
        <f>IF(ISNUMBER(expected_production[[#This Row],[Commissioned Date]]),MAX(0,(expected_production[[#This Row],[Date]]-expected_production[[#This Row],[Commissioned Date]])/365.25),"")</f>
        <v>0.68172484599589322</v>
      </c>
      <c r="F1213" s="49">
        <f>IF(expected_production[[#This Row],[Age (yrs)]]="",1,(1-DegradationRate)^expected_production[[#This Row],[Age (yrs)]])</f>
        <v>0.99522259374579192</v>
      </c>
      <c r="G1213" s="52">
        <f>IF(expected_production[[#This Row],[Base Expected (kWh)]]="","",expected_production[[#This Row],[Base Expected (kWh)]]*expected_production[[#This Row],[Degradation Factor]])</f>
        <v>49328.904514825794</v>
      </c>
    </row>
    <row r="1214" spans="1:7" ht="15" hidden="1" customHeight="1" x14ac:dyDescent="0.3">
      <c r="A1214" t="s">
        <v>234</v>
      </c>
      <c r="B1214" s="2">
        <v>45992</v>
      </c>
      <c r="C1214" s="52">
        <v>54135.9</v>
      </c>
      <c r="D1214" s="48">
        <f>_xlfn.XLOOKUP(expected_production[[#This Row],[Site Name]],Table1[[Site Name ]],Table1[Commisioned Date],"")</f>
        <v>45713</v>
      </c>
      <c r="E1214" s="47">
        <f>IF(ISNUMBER(expected_production[[#This Row],[Commissioned Date]]),MAX(0,(expected_production[[#This Row],[Date]]-expected_production[[#This Row],[Commissioned Date]])/365.25),"")</f>
        <v>0.76386036960985626</v>
      </c>
      <c r="F1214" s="49">
        <f>IF(expected_production[[#This Row],[Age (yrs)]]="",1,(1-DegradationRate)^expected_production[[#This Row],[Age (yrs)]])</f>
        <v>0.99464854536227465</v>
      </c>
      <c r="G1214" s="52">
        <f>IF(expected_production[[#This Row],[Base Expected (kWh)]]="","",expected_production[[#This Row],[Base Expected (kWh)]]*expected_production[[#This Row],[Degradation Factor]])</f>
        <v>53846.194186877568</v>
      </c>
    </row>
    <row r="1215" spans="1:7" ht="15" hidden="1" customHeight="1" x14ac:dyDescent="0.3">
      <c r="A1215" t="s">
        <v>234</v>
      </c>
      <c r="B1215" s="2">
        <v>46023</v>
      </c>
      <c r="C1215" s="52">
        <v>53361.9</v>
      </c>
      <c r="D1215" s="48">
        <f>_xlfn.XLOOKUP(expected_production[[#This Row],[Site Name]],Table1[[Site Name ]],Table1[Commisioned Date],"")</f>
        <v>45713</v>
      </c>
      <c r="E1215" s="47">
        <f>IF(ISNUMBER(expected_production[[#This Row],[Commissioned Date]]),MAX(0,(expected_production[[#This Row],[Date]]-expected_production[[#This Row],[Commissioned Date]])/365.25),"")</f>
        <v>0.84873374401095136</v>
      </c>
      <c r="F1215" s="49">
        <f>IF(expected_production[[#This Row],[Age (yrs)]]="",1,(1-DegradationRate)^expected_production[[#This Row],[Age (yrs)]])</f>
        <v>0.99405570988344283</v>
      </c>
      <c r="G1215" s="52">
        <f>IF(expected_production[[#This Row],[Base Expected (kWh)]]="","",expected_production[[#This Row],[Base Expected (kWh)]]*expected_production[[#This Row],[Degradation Factor]])</f>
        <v>53044.701385229288</v>
      </c>
    </row>
    <row r="1216" spans="1:7" ht="15" hidden="1" customHeight="1" x14ac:dyDescent="0.3">
      <c r="A1216" t="s">
        <v>234</v>
      </c>
      <c r="B1216" s="2">
        <v>46054</v>
      </c>
      <c r="C1216" s="52">
        <v>43750.8</v>
      </c>
      <c r="D1216" s="48">
        <f>_xlfn.XLOOKUP(expected_production[[#This Row],[Site Name]],Table1[[Site Name ]],Table1[Commisioned Date],"")</f>
        <v>45713</v>
      </c>
      <c r="E1216" s="47">
        <f>IF(ISNUMBER(expected_production[[#This Row],[Commissioned Date]]),MAX(0,(expected_production[[#This Row],[Date]]-expected_production[[#This Row],[Commissioned Date]])/365.25),"")</f>
        <v>0.93360711841204658</v>
      </c>
      <c r="F1216" s="49">
        <f>IF(expected_production[[#This Row],[Age (yrs)]]="",1,(1-DegradationRate)^expected_production[[#This Row],[Age (yrs)]])</f>
        <v>0.99346322774942475</v>
      </c>
      <c r="G1216" s="52">
        <f>IF(expected_production[[#This Row],[Base Expected (kWh)]]="","",expected_production[[#This Row],[Base Expected (kWh)]]*expected_production[[#This Row],[Degradation Factor]])</f>
        <v>43464.810984619537</v>
      </c>
    </row>
    <row r="1217" spans="1:7" ht="15" hidden="1" customHeight="1" x14ac:dyDescent="0.3">
      <c r="A1217" t="s">
        <v>234</v>
      </c>
      <c r="B1217" s="2">
        <v>46082</v>
      </c>
      <c r="C1217" s="52">
        <v>40931.1</v>
      </c>
      <c r="D1217" s="48">
        <f>_xlfn.XLOOKUP(expected_production[[#This Row],[Site Name]],Table1[[Site Name ]],Table1[Commisioned Date],"")</f>
        <v>45713</v>
      </c>
      <c r="E1217" s="47">
        <f>IF(ISNUMBER(expected_production[[#This Row],[Commissioned Date]]),MAX(0,(expected_production[[#This Row],[Date]]-expected_production[[#This Row],[Commissioned Date]])/365.25),"")</f>
        <v>1.0102669404517455</v>
      </c>
      <c r="F1217" s="49">
        <f>IF(expected_production[[#This Row],[Age (yrs)]]="",1,(1-DegradationRate)^expected_production[[#This Row],[Age (yrs)]])</f>
        <v>0.99292838612834244</v>
      </c>
      <c r="G1217" s="52">
        <f>IF(expected_production[[#This Row],[Base Expected (kWh)]]="","",expected_production[[#This Row],[Base Expected (kWh)]]*expected_production[[#This Row],[Degradation Factor]])</f>
        <v>40641.651065457794</v>
      </c>
    </row>
    <row r="1218" spans="1:7" ht="15" hidden="1" customHeight="1" x14ac:dyDescent="0.3">
      <c r="A1218" t="s">
        <v>234</v>
      </c>
      <c r="B1218" s="2">
        <v>46113</v>
      </c>
      <c r="C1218" s="52">
        <v>29080.799999999999</v>
      </c>
      <c r="D1218" s="48">
        <f>_xlfn.XLOOKUP(expected_production[[#This Row],[Site Name]],Table1[[Site Name ]],Table1[Commisioned Date],"")</f>
        <v>45713</v>
      </c>
      <c r="E1218" s="47">
        <f>IF(ISNUMBER(expected_production[[#This Row],[Commissioned Date]]),MAX(0,(expected_production[[#This Row],[Date]]-expected_production[[#This Row],[Commissioned Date]])/365.25),"")</f>
        <v>1.0951403148528405</v>
      </c>
      <c r="F1218" s="49">
        <f>IF(expected_production[[#This Row],[Age (yrs)]]="",1,(1-DegradationRate)^expected_production[[#This Row],[Age (yrs)]])</f>
        <v>0.99233657590755564</v>
      </c>
      <c r="G1218" s="52">
        <f>IF(expected_production[[#This Row],[Base Expected (kWh)]]="","",expected_production[[#This Row],[Base Expected (kWh)]]*expected_production[[#This Row],[Degradation Factor]])</f>
        <v>28857.941496652442</v>
      </c>
    </row>
    <row r="1219" spans="1:7" ht="15" hidden="1" customHeight="1" x14ac:dyDescent="0.3">
      <c r="A1219" t="s">
        <v>234</v>
      </c>
      <c r="B1219" s="2">
        <v>46143</v>
      </c>
      <c r="C1219" s="52">
        <v>21434.400000000001</v>
      </c>
      <c r="D1219" s="48">
        <f>_xlfn.XLOOKUP(expected_production[[#This Row],[Site Name]],Table1[[Site Name ]],Table1[Commisioned Date],"")</f>
        <v>45713</v>
      </c>
      <c r="E1219" s="47">
        <f>IF(ISNUMBER(expected_production[[#This Row],[Commissioned Date]]),MAX(0,(expected_production[[#This Row],[Date]]-expected_production[[#This Row],[Commissioned Date]])/365.25),"")</f>
        <v>1.1772758384668036</v>
      </c>
      <c r="F1219" s="49">
        <f>IF(expected_production[[#This Row],[Age (yrs)]]="",1,(1-DegradationRate)^expected_production[[#This Row],[Age (yrs)]])</f>
        <v>0.99176419219070222</v>
      </c>
      <c r="G1219" s="52">
        <f>IF(expected_production[[#This Row],[Base Expected (kWh)]]="","",expected_production[[#This Row],[Base Expected (kWh)]]*expected_production[[#This Row],[Degradation Factor]])</f>
        <v>21257.87040109239</v>
      </c>
    </row>
    <row r="1220" spans="1:7" ht="15" hidden="1" customHeight="1" x14ac:dyDescent="0.3">
      <c r="A1220" t="s">
        <v>234</v>
      </c>
      <c r="B1220" s="2">
        <v>46174</v>
      </c>
      <c r="C1220" s="52">
        <v>17483.400000000001</v>
      </c>
      <c r="D1220" s="48">
        <f>_xlfn.XLOOKUP(expected_production[[#This Row],[Site Name]],Table1[[Site Name ]],Table1[Commisioned Date],"")</f>
        <v>45713</v>
      </c>
      <c r="E1220" s="47">
        <f>IF(ISNUMBER(expected_production[[#This Row],[Commissioned Date]]),MAX(0,(expected_production[[#This Row],[Date]]-expected_production[[#This Row],[Commissioned Date]])/365.25),"")</f>
        <v>1.2621492128678986</v>
      </c>
      <c r="F1220" s="49">
        <f>IF(expected_production[[#This Row],[Age (yrs)]]="",1,(1-DegradationRate)^expected_production[[#This Row],[Age (yrs)]])</f>
        <v>0.99117307585870029</v>
      </c>
      <c r="G1220" s="52">
        <f>IF(expected_production[[#This Row],[Base Expected (kWh)]]="","",expected_production[[#This Row],[Base Expected (kWh)]]*expected_production[[#This Row],[Degradation Factor]])</f>
        <v>17329.075354468001</v>
      </c>
    </row>
    <row r="1221" spans="1:7" ht="15" hidden="1" customHeight="1" x14ac:dyDescent="0.3">
      <c r="A1221" t="s">
        <v>234</v>
      </c>
      <c r="B1221" s="2">
        <v>46204</v>
      </c>
      <c r="C1221" s="52">
        <v>19783.8</v>
      </c>
      <c r="D1221" s="48">
        <f>_xlfn.XLOOKUP(expected_production[[#This Row],[Site Name]],Table1[[Site Name ]],Table1[Commisioned Date],"")</f>
        <v>45713</v>
      </c>
      <c r="E1221" s="47">
        <f>IF(ISNUMBER(expected_production[[#This Row],[Commissioned Date]]),MAX(0,(expected_production[[#This Row],[Date]]-expected_production[[#This Row],[Commissioned Date]])/365.25),"")</f>
        <v>1.3442847364818618</v>
      </c>
      <c r="F1221" s="49">
        <f>IF(expected_production[[#This Row],[Age (yrs)]]="",1,(1-DegradationRate)^expected_production[[#This Row],[Age (yrs)]])</f>
        <v>0.99060136325334136</v>
      </c>
      <c r="G1221" s="52">
        <f>IF(expected_production[[#This Row],[Base Expected (kWh)]]="","",expected_production[[#This Row],[Base Expected (kWh)]]*expected_production[[#This Row],[Degradation Factor]])</f>
        <v>19597.859250331454</v>
      </c>
    </row>
    <row r="1222" spans="1:7" ht="15" hidden="1" customHeight="1" x14ac:dyDescent="0.3">
      <c r="A1222" t="s">
        <v>234</v>
      </c>
      <c r="B1222" s="2">
        <v>46235</v>
      </c>
      <c r="C1222" s="52">
        <v>25524</v>
      </c>
      <c r="D1222" s="48">
        <f>_xlfn.XLOOKUP(expected_production[[#This Row],[Site Name]],Table1[[Site Name ]],Table1[Commisioned Date],"")</f>
        <v>45713</v>
      </c>
      <c r="E1222" s="47">
        <f>IF(ISNUMBER(expected_production[[#This Row],[Commissioned Date]]),MAX(0,(expected_production[[#This Row],[Date]]-expected_production[[#This Row],[Commissioned Date]])/365.25),"")</f>
        <v>1.429158110882957</v>
      </c>
      <c r="F1222" s="49">
        <f>IF(expected_production[[#This Row],[Age (yrs)]]="",1,(1-DegradationRate)^expected_production[[#This Row],[Age (yrs)]])</f>
        <v>0.99001093999654977</v>
      </c>
      <c r="G1222" s="52">
        <f>IF(expected_production[[#This Row],[Base Expected (kWh)]]="","",expected_production[[#This Row],[Base Expected (kWh)]]*expected_production[[#This Row],[Degradation Factor]])</f>
        <v>25269.039232471936</v>
      </c>
    </row>
    <row r="1223" spans="1:7" ht="15" hidden="1" customHeight="1" x14ac:dyDescent="0.3">
      <c r="A1223" t="s">
        <v>234</v>
      </c>
      <c r="B1223" s="2">
        <v>46266</v>
      </c>
      <c r="C1223" s="52">
        <v>33381.9</v>
      </c>
      <c r="D1223" s="48">
        <f>_xlfn.XLOOKUP(expected_production[[#This Row],[Site Name]],Table1[[Site Name ]],Table1[Commisioned Date],"")</f>
        <v>45713</v>
      </c>
      <c r="E1223" s="47">
        <f>IF(ISNUMBER(expected_production[[#This Row],[Commissioned Date]]),MAX(0,(expected_production[[#This Row],[Date]]-expected_production[[#This Row],[Commissioned Date]])/365.25),"")</f>
        <v>1.514031485284052</v>
      </c>
      <c r="F1223" s="49">
        <f>IF(expected_production[[#This Row],[Age (yrs)]]="",1,(1-DegradationRate)^expected_production[[#This Row],[Age (yrs)]])</f>
        <v>0.9894208686468271</v>
      </c>
      <c r="G1223" s="52">
        <f>IF(expected_production[[#This Row],[Base Expected (kWh)]]="","",expected_production[[#This Row],[Base Expected (kWh)]]*expected_production[[#This Row],[Degradation Factor]])</f>
        <v>33028.74849508152</v>
      </c>
    </row>
    <row r="1224" spans="1:7" ht="15" hidden="1" customHeight="1" x14ac:dyDescent="0.3">
      <c r="A1224" t="s">
        <v>234</v>
      </c>
      <c r="B1224" s="2">
        <v>46296</v>
      </c>
      <c r="C1224" s="52">
        <v>43038</v>
      </c>
      <c r="D1224" s="48">
        <f>_xlfn.XLOOKUP(expected_production[[#This Row],[Site Name]],Table1[[Site Name ]],Table1[Commisioned Date],"")</f>
        <v>45713</v>
      </c>
      <c r="E1224" s="47">
        <f>IF(ISNUMBER(expected_production[[#This Row],[Commissioned Date]]),MAX(0,(expected_production[[#This Row],[Date]]-expected_production[[#This Row],[Commissioned Date]])/365.25),"")</f>
        <v>1.5961670088980151</v>
      </c>
      <c r="F1224" s="49">
        <f>IF(expected_production[[#This Row],[Age (yrs)]]="",1,(1-DegradationRate)^expected_production[[#This Row],[Age (yrs)]])</f>
        <v>0.98885016672161541</v>
      </c>
      <c r="G1224" s="52">
        <f>IF(expected_production[[#This Row],[Base Expected (kWh)]]="","",expected_production[[#This Row],[Base Expected (kWh)]]*expected_production[[#This Row],[Degradation Factor]])</f>
        <v>42558.133475364884</v>
      </c>
    </row>
    <row r="1225" spans="1:7" ht="15" hidden="1" customHeight="1" x14ac:dyDescent="0.3">
      <c r="A1225" t="s">
        <v>234</v>
      </c>
      <c r="B1225" s="2">
        <v>46327</v>
      </c>
      <c r="C1225" s="52">
        <v>49565.7</v>
      </c>
      <c r="D1225" s="48">
        <f>_xlfn.XLOOKUP(expected_production[[#This Row],[Site Name]],Table1[[Site Name ]],Table1[Commisioned Date],"")</f>
        <v>45713</v>
      </c>
      <c r="E1225" s="47">
        <f>IF(ISNUMBER(expected_production[[#This Row],[Commissioned Date]]),MAX(0,(expected_production[[#This Row],[Date]]-expected_production[[#This Row],[Commissioned Date]])/365.25),"")</f>
        <v>1.6810403832991101</v>
      </c>
      <c r="F1225" s="49">
        <f>IF(expected_production[[#This Row],[Age (yrs)]]="",1,(1-DegradationRate)^expected_production[[#This Row],[Age (yrs)]])</f>
        <v>0.98826078722187682</v>
      </c>
      <c r="G1225" s="52">
        <f>IF(expected_production[[#This Row],[Base Expected (kWh)]]="","",expected_production[[#This Row],[Base Expected (kWh)]]*expected_production[[#This Row],[Degradation Factor]])</f>
        <v>48983.837701203374</v>
      </c>
    </row>
    <row r="1226" spans="1:7" ht="15" hidden="1" customHeight="1" x14ac:dyDescent="0.3">
      <c r="A1226" t="s">
        <v>234</v>
      </c>
      <c r="B1226" s="2">
        <v>46357</v>
      </c>
      <c r="C1226" s="52">
        <v>54135.9</v>
      </c>
      <c r="D1226" s="48">
        <f>_xlfn.XLOOKUP(expected_production[[#This Row],[Site Name]],Table1[[Site Name ]],Table1[Commisioned Date],"")</f>
        <v>45713</v>
      </c>
      <c r="E1226" s="47">
        <f>IF(ISNUMBER(expected_production[[#This Row],[Commissioned Date]]),MAX(0,(expected_production[[#This Row],[Date]]-expected_production[[#This Row],[Commissioned Date]])/365.25),"")</f>
        <v>1.7631759069130732</v>
      </c>
      <c r="F1226" s="49">
        <f>IF(expected_production[[#This Row],[Age (yrs)]]="",1,(1-DegradationRate)^expected_production[[#This Row],[Age (yrs)]])</f>
        <v>0.98769075443628362</v>
      </c>
      <c r="G1226" s="52">
        <f>IF(expected_production[[#This Row],[Base Expected (kWh)]]="","",expected_production[[#This Row],[Base Expected (kWh)]]*expected_production[[#This Row],[Degradation Factor]])</f>
        <v>53469.527913087208</v>
      </c>
    </row>
    <row r="1227" spans="1:7" ht="15" hidden="1" customHeight="1" x14ac:dyDescent="0.3">
      <c r="A1227" t="s">
        <v>131</v>
      </c>
      <c r="B1227" s="2">
        <v>45292</v>
      </c>
      <c r="C1227" s="52">
        <v>5063.45</v>
      </c>
      <c r="D1227" s="48">
        <f>_xlfn.XLOOKUP(expected_production[[#This Row],[Site Name]],Table1[[Site Name ]],Table1[Commisioned Date],"")</f>
        <v>45248</v>
      </c>
      <c r="E1227" s="47">
        <f>IF(ISNUMBER(expected_production[[#This Row],[Commissioned Date]]),MAX(0,(expected_production[[#This Row],[Date]]-expected_production[[#This Row],[Commissioned Date]])/365.25),"")</f>
        <v>0.12046543463381246</v>
      </c>
      <c r="F1227" s="49">
        <f>IF(expected_production[[#This Row],[Age (yrs)]]="",1,(1-DegradationRate)^expected_production[[#This Row],[Age (yrs)]])</f>
        <v>0.99915413465443847</v>
      </c>
      <c r="G1227" s="52">
        <f>IF(expected_production[[#This Row],[Base Expected (kWh)]]="","",expected_production[[#This Row],[Base Expected (kWh)]]*expected_production[[#This Row],[Degradation Factor]])</f>
        <v>5059.1670031160165</v>
      </c>
    </row>
    <row r="1228" spans="1:7" ht="15" hidden="1" customHeight="1" x14ac:dyDescent="0.3">
      <c r="A1228" t="s">
        <v>131</v>
      </c>
      <c r="B1228" s="2">
        <v>45323</v>
      </c>
      <c r="C1228" s="52">
        <v>4598.5</v>
      </c>
      <c r="D1228" s="48">
        <f>_xlfn.XLOOKUP(expected_production[[#This Row],[Site Name]],Table1[[Site Name ]],Table1[Commisioned Date],"")</f>
        <v>45248</v>
      </c>
      <c r="E1228" s="47">
        <f>IF(ISNUMBER(expected_production[[#This Row],[Commissioned Date]]),MAX(0,(expected_production[[#This Row],[Date]]-expected_production[[#This Row],[Commissioned Date]])/365.25),"")</f>
        <v>0.20533880903490759</v>
      </c>
      <c r="F1228" s="49">
        <f>IF(expected_production[[#This Row],[Age (yrs)]]="",1,(1-DegradationRate)^expected_production[[#This Row],[Age (yrs)]])</f>
        <v>0.99855861373138821</v>
      </c>
      <c r="G1228" s="52">
        <f>IF(expected_production[[#This Row],[Base Expected (kWh)]]="","",expected_production[[#This Row],[Base Expected (kWh)]]*expected_production[[#This Row],[Degradation Factor]])</f>
        <v>4591.8717852437885</v>
      </c>
    </row>
    <row r="1229" spans="1:7" ht="15" hidden="1" customHeight="1" x14ac:dyDescent="0.3">
      <c r="A1229" t="s">
        <v>131</v>
      </c>
      <c r="B1229" s="2">
        <v>45352</v>
      </c>
      <c r="C1229" s="52">
        <v>5071.95</v>
      </c>
      <c r="D1229" s="48">
        <f>_xlfn.XLOOKUP(expected_production[[#This Row],[Site Name]],Table1[[Site Name ]],Table1[Commisioned Date],"")</f>
        <v>45248</v>
      </c>
      <c r="E1229" s="47">
        <f>IF(ISNUMBER(expected_production[[#This Row],[Commissioned Date]]),MAX(0,(expected_production[[#This Row],[Date]]-expected_production[[#This Row],[Commissioned Date]])/365.25),"")</f>
        <v>0.28473648186173856</v>
      </c>
      <c r="F1229" s="49">
        <f>IF(expected_production[[#This Row],[Age (yrs)]]="",1,(1-DegradationRate)^expected_production[[#This Row],[Age (yrs)]])</f>
        <v>0.99800183485172089</v>
      </c>
      <c r="G1229" s="52">
        <f>IF(expected_production[[#This Row],[Base Expected (kWh)]]="","",expected_production[[#This Row],[Base Expected (kWh)]]*expected_production[[#This Row],[Degradation Factor]])</f>
        <v>5061.815406276186</v>
      </c>
    </row>
    <row r="1230" spans="1:7" ht="15" hidden="1" customHeight="1" x14ac:dyDescent="0.3">
      <c r="A1230" t="s">
        <v>131</v>
      </c>
      <c r="B1230" s="2">
        <v>45383</v>
      </c>
      <c r="C1230" s="52">
        <v>4864.55</v>
      </c>
      <c r="D1230" s="48">
        <f>_xlfn.XLOOKUP(expected_production[[#This Row],[Site Name]],Table1[[Site Name ]],Table1[Commisioned Date],"")</f>
        <v>45248</v>
      </c>
      <c r="E1230" s="47">
        <f>IF(ISNUMBER(expected_production[[#This Row],[Commissioned Date]]),MAX(0,(expected_production[[#This Row],[Date]]-expected_production[[#This Row],[Commissioned Date]])/365.25),"")</f>
        <v>0.36960985626283366</v>
      </c>
      <c r="F1230" s="49">
        <f>IF(expected_production[[#This Row],[Age (yrs)]]="",1,(1-DegradationRate)^expected_production[[#This Row],[Age (yrs)]])</f>
        <v>0.99740700072825283</v>
      </c>
      <c r="G1230" s="52">
        <f>IF(expected_production[[#This Row],[Base Expected (kWh)]]="","",expected_production[[#This Row],[Base Expected (kWh)]]*expected_production[[#This Row],[Degradation Factor]])</f>
        <v>4851.9362253926229</v>
      </c>
    </row>
    <row r="1231" spans="1:7" ht="15" hidden="1" customHeight="1" x14ac:dyDescent="0.3">
      <c r="A1231" t="s">
        <v>131</v>
      </c>
      <c r="B1231" s="2">
        <v>45413</v>
      </c>
      <c r="C1231" s="52">
        <v>5173.1000000000004</v>
      </c>
      <c r="D1231" s="48">
        <f>_xlfn.XLOOKUP(expected_production[[#This Row],[Site Name]],Table1[[Site Name ]],Table1[Commisioned Date],"")</f>
        <v>45248</v>
      </c>
      <c r="E1231" s="47">
        <f>IF(ISNUMBER(expected_production[[#This Row],[Commissioned Date]]),MAX(0,(expected_production[[#This Row],[Date]]-expected_production[[#This Row],[Commissioned Date]])/365.25),"")</f>
        <v>0.45174537987679669</v>
      </c>
      <c r="F1231" s="49">
        <f>IF(expected_production[[#This Row],[Age (yrs)]]="",1,(1-DegradationRate)^expected_production[[#This Row],[Age (yrs)]])</f>
        <v>0.99683169237002733</v>
      </c>
      <c r="G1231" s="52">
        <f>IF(expected_production[[#This Row],[Base Expected (kWh)]]="","",expected_production[[#This Row],[Base Expected (kWh)]]*expected_production[[#This Row],[Degradation Factor]])</f>
        <v>5156.7100277993886</v>
      </c>
    </row>
    <row r="1232" spans="1:7" ht="15" hidden="1" customHeight="1" x14ac:dyDescent="0.3">
      <c r="A1232" t="s">
        <v>131</v>
      </c>
      <c r="B1232" s="2">
        <v>45444</v>
      </c>
      <c r="C1232" s="52">
        <v>5002.25</v>
      </c>
      <c r="D1232" s="48">
        <f>_xlfn.XLOOKUP(expected_production[[#This Row],[Site Name]],Table1[[Site Name ]],Table1[Commisioned Date],"")</f>
        <v>45248</v>
      </c>
      <c r="E1232" s="47">
        <f>IF(ISNUMBER(expected_production[[#This Row],[Commissioned Date]]),MAX(0,(expected_production[[#This Row],[Date]]-expected_production[[#This Row],[Commissioned Date]])/365.25),"")</f>
        <v>0.53661875427789185</v>
      </c>
      <c r="F1232" s="49">
        <f>IF(expected_production[[#This Row],[Age (yrs)]]="",1,(1-DegradationRate)^expected_production[[#This Row],[Age (yrs)]])</f>
        <v>0.99623755568082561</v>
      </c>
      <c r="G1232" s="52">
        <f>IF(expected_production[[#This Row],[Base Expected (kWh)]]="","",expected_production[[#This Row],[Base Expected (kWh)]]*expected_production[[#This Row],[Degradation Factor]])</f>
        <v>4983.4293129044099</v>
      </c>
    </row>
    <row r="1233" spans="1:7" ht="15" hidden="1" customHeight="1" x14ac:dyDescent="0.3">
      <c r="A1233" t="s">
        <v>131</v>
      </c>
      <c r="B1233" s="2">
        <v>45474</v>
      </c>
      <c r="C1233" s="52">
        <v>5383.9</v>
      </c>
      <c r="D1233" s="48">
        <f>_xlfn.XLOOKUP(expected_production[[#This Row],[Site Name]],Table1[[Site Name ]],Table1[Commisioned Date],"")</f>
        <v>45248</v>
      </c>
      <c r="E1233" s="47">
        <f>IF(ISNUMBER(expected_production[[#This Row],[Commissioned Date]]),MAX(0,(expected_production[[#This Row],[Date]]-expected_production[[#This Row],[Commissioned Date]])/365.25),"")</f>
        <v>0.61875427789185489</v>
      </c>
      <c r="F1233" s="49">
        <f>IF(expected_production[[#This Row],[Age (yrs)]]="",1,(1-DegradationRate)^expected_production[[#This Row],[Age (yrs)]])</f>
        <v>0.99566292186319361</v>
      </c>
      <c r="G1233" s="52">
        <f>IF(expected_production[[#This Row],[Base Expected (kWh)]]="","",expected_production[[#This Row],[Base Expected (kWh)]]*expected_production[[#This Row],[Degradation Factor]])</f>
        <v>5360.5496050192478</v>
      </c>
    </row>
    <row r="1234" spans="1:7" ht="15" hidden="1" customHeight="1" x14ac:dyDescent="0.3">
      <c r="A1234" t="s">
        <v>131</v>
      </c>
      <c r="B1234" s="2">
        <v>45505</v>
      </c>
      <c r="C1234" s="52">
        <v>5638.05</v>
      </c>
      <c r="D1234" s="48">
        <f>_xlfn.XLOOKUP(expected_production[[#This Row],[Site Name]],Table1[[Site Name ]],Table1[Commisioned Date],"")</f>
        <v>45248</v>
      </c>
      <c r="E1234" s="47">
        <f>IF(ISNUMBER(expected_production[[#This Row],[Commissioned Date]]),MAX(0,(expected_production[[#This Row],[Date]]-expected_production[[#This Row],[Commissioned Date]])/365.25),"")</f>
        <v>0.70362765229294999</v>
      </c>
      <c r="F1234" s="49">
        <f>IF(expected_production[[#This Row],[Age (yrs)]]="",1,(1-DegradationRate)^expected_production[[#This Row],[Age (yrs)]])</f>
        <v>0.99506948179052668</v>
      </c>
      <c r="G1234" s="52">
        <f>IF(expected_production[[#This Row],[Base Expected (kWh)]]="","",expected_production[[#This Row],[Base Expected (kWh)]]*expected_production[[#This Row],[Degradation Factor]])</f>
        <v>5610.2514918090792</v>
      </c>
    </row>
    <row r="1235" spans="1:7" ht="15" hidden="1" customHeight="1" x14ac:dyDescent="0.3">
      <c r="A1235" t="s">
        <v>131</v>
      </c>
      <c r="B1235" s="2">
        <v>45536</v>
      </c>
      <c r="C1235" s="52">
        <v>5587.05</v>
      </c>
      <c r="D1235" s="48">
        <f>_xlfn.XLOOKUP(expected_production[[#This Row],[Site Name]],Table1[[Site Name ]],Table1[Commisioned Date],"")</f>
        <v>45248</v>
      </c>
      <c r="E1235" s="47">
        <f>IF(ISNUMBER(expected_production[[#This Row],[Commissioned Date]]),MAX(0,(expected_production[[#This Row],[Date]]-expected_production[[#This Row],[Commissioned Date]])/365.25),"")</f>
        <v>0.7885010266940452</v>
      </c>
      <c r="F1235" s="49">
        <f>IF(expected_production[[#This Row],[Age (yrs)]]="",1,(1-DegradationRate)^expected_production[[#This Row],[Age (yrs)]])</f>
        <v>0.99447639542302646</v>
      </c>
      <c r="G1235" s="52">
        <f>IF(expected_production[[#This Row],[Base Expected (kWh)]]="","",expected_production[[#This Row],[Base Expected (kWh)]]*expected_production[[#This Row],[Degradation Factor]])</f>
        <v>5556.1893450482203</v>
      </c>
    </row>
    <row r="1236" spans="1:7" ht="15" hidden="1" customHeight="1" x14ac:dyDescent="0.3">
      <c r="A1236" t="s">
        <v>131</v>
      </c>
      <c r="B1236" s="2">
        <v>45566</v>
      </c>
      <c r="C1236" s="52">
        <v>5491.85</v>
      </c>
      <c r="D1236" s="48">
        <f>_xlfn.XLOOKUP(expected_production[[#This Row],[Site Name]],Table1[[Site Name ]],Table1[Commisioned Date],"")</f>
        <v>45248</v>
      </c>
      <c r="E1236" s="47">
        <f>IF(ISNUMBER(expected_production[[#This Row],[Commissioned Date]]),MAX(0,(expected_production[[#This Row],[Date]]-expected_production[[#This Row],[Commissioned Date]])/365.25),"")</f>
        <v>0.87063655030800824</v>
      </c>
      <c r="F1236" s="49">
        <f>IF(expected_production[[#This Row],[Age (yrs)]]="",1,(1-DegradationRate)^expected_production[[#This Row],[Age (yrs)]])</f>
        <v>0.99390277744969457</v>
      </c>
      <c r="G1236" s="52">
        <f>IF(expected_production[[#This Row],[Base Expected (kWh)]]="","",expected_production[[#This Row],[Base Expected (kWh)]]*expected_production[[#This Row],[Degradation Factor]])</f>
        <v>5458.3649683371059</v>
      </c>
    </row>
    <row r="1237" spans="1:7" ht="15" hidden="1" customHeight="1" x14ac:dyDescent="0.3">
      <c r="A1237" t="s">
        <v>131</v>
      </c>
      <c r="B1237" s="2">
        <v>45597</v>
      </c>
      <c r="C1237" s="52">
        <v>5110.2</v>
      </c>
      <c r="D1237" s="48">
        <f>_xlfn.XLOOKUP(expected_production[[#This Row],[Site Name]],Table1[[Site Name ]],Table1[Commisioned Date],"")</f>
        <v>45248</v>
      </c>
      <c r="E1237" s="47">
        <f>IF(ISNUMBER(expected_production[[#This Row],[Commissioned Date]]),MAX(0,(expected_production[[#This Row],[Date]]-expected_production[[#This Row],[Commissioned Date]])/365.25),"")</f>
        <v>0.95550992470910334</v>
      </c>
      <c r="F1237" s="49">
        <f>IF(expected_production[[#This Row],[Age (yrs)]]="",1,(1-DegradationRate)^expected_production[[#This Row],[Age (yrs)]])</f>
        <v>0.99331038646724257</v>
      </c>
      <c r="G1237" s="52">
        <f>IF(expected_production[[#This Row],[Base Expected (kWh)]]="","",expected_production[[#This Row],[Base Expected (kWh)]]*expected_production[[#This Row],[Degradation Factor]])</f>
        <v>5076.0147369249025</v>
      </c>
    </row>
    <row r="1238" spans="1:7" ht="15" hidden="1" customHeight="1" x14ac:dyDescent="0.3">
      <c r="A1238" t="s">
        <v>131</v>
      </c>
      <c r="B1238" s="2">
        <v>45627</v>
      </c>
      <c r="C1238" s="52">
        <v>5223.25</v>
      </c>
      <c r="D1238" s="48">
        <f>_xlfn.XLOOKUP(expected_production[[#This Row],[Site Name]],Table1[[Site Name ]],Table1[Commisioned Date],"")</f>
        <v>45248</v>
      </c>
      <c r="E1238" s="47">
        <f>IF(ISNUMBER(expected_production[[#This Row],[Commissioned Date]]),MAX(0,(expected_production[[#This Row],[Date]]-expected_production[[#This Row],[Commissioned Date]])/365.25),"")</f>
        <v>1.0376454483230664</v>
      </c>
      <c r="F1238" s="49">
        <f>IF(expected_production[[#This Row],[Age (yrs)]]="",1,(1-DegradationRate)^expected_production[[#This Row],[Age (yrs)]])</f>
        <v>0.99273744105255268</v>
      </c>
      <c r="G1238" s="52">
        <f>IF(expected_production[[#This Row],[Base Expected (kWh)]]="","",expected_production[[#This Row],[Base Expected (kWh)]]*expected_production[[#This Row],[Degradation Factor]])</f>
        <v>5185.3158389777454</v>
      </c>
    </row>
    <row r="1239" spans="1:7" ht="15" hidden="1" customHeight="1" x14ac:dyDescent="0.3">
      <c r="A1239" t="s">
        <v>131</v>
      </c>
      <c r="B1239" s="2">
        <v>45658</v>
      </c>
      <c r="C1239" s="52">
        <v>5063.45</v>
      </c>
      <c r="D1239" s="48">
        <f>_xlfn.XLOOKUP(expected_production[[#This Row],[Site Name]],Table1[[Site Name ]],Table1[Commisioned Date],"")</f>
        <v>45248</v>
      </c>
      <c r="E1239" s="47">
        <f>IF(ISNUMBER(expected_production[[#This Row],[Commissioned Date]]),MAX(0,(expected_production[[#This Row],[Date]]-expected_production[[#This Row],[Commissioned Date]])/365.25),"")</f>
        <v>1.1225188227241616</v>
      </c>
      <c r="F1239" s="49">
        <f>IF(expected_production[[#This Row],[Age (yrs)]]="",1,(1-DegradationRate)^expected_production[[#This Row],[Age (yrs)]])</f>
        <v>0.99214574463981997</v>
      </c>
      <c r="G1239" s="52">
        <f>IF(expected_production[[#This Row],[Base Expected (kWh)]]="","",expected_production[[#This Row],[Base Expected (kWh)]]*expected_production[[#This Row],[Degradation Factor]])</f>
        <v>5023.6803706964965</v>
      </c>
    </row>
    <row r="1240" spans="1:7" ht="15" hidden="1" customHeight="1" x14ac:dyDescent="0.3">
      <c r="A1240" t="s">
        <v>131</v>
      </c>
      <c r="B1240" s="2">
        <v>45689</v>
      </c>
      <c r="C1240" s="52">
        <v>4598.5</v>
      </c>
      <c r="D1240" s="48">
        <f>_xlfn.XLOOKUP(expected_production[[#This Row],[Site Name]],Table1[[Site Name ]],Table1[Commisioned Date],"")</f>
        <v>45248</v>
      </c>
      <c r="E1240" s="47">
        <f>IF(ISNUMBER(expected_production[[#This Row],[Commissioned Date]]),MAX(0,(expected_production[[#This Row],[Date]]-expected_production[[#This Row],[Commissioned Date]])/365.25),"")</f>
        <v>1.2073921971252566</v>
      </c>
      <c r="F1240" s="49">
        <f>IF(expected_production[[#This Row],[Age (yrs)]]="",1,(1-DegradationRate)^expected_production[[#This Row],[Age (yrs)]])</f>
        <v>0.99155440089298896</v>
      </c>
      <c r="G1240" s="52">
        <f>IF(expected_production[[#This Row],[Base Expected (kWh)]]="","",expected_production[[#This Row],[Base Expected (kWh)]]*expected_production[[#This Row],[Degradation Factor]])</f>
        <v>4559.6629125064101</v>
      </c>
    </row>
    <row r="1241" spans="1:7" ht="15" hidden="1" customHeight="1" x14ac:dyDescent="0.3">
      <c r="A1241" t="s">
        <v>131</v>
      </c>
      <c r="B1241" s="2">
        <v>45717</v>
      </c>
      <c r="C1241" s="52">
        <v>5071.95</v>
      </c>
      <c r="D1241" s="48">
        <f>_xlfn.XLOOKUP(expected_production[[#This Row],[Site Name]],Table1[[Site Name ]],Table1[Commisioned Date],"")</f>
        <v>45248</v>
      </c>
      <c r="E1241" s="47">
        <f>IF(ISNUMBER(expected_production[[#This Row],[Commissioned Date]]),MAX(0,(expected_production[[#This Row],[Date]]-expected_production[[#This Row],[Commissioned Date]])/365.25),"")</f>
        <v>1.2840520191649556</v>
      </c>
      <c r="F1241" s="49">
        <f>IF(expected_production[[#This Row],[Age (yrs)]]="",1,(1-DegradationRate)^expected_production[[#This Row],[Age (yrs)]])</f>
        <v>0.9910205869093891</v>
      </c>
      <c r="G1241" s="52">
        <f>IF(expected_production[[#This Row],[Base Expected (kWh)]]="","",expected_production[[#This Row],[Base Expected (kWh)]]*expected_production[[#This Row],[Degradation Factor]])</f>
        <v>5026.4068657750759</v>
      </c>
    </row>
    <row r="1242" spans="1:7" ht="15" hidden="1" customHeight="1" x14ac:dyDescent="0.3">
      <c r="A1242" t="s">
        <v>131</v>
      </c>
      <c r="B1242" s="2">
        <v>45748</v>
      </c>
      <c r="C1242" s="52">
        <v>4864.55</v>
      </c>
      <c r="D1242" s="48">
        <f>_xlfn.XLOOKUP(expected_production[[#This Row],[Site Name]],Table1[[Site Name ]],Table1[Commisioned Date],"")</f>
        <v>45248</v>
      </c>
      <c r="E1242" s="47">
        <f>IF(ISNUMBER(expected_production[[#This Row],[Commissioned Date]]),MAX(0,(expected_production[[#This Row],[Date]]-expected_production[[#This Row],[Commissioned Date]])/365.25),"")</f>
        <v>1.3689253935660506</v>
      </c>
      <c r="F1242" s="49">
        <f>IF(expected_production[[#This Row],[Age (yrs)]]="",1,(1-DegradationRate)^expected_production[[#This Row],[Age (yrs)]])</f>
        <v>0.99042991378478451</v>
      </c>
      <c r="G1242" s="52">
        <f>IF(expected_production[[#This Row],[Base Expected (kWh)]]="","",expected_production[[#This Row],[Base Expected (kWh)]]*expected_production[[#This Row],[Degradation Factor]])</f>
        <v>4817.9958371017738</v>
      </c>
    </row>
    <row r="1243" spans="1:7" ht="15" hidden="1" customHeight="1" x14ac:dyDescent="0.3">
      <c r="A1243" t="s">
        <v>131</v>
      </c>
      <c r="B1243" s="2">
        <v>45778</v>
      </c>
      <c r="C1243" s="52">
        <v>5173.1000000000004</v>
      </c>
      <c r="D1243" s="48">
        <f>_xlfn.XLOOKUP(expected_production[[#This Row],[Site Name]],Table1[[Site Name ]],Table1[Commisioned Date],"")</f>
        <v>45248</v>
      </c>
      <c r="E1243" s="47">
        <f>IF(ISNUMBER(expected_production[[#This Row],[Commissioned Date]]),MAX(0,(expected_production[[#This Row],[Date]]-expected_production[[#This Row],[Commissioned Date]])/365.25),"")</f>
        <v>1.4510609171800137</v>
      </c>
      <c r="F1243" s="49">
        <f>IF(expected_production[[#This Row],[Age (yrs)]]="",1,(1-DegradationRate)^expected_production[[#This Row],[Age (yrs)]])</f>
        <v>0.98985862983829032</v>
      </c>
      <c r="G1243" s="52">
        <f>IF(expected_production[[#This Row],[Base Expected (kWh)]]="","",expected_production[[#This Row],[Base Expected (kWh)]]*expected_production[[#This Row],[Degradation Factor]])</f>
        <v>5120.6376780164601</v>
      </c>
    </row>
    <row r="1244" spans="1:7" ht="15" hidden="1" customHeight="1" x14ac:dyDescent="0.3">
      <c r="A1244" t="s">
        <v>131</v>
      </c>
      <c r="B1244" s="2">
        <v>45809</v>
      </c>
      <c r="C1244" s="52">
        <v>5002.25</v>
      </c>
      <c r="D1244" s="48">
        <f>_xlfn.XLOOKUP(expected_production[[#This Row],[Site Name]],Table1[[Site Name ]],Table1[Commisioned Date],"")</f>
        <v>45248</v>
      </c>
      <c r="E1244" s="47">
        <f>IF(ISNUMBER(expected_production[[#This Row],[Commissioned Date]]),MAX(0,(expected_production[[#This Row],[Date]]-expected_production[[#This Row],[Commissioned Date]])/365.25),"")</f>
        <v>1.5359342915811087</v>
      </c>
      <c r="F1244" s="49">
        <f>IF(expected_production[[#This Row],[Age (yrs)]]="",1,(1-DegradationRate)^expected_production[[#This Row],[Age (yrs)]])</f>
        <v>0.98926864926924196</v>
      </c>
      <c r="G1244" s="52">
        <f>IF(expected_production[[#This Row],[Base Expected (kWh)]]="","",expected_production[[#This Row],[Base Expected (kWh)]]*expected_production[[#This Row],[Degradation Factor]])</f>
        <v>4948.5691008070653</v>
      </c>
    </row>
    <row r="1245" spans="1:7" ht="15" hidden="1" customHeight="1" x14ac:dyDescent="0.3">
      <c r="A1245" t="s">
        <v>131</v>
      </c>
      <c r="B1245" s="2">
        <v>45839</v>
      </c>
      <c r="C1245" s="52">
        <v>5383.9</v>
      </c>
      <c r="D1245" s="48">
        <f>_xlfn.XLOOKUP(expected_production[[#This Row],[Site Name]],Table1[[Site Name ]],Table1[Commisioned Date],"")</f>
        <v>45248</v>
      </c>
      <c r="E1245" s="47">
        <f>IF(ISNUMBER(expected_production[[#This Row],[Commissioned Date]]),MAX(0,(expected_production[[#This Row],[Date]]-expected_production[[#This Row],[Commissioned Date]])/365.25),"")</f>
        <v>1.6180698151950719</v>
      </c>
      <c r="F1245" s="49">
        <f>IF(expected_production[[#This Row],[Age (yrs)]]="",1,(1-DegradationRate)^expected_production[[#This Row],[Age (yrs)]])</f>
        <v>0.98869803514477772</v>
      </c>
      <c r="G1245" s="52">
        <f>IF(expected_production[[#This Row],[Base Expected (kWh)]]="","",expected_production[[#This Row],[Base Expected (kWh)]]*expected_production[[#This Row],[Degradation Factor]])</f>
        <v>5323.0513514159684</v>
      </c>
    </row>
    <row r="1246" spans="1:7" ht="15" hidden="1" customHeight="1" x14ac:dyDescent="0.3">
      <c r="A1246" t="s">
        <v>131</v>
      </c>
      <c r="B1246" s="2">
        <v>45870</v>
      </c>
      <c r="C1246" s="52">
        <v>5638.05</v>
      </c>
      <c r="D1246" s="48">
        <f>_xlfn.XLOOKUP(expected_production[[#This Row],[Site Name]],Table1[[Site Name ]],Table1[Commisioned Date],"")</f>
        <v>45248</v>
      </c>
      <c r="E1246" s="47">
        <f>IF(ISNUMBER(expected_production[[#This Row],[Commissioned Date]]),MAX(0,(expected_production[[#This Row],[Date]]-expected_production[[#This Row],[Commissioned Date]])/365.25),"")</f>
        <v>1.7029431895961671</v>
      </c>
      <c r="F1246" s="49">
        <f>IF(expected_production[[#This Row],[Age (yrs)]]="",1,(1-DegradationRate)^expected_production[[#This Row],[Age (yrs)]])</f>
        <v>0.98810874631927437</v>
      </c>
      <c r="G1246" s="52">
        <f>IF(expected_production[[#This Row],[Base Expected (kWh)]]="","",expected_production[[#This Row],[Base Expected (kWh)]]*expected_production[[#This Row],[Degradation Factor]])</f>
        <v>5571.0065171853848</v>
      </c>
    </row>
    <row r="1247" spans="1:7" ht="15" hidden="1" customHeight="1" x14ac:dyDescent="0.3">
      <c r="A1247" t="s">
        <v>131</v>
      </c>
      <c r="B1247" s="2">
        <v>45901</v>
      </c>
      <c r="C1247" s="52">
        <v>5587.05</v>
      </c>
      <c r="D1247" s="48">
        <f>_xlfn.XLOOKUP(expected_production[[#This Row],[Site Name]],Table1[[Site Name ]],Table1[Commisioned Date],"")</f>
        <v>45248</v>
      </c>
      <c r="E1247" s="47">
        <f>IF(ISNUMBER(expected_production[[#This Row],[Commissioned Date]]),MAX(0,(expected_production[[#This Row],[Date]]-expected_production[[#This Row],[Commissioned Date]])/365.25),"")</f>
        <v>1.7878165639972621</v>
      </c>
      <c r="F1247" s="49">
        <f>IF(expected_production[[#This Row],[Age (yrs)]]="",1,(1-DegradationRate)^expected_production[[#This Row],[Age (yrs)]])</f>
        <v>0.98751980872469036</v>
      </c>
      <c r="G1247" s="52">
        <f>IF(expected_production[[#This Row],[Base Expected (kWh)]]="","",expected_production[[#This Row],[Base Expected (kWh)]]*expected_production[[#This Row],[Degradation Factor]])</f>
        <v>5517.3225473352813</v>
      </c>
    </row>
    <row r="1248" spans="1:7" ht="15" hidden="1" customHeight="1" x14ac:dyDescent="0.3">
      <c r="A1248" t="s">
        <v>131</v>
      </c>
      <c r="B1248" s="2">
        <v>45931</v>
      </c>
      <c r="C1248" s="52">
        <v>5491.85</v>
      </c>
      <c r="D1248" s="48">
        <f>_xlfn.XLOOKUP(expected_production[[#This Row],[Site Name]],Table1[[Site Name ]],Table1[Commisioned Date],"")</f>
        <v>45248</v>
      </c>
      <c r="E1248" s="47">
        <f>IF(ISNUMBER(expected_production[[#This Row],[Commissioned Date]]),MAX(0,(expected_production[[#This Row],[Date]]-expected_production[[#This Row],[Commissioned Date]])/365.25),"")</f>
        <v>1.8699520876112252</v>
      </c>
      <c r="F1248" s="49">
        <f>IF(expected_production[[#This Row],[Age (yrs)]]="",1,(1-DegradationRate)^expected_production[[#This Row],[Age (yrs)]])</f>
        <v>0.98695020333846617</v>
      </c>
      <c r="G1248" s="52">
        <f>IF(expected_production[[#This Row],[Base Expected (kWh)]]="","",expected_production[[#This Row],[Base Expected (kWh)]]*expected_production[[#This Row],[Degradation Factor]])</f>
        <v>5420.1824742043555</v>
      </c>
    </row>
    <row r="1249" spans="1:7" ht="15" hidden="1" customHeight="1" x14ac:dyDescent="0.3">
      <c r="A1249" t="s">
        <v>131</v>
      </c>
      <c r="B1249" s="2">
        <v>45962</v>
      </c>
      <c r="C1249" s="52">
        <v>5110.2</v>
      </c>
      <c r="D1249" s="48">
        <f>_xlfn.XLOOKUP(expected_production[[#This Row],[Site Name]],Table1[[Site Name ]],Table1[Commisioned Date],"")</f>
        <v>45248</v>
      </c>
      <c r="E1249" s="47">
        <f>IF(ISNUMBER(expected_production[[#This Row],[Commissioned Date]]),MAX(0,(expected_production[[#This Row],[Date]]-expected_production[[#This Row],[Commissioned Date]])/365.25),"")</f>
        <v>1.9548254620123204</v>
      </c>
      <c r="F1249" s="49">
        <f>IF(expected_production[[#This Row],[Age (yrs)]]="",1,(1-DegradationRate)^expected_production[[#This Row],[Age (yrs)]])</f>
        <v>0.98636195626455503</v>
      </c>
      <c r="G1249" s="52">
        <f>IF(expected_production[[#This Row],[Base Expected (kWh)]]="","",expected_production[[#This Row],[Base Expected (kWh)]]*expected_production[[#This Row],[Degradation Factor]])</f>
        <v>5040.5068689031286</v>
      </c>
    </row>
    <row r="1250" spans="1:7" ht="15" hidden="1" customHeight="1" x14ac:dyDescent="0.3">
      <c r="A1250" t="s">
        <v>131</v>
      </c>
      <c r="B1250" s="2">
        <v>45992</v>
      </c>
      <c r="C1250" s="52">
        <v>5223.25</v>
      </c>
      <c r="D1250" s="48">
        <f>_xlfn.XLOOKUP(expected_production[[#This Row],[Site Name]],Table1[[Site Name ]],Table1[Commisioned Date],"")</f>
        <v>45248</v>
      </c>
      <c r="E1250" s="47">
        <f>IF(ISNUMBER(expected_production[[#This Row],[Commissioned Date]]),MAX(0,(expected_production[[#This Row],[Date]]-expected_production[[#This Row],[Commissioned Date]])/365.25),"")</f>
        <v>2.0369609856262834</v>
      </c>
      <c r="F1250" s="49">
        <f>IF(expected_production[[#This Row],[Age (yrs)]]="",1,(1-DegradationRate)^expected_production[[#This Row],[Age (yrs)]])</f>
        <v>0.98579301873227354</v>
      </c>
      <c r="G1250" s="52">
        <f>IF(expected_production[[#This Row],[Base Expected (kWh)]]="","",expected_production[[#This Row],[Base Expected (kWh)]]*expected_production[[#This Row],[Degradation Factor]])</f>
        <v>5149.0433850933478</v>
      </c>
    </row>
    <row r="1251" spans="1:7" ht="15" hidden="1" customHeight="1" x14ac:dyDescent="0.3">
      <c r="A1251" t="s">
        <v>131</v>
      </c>
      <c r="B1251" s="2">
        <v>46023</v>
      </c>
      <c r="C1251" s="52">
        <v>5063.45</v>
      </c>
      <c r="D1251" s="48">
        <f>_xlfn.XLOOKUP(expected_production[[#This Row],[Site Name]],Table1[[Site Name ]],Table1[Commisioned Date],"")</f>
        <v>45248</v>
      </c>
      <c r="E1251" s="47">
        <f>IF(ISNUMBER(expected_production[[#This Row],[Commissioned Date]]),MAX(0,(expected_production[[#This Row],[Date]]-expected_production[[#This Row],[Commissioned Date]])/365.25),"")</f>
        <v>2.1218343600273784</v>
      </c>
      <c r="F1251" s="49">
        <f>IF(expected_production[[#This Row],[Age (yrs)]]="",1,(1-DegradationRate)^expected_production[[#This Row],[Age (yrs)]])</f>
        <v>0.9852054613694099</v>
      </c>
      <c r="G1251" s="52">
        <f>IF(expected_production[[#This Row],[Base Expected (kWh)]]="","",expected_production[[#This Row],[Base Expected (kWh)]]*expected_production[[#This Row],[Degradation Factor]])</f>
        <v>4988.5385933709385</v>
      </c>
    </row>
    <row r="1252" spans="1:7" ht="15" hidden="1" customHeight="1" x14ac:dyDescent="0.3">
      <c r="A1252" t="s">
        <v>131</v>
      </c>
      <c r="B1252" s="2">
        <v>46054</v>
      </c>
      <c r="C1252" s="52">
        <v>4598.5</v>
      </c>
      <c r="D1252" s="48">
        <f>_xlfn.XLOOKUP(expected_production[[#This Row],[Site Name]],Table1[[Site Name ]],Table1[Commisioned Date],"")</f>
        <v>45248</v>
      </c>
      <c r="E1252" s="47">
        <f>IF(ISNUMBER(expected_production[[#This Row],[Commissioned Date]]),MAX(0,(expected_production[[#This Row],[Date]]-expected_production[[#This Row],[Commissioned Date]])/365.25),"")</f>
        <v>2.2067077344284738</v>
      </c>
      <c r="F1252" s="49">
        <f>IF(expected_production[[#This Row],[Age (yrs)]]="",1,(1-DegradationRate)^expected_production[[#This Row],[Age (yrs)]])</f>
        <v>0.98461825420547044</v>
      </c>
      <c r="G1252" s="52">
        <f>IF(expected_production[[#This Row],[Base Expected (kWh)]]="","",expected_production[[#This Row],[Base Expected (kWh)]]*expected_production[[#This Row],[Degradation Factor]])</f>
        <v>4527.7670419638562</v>
      </c>
    </row>
    <row r="1253" spans="1:7" ht="15" hidden="1" customHeight="1" x14ac:dyDescent="0.3">
      <c r="A1253" t="s">
        <v>131</v>
      </c>
      <c r="B1253" s="2">
        <v>46082</v>
      </c>
      <c r="C1253" s="52">
        <v>5071.95</v>
      </c>
      <c r="D1253" s="48">
        <f>_xlfn.XLOOKUP(expected_production[[#This Row],[Site Name]],Table1[[Site Name ]],Table1[Commisioned Date],"")</f>
        <v>45248</v>
      </c>
      <c r="E1253" s="47">
        <f>IF(ISNUMBER(expected_production[[#This Row],[Commissioned Date]]),MAX(0,(expected_production[[#This Row],[Date]]-expected_production[[#This Row],[Commissioned Date]])/365.25),"")</f>
        <v>2.2833675564681726</v>
      </c>
      <c r="F1253" s="49">
        <f>IF(expected_production[[#This Row],[Age (yrs)]]="",1,(1-DegradationRate)^expected_production[[#This Row],[Age (yrs)]])</f>
        <v>0.98408817437109208</v>
      </c>
      <c r="G1253" s="52">
        <f>IF(expected_production[[#This Row],[Base Expected (kWh)]]="","",expected_production[[#This Row],[Base Expected (kWh)]]*expected_production[[#This Row],[Degradation Factor]])</f>
        <v>4991.2460160014607</v>
      </c>
    </row>
    <row r="1254" spans="1:7" ht="15" hidden="1" customHeight="1" x14ac:dyDescent="0.3">
      <c r="A1254" t="s">
        <v>131</v>
      </c>
      <c r="B1254" s="2">
        <v>46113</v>
      </c>
      <c r="C1254" s="52">
        <v>4864.55</v>
      </c>
      <c r="D1254" s="48">
        <f>_xlfn.XLOOKUP(expected_production[[#This Row],[Site Name]],Table1[[Site Name ]],Table1[Commisioned Date],"")</f>
        <v>45248</v>
      </c>
      <c r="E1254" s="47">
        <f>IF(ISNUMBER(expected_production[[#This Row],[Commissioned Date]]),MAX(0,(expected_production[[#This Row],[Date]]-expected_production[[#This Row],[Commissioned Date]])/365.25),"")</f>
        <v>2.3682409308692676</v>
      </c>
      <c r="F1254" s="49">
        <f>IF(expected_production[[#This Row],[Age (yrs)]]="",1,(1-DegradationRate)^expected_production[[#This Row],[Age (yrs)]])</f>
        <v>0.98350163313822514</v>
      </c>
      <c r="G1254" s="52">
        <f>IF(expected_production[[#This Row],[Base Expected (kWh)]]="","",expected_production[[#This Row],[Base Expected (kWh)]]*expected_production[[#This Row],[Degradation Factor]])</f>
        <v>4784.2928694825532</v>
      </c>
    </row>
    <row r="1255" spans="1:7" ht="15" hidden="1" customHeight="1" x14ac:dyDescent="0.3">
      <c r="A1255" t="s">
        <v>131</v>
      </c>
      <c r="B1255" s="2">
        <v>46143</v>
      </c>
      <c r="C1255" s="52">
        <v>5173.1000000000004</v>
      </c>
      <c r="D1255" s="48">
        <f>_xlfn.XLOOKUP(expected_production[[#This Row],[Site Name]],Table1[[Site Name ]],Table1[Commisioned Date],"")</f>
        <v>45248</v>
      </c>
      <c r="E1255" s="47">
        <f>IF(ISNUMBER(expected_production[[#This Row],[Commissioned Date]]),MAX(0,(expected_production[[#This Row],[Date]]-expected_production[[#This Row],[Commissioned Date]])/365.25),"")</f>
        <v>2.4503764544832305</v>
      </c>
      <c r="F1255" s="49">
        <f>IF(expected_production[[#This Row],[Age (yrs)]]="",1,(1-DegradationRate)^expected_production[[#This Row],[Age (yrs)]])</f>
        <v>0.98293434545179459</v>
      </c>
      <c r="G1255" s="52">
        <f>IF(expected_production[[#This Row],[Base Expected (kWh)]]="","",expected_production[[#This Row],[Base Expected (kWh)]]*expected_production[[#This Row],[Degradation Factor]])</f>
        <v>5084.8176624566786</v>
      </c>
    </row>
    <row r="1256" spans="1:7" ht="15" hidden="1" customHeight="1" x14ac:dyDescent="0.3">
      <c r="A1256" t="s">
        <v>131</v>
      </c>
      <c r="B1256" s="2">
        <v>46174</v>
      </c>
      <c r="C1256" s="52">
        <v>5002.25</v>
      </c>
      <c r="D1256" s="48">
        <f>_xlfn.XLOOKUP(expected_production[[#This Row],[Site Name]],Table1[[Site Name ]],Table1[Commisioned Date],"")</f>
        <v>45248</v>
      </c>
      <c r="E1256" s="47">
        <f>IF(ISNUMBER(expected_production[[#This Row],[Commissioned Date]]),MAX(0,(expected_production[[#This Row],[Date]]-expected_production[[#This Row],[Commissioned Date]])/365.25),"")</f>
        <v>2.5352498288843259</v>
      </c>
      <c r="F1256" s="49">
        <f>IF(expected_production[[#This Row],[Age (yrs)]]="",1,(1-DegradationRate)^expected_production[[#This Row],[Age (yrs)]])</f>
        <v>0.98234849192990159</v>
      </c>
      <c r="G1256" s="52">
        <f>IF(expected_production[[#This Row],[Base Expected (kWh)]]="","",expected_production[[#This Row],[Base Expected (kWh)]]*expected_production[[#This Row],[Degradation Factor]])</f>
        <v>4913.9527437563502</v>
      </c>
    </row>
    <row r="1257" spans="1:7" ht="15" hidden="1" customHeight="1" x14ac:dyDescent="0.3">
      <c r="A1257" t="s">
        <v>131</v>
      </c>
      <c r="B1257" s="2">
        <v>46204</v>
      </c>
      <c r="C1257" s="52">
        <v>5383.9</v>
      </c>
      <c r="D1257" s="48">
        <f>_xlfn.XLOOKUP(expected_production[[#This Row],[Site Name]],Table1[[Site Name ]],Table1[Commisioned Date],"")</f>
        <v>45248</v>
      </c>
      <c r="E1257" s="47">
        <f>IF(ISNUMBER(expected_production[[#This Row],[Commissioned Date]]),MAX(0,(expected_production[[#This Row],[Date]]-expected_production[[#This Row],[Commissioned Date]])/365.25),"")</f>
        <v>2.6173853524982889</v>
      </c>
      <c r="F1257" s="49">
        <f>IF(expected_production[[#This Row],[Age (yrs)]]="",1,(1-DegradationRate)^expected_production[[#This Row],[Age (yrs)]])</f>
        <v>0.98178186937994472</v>
      </c>
      <c r="G1257" s="52">
        <f>IF(expected_production[[#This Row],[Base Expected (kWh)]]="","",expected_production[[#This Row],[Base Expected (kWh)]]*expected_production[[#This Row],[Degradation Factor]])</f>
        <v>5285.8154065546842</v>
      </c>
    </row>
    <row r="1258" spans="1:7" ht="15" hidden="1" customHeight="1" x14ac:dyDescent="0.3">
      <c r="A1258" t="s">
        <v>131</v>
      </c>
      <c r="B1258" s="2">
        <v>46235</v>
      </c>
      <c r="C1258" s="52">
        <v>5638.05</v>
      </c>
      <c r="D1258" s="48">
        <f>_xlfn.XLOOKUP(expected_production[[#This Row],[Site Name]],Table1[[Site Name ]],Table1[Commisioned Date],"")</f>
        <v>45248</v>
      </c>
      <c r="E1258" s="47">
        <f>IF(ISNUMBER(expected_production[[#This Row],[Commissioned Date]]),MAX(0,(expected_production[[#This Row],[Date]]-expected_production[[#This Row],[Commissioned Date]])/365.25),"")</f>
        <v>2.7022587268993838</v>
      </c>
      <c r="F1258" s="49">
        <f>IF(expected_production[[#This Row],[Age (yrs)]]="",1,(1-DegradationRate)^expected_production[[#This Row],[Age (yrs)]])</f>
        <v>0.98119670276269477</v>
      </c>
      <c r="G1258" s="52">
        <f>IF(expected_production[[#This Row],[Base Expected (kWh)]]="","",expected_production[[#This Row],[Base Expected (kWh)]]*expected_production[[#This Row],[Degradation Factor]])</f>
        <v>5532.0360700112115</v>
      </c>
    </row>
    <row r="1259" spans="1:7" ht="15" hidden="1" customHeight="1" x14ac:dyDescent="0.3">
      <c r="A1259" t="s">
        <v>131</v>
      </c>
      <c r="B1259" s="2">
        <v>46266</v>
      </c>
      <c r="C1259" s="52">
        <v>5587.05</v>
      </c>
      <c r="D1259" s="48">
        <f>_xlfn.XLOOKUP(expected_production[[#This Row],[Site Name]],Table1[[Site Name ]],Table1[Commisioned Date],"")</f>
        <v>45248</v>
      </c>
      <c r="E1259" s="47">
        <f>IF(ISNUMBER(expected_production[[#This Row],[Commissioned Date]]),MAX(0,(expected_production[[#This Row],[Date]]-expected_production[[#This Row],[Commissioned Date]])/365.25),"")</f>
        <v>2.7871321013004793</v>
      </c>
      <c r="F1259" s="49">
        <f>IF(expected_production[[#This Row],[Age (yrs)]]="",1,(1-DegradationRate)^expected_production[[#This Row],[Age (yrs)]])</f>
        <v>0.98061188491942464</v>
      </c>
      <c r="G1259" s="52">
        <f>IF(expected_production[[#This Row],[Base Expected (kWh)]]="","",expected_production[[#This Row],[Base Expected (kWh)]]*expected_production[[#This Row],[Degradation Factor]])</f>
        <v>5478.7276316390717</v>
      </c>
    </row>
    <row r="1260" spans="1:7" ht="15" hidden="1" customHeight="1" x14ac:dyDescent="0.3">
      <c r="A1260" t="s">
        <v>131</v>
      </c>
      <c r="B1260" s="2">
        <v>46296</v>
      </c>
      <c r="C1260" s="52">
        <v>5491.85</v>
      </c>
      <c r="D1260" s="48">
        <f>_xlfn.XLOOKUP(expected_production[[#This Row],[Site Name]],Table1[[Site Name ]],Table1[Commisioned Date],"")</f>
        <v>45248</v>
      </c>
      <c r="E1260" s="47">
        <f>IF(ISNUMBER(expected_production[[#This Row],[Commissioned Date]]),MAX(0,(expected_production[[#This Row],[Date]]-expected_production[[#This Row],[Commissioned Date]])/365.25),"")</f>
        <v>2.8692676249144422</v>
      </c>
      <c r="F1260" s="49">
        <f>IF(expected_production[[#This Row],[Age (yrs)]]="",1,(1-DegradationRate)^expected_production[[#This Row],[Age (yrs)]])</f>
        <v>0.98004626405135631</v>
      </c>
      <c r="G1260" s="52">
        <f>IF(expected_production[[#This Row],[Base Expected (kWh)]]="","",expected_production[[#This Row],[Base Expected (kWh)]]*expected_production[[#This Row],[Degradation Factor]])</f>
        <v>5382.2670752304412</v>
      </c>
    </row>
    <row r="1261" spans="1:7" ht="15" hidden="1" customHeight="1" x14ac:dyDescent="0.3">
      <c r="A1261" t="s">
        <v>131</v>
      </c>
      <c r="B1261" s="2">
        <v>46327</v>
      </c>
      <c r="C1261" s="52">
        <v>5110.2</v>
      </c>
      <c r="D1261" s="48">
        <f>_xlfn.XLOOKUP(expected_production[[#This Row],[Site Name]],Table1[[Site Name ]],Table1[Commisioned Date],"")</f>
        <v>45248</v>
      </c>
      <c r="E1261" s="47">
        <f>IF(ISNUMBER(expected_production[[#This Row],[Commissioned Date]]),MAX(0,(expected_production[[#This Row],[Date]]-expected_production[[#This Row],[Commissioned Date]])/365.25),"")</f>
        <v>2.9541409993155372</v>
      </c>
      <c r="F1261" s="49">
        <f>IF(expected_production[[#This Row],[Age (yrs)]]="",1,(1-DegradationRate)^expected_production[[#This Row],[Age (yrs)]])</f>
        <v>0.97946213189841114</v>
      </c>
      <c r="G1261" s="52">
        <f>IF(expected_production[[#This Row],[Base Expected (kWh)]]="","",expected_production[[#This Row],[Base Expected (kWh)]]*expected_production[[#This Row],[Degradation Factor]])</f>
        <v>5005.2473864272606</v>
      </c>
    </row>
    <row r="1262" spans="1:7" ht="15" hidden="1" customHeight="1" x14ac:dyDescent="0.3">
      <c r="A1262" t="s">
        <v>131</v>
      </c>
      <c r="B1262" s="2">
        <v>46357</v>
      </c>
      <c r="C1262" s="52">
        <v>5223.25</v>
      </c>
      <c r="D1262" s="48">
        <f>_xlfn.XLOOKUP(expected_production[[#This Row],[Site Name]],Table1[[Site Name ]],Table1[Commisioned Date],"")</f>
        <v>45248</v>
      </c>
      <c r="E1262" s="47">
        <f>IF(ISNUMBER(expected_production[[#This Row],[Commissioned Date]]),MAX(0,(expected_production[[#This Row],[Date]]-expected_production[[#This Row],[Commissioned Date]])/365.25),"")</f>
        <v>3.0362765229295001</v>
      </c>
      <c r="F1262" s="49">
        <f>IF(expected_production[[#This Row],[Age (yrs)]]="",1,(1-DegradationRate)^expected_production[[#This Row],[Age (yrs)]])</f>
        <v>0.97889717421249645</v>
      </c>
      <c r="G1262" s="52">
        <f>IF(expected_production[[#This Row],[Base Expected (kWh)]]="","",expected_production[[#This Row],[Base Expected (kWh)]]*expected_production[[#This Row],[Degradation Factor]])</f>
        <v>5113.024665205422</v>
      </c>
    </row>
    <row r="1263" spans="1:7" ht="15" hidden="1" customHeight="1" x14ac:dyDescent="0.3">
      <c r="A1263" t="s">
        <v>134</v>
      </c>
      <c r="B1263" s="2">
        <v>45292</v>
      </c>
      <c r="C1263" s="52">
        <v>40416.300000000003</v>
      </c>
      <c r="D1263" s="48">
        <f>_xlfn.XLOOKUP(expected_production[[#This Row],[Site Name]],Table1[[Site Name ]],Table1[Commisioned Date],"")</f>
        <v>45351</v>
      </c>
      <c r="E1263" s="47">
        <f>IF(ISNUMBER(expected_production[[#This Row],[Commissioned Date]]),MAX(0,(expected_production[[#This Row],[Date]]-expected_production[[#This Row],[Commissioned Date]])/365.25),"")</f>
        <v>0</v>
      </c>
      <c r="F1263" s="49">
        <f>IF(expected_production[[#This Row],[Age (yrs)]]="",1,(1-DegradationRate)^expected_production[[#This Row],[Age (yrs)]])</f>
        <v>1</v>
      </c>
      <c r="G1263" s="52">
        <f>IF(expected_production[[#This Row],[Base Expected (kWh)]]="","",expected_production[[#This Row],[Base Expected (kWh)]]*expected_production[[#This Row],[Degradation Factor]])</f>
        <v>40416.300000000003</v>
      </c>
    </row>
    <row r="1264" spans="1:7" ht="15" hidden="1" customHeight="1" x14ac:dyDescent="0.3">
      <c r="A1264" t="s">
        <v>134</v>
      </c>
      <c r="B1264" s="2">
        <v>45323</v>
      </c>
      <c r="C1264" s="52">
        <v>33988.5</v>
      </c>
      <c r="D1264" s="48">
        <f>_xlfn.XLOOKUP(expected_production[[#This Row],[Site Name]],Table1[[Site Name ]],Table1[Commisioned Date],"")</f>
        <v>45351</v>
      </c>
      <c r="E1264" s="47">
        <f>IF(ISNUMBER(expected_production[[#This Row],[Commissioned Date]]),MAX(0,(expected_production[[#This Row],[Date]]-expected_production[[#This Row],[Commissioned Date]])/365.25),"")</f>
        <v>0</v>
      </c>
      <c r="F1264" s="49">
        <f>IF(expected_production[[#This Row],[Age (yrs)]]="",1,(1-DegradationRate)^expected_production[[#This Row],[Age (yrs)]])</f>
        <v>1</v>
      </c>
      <c r="G1264" s="52">
        <f>IF(expected_production[[#This Row],[Base Expected (kWh)]]="","",expected_production[[#This Row],[Base Expected (kWh)]]*expected_production[[#This Row],[Degradation Factor]])</f>
        <v>33988.5</v>
      </c>
    </row>
    <row r="1265" spans="1:7" ht="15" hidden="1" customHeight="1" x14ac:dyDescent="0.3">
      <c r="A1265" t="s">
        <v>134</v>
      </c>
      <c r="B1265" s="2">
        <v>45352</v>
      </c>
      <c r="C1265" s="52">
        <v>35132.400000000001</v>
      </c>
      <c r="D1265" s="48">
        <f>_xlfn.XLOOKUP(expected_production[[#This Row],[Site Name]],Table1[[Site Name ]],Table1[Commisioned Date],"")</f>
        <v>45351</v>
      </c>
      <c r="E1265" s="47">
        <f>IF(ISNUMBER(expected_production[[#This Row],[Commissioned Date]]),MAX(0,(expected_production[[#This Row],[Date]]-expected_production[[#This Row],[Commissioned Date]])/365.25),"")</f>
        <v>2.7378507871321013E-3</v>
      </c>
      <c r="F1265" s="49">
        <f>IF(expected_production[[#This Row],[Age (yrs)]]="",1,(1-DegradationRate)^expected_production[[#This Row],[Age (yrs)]])</f>
        <v>0.99998076783740597</v>
      </c>
      <c r="G1265" s="52">
        <f>IF(expected_production[[#This Row],[Base Expected (kWh)]]="","",expected_production[[#This Row],[Base Expected (kWh)]]*expected_production[[#This Row],[Degradation Factor]])</f>
        <v>35131.724327970885</v>
      </c>
    </row>
    <row r="1266" spans="1:7" ht="15" hidden="1" customHeight="1" x14ac:dyDescent="0.3">
      <c r="A1266" t="s">
        <v>134</v>
      </c>
      <c r="B1266" s="2">
        <v>45383</v>
      </c>
      <c r="C1266" s="52">
        <v>29903.4</v>
      </c>
      <c r="D1266" s="48">
        <f>_xlfn.XLOOKUP(expected_production[[#This Row],[Site Name]],Table1[[Site Name ]],Table1[Commisioned Date],"")</f>
        <v>45351</v>
      </c>
      <c r="E1266" s="47">
        <f>IF(ISNUMBER(expected_production[[#This Row],[Commissioned Date]]),MAX(0,(expected_production[[#This Row],[Date]]-expected_production[[#This Row],[Commissioned Date]])/365.25),"")</f>
        <v>8.761122518822724E-2</v>
      </c>
      <c r="F1266" s="49">
        <f>IF(expected_production[[#This Row],[Age (yrs)]]="",1,(1-DegradationRate)^expected_production[[#This Row],[Age (yrs)]])</f>
        <v>0.99938475422024675</v>
      </c>
      <c r="G1266" s="52">
        <f>IF(expected_production[[#This Row],[Base Expected (kWh)]]="","",expected_production[[#This Row],[Base Expected (kWh)]]*expected_production[[#This Row],[Degradation Factor]])</f>
        <v>29885.002059349728</v>
      </c>
    </row>
    <row r="1267" spans="1:7" ht="15" hidden="1" customHeight="1" x14ac:dyDescent="0.3">
      <c r="A1267" t="s">
        <v>134</v>
      </c>
      <c r="B1267" s="2">
        <v>45413</v>
      </c>
      <c r="C1267" s="52">
        <v>28383.3</v>
      </c>
      <c r="D1267" s="48">
        <f>_xlfn.XLOOKUP(expected_production[[#This Row],[Site Name]],Table1[[Site Name ]],Table1[Commisioned Date],"")</f>
        <v>45351</v>
      </c>
      <c r="E1267" s="47">
        <f>IF(ISNUMBER(expected_production[[#This Row],[Commissioned Date]]),MAX(0,(expected_production[[#This Row],[Date]]-expected_production[[#This Row],[Commissioned Date]])/365.25),"")</f>
        <v>0.16974674880219029</v>
      </c>
      <c r="F1267" s="49">
        <f>IF(expected_production[[#This Row],[Age (yrs)]]="",1,(1-DegradationRate)^expected_production[[#This Row],[Age (yrs)]])</f>
        <v>0.99880830508587504</v>
      </c>
      <c r="G1267" s="52">
        <f>IF(expected_production[[#This Row],[Base Expected (kWh)]]="","",expected_production[[#This Row],[Base Expected (kWh)]]*expected_production[[#This Row],[Degradation Factor]])</f>
        <v>28349.475765743915</v>
      </c>
    </row>
    <row r="1268" spans="1:7" ht="15" hidden="1" customHeight="1" x14ac:dyDescent="0.3">
      <c r="A1268" t="s">
        <v>134</v>
      </c>
      <c r="B1268" s="2">
        <v>45444</v>
      </c>
      <c r="C1268" s="52">
        <v>25641.9</v>
      </c>
      <c r="D1268" s="48">
        <f>_xlfn.XLOOKUP(expected_production[[#This Row],[Site Name]],Table1[[Site Name ]],Table1[Commisioned Date],"")</f>
        <v>45351</v>
      </c>
      <c r="E1268" s="47">
        <f>IF(ISNUMBER(expected_production[[#This Row],[Commissioned Date]]),MAX(0,(expected_production[[#This Row],[Date]]-expected_production[[#This Row],[Commissioned Date]])/365.25),"")</f>
        <v>0.25462012320328542</v>
      </c>
      <c r="F1268" s="49">
        <f>IF(expected_production[[#This Row],[Age (yrs)]]="",1,(1-DegradationRate)^expected_production[[#This Row],[Age (yrs)]])</f>
        <v>0.99821299028592114</v>
      </c>
      <c r="G1268" s="52">
        <f>IF(expected_production[[#This Row],[Base Expected (kWh)]]="","",expected_production[[#This Row],[Base Expected (kWh)]]*expected_production[[#This Row],[Degradation Factor]])</f>
        <v>25596.077675612563</v>
      </c>
    </row>
    <row r="1269" spans="1:7" ht="15" hidden="1" customHeight="1" x14ac:dyDescent="0.3">
      <c r="A1269" t="s">
        <v>134</v>
      </c>
      <c r="B1269" s="2">
        <v>45474</v>
      </c>
      <c r="C1269" s="52">
        <v>28361.7</v>
      </c>
      <c r="D1269" s="48">
        <f>_xlfn.XLOOKUP(expected_production[[#This Row],[Site Name]],Table1[[Site Name ]],Table1[Commisioned Date],"")</f>
        <v>45351</v>
      </c>
      <c r="E1269" s="47">
        <f>IF(ISNUMBER(expected_production[[#This Row],[Commissioned Date]]),MAX(0,(expected_production[[#This Row],[Date]]-expected_production[[#This Row],[Commissioned Date]])/365.25),"")</f>
        <v>0.33675564681724846</v>
      </c>
      <c r="F1269" s="49">
        <f>IF(expected_production[[#This Row],[Age (yrs)]]="",1,(1-DegradationRate)^expected_production[[#This Row],[Age (yrs)]])</f>
        <v>0.99763721702968633</v>
      </c>
      <c r="G1269" s="52">
        <f>IF(expected_production[[#This Row],[Base Expected (kWh)]]="","",expected_production[[#This Row],[Base Expected (kWh)]]*expected_production[[#This Row],[Degradation Factor]])</f>
        <v>28294.687458230856</v>
      </c>
    </row>
    <row r="1270" spans="1:7" ht="15" hidden="1" customHeight="1" x14ac:dyDescent="0.3">
      <c r="A1270" t="s">
        <v>134</v>
      </c>
      <c r="B1270" s="2">
        <v>45505</v>
      </c>
      <c r="C1270" s="52">
        <v>33006.6</v>
      </c>
      <c r="D1270" s="48">
        <f>_xlfn.XLOOKUP(expected_production[[#This Row],[Site Name]],Table1[[Site Name ]],Table1[Commisioned Date],"")</f>
        <v>45351</v>
      </c>
      <c r="E1270" s="47">
        <f>IF(ISNUMBER(expected_production[[#This Row],[Commissioned Date]]),MAX(0,(expected_production[[#This Row],[Date]]-expected_production[[#This Row],[Commissioned Date]])/365.25),"")</f>
        <v>0.42162902121834361</v>
      </c>
      <c r="F1270" s="49">
        <f>IF(expected_production[[#This Row],[Age (yrs)]]="",1,(1-DegradationRate)^expected_production[[#This Row],[Age (yrs)]])</f>
        <v>0.99704260022758484</v>
      </c>
      <c r="G1270" s="52">
        <f>IF(expected_production[[#This Row],[Base Expected (kWh)]]="","",expected_production[[#This Row],[Base Expected (kWh)]]*expected_production[[#This Row],[Degradation Factor]])</f>
        <v>32908.986288671804</v>
      </c>
    </row>
    <row r="1271" spans="1:7" ht="15" hidden="1" customHeight="1" x14ac:dyDescent="0.3">
      <c r="A1271" t="s">
        <v>134</v>
      </c>
      <c r="B1271" s="2">
        <v>45536</v>
      </c>
      <c r="C1271" s="52">
        <v>36521.1</v>
      </c>
      <c r="D1271" s="48">
        <f>_xlfn.XLOOKUP(expected_production[[#This Row],[Site Name]],Table1[[Site Name ]],Table1[Commisioned Date],"")</f>
        <v>45351</v>
      </c>
      <c r="E1271" s="47">
        <f>IF(ISNUMBER(expected_production[[#This Row],[Commissioned Date]]),MAX(0,(expected_production[[#This Row],[Date]]-expected_production[[#This Row],[Commissioned Date]])/365.25),"")</f>
        <v>0.50650239561943877</v>
      </c>
      <c r="F1271" s="49">
        <f>IF(expected_production[[#This Row],[Age (yrs)]]="",1,(1-DegradationRate)^expected_production[[#This Row],[Age (yrs)]])</f>
        <v>0.99644833783201037</v>
      </c>
      <c r="G1271" s="52">
        <f>IF(expected_production[[#This Row],[Base Expected (kWh)]]="","",expected_production[[#This Row],[Base Expected (kWh)]]*expected_production[[#This Row],[Degradation Factor]])</f>
        <v>36391.389390796634</v>
      </c>
    </row>
    <row r="1272" spans="1:7" ht="15" hidden="1" customHeight="1" x14ac:dyDescent="0.3">
      <c r="A1272" t="s">
        <v>134</v>
      </c>
      <c r="B1272" s="2">
        <v>45566</v>
      </c>
      <c r="C1272" s="52">
        <v>39682.800000000003</v>
      </c>
      <c r="D1272" s="48">
        <f>_xlfn.XLOOKUP(expected_production[[#This Row],[Site Name]],Table1[[Site Name ]],Table1[Commisioned Date],"")</f>
        <v>45351</v>
      </c>
      <c r="E1272" s="47">
        <f>IF(ISNUMBER(expected_production[[#This Row],[Commissioned Date]]),MAX(0,(expected_production[[#This Row],[Date]]-expected_production[[#This Row],[Commissioned Date]])/365.25),"")</f>
        <v>0.58863791923340181</v>
      </c>
      <c r="F1272" s="49">
        <f>IF(expected_production[[#This Row],[Age (yrs)]]="",1,(1-DegradationRate)^expected_production[[#This Row],[Age (yrs)]])</f>
        <v>0.99587358243438817</v>
      </c>
      <c r="G1272" s="52">
        <f>IF(expected_production[[#This Row],[Base Expected (kWh)]]="","",expected_production[[#This Row],[Base Expected (kWh)]]*expected_production[[#This Row],[Degradation Factor]])</f>
        <v>39519.05219702734</v>
      </c>
    </row>
    <row r="1273" spans="1:7" ht="15" hidden="1" customHeight="1" x14ac:dyDescent="0.3">
      <c r="A1273" t="s">
        <v>134</v>
      </c>
      <c r="B1273" s="2">
        <v>45597</v>
      </c>
      <c r="C1273" s="52">
        <v>39748.5</v>
      </c>
      <c r="D1273" s="48">
        <f>_xlfn.XLOOKUP(expected_production[[#This Row],[Site Name]],Table1[[Site Name ]],Table1[Commisioned Date],"")</f>
        <v>45351</v>
      </c>
      <c r="E1273" s="47">
        <f>IF(ISNUMBER(expected_production[[#This Row],[Commissioned Date]]),MAX(0,(expected_production[[#This Row],[Date]]-expected_production[[#This Row],[Commissioned Date]])/365.25),"")</f>
        <v>0.67351129363449691</v>
      </c>
      <c r="F1273" s="49">
        <f>IF(expected_production[[#This Row],[Age (yrs)]]="",1,(1-DegradationRate)^expected_production[[#This Row],[Age (yrs)]])</f>
        <v>0.99528001680273748</v>
      </c>
      <c r="G1273" s="52">
        <f>IF(expected_production[[#This Row],[Base Expected (kWh)]]="","",expected_production[[#This Row],[Base Expected (kWh)]]*expected_production[[#This Row],[Degradation Factor]])</f>
        <v>39560.887747883608</v>
      </c>
    </row>
    <row r="1274" spans="1:7" ht="15" hidden="1" customHeight="1" x14ac:dyDescent="0.3">
      <c r="A1274" t="s">
        <v>134</v>
      </c>
      <c r="B1274" s="2">
        <v>45627</v>
      </c>
      <c r="C1274" s="52">
        <v>42519.6</v>
      </c>
      <c r="D1274" s="48">
        <f>_xlfn.XLOOKUP(expected_production[[#This Row],[Site Name]],Table1[[Site Name ]],Table1[Commisioned Date],"")</f>
        <v>45351</v>
      </c>
      <c r="E1274" s="47">
        <f>IF(ISNUMBER(expected_production[[#This Row],[Commissioned Date]]),MAX(0,(expected_production[[#This Row],[Date]]-expected_production[[#This Row],[Commissioned Date]])/365.25),"")</f>
        <v>0.75564681724845995</v>
      </c>
      <c r="F1274" s="49">
        <f>IF(expected_production[[#This Row],[Age (yrs)]]="",1,(1-DegradationRate)^expected_production[[#This Row],[Age (yrs)]])</f>
        <v>0.99470593529737072</v>
      </c>
      <c r="G1274" s="52">
        <f>IF(expected_production[[#This Row],[Base Expected (kWh)]]="","",expected_production[[#This Row],[Base Expected (kWh)]]*expected_production[[#This Row],[Degradation Factor]])</f>
        <v>42294.498486470082</v>
      </c>
    </row>
    <row r="1275" spans="1:7" ht="15" hidden="1" customHeight="1" x14ac:dyDescent="0.3">
      <c r="A1275" t="s">
        <v>134</v>
      </c>
      <c r="B1275" s="2">
        <v>45658</v>
      </c>
      <c r="C1275" s="52">
        <v>40416.300000000003</v>
      </c>
      <c r="D1275" s="48">
        <f>_xlfn.XLOOKUP(expected_production[[#This Row],[Site Name]],Table1[[Site Name ]],Table1[Commisioned Date],"")</f>
        <v>45351</v>
      </c>
      <c r="E1275" s="47">
        <f>IF(ISNUMBER(expected_production[[#This Row],[Commissioned Date]]),MAX(0,(expected_production[[#This Row],[Date]]-expected_production[[#This Row],[Commissioned Date]])/365.25),"")</f>
        <v>0.84052019164955505</v>
      </c>
      <c r="F1275" s="49">
        <f>IF(expected_production[[#This Row],[Age (yrs)]]="",1,(1-DegradationRate)^expected_production[[#This Row],[Age (yrs)]])</f>
        <v>0.99411306561269819</v>
      </c>
      <c r="G1275" s="52">
        <f>IF(expected_production[[#This Row],[Base Expected (kWh)]]="","",expected_production[[#This Row],[Base Expected (kWh)]]*expected_production[[#This Row],[Degradation Factor]])</f>
        <v>40178.371893722498</v>
      </c>
    </row>
    <row r="1276" spans="1:7" ht="15" hidden="1" customHeight="1" x14ac:dyDescent="0.3">
      <c r="A1276" t="s">
        <v>134</v>
      </c>
      <c r="B1276" s="2">
        <v>45689</v>
      </c>
      <c r="C1276" s="52">
        <v>33988.5</v>
      </c>
      <c r="D1276" s="48">
        <f>_xlfn.XLOOKUP(expected_production[[#This Row],[Site Name]],Table1[[Site Name ]],Table1[Commisioned Date],"")</f>
        <v>45351</v>
      </c>
      <c r="E1276" s="47">
        <f>IF(ISNUMBER(expected_production[[#This Row],[Commissioned Date]]),MAX(0,(expected_production[[#This Row],[Date]]-expected_production[[#This Row],[Commissioned Date]])/365.25),"")</f>
        <v>0.92539356605065026</v>
      </c>
      <c r="F1276" s="49">
        <f>IF(expected_production[[#This Row],[Age (yrs)]]="",1,(1-DegradationRate)^expected_production[[#This Row],[Age (yrs)]])</f>
        <v>0.99352054929322697</v>
      </c>
      <c r="G1276" s="52">
        <f>IF(expected_production[[#This Row],[Base Expected (kWh)]]="","",expected_production[[#This Row],[Base Expected (kWh)]]*expected_production[[#This Row],[Degradation Factor]])</f>
        <v>33768.273189652842</v>
      </c>
    </row>
    <row r="1277" spans="1:7" ht="15" hidden="1" customHeight="1" x14ac:dyDescent="0.3">
      <c r="A1277" t="s">
        <v>134</v>
      </c>
      <c r="B1277" s="2">
        <v>45717</v>
      </c>
      <c r="C1277" s="52">
        <v>35132.400000000001</v>
      </c>
      <c r="D1277" s="48">
        <f>_xlfn.XLOOKUP(expected_production[[#This Row],[Site Name]],Table1[[Site Name ]],Table1[Commisioned Date],"")</f>
        <v>45351</v>
      </c>
      <c r="E1277" s="47">
        <f>IF(ISNUMBER(expected_production[[#This Row],[Commissioned Date]]),MAX(0,(expected_production[[#This Row],[Date]]-expected_production[[#This Row],[Commissioned Date]])/365.25),"")</f>
        <v>1.0020533880903491</v>
      </c>
      <c r="F1277" s="49">
        <f>IF(expected_production[[#This Row],[Age (yrs)]]="",1,(1-DegradationRate)^expected_production[[#This Row],[Age (yrs)]])</f>
        <v>0.99298567681247463</v>
      </c>
      <c r="G1277" s="52">
        <f>IF(expected_production[[#This Row],[Base Expected (kWh)]]="","",expected_production[[#This Row],[Base Expected (kWh)]]*expected_production[[#This Row],[Degradation Factor]])</f>
        <v>34885.969992046586</v>
      </c>
    </row>
    <row r="1278" spans="1:7" ht="15" hidden="1" customHeight="1" x14ac:dyDescent="0.3">
      <c r="A1278" t="s">
        <v>134</v>
      </c>
      <c r="B1278" s="2">
        <v>45748</v>
      </c>
      <c r="C1278" s="52">
        <v>29903.4</v>
      </c>
      <c r="D1278" s="48">
        <f>_xlfn.XLOOKUP(expected_production[[#This Row],[Site Name]],Table1[[Site Name ]],Table1[Commisioned Date],"")</f>
        <v>45351</v>
      </c>
      <c r="E1278" s="47">
        <f>IF(ISNUMBER(expected_production[[#This Row],[Commissioned Date]]),MAX(0,(expected_production[[#This Row],[Date]]-expected_production[[#This Row],[Commissioned Date]])/365.25),"")</f>
        <v>1.0869267624914443</v>
      </c>
      <c r="F1278" s="49">
        <f>IF(expected_production[[#This Row],[Age (yrs)]]="",1,(1-DegradationRate)^expected_production[[#This Row],[Age (yrs)]])</f>
        <v>0.99239383244500323</v>
      </c>
      <c r="G1278" s="52">
        <f>IF(expected_production[[#This Row],[Base Expected (kWh)]]="","",expected_production[[#This Row],[Base Expected (kWh)]]*expected_production[[#This Row],[Degradation Factor]])</f>
        <v>29675.949729135911</v>
      </c>
    </row>
    <row r="1279" spans="1:7" ht="15" hidden="1" customHeight="1" x14ac:dyDescent="0.3">
      <c r="A1279" t="s">
        <v>134</v>
      </c>
      <c r="B1279" s="2">
        <v>45778</v>
      </c>
      <c r="C1279" s="52">
        <v>28383.3</v>
      </c>
      <c r="D1279" s="48">
        <f>_xlfn.XLOOKUP(expected_production[[#This Row],[Site Name]],Table1[[Site Name ]],Table1[Commisioned Date],"")</f>
        <v>45351</v>
      </c>
      <c r="E1279" s="47">
        <f>IF(ISNUMBER(expected_production[[#This Row],[Commissioned Date]]),MAX(0,(expected_production[[#This Row],[Date]]-expected_production[[#This Row],[Commissioned Date]])/365.25),"")</f>
        <v>1.1690622861054072</v>
      </c>
      <c r="F1279" s="49">
        <f>IF(expected_production[[#This Row],[Age (yrs)]]="",1,(1-DegradationRate)^expected_production[[#This Row],[Age (yrs)]])</f>
        <v>0.99182141570234938</v>
      </c>
      <c r="G1279" s="52">
        <f>IF(expected_production[[#This Row],[Base Expected (kWh)]]="","",expected_production[[#This Row],[Base Expected (kWh)]]*expected_production[[#This Row],[Degradation Factor]])</f>
        <v>28151.164788304493</v>
      </c>
    </row>
    <row r="1280" spans="1:7" ht="15" hidden="1" customHeight="1" x14ac:dyDescent="0.3">
      <c r="A1280" t="s">
        <v>134</v>
      </c>
      <c r="B1280" s="2">
        <v>45809</v>
      </c>
      <c r="C1280" s="52">
        <v>25641.9</v>
      </c>
      <c r="D1280" s="48">
        <f>_xlfn.XLOOKUP(expected_production[[#This Row],[Site Name]],Table1[[Site Name ]],Table1[Commisioned Date],"")</f>
        <v>45351</v>
      </c>
      <c r="E1280" s="47">
        <f>IF(ISNUMBER(expected_production[[#This Row],[Commissioned Date]]),MAX(0,(expected_production[[#This Row],[Date]]-expected_production[[#This Row],[Commissioned Date]])/365.25),"")</f>
        <v>1.2539356605065024</v>
      </c>
      <c r="F1280" s="49">
        <f>IF(expected_production[[#This Row],[Age (yrs)]]="",1,(1-DegradationRate)^expected_production[[#This Row],[Age (yrs)]])</f>
        <v>0.99123026526369928</v>
      </c>
      <c r="G1280" s="52">
        <f>IF(expected_production[[#This Row],[Base Expected (kWh)]]="","",expected_production[[#This Row],[Base Expected (kWh)]]*expected_production[[#This Row],[Degradation Factor]])</f>
        <v>25417.027338865253</v>
      </c>
    </row>
    <row r="1281" spans="1:7" ht="15" hidden="1" customHeight="1" x14ac:dyDescent="0.3">
      <c r="A1281" t="s">
        <v>134</v>
      </c>
      <c r="B1281" s="2">
        <v>45839</v>
      </c>
      <c r="C1281" s="52">
        <v>28361.7</v>
      </c>
      <c r="D1281" s="48">
        <f>_xlfn.XLOOKUP(expected_production[[#This Row],[Site Name]],Table1[[Site Name ]],Table1[Commisioned Date],"")</f>
        <v>45351</v>
      </c>
      <c r="E1281" s="47">
        <f>IF(ISNUMBER(expected_production[[#This Row],[Commissioned Date]]),MAX(0,(expected_production[[#This Row],[Date]]-expected_production[[#This Row],[Commissioned Date]])/365.25),"")</f>
        <v>1.3360711841204653</v>
      </c>
      <c r="F1281" s="49">
        <f>IF(expected_production[[#This Row],[Age (yrs)]]="",1,(1-DegradationRate)^expected_production[[#This Row],[Age (yrs)]])</f>
        <v>0.99065851967126228</v>
      </c>
      <c r="G1281" s="52">
        <f>IF(expected_production[[#This Row],[Base Expected (kWh)]]="","",expected_production[[#This Row],[Base Expected (kWh)]]*expected_production[[#This Row],[Degradation Factor]])</f>
        <v>28096.75973736044</v>
      </c>
    </row>
    <row r="1282" spans="1:7" ht="15" hidden="1" customHeight="1" x14ac:dyDescent="0.3">
      <c r="A1282" t="s">
        <v>134</v>
      </c>
      <c r="B1282" s="2">
        <v>45870</v>
      </c>
      <c r="C1282" s="52">
        <v>33006.6</v>
      </c>
      <c r="D1282" s="48">
        <f>_xlfn.XLOOKUP(expected_production[[#This Row],[Site Name]],Table1[[Site Name ]],Table1[Commisioned Date],"")</f>
        <v>45351</v>
      </c>
      <c r="E1282" s="47">
        <f>IF(ISNUMBER(expected_production[[#This Row],[Commissioned Date]]),MAX(0,(expected_production[[#This Row],[Date]]-expected_production[[#This Row],[Commissioned Date]])/365.25),"")</f>
        <v>1.4209445585215605</v>
      </c>
      <c r="F1282" s="49">
        <f>IF(expected_production[[#This Row],[Age (yrs)]]="",1,(1-DegradationRate)^expected_production[[#This Row],[Age (yrs)]])</f>
        <v>0.99006806234781208</v>
      </c>
      <c r="G1282" s="52">
        <f>IF(expected_production[[#This Row],[Base Expected (kWh)]]="","",expected_production[[#This Row],[Base Expected (kWh)]]*expected_production[[#This Row],[Degradation Factor]])</f>
        <v>32678.780506689294</v>
      </c>
    </row>
    <row r="1283" spans="1:7" ht="15" hidden="1" customHeight="1" x14ac:dyDescent="0.3">
      <c r="A1283" t="s">
        <v>134</v>
      </c>
      <c r="B1283" s="2">
        <v>45901</v>
      </c>
      <c r="C1283" s="52">
        <v>36521.1</v>
      </c>
      <c r="D1283" s="48">
        <f>_xlfn.XLOOKUP(expected_production[[#This Row],[Site Name]],Table1[[Site Name ]],Table1[Commisioned Date],"")</f>
        <v>45351</v>
      </c>
      <c r="E1283" s="47">
        <f>IF(ISNUMBER(expected_production[[#This Row],[Commissioned Date]]),MAX(0,(expected_production[[#This Row],[Date]]-expected_production[[#This Row],[Commissioned Date]])/365.25),"")</f>
        <v>1.5058179329226558</v>
      </c>
      <c r="F1283" s="49">
        <f>IF(expected_production[[#This Row],[Age (yrs)]]="",1,(1-DegradationRate)^expected_production[[#This Row],[Age (yrs)]])</f>
        <v>0.98947795695173546</v>
      </c>
      <c r="G1283" s="52">
        <f>IF(expected_production[[#This Row],[Base Expected (kWh)]]="","",expected_production[[#This Row],[Base Expected (kWh)]]*expected_production[[#This Row],[Degradation Factor]])</f>
        <v>36136.823413630023</v>
      </c>
    </row>
    <row r="1284" spans="1:7" ht="15" hidden="1" customHeight="1" x14ac:dyDescent="0.3">
      <c r="A1284" t="s">
        <v>134</v>
      </c>
      <c r="B1284" s="2">
        <v>45931</v>
      </c>
      <c r="C1284" s="52">
        <v>39682.800000000003</v>
      </c>
      <c r="D1284" s="48">
        <f>_xlfn.XLOOKUP(expected_production[[#This Row],[Site Name]],Table1[[Site Name ]],Table1[Commisioned Date],"")</f>
        <v>45351</v>
      </c>
      <c r="E1284" s="47">
        <f>IF(ISNUMBER(expected_production[[#This Row],[Commissioned Date]]),MAX(0,(expected_production[[#This Row],[Date]]-expected_production[[#This Row],[Commissioned Date]])/365.25),"")</f>
        <v>1.5879534565366187</v>
      </c>
      <c r="F1284" s="49">
        <f>IF(expected_production[[#This Row],[Age (yrs)]]="",1,(1-DegradationRate)^expected_production[[#This Row],[Age (yrs)]])</f>
        <v>0.98890722209776061</v>
      </c>
      <c r="G1284" s="52">
        <f>IF(expected_production[[#This Row],[Base Expected (kWh)]]="","",expected_production[[#This Row],[Base Expected (kWh)]]*expected_production[[#This Row],[Degradation Factor]])</f>
        <v>39242.607513061019</v>
      </c>
    </row>
    <row r="1285" spans="1:7" ht="15" hidden="1" customHeight="1" x14ac:dyDescent="0.3">
      <c r="A1285" t="s">
        <v>134</v>
      </c>
      <c r="B1285" s="2">
        <v>45962</v>
      </c>
      <c r="C1285" s="52">
        <v>39748.5</v>
      </c>
      <c r="D1285" s="48">
        <f>_xlfn.XLOOKUP(expected_production[[#This Row],[Site Name]],Table1[[Site Name ]],Table1[Commisioned Date],"")</f>
        <v>45351</v>
      </c>
      <c r="E1285" s="47">
        <f>IF(ISNUMBER(expected_production[[#This Row],[Commissioned Date]]),MAX(0,(expected_production[[#This Row],[Date]]-expected_production[[#This Row],[Commissioned Date]])/365.25),"")</f>
        <v>1.6728268309377139</v>
      </c>
      <c r="F1285" s="49">
        <f>IF(expected_production[[#This Row],[Age (yrs)]]="",1,(1-DegradationRate)^expected_production[[#This Row],[Age (yrs)]])</f>
        <v>0.9883178085915868</v>
      </c>
      <c r="G1285" s="52">
        <f>IF(expected_production[[#This Row],[Base Expected (kWh)]]="","",expected_production[[#This Row],[Base Expected (kWh)]]*expected_production[[#This Row],[Degradation Factor]])</f>
        <v>39284.150414802687</v>
      </c>
    </row>
    <row r="1286" spans="1:7" ht="15" hidden="1" customHeight="1" x14ac:dyDescent="0.3">
      <c r="A1286" t="s">
        <v>134</v>
      </c>
      <c r="B1286" s="2">
        <v>45992</v>
      </c>
      <c r="C1286" s="52">
        <v>42519.6</v>
      </c>
      <c r="D1286" s="48">
        <f>_xlfn.XLOOKUP(expected_production[[#This Row],[Site Name]],Table1[[Site Name ]],Table1[Commisioned Date],"")</f>
        <v>45351</v>
      </c>
      <c r="E1286" s="47">
        <f>IF(ISNUMBER(expected_production[[#This Row],[Commissioned Date]]),MAX(0,(expected_production[[#This Row],[Date]]-expected_production[[#This Row],[Commissioned Date]])/365.25),"")</f>
        <v>1.754962354551677</v>
      </c>
      <c r="F1286" s="49">
        <f>IF(expected_production[[#This Row],[Age (yrs)]]="",1,(1-DegradationRate)^expected_production[[#This Row],[Age (yrs)]])</f>
        <v>0.98774774291583889</v>
      </c>
      <c r="G1286" s="52">
        <f>IF(expected_production[[#This Row],[Base Expected (kWh)]]="","",expected_production[[#This Row],[Base Expected (kWh)]]*expected_production[[#This Row],[Degradation Factor]])</f>
        <v>41998.638929684304</v>
      </c>
    </row>
    <row r="1287" spans="1:7" ht="15" hidden="1" customHeight="1" x14ac:dyDescent="0.3">
      <c r="A1287" t="s">
        <v>134</v>
      </c>
      <c r="B1287" s="2">
        <v>46023</v>
      </c>
      <c r="C1287" s="52">
        <v>40416.300000000003</v>
      </c>
      <c r="D1287" s="48">
        <f>_xlfn.XLOOKUP(expected_production[[#This Row],[Site Name]],Table1[[Site Name ]],Table1[Commisioned Date],"")</f>
        <v>45351</v>
      </c>
      <c r="E1287" s="47">
        <f>IF(ISNUMBER(expected_production[[#This Row],[Commissioned Date]]),MAX(0,(expected_production[[#This Row],[Date]]-expected_production[[#This Row],[Commissioned Date]])/365.25),"")</f>
        <v>1.839835728952772</v>
      </c>
      <c r="F1287" s="49">
        <f>IF(expected_production[[#This Row],[Age (yrs)]]="",1,(1-DegradationRate)^expected_production[[#This Row],[Age (yrs)]])</f>
        <v>0.98715902048833737</v>
      </c>
      <c r="G1287" s="52">
        <f>IF(expected_production[[#This Row],[Base Expected (kWh)]]="","",expected_production[[#This Row],[Base Expected (kWh)]]*expected_production[[#This Row],[Degradation Factor]])</f>
        <v>39897.315119762796</v>
      </c>
    </row>
    <row r="1288" spans="1:7" ht="15" hidden="1" customHeight="1" x14ac:dyDescent="0.3">
      <c r="A1288" t="s">
        <v>134</v>
      </c>
      <c r="B1288" s="2">
        <v>46054</v>
      </c>
      <c r="C1288" s="52">
        <v>33988.5</v>
      </c>
      <c r="D1288" s="48">
        <f>_xlfn.XLOOKUP(expected_production[[#This Row],[Site Name]],Table1[[Site Name ]],Table1[Commisioned Date],"")</f>
        <v>45351</v>
      </c>
      <c r="E1288" s="47">
        <f>IF(ISNUMBER(expected_production[[#This Row],[Commissioned Date]]),MAX(0,(expected_production[[#This Row],[Date]]-expected_production[[#This Row],[Commissioned Date]])/365.25),"")</f>
        <v>1.9247091033538672</v>
      </c>
      <c r="F1288" s="49">
        <f>IF(expected_production[[#This Row],[Age (yrs)]]="",1,(1-DegradationRate)^expected_production[[#This Row],[Age (yrs)]])</f>
        <v>0.98657064895416779</v>
      </c>
      <c r="G1288" s="52">
        <f>IF(expected_production[[#This Row],[Base Expected (kWh)]]="","",expected_production[[#This Row],[Base Expected (kWh)]]*expected_production[[#This Row],[Degradation Factor]])</f>
        <v>33532.056501978732</v>
      </c>
    </row>
    <row r="1289" spans="1:7" ht="15" hidden="1" customHeight="1" x14ac:dyDescent="0.3">
      <c r="A1289" t="s">
        <v>134</v>
      </c>
      <c r="B1289" s="2">
        <v>46082</v>
      </c>
      <c r="C1289" s="52">
        <v>35132.400000000001</v>
      </c>
      <c r="D1289" s="48">
        <f>_xlfn.XLOOKUP(expected_production[[#This Row],[Site Name]],Table1[[Site Name ]],Table1[Commisioned Date],"")</f>
        <v>45351</v>
      </c>
      <c r="E1289" s="47">
        <f>IF(ISNUMBER(expected_production[[#This Row],[Commissioned Date]]),MAX(0,(expected_production[[#This Row],[Date]]-expected_production[[#This Row],[Commissioned Date]])/365.25),"")</f>
        <v>2.001368925393566</v>
      </c>
      <c r="F1289" s="49">
        <f>IF(expected_production[[#This Row],[Age (yrs)]]="",1,(1-DegradationRate)^expected_production[[#This Row],[Age (yrs)]])</f>
        <v>0.98603951802706324</v>
      </c>
      <c r="G1289" s="52">
        <f>IF(expected_production[[#This Row],[Base Expected (kWh)]]="","",expected_production[[#This Row],[Base Expected (kWh)]]*expected_production[[#This Row],[Degradation Factor]])</f>
        <v>34641.934763133999</v>
      </c>
    </row>
    <row r="1290" spans="1:7" ht="15" hidden="1" customHeight="1" x14ac:dyDescent="0.3">
      <c r="A1290" t="s">
        <v>134</v>
      </c>
      <c r="B1290" s="2">
        <v>46113</v>
      </c>
      <c r="C1290" s="52">
        <v>29903.4</v>
      </c>
      <c r="D1290" s="48">
        <f>_xlfn.XLOOKUP(expected_production[[#This Row],[Site Name]],Table1[[Site Name ]],Table1[Commisioned Date],"")</f>
        <v>45351</v>
      </c>
      <c r="E1290" s="47">
        <f>IF(ISNUMBER(expected_production[[#This Row],[Commissioned Date]]),MAX(0,(expected_production[[#This Row],[Date]]-expected_production[[#This Row],[Commissioned Date]])/365.25),"")</f>
        <v>2.086242299794661</v>
      </c>
      <c r="F1290" s="49">
        <f>IF(expected_production[[#This Row],[Age (yrs)]]="",1,(1-DegradationRate)^expected_production[[#This Row],[Age (yrs)]])</f>
        <v>0.98545181374443769</v>
      </c>
      <c r="G1290" s="52">
        <f>IF(expected_production[[#This Row],[Base Expected (kWh)]]="","",expected_production[[#This Row],[Base Expected (kWh)]]*expected_production[[#This Row],[Degradation Factor]])</f>
        <v>29468.359767125421</v>
      </c>
    </row>
    <row r="1291" spans="1:7" ht="15" hidden="1" customHeight="1" x14ac:dyDescent="0.3">
      <c r="A1291" t="s">
        <v>134</v>
      </c>
      <c r="B1291" s="2">
        <v>46143</v>
      </c>
      <c r="C1291" s="52">
        <v>28383.3</v>
      </c>
      <c r="D1291" s="48">
        <f>_xlfn.XLOOKUP(expected_production[[#This Row],[Site Name]],Table1[[Site Name ]],Table1[Commisioned Date],"")</f>
        <v>45351</v>
      </c>
      <c r="E1291" s="47">
        <f>IF(ISNUMBER(expected_production[[#This Row],[Commissioned Date]]),MAX(0,(expected_production[[#This Row],[Date]]-expected_production[[#This Row],[Commissioned Date]])/365.25),"")</f>
        <v>2.1683778234086244</v>
      </c>
      <c r="F1291" s="49">
        <f>IF(expected_production[[#This Row],[Age (yrs)]]="",1,(1-DegradationRate)^expected_production[[#This Row],[Age (yrs)]])</f>
        <v>0.98488340118601192</v>
      </c>
      <c r="G1291" s="52">
        <f>IF(expected_production[[#This Row],[Base Expected (kWh)]]="","",expected_production[[#This Row],[Base Expected (kWh)]]*expected_production[[#This Row],[Degradation Factor]])</f>
        <v>27954.241040882931</v>
      </c>
    </row>
    <row r="1292" spans="1:7" ht="15" hidden="1" customHeight="1" x14ac:dyDescent="0.3">
      <c r="A1292" t="s">
        <v>134</v>
      </c>
      <c r="B1292" s="2">
        <v>46174</v>
      </c>
      <c r="C1292" s="52">
        <v>25641.9</v>
      </c>
      <c r="D1292" s="48">
        <f>_xlfn.XLOOKUP(expected_production[[#This Row],[Site Name]],Table1[[Site Name ]],Table1[Commisioned Date],"")</f>
        <v>45351</v>
      </c>
      <c r="E1292" s="47">
        <f>IF(ISNUMBER(expected_production[[#This Row],[Commissioned Date]]),MAX(0,(expected_production[[#This Row],[Date]]-expected_production[[#This Row],[Commissioned Date]])/365.25),"")</f>
        <v>2.2532511978097194</v>
      </c>
      <c r="F1292" s="49">
        <f>IF(expected_production[[#This Row],[Age (yrs)]]="",1,(1-DegradationRate)^expected_production[[#This Row],[Age (yrs)]])</f>
        <v>0.98429638597801905</v>
      </c>
      <c r="G1292" s="52">
        <f>IF(expected_production[[#This Row],[Base Expected (kWh)]]="","",expected_production[[#This Row],[Base Expected (kWh)]]*expected_production[[#This Row],[Degradation Factor]])</f>
        <v>25239.22949960977</v>
      </c>
    </row>
    <row r="1293" spans="1:7" ht="15" hidden="1" customHeight="1" x14ac:dyDescent="0.3">
      <c r="A1293" t="s">
        <v>134</v>
      </c>
      <c r="B1293" s="2">
        <v>46204</v>
      </c>
      <c r="C1293" s="52">
        <v>28361.7</v>
      </c>
      <c r="D1293" s="48">
        <f>_xlfn.XLOOKUP(expected_production[[#This Row],[Site Name]],Table1[[Site Name ]],Table1[Commisioned Date],"")</f>
        <v>45351</v>
      </c>
      <c r="E1293" s="47">
        <f>IF(ISNUMBER(expected_production[[#This Row],[Commissioned Date]]),MAX(0,(expected_production[[#This Row],[Date]]-expected_production[[#This Row],[Commissioned Date]])/365.25),"")</f>
        <v>2.3353867214236823</v>
      </c>
      <c r="F1293" s="49">
        <f>IF(expected_production[[#This Row],[Age (yrs)]]="",1,(1-DegradationRate)^expected_production[[#This Row],[Age (yrs)]])</f>
        <v>0.98372863987496306</v>
      </c>
      <c r="G1293" s="52">
        <f>IF(expected_production[[#This Row],[Base Expected (kWh)]]="","",expected_production[[#This Row],[Base Expected (kWh)]]*expected_production[[#This Row],[Degradation Factor]])</f>
        <v>27900.216565541741</v>
      </c>
    </row>
    <row r="1294" spans="1:7" ht="15" hidden="1" customHeight="1" x14ac:dyDescent="0.3">
      <c r="A1294" t="s">
        <v>134</v>
      </c>
      <c r="B1294" s="2">
        <v>46235</v>
      </c>
      <c r="C1294" s="52">
        <v>33006.6</v>
      </c>
      <c r="D1294" s="48">
        <f>_xlfn.XLOOKUP(expected_production[[#This Row],[Site Name]],Table1[[Site Name ]],Table1[Commisioned Date],"")</f>
        <v>45351</v>
      </c>
      <c r="E1294" s="47">
        <f>IF(ISNUMBER(expected_production[[#This Row],[Commissioned Date]]),MAX(0,(expected_production[[#This Row],[Date]]-expected_production[[#This Row],[Commissioned Date]])/365.25),"")</f>
        <v>2.4202600958247777</v>
      </c>
      <c r="F1294" s="49">
        <f>IF(expected_production[[#This Row],[Age (yrs)]]="",1,(1-DegradationRate)^expected_production[[#This Row],[Age (yrs)]])</f>
        <v>0.98314231293367305</v>
      </c>
      <c r="G1294" s="52">
        <f>IF(expected_production[[#This Row],[Base Expected (kWh)]]="","",expected_production[[#This Row],[Base Expected (kWh)]]*expected_production[[#This Row],[Degradation Factor]])</f>
        <v>32450.18506607657</v>
      </c>
    </row>
    <row r="1295" spans="1:7" ht="15" hidden="1" customHeight="1" x14ac:dyDescent="0.3">
      <c r="A1295" t="s">
        <v>134</v>
      </c>
      <c r="B1295" s="2">
        <v>46266</v>
      </c>
      <c r="C1295" s="52">
        <v>36521.1</v>
      </c>
      <c r="D1295" s="48">
        <f>_xlfn.XLOOKUP(expected_production[[#This Row],[Site Name]],Table1[[Site Name ]],Table1[Commisioned Date],"")</f>
        <v>45351</v>
      </c>
      <c r="E1295" s="47">
        <f>IF(ISNUMBER(expected_production[[#This Row],[Commissioned Date]]),MAX(0,(expected_production[[#This Row],[Date]]-expected_production[[#This Row],[Commissioned Date]])/365.25),"")</f>
        <v>2.5051334702258727</v>
      </c>
      <c r="F1295" s="49">
        <f>IF(expected_production[[#This Row],[Age (yrs)]]="",1,(1-DegradationRate)^expected_production[[#This Row],[Age (yrs)]])</f>
        <v>0.98255633545794507</v>
      </c>
      <c r="G1295" s="52">
        <f>IF(expected_production[[#This Row],[Base Expected (kWh)]]="","",expected_production[[#This Row],[Base Expected (kWh)]]*expected_production[[#This Row],[Degradation Factor]])</f>
        <v>35884.038182893157</v>
      </c>
    </row>
    <row r="1296" spans="1:7" ht="15" hidden="1" customHeight="1" x14ac:dyDescent="0.3">
      <c r="A1296" t="s">
        <v>134</v>
      </c>
      <c r="B1296" s="2">
        <v>46296</v>
      </c>
      <c r="C1296" s="52">
        <v>39682.800000000003</v>
      </c>
      <c r="D1296" s="48">
        <f>_xlfn.XLOOKUP(expected_production[[#This Row],[Site Name]],Table1[[Site Name ]],Table1[Commisioned Date],"")</f>
        <v>45351</v>
      </c>
      <c r="E1296" s="47">
        <f>IF(ISNUMBER(expected_production[[#This Row],[Commissioned Date]]),MAX(0,(expected_production[[#This Row],[Date]]-expected_production[[#This Row],[Commissioned Date]])/365.25),"")</f>
        <v>2.5872689938398357</v>
      </c>
      <c r="F1296" s="49">
        <f>IF(expected_production[[#This Row],[Age (yrs)]]="",1,(1-DegradationRate)^expected_production[[#This Row],[Age (yrs)]])</f>
        <v>0.98198959302300759</v>
      </c>
      <c r="G1296" s="52">
        <f>IF(expected_production[[#This Row],[Base Expected (kWh)]]="","",expected_production[[#This Row],[Base Expected (kWh)]]*expected_production[[#This Row],[Degradation Factor]])</f>
        <v>38968.096622013407</v>
      </c>
    </row>
    <row r="1297" spans="1:7" ht="15" hidden="1" customHeight="1" x14ac:dyDescent="0.3">
      <c r="A1297" t="s">
        <v>134</v>
      </c>
      <c r="B1297" s="2">
        <v>46327</v>
      </c>
      <c r="C1297" s="52">
        <v>39748.5</v>
      </c>
      <c r="D1297" s="48">
        <f>_xlfn.XLOOKUP(expected_production[[#This Row],[Site Name]],Table1[[Site Name ]],Table1[Commisioned Date],"")</f>
        <v>45351</v>
      </c>
      <c r="E1297" s="47">
        <f>IF(ISNUMBER(expected_production[[#This Row],[Commissioned Date]]),MAX(0,(expected_production[[#This Row],[Date]]-expected_production[[#This Row],[Commissioned Date]])/365.25),"")</f>
        <v>2.6721423682409307</v>
      </c>
      <c r="F1297" s="49">
        <f>IF(expected_production[[#This Row],[Age (yrs)]]="",1,(1-DegradationRate)^expected_production[[#This Row],[Age (yrs)]])</f>
        <v>0.98140430259725664</v>
      </c>
      <c r="G1297" s="52">
        <f>IF(expected_production[[#This Row],[Base Expected (kWh)]]="","",expected_production[[#This Row],[Base Expected (kWh)]]*expected_production[[#This Row],[Degradation Factor]])</f>
        <v>39009.348921787052</v>
      </c>
    </row>
    <row r="1298" spans="1:7" ht="15" hidden="1" customHeight="1" x14ac:dyDescent="0.3">
      <c r="A1298" t="s">
        <v>134</v>
      </c>
      <c r="B1298" s="2">
        <v>46357</v>
      </c>
      <c r="C1298" s="52">
        <v>42519.6</v>
      </c>
      <c r="D1298" s="48">
        <f>_xlfn.XLOOKUP(expected_production[[#This Row],[Site Name]],Table1[[Site Name ]],Table1[Commisioned Date],"")</f>
        <v>45351</v>
      </c>
      <c r="E1298" s="47">
        <f>IF(ISNUMBER(expected_production[[#This Row],[Commissioned Date]]),MAX(0,(expected_production[[#This Row],[Date]]-expected_production[[#This Row],[Commissioned Date]])/365.25),"")</f>
        <v>2.754277891854894</v>
      </c>
      <c r="F1298" s="49">
        <f>IF(expected_production[[#This Row],[Age (yrs)]]="",1,(1-DegradationRate)^expected_production[[#This Row],[Age (yrs)]])</f>
        <v>0.98083822465949366</v>
      </c>
      <c r="G1298" s="52">
        <f>IF(expected_production[[#This Row],[Base Expected (kWh)]]="","",expected_production[[#This Row],[Base Expected (kWh)]]*expected_production[[#This Row],[Degradation Factor]])</f>
        <v>41704.848977231806</v>
      </c>
    </row>
    <row r="1299" spans="1:7" ht="15" hidden="1" customHeight="1" x14ac:dyDescent="0.3">
      <c r="A1299" t="s">
        <v>138</v>
      </c>
      <c r="B1299" s="2">
        <v>45292</v>
      </c>
      <c r="C1299" s="52">
        <v>23544</v>
      </c>
      <c r="D1299" s="48">
        <f>_xlfn.XLOOKUP(expected_production[[#This Row],[Site Name]],Table1[[Site Name ]],Table1[Commisioned Date],"")</f>
        <v>45182</v>
      </c>
      <c r="E1299" s="47">
        <f>IF(ISNUMBER(expected_production[[#This Row],[Commissioned Date]]),MAX(0,(expected_production[[#This Row],[Date]]-expected_production[[#This Row],[Commissioned Date]])/365.25),"")</f>
        <v>0.30116358658453113</v>
      </c>
      <c r="F1299" s="49">
        <f>IF(expected_production[[#This Row],[Age (yrs)]]="",1,(1-DegradationRate)^expected_production[[#This Row],[Age (yrs)]])</f>
        <v>0.9978866779872918</v>
      </c>
      <c r="G1299" s="52">
        <f>IF(expected_production[[#This Row],[Base Expected (kWh)]]="","",expected_production[[#This Row],[Base Expected (kWh)]]*expected_production[[#This Row],[Degradation Factor]])</f>
        <v>23494.243946532799</v>
      </c>
    </row>
    <row r="1300" spans="1:7" ht="15" hidden="1" customHeight="1" x14ac:dyDescent="0.3">
      <c r="A1300" t="s">
        <v>138</v>
      </c>
      <c r="B1300" s="2">
        <v>45323</v>
      </c>
      <c r="C1300" s="52">
        <v>21677</v>
      </c>
      <c r="D1300" s="48">
        <f>_xlfn.XLOOKUP(expected_production[[#This Row],[Site Name]],Table1[[Site Name ]],Table1[Commisioned Date],"")</f>
        <v>45182</v>
      </c>
      <c r="E1300" s="47">
        <f>IF(ISNUMBER(expected_production[[#This Row],[Commissioned Date]]),MAX(0,(expected_production[[#This Row],[Date]]-expected_production[[#This Row],[Commissioned Date]])/365.25),"")</f>
        <v>0.38603696098562629</v>
      </c>
      <c r="F1300" s="49">
        <f>IF(expected_production[[#This Row],[Age (yrs)]]="",1,(1-DegradationRate)^expected_production[[#This Row],[Age (yrs)]])</f>
        <v>0.9972919125002031</v>
      </c>
      <c r="G1300" s="52">
        <f>IF(expected_production[[#This Row],[Base Expected (kWh)]]="","",expected_production[[#This Row],[Base Expected (kWh)]]*expected_production[[#This Row],[Degradation Factor]])</f>
        <v>21618.296787266903</v>
      </c>
    </row>
    <row r="1301" spans="1:7" ht="15" hidden="1" customHeight="1" x14ac:dyDescent="0.3">
      <c r="A1301" t="s">
        <v>138</v>
      </c>
      <c r="B1301" s="2">
        <v>45352</v>
      </c>
      <c r="C1301" s="52">
        <v>24212</v>
      </c>
      <c r="D1301" s="48">
        <f>_xlfn.XLOOKUP(expected_production[[#This Row],[Site Name]],Table1[[Site Name ]],Table1[Commisioned Date],"")</f>
        <v>45182</v>
      </c>
      <c r="E1301" s="47">
        <f>IF(ISNUMBER(expected_production[[#This Row],[Commissioned Date]]),MAX(0,(expected_production[[#This Row],[Date]]-expected_production[[#This Row],[Commissioned Date]])/365.25),"")</f>
        <v>0.4654346338124572</v>
      </c>
      <c r="F1301" s="49">
        <f>IF(expected_production[[#This Row],[Age (yrs)]]="",1,(1-DegradationRate)^expected_production[[#This Row],[Age (yrs)]])</f>
        <v>0.99673583991106562</v>
      </c>
      <c r="G1301" s="52">
        <f>IF(expected_production[[#This Row],[Base Expected (kWh)]]="","",expected_production[[#This Row],[Base Expected (kWh)]]*expected_production[[#This Row],[Degradation Factor]])</f>
        <v>24132.968155926719</v>
      </c>
    </row>
    <row r="1302" spans="1:7" ht="15" hidden="1" customHeight="1" x14ac:dyDescent="0.3">
      <c r="A1302" t="s">
        <v>138</v>
      </c>
      <c r="B1302" s="2">
        <v>45383</v>
      </c>
      <c r="C1302" s="52">
        <v>20861</v>
      </c>
      <c r="D1302" s="48">
        <f>_xlfn.XLOOKUP(expected_production[[#This Row],[Site Name]],Table1[[Site Name ]],Table1[Commisioned Date],"")</f>
        <v>45182</v>
      </c>
      <c r="E1302" s="47">
        <f>IF(ISNUMBER(expected_production[[#This Row],[Commissioned Date]]),MAX(0,(expected_production[[#This Row],[Date]]-expected_production[[#This Row],[Commissioned Date]])/365.25),"")</f>
        <v>0.55030800821355241</v>
      </c>
      <c r="F1302" s="49">
        <f>IF(expected_production[[#This Row],[Age (yrs)]]="",1,(1-DegradationRate)^expected_production[[#This Row],[Age (yrs)]])</f>
        <v>0.99614176035233326</v>
      </c>
      <c r="G1302" s="52">
        <f>IF(expected_production[[#This Row],[Base Expected (kWh)]]="","",expected_production[[#This Row],[Base Expected (kWh)]]*expected_production[[#This Row],[Degradation Factor]])</f>
        <v>20780.513262710025</v>
      </c>
    </row>
    <row r="1303" spans="1:7" ht="15" hidden="1" customHeight="1" x14ac:dyDescent="0.3">
      <c r="A1303" t="s">
        <v>138</v>
      </c>
      <c r="B1303" s="2">
        <v>45413</v>
      </c>
      <c r="C1303" s="52">
        <v>20012</v>
      </c>
      <c r="D1303" s="48">
        <f>_xlfn.XLOOKUP(expected_production[[#This Row],[Site Name]],Table1[[Site Name ]],Table1[Commisioned Date],"")</f>
        <v>45182</v>
      </c>
      <c r="E1303" s="47">
        <f>IF(ISNUMBER(expected_production[[#This Row],[Commissioned Date]]),MAX(0,(expected_production[[#This Row],[Date]]-expected_production[[#This Row],[Commissioned Date]])/365.25),"")</f>
        <v>0.63244353182751545</v>
      </c>
      <c r="F1303" s="49">
        <f>IF(expected_production[[#This Row],[Age (yrs)]]="",1,(1-DegradationRate)^expected_production[[#This Row],[Age (yrs)]])</f>
        <v>0.99556718178983106</v>
      </c>
      <c r="G1303" s="52">
        <f>IF(expected_production[[#This Row],[Base Expected (kWh)]]="","",expected_production[[#This Row],[Base Expected (kWh)]]*expected_production[[#This Row],[Degradation Factor]])</f>
        <v>19923.290441978101</v>
      </c>
    </row>
    <row r="1304" spans="1:7" ht="15" hidden="1" customHeight="1" x14ac:dyDescent="0.3">
      <c r="A1304" t="s">
        <v>138</v>
      </c>
      <c r="B1304" s="2">
        <v>45444</v>
      </c>
      <c r="C1304" s="52">
        <v>18485</v>
      </c>
      <c r="D1304" s="48">
        <f>_xlfn.XLOOKUP(expected_production[[#This Row],[Site Name]],Table1[[Site Name ]],Table1[Commisioned Date],"")</f>
        <v>45182</v>
      </c>
      <c r="E1304" s="47">
        <f>IF(ISNUMBER(expected_production[[#This Row],[Commissioned Date]]),MAX(0,(expected_production[[#This Row],[Date]]-expected_production[[#This Row],[Commissioned Date]])/365.25),"")</f>
        <v>0.71731690622861055</v>
      </c>
      <c r="F1304" s="49">
        <f>IF(expected_production[[#This Row],[Age (yrs)]]="",1,(1-DegradationRate)^expected_production[[#This Row],[Age (yrs)]])</f>
        <v>0.99497379878064895</v>
      </c>
      <c r="G1304" s="52">
        <f>IF(expected_production[[#This Row],[Base Expected (kWh)]]="","",expected_production[[#This Row],[Base Expected (kWh)]]*expected_production[[#This Row],[Degradation Factor]])</f>
        <v>18392.090670460297</v>
      </c>
    </row>
    <row r="1305" spans="1:7" ht="15" hidden="1" customHeight="1" x14ac:dyDescent="0.3">
      <c r="A1305" t="s">
        <v>138</v>
      </c>
      <c r="B1305" s="2">
        <v>45474</v>
      </c>
      <c r="C1305" s="52">
        <v>20016</v>
      </c>
      <c r="D1305" s="48">
        <f>_xlfn.XLOOKUP(expected_production[[#This Row],[Site Name]],Table1[[Site Name ]],Table1[Commisioned Date],"")</f>
        <v>45182</v>
      </c>
      <c r="E1305" s="47">
        <f>IF(ISNUMBER(expected_production[[#This Row],[Commissioned Date]]),MAX(0,(expected_production[[#This Row],[Date]]-expected_production[[#This Row],[Commissioned Date]])/365.25),"")</f>
        <v>0.79945242984257359</v>
      </c>
      <c r="F1305" s="49">
        <f>IF(expected_production[[#This Row],[Age (yrs)]]="",1,(1-DegradationRate)^expected_production[[#This Row],[Age (yrs)]])</f>
        <v>0.99439989390306549</v>
      </c>
      <c r="G1305" s="52">
        <f>IF(expected_production[[#This Row],[Base Expected (kWh)]]="","",expected_production[[#This Row],[Base Expected (kWh)]]*expected_production[[#This Row],[Degradation Factor]])</f>
        <v>19903.90827636376</v>
      </c>
    </row>
    <row r="1306" spans="1:7" ht="15" hidden="1" customHeight="1" x14ac:dyDescent="0.3">
      <c r="A1306" t="s">
        <v>138</v>
      </c>
      <c r="B1306" s="2">
        <v>45505</v>
      </c>
      <c r="C1306" s="52">
        <v>21052</v>
      </c>
      <c r="D1306" s="48">
        <f>_xlfn.XLOOKUP(expected_production[[#This Row],[Site Name]],Table1[[Site Name ]],Table1[Commisioned Date],"")</f>
        <v>45182</v>
      </c>
      <c r="E1306" s="47">
        <f>IF(ISNUMBER(expected_production[[#This Row],[Commissioned Date]]),MAX(0,(expected_production[[#This Row],[Date]]-expected_production[[#This Row],[Commissioned Date]])/365.25),"")</f>
        <v>0.88432580424366869</v>
      </c>
      <c r="F1306" s="49">
        <f>IF(expected_production[[#This Row],[Age (yrs)]]="",1,(1-DegradationRate)^expected_production[[#This Row],[Age (yrs)]])</f>
        <v>0.99380720662673949</v>
      </c>
      <c r="G1306" s="52">
        <f>IF(expected_production[[#This Row],[Base Expected (kWh)]]="","",expected_production[[#This Row],[Base Expected (kWh)]]*expected_production[[#This Row],[Degradation Factor]])</f>
        <v>20921.62931390612</v>
      </c>
    </row>
    <row r="1307" spans="1:7" ht="15" hidden="1" customHeight="1" x14ac:dyDescent="0.3">
      <c r="A1307" t="s">
        <v>138</v>
      </c>
      <c r="B1307" s="2">
        <v>45536</v>
      </c>
      <c r="C1307" s="52">
        <v>21403</v>
      </c>
      <c r="D1307" s="48">
        <f>_xlfn.XLOOKUP(expected_production[[#This Row],[Site Name]],Table1[[Site Name ]],Table1[Commisioned Date],"")</f>
        <v>45182</v>
      </c>
      <c r="E1307" s="47">
        <f>IF(ISNUMBER(expected_production[[#This Row],[Commissioned Date]]),MAX(0,(expected_production[[#This Row],[Date]]-expected_production[[#This Row],[Commissioned Date]])/365.25),"")</f>
        <v>0.9691991786447639</v>
      </c>
      <c r="F1307" s="49">
        <f>IF(expected_production[[#This Row],[Age (yrs)]]="",1,(1-DegradationRate)^expected_production[[#This Row],[Age (yrs)]])</f>
        <v>0.99321487260689489</v>
      </c>
      <c r="G1307" s="52">
        <f>IF(expected_production[[#This Row],[Base Expected (kWh)]]="","",expected_production[[#This Row],[Base Expected (kWh)]]*expected_production[[#This Row],[Degradation Factor]])</f>
        <v>21257.777918405372</v>
      </c>
    </row>
    <row r="1308" spans="1:7" ht="15" hidden="1" customHeight="1" x14ac:dyDescent="0.3">
      <c r="A1308" t="s">
        <v>138</v>
      </c>
      <c r="B1308" s="2">
        <v>45566</v>
      </c>
      <c r="C1308" s="52">
        <v>20962</v>
      </c>
      <c r="D1308" s="48">
        <f>_xlfn.XLOOKUP(expected_production[[#This Row],[Site Name]],Table1[[Site Name ]],Table1[Commisioned Date],"")</f>
        <v>45182</v>
      </c>
      <c r="E1308" s="47">
        <f>IF(ISNUMBER(expected_production[[#This Row],[Commissioned Date]]),MAX(0,(expected_production[[#This Row],[Date]]-expected_production[[#This Row],[Commissioned Date]])/365.25),"")</f>
        <v>1.0513347022587269</v>
      </c>
      <c r="F1308" s="49">
        <f>IF(expected_production[[#This Row],[Age (yrs)]]="",1,(1-DegradationRate)^expected_production[[#This Row],[Age (yrs)]])</f>
        <v>0.99264198228498268</v>
      </c>
      <c r="G1308" s="52">
        <f>IF(expected_production[[#This Row],[Base Expected (kWh)]]="","",expected_production[[#This Row],[Base Expected (kWh)]]*expected_production[[#This Row],[Degradation Factor]])</f>
        <v>20807.761232657806</v>
      </c>
    </row>
    <row r="1309" spans="1:7" ht="15" hidden="1" customHeight="1" x14ac:dyDescent="0.3">
      <c r="A1309" t="s">
        <v>138</v>
      </c>
      <c r="B1309" s="2">
        <v>45597</v>
      </c>
      <c r="C1309" s="52">
        <v>19856</v>
      </c>
      <c r="D1309" s="48">
        <f>_xlfn.XLOOKUP(expected_production[[#This Row],[Site Name]],Table1[[Site Name ]],Table1[Commisioned Date],"")</f>
        <v>45182</v>
      </c>
      <c r="E1309" s="47">
        <f>IF(ISNUMBER(expected_production[[#This Row],[Commissioned Date]]),MAX(0,(expected_production[[#This Row],[Date]]-expected_production[[#This Row],[Commissioned Date]])/365.25),"")</f>
        <v>1.1362080766598219</v>
      </c>
      <c r="F1309" s="49">
        <f>IF(expected_production[[#This Row],[Age (yrs)]]="",1,(1-DegradationRate)^expected_production[[#This Row],[Age (yrs)]])</f>
        <v>0.99205034276806958</v>
      </c>
      <c r="G1309" s="52">
        <f>IF(expected_production[[#This Row],[Base Expected (kWh)]]="","",expected_production[[#This Row],[Base Expected (kWh)]]*expected_production[[#This Row],[Degradation Factor]])</f>
        <v>19698.15160600279</v>
      </c>
    </row>
    <row r="1310" spans="1:7" ht="15" hidden="1" customHeight="1" x14ac:dyDescent="0.3">
      <c r="A1310" t="s">
        <v>138</v>
      </c>
      <c r="B1310" s="2">
        <v>45627</v>
      </c>
      <c r="C1310" s="52">
        <v>21184</v>
      </c>
      <c r="D1310" s="48">
        <f>_xlfn.XLOOKUP(expected_production[[#This Row],[Site Name]],Table1[[Site Name ]],Table1[Commisioned Date],"")</f>
        <v>45182</v>
      </c>
      <c r="E1310" s="47">
        <f>IF(ISNUMBER(expected_production[[#This Row],[Commissioned Date]]),MAX(0,(expected_production[[#This Row],[Date]]-expected_production[[#This Row],[Commissioned Date]])/365.25),"")</f>
        <v>1.2183436002737851</v>
      </c>
      <c r="F1310" s="49">
        <f>IF(expected_production[[#This Row],[Age (yrs)]]="",1,(1-DegradationRate)^expected_production[[#This Row],[Age (yrs)]])</f>
        <v>0.99147812415163894</v>
      </c>
      <c r="G1310" s="52">
        <f>IF(expected_production[[#This Row],[Base Expected (kWh)]]="","",expected_production[[#This Row],[Base Expected (kWh)]]*expected_production[[#This Row],[Degradation Factor]])</f>
        <v>21003.47258202832</v>
      </c>
    </row>
    <row r="1311" spans="1:7" ht="15" hidden="1" customHeight="1" x14ac:dyDescent="0.3">
      <c r="A1311" t="s">
        <v>138</v>
      </c>
      <c r="B1311" s="2">
        <v>45658</v>
      </c>
      <c r="C1311" s="52">
        <v>23544</v>
      </c>
      <c r="D1311" s="48">
        <f>_xlfn.XLOOKUP(expected_production[[#This Row],[Site Name]],Table1[[Site Name ]],Table1[Commisioned Date],"")</f>
        <v>45182</v>
      </c>
      <c r="E1311" s="47">
        <f>IF(ISNUMBER(expected_production[[#This Row],[Commissioned Date]]),MAX(0,(expected_production[[#This Row],[Date]]-expected_production[[#This Row],[Commissioned Date]])/365.25),"")</f>
        <v>1.3032169746748803</v>
      </c>
      <c r="F1311" s="49">
        <f>IF(expected_production[[#This Row],[Age (yrs)]]="",1,(1-DegradationRate)^expected_production[[#This Row],[Age (yrs)]])</f>
        <v>0.99088717832336293</v>
      </c>
      <c r="G1311" s="52">
        <f>IF(expected_production[[#This Row],[Base Expected (kWh)]]="","",expected_production[[#This Row],[Base Expected (kWh)]]*expected_production[[#This Row],[Degradation Factor]])</f>
        <v>23329.447726445258</v>
      </c>
    </row>
    <row r="1312" spans="1:7" ht="15" hidden="1" customHeight="1" x14ac:dyDescent="0.3">
      <c r="A1312" t="s">
        <v>138</v>
      </c>
      <c r="B1312" s="2">
        <v>45689</v>
      </c>
      <c r="C1312" s="52">
        <v>21677</v>
      </c>
      <c r="D1312" s="48">
        <f>_xlfn.XLOOKUP(expected_production[[#This Row],[Site Name]],Table1[[Site Name ]],Table1[Commisioned Date],"")</f>
        <v>45182</v>
      </c>
      <c r="E1312" s="47">
        <f>IF(ISNUMBER(expected_production[[#This Row],[Commissioned Date]]),MAX(0,(expected_production[[#This Row],[Date]]-expected_production[[#This Row],[Commissioned Date]])/365.25),"")</f>
        <v>1.3880903490759753</v>
      </c>
      <c r="F1312" s="49">
        <f>IF(expected_production[[#This Row],[Age (yrs)]]="",1,(1-DegradationRate)^expected_production[[#This Row],[Age (yrs)]])</f>
        <v>0.99029658471362136</v>
      </c>
      <c r="G1312" s="52">
        <f>IF(expected_production[[#This Row],[Base Expected (kWh)]]="","",expected_production[[#This Row],[Base Expected (kWh)]]*expected_production[[#This Row],[Degradation Factor]])</f>
        <v>21466.659066837172</v>
      </c>
    </row>
    <row r="1313" spans="1:7" ht="15" hidden="1" customHeight="1" x14ac:dyDescent="0.3">
      <c r="A1313" t="s">
        <v>138</v>
      </c>
      <c r="B1313" s="2">
        <v>45717</v>
      </c>
      <c r="C1313" s="52">
        <v>24212</v>
      </c>
      <c r="D1313" s="48">
        <f>_xlfn.XLOOKUP(expected_production[[#This Row],[Site Name]],Table1[[Site Name ]],Table1[Commisioned Date],"")</f>
        <v>45182</v>
      </c>
      <c r="E1313" s="47">
        <f>IF(ISNUMBER(expected_production[[#This Row],[Commissioned Date]]),MAX(0,(expected_production[[#This Row],[Date]]-expected_production[[#This Row],[Commissioned Date]])/365.25),"")</f>
        <v>1.4647501711156743</v>
      </c>
      <c r="F1313" s="49">
        <f>IF(expected_production[[#This Row],[Age (yrs)]]="",1,(1-DegradationRate)^expected_production[[#This Row],[Age (yrs)]])</f>
        <v>0.98976344788889925</v>
      </c>
      <c r="G1313" s="52">
        <f>IF(expected_production[[#This Row],[Base Expected (kWh)]]="","",expected_production[[#This Row],[Base Expected (kWh)]]*expected_production[[#This Row],[Degradation Factor]])</f>
        <v>23964.15260028603</v>
      </c>
    </row>
    <row r="1314" spans="1:7" ht="15" hidden="1" customHeight="1" x14ac:dyDescent="0.3">
      <c r="A1314" t="s">
        <v>138</v>
      </c>
      <c r="B1314" s="2">
        <v>45748</v>
      </c>
      <c r="C1314" s="52">
        <v>20861</v>
      </c>
      <c r="D1314" s="48">
        <f>_xlfn.XLOOKUP(expected_production[[#This Row],[Site Name]],Table1[[Site Name ]],Table1[Commisioned Date],"")</f>
        <v>45182</v>
      </c>
      <c r="E1314" s="47">
        <f>IF(ISNUMBER(expected_production[[#This Row],[Commissioned Date]]),MAX(0,(expected_production[[#This Row],[Date]]-expected_production[[#This Row],[Commissioned Date]])/365.25),"")</f>
        <v>1.5496235455167693</v>
      </c>
      <c r="F1314" s="49">
        <f>IF(expected_production[[#This Row],[Age (yrs)]]="",1,(1-DegradationRate)^expected_production[[#This Row],[Age (yrs)]])</f>
        <v>0.98917352405067993</v>
      </c>
      <c r="G1314" s="52">
        <f>IF(expected_production[[#This Row],[Base Expected (kWh)]]="","",expected_production[[#This Row],[Base Expected (kWh)]]*expected_production[[#This Row],[Degradation Factor]])</f>
        <v>20635.148885221235</v>
      </c>
    </row>
    <row r="1315" spans="1:7" ht="15" hidden="1" customHeight="1" x14ac:dyDescent="0.3">
      <c r="A1315" t="s">
        <v>138</v>
      </c>
      <c r="B1315" s="2">
        <v>45778</v>
      </c>
      <c r="C1315" s="52">
        <v>20012</v>
      </c>
      <c r="D1315" s="48">
        <f>_xlfn.XLOOKUP(expected_production[[#This Row],[Site Name]],Table1[[Site Name ]],Table1[Commisioned Date],"")</f>
        <v>45182</v>
      </c>
      <c r="E1315" s="47">
        <f>IF(ISNUMBER(expected_production[[#This Row],[Commissioned Date]]),MAX(0,(expected_production[[#This Row],[Date]]-expected_production[[#This Row],[Commissioned Date]])/365.25),"")</f>
        <v>1.6317590691307324</v>
      </c>
      <c r="F1315" s="49">
        <f>IF(expected_production[[#This Row],[Age (yrs)]]="",1,(1-DegradationRate)^expected_production[[#This Row],[Age (yrs)]])</f>
        <v>0.98860296479482324</v>
      </c>
      <c r="G1315" s="52">
        <f>IF(expected_production[[#This Row],[Base Expected (kWh)]]="","",expected_production[[#This Row],[Base Expected (kWh)]]*expected_production[[#This Row],[Degradation Factor]])</f>
        <v>19783.922531474003</v>
      </c>
    </row>
    <row r="1316" spans="1:7" ht="15" hidden="1" customHeight="1" x14ac:dyDescent="0.3">
      <c r="A1316" t="s">
        <v>138</v>
      </c>
      <c r="B1316" s="2">
        <v>45809</v>
      </c>
      <c r="C1316" s="52">
        <v>18485</v>
      </c>
      <c r="D1316" s="48">
        <f>_xlfn.XLOOKUP(expected_production[[#This Row],[Site Name]],Table1[[Site Name ]],Table1[Commisioned Date],"")</f>
        <v>45182</v>
      </c>
      <c r="E1316" s="47">
        <f>IF(ISNUMBER(expected_production[[#This Row],[Commissioned Date]]),MAX(0,(expected_production[[#This Row],[Date]]-expected_production[[#This Row],[Commissioned Date]])/365.25),"")</f>
        <v>1.7166324435318274</v>
      </c>
      <c r="F1316" s="49">
        <f>IF(expected_production[[#This Row],[Age (yrs)]]="",1,(1-DegradationRate)^expected_production[[#This Row],[Age (yrs)]])</f>
        <v>0.98801373263363279</v>
      </c>
      <c r="G1316" s="52">
        <f>IF(expected_production[[#This Row],[Base Expected (kWh)]]="","",expected_production[[#This Row],[Base Expected (kWh)]]*expected_production[[#This Row],[Degradation Factor]])</f>
        <v>18263.433847732704</v>
      </c>
    </row>
    <row r="1317" spans="1:7" ht="15" hidden="1" customHeight="1" x14ac:dyDescent="0.3">
      <c r="A1317" t="s">
        <v>138</v>
      </c>
      <c r="B1317" s="2">
        <v>45839</v>
      </c>
      <c r="C1317" s="52">
        <v>20016</v>
      </c>
      <c r="D1317" s="48">
        <f>_xlfn.XLOOKUP(expected_production[[#This Row],[Site Name]],Table1[[Site Name ]],Table1[Commisioned Date],"")</f>
        <v>45182</v>
      </c>
      <c r="E1317" s="47">
        <f>IF(ISNUMBER(expected_production[[#This Row],[Commissioned Date]]),MAX(0,(expected_production[[#This Row],[Date]]-expected_production[[#This Row],[Commissioned Date]])/365.25),"")</f>
        <v>1.7987679671457906</v>
      </c>
      <c r="F1317" s="49">
        <f>IF(expected_production[[#This Row],[Age (yrs)]]="",1,(1-DegradationRate)^expected_production[[#This Row],[Age (yrs)]])</f>
        <v>0.98744384235011706</v>
      </c>
      <c r="G1317" s="52">
        <f>IF(expected_production[[#This Row],[Base Expected (kWh)]]="","",expected_production[[#This Row],[Base Expected (kWh)]]*expected_production[[#This Row],[Degradation Factor]])</f>
        <v>19764.675948479944</v>
      </c>
    </row>
    <row r="1318" spans="1:7" ht="15" hidden="1" customHeight="1" x14ac:dyDescent="0.3">
      <c r="A1318" t="s">
        <v>138</v>
      </c>
      <c r="B1318" s="2">
        <v>45870</v>
      </c>
      <c r="C1318" s="52">
        <v>21052</v>
      </c>
      <c r="D1318" s="48">
        <f>_xlfn.XLOOKUP(expected_production[[#This Row],[Site Name]],Table1[[Site Name ]],Table1[Commisioned Date],"")</f>
        <v>45182</v>
      </c>
      <c r="E1318" s="47">
        <f>IF(ISNUMBER(expected_production[[#This Row],[Commissioned Date]]),MAX(0,(expected_production[[#This Row],[Date]]-expected_production[[#This Row],[Commissioned Date]])/365.25),"")</f>
        <v>1.8836413415468858</v>
      </c>
      <c r="F1318" s="49">
        <f>IF(expected_production[[#This Row],[Age (yrs)]]="",1,(1-DegradationRate)^expected_production[[#This Row],[Age (yrs)]])</f>
        <v>0.98685530105497443</v>
      </c>
      <c r="G1318" s="52">
        <f>IF(expected_production[[#This Row],[Base Expected (kWh)]]="","",expected_production[[#This Row],[Base Expected (kWh)]]*expected_production[[#This Row],[Degradation Factor]])</f>
        <v>20775.277797809322</v>
      </c>
    </row>
    <row r="1319" spans="1:7" ht="15" hidden="1" customHeight="1" x14ac:dyDescent="0.3">
      <c r="A1319" t="s">
        <v>138</v>
      </c>
      <c r="B1319" s="2">
        <v>45901</v>
      </c>
      <c r="C1319" s="52">
        <v>21403</v>
      </c>
      <c r="D1319" s="48">
        <f>_xlfn.XLOOKUP(expected_production[[#This Row],[Site Name]],Table1[[Site Name ]],Table1[Commisioned Date],"")</f>
        <v>45182</v>
      </c>
      <c r="E1319" s="47">
        <f>IF(ISNUMBER(expected_production[[#This Row],[Commissioned Date]]),MAX(0,(expected_production[[#This Row],[Date]]-expected_production[[#This Row],[Commissioned Date]])/365.25),"")</f>
        <v>1.9685147159479808</v>
      </c>
      <c r="F1319" s="49">
        <f>IF(expected_production[[#This Row],[Age (yrs)]]="",1,(1-DegradationRate)^expected_production[[#This Row],[Age (yrs)]])</f>
        <v>0.98626711054520444</v>
      </c>
      <c r="G1319" s="52">
        <f>IF(expected_production[[#This Row],[Base Expected (kWh)]]="","",expected_production[[#This Row],[Base Expected (kWh)]]*expected_production[[#This Row],[Degradation Factor]])</f>
        <v>21109.074966999011</v>
      </c>
    </row>
    <row r="1320" spans="1:7" ht="15" hidden="1" customHeight="1" x14ac:dyDescent="0.3">
      <c r="A1320" t="s">
        <v>138</v>
      </c>
      <c r="B1320" s="2">
        <v>45931</v>
      </c>
      <c r="C1320" s="52">
        <v>20962</v>
      </c>
      <c r="D1320" s="48">
        <f>_xlfn.XLOOKUP(expected_production[[#This Row],[Site Name]],Table1[[Site Name ]],Table1[Commisioned Date],"")</f>
        <v>45182</v>
      </c>
      <c r="E1320" s="47">
        <f>IF(ISNUMBER(expected_production[[#This Row],[Commissioned Date]]),MAX(0,(expected_production[[#This Row],[Date]]-expected_production[[#This Row],[Commissioned Date]])/365.25),"")</f>
        <v>2.0506502395619437</v>
      </c>
      <c r="F1320" s="49">
        <f>IF(expected_production[[#This Row],[Age (yrs)]]="",1,(1-DegradationRate)^expected_production[[#This Row],[Age (yrs)]])</f>
        <v>0.98569822772031424</v>
      </c>
      <c r="G1320" s="52">
        <f>IF(expected_production[[#This Row],[Base Expected (kWh)]]="","",expected_production[[#This Row],[Base Expected (kWh)]]*expected_production[[#This Row],[Degradation Factor]])</f>
        <v>20662.206249473227</v>
      </c>
    </row>
    <row r="1321" spans="1:7" ht="15" hidden="1" customHeight="1" x14ac:dyDescent="0.3">
      <c r="A1321" t="s">
        <v>138</v>
      </c>
      <c r="B1321" s="2">
        <v>45962</v>
      </c>
      <c r="C1321" s="52">
        <v>19856</v>
      </c>
      <c r="D1321" s="48">
        <f>_xlfn.XLOOKUP(expected_production[[#This Row],[Site Name]],Table1[[Site Name ]],Table1[Commisioned Date],"")</f>
        <v>45182</v>
      </c>
      <c r="E1321" s="47">
        <f>IF(ISNUMBER(expected_production[[#This Row],[Commissioned Date]]),MAX(0,(expected_production[[#This Row],[Date]]-expected_production[[#This Row],[Commissioned Date]])/365.25),"")</f>
        <v>2.1355236139630391</v>
      </c>
      <c r="F1321" s="49">
        <f>IF(expected_production[[#This Row],[Age (yrs)]]="",1,(1-DegradationRate)^expected_production[[#This Row],[Age (yrs)]])</f>
        <v>0.98511072685527112</v>
      </c>
      <c r="G1321" s="52">
        <f>IF(expected_production[[#This Row],[Base Expected (kWh)]]="","",expected_production[[#This Row],[Base Expected (kWh)]]*expected_production[[#This Row],[Degradation Factor]])</f>
        <v>19560.358592438264</v>
      </c>
    </row>
    <row r="1322" spans="1:7" ht="15" hidden="1" customHeight="1" x14ac:dyDescent="0.3">
      <c r="A1322" t="s">
        <v>138</v>
      </c>
      <c r="B1322" s="2">
        <v>45992</v>
      </c>
      <c r="C1322" s="52">
        <v>21184</v>
      </c>
      <c r="D1322" s="48">
        <f>_xlfn.XLOOKUP(expected_production[[#This Row],[Site Name]],Table1[[Site Name ]],Table1[Commisioned Date],"")</f>
        <v>45182</v>
      </c>
      <c r="E1322" s="47">
        <f>IF(ISNUMBER(expected_production[[#This Row],[Commissioned Date]]),MAX(0,(expected_production[[#This Row],[Date]]-expected_production[[#This Row],[Commissioned Date]])/365.25),"")</f>
        <v>2.2176591375770021</v>
      </c>
      <c r="F1322" s="49">
        <f>IF(expected_production[[#This Row],[Age (yrs)]]="",1,(1-DegradationRate)^expected_production[[#This Row],[Age (yrs)]])</f>
        <v>0.98454251103713097</v>
      </c>
      <c r="G1322" s="52">
        <f>IF(expected_production[[#This Row],[Base Expected (kWh)]]="","",expected_production[[#This Row],[Base Expected (kWh)]]*expected_production[[#This Row],[Degradation Factor]])</f>
        <v>20856.548553810582</v>
      </c>
    </row>
    <row r="1323" spans="1:7" ht="15" hidden="1" customHeight="1" x14ac:dyDescent="0.3">
      <c r="A1323" t="s">
        <v>138</v>
      </c>
      <c r="B1323" s="2">
        <v>46023</v>
      </c>
      <c r="C1323" s="52">
        <v>23544</v>
      </c>
      <c r="D1323" s="48">
        <f>_xlfn.XLOOKUP(expected_production[[#This Row],[Site Name]],Table1[[Site Name ]],Table1[Commisioned Date],"")</f>
        <v>45182</v>
      </c>
      <c r="E1323" s="47">
        <f>IF(ISNUMBER(expected_production[[#This Row],[Commissioned Date]]),MAX(0,(expected_production[[#This Row],[Date]]-expected_production[[#This Row],[Commissioned Date]])/365.25),"")</f>
        <v>2.3025325119780971</v>
      </c>
      <c r="F1323" s="49">
        <f>IF(expected_production[[#This Row],[Age (yrs)]]="",1,(1-DegradationRate)^expected_production[[#This Row],[Age (yrs)]])</f>
        <v>0.98395569900821644</v>
      </c>
      <c r="G1323" s="52">
        <f>IF(expected_production[[#This Row],[Base Expected (kWh)]]="","",expected_production[[#This Row],[Base Expected (kWh)]]*expected_production[[#This Row],[Degradation Factor]])</f>
        <v>23166.252977449447</v>
      </c>
    </row>
    <row r="1324" spans="1:7" ht="15" hidden="1" customHeight="1" x14ac:dyDescent="0.3">
      <c r="A1324" t="s">
        <v>138</v>
      </c>
      <c r="B1324" s="2">
        <v>46054</v>
      </c>
      <c r="C1324" s="52">
        <v>21677</v>
      </c>
      <c r="D1324" s="48">
        <f>_xlfn.XLOOKUP(expected_production[[#This Row],[Site Name]],Table1[[Site Name ]],Table1[Commisioned Date],"")</f>
        <v>45182</v>
      </c>
      <c r="E1324" s="47">
        <f>IF(ISNUMBER(expected_production[[#This Row],[Commissioned Date]]),MAX(0,(expected_production[[#This Row],[Date]]-expected_production[[#This Row],[Commissioned Date]])/365.25),"")</f>
        <v>2.3874058863791925</v>
      </c>
      <c r="F1324" s="49">
        <f>IF(expected_production[[#This Row],[Age (yrs)]]="",1,(1-DegradationRate)^expected_production[[#This Row],[Age (yrs)]])</f>
        <v>0.98336923673398835</v>
      </c>
      <c r="G1324" s="52">
        <f>IF(expected_production[[#This Row],[Base Expected (kWh)]]="","",expected_production[[#This Row],[Base Expected (kWh)]]*expected_production[[#This Row],[Degradation Factor]])</f>
        <v>21316.494944682665</v>
      </c>
    </row>
    <row r="1325" spans="1:7" ht="15" hidden="1" customHeight="1" x14ac:dyDescent="0.3">
      <c r="A1325" t="s">
        <v>138</v>
      </c>
      <c r="B1325" s="2">
        <v>46082</v>
      </c>
      <c r="C1325" s="52">
        <v>24212</v>
      </c>
      <c r="D1325" s="48">
        <f>_xlfn.XLOOKUP(expected_production[[#This Row],[Site Name]],Table1[[Site Name ]],Table1[Commisioned Date],"")</f>
        <v>45182</v>
      </c>
      <c r="E1325" s="47">
        <f>IF(ISNUMBER(expected_production[[#This Row],[Commissioned Date]]),MAX(0,(expected_production[[#This Row],[Date]]-expected_production[[#This Row],[Commissioned Date]])/365.25),"")</f>
        <v>2.4640657084188913</v>
      </c>
      <c r="F1325" s="49">
        <f>IF(expected_production[[#This Row],[Age (yrs)]]="",1,(1-DegradationRate)^expected_production[[#This Row],[Age (yrs)]])</f>
        <v>0.98283982932160852</v>
      </c>
      <c r="G1325" s="52">
        <f>IF(expected_production[[#This Row],[Base Expected (kWh)]]="","",expected_production[[#This Row],[Base Expected (kWh)]]*expected_production[[#This Row],[Degradation Factor]])</f>
        <v>23796.517947534787</v>
      </c>
    </row>
    <row r="1326" spans="1:7" ht="15" hidden="1" customHeight="1" x14ac:dyDescent="0.3">
      <c r="A1326" t="s">
        <v>138</v>
      </c>
      <c r="B1326" s="2">
        <v>46113</v>
      </c>
      <c r="C1326" s="52">
        <v>20861</v>
      </c>
      <c r="D1326" s="48">
        <f>_xlfn.XLOOKUP(expected_production[[#This Row],[Site Name]],Table1[[Site Name ]],Table1[Commisioned Date],"")</f>
        <v>45182</v>
      </c>
      <c r="E1326" s="47">
        <f>IF(ISNUMBER(expected_production[[#This Row],[Commissioned Date]]),MAX(0,(expected_production[[#This Row],[Date]]-expected_production[[#This Row],[Commissioned Date]])/365.25),"")</f>
        <v>2.5489390828199863</v>
      </c>
      <c r="F1326" s="49">
        <f>IF(expected_production[[#This Row],[Age (yrs)]]="",1,(1-DegradationRate)^expected_production[[#This Row],[Age (yrs)]])</f>
        <v>0.98225403213369966</v>
      </c>
      <c r="G1326" s="52">
        <f>IF(expected_production[[#This Row],[Base Expected (kWh)]]="","",expected_production[[#This Row],[Base Expected (kWh)]]*expected_production[[#This Row],[Degradation Factor]])</f>
        <v>20490.80136434111</v>
      </c>
    </row>
    <row r="1327" spans="1:7" ht="15" hidden="1" customHeight="1" x14ac:dyDescent="0.3">
      <c r="A1327" t="s">
        <v>138</v>
      </c>
      <c r="B1327" s="2">
        <v>46143</v>
      </c>
      <c r="C1327" s="52">
        <v>20012</v>
      </c>
      <c r="D1327" s="48">
        <f>_xlfn.XLOOKUP(expected_production[[#This Row],[Site Name]],Table1[[Site Name ]],Table1[Commisioned Date],"")</f>
        <v>45182</v>
      </c>
      <c r="E1327" s="47">
        <f>IF(ISNUMBER(expected_production[[#This Row],[Commissioned Date]]),MAX(0,(expected_production[[#This Row],[Date]]-expected_production[[#This Row],[Commissioned Date]])/365.25),"")</f>
        <v>2.6310746064339492</v>
      </c>
      <c r="F1327" s="49">
        <f>IF(expected_production[[#This Row],[Age (yrs)]]="",1,(1-DegradationRate)^expected_production[[#This Row],[Age (yrs)]])</f>
        <v>0.98168746406853213</v>
      </c>
      <c r="G1327" s="52">
        <f>IF(expected_production[[#This Row],[Base Expected (kWh)]]="","",expected_production[[#This Row],[Base Expected (kWh)]]*expected_production[[#This Row],[Degradation Factor]])</f>
        <v>19645.529530939464</v>
      </c>
    </row>
    <row r="1328" spans="1:7" ht="15" hidden="1" customHeight="1" x14ac:dyDescent="0.3">
      <c r="A1328" t="s">
        <v>138</v>
      </c>
      <c r="B1328" s="2">
        <v>46174</v>
      </c>
      <c r="C1328" s="52">
        <v>18485</v>
      </c>
      <c r="D1328" s="48">
        <f>_xlfn.XLOOKUP(expected_production[[#This Row],[Site Name]],Table1[[Site Name ]],Table1[Commisioned Date],"")</f>
        <v>45182</v>
      </c>
      <c r="E1328" s="47">
        <f>IF(ISNUMBER(expected_production[[#This Row],[Commissioned Date]]),MAX(0,(expected_production[[#This Row],[Date]]-expected_production[[#This Row],[Commissioned Date]])/365.25),"")</f>
        <v>2.7159479808350446</v>
      </c>
      <c r="F1328" s="49">
        <f>IF(expected_production[[#This Row],[Age (yrs)]]="",1,(1-DegradationRate)^expected_production[[#This Row],[Age (yrs)]])</f>
        <v>0.98110235371921539</v>
      </c>
      <c r="G1328" s="52">
        <f>IF(expected_production[[#This Row],[Base Expected (kWh)]]="","",expected_production[[#This Row],[Base Expected (kWh)]]*expected_production[[#This Row],[Degradation Factor]])</f>
        <v>18135.677008499697</v>
      </c>
    </row>
    <row r="1329" spans="1:7" ht="15" hidden="1" customHeight="1" x14ac:dyDescent="0.3">
      <c r="A1329" t="s">
        <v>138</v>
      </c>
      <c r="B1329" s="2">
        <v>46204</v>
      </c>
      <c r="C1329" s="52">
        <v>20016</v>
      </c>
      <c r="D1329" s="48">
        <f>_xlfn.XLOOKUP(expected_production[[#This Row],[Site Name]],Table1[[Site Name ]],Table1[Commisioned Date],"")</f>
        <v>45182</v>
      </c>
      <c r="E1329" s="47">
        <f>IF(ISNUMBER(expected_production[[#This Row],[Commissioned Date]]),MAX(0,(expected_production[[#This Row],[Date]]-expected_production[[#This Row],[Commissioned Date]])/365.25),"")</f>
        <v>2.7980835044490076</v>
      </c>
      <c r="F1329" s="49">
        <f>IF(expected_production[[#This Row],[Age (yrs)]]="",1,(1-DegradationRate)^expected_production[[#This Row],[Age (yrs)]])</f>
        <v>0.98053644994677625</v>
      </c>
      <c r="G1329" s="52">
        <f>IF(expected_production[[#This Row],[Base Expected (kWh)]]="","",expected_production[[#This Row],[Base Expected (kWh)]]*expected_production[[#This Row],[Degradation Factor]])</f>
        <v>19626.417582134673</v>
      </c>
    </row>
    <row r="1330" spans="1:7" ht="15" hidden="1" customHeight="1" x14ac:dyDescent="0.3">
      <c r="A1330" t="s">
        <v>138</v>
      </c>
      <c r="B1330" s="2">
        <v>46235</v>
      </c>
      <c r="C1330" s="52">
        <v>21052</v>
      </c>
      <c r="D1330" s="48">
        <f>_xlfn.XLOOKUP(expected_production[[#This Row],[Site Name]],Table1[[Site Name ]],Table1[Commisioned Date],"")</f>
        <v>45182</v>
      </c>
      <c r="E1330" s="47">
        <f>IF(ISNUMBER(expected_production[[#This Row],[Commissioned Date]]),MAX(0,(expected_production[[#This Row],[Date]]-expected_production[[#This Row],[Commissioned Date]])/365.25),"")</f>
        <v>2.8829568788501025</v>
      </c>
      <c r="F1330" s="49">
        <f>IF(expected_production[[#This Row],[Age (yrs)]]="",1,(1-DegradationRate)^expected_production[[#This Row],[Age (yrs)]])</f>
        <v>0.97995202563074357</v>
      </c>
      <c r="G1330" s="52">
        <f>IF(expected_production[[#This Row],[Base Expected (kWh)]]="","",expected_production[[#This Row],[Base Expected (kWh)]]*expected_production[[#This Row],[Degradation Factor]])</f>
        <v>20629.950043578414</v>
      </c>
    </row>
    <row r="1331" spans="1:7" ht="15" hidden="1" customHeight="1" x14ac:dyDescent="0.3">
      <c r="A1331" t="s">
        <v>138</v>
      </c>
      <c r="B1331" s="2">
        <v>46266</v>
      </c>
      <c r="C1331" s="52">
        <v>21403</v>
      </c>
      <c r="D1331" s="48">
        <f>_xlfn.XLOOKUP(expected_production[[#This Row],[Site Name]],Table1[[Site Name ]],Table1[Commisioned Date],"")</f>
        <v>45182</v>
      </c>
      <c r="E1331" s="47">
        <f>IF(ISNUMBER(expected_production[[#This Row],[Commissioned Date]]),MAX(0,(expected_production[[#This Row],[Date]]-expected_production[[#This Row],[Commissioned Date]])/365.25),"")</f>
        <v>2.967830253251198</v>
      </c>
      <c r="F1331" s="49">
        <f>IF(expected_production[[#This Row],[Age (yrs)]]="",1,(1-DegradationRate)^expected_production[[#This Row],[Age (yrs)]])</f>
        <v>0.97936794964626062</v>
      </c>
      <c r="G1331" s="52">
        <f>IF(expected_production[[#This Row],[Base Expected (kWh)]]="","",expected_production[[#This Row],[Base Expected (kWh)]]*expected_production[[#This Row],[Degradation Factor]])</f>
        <v>20961.412226278917</v>
      </c>
    </row>
    <row r="1332" spans="1:7" ht="15" hidden="1" customHeight="1" x14ac:dyDescent="0.3">
      <c r="A1332" t="s">
        <v>138</v>
      </c>
      <c r="B1332" s="2">
        <v>46296</v>
      </c>
      <c r="C1332" s="52">
        <v>20962</v>
      </c>
      <c r="D1332" s="48">
        <f>_xlfn.XLOOKUP(expected_production[[#This Row],[Site Name]],Table1[[Site Name ]],Table1[Commisioned Date],"")</f>
        <v>45182</v>
      </c>
      <c r="E1332" s="47">
        <f>IF(ISNUMBER(expected_production[[#This Row],[Commissioned Date]]),MAX(0,(expected_production[[#This Row],[Date]]-expected_production[[#This Row],[Commissioned Date]])/365.25),"")</f>
        <v>3.0499657768651609</v>
      </c>
      <c r="F1332" s="49">
        <f>IF(expected_production[[#This Row],[Age (yrs)]]="",1,(1-DegradationRate)^expected_production[[#This Row],[Age (yrs)]])</f>
        <v>0.97880304628504666</v>
      </c>
      <c r="G1332" s="52">
        <f>IF(expected_production[[#This Row],[Base Expected (kWh)]]="","",expected_production[[#This Row],[Base Expected (kWh)]]*expected_production[[#This Row],[Degradation Factor]])</f>
        <v>20517.669456227148</v>
      </c>
    </row>
    <row r="1333" spans="1:7" ht="15" hidden="1" customHeight="1" x14ac:dyDescent="0.3">
      <c r="A1333" t="s">
        <v>138</v>
      </c>
      <c r="B1333" s="2">
        <v>46327</v>
      </c>
      <c r="C1333" s="52">
        <v>19856</v>
      </c>
      <c r="D1333" s="48">
        <f>_xlfn.XLOOKUP(expected_production[[#This Row],[Site Name]],Table1[[Site Name ]],Table1[Commisioned Date],"")</f>
        <v>45182</v>
      </c>
      <c r="E1333" s="47">
        <f>IF(ISNUMBER(expected_production[[#This Row],[Commissioned Date]]),MAX(0,(expected_production[[#This Row],[Date]]-expected_production[[#This Row],[Commissioned Date]])/365.25),"")</f>
        <v>3.1348391512662559</v>
      </c>
      <c r="F1333" s="49">
        <f>IF(expected_production[[#This Row],[Age (yrs)]]="",1,(1-DegradationRate)^expected_production[[#This Row],[Age (yrs)]])</f>
        <v>0.97821965512107012</v>
      </c>
      <c r="G1333" s="52">
        <f>IF(expected_production[[#This Row],[Base Expected (kWh)]]="","",expected_production[[#This Row],[Base Expected (kWh)]]*expected_production[[#This Row],[Degradation Factor]])</f>
        <v>19423.529472083967</v>
      </c>
    </row>
    <row r="1334" spans="1:7" ht="15" hidden="1" customHeight="1" x14ac:dyDescent="0.3">
      <c r="A1334" t="s">
        <v>138</v>
      </c>
      <c r="B1334" s="2">
        <v>46357</v>
      </c>
      <c r="C1334" s="52">
        <v>21184</v>
      </c>
      <c r="D1334" s="48">
        <f>_xlfn.XLOOKUP(expected_production[[#This Row],[Site Name]],Table1[[Site Name ]],Table1[Commisioned Date],"")</f>
        <v>45182</v>
      </c>
      <c r="E1334" s="47">
        <f>IF(ISNUMBER(expected_production[[#This Row],[Commissioned Date]]),MAX(0,(expected_production[[#This Row],[Date]]-expected_production[[#This Row],[Commissioned Date]])/365.25),"")</f>
        <v>3.2169746748802188</v>
      </c>
      <c r="F1334" s="49">
        <f>IF(expected_production[[#This Row],[Age (yrs)]]="",1,(1-DegradationRate)^expected_production[[#This Row],[Age (yrs)]])</f>
        <v>0.97765541410074375</v>
      </c>
      <c r="G1334" s="52">
        <f>IF(expected_production[[#This Row],[Base Expected (kWh)]]="","",expected_production[[#This Row],[Base Expected (kWh)]]*expected_production[[#This Row],[Degradation Factor]])</f>
        <v>20710.652292310155</v>
      </c>
    </row>
    <row r="1335" spans="1:7" ht="15" hidden="1" customHeight="1" x14ac:dyDescent="0.3">
      <c r="A1335" t="s">
        <v>220</v>
      </c>
      <c r="B1335" s="2">
        <v>45292</v>
      </c>
      <c r="C1335" s="52">
        <v>46872</v>
      </c>
      <c r="D1335" s="48">
        <f>_xlfn.XLOOKUP(expected_production[[#This Row],[Site Name]],Table1[[Site Name ]],Table1[Commisioned Date],"")</f>
        <v>45924</v>
      </c>
      <c r="E1335" s="47">
        <f>IF(ISNUMBER(expected_production[[#This Row],[Commissioned Date]]),MAX(0,(expected_production[[#This Row],[Date]]-expected_production[[#This Row],[Commissioned Date]])/365.25),"")</f>
        <v>0</v>
      </c>
      <c r="F1335" s="49">
        <f>IF(expected_production[[#This Row],[Age (yrs)]]="",1,(1-DegradationRate)^expected_production[[#This Row],[Age (yrs)]])</f>
        <v>1</v>
      </c>
      <c r="G1335" s="52">
        <f>IF(expected_production[[#This Row],[Base Expected (kWh)]]="","",expected_production[[#This Row],[Base Expected (kWh)]]*expected_production[[#This Row],[Degradation Factor]])</f>
        <v>46872</v>
      </c>
    </row>
    <row r="1336" spans="1:7" ht="15" hidden="1" customHeight="1" x14ac:dyDescent="0.3">
      <c r="A1336" t="s">
        <v>220</v>
      </c>
      <c r="B1336" s="2">
        <v>45323</v>
      </c>
      <c r="C1336" s="52">
        <v>40989.599999999999</v>
      </c>
      <c r="D1336" s="48">
        <f>_xlfn.XLOOKUP(expected_production[[#This Row],[Site Name]],Table1[[Site Name ]],Table1[Commisioned Date],"")</f>
        <v>45924</v>
      </c>
      <c r="E1336" s="47">
        <f>IF(ISNUMBER(expected_production[[#This Row],[Commissioned Date]]),MAX(0,(expected_production[[#This Row],[Date]]-expected_production[[#This Row],[Commissioned Date]])/365.25),"")</f>
        <v>0</v>
      </c>
      <c r="F1336" s="49">
        <f>IF(expected_production[[#This Row],[Age (yrs)]]="",1,(1-DegradationRate)^expected_production[[#This Row],[Age (yrs)]])</f>
        <v>1</v>
      </c>
      <c r="G1336" s="52">
        <f>IF(expected_production[[#This Row],[Base Expected (kWh)]]="","",expected_production[[#This Row],[Base Expected (kWh)]]*expected_production[[#This Row],[Degradation Factor]])</f>
        <v>40989.599999999999</v>
      </c>
    </row>
    <row r="1337" spans="1:7" ht="15" hidden="1" customHeight="1" x14ac:dyDescent="0.3">
      <c r="A1337" t="s">
        <v>220</v>
      </c>
      <c r="B1337" s="2">
        <v>45352</v>
      </c>
      <c r="C1337" s="52">
        <v>39989.699999999997</v>
      </c>
      <c r="D1337" s="48">
        <f>_xlfn.XLOOKUP(expected_production[[#This Row],[Site Name]],Table1[[Site Name ]],Table1[Commisioned Date],"")</f>
        <v>45924</v>
      </c>
      <c r="E1337" s="47">
        <f>IF(ISNUMBER(expected_production[[#This Row],[Commissioned Date]]),MAX(0,(expected_production[[#This Row],[Date]]-expected_production[[#This Row],[Commissioned Date]])/365.25),"")</f>
        <v>0</v>
      </c>
      <c r="F1337" s="49">
        <f>IF(expected_production[[#This Row],[Age (yrs)]]="",1,(1-DegradationRate)^expected_production[[#This Row],[Age (yrs)]])</f>
        <v>1</v>
      </c>
      <c r="G1337" s="52">
        <f>IF(expected_production[[#This Row],[Base Expected (kWh)]]="","",expected_production[[#This Row],[Base Expected (kWh)]]*expected_production[[#This Row],[Degradation Factor]])</f>
        <v>39989.699999999997</v>
      </c>
    </row>
    <row r="1338" spans="1:7" ht="15" hidden="1" customHeight="1" x14ac:dyDescent="0.3">
      <c r="A1338" t="s">
        <v>220</v>
      </c>
      <c r="B1338" s="2">
        <v>45383</v>
      </c>
      <c r="C1338" s="52">
        <v>34783.199999999997</v>
      </c>
      <c r="D1338" s="48">
        <f>_xlfn.XLOOKUP(expected_production[[#This Row],[Site Name]],Table1[[Site Name ]],Table1[Commisioned Date],"")</f>
        <v>45924</v>
      </c>
      <c r="E1338" s="47">
        <f>IF(ISNUMBER(expected_production[[#This Row],[Commissioned Date]]),MAX(0,(expected_production[[#This Row],[Date]]-expected_production[[#This Row],[Commissioned Date]])/365.25),"")</f>
        <v>0</v>
      </c>
      <c r="F1338" s="49">
        <f>IF(expected_production[[#This Row],[Age (yrs)]]="",1,(1-DegradationRate)^expected_production[[#This Row],[Age (yrs)]])</f>
        <v>1</v>
      </c>
      <c r="G1338" s="52">
        <f>IF(expected_production[[#This Row],[Base Expected (kWh)]]="","",expected_production[[#This Row],[Base Expected (kWh)]]*expected_production[[#This Row],[Degradation Factor]])</f>
        <v>34783.199999999997</v>
      </c>
    </row>
    <row r="1339" spans="1:7" ht="15" hidden="1" customHeight="1" x14ac:dyDescent="0.3">
      <c r="A1339" t="s">
        <v>220</v>
      </c>
      <c r="B1339" s="2">
        <v>45413</v>
      </c>
      <c r="C1339" s="52">
        <v>32139</v>
      </c>
      <c r="D1339" s="48">
        <f>_xlfn.XLOOKUP(expected_production[[#This Row],[Site Name]],Table1[[Site Name ]],Table1[Commisioned Date],"")</f>
        <v>45924</v>
      </c>
      <c r="E1339" s="47">
        <f>IF(ISNUMBER(expected_production[[#This Row],[Commissioned Date]]),MAX(0,(expected_production[[#This Row],[Date]]-expected_production[[#This Row],[Commissioned Date]])/365.25),"")</f>
        <v>0</v>
      </c>
      <c r="F1339" s="49">
        <f>IF(expected_production[[#This Row],[Age (yrs)]]="",1,(1-DegradationRate)^expected_production[[#This Row],[Age (yrs)]])</f>
        <v>1</v>
      </c>
      <c r="G1339" s="52">
        <f>IF(expected_production[[#This Row],[Base Expected (kWh)]]="","",expected_production[[#This Row],[Base Expected (kWh)]]*expected_production[[#This Row],[Degradation Factor]])</f>
        <v>32139</v>
      </c>
    </row>
    <row r="1340" spans="1:7" ht="15" hidden="1" customHeight="1" x14ac:dyDescent="0.3">
      <c r="A1340" t="s">
        <v>220</v>
      </c>
      <c r="B1340" s="2">
        <v>45444</v>
      </c>
      <c r="C1340" s="52">
        <v>28357.200000000001</v>
      </c>
      <c r="D1340" s="48">
        <f>_xlfn.XLOOKUP(expected_production[[#This Row],[Site Name]],Table1[[Site Name ]],Table1[Commisioned Date],"")</f>
        <v>45924</v>
      </c>
      <c r="E1340" s="47">
        <f>IF(ISNUMBER(expected_production[[#This Row],[Commissioned Date]]),MAX(0,(expected_production[[#This Row],[Date]]-expected_production[[#This Row],[Commissioned Date]])/365.25),"")</f>
        <v>0</v>
      </c>
      <c r="F1340" s="49">
        <f>IF(expected_production[[#This Row],[Age (yrs)]]="",1,(1-DegradationRate)^expected_production[[#This Row],[Age (yrs)]])</f>
        <v>1</v>
      </c>
      <c r="G1340" s="52">
        <f>IF(expected_production[[#This Row],[Base Expected (kWh)]]="","",expected_production[[#This Row],[Base Expected (kWh)]]*expected_production[[#This Row],[Degradation Factor]])</f>
        <v>28357.200000000001</v>
      </c>
    </row>
    <row r="1341" spans="1:7" ht="15" hidden="1" customHeight="1" x14ac:dyDescent="0.3">
      <c r="A1341" t="s">
        <v>220</v>
      </c>
      <c r="B1341" s="2">
        <v>45474</v>
      </c>
      <c r="C1341" s="52">
        <v>31229.1</v>
      </c>
      <c r="D1341" s="48">
        <f>_xlfn.XLOOKUP(expected_production[[#This Row],[Site Name]],Table1[[Site Name ]],Table1[Commisioned Date],"")</f>
        <v>45924</v>
      </c>
      <c r="E1341" s="47">
        <f>IF(ISNUMBER(expected_production[[#This Row],[Commissioned Date]]),MAX(0,(expected_production[[#This Row],[Date]]-expected_production[[#This Row],[Commissioned Date]])/365.25),"")</f>
        <v>0</v>
      </c>
      <c r="F1341" s="49">
        <f>IF(expected_production[[#This Row],[Age (yrs)]]="",1,(1-DegradationRate)^expected_production[[#This Row],[Age (yrs)]])</f>
        <v>1</v>
      </c>
      <c r="G1341" s="52">
        <f>IF(expected_production[[#This Row],[Base Expected (kWh)]]="","",expected_production[[#This Row],[Base Expected (kWh)]]*expected_production[[#This Row],[Degradation Factor]])</f>
        <v>31229.1</v>
      </c>
    </row>
    <row r="1342" spans="1:7" ht="15" hidden="1" customHeight="1" x14ac:dyDescent="0.3">
      <c r="A1342" t="s">
        <v>220</v>
      </c>
      <c r="B1342" s="2">
        <v>45505</v>
      </c>
      <c r="C1342" s="52">
        <v>36815.4</v>
      </c>
      <c r="D1342" s="48">
        <f>_xlfn.XLOOKUP(expected_production[[#This Row],[Site Name]],Table1[[Site Name ]],Table1[Commisioned Date],"")</f>
        <v>45924</v>
      </c>
      <c r="E1342" s="47">
        <f>IF(ISNUMBER(expected_production[[#This Row],[Commissioned Date]]),MAX(0,(expected_production[[#This Row],[Date]]-expected_production[[#This Row],[Commissioned Date]])/365.25),"")</f>
        <v>0</v>
      </c>
      <c r="F1342" s="49">
        <f>IF(expected_production[[#This Row],[Age (yrs)]]="",1,(1-DegradationRate)^expected_production[[#This Row],[Age (yrs)]])</f>
        <v>1</v>
      </c>
      <c r="G1342" s="52">
        <f>IF(expected_production[[#This Row],[Base Expected (kWh)]]="","",expected_production[[#This Row],[Base Expected (kWh)]]*expected_production[[#This Row],[Degradation Factor]])</f>
        <v>36815.4</v>
      </c>
    </row>
    <row r="1343" spans="1:7" ht="15" hidden="1" customHeight="1" x14ac:dyDescent="0.3">
      <c r="A1343" t="s">
        <v>220</v>
      </c>
      <c r="B1343" s="2">
        <v>45536</v>
      </c>
      <c r="C1343" s="52">
        <v>40778.1</v>
      </c>
      <c r="D1343" s="48">
        <f>_xlfn.XLOOKUP(expected_production[[#This Row],[Site Name]],Table1[[Site Name ]],Table1[Commisioned Date],"")</f>
        <v>45924</v>
      </c>
      <c r="E1343" s="47">
        <f>IF(ISNUMBER(expected_production[[#This Row],[Commissioned Date]]),MAX(0,(expected_production[[#This Row],[Date]]-expected_production[[#This Row],[Commissioned Date]])/365.25),"")</f>
        <v>0</v>
      </c>
      <c r="F1343" s="49">
        <f>IF(expected_production[[#This Row],[Age (yrs)]]="",1,(1-DegradationRate)^expected_production[[#This Row],[Age (yrs)]])</f>
        <v>1</v>
      </c>
      <c r="G1343" s="52">
        <f>IF(expected_production[[#This Row],[Base Expected (kWh)]]="","",expected_production[[#This Row],[Base Expected (kWh)]]*expected_production[[#This Row],[Degradation Factor]])</f>
        <v>40778.1</v>
      </c>
    </row>
    <row r="1344" spans="1:7" ht="15" hidden="1" customHeight="1" x14ac:dyDescent="0.3">
      <c r="A1344" t="s">
        <v>220</v>
      </c>
      <c r="B1344" s="2">
        <v>45566</v>
      </c>
      <c r="C1344" s="52">
        <v>46212.3</v>
      </c>
      <c r="D1344" s="48">
        <f>_xlfn.XLOOKUP(expected_production[[#This Row],[Site Name]],Table1[[Site Name ]],Table1[Commisioned Date],"")</f>
        <v>45924</v>
      </c>
      <c r="E1344" s="47">
        <f>IF(ISNUMBER(expected_production[[#This Row],[Commissioned Date]]),MAX(0,(expected_production[[#This Row],[Date]]-expected_production[[#This Row],[Commissioned Date]])/365.25),"")</f>
        <v>0</v>
      </c>
      <c r="F1344" s="49">
        <f>IF(expected_production[[#This Row],[Age (yrs)]]="",1,(1-DegradationRate)^expected_production[[#This Row],[Age (yrs)]])</f>
        <v>1</v>
      </c>
      <c r="G1344" s="52">
        <f>IF(expected_production[[#This Row],[Base Expected (kWh)]]="","",expected_production[[#This Row],[Base Expected (kWh)]]*expected_production[[#This Row],[Degradation Factor]])</f>
        <v>46212.3</v>
      </c>
    </row>
    <row r="1345" spans="1:7" ht="15" hidden="1" customHeight="1" x14ac:dyDescent="0.3">
      <c r="A1345" t="s">
        <v>220</v>
      </c>
      <c r="B1345" s="2">
        <v>45597</v>
      </c>
      <c r="C1345" s="52">
        <v>46653.3</v>
      </c>
      <c r="D1345" s="48">
        <f>_xlfn.XLOOKUP(expected_production[[#This Row],[Site Name]],Table1[[Site Name ]],Table1[Commisioned Date],"")</f>
        <v>45924</v>
      </c>
      <c r="E1345" s="47">
        <f>IF(ISNUMBER(expected_production[[#This Row],[Commissioned Date]]),MAX(0,(expected_production[[#This Row],[Date]]-expected_production[[#This Row],[Commissioned Date]])/365.25),"")</f>
        <v>0</v>
      </c>
      <c r="F1345" s="49">
        <f>IF(expected_production[[#This Row],[Age (yrs)]]="",1,(1-DegradationRate)^expected_production[[#This Row],[Age (yrs)]])</f>
        <v>1</v>
      </c>
      <c r="G1345" s="52">
        <f>IF(expected_production[[#This Row],[Base Expected (kWh)]]="","",expected_production[[#This Row],[Base Expected (kWh)]]*expected_production[[#This Row],[Degradation Factor]])</f>
        <v>46653.3</v>
      </c>
    </row>
    <row r="1346" spans="1:7" ht="15" hidden="1" customHeight="1" x14ac:dyDescent="0.3">
      <c r="A1346" t="s">
        <v>220</v>
      </c>
      <c r="B1346" s="2">
        <v>45627</v>
      </c>
      <c r="C1346" s="52">
        <v>47656.800000000003</v>
      </c>
      <c r="D1346" s="48">
        <f>_xlfn.XLOOKUP(expected_production[[#This Row],[Site Name]],Table1[[Site Name ]],Table1[Commisioned Date],"")</f>
        <v>45924</v>
      </c>
      <c r="E1346" s="47">
        <f>IF(ISNUMBER(expected_production[[#This Row],[Commissioned Date]]),MAX(0,(expected_production[[#This Row],[Date]]-expected_production[[#This Row],[Commissioned Date]])/365.25),"")</f>
        <v>0</v>
      </c>
      <c r="F1346" s="49">
        <f>IF(expected_production[[#This Row],[Age (yrs)]]="",1,(1-DegradationRate)^expected_production[[#This Row],[Age (yrs)]])</f>
        <v>1</v>
      </c>
      <c r="G1346" s="52">
        <f>IF(expected_production[[#This Row],[Base Expected (kWh)]]="","",expected_production[[#This Row],[Base Expected (kWh)]]*expected_production[[#This Row],[Degradation Factor]])</f>
        <v>47656.800000000003</v>
      </c>
    </row>
    <row r="1347" spans="1:7" ht="15" hidden="1" customHeight="1" x14ac:dyDescent="0.3">
      <c r="A1347" t="s">
        <v>220</v>
      </c>
      <c r="B1347" s="2">
        <v>45658</v>
      </c>
      <c r="C1347" s="52">
        <v>46872</v>
      </c>
      <c r="D1347" s="48">
        <f>_xlfn.XLOOKUP(expected_production[[#This Row],[Site Name]],Table1[[Site Name ]],Table1[Commisioned Date],"")</f>
        <v>45924</v>
      </c>
      <c r="E1347" s="47">
        <f>IF(ISNUMBER(expected_production[[#This Row],[Commissioned Date]]),MAX(0,(expected_production[[#This Row],[Date]]-expected_production[[#This Row],[Commissioned Date]])/365.25),"")</f>
        <v>0</v>
      </c>
      <c r="F1347" s="49">
        <f>IF(expected_production[[#This Row],[Age (yrs)]]="",1,(1-DegradationRate)^expected_production[[#This Row],[Age (yrs)]])</f>
        <v>1</v>
      </c>
      <c r="G1347" s="52">
        <f>IF(expected_production[[#This Row],[Base Expected (kWh)]]="","",expected_production[[#This Row],[Base Expected (kWh)]]*expected_production[[#This Row],[Degradation Factor]])</f>
        <v>46872</v>
      </c>
    </row>
    <row r="1348" spans="1:7" ht="15" hidden="1" customHeight="1" x14ac:dyDescent="0.3">
      <c r="A1348" t="s">
        <v>220</v>
      </c>
      <c r="B1348" s="2">
        <v>45689</v>
      </c>
      <c r="C1348" s="52">
        <v>40989.599999999999</v>
      </c>
      <c r="D1348" s="48">
        <f>_xlfn.XLOOKUP(expected_production[[#This Row],[Site Name]],Table1[[Site Name ]],Table1[Commisioned Date],"")</f>
        <v>45924</v>
      </c>
      <c r="E1348" s="47">
        <f>IF(ISNUMBER(expected_production[[#This Row],[Commissioned Date]]),MAX(0,(expected_production[[#This Row],[Date]]-expected_production[[#This Row],[Commissioned Date]])/365.25),"")</f>
        <v>0</v>
      </c>
      <c r="F1348" s="49">
        <f>IF(expected_production[[#This Row],[Age (yrs)]]="",1,(1-DegradationRate)^expected_production[[#This Row],[Age (yrs)]])</f>
        <v>1</v>
      </c>
      <c r="G1348" s="52">
        <f>IF(expected_production[[#This Row],[Base Expected (kWh)]]="","",expected_production[[#This Row],[Base Expected (kWh)]]*expected_production[[#This Row],[Degradation Factor]])</f>
        <v>40989.599999999999</v>
      </c>
    </row>
    <row r="1349" spans="1:7" ht="15" hidden="1" customHeight="1" x14ac:dyDescent="0.3">
      <c r="A1349" t="s">
        <v>220</v>
      </c>
      <c r="B1349" s="2">
        <v>45717</v>
      </c>
      <c r="C1349" s="52">
        <v>39989.699999999997</v>
      </c>
      <c r="D1349" s="48">
        <f>_xlfn.XLOOKUP(expected_production[[#This Row],[Site Name]],Table1[[Site Name ]],Table1[Commisioned Date],"")</f>
        <v>45924</v>
      </c>
      <c r="E1349" s="47">
        <f>IF(ISNUMBER(expected_production[[#This Row],[Commissioned Date]]),MAX(0,(expected_production[[#This Row],[Date]]-expected_production[[#This Row],[Commissioned Date]])/365.25),"")</f>
        <v>0</v>
      </c>
      <c r="F1349" s="49">
        <f>IF(expected_production[[#This Row],[Age (yrs)]]="",1,(1-DegradationRate)^expected_production[[#This Row],[Age (yrs)]])</f>
        <v>1</v>
      </c>
      <c r="G1349" s="52">
        <f>IF(expected_production[[#This Row],[Base Expected (kWh)]]="","",expected_production[[#This Row],[Base Expected (kWh)]]*expected_production[[#This Row],[Degradation Factor]])</f>
        <v>39989.699999999997</v>
      </c>
    </row>
    <row r="1350" spans="1:7" ht="15" hidden="1" customHeight="1" x14ac:dyDescent="0.3">
      <c r="A1350" t="s">
        <v>220</v>
      </c>
      <c r="B1350" s="2">
        <v>45748</v>
      </c>
      <c r="C1350" s="52">
        <v>34783.199999999997</v>
      </c>
      <c r="D1350" s="48">
        <f>_xlfn.XLOOKUP(expected_production[[#This Row],[Site Name]],Table1[[Site Name ]],Table1[Commisioned Date],"")</f>
        <v>45924</v>
      </c>
      <c r="E1350" s="47">
        <f>IF(ISNUMBER(expected_production[[#This Row],[Commissioned Date]]),MAX(0,(expected_production[[#This Row],[Date]]-expected_production[[#This Row],[Commissioned Date]])/365.25),"")</f>
        <v>0</v>
      </c>
      <c r="F1350" s="49">
        <f>IF(expected_production[[#This Row],[Age (yrs)]]="",1,(1-DegradationRate)^expected_production[[#This Row],[Age (yrs)]])</f>
        <v>1</v>
      </c>
      <c r="G1350" s="52">
        <f>IF(expected_production[[#This Row],[Base Expected (kWh)]]="","",expected_production[[#This Row],[Base Expected (kWh)]]*expected_production[[#This Row],[Degradation Factor]])</f>
        <v>34783.199999999997</v>
      </c>
    </row>
    <row r="1351" spans="1:7" ht="15" hidden="1" customHeight="1" x14ac:dyDescent="0.3">
      <c r="A1351" t="s">
        <v>220</v>
      </c>
      <c r="B1351" s="2">
        <v>45778</v>
      </c>
      <c r="C1351" s="52">
        <v>32139</v>
      </c>
      <c r="D1351" s="48">
        <f>_xlfn.XLOOKUP(expected_production[[#This Row],[Site Name]],Table1[[Site Name ]],Table1[Commisioned Date],"")</f>
        <v>45924</v>
      </c>
      <c r="E1351" s="47">
        <f>IF(ISNUMBER(expected_production[[#This Row],[Commissioned Date]]),MAX(0,(expected_production[[#This Row],[Date]]-expected_production[[#This Row],[Commissioned Date]])/365.25),"")</f>
        <v>0</v>
      </c>
      <c r="F1351" s="49">
        <f>IF(expected_production[[#This Row],[Age (yrs)]]="",1,(1-DegradationRate)^expected_production[[#This Row],[Age (yrs)]])</f>
        <v>1</v>
      </c>
      <c r="G1351" s="52">
        <f>IF(expected_production[[#This Row],[Base Expected (kWh)]]="","",expected_production[[#This Row],[Base Expected (kWh)]]*expected_production[[#This Row],[Degradation Factor]])</f>
        <v>32139</v>
      </c>
    </row>
    <row r="1352" spans="1:7" ht="15" hidden="1" customHeight="1" x14ac:dyDescent="0.3">
      <c r="A1352" t="s">
        <v>220</v>
      </c>
      <c r="B1352" s="2">
        <v>45809</v>
      </c>
      <c r="C1352" s="52">
        <v>28357.200000000001</v>
      </c>
      <c r="D1352" s="48">
        <f>_xlfn.XLOOKUP(expected_production[[#This Row],[Site Name]],Table1[[Site Name ]],Table1[Commisioned Date],"")</f>
        <v>45924</v>
      </c>
      <c r="E1352" s="47">
        <f>IF(ISNUMBER(expected_production[[#This Row],[Commissioned Date]]),MAX(0,(expected_production[[#This Row],[Date]]-expected_production[[#This Row],[Commissioned Date]])/365.25),"")</f>
        <v>0</v>
      </c>
      <c r="F1352" s="49">
        <f>IF(expected_production[[#This Row],[Age (yrs)]]="",1,(1-DegradationRate)^expected_production[[#This Row],[Age (yrs)]])</f>
        <v>1</v>
      </c>
      <c r="G1352" s="52">
        <f>IF(expected_production[[#This Row],[Base Expected (kWh)]]="","",expected_production[[#This Row],[Base Expected (kWh)]]*expected_production[[#This Row],[Degradation Factor]])</f>
        <v>28357.200000000001</v>
      </c>
    </row>
    <row r="1353" spans="1:7" ht="15" hidden="1" customHeight="1" x14ac:dyDescent="0.3">
      <c r="A1353" t="s">
        <v>220</v>
      </c>
      <c r="B1353" s="2">
        <v>45839</v>
      </c>
      <c r="C1353" s="52">
        <v>31229.1</v>
      </c>
      <c r="D1353" s="48">
        <f>_xlfn.XLOOKUP(expected_production[[#This Row],[Site Name]],Table1[[Site Name ]],Table1[Commisioned Date],"")</f>
        <v>45924</v>
      </c>
      <c r="E1353" s="47">
        <f>IF(ISNUMBER(expected_production[[#This Row],[Commissioned Date]]),MAX(0,(expected_production[[#This Row],[Date]]-expected_production[[#This Row],[Commissioned Date]])/365.25),"")</f>
        <v>0</v>
      </c>
      <c r="F1353" s="49">
        <f>IF(expected_production[[#This Row],[Age (yrs)]]="",1,(1-DegradationRate)^expected_production[[#This Row],[Age (yrs)]])</f>
        <v>1</v>
      </c>
      <c r="G1353" s="52">
        <f>IF(expected_production[[#This Row],[Base Expected (kWh)]]="","",expected_production[[#This Row],[Base Expected (kWh)]]*expected_production[[#This Row],[Degradation Factor]])</f>
        <v>31229.1</v>
      </c>
    </row>
    <row r="1354" spans="1:7" ht="15" hidden="1" customHeight="1" x14ac:dyDescent="0.3">
      <c r="A1354" t="s">
        <v>220</v>
      </c>
      <c r="B1354" s="2">
        <v>45870</v>
      </c>
      <c r="C1354" s="52">
        <v>36815.4</v>
      </c>
      <c r="D1354" s="48">
        <f>_xlfn.XLOOKUP(expected_production[[#This Row],[Site Name]],Table1[[Site Name ]],Table1[Commisioned Date],"")</f>
        <v>45924</v>
      </c>
      <c r="E1354" s="47">
        <f>IF(ISNUMBER(expected_production[[#This Row],[Commissioned Date]]),MAX(0,(expected_production[[#This Row],[Date]]-expected_production[[#This Row],[Commissioned Date]])/365.25),"")</f>
        <v>0</v>
      </c>
      <c r="F1354" s="49">
        <f>IF(expected_production[[#This Row],[Age (yrs)]]="",1,(1-DegradationRate)^expected_production[[#This Row],[Age (yrs)]])</f>
        <v>1</v>
      </c>
      <c r="G1354" s="52">
        <f>IF(expected_production[[#This Row],[Base Expected (kWh)]]="","",expected_production[[#This Row],[Base Expected (kWh)]]*expected_production[[#This Row],[Degradation Factor]])</f>
        <v>36815.4</v>
      </c>
    </row>
    <row r="1355" spans="1:7" ht="15" hidden="1" customHeight="1" x14ac:dyDescent="0.3">
      <c r="A1355" t="s">
        <v>220</v>
      </c>
      <c r="B1355" s="2">
        <v>45901</v>
      </c>
      <c r="C1355" s="52">
        <v>40778.1</v>
      </c>
      <c r="D1355" s="48">
        <f>_xlfn.XLOOKUP(expected_production[[#This Row],[Site Name]],Table1[[Site Name ]],Table1[Commisioned Date],"")</f>
        <v>45924</v>
      </c>
      <c r="E1355" s="47">
        <f>IF(ISNUMBER(expected_production[[#This Row],[Commissioned Date]]),MAX(0,(expected_production[[#This Row],[Date]]-expected_production[[#This Row],[Commissioned Date]])/365.25),"")</f>
        <v>0</v>
      </c>
      <c r="F1355" s="49">
        <f>IF(expected_production[[#This Row],[Age (yrs)]]="",1,(1-DegradationRate)^expected_production[[#This Row],[Age (yrs)]])</f>
        <v>1</v>
      </c>
      <c r="G1355" s="52">
        <f>IF(expected_production[[#This Row],[Base Expected (kWh)]]="","",expected_production[[#This Row],[Base Expected (kWh)]]*expected_production[[#This Row],[Degradation Factor]])</f>
        <v>40778.1</v>
      </c>
    </row>
    <row r="1356" spans="1:7" ht="15" hidden="1" customHeight="1" x14ac:dyDescent="0.3">
      <c r="A1356" t="s">
        <v>220</v>
      </c>
      <c r="B1356" s="2">
        <v>45931</v>
      </c>
      <c r="C1356" s="52">
        <v>46212.3</v>
      </c>
      <c r="D1356" s="48">
        <f>_xlfn.XLOOKUP(expected_production[[#This Row],[Site Name]],Table1[[Site Name ]],Table1[Commisioned Date],"")</f>
        <v>45924</v>
      </c>
      <c r="E1356" s="47">
        <f>IF(ISNUMBER(expected_production[[#This Row],[Commissioned Date]]),MAX(0,(expected_production[[#This Row],[Date]]-expected_production[[#This Row],[Commissioned Date]])/365.25),"")</f>
        <v>1.9164955509924708E-2</v>
      </c>
      <c r="F1356" s="49">
        <f>IF(expected_production[[#This Row],[Age (yrs)]]="",1,(1-DegradationRate)^expected_production[[#This Row],[Age (yrs)]])</f>
        <v>0.99986538262899027</v>
      </c>
      <c r="G1356" s="52">
        <f>IF(expected_production[[#This Row],[Base Expected (kWh)]]="","",expected_production[[#This Row],[Base Expected (kWh)]]*expected_production[[#This Row],[Degradation Factor]])</f>
        <v>46206.07902166569</v>
      </c>
    </row>
    <row r="1357" spans="1:7" ht="15" hidden="1" customHeight="1" x14ac:dyDescent="0.3">
      <c r="A1357" t="s">
        <v>220</v>
      </c>
      <c r="B1357" s="2">
        <v>45962</v>
      </c>
      <c r="C1357" s="52">
        <v>46653.3</v>
      </c>
      <c r="D1357" s="48">
        <f>_xlfn.XLOOKUP(expected_production[[#This Row],[Site Name]],Table1[[Site Name ]],Table1[Commisioned Date],"")</f>
        <v>45924</v>
      </c>
      <c r="E1357" s="47">
        <f>IF(ISNUMBER(expected_production[[#This Row],[Commissioned Date]]),MAX(0,(expected_production[[#This Row],[Date]]-expected_production[[#This Row],[Commissioned Date]])/365.25),"")</f>
        <v>0.10403832991101986</v>
      </c>
      <c r="F1357" s="49">
        <f>IF(expected_production[[#This Row],[Age (yrs)]]="",1,(1-DegradationRate)^expected_production[[#This Row],[Age (yrs)]])</f>
        <v>0.9992694377843091</v>
      </c>
      <c r="G1357" s="52">
        <f>IF(expected_production[[#This Row],[Base Expected (kWh)]]="","",expected_production[[#This Row],[Base Expected (kWh)]]*expected_production[[#This Row],[Degradation Factor]])</f>
        <v>46619.216861782712</v>
      </c>
    </row>
    <row r="1358" spans="1:7" ht="15" hidden="1" customHeight="1" x14ac:dyDescent="0.3">
      <c r="A1358" t="s">
        <v>220</v>
      </c>
      <c r="B1358" s="2">
        <v>45992</v>
      </c>
      <c r="C1358" s="52">
        <v>47656.800000000003</v>
      </c>
      <c r="D1358" s="48">
        <f>_xlfn.XLOOKUP(expected_production[[#This Row],[Site Name]],Table1[[Site Name ]],Table1[Commisioned Date],"")</f>
        <v>45924</v>
      </c>
      <c r="E1358" s="47">
        <f>IF(ISNUMBER(expected_production[[#This Row],[Commissioned Date]]),MAX(0,(expected_production[[#This Row],[Date]]-expected_production[[#This Row],[Commissioned Date]])/365.25),"")</f>
        <v>0.18617385352498289</v>
      </c>
      <c r="F1358" s="49">
        <f>IF(expected_production[[#This Row],[Age (yrs)]]="",1,(1-DegradationRate)^expected_production[[#This Row],[Age (yrs)]])</f>
        <v>0.99869305516492024</v>
      </c>
      <c r="G1358" s="52">
        <f>IF(expected_production[[#This Row],[Base Expected (kWh)]]="","",expected_production[[#This Row],[Base Expected (kWh)]]*expected_production[[#This Row],[Degradation Factor]])</f>
        <v>47594.515191383573</v>
      </c>
    </row>
    <row r="1359" spans="1:7" ht="15" hidden="1" customHeight="1" x14ac:dyDescent="0.3">
      <c r="A1359" t="s">
        <v>220</v>
      </c>
      <c r="B1359" s="2">
        <v>46023</v>
      </c>
      <c r="C1359" s="52">
        <v>46872</v>
      </c>
      <c r="D1359" s="48">
        <f>_xlfn.XLOOKUP(expected_production[[#This Row],[Site Name]],Table1[[Site Name ]],Table1[Commisioned Date],"")</f>
        <v>45924</v>
      </c>
      <c r="E1359" s="47">
        <f>IF(ISNUMBER(expected_production[[#This Row],[Commissioned Date]]),MAX(0,(expected_production[[#This Row],[Date]]-expected_production[[#This Row],[Commissioned Date]])/365.25),"")</f>
        <v>0.27104722792607805</v>
      </c>
      <c r="F1359" s="49">
        <f>IF(expected_production[[#This Row],[Age (yrs)]]="",1,(1-DegradationRate)^expected_production[[#This Row],[Age (yrs)]])</f>
        <v>0.99809780905680967</v>
      </c>
      <c r="G1359" s="52">
        <f>IF(expected_production[[#This Row],[Base Expected (kWh)]]="","",expected_production[[#This Row],[Base Expected (kWh)]]*expected_production[[#This Row],[Degradation Factor]])</f>
        <v>46782.840506110784</v>
      </c>
    </row>
    <row r="1360" spans="1:7" ht="15" hidden="1" customHeight="1" x14ac:dyDescent="0.3">
      <c r="A1360" t="s">
        <v>220</v>
      </c>
      <c r="B1360" s="2">
        <v>46054</v>
      </c>
      <c r="C1360" s="52">
        <v>40989.599999999999</v>
      </c>
      <c r="D1360" s="48">
        <f>_xlfn.XLOOKUP(expected_production[[#This Row],[Site Name]],Table1[[Site Name ]],Table1[Commisioned Date],"")</f>
        <v>45924</v>
      </c>
      <c r="E1360" s="47">
        <f>IF(ISNUMBER(expected_production[[#This Row],[Commissioned Date]]),MAX(0,(expected_production[[#This Row],[Date]]-expected_production[[#This Row],[Commissioned Date]])/365.25),"")</f>
        <v>0.35592060232717315</v>
      </c>
      <c r="F1360" s="49">
        <f>IF(expected_production[[#This Row],[Age (yrs)]]="",1,(1-DegradationRate)^expected_production[[#This Row],[Age (yrs)]])</f>
        <v>0.9975029177303083</v>
      </c>
      <c r="G1360" s="52">
        <f>IF(expected_production[[#This Row],[Base Expected (kWh)]]="","",expected_production[[#This Row],[Base Expected (kWh)]]*expected_production[[#This Row],[Degradation Factor]])</f>
        <v>40887.245596598244</v>
      </c>
    </row>
    <row r="1361" spans="1:7" ht="15" hidden="1" customHeight="1" x14ac:dyDescent="0.3">
      <c r="A1361" t="s">
        <v>220</v>
      </c>
      <c r="B1361" s="2">
        <v>46082</v>
      </c>
      <c r="C1361" s="52">
        <v>39989.699999999997</v>
      </c>
      <c r="D1361" s="48">
        <f>_xlfn.XLOOKUP(expected_production[[#This Row],[Site Name]],Table1[[Site Name ]],Table1[Commisioned Date],"")</f>
        <v>45924</v>
      </c>
      <c r="E1361" s="47">
        <f>IF(ISNUMBER(expected_production[[#This Row],[Commissioned Date]]),MAX(0,(expected_production[[#This Row],[Date]]-expected_production[[#This Row],[Commissioned Date]])/365.25),"")</f>
        <v>0.432580424366872</v>
      </c>
      <c r="F1361" s="49">
        <f>IF(expected_production[[#This Row],[Age (yrs)]]="",1,(1-DegradationRate)^expected_production[[#This Row],[Age (yrs)]])</f>
        <v>0.9969659012986466</v>
      </c>
      <c r="G1361" s="52">
        <f>IF(expected_production[[#This Row],[Base Expected (kWh)]]="","",expected_production[[#This Row],[Base Expected (kWh)]]*expected_production[[#This Row],[Degradation Factor]])</f>
        <v>39868.367303162486</v>
      </c>
    </row>
    <row r="1362" spans="1:7" ht="15" hidden="1" customHeight="1" x14ac:dyDescent="0.3">
      <c r="A1362" t="s">
        <v>220</v>
      </c>
      <c r="B1362" s="2">
        <v>46113</v>
      </c>
      <c r="C1362" s="52">
        <v>34783.199999999997</v>
      </c>
      <c r="D1362" s="48">
        <f>_xlfn.XLOOKUP(expected_production[[#This Row],[Site Name]],Table1[[Site Name ]],Table1[Commisioned Date],"")</f>
        <v>45924</v>
      </c>
      <c r="E1362" s="47">
        <f>IF(ISNUMBER(expected_production[[#This Row],[Commissioned Date]]),MAX(0,(expected_production[[#This Row],[Date]]-expected_production[[#This Row],[Commissioned Date]])/365.25),"")</f>
        <v>0.51745379876796715</v>
      </c>
      <c r="F1362" s="49">
        <f>IF(expected_production[[#This Row],[Age (yrs)]]="",1,(1-DegradationRate)^expected_production[[#This Row],[Age (yrs)]])</f>
        <v>0.99637168461755732</v>
      </c>
      <c r="G1362" s="52">
        <f>IF(expected_production[[#This Row],[Base Expected (kWh)]]="","",expected_production[[#This Row],[Base Expected (kWh)]]*expected_production[[#This Row],[Degradation Factor]])</f>
        <v>34656.995580389419</v>
      </c>
    </row>
    <row r="1363" spans="1:7" ht="15" hidden="1" customHeight="1" x14ac:dyDescent="0.3">
      <c r="A1363" t="s">
        <v>220</v>
      </c>
      <c r="B1363" s="2">
        <v>46143</v>
      </c>
      <c r="C1363" s="52">
        <v>32139</v>
      </c>
      <c r="D1363" s="48">
        <f>_xlfn.XLOOKUP(expected_production[[#This Row],[Site Name]],Table1[[Site Name ]],Table1[Commisioned Date],"")</f>
        <v>45924</v>
      </c>
      <c r="E1363" s="47">
        <f>IF(ISNUMBER(expected_production[[#This Row],[Commissioned Date]]),MAX(0,(expected_production[[#This Row],[Date]]-expected_production[[#This Row],[Commissioned Date]])/365.25),"")</f>
        <v>0.59958932238193019</v>
      </c>
      <c r="F1363" s="49">
        <f>IF(expected_production[[#This Row],[Age (yrs)]]="",1,(1-DegradationRate)^expected_production[[#This Row],[Age (yrs)]])</f>
        <v>0.99579697343381679</v>
      </c>
      <c r="G1363" s="52">
        <f>IF(expected_production[[#This Row],[Base Expected (kWh)]]="","",expected_production[[#This Row],[Base Expected (kWh)]]*expected_production[[#This Row],[Degradation Factor]])</f>
        <v>32003.918929189436</v>
      </c>
    </row>
    <row r="1364" spans="1:7" ht="15" hidden="1" customHeight="1" x14ac:dyDescent="0.3">
      <c r="A1364" t="s">
        <v>220</v>
      </c>
      <c r="B1364" s="2">
        <v>46174</v>
      </c>
      <c r="C1364" s="52">
        <v>28357.200000000001</v>
      </c>
      <c r="D1364" s="48">
        <f>_xlfn.XLOOKUP(expected_production[[#This Row],[Site Name]],Table1[[Site Name ]],Table1[Commisioned Date],"")</f>
        <v>45924</v>
      </c>
      <c r="E1364" s="47">
        <f>IF(ISNUMBER(expected_production[[#This Row],[Commissioned Date]]),MAX(0,(expected_production[[#This Row],[Date]]-expected_production[[#This Row],[Commissioned Date]])/365.25),"")</f>
        <v>0.68446269678302529</v>
      </c>
      <c r="F1364" s="49">
        <f>IF(expected_production[[#This Row],[Age (yrs)]]="",1,(1-DegradationRate)^expected_production[[#This Row],[Age (yrs)]])</f>
        <v>0.99520345346305172</v>
      </c>
      <c r="G1364" s="52">
        <f>IF(expected_production[[#This Row],[Base Expected (kWh)]]="","",expected_production[[#This Row],[Base Expected (kWh)]]*expected_production[[#This Row],[Degradation Factor]])</f>
        <v>28221.183370542451</v>
      </c>
    </row>
    <row r="1365" spans="1:7" ht="15" hidden="1" customHeight="1" x14ac:dyDescent="0.3">
      <c r="A1365" t="s">
        <v>220</v>
      </c>
      <c r="B1365" s="2">
        <v>46204</v>
      </c>
      <c r="C1365" s="52">
        <v>31229.1</v>
      </c>
      <c r="D1365" s="48">
        <f>_xlfn.XLOOKUP(expected_production[[#This Row],[Site Name]],Table1[[Site Name ]],Table1[Commisioned Date],"")</f>
        <v>45924</v>
      </c>
      <c r="E1365" s="47">
        <f>IF(ISNUMBER(expected_production[[#This Row],[Commissioned Date]]),MAX(0,(expected_production[[#This Row],[Date]]-expected_production[[#This Row],[Commissioned Date]])/365.25),"")</f>
        <v>0.76659822039698833</v>
      </c>
      <c r="F1365" s="49">
        <f>IF(expected_production[[#This Row],[Age (yrs)]]="",1,(1-DegradationRate)^expected_production[[#This Row],[Age (yrs)]])</f>
        <v>0.99462941611972633</v>
      </c>
      <c r="G1365" s="52">
        <f>IF(expected_production[[#This Row],[Base Expected (kWh)]]="","",expected_production[[#This Row],[Base Expected (kWh)]]*expected_production[[#This Row],[Degradation Factor]])</f>
        <v>31061.381498944545</v>
      </c>
    </row>
    <row r="1366" spans="1:7" ht="15" hidden="1" customHeight="1" x14ac:dyDescent="0.3">
      <c r="A1366" t="s">
        <v>220</v>
      </c>
      <c r="B1366" s="2">
        <v>46235</v>
      </c>
      <c r="C1366" s="52">
        <v>36815.4</v>
      </c>
      <c r="D1366" s="48">
        <f>_xlfn.XLOOKUP(expected_production[[#This Row],[Site Name]],Table1[[Site Name ]],Table1[Commisioned Date],"")</f>
        <v>45924</v>
      </c>
      <c r="E1366" s="47">
        <f>IF(ISNUMBER(expected_production[[#This Row],[Commissioned Date]]),MAX(0,(expected_production[[#This Row],[Date]]-expected_production[[#This Row],[Commissioned Date]])/365.25),"")</f>
        <v>0.85147159479808354</v>
      </c>
      <c r="F1366" s="49">
        <f>IF(expected_production[[#This Row],[Age (yrs)]]="",1,(1-DegradationRate)^expected_production[[#This Row],[Age (yrs)]])</f>
        <v>0.9940365920424028</v>
      </c>
      <c r="G1366" s="52">
        <f>IF(expected_production[[#This Row],[Base Expected (kWh)]]="","",expected_production[[#This Row],[Base Expected (kWh)]]*expected_production[[#This Row],[Degradation Factor]])</f>
        <v>36595.854750677878</v>
      </c>
    </row>
    <row r="1367" spans="1:7" ht="15" hidden="1" customHeight="1" x14ac:dyDescent="0.3">
      <c r="A1367" t="s">
        <v>220</v>
      </c>
      <c r="B1367" s="2">
        <v>46266</v>
      </c>
      <c r="C1367" s="52">
        <v>40778.1</v>
      </c>
      <c r="D1367" s="48">
        <f>_xlfn.XLOOKUP(expected_production[[#This Row],[Site Name]],Table1[[Site Name ]],Table1[Commisioned Date],"")</f>
        <v>45924</v>
      </c>
      <c r="E1367" s="47">
        <f>IF(ISNUMBER(expected_production[[#This Row],[Commissioned Date]]),MAX(0,(expected_production[[#This Row],[Date]]-expected_production[[#This Row],[Commissioned Date]])/365.25),"")</f>
        <v>0.93634496919917864</v>
      </c>
      <c r="F1367" s="49">
        <f>IF(expected_production[[#This Row],[Age (yrs)]]="",1,(1-DegradationRate)^expected_production[[#This Row],[Age (yrs)]])</f>
        <v>0.99344412130309745</v>
      </c>
      <c r="G1367" s="52">
        <f>IF(expected_production[[#This Row],[Base Expected (kWh)]]="","",expected_production[[#This Row],[Base Expected (kWh)]]*expected_production[[#This Row],[Degradation Factor]])</f>
        <v>40510.76372290984</v>
      </c>
    </row>
    <row r="1368" spans="1:7" ht="15" hidden="1" customHeight="1" x14ac:dyDescent="0.3">
      <c r="A1368" t="s">
        <v>220</v>
      </c>
      <c r="B1368" s="2">
        <v>46296</v>
      </c>
      <c r="C1368" s="52">
        <v>46212.3</v>
      </c>
      <c r="D1368" s="48">
        <f>_xlfn.XLOOKUP(expected_production[[#This Row],[Site Name]],Table1[[Site Name ]],Table1[Commisioned Date],"")</f>
        <v>45924</v>
      </c>
      <c r="E1368" s="47">
        <f>IF(ISNUMBER(expected_production[[#This Row],[Commissioned Date]]),MAX(0,(expected_production[[#This Row],[Date]]-expected_production[[#This Row],[Commissioned Date]])/365.25),"")</f>
        <v>1.0184804928131417</v>
      </c>
      <c r="F1368" s="49">
        <f>IF(expected_production[[#This Row],[Age (yrs)]]="",1,(1-DegradationRate)^expected_production[[#This Row],[Age (yrs)]])</f>
        <v>0.99287109874961788</v>
      </c>
      <c r="G1368" s="52">
        <f>IF(expected_production[[#This Row],[Base Expected (kWh)]]="","",expected_production[[#This Row],[Base Expected (kWh)]]*expected_production[[#This Row],[Degradation Factor]])</f>
        <v>45882.857076746972</v>
      </c>
    </row>
    <row r="1369" spans="1:7" ht="15" hidden="1" customHeight="1" x14ac:dyDescent="0.3">
      <c r="A1369" t="s">
        <v>220</v>
      </c>
      <c r="B1369" s="2">
        <v>46327</v>
      </c>
      <c r="C1369" s="52">
        <v>46653.3</v>
      </c>
      <c r="D1369" s="48">
        <f>_xlfn.XLOOKUP(expected_production[[#This Row],[Site Name]],Table1[[Site Name ]],Table1[Commisioned Date],"")</f>
        <v>45924</v>
      </c>
      <c r="E1369" s="47">
        <f>IF(ISNUMBER(expected_production[[#This Row],[Commissioned Date]]),MAX(0,(expected_production[[#This Row],[Date]]-expected_production[[#This Row],[Commissioned Date]])/365.25),"")</f>
        <v>1.1033538672142369</v>
      </c>
      <c r="F1369" s="49">
        <f>IF(expected_production[[#This Row],[Age (yrs)]]="",1,(1-DegradationRate)^expected_production[[#This Row],[Age (yrs)]])</f>
        <v>0.99227932267354557</v>
      </c>
      <c r="G1369" s="52">
        <f>IF(expected_production[[#This Row],[Base Expected (kWh)]]="","",expected_production[[#This Row],[Base Expected (kWh)]]*expected_production[[#This Row],[Degradation Factor]])</f>
        <v>46293.104924485728</v>
      </c>
    </row>
    <row r="1370" spans="1:7" ht="15" hidden="1" customHeight="1" x14ac:dyDescent="0.3">
      <c r="A1370" t="s">
        <v>220</v>
      </c>
      <c r="B1370" s="2">
        <v>46357</v>
      </c>
      <c r="C1370" s="52">
        <v>47656.800000000003</v>
      </c>
      <c r="D1370" s="48">
        <f>_xlfn.XLOOKUP(expected_production[[#This Row],[Site Name]],Table1[[Site Name ]],Table1[Commisioned Date],"")</f>
        <v>45924</v>
      </c>
      <c r="E1370" s="47">
        <f>IF(ISNUMBER(expected_production[[#This Row],[Commissioned Date]]),MAX(0,(expected_production[[#This Row],[Date]]-expected_production[[#This Row],[Commissioned Date]])/365.25),"")</f>
        <v>1.1854893908281998</v>
      </c>
      <c r="F1370" s="49">
        <f>IF(expected_production[[#This Row],[Age (yrs)]]="",1,(1-DegradationRate)^expected_production[[#This Row],[Age (yrs)]])</f>
        <v>0.99170697198058722</v>
      </c>
      <c r="G1370" s="52">
        <f>IF(expected_production[[#This Row],[Base Expected (kWh)]]="","",expected_production[[#This Row],[Base Expected (kWh)]]*expected_production[[#This Row],[Degradation Factor]])</f>
        <v>47261.58082228445</v>
      </c>
    </row>
    <row r="1371" spans="1:7" ht="15" hidden="1" customHeight="1" x14ac:dyDescent="0.3">
      <c r="A1371" t="s">
        <v>222</v>
      </c>
      <c r="B1371" s="2">
        <v>45292</v>
      </c>
      <c r="C1371" s="52">
        <v>12369.6</v>
      </c>
      <c r="D1371" s="48">
        <f>_xlfn.XLOOKUP(expected_production[[#This Row],[Site Name]],Table1[[Site Name ]],Table1[Commisioned Date],"")</f>
        <v>45924</v>
      </c>
      <c r="E1371" s="47">
        <f>IF(ISNUMBER(expected_production[[#This Row],[Commissioned Date]]),MAX(0,(expected_production[[#This Row],[Date]]-expected_production[[#This Row],[Commissioned Date]])/365.25),"")</f>
        <v>0</v>
      </c>
      <c r="F1371" s="49">
        <f>IF(expected_production[[#This Row],[Age (yrs)]]="",1,(1-DegradationRate)^expected_production[[#This Row],[Age (yrs)]])</f>
        <v>1</v>
      </c>
      <c r="G1371" s="52">
        <f>IF(expected_production[[#This Row],[Base Expected (kWh)]]="","",expected_production[[#This Row],[Base Expected (kWh)]]*expected_production[[#This Row],[Degradation Factor]])</f>
        <v>12369.6</v>
      </c>
    </row>
    <row r="1372" spans="1:7" ht="15" hidden="1" customHeight="1" x14ac:dyDescent="0.3">
      <c r="A1372" t="s">
        <v>222</v>
      </c>
      <c r="B1372" s="2">
        <v>45323</v>
      </c>
      <c r="C1372" s="52">
        <v>10801.8</v>
      </c>
      <c r="D1372" s="48">
        <f>_xlfn.XLOOKUP(expected_production[[#This Row],[Site Name]],Table1[[Site Name ]],Table1[Commisioned Date],"")</f>
        <v>45924</v>
      </c>
      <c r="E1372" s="47">
        <f>IF(ISNUMBER(expected_production[[#This Row],[Commissioned Date]]),MAX(0,(expected_production[[#This Row],[Date]]-expected_production[[#This Row],[Commissioned Date]])/365.25),"")</f>
        <v>0</v>
      </c>
      <c r="F1372" s="49">
        <f>IF(expected_production[[#This Row],[Age (yrs)]]="",1,(1-DegradationRate)^expected_production[[#This Row],[Age (yrs)]])</f>
        <v>1</v>
      </c>
      <c r="G1372" s="52">
        <f>IF(expected_production[[#This Row],[Base Expected (kWh)]]="","",expected_production[[#This Row],[Base Expected (kWh)]]*expected_production[[#This Row],[Degradation Factor]])</f>
        <v>10801.8</v>
      </c>
    </row>
    <row r="1373" spans="1:7" ht="15" hidden="1" customHeight="1" x14ac:dyDescent="0.3">
      <c r="A1373" t="s">
        <v>222</v>
      </c>
      <c r="B1373" s="2">
        <v>45352</v>
      </c>
      <c r="C1373" s="52">
        <v>10537.2</v>
      </c>
      <c r="D1373" s="48">
        <f>_xlfn.XLOOKUP(expected_production[[#This Row],[Site Name]],Table1[[Site Name ]],Table1[Commisioned Date],"")</f>
        <v>45924</v>
      </c>
      <c r="E1373" s="47">
        <f>IF(ISNUMBER(expected_production[[#This Row],[Commissioned Date]]),MAX(0,(expected_production[[#This Row],[Date]]-expected_production[[#This Row],[Commissioned Date]])/365.25),"")</f>
        <v>0</v>
      </c>
      <c r="F1373" s="49">
        <f>IF(expected_production[[#This Row],[Age (yrs)]]="",1,(1-DegradationRate)^expected_production[[#This Row],[Age (yrs)]])</f>
        <v>1</v>
      </c>
      <c r="G1373" s="52">
        <f>IF(expected_production[[#This Row],[Base Expected (kWh)]]="","",expected_production[[#This Row],[Base Expected (kWh)]]*expected_production[[#This Row],[Degradation Factor]])</f>
        <v>10537.2</v>
      </c>
    </row>
    <row r="1374" spans="1:7" ht="15" hidden="1" customHeight="1" x14ac:dyDescent="0.3">
      <c r="A1374" t="s">
        <v>222</v>
      </c>
      <c r="B1374" s="2">
        <v>45383</v>
      </c>
      <c r="C1374" s="52">
        <v>9173.7000000000007</v>
      </c>
      <c r="D1374" s="48">
        <f>_xlfn.XLOOKUP(expected_production[[#This Row],[Site Name]],Table1[[Site Name ]],Table1[Commisioned Date],"")</f>
        <v>45924</v>
      </c>
      <c r="E1374" s="47">
        <f>IF(ISNUMBER(expected_production[[#This Row],[Commissioned Date]]),MAX(0,(expected_production[[#This Row],[Date]]-expected_production[[#This Row],[Commissioned Date]])/365.25),"")</f>
        <v>0</v>
      </c>
      <c r="F1374" s="49">
        <f>IF(expected_production[[#This Row],[Age (yrs)]]="",1,(1-DegradationRate)^expected_production[[#This Row],[Age (yrs)]])</f>
        <v>1</v>
      </c>
      <c r="G1374" s="52">
        <f>IF(expected_production[[#This Row],[Base Expected (kWh)]]="","",expected_production[[#This Row],[Base Expected (kWh)]]*expected_production[[#This Row],[Degradation Factor]])</f>
        <v>9173.7000000000007</v>
      </c>
    </row>
    <row r="1375" spans="1:7" ht="15" hidden="1" customHeight="1" x14ac:dyDescent="0.3">
      <c r="A1375" t="s">
        <v>222</v>
      </c>
      <c r="B1375" s="2">
        <v>45413</v>
      </c>
      <c r="C1375" s="52">
        <v>8503.2000000000007</v>
      </c>
      <c r="D1375" s="48">
        <f>_xlfn.XLOOKUP(expected_production[[#This Row],[Site Name]],Table1[[Site Name ]],Table1[Commisioned Date],"")</f>
        <v>45924</v>
      </c>
      <c r="E1375" s="47">
        <f>IF(ISNUMBER(expected_production[[#This Row],[Commissioned Date]]),MAX(0,(expected_production[[#This Row],[Date]]-expected_production[[#This Row],[Commissioned Date]])/365.25),"")</f>
        <v>0</v>
      </c>
      <c r="F1375" s="49">
        <f>IF(expected_production[[#This Row],[Age (yrs)]]="",1,(1-DegradationRate)^expected_production[[#This Row],[Age (yrs)]])</f>
        <v>1</v>
      </c>
      <c r="G1375" s="52">
        <f>IF(expected_production[[#This Row],[Base Expected (kWh)]]="","",expected_production[[#This Row],[Base Expected (kWh)]]*expected_production[[#This Row],[Degradation Factor]])</f>
        <v>8503.2000000000007</v>
      </c>
    </row>
    <row r="1376" spans="1:7" ht="15" hidden="1" customHeight="1" x14ac:dyDescent="0.3">
      <c r="A1376" t="s">
        <v>222</v>
      </c>
      <c r="B1376" s="2">
        <v>45444</v>
      </c>
      <c r="C1376" s="52">
        <v>7545.6</v>
      </c>
      <c r="D1376" s="48">
        <f>_xlfn.XLOOKUP(expected_production[[#This Row],[Site Name]],Table1[[Site Name ]],Table1[Commisioned Date],"")</f>
        <v>45924</v>
      </c>
      <c r="E1376" s="47">
        <f>IF(ISNUMBER(expected_production[[#This Row],[Commissioned Date]]),MAX(0,(expected_production[[#This Row],[Date]]-expected_production[[#This Row],[Commissioned Date]])/365.25),"")</f>
        <v>0</v>
      </c>
      <c r="F1376" s="49">
        <f>IF(expected_production[[#This Row],[Age (yrs)]]="",1,(1-DegradationRate)^expected_production[[#This Row],[Age (yrs)]])</f>
        <v>1</v>
      </c>
      <c r="G1376" s="52">
        <f>IF(expected_production[[#This Row],[Base Expected (kWh)]]="","",expected_production[[#This Row],[Base Expected (kWh)]]*expected_production[[#This Row],[Degradation Factor]])</f>
        <v>7545.6</v>
      </c>
    </row>
    <row r="1377" spans="1:7" ht="15" hidden="1" customHeight="1" x14ac:dyDescent="0.3">
      <c r="A1377" t="s">
        <v>222</v>
      </c>
      <c r="B1377" s="2">
        <v>45474</v>
      </c>
      <c r="C1377" s="52">
        <v>8307</v>
      </c>
      <c r="D1377" s="48">
        <f>_xlfn.XLOOKUP(expected_production[[#This Row],[Site Name]],Table1[[Site Name ]],Table1[Commisioned Date],"")</f>
        <v>45924</v>
      </c>
      <c r="E1377" s="47">
        <f>IF(ISNUMBER(expected_production[[#This Row],[Commissioned Date]]),MAX(0,(expected_production[[#This Row],[Date]]-expected_production[[#This Row],[Commissioned Date]])/365.25),"")</f>
        <v>0</v>
      </c>
      <c r="F1377" s="49">
        <f>IF(expected_production[[#This Row],[Age (yrs)]]="",1,(1-DegradationRate)^expected_production[[#This Row],[Age (yrs)]])</f>
        <v>1</v>
      </c>
      <c r="G1377" s="52">
        <f>IF(expected_production[[#This Row],[Base Expected (kWh)]]="","",expected_production[[#This Row],[Base Expected (kWh)]]*expected_production[[#This Row],[Degradation Factor]])</f>
        <v>8307</v>
      </c>
    </row>
    <row r="1378" spans="1:7" ht="15" hidden="1" customHeight="1" x14ac:dyDescent="0.3">
      <c r="A1378" t="s">
        <v>222</v>
      </c>
      <c r="B1378" s="2">
        <v>45505</v>
      </c>
      <c r="C1378" s="52">
        <v>9720.9</v>
      </c>
      <c r="D1378" s="48">
        <f>_xlfn.XLOOKUP(expected_production[[#This Row],[Site Name]],Table1[[Site Name ]],Table1[Commisioned Date],"")</f>
        <v>45924</v>
      </c>
      <c r="E1378" s="47">
        <f>IF(ISNUMBER(expected_production[[#This Row],[Commissioned Date]]),MAX(0,(expected_production[[#This Row],[Date]]-expected_production[[#This Row],[Commissioned Date]])/365.25),"")</f>
        <v>0</v>
      </c>
      <c r="F1378" s="49">
        <f>IF(expected_production[[#This Row],[Age (yrs)]]="",1,(1-DegradationRate)^expected_production[[#This Row],[Age (yrs)]])</f>
        <v>1</v>
      </c>
      <c r="G1378" s="52">
        <f>IF(expected_production[[#This Row],[Base Expected (kWh)]]="","",expected_production[[#This Row],[Base Expected (kWh)]]*expected_production[[#This Row],[Degradation Factor]])</f>
        <v>9720.9</v>
      </c>
    </row>
    <row r="1379" spans="1:7" ht="15" hidden="1" customHeight="1" x14ac:dyDescent="0.3">
      <c r="A1379" t="s">
        <v>222</v>
      </c>
      <c r="B1379" s="2">
        <v>45536</v>
      </c>
      <c r="C1379" s="52">
        <v>10755.9</v>
      </c>
      <c r="D1379" s="48">
        <f>_xlfn.XLOOKUP(expected_production[[#This Row],[Site Name]],Table1[[Site Name ]],Table1[Commisioned Date],"")</f>
        <v>45924</v>
      </c>
      <c r="E1379" s="47">
        <f>IF(ISNUMBER(expected_production[[#This Row],[Commissioned Date]]),MAX(0,(expected_production[[#This Row],[Date]]-expected_production[[#This Row],[Commissioned Date]])/365.25),"")</f>
        <v>0</v>
      </c>
      <c r="F1379" s="49">
        <f>IF(expected_production[[#This Row],[Age (yrs)]]="",1,(1-DegradationRate)^expected_production[[#This Row],[Age (yrs)]])</f>
        <v>1</v>
      </c>
      <c r="G1379" s="52">
        <f>IF(expected_production[[#This Row],[Base Expected (kWh)]]="","",expected_production[[#This Row],[Base Expected (kWh)]]*expected_production[[#This Row],[Degradation Factor]])</f>
        <v>10755.9</v>
      </c>
    </row>
    <row r="1380" spans="1:7" ht="15" hidden="1" customHeight="1" x14ac:dyDescent="0.3">
      <c r="A1380" t="s">
        <v>222</v>
      </c>
      <c r="B1380" s="2">
        <v>45566</v>
      </c>
      <c r="C1380" s="52">
        <v>12190.5</v>
      </c>
      <c r="D1380" s="48">
        <f>_xlfn.XLOOKUP(expected_production[[#This Row],[Site Name]],Table1[[Site Name ]],Table1[Commisioned Date],"")</f>
        <v>45924</v>
      </c>
      <c r="E1380" s="47">
        <f>IF(ISNUMBER(expected_production[[#This Row],[Commissioned Date]]),MAX(0,(expected_production[[#This Row],[Date]]-expected_production[[#This Row],[Commissioned Date]])/365.25),"")</f>
        <v>0</v>
      </c>
      <c r="F1380" s="49">
        <f>IF(expected_production[[#This Row],[Age (yrs)]]="",1,(1-DegradationRate)^expected_production[[#This Row],[Age (yrs)]])</f>
        <v>1</v>
      </c>
      <c r="G1380" s="52">
        <f>IF(expected_production[[#This Row],[Base Expected (kWh)]]="","",expected_production[[#This Row],[Base Expected (kWh)]]*expected_production[[#This Row],[Degradation Factor]])</f>
        <v>12190.5</v>
      </c>
    </row>
    <row r="1381" spans="1:7" ht="15" hidden="1" customHeight="1" x14ac:dyDescent="0.3">
      <c r="A1381" t="s">
        <v>222</v>
      </c>
      <c r="B1381" s="2">
        <v>45597</v>
      </c>
      <c r="C1381" s="52">
        <v>12263.4</v>
      </c>
      <c r="D1381" s="48">
        <f>_xlfn.XLOOKUP(expected_production[[#This Row],[Site Name]],Table1[[Site Name ]],Table1[Commisioned Date],"")</f>
        <v>45924</v>
      </c>
      <c r="E1381" s="47">
        <f>IF(ISNUMBER(expected_production[[#This Row],[Commissioned Date]]),MAX(0,(expected_production[[#This Row],[Date]]-expected_production[[#This Row],[Commissioned Date]])/365.25),"")</f>
        <v>0</v>
      </c>
      <c r="F1381" s="49">
        <f>IF(expected_production[[#This Row],[Age (yrs)]]="",1,(1-DegradationRate)^expected_production[[#This Row],[Age (yrs)]])</f>
        <v>1</v>
      </c>
      <c r="G1381" s="52">
        <f>IF(expected_production[[#This Row],[Base Expected (kWh)]]="","",expected_production[[#This Row],[Base Expected (kWh)]]*expected_production[[#This Row],[Degradation Factor]])</f>
        <v>12263.4</v>
      </c>
    </row>
    <row r="1382" spans="1:7" ht="15" hidden="1" customHeight="1" x14ac:dyDescent="0.3">
      <c r="A1382" t="s">
        <v>222</v>
      </c>
      <c r="B1382" s="2">
        <v>45627</v>
      </c>
      <c r="C1382" s="52">
        <v>12539.7</v>
      </c>
      <c r="D1382" s="48">
        <f>_xlfn.XLOOKUP(expected_production[[#This Row],[Site Name]],Table1[[Site Name ]],Table1[Commisioned Date],"")</f>
        <v>45924</v>
      </c>
      <c r="E1382" s="47">
        <f>IF(ISNUMBER(expected_production[[#This Row],[Commissioned Date]]),MAX(0,(expected_production[[#This Row],[Date]]-expected_production[[#This Row],[Commissioned Date]])/365.25),"")</f>
        <v>0</v>
      </c>
      <c r="F1382" s="49">
        <f>IF(expected_production[[#This Row],[Age (yrs)]]="",1,(1-DegradationRate)^expected_production[[#This Row],[Age (yrs)]])</f>
        <v>1</v>
      </c>
      <c r="G1382" s="52">
        <f>IF(expected_production[[#This Row],[Base Expected (kWh)]]="","",expected_production[[#This Row],[Base Expected (kWh)]]*expected_production[[#This Row],[Degradation Factor]])</f>
        <v>12539.7</v>
      </c>
    </row>
    <row r="1383" spans="1:7" ht="15" hidden="1" customHeight="1" x14ac:dyDescent="0.3">
      <c r="A1383" t="s">
        <v>222</v>
      </c>
      <c r="B1383" s="2">
        <v>45658</v>
      </c>
      <c r="C1383" s="52">
        <v>12369.6</v>
      </c>
      <c r="D1383" s="48">
        <f>_xlfn.XLOOKUP(expected_production[[#This Row],[Site Name]],Table1[[Site Name ]],Table1[Commisioned Date],"")</f>
        <v>45924</v>
      </c>
      <c r="E1383" s="47">
        <f>IF(ISNUMBER(expected_production[[#This Row],[Commissioned Date]]),MAX(0,(expected_production[[#This Row],[Date]]-expected_production[[#This Row],[Commissioned Date]])/365.25),"")</f>
        <v>0</v>
      </c>
      <c r="F1383" s="49">
        <f>IF(expected_production[[#This Row],[Age (yrs)]]="",1,(1-DegradationRate)^expected_production[[#This Row],[Age (yrs)]])</f>
        <v>1</v>
      </c>
      <c r="G1383" s="52">
        <f>IF(expected_production[[#This Row],[Base Expected (kWh)]]="","",expected_production[[#This Row],[Base Expected (kWh)]]*expected_production[[#This Row],[Degradation Factor]])</f>
        <v>12369.6</v>
      </c>
    </row>
    <row r="1384" spans="1:7" ht="15" hidden="1" customHeight="1" x14ac:dyDescent="0.3">
      <c r="A1384" t="s">
        <v>222</v>
      </c>
      <c r="B1384" s="2">
        <v>45689</v>
      </c>
      <c r="C1384" s="52">
        <v>10801.8</v>
      </c>
      <c r="D1384" s="48">
        <f>_xlfn.XLOOKUP(expected_production[[#This Row],[Site Name]],Table1[[Site Name ]],Table1[Commisioned Date],"")</f>
        <v>45924</v>
      </c>
      <c r="E1384" s="47">
        <f>IF(ISNUMBER(expected_production[[#This Row],[Commissioned Date]]),MAX(0,(expected_production[[#This Row],[Date]]-expected_production[[#This Row],[Commissioned Date]])/365.25),"")</f>
        <v>0</v>
      </c>
      <c r="F1384" s="49">
        <f>IF(expected_production[[#This Row],[Age (yrs)]]="",1,(1-DegradationRate)^expected_production[[#This Row],[Age (yrs)]])</f>
        <v>1</v>
      </c>
      <c r="G1384" s="52">
        <f>IF(expected_production[[#This Row],[Base Expected (kWh)]]="","",expected_production[[#This Row],[Base Expected (kWh)]]*expected_production[[#This Row],[Degradation Factor]])</f>
        <v>10801.8</v>
      </c>
    </row>
    <row r="1385" spans="1:7" ht="15" hidden="1" customHeight="1" x14ac:dyDescent="0.3">
      <c r="A1385" t="s">
        <v>222</v>
      </c>
      <c r="B1385" s="2">
        <v>45717</v>
      </c>
      <c r="C1385" s="52">
        <v>10537.2</v>
      </c>
      <c r="D1385" s="48">
        <f>_xlfn.XLOOKUP(expected_production[[#This Row],[Site Name]],Table1[[Site Name ]],Table1[Commisioned Date],"")</f>
        <v>45924</v>
      </c>
      <c r="E1385" s="47">
        <f>IF(ISNUMBER(expected_production[[#This Row],[Commissioned Date]]),MAX(0,(expected_production[[#This Row],[Date]]-expected_production[[#This Row],[Commissioned Date]])/365.25),"")</f>
        <v>0</v>
      </c>
      <c r="F1385" s="49">
        <f>IF(expected_production[[#This Row],[Age (yrs)]]="",1,(1-DegradationRate)^expected_production[[#This Row],[Age (yrs)]])</f>
        <v>1</v>
      </c>
      <c r="G1385" s="52">
        <f>IF(expected_production[[#This Row],[Base Expected (kWh)]]="","",expected_production[[#This Row],[Base Expected (kWh)]]*expected_production[[#This Row],[Degradation Factor]])</f>
        <v>10537.2</v>
      </c>
    </row>
    <row r="1386" spans="1:7" ht="15" hidden="1" customHeight="1" x14ac:dyDescent="0.3">
      <c r="A1386" t="s">
        <v>222</v>
      </c>
      <c r="B1386" s="2">
        <v>45748</v>
      </c>
      <c r="C1386" s="52">
        <v>9173.7000000000007</v>
      </c>
      <c r="D1386" s="48">
        <f>_xlfn.XLOOKUP(expected_production[[#This Row],[Site Name]],Table1[[Site Name ]],Table1[Commisioned Date],"")</f>
        <v>45924</v>
      </c>
      <c r="E1386" s="47">
        <f>IF(ISNUMBER(expected_production[[#This Row],[Commissioned Date]]),MAX(0,(expected_production[[#This Row],[Date]]-expected_production[[#This Row],[Commissioned Date]])/365.25),"")</f>
        <v>0</v>
      </c>
      <c r="F1386" s="49">
        <f>IF(expected_production[[#This Row],[Age (yrs)]]="",1,(1-DegradationRate)^expected_production[[#This Row],[Age (yrs)]])</f>
        <v>1</v>
      </c>
      <c r="G1386" s="52">
        <f>IF(expected_production[[#This Row],[Base Expected (kWh)]]="","",expected_production[[#This Row],[Base Expected (kWh)]]*expected_production[[#This Row],[Degradation Factor]])</f>
        <v>9173.7000000000007</v>
      </c>
    </row>
    <row r="1387" spans="1:7" ht="15" hidden="1" customHeight="1" x14ac:dyDescent="0.3">
      <c r="A1387" t="s">
        <v>222</v>
      </c>
      <c r="B1387" s="2">
        <v>45778</v>
      </c>
      <c r="C1387" s="52">
        <v>8503.2000000000007</v>
      </c>
      <c r="D1387" s="48">
        <f>_xlfn.XLOOKUP(expected_production[[#This Row],[Site Name]],Table1[[Site Name ]],Table1[Commisioned Date],"")</f>
        <v>45924</v>
      </c>
      <c r="E1387" s="47">
        <f>IF(ISNUMBER(expected_production[[#This Row],[Commissioned Date]]),MAX(0,(expected_production[[#This Row],[Date]]-expected_production[[#This Row],[Commissioned Date]])/365.25),"")</f>
        <v>0</v>
      </c>
      <c r="F1387" s="49">
        <f>IF(expected_production[[#This Row],[Age (yrs)]]="",1,(1-DegradationRate)^expected_production[[#This Row],[Age (yrs)]])</f>
        <v>1</v>
      </c>
      <c r="G1387" s="52">
        <f>IF(expected_production[[#This Row],[Base Expected (kWh)]]="","",expected_production[[#This Row],[Base Expected (kWh)]]*expected_production[[#This Row],[Degradation Factor]])</f>
        <v>8503.2000000000007</v>
      </c>
    </row>
    <row r="1388" spans="1:7" ht="15" hidden="1" customHeight="1" x14ac:dyDescent="0.3">
      <c r="A1388" t="s">
        <v>222</v>
      </c>
      <c r="B1388" s="2">
        <v>45809</v>
      </c>
      <c r="C1388" s="52">
        <v>7545.6</v>
      </c>
      <c r="D1388" s="48">
        <f>_xlfn.XLOOKUP(expected_production[[#This Row],[Site Name]],Table1[[Site Name ]],Table1[Commisioned Date],"")</f>
        <v>45924</v>
      </c>
      <c r="E1388" s="47">
        <f>IF(ISNUMBER(expected_production[[#This Row],[Commissioned Date]]),MAX(0,(expected_production[[#This Row],[Date]]-expected_production[[#This Row],[Commissioned Date]])/365.25),"")</f>
        <v>0</v>
      </c>
      <c r="F1388" s="49">
        <f>IF(expected_production[[#This Row],[Age (yrs)]]="",1,(1-DegradationRate)^expected_production[[#This Row],[Age (yrs)]])</f>
        <v>1</v>
      </c>
      <c r="G1388" s="52">
        <f>IF(expected_production[[#This Row],[Base Expected (kWh)]]="","",expected_production[[#This Row],[Base Expected (kWh)]]*expected_production[[#This Row],[Degradation Factor]])</f>
        <v>7545.6</v>
      </c>
    </row>
    <row r="1389" spans="1:7" ht="15" hidden="1" customHeight="1" x14ac:dyDescent="0.3">
      <c r="A1389" t="s">
        <v>222</v>
      </c>
      <c r="B1389" s="2">
        <v>45839</v>
      </c>
      <c r="C1389" s="52">
        <v>8307</v>
      </c>
      <c r="D1389" s="48">
        <f>_xlfn.XLOOKUP(expected_production[[#This Row],[Site Name]],Table1[[Site Name ]],Table1[Commisioned Date],"")</f>
        <v>45924</v>
      </c>
      <c r="E1389" s="47">
        <f>IF(ISNUMBER(expected_production[[#This Row],[Commissioned Date]]),MAX(0,(expected_production[[#This Row],[Date]]-expected_production[[#This Row],[Commissioned Date]])/365.25),"")</f>
        <v>0</v>
      </c>
      <c r="F1389" s="49">
        <f>IF(expected_production[[#This Row],[Age (yrs)]]="",1,(1-DegradationRate)^expected_production[[#This Row],[Age (yrs)]])</f>
        <v>1</v>
      </c>
      <c r="G1389" s="52">
        <f>IF(expected_production[[#This Row],[Base Expected (kWh)]]="","",expected_production[[#This Row],[Base Expected (kWh)]]*expected_production[[#This Row],[Degradation Factor]])</f>
        <v>8307</v>
      </c>
    </row>
    <row r="1390" spans="1:7" ht="15" hidden="1" customHeight="1" x14ac:dyDescent="0.3">
      <c r="A1390" t="s">
        <v>222</v>
      </c>
      <c r="B1390" s="2">
        <v>45870</v>
      </c>
      <c r="C1390" s="52">
        <v>9720.9</v>
      </c>
      <c r="D1390" s="48">
        <f>_xlfn.XLOOKUP(expected_production[[#This Row],[Site Name]],Table1[[Site Name ]],Table1[Commisioned Date],"")</f>
        <v>45924</v>
      </c>
      <c r="E1390" s="47">
        <f>IF(ISNUMBER(expected_production[[#This Row],[Commissioned Date]]),MAX(0,(expected_production[[#This Row],[Date]]-expected_production[[#This Row],[Commissioned Date]])/365.25),"")</f>
        <v>0</v>
      </c>
      <c r="F1390" s="49">
        <f>IF(expected_production[[#This Row],[Age (yrs)]]="",1,(1-DegradationRate)^expected_production[[#This Row],[Age (yrs)]])</f>
        <v>1</v>
      </c>
      <c r="G1390" s="52">
        <f>IF(expected_production[[#This Row],[Base Expected (kWh)]]="","",expected_production[[#This Row],[Base Expected (kWh)]]*expected_production[[#This Row],[Degradation Factor]])</f>
        <v>9720.9</v>
      </c>
    </row>
    <row r="1391" spans="1:7" ht="15" hidden="1" customHeight="1" x14ac:dyDescent="0.3">
      <c r="A1391" t="s">
        <v>222</v>
      </c>
      <c r="B1391" s="2">
        <v>45901</v>
      </c>
      <c r="C1391" s="52">
        <v>10755.9</v>
      </c>
      <c r="D1391" s="48">
        <f>_xlfn.XLOOKUP(expected_production[[#This Row],[Site Name]],Table1[[Site Name ]],Table1[Commisioned Date],"")</f>
        <v>45924</v>
      </c>
      <c r="E1391" s="47">
        <f>IF(ISNUMBER(expected_production[[#This Row],[Commissioned Date]]),MAX(0,(expected_production[[#This Row],[Date]]-expected_production[[#This Row],[Commissioned Date]])/365.25),"")</f>
        <v>0</v>
      </c>
      <c r="F1391" s="49">
        <f>IF(expected_production[[#This Row],[Age (yrs)]]="",1,(1-DegradationRate)^expected_production[[#This Row],[Age (yrs)]])</f>
        <v>1</v>
      </c>
      <c r="G1391" s="52">
        <f>IF(expected_production[[#This Row],[Base Expected (kWh)]]="","",expected_production[[#This Row],[Base Expected (kWh)]]*expected_production[[#This Row],[Degradation Factor]])</f>
        <v>10755.9</v>
      </c>
    </row>
    <row r="1392" spans="1:7" ht="15" hidden="1" customHeight="1" x14ac:dyDescent="0.3">
      <c r="A1392" t="s">
        <v>222</v>
      </c>
      <c r="B1392" s="2">
        <v>45931</v>
      </c>
      <c r="C1392" s="52">
        <v>12190.5</v>
      </c>
      <c r="D1392" s="48">
        <f>_xlfn.XLOOKUP(expected_production[[#This Row],[Site Name]],Table1[[Site Name ]],Table1[Commisioned Date],"")</f>
        <v>45924</v>
      </c>
      <c r="E1392" s="47">
        <f>IF(ISNUMBER(expected_production[[#This Row],[Commissioned Date]]),MAX(0,(expected_production[[#This Row],[Date]]-expected_production[[#This Row],[Commissioned Date]])/365.25),"")</f>
        <v>1.9164955509924708E-2</v>
      </c>
      <c r="F1392" s="49">
        <f>IF(expected_production[[#This Row],[Age (yrs)]]="",1,(1-DegradationRate)^expected_production[[#This Row],[Age (yrs)]])</f>
        <v>0.99986538262899027</v>
      </c>
      <c r="G1392" s="52">
        <f>IF(expected_production[[#This Row],[Base Expected (kWh)]]="","",expected_production[[#This Row],[Base Expected (kWh)]]*expected_production[[#This Row],[Degradation Factor]])</f>
        <v>12188.858946938706</v>
      </c>
    </row>
    <row r="1393" spans="1:7" ht="15" hidden="1" customHeight="1" x14ac:dyDescent="0.3">
      <c r="A1393" t="s">
        <v>222</v>
      </c>
      <c r="B1393" s="2">
        <v>45962</v>
      </c>
      <c r="C1393" s="52">
        <v>12263.4</v>
      </c>
      <c r="D1393" s="48">
        <f>_xlfn.XLOOKUP(expected_production[[#This Row],[Site Name]],Table1[[Site Name ]],Table1[Commisioned Date],"")</f>
        <v>45924</v>
      </c>
      <c r="E1393" s="47">
        <f>IF(ISNUMBER(expected_production[[#This Row],[Commissioned Date]]),MAX(0,(expected_production[[#This Row],[Date]]-expected_production[[#This Row],[Commissioned Date]])/365.25),"")</f>
        <v>0.10403832991101986</v>
      </c>
      <c r="F1393" s="49">
        <f>IF(expected_production[[#This Row],[Age (yrs)]]="",1,(1-DegradationRate)^expected_production[[#This Row],[Age (yrs)]])</f>
        <v>0.9992694377843091</v>
      </c>
      <c r="G1393" s="52">
        <f>IF(expected_production[[#This Row],[Base Expected (kWh)]]="","",expected_production[[#This Row],[Base Expected (kWh)]]*expected_production[[#This Row],[Degradation Factor]])</f>
        <v>12254.440823324096</v>
      </c>
    </row>
    <row r="1394" spans="1:7" ht="15" hidden="1" customHeight="1" x14ac:dyDescent="0.3">
      <c r="A1394" t="s">
        <v>222</v>
      </c>
      <c r="B1394" s="2">
        <v>45992</v>
      </c>
      <c r="C1394" s="52">
        <v>12539.7</v>
      </c>
      <c r="D1394" s="48">
        <f>_xlfn.XLOOKUP(expected_production[[#This Row],[Site Name]],Table1[[Site Name ]],Table1[Commisioned Date],"")</f>
        <v>45924</v>
      </c>
      <c r="E1394" s="47">
        <f>IF(ISNUMBER(expected_production[[#This Row],[Commissioned Date]]),MAX(0,(expected_production[[#This Row],[Date]]-expected_production[[#This Row],[Commissioned Date]])/365.25),"")</f>
        <v>0.18617385352498289</v>
      </c>
      <c r="F1394" s="49">
        <f>IF(expected_production[[#This Row],[Age (yrs)]]="",1,(1-DegradationRate)^expected_production[[#This Row],[Age (yrs)]])</f>
        <v>0.99869305516492024</v>
      </c>
      <c r="G1394" s="52">
        <f>IF(expected_production[[#This Row],[Base Expected (kWh)]]="","",expected_production[[#This Row],[Base Expected (kWh)]]*expected_production[[#This Row],[Degradation Factor]])</f>
        <v>12523.311303851551</v>
      </c>
    </row>
    <row r="1395" spans="1:7" ht="15" hidden="1" customHeight="1" x14ac:dyDescent="0.3">
      <c r="A1395" t="s">
        <v>222</v>
      </c>
      <c r="B1395" s="2">
        <v>46023</v>
      </c>
      <c r="C1395" s="52">
        <v>12369.6</v>
      </c>
      <c r="D1395" s="48">
        <f>_xlfn.XLOOKUP(expected_production[[#This Row],[Site Name]],Table1[[Site Name ]],Table1[Commisioned Date],"")</f>
        <v>45924</v>
      </c>
      <c r="E1395" s="47">
        <f>IF(ISNUMBER(expected_production[[#This Row],[Commissioned Date]]),MAX(0,(expected_production[[#This Row],[Date]]-expected_production[[#This Row],[Commissioned Date]])/365.25),"")</f>
        <v>0.27104722792607805</v>
      </c>
      <c r="F1395" s="49">
        <f>IF(expected_production[[#This Row],[Age (yrs)]]="",1,(1-DegradationRate)^expected_production[[#This Row],[Age (yrs)]])</f>
        <v>0.99809780905680967</v>
      </c>
      <c r="G1395" s="52">
        <f>IF(expected_production[[#This Row],[Base Expected (kWh)]]="","",expected_production[[#This Row],[Base Expected (kWh)]]*expected_production[[#This Row],[Degradation Factor]])</f>
        <v>12346.070658909113</v>
      </c>
    </row>
    <row r="1396" spans="1:7" ht="15" hidden="1" customHeight="1" x14ac:dyDescent="0.3">
      <c r="A1396" t="s">
        <v>222</v>
      </c>
      <c r="B1396" s="2">
        <v>46054</v>
      </c>
      <c r="C1396" s="52">
        <v>10801.8</v>
      </c>
      <c r="D1396" s="48">
        <f>_xlfn.XLOOKUP(expected_production[[#This Row],[Site Name]],Table1[[Site Name ]],Table1[Commisioned Date],"")</f>
        <v>45924</v>
      </c>
      <c r="E1396" s="47">
        <f>IF(ISNUMBER(expected_production[[#This Row],[Commissioned Date]]),MAX(0,(expected_production[[#This Row],[Date]]-expected_production[[#This Row],[Commissioned Date]])/365.25),"")</f>
        <v>0.35592060232717315</v>
      </c>
      <c r="F1396" s="49">
        <f>IF(expected_production[[#This Row],[Age (yrs)]]="",1,(1-DegradationRate)^expected_production[[#This Row],[Age (yrs)]])</f>
        <v>0.9975029177303083</v>
      </c>
      <c r="G1396" s="52">
        <f>IF(expected_production[[#This Row],[Base Expected (kWh)]]="","",expected_production[[#This Row],[Base Expected (kWh)]]*expected_production[[#This Row],[Degradation Factor]])</f>
        <v>10774.827016739244</v>
      </c>
    </row>
    <row r="1397" spans="1:7" ht="15" hidden="1" customHeight="1" x14ac:dyDescent="0.3">
      <c r="A1397" t="s">
        <v>222</v>
      </c>
      <c r="B1397" s="2">
        <v>46082</v>
      </c>
      <c r="C1397" s="52">
        <v>10537.2</v>
      </c>
      <c r="D1397" s="48">
        <f>_xlfn.XLOOKUP(expected_production[[#This Row],[Site Name]],Table1[[Site Name ]],Table1[Commisioned Date],"")</f>
        <v>45924</v>
      </c>
      <c r="E1397" s="47">
        <f>IF(ISNUMBER(expected_production[[#This Row],[Commissioned Date]]),MAX(0,(expected_production[[#This Row],[Date]]-expected_production[[#This Row],[Commissioned Date]])/365.25),"")</f>
        <v>0.432580424366872</v>
      </c>
      <c r="F1397" s="49">
        <f>IF(expected_production[[#This Row],[Age (yrs)]]="",1,(1-DegradationRate)^expected_production[[#This Row],[Age (yrs)]])</f>
        <v>0.9969659012986466</v>
      </c>
      <c r="G1397" s="52">
        <f>IF(expected_production[[#This Row],[Base Expected (kWh)]]="","",expected_production[[#This Row],[Base Expected (kWh)]]*expected_production[[#This Row],[Degradation Factor]])</f>
        <v>10505.229095164099</v>
      </c>
    </row>
    <row r="1398" spans="1:7" ht="15" hidden="1" customHeight="1" x14ac:dyDescent="0.3">
      <c r="A1398" t="s">
        <v>222</v>
      </c>
      <c r="B1398" s="2">
        <v>46113</v>
      </c>
      <c r="C1398" s="52">
        <v>9173.7000000000007</v>
      </c>
      <c r="D1398" s="48">
        <f>_xlfn.XLOOKUP(expected_production[[#This Row],[Site Name]],Table1[[Site Name ]],Table1[Commisioned Date],"")</f>
        <v>45924</v>
      </c>
      <c r="E1398" s="47">
        <f>IF(ISNUMBER(expected_production[[#This Row],[Commissioned Date]]),MAX(0,(expected_production[[#This Row],[Date]]-expected_production[[#This Row],[Commissioned Date]])/365.25),"")</f>
        <v>0.51745379876796715</v>
      </c>
      <c r="F1398" s="49">
        <f>IF(expected_production[[#This Row],[Age (yrs)]]="",1,(1-DegradationRate)^expected_production[[#This Row],[Age (yrs)]])</f>
        <v>0.99637168461755732</v>
      </c>
      <c r="G1398" s="52">
        <f>IF(expected_production[[#This Row],[Base Expected (kWh)]]="","",expected_production[[#This Row],[Base Expected (kWh)]]*expected_production[[#This Row],[Degradation Factor]])</f>
        <v>9140.4149231760857</v>
      </c>
    </row>
    <row r="1399" spans="1:7" ht="15" hidden="1" customHeight="1" x14ac:dyDescent="0.3">
      <c r="A1399" t="s">
        <v>222</v>
      </c>
      <c r="B1399" s="2">
        <v>46143</v>
      </c>
      <c r="C1399" s="52">
        <v>8503.2000000000007</v>
      </c>
      <c r="D1399" s="48">
        <f>_xlfn.XLOOKUP(expected_production[[#This Row],[Site Name]],Table1[[Site Name ]],Table1[Commisioned Date],"")</f>
        <v>45924</v>
      </c>
      <c r="E1399" s="47">
        <f>IF(ISNUMBER(expected_production[[#This Row],[Commissioned Date]]),MAX(0,(expected_production[[#This Row],[Date]]-expected_production[[#This Row],[Commissioned Date]])/365.25),"")</f>
        <v>0.59958932238193019</v>
      </c>
      <c r="F1399" s="49">
        <f>IF(expected_production[[#This Row],[Age (yrs)]]="",1,(1-DegradationRate)^expected_production[[#This Row],[Age (yrs)]])</f>
        <v>0.99579697343381679</v>
      </c>
      <c r="G1399" s="52">
        <f>IF(expected_production[[#This Row],[Base Expected (kWh)]]="","",expected_production[[#This Row],[Base Expected (kWh)]]*expected_production[[#This Row],[Degradation Factor]])</f>
        <v>8467.4608245024319</v>
      </c>
    </row>
    <row r="1400" spans="1:7" ht="15" hidden="1" customHeight="1" x14ac:dyDescent="0.3">
      <c r="A1400" t="s">
        <v>222</v>
      </c>
      <c r="B1400" s="2">
        <v>46174</v>
      </c>
      <c r="C1400" s="52">
        <v>7545.6</v>
      </c>
      <c r="D1400" s="48">
        <f>_xlfn.XLOOKUP(expected_production[[#This Row],[Site Name]],Table1[[Site Name ]],Table1[Commisioned Date],"")</f>
        <v>45924</v>
      </c>
      <c r="E1400" s="47">
        <f>IF(ISNUMBER(expected_production[[#This Row],[Commissioned Date]]),MAX(0,(expected_production[[#This Row],[Date]]-expected_production[[#This Row],[Commissioned Date]])/365.25),"")</f>
        <v>0.68446269678302529</v>
      </c>
      <c r="F1400" s="49">
        <f>IF(expected_production[[#This Row],[Age (yrs)]]="",1,(1-DegradationRate)^expected_production[[#This Row],[Age (yrs)]])</f>
        <v>0.99520345346305172</v>
      </c>
      <c r="G1400" s="52">
        <f>IF(expected_production[[#This Row],[Base Expected (kWh)]]="","",expected_production[[#This Row],[Base Expected (kWh)]]*expected_production[[#This Row],[Degradation Factor]])</f>
        <v>7509.4071784508033</v>
      </c>
    </row>
    <row r="1401" spans="1:7" ht="15" hidden="1" customHeight="1" x14ac:dyDescent="0.3">
      <c r="A1401" t="s">
        <v>222</v>
      </c>
      <c r="B1401" s="2">
        <v>46204</v>
      </c>
      <c r="C1401" s="52">
        <v>8307</v>
      </c>
      <c r="D1401" s="48">
        <f>_xlfn.XLOOKUP(expected_production[[#This Row],[Site Name]],Table1[[Site Name ]],Table1[Commisioned Date],"")</f>
        <v>45924</v>
      </c>
      <c r="E1401" s="47">
        <f>IF(ISNUMBER(expected_production[[#This Row],[Commissioned Date]]),MAX(0,(expected_production[[#This Row],[Date]]-expected_production[[#This Row],[Commissioned Date]])/365.25),"")</f>
        <v>0.76659822039698833</v>
      </c>
      <c r="F1401" s="49">
        <f>IF(expected_production[[#This Row],[Age (yrs)]]="",1,(1-DegradationRate)^expected_production[[#This Row],[Age (yrs)]])</f>
        <v>0.99462941611972633</v>
      </c>
      <c r="G1401" s="52">
        <f>IF(expected_production[[#This Row],[Base Expected (kWh)]]="","",expected_production[[#This Row],[Base Expected (kWh)]]*expected_production[[#This Row],[Degradation Factor]])</f>
        <v>8262.3865597065669</v>
      </c>
    </row>
    <row r="1402" spans="1:7" ht="15" hidden="1" customHeight="1" x14ac:dyDescent="0.3">
      <c r="A1402" t="s">
        <v>222</v>
      </c>
      <c r="B1402" s="2">
        <v>46235</v>
      </c>
      <c r="C1402" s="52">
        <v>9720.9</v>
      </c>
      <c r="D1402" s="48">
        <f>_xlfn.XLOOKUP(expected_production[[#This Row],[Site Name]],Table1[[Site Name ]],Table1[Commisioned Date],"")</f>
        <v>45924</v>
      </c>
      <c r="E1402" s="47">
        <f>IF(ISNUMBER(expected_production[[#This Row],[Commissioned Date]]),MAX(0,(expected_production[[#This Row],[Date]]-expected_production[[#This Row],[Commissioned Date]])/365.25),"")</f>
        <v>0.85147159479808354</v>
      </c>
      <c r="F1402" s="49">
        <f>IF(expected_production[[#This Row],[Age (yrs)]]="",1,(1-DegradationRate)^expected_production[[#This Row],[Age (yrs)]])</f>
        <v>0.9940365920424028</v>
      </c>
      <c r="G1402" s="52">
        <f>IF(expected_production[[#This Row],[Base Expected (kWh)]]="","",expected_production[[#This Row],[Base Expected (kWh)]]*expected_production[[#This Row],[Degradation Factor]])</f>
        <v>9662.930307584993</v>
      </c>
    </row>
    <row r="1403" spans="1:7" ht="15" hidden="1" customHeight="1" x14ac:dyDescent="0.3">
      <c r="A1403" t="s">
        <v>222</v>
      </c>
      <c r="B1403" s="2">
        <v>46266</v>
      </c>
      <c r="C1403" s="52">
        <v>10755.9</v>
      </c>
      <c r="D1403" s="48">
        <f>_xlfn.XLOOKUP(expected_production[[#This Row],[Site Name]],Table1[[Site Name ]],Table1[Commisioned Date],"")</f>
        <v>45924</v>
      </c>
      <c r="E1403" s="47">
        <f>IF(ISNUMBER(expected_production[[#This Row],[Commissioned Date]]),MAX(0,(expected_production[[#This Row],[Date]]-expected_production[[#This Row],[Commissioned Date]])/365.25),"")</f>
        <v>0.93634496919917864</v>
      </c>
      <c r="F1403" s="49">
        <f>IF(expected_production[[#This Row],[Age (yrs)]]="",1,(1-DegradationRate)^expected_production[[#This Row],[Age (yrs)]])</f>
        <v>0.99344412130309745</v>
      </c>
      <c r="G1403" s="52">
        <f>IF(expected_production[[#This Row],[Base Expected (kWh)]]="","",expected_production[[#This Row],[Base Expected (kWh)]]*expected_production[[#This Row],[Degradation Factor]])</f>
        <v>10685.385624323986</v>
      </c>
    </row>
    <row r="1404" spans="1:7" ht="15" hidden="1" customHeight="1" x14ac:dyDescent="0.3">
      <c r="A1404" t="s">
        <v>222</v>
      </c>
      <c r="B1404" s="2">
        <v>46296</v>
      </c>
      <c r="C1404" s="52">
        <v>12190.5</v>
      </c>
      <c r="D1404" s="48">
        <f>_xlfn.XLOOKUP(expected_production[[#This Row],[Site Name]],Table1[[Site Name ]],Table1[Commisioned Date],"")</f>
        <v>45924</v>
      </c>
      <c r="E1404" s="47">
        <f>IF(ISNUMBER(expected_production[[#This Row],[Commissioned Date]]),MAX(0,(expected_production[[#This Row],[Date]]-expected_production[[#This Row],[Commissioned Date]])/365.25),"")</f>
        <v>1.0184804928131417</v>
      </c>
      <c r="F1404" s="49">
        <f>IF(expected_production[[#This Row],[Age (yrs)]]="",1,(1-DegradationRate)^expected_production[[#This Row],[Age (yrs)]])</f>
        <v>0.99287109874961788</v>
      </c>
      <c r="G1404" s="52">
        <f>IF(expected_production[[#This Row],[Base Expected (kWh)]]="","",expected_production[[#This Row],[Base Expected (kWh)]]*expected_production[[#This Row],[Degradation Factor]])</f>
        <v>12103.595129307218</v>
      </c>
    </row>
    <row r="1405" spans="1:7" ht="15" hidden="1" customHeight="1" x14ac:dyDescent="0.3">
      <c r="A1405" t="s">
        <v>222</v>
      </c>
      <c r="B1405" s="2">
        <v>46327</v>
      </c>
      <c r="C1405" s="52">
        <v>12263.4</v>
      </c>
      <c r="D1405" s="48">
        <f>_xlfn.XLOOKUP(expected_production[[#This Row],[Site Name]],Table1[[Site Name ]],Table1[Commisioned Date],"")</f>
        <v>45924</v>
      </c>
      <c r="E1405" s="47">
        <f>IF(ISNUMBER(expected_production[[#This Row],[Commissioned Date]]),MAX(0,(expected_production[[#This Row],[Date]]-expected_production[[#This Row],[Commissioned Date]])/365.25),"")</f>
        <v>1.1033538672142369</v>
      </c>
      <c r="F1405" s="49">
        <f>IF(expected_production[[#This Row],[Age (yrs)]]="",1,(1-DegradationRate)^expected_production[[#This Row],[Age (yrs)]])</f>
        <v>0.99227932267354557</v>
      </c>
      <c r="G1405" s="52">
        <f>IF(expected_production[[#This Row],[Base Expected (kWh)]]="","",expected_production[[#This Row],[Base Expected (kWh)]]*expected_production[[#This Row],[Degradation Factor]])</f>
        <v>12168.718245674758</v>
      </c>
    </row>
    <row r="1406" spans="1:7" ht="15" hidden="1" customHeight="1" x14ac:dyDescent="0.3">
      <c r="A1406" t="s">
        <v>222</v>
      </c>
      <c r="B1406" s="2">
        <v>46357</v>
      </c>
      <c r="C1406" s="52">
        <v>12539.7</v>
      </c>
      <c r="D1406" s="48">
        <f>_xlfn.XLOOKUP(expected_production[[#This Row],[Site Name]],Table1[[Site Name ]],Table1[Commisioned Date],"")</f>
        <v>45924</v>
      </c>
      <c r="E1406" s="47">
        <f>IF(ISNUMBER(expected_production[[#This Row],[Commissioned Date]]),MAX(0,(expected_production[[#This Row],[Date]]-expected_production[[#This Row],[Commissioned Date]])/365.25),"")</f>
        <v>1.1854893908281998</v>
      </c>
      <c r="F1406" s="49">
        <f>IF(expected_production[[#This Row],[Age (yrs)]]="",1,(1-DegradationRate)^expected_production[[#This Row],[Age (yrs)]])</f>
        <v>0.99170697198058722</v>
      </c>
      <c r="G1406" s="52">
        <f>IF(expected_production[[#This Row],[Base Expected (kWh)]]="","",expected_production[[#This Row],[Base Expected (kWh)]]*expected_production[[#This Row],[Degradation Factor]])</f>
        <v>12435.70791654497</v>
      </c>
    </row>
    <row r="1407" spans="1:7" ht="15" hidden="1" customHeight="1" x14ac:dyDescent="0.3">
      <c r="A1407" t="s">
        <v>142</v>
      </c>
      <c r="B1407" s="2">
        <v>45292</v>
      </c>
      <c r="C1407" s="52">
        <v>5685.3</v>
      </c>
      <c r="D1407" s="48">
        <f>_xlfn.XLOOKUP(expected_production[[#This Row],[Site Name]],Table1[[Site Name ]],Table1[Commisioned Date],"")</f>
        <v>45174</v>
      </c>
      <c r="E1407" s="47">
        <f>IF(ISNUMBER(expected_production[[#This Row],[Commissioned Date]]),MAX(0,(expected_production[[#This Row],[Date]]-expected_production[[#This Row],[Commissioned Date]])/365.25),"")</f>
        <v>0.32306639288158795</v>
      </c>
      <c r="F1407" s="49">
        <f>IF(expected_production[[#This Row],[Age (yrs)]]="",1,(1-DegradationRate)^expected_production[[#This Row],[Age (yrs)]])</f>
        <v>0.99773315617080582</v>
      </c>
      <c r="G1407" s="52">
        <f>IF(expected_production[[#This Row],[Base Expected (kWh)]]="","",expected_production[[#This Row],[Base Expected (kWh)]]*expected_production[[#This Row],[Degradation Factor]])</f>
        <v>5672.4123127778821</v>
      </c>
    </row>
    <row r="1408" spans="1:7" ht="15" hidden="1" customHeight="1" x14ac:dyDescent="0.3">
      <c r="A1408" t="s">
        <v>142</v>
      </c>
      <c r="B1408" s="2">
        <v>45323</v>
      </c>
      <c r="C1408" s="52">
        <v>4780.8</v>
      </c>
      <c r="D1408" s="48">
        <f>_xlfn.XLOOKUP(expected_production[[#This Row],[Site Name]],Table1[[Site Name ]],Table1[Commisioned Date],"")</f>
        <v>45174</v>
      </c>
      <c r="E1408" s="47">
        <f>IF(ISNUMBER(expected_production[[#This Row],[Commissioned Date]]),MAX(0,(expected_production[[#This Row],[Date]]-expected_production[[#This Row],[Commissioned Date]])/365.25),"")</f>
        <v>0.40793976728268311</v>
      </c>
      <c r="F1408" s="49">
        <f>IF(expected_production[[#This Row],[Age (yrs)]]="",1,(1-DegradationRate)^expected_production[[#This Row],[Age (yrs)]])</f>
        <v>0.99713848218657009</v>
      </c>
      <c r="G1408" s="52">
        <f>IF(expected_production[[#This Row],[Base Expected (kWh)]]="","",expected_production[[#This Row],[Base Expected (kWh)]]*expected_production[[#This Row],[Degradation Factor]])</f>
        <v>4767.1196556375544</v>
      </c>
    </row>
    <row r="1409" spans="1:7" ht="15" hidden="1" customHeight="1" x14ac:dyDescent="0.3">
      <c r="A1409" t="s">
        <v>142</v>
      </c>
      <c r="B1409" s="2">
        <v>45352</v>
      </c>
      <c r="C1409" s="52">
        <v>4935.6000000000004</v>
      </c>
      <c r="D1409" s="48">
        <f>_xlfn.XLOOKUP(expected_production[[#This Row],[Site Name]],Table1[[Site Name ]],Table1[Commisioned Date],"")</f>
        <v>45174</v>
      </c>
      <c r="E1409" s="47">
        <f>IF(ISNUMBER(expected_production[[#This Row],[Commissioned Date]]),MAX(0,(expected_production[[#This Row],[Date]]-expected_production[[#This Row],[Commissioned Date]])/365.25),"")</f>
        <v>0.48733744010951402</v>
      </c>
      <c r="F1409" s="49">
        <f>IF(expected_production[[#This Row],[Age (yrs)]]="",1,(1-DegradationRate)^expected_production[[#This Row],[Age (yrs)]])</f>
        <v>0.99658249514750141</v>
      </c>
      <c r="G1409" s="52">
        <f>IF(expected_production[[#This Row],[Base Expected (kWh)]]="","",expected_production[[#This Row],[Base Expected (kWh)]]*expected_production[[#This Row],[Degradation Factor]])</f>
        <v>4918.7325630500081</v>
      </c>
    </row>
    <row r="1410" spans="1:7" ht="15" hidden="1" customHeight="1" x14ac:dyDescent="0.3">
      <c r="A1410" t="s">
        <v>142</v>
      </c>
      <c r="B1410" s="2">
        <v>45383</v>
      </c>
      <c r="C1410" s="52">
        <v>4359.6000000000004</v>
      </c>
      <c r="D1410" s="48">
        <f>_xlfn.XLOOKUP(expected_production[[#This Row],[Site Name]],Table1[[Site Name ]],Table1[Commisioned Date],"")</f>
        <v>45174</v>
      </c>
      <c r="E1410" s="47">
        <f>IF(ISNUMBER(expected_production[[#This Row],[Commissioned Date]]),MAX(0,(expected_production[[#This Row],[Date]]-expected_production[[#This Row],[Commissioned Date]])/365.25),"")</f>
        <v>0.57221081451060918</v>
      </c>
      <c r="F1410" s="49">
        <f>IF(expected_production[[#This Row],[Age (yrs)]]="",1,(1-DegradationRate)^expected_production[[#This Row],[Age (yrs)]])</f>
        <v>0.99598850698609409</v>
      </c>
      <c r="G1410" s="52">
        <f>IF(expected_production[[#This Row],[Base Expected (kWh)]]="","",expected_production[[#This Row],[Base Expected (kWh)]]*expected_production[[#This Row],[Degradation Factor]])</f>
        <v>4342.1114950565761</v>
      </c>
    </row>
    <row r="1411" spans="1:7" ht="15" hidden="1" customHeight="1" x14ac:dyDescent="0.3">
      <c r="A1411" t="s">
        <v>142</v>
      </c>
      <c r="B1411" s="2">
        <v>45413</v>
      </c>
      <c r="C1411" s="52">
        <v>4194</v>
      </c>
      <c r="D1411" s="48">
        <f>_xlfn.XLOOKUP(expected_production[[#This Row],[Site Name]],Table1[[Site Name ]],Table1[Commisioned Date],"")</f>
        <v>45174</v>
      </c>
      <c r="E1411" s="47">
        <f>IF(ISNUMBER(expected_production[[#This Row],[Commissioned Date]]),MAX(0,(expected_production[[#This Row],[Date]]-expected_production[[#This Row],[Commissioned Date]])/365.25),"")</f>
        <v>0.65434633812457221</v>
      </c>
      <c r="F1411" s="49">
        <f>IF(expected_production[[#This Row],[Age (yrs)]]="",1,(1-DegradationRate)^expected_production[[#This Row],[Age (yrs)]])</f>
        <v>0.99541401682074815</v>
      </c>
      <c r="G1411" s="52">
        <f>IF(expected_production[[#This Row],[Base Expected (kWh)]]="","",expected_production[[#This Row],[Base Expected (kWh)]]*expected_production[[#This Row],[Degradation Factor]])</f>
        <v>4174.7663865462173</v>
      </c>
    </row>
    <row r="1412" spans="1:7" ht="15" hidden="1" customHeight="1" x14ac:dyDescent="0.3">
      <c r="A1412" t="s">
        <v>142</v>
      </c>
      <c r="B1412" s="2">
        <v>45444</v>
      </c>
      <c r="C1412" s="52">
        <v>3818.7</v>
      </c>
      <c r="D1412" s="48">
        <f>_xlfn.XLOOKUP(expected_production[[#This Row],[Site Name]],Table1[[Site Name ]],Table1[Commisioned Date],"")</f>
        <v>45174</v>
      </c>
      <c r="E1412" s="47">
        <f>IF(ISNUMBER(expected_production[[#This Row],[Commissioned Date]]),MAX(0,(expected_production[[#This Row],[Date]]-expected_production[[#This Row],[Commissioned Date]])/365.25),"")</f>
        <v>0.73921971252566732</v>
      </c>
      <c r="F1412" s="49">
        <f>IF(expected_production[[#This Row],[Age (yrs)]]="",1,(1-DegradationRate)^expected_production[[#This Row],[Age (yrs)]])</f>
        <v>0.99482072510172903</v>
      </c>
      <c r="G1412" s="52">
        <f>IF(expected_production[[#This Row],[Base Expected (kWh)]]="","",expected_production[[#This Row],[Base Expected (kWh)]]*expected_production[[#This Row],[Degradation Factor]])</f>
        <v>3798.9219029459723</v>
      </c>
    </row>
    <row r="1413" spans="1:7" ht="15" hidden="1" customHeight="1" x14ac:dyDescent="0.3">
      <c r="A1413" t="s">
        <v>142</v>
      </c>
      <c r="B1413" s="2">
        <v>45474</v>
      </c>
      <c r="C1413" s="52">
        <v>4217.3999999999996</v>
      </c>
      <c r="D1413" s="48">
        <f>_xlfn.XLOOKUP(expected_production[[#This Row],[Site Name]],Table1[[Site Name ]],Table1[Commisioned Date],"")</f>
        <v>45174</v>
      </c>
      <c r="E1413" s="47">
        <f>IF(ISNUMBER(expected_production[[#This Row],[Commissioned Date]]),MAX(0,(expected_production[[#This Row],[Date]]-expected_production[[#This Row],[Commissioned Date]])/365.25),"")</f>
        <v>0.82135523613963035</v>
      </c>
      <c r="F1413" s="49">
        <f>IF(expected_production[[#This Row],[Age (yrs)]]="",1,(1-DegradationRate)^expected_production[[#This Row],[Age (yrs)]])</f>
        <v>0.9942469085176574</v>
      </c>
      <c r="G1413" s="52">
        <f>IF(expected_production[[#This Row],[Base Expected (kWh)]]="","",expected_production[[#This Row],[Base Expected (kWh)]]*expected_production[[#This Row],[Degradation Factor]])</f>
        <v>4193.1369119823676</v>
      </c>
    </row>
    <row r="1414" spans="1:7" ht="15" hidden="1" customHeight="1" x14ac:dyDescent="0.3">
      <c r="A1414" t="s">
        <v>142</v>
      </c>
      <c r="B1414" s="2">
        <v>45505</v>
      </c>
      <c r="C1414" s="52">
        <v>4844.7</v>
      </c>
      <c r="D1414" s="48">
        <f>_xlfn.XLOOKUP(expected_production[[#This Row],[Site Name]],Table1[[Site Name ]],Table1[Commisioned Date],"")</f>
        <v>45174</v>
      </c>
      <c r="E1414" s="47">
        <f>IF(ISNUMBER(expected_production[[#This Row],[Commissioned Date]]),MAX(0,(expected_production[[#This Row],[Date]]-expected_production[[#This Row],[Commissioned Date]])/365.25),"")</f>
        <v>0.90622861054072557</v>
      </c>
      <c r="F1414" s="49">
        <f>IF(expected_production[[#This Row],[Age (yrs)]]="",1,(1-DegradationRate)^expected_production[[#This Row],[Age (yrs)]])</f>
        <v>0.99365431242445801</v>
      </c>
      <c r="G1414" s="52">
        <f>IF(expected_production[[#This Row],[Base Expected (kWh)]]="","",expected_production[[#This Row],[Base Expected (kWh)]]*expected_production[[#This Row],[Degradation Factor]])</f>
        <v>4813.9570474027714</v>
      </c>
    </row>
    <row r="1415" spans="1:7" ht="15" hidden="1" customHeight="1" x14ac:dyDescent="0.3">
      <c r="A1415" t="s">
        <v>142</v>
      </c>
      <c r="B1415" s="2">
        <v>45536</v>
      </c>
      <c r="C1415" s="52">
        <v>5300.1</v>
      </c>
      <c r="D1415" s="48">
        <f>_xlfn.XLOOKUP(expected_production[[#This Row],[Site Name]],Table1[[Site Name ]],Table1[Commisioned Date],"")</f>
        <v>45174</v>
      </c>
      <c r="E1415" s="47">
        <f>IF(ISNUMBER(expected_production[[#This Row],[Commissioned Date]]),MAX(0,(expected_production[[#This Row],[Date]]-expected_production[[#This Row],[Commissioned Date]])/365.25),"")</f>
        <v>0.99110198494182067</v>
      </c>
      <c r="F1415" s="49">
        <f>IF(expected_production[[#This Row],[Age (yrs)]]="",1,(1-DegradationRate)^expected_production[[#This Row],[Age (yrs)]])</f>
        <v>0.99306206953339249</v>
      </c>
      <c r="G1415" s="52">
        <f>IF(expected_production[[#This Row],[Base Expected (kWh)]]="","",expected_production[[#This Row],[Base Expected (kWh)]]*expected_production[[#This Row],[Degradation Factor]])</f>
        <v>5263.3282747339335</v>
      </c>
    </row>
    <row r="1416" spans="1:7" ht="15" hidden="1" customHeight="1" x14ac:dyDescent="0.3">
      <c r="A1416" t="s">
        <v>142</v>
      </c>
      <c r="B1416" s="2">
        <v>45566</v>
      </c>
      <c r="C1416" s="52">
        <v>5667.3</v>
      </c>
      <c r="D1416" s="48">
        <f>_xlfn.XLOOKUP(expected_production[[#This Row],[Site Name]],Table1[[Site Name ]],Table1[Commisioned Date],"")</f>
        <v>45174</v>
      </c>
      <c r="E1416" s="47">
        <f>IF(ISNUMBER(expected_production[[#This Row],[Commissioned Date]]),MAX(0,(expected_production[[#This Row],[Date]]-expected_production[[#This Row],[Commissioned Date]])/365.25),"")</f>
        <v>1.0732375085557837</v>
      </c>
      <c r="F1416" s="49">
        <f>IF(expected_production[[#This Row],[Age (yrs)]]="",1,(1-DegradationRate)^expected_production[[#This Row],[Age (yrs)]])</f>
        <v>0.99248926734890608</v>
      </c>
      <c r="G1416" s="52">
        <f>IF(expected_production[[#This Row],[Base Expected (kWh)]]="","",expected_production[[#This Row],[Base Expected (kWh)]]*expected_production[[#This Row],[Degradation Factor]])</f>
        <v>5624.734424846456</v>
      </c>
    </row>
    <row r="1417" spans="1:7" ht="15" hidden="1" customHeight="1" x14ac:dyDescent="0.3">
      <c r="A1417" t="s">
        <v>142</v>
      </c>
      <c r="B1417" s="2">
        <v>45597</v>
      </c>
      <c r="C1417" s="52">
        <v>5624.1</v>
      </c>
      <c r="D1417" s="48">
        <f>_xlfn.XLOOKUP(expected_production[[#This Row],[Site Name]],Table1[[Site Name ]],Table1[Commisioned Date],"")</f>
        <v>45174</v>
      </c>
      <c r="E1417" s="47">
        <f>IF(ISNUMBER(expected_production[[#This Row],[Commissioned Date]]),MAX(0,(expected_production[[#This Row],[Date]]-expected_production[[#This Row],[Commissioned Date]])/365.25),"")</f>
        <v>1.1581108829568789</v>
      </c>
      <c r="F1417" s="49">
        <f>IF(expected_production[[#This Row],[Age (yrs)]]="",1,(1-DegradationRate)^expected_production[[#This Row],[Age (yrs)]])</f>
        <v>0.99189771885392486</v>
      </c>
      <c r="G1417" s="52">
        <f>IF(expected_production[[#This Row],[Base Expected (kWh)]]="","",expected_production[[#This Row],[Base Expected (kWh)]]*expected_production[[#This Row],[Degradation Factor]])</f>
        <v>5578.5319606063595</v>
      </c>
    </row>
    <row r="1418" spans="1:7" ht="15" hidden="1" customHeight="1" x14ac:dyDescent="0.3">
      <c r="A1418" t="s">
        <v>142</v>
      </c>
      <c r="B1418" s="2">
        <v>45627</v>
      </c>
      <c r="C1418" s="52">
        <v>5995.8</v>
      </c>
      <c r="D1418" s="48">
        <f>_xlfn.XLOOKUP(expected_production[[#This Row],[Site Name]],Table1[[Site Name ]],Table1[Commisioned Date],"")</f>
        <v>45174</v>
      </c>
      <c r="E1418" s="47">
        <f>IF(ISNUMBER(expected_production[[#This Row],[Commissioned Date]]),MAX(0,(expected_production[[#This Row],[Date]]-expected_production[[#This Row],[Commissioned Date]])/365.25),"")</f>
        <v>1.2402464065708418</v>
      </c>
      <c r="F1418" s="49">
        <f>IF(expected_production[[#This Row],[Age (yrs)]]="",1,(1-DegradationRate)^expected_production[[#This Row],[Age (yrs)]])</f>
        <v>0.99132558827158002</v>
      </c>
      <c r="G1418" s="52">
        <f>IF(expected_production[[#This Row],[Base Expected (kWh)]]="","",expected_production[[#This Row],[Base Expected (kWh)]]*expected_production[[#This Row],[Degradation Factor]])</f>
        <v>5943.7899621587394</v>
      </c>
    </row>
    <row r="1419" spans="1:7" ht="15" hidden="1" customHeight="1" x14ac:dyDescent="0.3">
      <c r="A1419" t="s">
        <v>142</v>
      </c>
      <c r="B1419" s="2">
        <v>45658</v>
      </c>
      <c r="C1419" s="52">
        <v>5685.3</v>
      </c>
      <c r="D1419" s="48">
        <f>_xlfn.XLOOKUP(expected_production[[#This Row],[Site Name]],Table1[[Site Name ]],Table1[Commisioned Date],"")</f>
        <v>45174</v>
      </c>
      <c r="E1419" s="47">
        <f>IF(ISNUMBER(expected_production[[#This Row],[Commissioned Date]]),MAX(0,(expected_production[[#This Row],[Date]]-expected_production[[#This Row],[Commissioned Date]])/365.25),"")</f>
        <v>1.3251197809719371</v>
      </c>
      <c r="F1419" s="49">
        <f>IF(expected_production[[#This Row],[Age (yrs)]]="",1,(1-DegradationRate)^expected_production[[#This Row],[Age (yrs)]])</f>
        <v>0.99073473335851403</v>
      </c>
      <c r="G1419" s="52">
        <f>IF(expected_production[[#This Row],[Base Expected (kWh)]]="","",expected_production[[#This Row],[Base Expected (kWh)]]*expected_production[[#This Row],[Degradation Factor]])</f>
        <v>5632.6241795631604</v>
      </c>
    </row>
    <row r="1420" spans="1:7" ht="15" hidden="1" customHeight="1" x14ac:dyDescent="0.3">
      <c r="A1420" t="s">
        <v>142</v>
      </c>
      <c r="B1420" s="2">
        <v>45689</v>
      </c>
      <c r="C1420" s="52">
        <v>4780.8</v>
      </c>
      <c r="D1420" s="48">
        <f>_xlfn.XLOOKUP(expected_production[[#This Row],[Site Name]],Table1[[Site Name ]],Table1[Commisioned Date],"")</f>
        <v>45174</v>
      </c>
      <c r="E1420" s="47">
        <f>IF(ISNUMBER(expected_production[[#This Row],[Commissioned Date]]),MAX(0,(expected_production[[#This Row],[Date]]-expected_production[[#This Row],[Commissioned Date]])/365.25),"")</f>
        <v>1.4099931553730323</v>
      </c>
      <c r="F1420" s="49">
        <f>IF(expected_production[[#This Row],[Age (yrs)]]="",1,(1-DegradationRate)^expected_production[[#This Row],[Age (yrs)]])</f>
        <v>0.99014423060979495</v>
      </c>
      <c r="G1420" s="52">
        <f>IF(expected_production[[#This Row],[Base Expected (kWh)]]="","",expected_production[[#This Row],[Base Expected (kWh)]]*expected_production[[#This Row],[Degradation Factor]])</f>
        <v>4733.6815376993081</v>
      </c>
    </row>
    <row r="1421" spans="1:7" ht="15" hidden="1" customHeight="1" x14ac:dyDescent="0.3">
      <c r="A1421" t="s">
        <v>142</v>
      </c>
      <c r="B1421" s="2">
        <v>45717</v>
      </c>
      <c r="C1421" s="52">
        <v>4935.6000000000004</v>
      </c>
      <c r="D1421" s="48">
        <f>_xlfn.XLOOKUP(expected_production[[#This Row],[Site Name]],Table1[[Site Name ]],Table1[Commisioned Date],"")</f>
        <v>45174</v>
      </c>
      <c r="E1421" s="47">
        <f>IF(ISNUMBER(expected_production[[#This Row],[Commissioned Date]]),MAX(0,(expected_production[[#This Row],[Date]]-expected_production[[#This Row],[Commissioned Date]])/365.25),"")</f>
        <v>1.4866529774127311</v>
      </c>
      <c r="F1421" s="49">
        <f>IF(expected_production[[#This Row],[Age (yrs)]]="",1,(1-DegradationRate)^expected_production[[#This Row],[Age (yrs)]])</f>
        <v>0.98961117580654445</v>
      </c>
      <c r="G1421" s="52">
        <f>IF(expected_production[[#This Row],[Base Expected (kWh)]]="","",expected_production[[#This Row],[Base Expected (kWh)]]*expected_production[[#This Row],[Degradation Factor]])</f>
        <v>4884.3249193107813</v>
      </c>
    </row>
    <row r="1422" spans="1:7" ht="15" hidden="1" customHeight="1" x14ac:dyDescent="0.3">
      <c r="A1422" t="s">
        <v>142</v>
      </c>
      <c r="B1422" s="2">
        <v>45748</v>
      </c>
      <c r="C1422" s="52">
        <v>4359.6000000000004</v>
      </c>
      <c r="D1422" s="48">
        <f>_xlfn.XLOOKUP(expected_production[[#This Row],[Site Name]],Table1[[Site Name ]],Table1[Commisioned Date],"")</f>
        <v>45174</v>
      </c>
      <c r="E1422" s="47">
        <f>IF(ISNUMBER(expected_production[[#This Row],[Commissioned Date]]),MAX(0,(expected_production[[#This Row],[Date]]-expected_production[[#This Row],[Commissioned Date]])/365.25),"")</f>
        <v>1.5715263518138261</v>
      </c>
      <c r="F1422" s="49">
        <f>IF(expected_production[[#This Row],[Age (yrs)]]="",1,(1-DegradationRate)^expected_production[[#This Row],[Age (yrs)]])</f>
        <v>0.98902134272630504</v>
      </c>
      <c r="G1422" s="52">
        <f>IF(expected_production[[#This Row],[Base Expected (kWh)]]="","",expected_production[[#This Row],[Base Expected (kWh)]]*expected_production[[#This Row],[Degradation Factor]])</f>
        <v>4311.7374457495998</v>
      </c>
    </row>
    <row r="1423" spans="1:7" ht="15" hidden="1" customHeight="1" x14ac:dyDescent="0.3">
      <c r="A1423" t="s">
        <v>142</v>
      </c>
      <c r="B1423" s="2">
        <v>45778</v>
      </c>
      <c r="C1423" s="52">
        <v>4194</v>
      </c>
      <c r="D1423" s="48">
        <f>_xlfn.XLOOKUP(expected_production[[#This Row],[Site Name]],Table1[[Site Name ]],Table1[Commisioned Date],"")</f>
        <v>45174</v>
      </c>
      <c r="E1423" s="47">
        <f>IF(ISNUMBER(expected_production[[#This Row],[Commissioned Date]]),MAX(0,(expected_production[[#This Row],[Date]]-expected_production[[#This Row],[Commissioned Date]])/365.25),"")</f>
        <v>1.6536618754277892</v>
      </c>
      <c r="F1423" s="49">
        <f>IF(expected_production[[#This Row],[Age (yrs)]]="",1,(1-DegradationRate)^expected_production[[#This Row],[Age (yrs)]])</f>
        <v>0.98845087124924669</v>
      </c>
      <c r="G1423" s="52">
        <f>IF(expected_production[[#This Row],[Base Expected (kWh)]]="","",expected_production[[#This Row],[Base Expected (kWh)]]*expected_production[[#This Row],[Degradation Factor]])</f>
        <v>4145.5629540193404</v>
      </c>
    </row>
    <row r="1424" spans="1:7" ht="15" hidden="1" customHeight="1" x14ac:dyDescent="0.3">
      <c r="A1424" t="s">
        <v>142</v>
      </c>
      <c r="B1424" s="2">
        <v>45809</v>
      </c>
      <c r="C1424" s="52">
        <v>3818.7</v>
      </c>
      <c r="D1424" s="48">
        <f>_xlfn.XLOOKUP(expected_production[[#This Row],[Site Name]],Table1[[Site Name ]],Table1[Commisioned Date],"")</f>
        <v>45174</v>
      </c>
      <c r="E1424" s="47">
        <f>IF(ISNUMBER(expected_production[[#This Row],[Commissioned Date]]),MAX(0,(expected_production[[#This Row],[Date]]-expected_production[[#This Row],[Commissioned Date]])/365.25),"")</f>
        <v>1.7385352498288844</v>
      </c>
      <c r="F1424" s="49">
        <f>IF(expected_production[[#This Row],[Age (yrs)]]="",1,(1-DegradationRate)^expected_production[[#This Row],[Age (yrs)]])</f>
        <v>0.98786172973962394</v>
      </c>
      <c r="G1424" s="52">
        <f>IF(expected_production[[#This Row],[Base Expected (kWh)]]="","",expected_production[[#This Row],[Base Expected (kWh)]]*expected_production[[#This Row],[Degradation Factor]])</f>
        <v>3772.3475873567018</v>
      </c>
    </row>
    <row r="1425" spans="1:7" ht="15" hidden="1" customHeight="1" x14ac:dyDescent="0.3">
      <c r="A1425" t="s">
        <v>142</v>
      </c>
      <c r="B1425" s="2">
        <v>45839</v>
      </c>
      <c r="C1425" s="52">
        <v>4217.3999999999996</v>
      </c>
      <c r="D1425" s="48">
        <f>_xlfn.XLOOKUP(expected_production[[#This Row],[Site Name]],Table1[[Site Name ]],Table1[Commisioned Date],"")</f>
        <v>45174</v>
      </c>
      <c r="E1425" s="47">
        <f>IF(ISNUMBER(expected_production[[#This Row],[Commissioned Date]]),MAX(0,(expected_production[[#This Row],[Date]]-expected_production[[#This Row],[Commissioned Date]])/365.25),"")</f>
        <v>1.8206707734428473</v>
      </c>
      <c r="F1425" s="49">
        <f>IF(expected_production[[#This Row],[Age (yrs)]]="",1,(1-DegradationRate)^expected_production[[#This Row],[Age (yrs)]])</f>
        <v>0.98729192713198699</v>
      </c>
      <c r="G1425" s="52">
        <f>IF(expected_production[[#This Row],[Base Expected (kWh)]]="","",expected_production[[#This Row],[Base Expected (kWh)]]*expected_production[[#This Row],[Degradation Factor]])</f>
        <v>4163.8049734864417</v>
      </c>
    </row>
    <row r="1426" spans="1:7" ht="15" hidden="1" customHeight="1" x14ac:dyDescent="0.3">
      <c r="A1426" t="s">
        <v>142</v>
      </c>
      <c r="B1426" s="2">
        <v>45870</v>
      </c>
      <c r="C1426" s="52">
        <v>4844.7</v>
      </c>
      <c r="D1426" s="48">
        <f>_xlfn.XLOOKUP(expected_production[[#This Row],[Site Name]],Table1[[Site Name ]],Table1[Commisioned Date],"")</f>
        <v>45174</v>
      </c>
      <c r="E1426" s="47">
        <f>IF(ISNUMBER(expected_production[[#This Row],[Commissioned Date]]),MAX(0,(expected_production[[#This Row],[Date]]-expected_production[[#This Row],[Commissioned Date]])/365.25),"")</f>
        <v>1.9055441478439425</v>
      </c>
      <c r="F1426" s="49">
        <f>IF(expected_production[[#This Row],[Age (yrs)]]="",1,(1-DegradationRate)^expected_production[[#This Row],[Age (yrs)]])</f>
        <v>0.98670347638212452</v>
      </c>
      <c r="G1426" s="52">
        <f>IF(expected_production[[#This Row],[Base Expected (kWh)]]="","",expected_production[[#This Row],[Base Expected (kWh)]]*expected_production[[#This Row],[Degradation Factor]])</f>
        <v>4780.2823320284788</v>
      </c>
    </row>
    <row r="1427" spans="1:7" ht="15" hidden="1" customHeight="1" x14ac:dyDescent="0.3">
      <c r="A1427" t="s">
        <v>142</v>
      </c>
      <c r="B1427" s="2">
        <v>45901</v>
      </c>
      <c r="C1427" s="52">
        <v>5300.1</v>
      </c>
      <c r="D1427" s="48">
        <f>_xlfn.XLOOKUP(expected_production[[#This Row],[Site Name]],Table1[[Site Name ]],Table1[Commisioned Date],"")</f>
        <v>45174</v>
      </c>
      <c r="E1427" s="47">
        <f>IF(ISNUMBER(expected_production[[#This Row],[Commissioned Date]]),MAX(0,(expected_production[[#This Row],[Date]]-expected_production[[#This Row],[Commissioned Date]])/365.25),"")</f>
        <v>1.9904175222450375</v>
      </c>
      <c r="F1427" s="49">
        <f>IF(expected_production[[#This Row],[Age (yrs)]]="",1,(1-DegradationRate)^expected_production[[#This Row],[Age (yrs)]])</f>
        <v>0.9861153763636672</v>
      </c>
      <c r="G1427" s="52">
        <f>IF(expected_production[[#This Row],[Base Expected (kWh)]]="","",expected_production[[#This Row],[Base Expected (kWh)]]*expected_production[[#This Row],[Degradation Factor]])</f>
        <v>5226.5101062650729</v>
      </c>
    </row>
    <row r="1428" spans="1:7" ht="15" hidden="1" customHeight="1" x14ac:dyDescent="0.3">
      <c r="A1428" t="s">
        <v>142</v>
      </c>
      <c r="B1428" s="2">
        <v>45931</v>
      </c>
      <c r="C1428" s="52">
        <v>5667.3</v>
      </c>
      <c r="D1428" s="48">
        <f>_xlfn.XLOOKUP(expected_production[[#This Row],[Site Name]],Table1[[Site Name ]],Table1[Commisioned Date],"")</f>
        <v>45174</v>
      </c>
      <c r="E1428" s="47">
        <f>IF(ISNUMBER(expected_production[[#This Row],[Commissioned Date]]),MAX(0,(expected_production[[#This Row],[Date]]-expected_production[[#This Row],[Commissioned Date]])/365.25),"")</f>
        <v>2.0725530458590007</v>
      </c>
      <c r="F1428" s="49">
        <f>IF(expected_production[[#This Row],[Age (yrs)]]="",1,(1-DegradationRate)^expected_production[[#This Row],[Age (yrs)]])</f>
        <v>0.98554658105966153</v>
      </c>
      <c r="G1428" s="52">
        <f>IF(expected_production[[#This Row],[Base Expected (kWh)]]="","",expected_production[[#This Row],[Base Expected (kWh)]]*expected_production[[#This Row],[Degradation Factor]])</f>
        <v>5585.3881388394202</v>
      </c>
    </row>
    <row r="1429" spans="1:7" ht="15" hidden="1" customHeight="1" x14ac:dyDescent="0.3">
      <c r="A1429" t="s">
        <v>142</v>
      </c>
      <c r="B1429" s="2">
        <v>45962</v>
      </c>
      <c r="C1429" s="52">
        <v>5624.1</v>
      </c>
      <c r="D1429" s="48">
        <f>_xlfn.XLOOKUP(expected_production[[#This Row],[Site Name]],Table1[[Site Name ]],Table1[Commisioned Date],"")</f>
        <v>45174</v>
      </c>
      <c r="E1429" s="47">
        <f>IF(ISNUMBER(expected_production[[#This Row],[Commissioned Date]]),MAX(0,(expected_production[[#This Row],[Date]]-expected_production[[#This Row],[Commissioned Date]])/365.25),"")</f>
        <v>2.1574264202600957</v>
      </c>
      <c r="F1429" s="49">
        <f>IF(expected_production[[#This Row],[Age (yrs)]]="",1,(1-DegradationRate)^expected_production[[#This Row],[Age (yrs)]])</f>
        <v>0.9849591705798314</v>
      </c>
      <c r="G1429" s="52">
        <f>IF(expected_production[[#This Row],[Base Expected (kWh)]]="","",expected_production[[#This Row],[Base Expected (kWh)]]*expected_production[[#This Row],[Degradation Factor]])</f>
        <v>5539.50887125803</v>
      </c>
    </row>
    <row r="1430" spans="1:7" ht="15" hidden="1" customHeight="1" x14ac:dyDescent="0.3">
      <c r="A1430" t="s">
        <v>142</v>
      </c>
      <c r="B1430" s="2">
        <v>45992</v>
      </c>
      <c r="C1430" s="52">
        <v>5995.8</v>
      </c>
      <c r="D1430" s="48">
        <f>_xlfn.XLOOKUP(expected_production[[#This Row],[Site Name]],Table1[[Site Name ]],Table1[Commisioned Date],"")</f>
        <v>45174</v>
      </c>
      <c r="E1430" s="47">
        <f>IF(ISNUMBER(expected_production[[#This Row],[Commissioned Date]]),MAX(0,(expected_production[[#This Row],[Date]]-expected_production[[#This Row],[Commissioned Date]])/365.25),"")</f>
        <v>2.239561943874059</v>
      </c>
      <c r="F1430" s="49">
        <f>IF(expected_production[[#This Row],[Age (yrs)]]="",1,(1-DegradationRate)^expected_production[[#This Row],[Age (yrs)]])</f>
        <v>0.98439104217995888</v>
      </c>
      <c r="G1430" s="52">
        <f>IF(expected_production[[#This Row],[Base Expected (kWh)]]="","",expected_production[[#This Row],[Base Expected (kWh)]]*expected_production[[#This Row],[Degradation Factor]])</f>
        <v>5902.2118107025972</v>
      </c>
    </row>
    <row r="1431" spans="1:7" ht="15" hidden="1" customHeight="1" x14ac:dyDescent="0.3">
      <c r="A1431" t="s">
        <v>142</v>
      </c>
      <c r="B1431" s="2">
        <v>46023</v>
      </c>
      <c r="C1431" s="52">
        <v>5685.3</v>
      </c>
      <c r="D1431" s="48">
        <f>_xlfn.XLOOKUP(expected_production[[#This Row],[Site Name]],Table1[[Site Name ]],Table1[Commisioned Date],"")</f>
        <v>45174</v>
      </c>
      <c r="E1431" s="47">
        <f>IF(ISNUMBER(expected_production[[#This Row],[Commissioned Date]]),MAX(0,(expected_production[[#This Row],[Date]]-expected_production[[#This Row],[Commissioned Date]])/365.25),"")</f>
        <v>2.324435318275154</v>
      </c>
      <c r="F1431" s="49">
        <f>IF(expected_production[[#This Row],[Age (yrs)]]="",1,(1-DegradationRate)^expected_production[[#This Row],[Age (yrs)]])</f>
        <v>0.98380432043028199</v>
      </c>
      <c r="G1431" s="52">
        <f>IF(expected_production[[#This Row],[Base Expected (kWh)]]="","",expected_production[[#This Row],[Base Expected (kWh)]]*expected_production[[#This Row],[Degradation Factor]])</f>
        <v>5593.222702942282</v>
      </c>
    </row>
    <row r="1432" spans="1:7" ht="15" hidden="1" customHeight="1" x14ac:dyDescent="0.3">
      <c r="A1432" t="s">
        <v>142</v>
      </c>
      <c r="B1432" s="2">
        <v>46054</v>
      </c>
      <c r="C1432" s="52">
        <v>4780.8</v>
      </c>
      <c r="D1432" s="48">
        <f>_xlfn.XLOOKUP(expected_production[[#This Row],[Site Name]],Table1[[Site Name ]],Table1[Commisioned Date],"")</f>
        <v>45174</v>
      </c>
      <c r="E1432" s="47">
        <f>IF(ISNUMBER(expected_production[[#This Row],[Commissioned Date]]),MAX(0,(expected_production[[#This Row],[Date]]-expected_production[[#This Row],[Commissioned Date]])/365.25),"")</f>
        <v>2.409308692676249</v>
      </c>
      <c r="F1432" s="49">
        <f>IF(expected_production[[#This Row],[Age (yrs)]]="",1,(1-DegradationRate)^expected_production[[#This Row],[Age (yrs)]])</f>
        <v>0.98321794838148291</v>
      </c>
      <c r="G1432" s="52">
        <f>IF(expected_production[[#This Row],[Base Expected (kWh)]]="","",expected_production[[#This Row],[Base Expected (kWh)]]*expected_production[[#This Row],[Degradation Factor]])</f>
        <v>4700.5683676221934</v>
      </c>
    </row>
    <row r="1433" spans="1:7" ht="15" hidden="1" customHeight="1" x14ac:dyDescent="0.3">
      <c r="A1433" t="s">
        <v>142</v>
      </c>
      <c r="B1433" s="2">
        <v>46082</v>
      </c>
      <c r="C1433" s="52">
        <v>4935.6000000000004</v>
      </c>
      <c r="D1433" s="48">
        <f>_xlfn.XLOOKUP(expected_production[[#This Row],[Site Name]],Table1[[Site Name ]],Table1[Commisioned Date],"")</f>
        <v>45174</v>
      </c>
      <c r="E1433" s="47">
        <f>IF(ISNUMBER(expected_production[[#This Row],[Commissioned Date]]),MAX(0,(expected_production[[#This Row],[Date]]-expected_production[[#This Row],[Commissioned Date]])/365.25),"")</f>
        <v>2.4859685147159478</v>
      </c>
      <c r="F1433" s="49">
        <f>IF(expected_production[[#This Row],[Age (yrs)]]="",1,(1-DegradationRate)^expected_production[[#This Row],[Age (yrs)]])</f>
        <v>0.98268862241681598</v>
      </c>
      <c r="G1433" s="52">
        <f>IF(expected_production[[#This Row],[Base Expected (kWh)]]="","",expected_production[[#This Row],[Base Expected (kWh)]]*expected_production[[#This Row],[Degradation Factor]])</f>
        <v>4850.1579648004372</v>
      </c>
    </row>
    <row r="1434" spans="1:7" ht="15" hidden="1" customHeight="1" x14ac:dyDescent="0.3">
      <c r="A1434" t="s">
        <v>142</v>
      </c>
      <c r="B1434" s="2">
        <v>46113</v>
      </c>
      <c r="C1434" s="52">
        <v>4359.6000000000004</v>
      </c>
      <c r="D1434" s="48">
        <f>_xlfn.XLOOKUP(expected_production[[#This Row],[Site Name]],Table1[[Site Name ]],Table1[Commisioned Date],"")</f>
        <v>45174</v>
      </c>
      <c r="E1434" s="47">
        <f>IF(ISNUMBER(expected_production[[#This Row],[Commissioned Date]]),MAX(0,(expected_production[[#This Row],[Date]]-expected_production[[#This Row],[Commissioned Date]])/365.25),"")</f>
        <v>2.5708418891170433</v>
      </c>
      <c r="F1434" s="49">
        <f>IF(expected_production[[#This Row],[Age (yrs)]]="",1,(1-DegradationRate)^expected_production[[#This Row],[Age (yrs)]])</f>
        <v>0.98210291535201466</v>
      </c>
      <c r="G1434" s="52">
        <f>IF(expected_production[[#This Row],[Base Expected (kWh)]]="","",expected_production[[#This Row],[Base Expected (kWh)]]*expected_production[[#This Row],[Degradation Factor]])</f>
        <v>4281.5758697686433</v>
      </c>
    </row>
    <row r="1435" spans="1:7" ht="15" hidden="1" customHeight="1" x14ac:dyDescent="0.3">
      <c r="A1435" t="s">
        <v>142</v>
      </c>
      <c r="B1435" s="2">
        <v>46143</v>
      </c>
      <c r="C1435" s="52">
        <v>4194</v>
      </c>
      <c r="D1435" s="48">
        <f>_xlfn.XLOOKUP(expected_production[[#This Row],[Site Name]],Table1[[Site Name ]],Table1[Commisioned Date],"")</f>
        <v>45174</v>
      </c>
      <c r="E1435" s="47">
        <f>IF(ISNUMBER(expected_production[[#This Row],[Commissioned Date]]),MAX(0,(expected_production[[#This Row],[Date]]-expected_production[[#This Row],[Commissioned Date]])/365.25),"")</f>
        <v>2.6529774127310062</v>
      </c>
      <c r="F1435" s="49">
        <f>IF(expected_production[[#This Row],[Age (yrs)]]="",1,(1-DegradationRate)^expected_production[[#This Row],[Age (yrs)]])</f>
        <v>0.98153643445161276</v>
      </c>
      <c r="G1435" s="52">
        <f>IF(expected_production[[#This Row],[Base Expected (kWh)]]="","",expected_production[[#This Row],[Base Expected (kWh)]]*expected_production[[#This Row],[Degradation Factor]])</f>
        <v>4116.5638060900637</v>
      </c>
    </row>
    <row r="1436" spans="1:7" ht="15" hidden="1" customHeight="1" x14ac:dyDescent="0.3">
      <c r="A1436" t="s">
        <v>142</v>
      </c>
      <c r="B1436" s="2">
        <v>46174</v>
      </c>
      <c r="C1436" s="52">
        <v>3818.7</v>
      </c>
      <c r="D1436" s="48">
        <f>_xlfn.XLOOKUP(expected_production[[#This Row],[Site Name]],Table1[[Site Name ]],Table1[Commisioned Date],"")</f>
        <v>45174</v>
      </c>
      <c r="E1436" s="47">
        <f>IF(ISNUMBER(expected_production[[#This Row],[Commissioned Date]]),MAX(0,(expected_production[[#This Row],[Date]]-expected_production[[#This Row],[Commissioned Date]])/365.25),"")</f>
        <v>2.7378507871321012</v>
      </c>
      <c r="F1436" s="49">
        <f>IF(expected_production[[#This Row],[Age (yrs)]]="",1,(1-DegradationRate)^expected_production[[#This Row],[Age (yrs)]])</f>
        <v>0.98095141411973563</v>
      </c>
      <c r="G1436" s="52">
        <f>IF(expected_production[[#This Row],[Base Expected (kWh)]]="","",expected_production[[#This Row],[Base Expected (kWh)]]*expected_production[[#This Row],[Degradation Factor]])</f>
        <v>3745.9591650990342</v>
      </c>
    </row>
    <row r="1437" spans="1:7" ht="15" hidden="1" customHeight="1" x14ac:dyDescent="0.3">
      <c r="A1437" t="s">
        <v>142</v>
      </c>
      <c r="B1437" s="2">
        <v>46204</v>
      </c>
      <c r="C1437" s="52">
        <v>4217.3999999999996</v>
      </c>
      <c r="D1437" s="48">
        <f>_xlfn.XLOOKUP(expected_production[[#This Row],[Site Name]],Table1[[Site Name ]],Table1[Commisioned Date],"")</f>
        <v>45174</v>
      </c>
      <c r="E1437" s="47">
        <f>IF(ISNUMBER(expected_production[[#This Row],[Commissioned Date]]),MAX(0,(expected_production[[#This Row],[Date]]-expected_production[[#This Row],[Commissioned Date]])/365.25),"")</f>
        <v>2.8199863107460645</v>
      </c>
      <c r="F1437" s="49">
        <f>IF(expected_production[[#This Row],[Age (yrs)]]="",1,(1-DegradationRate)^expected_production[[#This Row],[Age (yrs)]])</f>
        <v>0.98038559740986275</v>
      </c>
      <c r="G1437" s="52">
        <f>IF(expected_production[[#This Row],[Base Expected (kWh)]]="","",expected_production[[#This Row],[Base Expected (kWh)]]*expected_production[[#This Row],[Degradation Factor]])</f>
        <v>4134.6782185163547</v>
      </c>
    </row>
    <row r="1438" spans="1:7" ht="15" hidden="1" customHeight="1" x14ac:dyDescent="0.3">
      <c r="A1438" t="s">
        <v>142</v>
      </c>
      <c r="B1438" s="2">
        <v>46235</v>
      </c>
      <c r="C1438" s="52">
        <v>4844.7</v>
      </c>
      <c r="D1438" s="48">
        <f>_xlfn.XLOOKUP(expected_production[[#This Row],[Site Name]],Table1[[Site Name ]],Table1[Commisioned Date],"")</f>
        <v>45174</v>
      </c>
      <c r="E1438" s="47">
        <f>IF(ISNUMBER(expected_production[[#This Row],[Commissioned Date]]),MAX(0,(expected_production[[#This Row],[Date]]-expected_production[[#This Row],[Commissioned Date]])/365.25),"")</f>
        <v>2.9048596851471595</v>
      </c>
      <c r="F1438" s="49">
        <f>IF(expected_production[[#This Row],[Age (yrs)]]="",1,(1-DegradationRate)^expected_production[[#This Row],[Age (yrs)]])</f>
        <v>0.97980126300572545</v>
      </c>
      <c r="G1438" s="52">
        <f>IF(expected_production[[#This Row],[Base Expected (kWh)]]="","",expected_production[[#This Row],[Base Expected (kWh)]]*expected_production[[#This Row],[Degradation Factor]])</f>
        <v>4746.8431788838379</v>
      </c>
    </row>
    <row r="1439" spans="1:7" ht="15" hidden="1" customHeight="1" x14ac:dyDescent="0.3">
      <c r="A1439" t="s">
        <v>142</v>
      </c>
      <c r="B1439" s="2">
        <v>46266</v>
      </c>
      <c r="C1439" s="52">
        <v>5300.1</v>
      </c>
      <c r="D1439" s="48">
        <f>_xlfn.XLOOKUP(expected_production[[#This Row],[Site Name]],Table1[[Site Name ]],Table1[Commisioned Date],"")</f>
        <v>45174</v>
      </c>
      <c r="E1439" s="47">
        <f>IF(ISNUMBER(expected_production[[#This Row],[Commissioned Date]]),MAX(0,(expected_production[[#This Row],[Date]]-expected_production[[#This Row],[Commissioned Date]])/365.25),"")</f>
        <v>2.9897330595482545</v>
      </c>
      <c r="F1439" s="49">
        <f>IF(expected_production[[#This Row],[Age (yrs)]]="",1,(1-DegradationRate)^expected_production[[#This Row],[Age (yrs)]])</f>
        <v>0.97921727687954818</v>
      </c>
      <c r="G1439" s="52">
        <f>IF(expected_production[[#This Row],[Base Expected (kWh)]]="","",expected_production[[#This Row],[Base Expected (kWh)]]*expected_production[[#This Row],[Degradation Factor]])</f>
        <v>5189.9494891892937</v>
      </c>
    </row>
    <row r="1440" spans="1:7" ht="15" hidden="1" customHeight="1" x14ac:dyDescent="0.3">
      <c r="A1440" t="s">
        <v>142</v>
      </c>
      <c r="B1440" s="2">
        <v>46296</v>
      </c>
      <c r="C1440" s="52">
        <v>5667.3</v>
      </c>
      <c r="D1440" s="48">
        <f>_xlfn.XLOOKUP(expected_production[[#This Row],[Site Name]],Table1[[Site Name ]],Table1[Commisioned Date],"")</f>
        <v>45174</v>
      </c>
      <c r="E1440" s="47">
        <f>IF(ISNUMBER(expected_production[[#This Row],[Commissioned Date]]),MAX(0,(expected_production[[#This Row],[Date]]-expected_production[[#This Row],[Commissioned Date]])/365.25),"")</f>
        <v>3.0718685831622174</v>
      </c>
      <c r="F1440" s="49">
        <f>IF(expected_production[[#This Row],[Age (yrs)]]="",1,(1-DegradationRate)^expected_production[[#This Row],[Age (yrs)]])</f>
        <v>0.97865246042699039</v>
      </c>
      <c r="G1440" s="52">
        <f>IF(expected_production[[#This Row],[Base Expected (kWh)]]="","",expected_production[[#This Row],[Base Expected (kWh)]]*expected_production[[#This Row],[Degradation Factor]])</f>
        <v>5546.317088977883</v>
      </c>
    </row>
    <row r="1441" spans="1:7" ht="15" hidden="1" customHeight="1" x14ac:dyDescent="0.3">
      <c r="A1441" t="s">
        <v>142</v>
      </c>
      <c r="B1441" s="2">
        <v>46327</v>
      </c>
      <c r="C1441" s="52">
        <v>5624.1</v>
      </c>
      <c r="D1441" s="48">
        <f>_xlfn.XLOOKUP(expected_production[[#This Row],[Site Name]],Table1[[Site Name ]],Table1[Commisioned Date],"")</f>
        <v>45174</v>
      </c>
      <c r="E1441" s="47">
        <f>IF(ISNUMBER(expected_production[[#This Row],[Commissioned Date]]),MAX(0,(expected_production[[#This Row],[Date]]-expected_production[[#This Row],[Commissioned Date]])/365.25),"")</f>
        <v>3.1567419575633129</v>
      </c>
      <c r="F1441" s="49">
        <f>IF(expected_production[[#This Row],[Age (yrs)]]="",1,(1-DegradationRate)^expected_production[[#This Row],[Age (yrs)]])</f>
        <v>0.97806915901596192</v>
      </c>
      <c r="G1441" s="52">
        <f>IF(expected_production[[#This Row],[Base Expected (kWh)]]="","",expected_production[[#This Row],[Base Expected (kWh)]]*expected_production[[#This Row],[Degradation Factor]])</f>
        <v>5500.7587572216717</v>
      </c>
    </row>
    <row r="1442" spans="1:7" ht="15" hidden="1" customHeight="1" x14ac:dyDescent="0.3">
      <c r="A1442" t="s">
        <v>142</v>
      </c>
      <c r="B1442" s="2">
        <v>46357</v>
      </c>
      <c r="C1442" s="52">
        <v>5995.8</v>
      </c>
      <c r="D1442" s="48">
        <f>_xlfn.XLOOKUP(expected_production[[#This Row],[Site Name]],Table1[[Site Name ]],Table1[Commisioned Date],"")</f>
        <v>45174</v>
      </c>
      <c r="E1442" s="47">
        <f>IF(ISNUMBER(expected_production[[#This Row],[Commissioned Date]]),MAX(0,(expected_production[[#This Row],[Date]]-expected_production[[#This Row],[Commissioned Date]])/365.25),"")</f>
        <v>3.2388774811772758</v>
      </c>
      <c r="F1442" s="49">
        <f>IF(expected_production[[#This Row],[Age (yrs)]]="",1,(1-DegradationRate)^expected_production[[#This Row],[Age (yrs)]])</f>
        <v>0.97750500480239255</v>
      </c>
      <c r="G1442" s="52">
        <f>IF(expected_production[[#This Row],[Base Expected (kWh)]]="","",expected_production[[#This Row],[Base Expected (kWh)]]*expected_production[[#This Row],[Degradation Factor]])</f>
        <v>5860.924507794185</v>
      </c>
    </row>
    <row r="1443" spans="1:7" ht="15" hidden="1" customHeight="1" x14ac:dyDescent="0.3">
      <c r="A1443" t="s">
        <v>145</v>
      </c>
      <c r="B1443" s="2">
        <v>45292</v>
      </c>
      <c r="C1443" s="52">
        <v>41208.480000000003</v>
      </c>
      <c r="D1443" s="48">
        <f>_xlfn.XLOOKUP(expected_production[[#This Row],[Site Name]],Table1[[Site Name ]],Table1[Commisioned Date],"")</f>
        <v>45101</v>
      </c>
      <c r="E1443" s="47">
        <f>IF(ISNUMBER(expected_production[[#This Row],[Commissioned Date]]),MAX(0,(expected_production[[#This Row],[Date]]-expected_production[[#This Row],[Commissioned Date]])/365.25),"")</f>
        <v>0.5229295003422314</v>
      </c>
      <c r="F1443" s="49">
        <f>IF(expected_production[[#This Row],[Age (yrs)]]="",1,(1-DegradationRate)^expected_production[[#This Row],[Age (yrs)]])</f>
        <v>0.99633336022160601</v>
      </c>
      <c r="G1443" s="52">
        <f>IF(expected_production[[#This Row],[Base Expected (kWh)]]="","",expected_production[[#This Row],[Base Expected (kWh)]]*expected_production[[#This Row],[Degradation Factor]])</f>
        <v>41057.38334802485</v>
      </c>
    </row>
    <row r="1444" spans="1:7" ht="15" hidden="1" customHeight="1" x14ac:dyDescent="0.3">
      <c r="A1444" t="s">
        <v>145</v>
      </c>
      <c r="B1444" s="2">
        <v>45323</v>
      </c>
      <c r="C1444" s="52">
        <v>35976.15</v>
      </c>
      <c r="D1444" s="48">
        <f>_xlfn.XLOOKUP(expected_production[[#This Row],[Site Name]],Table1[[Site Name ]],Table1[Commisioned Date],"")</f>
        <v>45101</v>
      </c>
      <c r="E1444" s="47">
        <f>IF(ISNUMBER(expected_production[[#This Row],[Commissioned Date]]),MAX(0,(expected_production[[#This Row],[Date]]-expected_production[[#This Row],[Commissioned Date]])/365.25),"")</f>
        <v>0.6078028747433265</v>
      </c>
      <c r="F1444" s="49">
        <f>IF(expected_production[[#This Row],[Age (yrs)]]="",1,(1-DegradationRate)^expected_production[[#This Row],[Age (yrs)]])</f>
        <v>0.9957395205508629</v>
      </c>
      <c r="G1444" s="52">
        <f>IF(expected_production[[#This Row],[Base Expected (kWh)]]="","",expected_production[[#This Row],[Base Expected (kWh)]]*expected_production[[#This Row],[Degradation Factor]])</f>
        <v>35822.874352265928</v>
      </c>
    </row>
    <row r="1445" spans="1:7" ht="15" hidden="1" customHeight="1" x14ac:dyDescent="0.3">
      <c r="A1445" t="s">
        <v>145</v>
      </c>
      <c r="B1445" s="2">
        <v>45352</v>
      </c>
      <c r="C1445" s="52">
        <v>36559.980000000003</v>
      </c>
      <c r="D1445" s="48">
        <f>_xlfn.XLOOKUP(expected_production[[#This Row],[Site Name]],Table1[[Site Name ]],Table1[Commisioned Date],"")</f>
        <v>45101</v>
      </c>
      <c r="E1445" s="47">
        <f>IF(ISNUMBER(expected_production[[#This Row],[Commissioned Date]]),MAX(0,(expected_production[[#This Row],[Date]]-expected_production[[#This Row],[Commissioned Date]])/365.25),"")</f>
        <v>0.68720054757015747</v>
      </c>
      <c r="F1445" s="49">
        <f>IF(expected_production[[#This Row],[Age (yrs)]]="",1,(1-DegradationRate)^expected_production[[#This Row],[Age (yrs)]])</f>
        <v>0.99518431354842052</v>
      </c>
      <c r="G1445" s="52">
        <f>IF(expected_production[[#This Row],[Base Expected (kWh)]]="","",expected_production[[#This Row],[Base Expected (kWh)]]*expected_production[[#This Row],[Degradation Factor]])</f>
        <v>36383.918599643985</v>
      </c>
    </row>
    <row r="1446" spans="1:7" ht="15" hidden="1" customHeight="1" x14ac:dyDescent="0.3">
      <c r="A1446" t="s">
        <v>145</v>
      </c>
      <c r="B1446" s="2">
        <v>45383</v>
      </c>
      <c r="C1446" s="52">
        <v>33604.11</v>
      </c>
      <c r="D1446" s="48">
        <f>_xlfn.XLOOKUP(expected_production[[#This Row],[Site Name]],Table1[[Site Name ]],Table1[Commisioned Date],"")</f>
        <v>45101</v>
      </c>
      <c r="E1446" s="47">
        <f>IF(ISNUMBER(expected_production[[#This Row],[Commissioned Date]]),MAX(0,(expected_production[[#This Row],[Date]]-expected_production[[#This Row],[Commissioned Date]])/365.25),"")</f>
        <v>0.77207392197125257</v>
      </c>
      <c r="F1446" s="49">
        <f>IF(expected_production[[#This Row],[Age (yrs)]]="",1,(1-DegradationRate)^expected_production[[#This Row],[Age (yrs)]])</f>
        <v>0.99459115873831261</v>
      </c>
      <c r="G1446" s="52">
        <f>IF(expected_production[[#This Row],[Base Expected (kWh)]]="","",expected_production[[#This Row],[Base Expected (kWh)]]*expected_production[[#This Row],[Degradation Factor]])</f>
        <v>33422.350703269716</v>
      </c>
    </row>
    <row r="1447" spans="1:7" ht="15" hidden="1" customHeight="1" x14ac:dyDescent="0.3">
      <c r="A1447" t="s">
        <v>145</v>
      </c>
      <c r="B1447" s="2">
        <v>45413</v>
      </c>
      <c r="C1447" s="52">
        <v>32958.629999999997</v>
      </c>
      <c r="D1447" s="48">
        <f>_xlfn.XLOOKUP(expected_production[[#This Row],[Site Name]],Table1[[Site Name ]],Table1[Commisioned Date],"")</f>
        <v>45101</v>
      </c>
      <c r="E1447" s="47">
        <f>IF(ISNUMBER(expected_production[[#This Row],[Commissioned Date]]),MAX(0,(expected_production[[#This Row],[Date]]-expected_production[[#This Row],[Commissioned Date]])/365.25),"")</f>
        <v>0.85420944558521561</v>
      </c>
      <c r="F1447" s="49">
        <f>IF(expected_production[[#This Row],[Age (yrs)]]="",1,(1-DegradationRate)^expected_production[[#This Row],[Age (yrs)]])</f>
        <v>0.99401747456904022</v>
      </c>
      <c r="G1447" s="52">
        <f>IF(expected_production[[#This Row],[Base Expected (kWh)]]="","",expected_production[[#This Row],[Base Expected (kWh)]]*expected_production[[#This Row],[Degradation Factor]])</f>
        <v>32761.454157855402</v>
      </c>
    </row>
    <row r="1448" spans="1:7" ht="15" hidden="1" customHeight="1" x14ac:dyDescent="0.3">
      <c r="A1448" t="s">
        <v>145</v>
      </c>
      <c r="B1448" s="2">
        <v>45444</v>
      </c>
      <c r="C1448" s="52">
        <v>30018.22119</v>
      </c>
      <c r="D1448" s="48">
        <f>_xlfn.XLOOKUP(expected_production[[#This Row],[Site Name]],Table1[[Site Name ]],Table1[Commisioned Date],"")</f>
        <v>45101</v>
      </c>
      <c r="E1448" s="47">
        <f>IF(ISNUMBER(expected_production[[#This Row],[Commissioned Date]]),MAX(0,(expected_production[[#This Row],[Date]]-expected_production[[#This Row],[Commissioned Date]])/365.25),"")</f>
        <v>0.93908281998631071</v>
      </c>
      <c r="F1448" s="49">
        <f>IF(expected_production[[#This Row],[Age (yrs)]]="",1,(1-DegradationRate)^expected_production[[#This Row],[Age (yrs)]])</f>
        <v>0.99342501522422844</v>
      </c>
      <c r="G1448" s="52">
        <f>IF(expected_production[[#This Row],[Base Expected (kWh)]]="","",expected_production[[#This Row],[Base Expected (kWh)]]*expected_production[[#This Row],[Degradation Factor]])</f>
        <v>29820.851842680007</v>
      </c>
    </row>
    <row r="1449" spans="1:7" ht="15" hidden="1" customHeight="1" x14ac:dyDescent="0.3">
      <c r="A1449" t="s">
        <v>145</v>
      </c>
      <c r="B1449" s="2">
        <v>45474</v>
      </c>
      <c r="C1449" s="52">
        <v>32459.809590000001</v>
      </c>
      <c r="D1449" s="48">
        <f>_xlfn.XLOOKUP(expected_production[[#This Row],[Site Name]],Table1[[Site Name ]],Table1[Commisioned Date],"")</f>
        <v>45101</v>
      </c>
      <c r="E1449" s="47">
        <f>IF(ISNUMBER(expected_production[[#This Row],[Commissioned Date]]),MAX(0,(expected_production[[#This Row],[Date]]-expected_production[[#This Row],[Commissioned Date]])/365.25),"")</f>
        <v>1.0212183436002737</v>
      </c>
      <c r="F1449" s="49">
        <f>IF(expected_production[[#This Row],[Age (yrs)]]="",1,(1-DegradationRate)^expected_production[[#This Row],[Age (yrs)]])</f>
        <v>0.99285200369121185</v>
      </c>
      <c r="G1449" s="52">
        <f>IF(expected_production[[#This Row],[Base Expected (kWh)]]="","",expected_production[[#This Row],[Base Expected (kWh)]]*expected_production[[#This Row],[Degradation Factor]])</f>
        <v>32227.786990866716</v>
      </c>
    </row>
    <row r="1450" spans="1:7" ht="15" hidden="1" customHeight="1" x14ac:dyDescent="0.3">
      <c r="A1450" t="s">
        <v>145</v>
      </c>
      <c r="B1450" s="2">
        <v>45505</v>
      </c>
      <c r="C1450" s="52">
        <v>36506.12571</v>
      </c>
      <c r="D1450" s="48">
        <f>_xlfn.XLOOKUP(expected_production[[#This Row],[Site Name]],Table1[[Site Name ]],Table1[Commisioned Date],"")</f>
        <v>45101</v>
      </c>
      <c r="E1450" s="47">
        <f>IF(ISNUMBER(expected_production[[#This Row],[Commissioned Date]]),MAX(0,(expected_production[[#This Row],[Date]]-expected_production[[#This Row],[Commissioned Date]])/365.25),"")</f>
        <v>1.106091718001369</v>
      </c>
      <c r="F1450" s="49">
        <f>IF(expected_production[[#This Row],[Age (yrs)]]="",1,(1-DegradationRate)^expected_production[[#This Row],[Age (yrs)]])</f>
        <v>0.99226023899627325</v>
      </c>
      <c r="G1450" s="52">
        <f>IF(expected_production[[#This Row],[Base Expected (kWh)]]="","",expected_production[[#This Row],[Base Expected (kWh)]]*expected_production[[#This Row],[Degradation Factor]])</f>
        <v>36223.577021832592</v>
      </c>
    </row>
    <row r="1451" spans="1:7" ht="15" hidden="1" customHeight="1" x14ac:dyDescent="0.3">
      <c r="A1451" t="s">
        <v>145</v>
      </c>
      <c r="B1451" s="2">
        <v>45536</v>
      </c>
      <c r="C1451" s="52">
        <v>37370.869830000003</v>
      </c>
      <c r="D1451" s="48">
        <f>_xlfn.XLOOKUP(expected_production[[#This Row],[Site Name]],Table1[[Site Name ]],Table1[Commisioned Date],"")</f>
        <v>45101</v>
      </c>
      <c r="E1451" s="47">
        <f>IF(ISNUMBER(expected_production[[#This Row],[Commissioned Date]]),MAX(0,(expected_production[[#This Row],[Date]]-expected_production[[#This Row],[Commissioned Date]])/365.25),"")</f>
        <v>1.1909650924024642</v>
      </c>
      <c r="F1451" s="49">
        <f>IF(expected_production[[#This Row],[Age (yrs)]]="",1,(1-DegradationRate)^expected_production[[#This Row],[Age (yrs)]])</f>
        <v>0.99166882700793424</v>
      </c>
      <c r="G1451" s="52">
        <f>IF(expected_production[[#This Row],[Base Expected (kWh)]]="","",expected_production[[#This Row],[Base Expected (kWh)]]*expected_production[[#This Row],[Degradation Factor]])</f>
        <v>37059.526648582301</v>
      </c>
    </row>
    <row r="1452" spans="1:7" ht="15" hidden="1" customHeight="1" x14ac:dyDescent="0.3">
      <c r="A1452" t="s">
        <v>145</v>
      </c>
      <c r="B1452" s="2">
        <v>45566</v>
      </c>
      <c r="C1452" s="52">
        <v>40182.986250000002</v>
      </c>
      <c r="D1452" s="48">
        <f>_xlfn.XLOOKUP(expected_production[[#This Row],[Site Name]],Table1[[Site Name ]],Table1[Commisioned Date],"")</f>
        <v>45101</v>
      </c>
      <c r="E1452" s="47">
        <f>IF(ISNUMBER(expected_production[[#This Row],[Commissioned Date]]),MAX(0,(expected_production[[#This Row],[Date]]-expected_production[[#This Row],[Commissioned Date]])/365.25),"")</f>
        <v>1.2731006160164271</v>
      </c>
      <c r="F1452" s="49">
        <f>IF(expected_production[[#This Row],[Age (yrs)]]="",1,(1-DegradationRate)^expected_production[[#This Row],[Age (yrs)]])</f>
        <v>0.99109682845132419</v>
      </c>
      <c r="G1452" s="52">
        <f>IF(expected_production[[#This Row],[Base Expected (kWh)]]="","",expected_production[[#This Row],[Base Expected (kWh)]]*expected_production[[#This Row],[Degradation Factor]])</f>
        <v>39825.230230078167</v>
      </c>
    </row>
    <row r="1453" spans="1:7" ht="15" hidden="1" customHeight="1" x14ac:dyDescent="0.3">
      <c r="A1453" t="s">
        <v>145</v>
      </c>
      <c r="B1453" s="2">
        <v>45597</v>
      </c>
      <c r="C1453" s="52">
        <v>40330.536119999997</v>
      </c>
      <c r="D1453" s="48">
        <f>_xlfn.XLOOKUP(expected_production[[#This Row],[Site Name]],Table1[[Site Name ]],Table1[Commisioned Date],"")</f>
        <v>45101</v>
      </c>
      <c r="E1453" s="47">
        <f>IF(ISNUMBER(expected_production[[#This Row],[Commissioned Date]]),MAX(0,(expected_production[[#This Row],[Date]]-expected_production[[#This Row],[Commissioned Date]])/365.25),"")</f>
        <v>1.3579739904175223</v>
      </c>
      <c r="F1453" s="49">
        <f>IF(expected_production[[#This Row],[Age (yrs)]]="",1,(1-DegradationRate)^expected_production[[#This Row],[Age (yrs)]])</f>
        <v>0.99050610988484844</v>
      </c>
      <c r="G1453" s="52">
        <f>IF(expected_production[[#This Row],[Base Expected (kWh)]]="","",expected_production[[#This Row],[Base Expected (kWh)]]*expected_production[[#This Row],[Degradation Factor]])</f>
        <v>39947.64244179157</v>
      </c>
    </row>
    <row r="1454" spans="1:7" ht="15" hidden="1" customHeight="1" x14ac:dyDescent="0.3">
      <c r="A1454" t="s">
        <v>145</v>
      </c>
      <c r="B1454" s="2">
        <v>45627</v>
      </c>
      <c r="C1454" s="52">
        <v>42601.427819999997</v>
      </c>
      <c r="D1454" s="48">
        <f>_xlfn.XLOOKUP(expected_production[[#This Row],[Site Name]],Table1[[Site Name ]],Table1[Commisioned Date],"")</f>
        <v>45101</v>
      </c>
      <c r="E1454" s="47">
        <f>IF(ISNUMBER(expected_production[[#This Row],[Commissioned Date]]),MAX(0,(expected_production[[#This Row],[Date]]-expected_production[[#This Row],[Commissioned Date]])/365.25),"")</f>
        <v>1.4401095140314852</v>
      </c>
      <c r="F1454" s="49">
        <f>IF(expected_production[[#This Row],[Age (yrs)]]="",1,(1-DegradationRate)^expected_production[[#This Row],[Age (yrs)]])</f>
        <v>0.98993478198813811</v>
      </c>
      <c r="G1454" s="52">
        <f>IF(expected_production[[#This Row],[Base Expected (kWh)]]="","",expected_production[[#This Row],[Base Expected (kWh)]]*expected_production[[#This Row],[Degradation Factor]])</f>
        <v>42172.635161375096</v>
      </c>
    </row>
    <row r="1455" spans="1:7" ht="15" hidden="1" customHeight="1" x14ac:dyDescent="0.3">
      <c r="A1455" t="s">
        <v>145</v>
      </c>
      <c r="B1455" s="2">
        <v>45658</v>
      </c>
      <c r="C1455" s="52">
        <v>41208.480000000003</v>
      </c>
      <c r="D1455" s="48">
        <f>_xlfn.XLOOKUP(expected_production[[#This Row],[Site Name]],Table1[[Site Name ]],Table1[Commisioned Date],"")</f>
        <v>45101</v>
      </c>
      <c r="E1455" s="47">
        <f>IF(ISNUMBER(expected_production[[#This Row],[Commissioned Date]]),MAX(0,(expected_production[[#This Row],[Date]]-expected_production[[#This Row],[Commissioned Date]])/365.25),"")</f>
        <v>1.5249828884325805</v>
      </c>
      <c r="F1455" s="49">
        <f>IF(expected_production[[#This Row],[Age (yrs)]]="",1,(1-DegradationRate)^expected_production[[#This Row],[Age (yrs)]])</f>
        <v>0.98934475603049854</v>
      </c>
      <c r="G1455" s="52">
        <f>IF(expected_production[[#This Row],[Base Expected (kWh)]]="","",expected_production[[#This Row],[Base Expected (kWh)]]*expected_production[[#This Row],[Degradation Factor]])</f>
        <v>40769.393591987682</v>
      </c>
    </row>
    <row r="1456" spans="1:7" ht="15" hidden="1" customHeight="1" x14ac:dyDescent="0.3">
      <c r="A1456" t="s">
        <v>145</v>
      </c>
      <c r="B1456" s="2">
        <v>45689</v>
      </c>
      <c r="C1456" s="52">
        <v>35976.15</v>
      </c>
      <c r="D1456" s="48">
        <f>_xlfn.XLOOKUP(expected_production[[#This Row],[Site Name]],Table1[[Site Name ]],Table1[Commisioned Date],"")</f>
        <v>45101</v>
      </c>
      <c r="E1456" s="47">
        <f>IF(ISNUMBER(expected_production[[#This Row],[Commissioned Date]]),MAX(0,(expected_production[[#This Row],[Date]]-expected_production[[#This Row],[Commissioned Date]])/365.25),"")</f>
        <v>1.6098562628336757</v>
      </c>
      <c r="F1456" s="49">
        <f>IF(expected_production[[#This Row],[Age (yrs)]]="",1,(1-DegradationRate)^expected_production[[#This Row],[Age (yrs)]])</f>
        <v>0.98875508174312754</v>
      </c>
      <c r="G1456" s="52">
        <f>IF(expected_production[[#This Row],[Base Expected (kWh)]]="","",expected_production[[#This Row],[Base Expected (kWh)]]*expected_production[[#This Row],[Degradation Factor]])</f>
        <v>35571.601134053017</v>
      </c>
    </row>
    <row r="1457" spans="1:7" ht="15" hidden="1" customHeight="1" x14ac:dyDescent="0.3">
      <c r="A1457" t="s">
        <v>145</v>
      </c>
      <c r="B1457" s="2">
        <v>45717</v>
      </c>
      <c r="C1457" s="52">
        <v>36559.980000000003</v>
      </c>
      <c r="D1457" s="48">
        <f>_xlfn.XLOOKUP(expected_production[[#This Row],[Site Name]],Table1[[Site Name ]],Table1[Commisioned Date],"")</f>
        <v>45101</v>
      </c>
      <c r="E1457" s="47">
        <f>IF(ISNUMBER(expected_production[[#This Row],[Commissioned Date]]),MAX(0,(expected_production[[#This Row],[Date]]-expected_production[[#This Row],[Commissioned Date]])/365.25),"")</f>
        <v>1.6865160848733745</v>
      </c>
      <c r="F1457" s="49">
        <f>IF(expected_production[[#This Row],[Age (yrs)]]="",1,(1-DegradationRate)^expected_production[[#This Row],[Age (yrs)]])</f>
        <v>0.98822277480312049</v>
      </c>
      <c r="G1457" s="52">
        <f>IF(expected_production[[#This Row],[Base Expected (kWh)]]="","",expected_production[[#This Row],[Base Expected (kWh)]]*expected_production[[#This Row],[Degradation Factor]])</f>
        <v>36129.404882346593</v>
      </c>
    </row>
    <row r="1458" spans="1:7" ht="15" hidden="1" customHeight="1" x14ac:dyDescent="0.3">
      <c r="A1458" t="s">
        <v>145</v>
      </c>
      <c r="B1458" s="2">
        <v>45748</v>
      </c>
      <c r="C1458" s="52">
        <v>33604.11</v>
      </c>
      <c r="D1458" s="48">
        <f>_xlfn.XLOOKUP(expected_production[[#This Row],[Site Name]],Table1[[Site Name ]],Table1[Commisioned Date],"")</f>
        <v>45101</v>
      </c>
      <c r="E1458" s="47">
        <f>IF(ISNUMBER(expected_production[[#This Row],[Commissioned Date]]),MAX(0,(expected_production[[#This Row],[Date]]-expected_production[[#This Row],[Commissioned Date]])/365.25),"")</f>
        <v>1.7713894592744694</v>
      </c>
      <c r="F1458" s="49">
        <f>IF(expected_production[[#This Row],[Age (yrs)]]="",1,(1-DegradationRate)^expected_production[[#This Row],[Age (yrs)]])</f>
        <v>0.98763376924470025</v>
      </c>
      <c r="G1458" s="52">
        <f>IF(expected_production[[#This Row],[Base Expected (kWh)]]="","",expected_production[[#This Row],[Base Expected (kWh)]]*expected_production[[#This Row],[Degradation Factor]])</f>
        <v>33188.553821413523</v>
      </c>
    </row>
    <row r="1459" spans="1:7" ht="15" hidden="1" customHeight="1" x14ac:dyDescent="0.3">
      <c r="A1459" t="s">
        <v>145</v>
      </c>
      <c r="B1459" s="2">
        <v>45778</v>
      </c>
      <c r="C1459" s="52">
        <v>32958.629999999997</v>
      </c>
      <c r="D1459" s="48">
        <f>_xlfn.XLOOKUP(expected_production[[#This Row],[Site Name]],Table1[[Site Name ]],Table1[Commisioned Date],"")</f>
        <v>45101</v>
      </c>
      <c r="E1459" s="47">
        <f>IF(ISNUMBER(expected_production[[#This Row],[Commissioned Date]]),MAX(0,(expected_production[[#This Row],[Date]]-expected_production[[#This Row],[Commissioned Date]])/365.25),"")</f>
        <v>1.8535249828884326</v>
      </c>
      <c r="F1459" s="49">
        <f>IF(expected_production[[#This Row],[Age (yrs)]]="",1,(1-DegradationRate)^expected_production[[#This Row],[Age (yrs)]])</f>
        <v>0.98706409812559115</v>
      </c>
      <c r="G1459" s="52">
        <f>IF(expected_production[[#This Row],[Base Expected (kWh)]]="","",expected_production[[#This Row],[Base Expected (kWh)]]*expected_production[[#This Row],[Degradation Factor]])</f>
        <v>32532.280396405051</v>
      </c>
    </row>
    <row r="1460" spans="1:7" ht="15" hidden="1" customHeight="1" x14ac:dyDescent="0.3">
      <c r="A1460" t="s">
        <v>145</v>
      </c>
      <c r="B1460" s="2">
        <v>45809</v>
      </c>
      <c r="C1460" s="52">
        <v>30018.22119</v>
      </c>
      <c r="D1460" s="48">
        <f>_xlfn.XLOOKUP(expected_production[[#This Row],[Site Name]],Table1[[Site Name ]],Table1[Commisioned Date],"")</f>
        <v>45101</v>
      </c>
      <c r="E1460" s="47">
        <f>IF(ISNUMBER(expected_production[[#This Row],[Commissioned Date]]),MAX(0,(expected_production[[#This Row],[Date]]-expected_production[[#This Row],[Commissioned Date]])/365.25),"")</f>
        <v>1.9383983572895278</v>
      </c>
      <c r="F1460" s="49">
        <f>IF(expected_production[[#This Row],[Age (yrs)]]="",1,(1-DegradationRate)^expected_production[[#This Row],[Age (yrs)]])</f>
        <v>0.98647578316753037</v>
      </c>
      <c r="G1460" s="52">
        <f>IF(expected_production[[#This Row],[Base Expected (kWh)]]="","",expected_production[[#This Row],[Base Expected (kWh)]]*expected_production[[#This Row],[Degradation Factor]])</f>
        <v>29612.248257701405</v>
      </c>
    </row>
    <row r="1461" spans="1:7" ht="15" hidden="1" customHeight="1" x14ac:dyDescent="0.3">
      <c r="A1461" t="s">
        <v>145</v>
      </c>
      <c r="B1461" s="2">
        <v>45839</v>
      </c>
      <c r="C1461" s="52">
        <v>32459.809590000001</v>
      </c>
      <c r="D1461" s="48">
        <f>_xlfn.XLOOKUP(expected_production[[#This Row],[Site Name]],Table1[[Site Name ]],Table1[Commisioned Date],"")</f>
        <v>45101</v>
      </c>
      <c r="E1461" s="47">
        <f>IF(ISNUMBER(expected_production[[#This Row],[Commissioned Date]]),MAX(0,(expected_production[[#This Row],[Date]]-expected_production[[#This Row],[Commissioned Date]])/365.25),"")</f>
        <v>2.020533880903491</v>
      </c>
      <c r="F1461" s="49">
        <f>IF(expected_production[[#This Row],[Age (yrs)]]="",1,(1-DegradationRate)^expected_production[[#This Row],[Age (yrs)]])</f>
        <v>0.98590677997943466</v>
      </c>
      <c r="G1461" s="52">
        <f>IF(expected_production[[#This Row],[Base Expected (kWh)]]="","",expected_production[[#This Row],[Base Expected (kWh)]]*expected_production[[#This Row],[Degradation Factor]])</f>
        <v>32002.346351622473</v>
      </c>
    </row>
    <row r="1462" spans="1:7" ht="15" hidden="1" customHeight="1" x14ac:dyDescent="0.3">
      <c r="A1462" t="s">
        <v>145</v>
      </c>
      <c r="B1462" s="2">
        <v>45870</v>
      </c>
      <c r="C1462" s="52">
        <v>36506.12571</v>
      </c>
      <c r="D1462" s="48">
        <f>_xlfn.XLOOKUP(expected_production[[#This Row],[Site Name]],Table1[[Site Name ]],Table1[Commisioned Date],"")</f>
        <v>45101</v>
      </c>
      <c r="E1462" s="47">
        <f>IF(ISNUMBER(expected_production[[#This Row],[Commissioned Date]]),MAX(0,(expected_production[[#This Row],[Date]]-expected_production[[#This Row],[Commissioned Date]])/365.25),"")</f>
        <v>2.1054072553045859</v>
      </c>
      <c r="F1462" s="49">
        <f>IF(expected_production[[#This Row],[Age (yrs)]]="",1,(1-DegradationRate)^expected_production[[#This Row],[Age (yrs)]])</f>
        <v>0.9853191548120146</v>
      </c>
      <c r="G1462" s="52">
        <f>IF(expected_production[[#This Row],[Base Expected (kWh)]]="","",expected_production[[#This Row],[Base Expected (kWh)]]*expected_production[[#This Row],[Degradation Factor]])</f>
        <v>35970.184930038355</v>
      </c>
    </row>
    <row r="1463" spans="1:7" ht="15" hidden="1" customHeight="1" x14ac:dyDescent="0.3">
      <c r="A1463" t="s">
        <v>145</v>
      </c>
      <c r="B1463" s="2">
        <v>45901</v>
      </c>
      <c r="C1463" s="52">
        <v>37370.869830000003</v>
      </c>
      <c r="D1463" s="48">
        <f>_xlfn.XLOOKUP(expected_production[[#This Row],[Site Name]],Table1[[Site Name ]],Table1[Commisioned Date],"")</f>
        <v>45101</v>
      </c>
      <c r="E1463" s="47">
        <f>IF(ISNUMBER(expected_production[[#This Row],[Commissioned Date]]),MAX(0,(expected_production[[#This Row],[Date]]-expected_production[[#This Row],[Commissioned Date]])/365.25),"")</f>
        <v>2.1902806297056809</v>
      </c>
      <c r="F1463" s="49">
        <f>IF(expected_production[[#This Row],[Age (yrs)]]="",1,(1-DegradationRate)^expected_production[[#This Row],[Age (yrs)]])</f>
        <v>0.98473187988393196</v>
      </c>
      <c r="G1463" s="52">
        <f>IF(expected_production[[#This Row],[Base Expected (kWh)]]="","",expected_production[[#This Row],[Base Expected (kWh)]]*expected_production[[#This Row],[Degradation Factor]])</f>
        <v>36800.286900593623</v>
      </c>
    </row>
    <row r="1464" spans="1:7" ht="15" hidden="1" customHeight="1" x14ac:dyDescent="0.3">
      <c r="A1464" t="s">
        <v>145</v>
      </c>
      <c r="B1464" s="2">
        <v>45931</v>
      </c>
      <c r="C1464" s="52">
        <v>40182.986250000002</v>
      </c>
      <c r="D1464" s="48">
        <f>_xlfn.XLOOKUP(expected_production[[#This Row],[Site Name]],Table1[[Site Name ]],Table1[Commisioned Date],"")</f>
        <v>45101</v>
      </c>
      <c r="E1464" s="47">
        <f>IF(ISNUMBER(expected_production[[#This Row],[Commissioned Date]]),MAX(0,(expected_production[[#This Row],[Date]]-expected_production[[#This Row],[Commissioned Date]])/365.25),"")</f>
        <v>2.2724161533196439</v>
      </c>
      <c r="F1464" s="49">
        <f>IF(expected_production[[#This Row],[Age (yrs)]]="",1,(1-DegradationRate)^expected_production[[#This Row],[Age (yrs)]])</f>
        <v>0.98416388258624432</v>
      </c>
      <c r="G1464" s="52">
        <f>IF(expected_production[[#This Row],[Base Expected (kWh)]]="","",expected_production[[#This Row],[Base Expected (kWh)]]*expected_production[[#This Row],[Degradation Factor]])</f>
        <v>39546.643761709674</v>
      </c>
    </row>
    <row r="1465" spans="1:7" ht="15" hidden="1" customHeight="1" x14ac:dyDescent="0.3">
      <c r="A1465" t="s">
        <v>145</v>
      </c>
      <c r="B1465" s="2">
        <v>45962</v>
      </c>
      <c r="C1465" s="52">
        <v>40330.536119999997</v>
      </c>
      <c r="D1465" s="48">
        <f>_xlfn.XLOOKUP(expected_production[[#This Row],[Site Name]],Table1[[Site Name ]],Table1[Commisioned Date],"")</f>
        <v>45101</v>
      </c>
      <c r="E1465" s="47">
        <f>IF(ISNUMBER(expected_production[[#This Row],[Commissioned Date]]),MAX(0,(expected_production[[#This Row],[Date]]-expected_production[[#This Row],[Commissioned Date]])/365.25),"")</f>
        <v>2.3572895277207393</v>
      </c>
      <c r="F1465" s="49">
        <f>IF(expected_production[[#This Row],[Age (yrs)]]="",1,(1-DegradationRate)^expected_production[[#This Row],[Age (yrs)]])</f>
        <v>0.9835772962293825</v>
      </c>
      <c r="G1465" s="52">
        <f>IF(expected_production[[#This Row],[Base Expected (kWh)]]="","",expected_production[[#This Row],[Base Expected (kWh)]]*expected_production[[#This Row],[Degradation Factor]])</f>
        <v>39668.199672391049</v>
      </c>
    </row>
    <row r="1466" spans="1:7" ht="15" hidden="1" customHeight="1" x14ac:dyDescent="0.3">
      <c r="A1466" t="s">
        <v>145</v>
      </c>
      <c r="B1466" s="2">
        <v>45992</v>
      </c>
      <c r="C1466" s="52">
        <v>42601.427819999997</v>
      </c>
      <c r="D1466" s="48">
        <f>_xlfn.XLOOKUP(expected_production[[#This Row],[Site Name]],Table1[[Site Name ]],Table1[Commisioned Date],"")</f>
        <v>45101</v>
      </c>
      <c r="E1466" s="47">
        <f>IF(ISNUMBER(expected_production[[#This Row],[Commissioned Date]]),MAX(0,(expected_production[[#This Row],[Date]]-expected_production[[#This Row],[Commissioned Date]])/365.25),"")</f>
        <v>2.4394250513347022</v>
      </c>
      <c r="F1466" s="49">
        <f>IF(expected_production[[#This Row],[Age (yrs)]]="",1,(1-DegradationRate)^expected_production[[#This Row],[Age (yrs)]])</f>
        <v>0.98300996490017745</v>
      </c>
      <c r="G1466" s="52">
        <f>IF(expected_production[[#This Row],[Base Expected (kWh)]]="","",expected_production[[#This Row],[Base Expected (kWh)]]*expected_production[[#This Row],[Degradation Factor]])</f>
        <v>41877.628066035642</v>
      </c>
    </row>
    <row r="1467" spans="1:7" ht="15" hidden="1" customHeight="1" x14ac:dyDescent="0.3">
      <c r="A1467" t="s">
        <v>145</v>
      </c>
      <c r="B1467" s="2">
        <v>46023</v>
      </c>
      <c r="C1467" s="52">
        <v>41208.480000000003</v>
      </c>
      <c r="D1467" s="48">
        <f>_xlfn.XLOOKUP(expected_production[[#This Row],[Site Name]],Table1[[Site Name ]],Table1[Commisioned Date],"")</f>
        <v>45101</v>
      </c>
      <c r="E1467" s="47">
        <f>IF(ISNUMBER(expected_production[[#This Row],[Commissioned Date]]),MAX(0,(expected_production[[#This Row],[Date]]-expected_production[[#This Row],[Commissioned Date]])/365.25),"")</f>
        <v>2.5242984257357972</v>
      </c>
      <c r="F1467" s="49">
        <f>IF(expected_production[[#This Row],[Age (yrs)]]="",1,(1-DegradationRate)^expected_production[[#This Row],[Age (yrs)]])</f>
        <v>0.9824240663071967</v>
      </c>
      <c r="G1467" s="52">
        <f>IF(expected_production[[#This Row],[Base Expected (kWh)]]="","",expected_production[[#This Row],[Base Expected (kWh)]]*expected_production[[#This Row],[Degradation Factor]])</f>
        <v>40484.20248793879</v>
      </c>
    </row>
    <row r="1468" spans="1:7" ht="15" hidden="1" customHeight="1" x14ac:dyDescent="0.3">
      <c r="A1468" t="s">
        <v>145</v>
      </c>
      <c r="B1468" s="2">
        <v>46054</v>
      </c>
      <c r="C1468" s="52">
        <v>35976.15</v>
      </c>
      <c r="D1468" s="48">
        <f>_xlfn.XLOOKUP(expected_production[[#This Row],[Site Name]],Table1[[Site Name ]],Table1[Commisioned Date],"")</f>
        <v>45101</v>
      </c>
      <c r="E1468" s="47">
        <f>IF(ISNUMBER(expected_production[[#This Row],[Commissioned Date]]),MAX(0,(expected_production[[#This Row],[Date]]-expected_production[[#This Row],[Commissioned Date]])/365.25),"")</f>
        <v>2.6091718001368926</v>
      </c>
      <c r="F1468" s="49">
        <f>IF(expected_production[[#This Row],[Age (yrs)]]="",1,(1-DegradationRate)^expected_production[[#This Row],[Age (yrs)]])</f>
        <v>0.98183851692447177</v>
      </c>
      <c r="G1468" s="52">
        <f>IF(expected_production[[#This Row],[Base Expected (kWh)]]="","",expected_production[[#This Row],[Base Expected (kWh)]]*expected_production[[#This Row],[Degradation Factor]])</f>
        <v>35322.769760652336</v>
      </c>
    </row>
    <row r="1469" spans="1:7" ht="15" hidden="1" customHeight="1" x14ac:dyDescent="0.3">
      <c r="A1469" t="s">
        <v>145</v>
      </c>
      <c r="B1469" s="2">
        <v>46082</v>
      </c>
      <c r="C1469" s="52">
        <v>36559.980000000003</v>
      </c>
      <c r="D1469" s="48">
        <f>_xlfn.XLOOKUP(expected_production[[#This Row],[Site Name]],Table1[[Site Name ]],Table1[Commisioned Date],"")</f>
        <v>45101</v>
      </c>
      <c r="E1469" s="47">
        <f>IF(ISNUMBER(expected_production[[#This Row],[Commissioned Date]]),MAX(0,(expected_production[[#This Row],[Date]]-expected_production[[#This Row],[Commissioned Date]])/365.25),"")</f>
        <v>2.6858316221765914</v>
      </c>
      <c r="F1469" s="49">
        <f>IF(expected_production[[#This Row],[Age (yrs)]]="",1,(1-DegradationRate)^expected_production[[#This Row],[Age (yrs)]])</f>
        <v>0.98130993359157626</v>
      </c>
      <c r="G1469" s="52">
        <f>IF(expected_production[[#This Row],[Base Expected (kWh)]]="","",expected_production[[#This Row],[Base Expected (kWh)]]*expected_production[[#This Row],[Degradation Factor]])</f>
        <v>35876.671545909361</v>
      </c>
    </row>
    <row r="1470" spans="1:7" ht="15" hidden="1" customHeight="1" x14ac:dyDescent="0.3">
      <c r="A1470" t="s">
        <v>145</v>
      </c>
      <c r="B1470" s="2">
        <v>46113</v>
      </c>
      <c r="C1470" s="52">
        <v>33604.11</v>
      </c>
      <c r="D1470" s="48">
        <f>_xlfn.XLOOKUP(expected_production[[#This Row],[Site Name]],Table1[[Site Name ]],Table1[Commisioned Date],"")</f>
        <v>45101</v>
      </c>
      <c r="E1470" s="47">
        <f>IF(ISNUMBER(expected_production[[#This Row],[Commissioned Date]]),MAX(0,(expected_production[[#This Row],[Date]]-expected_production[[#This Row],[Commissioned Date]])/365.25),"")</f>
        <v>2.7707049965776864</v>
      </c>
      <c r="F1470" s="49">
        <f>IF(expected_production[[#This Row],[Age (yrs)]]="",1,(1-DegradationRate)^expected_production[[#This Row],[Age (yrs)]])</f>
        <v>0.98072504825989237</v>
      </c>
      <c r="G1470" s="52">
        <f>IF(expected_production[[#This Row],[Base Expected (kWh)]]="","",expected_production[[#This Row],[Base Expected (kWh)]]*expected_production[[#This Row],[Degradation Factor]])</f>
        <v>32956.392401480734</v>
      </c>
    </row>
    <row r="1471" spans="1:7" ht="15" hidden="1" customHeight="1" x14ac:dyDescent="0.3">
      <c r="A1471" t="s">
        <v>145</v>
      </c>
      <c r="B1471" s="2">
        <v>46143</v>
      </c>
      <c r="C1471" s="52">
        <v>32958.629999999997</v>
      </c>
      <c r="D1471" s="48">
        <f>_xlfn.XLOOKUP(expected_production[[#This Row],[Site Name]],Table1[[Site Name ]],Table1[Commisioned Date],"")</f>
        <v>45101</v>
      </c>
      <c r="E1471" s="47">
        <f>IF(ISNUMBER(expected_production[[#This Row],[Commissioned Date]]),MAX(0,(expected_production[[#This Row],[Date]]-expected_production[[#This Row],[Commissioned Date]])/365.25),"")</f>
        <v>2.8528405201916494</v>
      </c>
      <c r="F1471" s="49">
        <f>IF(expected_production[[#This Row],[Age (yrs)]]="",1,(1-DegradationRate)^expected_production[[#This Row],[Age (yrs)]])</f>
        <v>0.98015936211875532</v>
      </c>
      <c r="G1471" s="52">
        <f>IF(expected_production[[#This Row],[Base Expected (kWh)]]="","",expected_production[[#This Row],[Base Expected (kWh)]]*expected_production[[#This Row],[Degradation Factor]])</f>
        <v>32304.70975710807</v>
      </c>
    </row>
    <row r="1472" spans="1:7" ht="15" hidden="1" customHeight="1" x14ac:dyDescent="0.3">
      <c r="A1472" t="s">
        <v>145</v>
      </c>
      <c r="B1472" s="2">
        <v>46174</v>
      </c>
      <c r="C1472" s="52">
        <v>30018.22119</v>
      </c>
      <c r="D1472" s="48">
        <f>_xlfn.XLOOKUP(expected_production[[#This Row],[Site Name]],Table1[[Site Name ]],Table1[Commisioned Date],"")</f>
        <v>45101</v>
      </c>
      <c r="E1472" s="47">
        <f>IF(ISNUMBER(expected_production[[#This Row],[Commissioned Date]]),MAX(0,(expected_production[[#This Row],[Date]]-expected_production[[#This Row],[Commissioned Date]])/365.25),"")</f>
        <v>2.9377138945927448</v>
      </c>
      <c r="F1472" s="49">
        <f>IF(expected_production[[#This Row],[Age (yrs)]]="",1,(1-DegradationRate)^expected_production[[#This Row],[Age (yrs)]])</f>
        <v>0.97957516255652555</v>
      </c>
      <c r="G1472" s="52">
        <f>IF(expected_production[[#This Row],[Base Expected (kWh)]]="","",expected_production[[#This Row],[Base Expected (kWh)]]*expected_production[[#This Row],[Degradation Factor]])</f>
        <v>29405.103901851991</v>
      </c>
    </row>
    <row r="1473" spans="1:7" ht="15" hidden="1" customHeight="1" x14ac:dyDescent="0.3">
      <c r="A1473" t="s">
        <v>145</v>
      </c>
      <c r="B1473" s="2">
        <v>46204</v>
      </c>
      <c r="C1473" s="52">
        <v>32459.809590000001</v>
      </c>
      <c r="D1473" s="48">
        <f>_xlfn.XLOOKUP(expected_production[[#This Row],[Site Name]],Table1[[Site Name ]],Table1[Commisioned Date],"")</f>
        <v>45101</v>
      </c>
      <c r="E1473" s="47">
        <f>IF(ISNUMBER(expected_production[[#This Row],[Commissioned Date]]),MAX(0,(expected_production[[#This Row],[Date]]-expected_production[[#This Row],[Commissioned Date]])/365.25),"")</f>
        <v>3.0198494182067077</v>
      </c>
      <c r="F1473" s="49">
        <f>IF(expected_production[[#This Row],[Age (yrs)]]="",1,(1-DegradationRate)^expected_production[[#This Row],[Age (yrs)]])</f>
        <v>0.97901013967407391</v>
      </c>
      <c r="G1473" s="52">
        <f>IF(expected_production[[#This Row],[Base Expected (kWh)]]="","",expected_production[[#This Row],[Base Expected (kWh)]]*expected_production[[#This Row],[Degradation Factor]])</f>
        <v>31778.482720499745</v>
      </c>
    </row>
    <row r="1474" spans="1:7" ht="15" hidden="1" customHeight="1" x14ac:dyDescent="0.3">
      <c r="A1474" t="s">
        <v>145</v>
      </c>
      <c r="B1474" s="2">
        <v>46235</v>
      </c>
      <c r="C1474" s="52">
        <v>36506.12571</v>
      </c>
      <c r="D1474" s="48">
        <f>_xlfn.XLOOKUP(expected_production[[#This Row],[Site Name]],Table1[[Site Name ]],Table1[Commisioned Date],"")</f>
        <v>45101</v>
      </c>
      <c r="E1474" s="47">
        <f>IF(ISNUMBER(expected_production[[#This Row],[Commissioned Date]]),MAX(0,(expected_production[[#This Row],[Date]]-expected_production[[#This Row],[Commissioned Date]])/365.25),"")</f>
        <v>3.1047227926078027</v>
      </c>
      <c r="F1474" s="49">
        <f>IF(expected_production[[#This Row],[Age (yrs)]]="",1,(1-DegradationRate)^expected_production[[#This Row],[Age (yrs)]])</f>
        <v>0.97842662507724365</v>
      </c>
      <c r="G1474" s="52">
        <f>IF(expected_production[[#This Row],[Base Expected (kWh)]]="","",expected_production[[#This Row],[Base Expected (kWh)]]*expected_production[[#This Row],[Degradation Factor]])</f>
        <v>35718.565373080899</v>
      </c>
    </row>
    <row r="1475" spans="1:7" ht="15" hidden="1" customHeight="1" x14ac:dyDescent="0.3">
      <c r="A1475" t="s">
        <v>145</v>
      </c>
      <c r="B1475" s="2">
        <v>46266</v>
      </c>
      <c r="C1475" s="52">
        <v>37370.869830000003</v>
      </c>
      <c r="D1475" s="48">
        <f>_xlfn.XLOOKUP(expected_production[[#This Row],[Site Name]],Table1[[Site Name ]],Table1[Commisioned Date],"")</f>
        <v>45101</v>
      </c>
      <c r="E1475" s="47">
        <f>IF(ISNUMBER(expected_production[[#This Row],[Commissioned Date]]),MAX(0,(expected_production[[#This Row],[Date]]-expected_production[[#This Row],[Commissioned Date]])/365.25),"")</f>
        <v>3.1895961670088981</v>
      </c>
      <c r="F1475" s="49">
        <f>IF(expected_production[[#This Row],[Age (yrs)]]="",1,(1-DegradationRate)^expected_production[[#This Row],[Age (yrs)]])</f>
        <v>0.97784345826974761</v>
      </c>
      <c r="G1475" s="52">
        <f>IF(expected_production[[#This Row],[Base Expected (kWh)]]="","",expected_production[[#This Row],[Base Expected (kWh)]]*expected_production[[#This Row],[Degradation Factor]])</f>
        <v>36542.86059311578</v>
      </c>
    </row>
    <row r="1476" spans="1:7" ht="15" hidden="1" customHeight="1" x14ac:dyDescent="0.3">
      <c r="A1476" t="s">
        <v>145</v>
      </c>
      <c r="B1476" s="2">
        <v>46296</v>
      </c>
      <c r="C1476" s="52">
        <v>40182.986250000002</v>
      </c>
      <c r="D1476" s="48">
        <f>_xlfn.XLOOKUP(expected_production[[#This Row],[Site Name]],Table1[[Site Name ]],Table1[Commisioned Date],"")</f>
        <v>45101</v>
      </c>
      <c r="E1476" s="47">
        <f>IF(ISNUMBER(expected_production[[#This Row],[Commissioned Date]]),MAX(0,(expected_production[[#This Row],[Date]]-expected_production[[#This Row],[Commissioned Date]])/365.25),"")</f>
        <v>3.2717316906228611</v>
      </c>
      <c r="F1476" s="49">
        <f>IF(expected_production[[#This Row],[Age (yrs)]]="",1,(1-DegradationRate)^expected_production[[#This Row],[Age (yrs)]])</f>
        <v>0.97727943424127384</v>
      </c>
      <c r="G1476" s="52">
        <f>IF(expected_production[[#This Row],[Base Expected (kWh)]]="","",expected_production[[#This Row],[Base Expected (kWh)]]*expected_production[[#This Row],[Degradation Factor]])</f>
        <v>39270.00606852489</v>
      </c>
    </row>
    <row r="1477" spans="1:7" ht="15" hidden="1" customHeight="1" x14ac:dyDescent="0.3">
      <c r="A1477" t="s">
        <v>145</v>
      </c>
      <c r="B1477" s="2">
        <v>46327</v>
      </c>
      <c r="C1477" s="52">
        <v>40330.536119999997</v>
      </c>
      <c r="D1477" s="48">
        <f>_xlfn.XLOOKUP(expected_production[[#This Row],[Site Name]],Table1[[Site Name ]],Table1[Commisioned Date],"")</f>
        <v>45101</v>
      </c>
      <c r="E1477" s="47">
        <f>IF(ISNUMBER(expected_production[[#This Row],[Commissioned Date]]),MAX(0,(expected_production[[#This Row],[Date]]-expected_production[[#This Row],[Commissioned Date]])/365.25),"")</f>
        <v>3.3566050650239561</v>
      </c>
      <c r="F1477" s="49">
        <f>IF(expected_production[[#This Row],[Age (yrs)]]="",1,(1-DegradationRate)^expected_production[[#This Row],[Age (yrs)]])</f>
        <v>0.97669695118828759</v>
      </c>
      <c r="G1477" s="52">
        <f>IF(expected_production[[#This Row],[Base Expected (kWh)]]="","",expected_production[[#This Row],[Base Expected (kWh)]]*expected_production[[#This Row],[Degradation Factor]])</f>
        <v>39390.711668193107</v>
      </c>
    </row>
    <row r="1478" spans="1:7" ht="15" hidden="1" customHeight="1" x14ac:dyDescent="0.3">
      <c r="A1478" t="s">
        <v>145</v>
      </c>
      <c r="B1478" s="2">
        <v>46357</v>
      </c>
      <c r="C1478" s="52">
        <v>42601.427819999997</v>
      </c>
      <c r="D1478" s="48">
        <f>_xlfn.XLOOKUP(expected_production[[#This Row],[Site Name]],Table1[[Site Name ]],Table1[Commisioned Date],"")</f>
        <v>45101</v>
      </c>
      <c r="E1478" s="47">
        <f>IF(ISNUMBER(expected_production[[#This Row],[Commissioned Date]]),MAX(0,(expected_production[[#This Row],[Date]]-expected_production[[#This Row],[Commissioned Date]])/365.25),"")</f>
        <v>3.4387405886379194</v>
      </c>
      <c r="F1478" s="49">
        <f>IF(expected_production[[#This Row],[Age (yrs)]]="",1,(1-DegradationRate)^expected_production[[#This Row],[Age (yrs)]])</f>
        <v>0.97613358846969667</v>
      </c>
      <c r="G1478" s="52">
        <f>IF(expected_production[[#This Row],[Base Expected (kWh)]]="","",expected_production[[#This Row],[Base Expected (kWh)]]*expected_production[[#This Row],[Degradation Factor]])</f>
        <v>41584.684611869365</v>
      </c>
    </row>
    <row r="1479" spans="1:7" ht="15" hidden="1" customHeight="1" x14ac:dyDescent="0.3">
      <c r="A1479" t="s">
        <v>152</v>
      </c>
      <c r="B1479" s="2">
        <v>45292</v>
      </c>
      <c r="C1479" s="52">
        <v>11540.96</v>
      </c>
      <c r="D1479" s="48">
        <f>_xlfn.XLOOKUP(expected_production[[#This Row],[Site Name]],Table1[[Site Name ]],Table1[Commisioned Date],"")</f>
        <v>44161</v>
      </c>
      <c r="E1479" s="47">
        <f>IF(ISNUMBER(expected_production[[#This Row],[Commissioned Date]]),MAX(0,(expected_production[[#This Row],[Date]]-expected_production[[#This Row],[Commissioned Date]])/365.25),"")</f>
        <v>3.0965092402464065</v>
      </c>
      <c r="F1479" s="49">
        <f>IF(expected_production[[#This Row],[Age (yrs)]]="",1,(1-DegradationRate)^expected_production[[#This Row],[Age (yrs)]])</f>
        <v>0.97848307902851239</v>
      </c>
      <c r="G1479" s="52">
        <f>IF(expected_production[[#This Row],[Base Expected (kWh)]]="","",expected_production[[#This Row],[Base Expected (kWh)]]*expected_production[[#This Row],[Degradation Factor]])</f>
        <v>11292.6340757449</v>
      </c>
    </row>
    <row r="1480" spans="1:7" ht="15" hidden="1" customHeight="1" x14ac:dyDescent="0.3">
      <c r="A1480" t="s">
        <v>152</v>
      </c>
      <c r="B1480" s="2">
        <v>45323</v>
      </c>
      <c r="C1480" s="52">
        <v>9862.32</v>
      </c>
      <c r="D1480" s="48">
        <f>_xlfn.XLOOKUP(expected_production[[#This Row],[Site Name]],Table1[[Site Name ]],Table1[Commisioned Date],"")</f>
        <v>44161</v>
      </c>
      <c r="E1480" s="47">
        <f>IF(ISNUMBER(expected_production[[#This Row],[Commissioned Date]]),MAX(0,(expected_production[[#This Row],[Date]]-expected_production[[#This Row],[Commissioned Date]])/365.25),"")</f>
        <v>3.1813826146475015</v>
      </c>
      <c r="F1480" s="49">
        <f>IF(expected_production[[#This Row],[Age (yrs)]]="",1,(1-DegradationRate)^expected_production[[#This Row],[Age (yrs)]])</f>
        <v>0.9778998785730455</v>
      </c>
      <c r="G1480" s="52">
        <f>IF(expected_production[[#This Row],[Base Expected (kWh)]]="","",expected_production[[#This Row],[Base Expected (kWh)]]*expected_production[[#This Row],[Degradation Factor]])</f>
        <v>9644.3615304485174</v>
      </c>
    </row>
    <row r="1481" spans="1:7" ht="15" hidden="1" customHeight="1" x14ac:dyDescent="0.3">
      <c r="A1481" t="s">
        <v>152</v>
      </c>
      <c r="B1481" s="2">
        <v>45352</v>
      </c>
      <c r="C1481" s="52">
        <v>10345.44</v>
      </c>
      <c r="D1481" s="48">
        <f>_xlfn.XLOOKUP(expected_production[[#This Row],[Site Name]],Table1[[Site Name ]],Table1[Commisioned Date],"")</f>
        <v>44161</v>
      </c>
      <c r="E1481" s="47">
        <f>IF(ISNUMBER(expected_production[[#This Row],[Commissioned Date]]),MAX(0,(expected_production[[#This Row],[Date]]-expected_production[[#This Row],[Commissioned Date]])/365.25),"")</f>
        <v>3.2607802874743328</v>
      </c>
      <c r="F1481" s="49">
        <f>IF(expected_production[[#This Row],[Age (yrs)]]="",1,(1-DegradationRate)^expected_production[[#This Row],[Age (yrs)]])</f>
        <v>0.97735461864405238</v>
      </c>
      <c r="G1481" s="52">
        <f>IF(expected_production[[#This Row],[Base Expected (kWh)]]="","",expected_production[[#This Row],[Base Expected (kWh)]]*expected_production[[#This Row],[Degradation Factor]])</f>
        <v>10111.163565904926</v>
      </c>
    </row>
    <row r="1482" spans="1:7" ht="15" hidden="1" customHeight="1" x14ac:dyDescent="0.3">
      <c r="A1482" t="s">
        <v>152</v>
      </c>
      <c r="B1482" s="2">
        <v>45383</v>
      </c>
      <c r="C1482" s="52">
        <v>8819.52</v>
      </c>
      <c r="D1482" s="48">
        <f>_xlfn.XLOOKUP(expected_production[[#This Row],[Site Name]],Table1[[Site Name ]],Table1[Commisioned Date],"")</f>
        <v>44161</v>
      </c>
      <c r="E1482" s="47">
        <f>IF(ISNUMBER(expected_production[[#This Row],[Commissioned Date]]),MAX(0,(expected_production[[#This Row],[Date]]-expected_production[[#This Row],[Commissioned Date]])/365.25),"")</f>
        <v>3.3456536618754278</v>
      </c>
      <c r="F1482" s="49">
        <f>IF(expected_production[[#This Row],[Age (yrs)]]="",1,(1-DegradationRate)^expected_production[[#This Row],[Age (yrs)]])</f>
        <v>0.9767720907792764</v>
      </c>
      <c r="G1482" s="52">
        <f>IF(expected_production[[#This Row],[Base Expected (kWh)]]="","",expected_production[[#This Row],[Base Expected (kWh)]]*expected_production[[#This Row],[Degradation Factor]])</f>
        <v>8614.660990069644</v>
      </c>
    </row>
    <row r="1483" spans="1:7" ht="15" hidden="1" customHeight="1" x14ac:dyDescent="0.3">
      <c r="A1483" t="s">
        <v>152</v>
      </c>
      <c r="B1483" s="2">
        <v>45413</v>
      </c>
      <c r="C1483" s="52">
        <v>8538.08</v>
      </c>
      <c r="D1483" s="48">
        <f>_xlfn.XLOOKUP(expected_production[[#This Row],[Site Name]],Table1[[Site Name ]],Table1[Commisioned Date],"")</f>
        <v>44161</v>
      </c>
      <c r="E1483" s="47">
        <f>IF(ISNUMBER(expected_production[[#This Row],[Commissioned Date]]),MAX(0,(expected_production[[#This Row],[Date]]-expected_production[[#This Row],[Commissioned Date]])/365.25),"")</f>
        <v>3.4277891854893907</v>
      </c>
      <c r="F1483" s="49">
        <f>IF(expected_production[[#This Row],[Age (yrs)]]="",1,(1-DegradationRate)^expected_production[[#This Row],[Age (yrs)]])</f>
        <v>0.97620868471986799</v>
      </c>
      <c r="G1483" s="52">
        <f>IF(expected_production[[#This Row],[Base Expected (kWh)]]="","",expected_production[[#This Row],[Base Expected (kWh)]]*expected_production[[#This Row],[Degradation Factor]])</f>
        <v>8334.9478468330108</v>
      </c>
    </row>
    <row r="1484" spans="1:7" ht="15" hidden="1" customHeight="1" x14ac:dyDescent="0.3">
      <c r="A1484" t="s">
        <v>152</v>
      </c>
      <c r="B1484" s="2">
        <v>45444</v>
      </c>
      <c r="C1484" s="52">
        <v>7700</v>
      </c>
      <c r="D1484" s="48">
        <f>_xlfn.XLOOKUP(expected_production[[#This Row],[Site Name]],Table1[[Site Name ]],Table1[Commisioned Date],"")</f>
        <v>44161</v>
      </c>
      <c r="E1484" s="47">
        <f>IF(ISNUMBER(expected_production[[#This Row],[Commissioned Date]]),MAX(0,(expected_production[[#This Row],[Date]]-expected_production[[#This Row],[Commissioned Date]])/365.25),"")</f>
        <v>3.5126625598904861</v>
      </c>
      <c r="F1484" s="49">
        <f>IF(expected_production[[#This Row],[Age (yrs)]]="",1,(1-DegradationRate)^expected_production[[#This Row],[Age (yrs)]])</f>
        <v>0.97562683986045096</v>
      </c>
      <c r="G1484" s="52">
        <f>IF(expected_production[[#This Row],[Base Expected (kWh)]]="","",expected_production[[#This Row],[Base Expected (kWh)]]*expected_production[[#This Row],[Degradation Factor]])</f>
        <v>7512.3266669254726</v>
      </c>
    </row>
    <row r="1485" spans="1:7" ht="15" hidden="1" customHeight="1" x14ac:dyDescent="0.3">
      <c r="A1485" t="s">
        <v>152</v>
      </c>
      <c r="B1485" s="2">
        <v>45474</v>
      </c>
      <c r="C1485" s="52">
        <v>8487.2000000000007</v>
      </c>
      <c r="D1485" s="48">
        <f>_xlfn.XLOOKUP(expected_production[[#This Row],[Site Name]],Table1[[Site Name ]],Table1[Commisioned Date],"")</f>
        <v>44161</v>
      </c>
      <c r="E1485" s="47">
        <f>IF(ISNUMBER(expected_production[[#This Row],[Commissioned Date]]),MAX(0,(expected_production[[#This Row],[Date]]-expected_production[[#This Row],[Commissioned Date]])/365.25),"")</f>
        <v>3.5947980835044491</v>
      </c>
      <c r="F1485" s="49">
        <f>IF(expected_production[[#This Row],[Age (yrs)]]="",1,(1-DegradationRate)^expected_production[[#This Row],[Age (yrs)]])</f>
        <v>0.97506409438636565</v>
      </c>
      <c r="G1485" s="52">
        <f>IF(expected_production[[#This Row],[Base Expected (kWh)]]="","",expected_production[[#This Row],[Base Expected (kWh)]]*expected_production[[#This Row],[Degradation Factor]])</f>
        <v>8275.5639818759628</v>
      </c>
    </row>
    <row r="1486" spans="1:7" ht="15" hidden="1" customHeight="1" x14ac:dyDescent="0.3">
      <c r="A1486" t="s">
        <v>152</v>
      </c>
      <c r="B1486" s="2">
        <v>45505</v>
      </c>
      <c r="C1486" s="52">
        <v>9810.48</v>
      </c>
      <c r="D1486" s="48">
        <f>_xlfn.XLOOKUP(expected_production[[#This Row],[Site Name]],Table1[[Site Name ]],Table1[Commisioned Date],"")</f>
        <v>44161</v>
      </c>
      <c r="E1486" s="47">
        <f>IF(ISNUMBER(expected_production[[#This Row],[Commissioned Date]]),MAX(0,(expected_production[[#This Row],[Date]]-expected_production[[#This Row],[Commissioned Date]])/365.25),"")</f>
        <v>3.6796714579055441</v>
      </c>
      <c r="F1486" s="49">
        <f>IF(expected_production[[#This Row],[Age (yrs)]]="",1,(1-DegradationRate)^expected_production[[#This Row],[Age (yrs)]])</f>
        <v>0.9744829317314937</v>
      </c>
      <c r="G1486" s="52">
        <f>IF(expected_production[[#This Row],[Base Expected (kWh)]]="","",expected_production[[#This Row],[Base Expected (kWh)]]*expected_production[[#This Row],[Degradation Factor]])</f>
        <v>9560.1453120931837</v>
      </c>
    </row>
    <row r="1487" spans="1:7" ht="15" hidden="1" customHeight="1" x14ac:dyDescent="0.3">
      <c r="A1487" t="s">
        <v>152</v>
      </c>
      <c r="B1487" s="2">
        <v>45536</v>
      </c>
      <c r="C1487" s="52">
        <v>10706.48</v>
      </c>
      <c r="D1487" s="48">
        <f>_xlfn.XLOOKUP(expected_production[[#This Row],[Site Name]],Table1[[Site Name ]],Table1[Commisioned Date],"")</f>
        <v>44161</v>
      </c>
      <c r="E1487" s="47">
        <f>IF(ISNUMBER(expected_production[[#This Row],[Commissioned Date]]),MAX(0,(expected_production[[#This Row],[Date]]-expected_production[[#This Row],[Commissioned Date]])/365.25),"")</f>
        <v>3.7645448323066395</v>
      </c>
      <c r="F1487" s="49">
        <f>IF(expected_production[[#This Row],[Age (yrs)]]="",1,(1-DegradationRate)^expected_production[[#This Row],[Age (yrs)]])</f>
        <v>0.97390211546413963</v>
      </c>
      <c r="G1487" s="52">
        <f>IF(expected_production[[#This Row],[Base Expected (kWh)]]="","",expected_production[[#This Row],[Base Expected (kWh)]]*expected_production[[#This Row],[Degradation Factor]])</f>
        <v>10427.063521174501</v>
      </c>
    </row>
    <row r="1488" spans="1:7" ht="15" hidden="1" customHeight="1" x14ac:dyDescent="0.3">
      <c r="A1488" t="s">
        <v>152</v>
      </c>
      <c r="B1488" s="2">
        <v>45566</v>
      </c>
      <c r="C1488" s="52">
        <v>11410.4</v>
      </c>
      <c r="D1488" s="48">
        <f>_xlfn.XLOOKUP(expected_production[[#This Row],[Site Name]],Table1[[Site Name ]],Table1[Commisioned Date],"")</f>
        <v>44161</v>
      </c>
      <c r="E1488" s="47">
        <f>IF(ISNUMBER(expected_production[[#This Row],[Commissioned Date]]),MAX(0,(expected_production[[#This Row],[Date]]-expected_production[[#This Row],[Commissioned Date]])/365.25),"")</f>
        <v>3.8466803559206024</v>
      </c>
      <c r="F1488" s="49">
        <f>IF(expected_production[[#This Row],[Age (yrs)]]="",1,(1-DegradationRate)^expected_production[[#This Row],[Age (yrs)]])</f>
        <v>0.97334036481800323</v>
      </c>
      <c r="G1488" s="52">
        <f>IF(expected_production[[#This Row],[Base Expected (kWh)]]="","",expected_production[[#This Row],[Base Expected (kWh)]]*expected_production[[#This Row],[Degradation Factor]])</f>
        <v>11106.202898719344</v>
      </c>
    </row>
    <row r="1489" spans="1:7" ht="15" hidden="1" customHeight="1" x14ac:dyDescent="0.3">
      <c r="A1489" t="s">
        <v>152</v>
      </c>
      <c r="B1489" s="2">
        <v>45597</v>
      </c>
      <c r="C1489" s="52">
        <v>11340.4</v>
      </c>
      <c r="D1489" s="48">
        <f>_xlfn.XLOOKUP(expected_production[[#This Row],[Site Name]],Table1[[Site Name ]],Table1[Commisioned Date],"")</f>
        <v>44161</v>
      </c>
      <c r="E1489" s="47">
        <f>IF(ISNUMBER(expected_production[[#This Row],[Commissioned Date]]),MAX(0,(expected_production[[#This Row],[Date]]-expected_production[[#This Row],[Commissioned Date]])/365.25),"")</f>
        <v>3.9315537303216974</v>
      </c>
      <c r="F1489" s="49">
        <f>IF(expected_production[[#This Row],[Age (yrs)]]="",1,(1-DegradationRate)^expected_production[[#This Row],[Age (yrs)]])</f>
        <v>0.97276022954918517</v>
      </c>
      <c r="G1489" s="52">
        <f>IF(expected_production[[#This Row],[Base Expected (kWh)]]="","",expected_production[[#This Row],[Base Expected (kWh)]]*expected_production[[#This Row],[Degradation Factor]])</f>
        <v>11031.490107179579</v>
      </c>
    </row>
    <row r="1490" spans="1:7" ht="15" hidden="1" customHeight="1" x14ac:dyDescent="0.3">
      <c r="A1490" t="s">
        <v>152</v>
      </c>
      <c r="B1490" s="2">
        <v>45627</v>
      </c>
      <c r="C1490" s="52">
        <v>12102.56</v>
      </c>
      <c r="D1490" s="48">
        <f>_xlfn.XLOOKUP(expected_production[[#This Row],[Site Name]],Table1[[Site Name ]],Table1[Commisioned Date],"")</f>
        <v>44161</v>
      </c>
      <c r="E1490" s="47">
        <f>IF(ISNUMBER(expected_production[[#This Row],[Commissioned Date]]),MAX(0,(expected_production[[#This Row],[Date]]-expected_production[[#This Row],[Commissioned Date]])/365.25),"")</f>
        <v>4.0136892539356603</v>
      </c>
      <c r="F1490" s="49">
        <f>IF(expected_production[[#This Row],[Age (yrs)]]="",1,(1-DegradationRate)^expected_production[[#This Row],[Age (yrs)]])</f>
        <v>0.97219913754742426</v>
      </c>
      <c r="G1490" s="52">
        <f>IF(expected_production[[#This Row],[Base Expected (kWh)]]="","",expected_production[[#This Row],[Base Expected (kWh)]]*expected_production[[#This Row],[Degradation Factor]])</f>
        <v>11766.098394115954</v>
      </c>
    </row>
    <row r="1491" spans="1:7" ht="15" hidden="1" customHeight="1" x14ac:dyDescent="0.3">
      <c r="A1491" t="s">
        <v>152</v>
      </c>
      <c r="B1491" s="2">
        <v>45658</v>
      </c>
      <c r="C1491" s="52">
        <v>11540.96</v>
      </c>
      <c r="D1491" s="48">
        <f>_xlfn.XLOOKUP(expected_production[[#This Row],[Site Name]],Table1[[Site Name ]],Table1[Commisioned Date],"")</f>
        <v>44161</v>
      </c>
      <c r="E1491" s="47">
        <f>IF(ISNUMBER(expected_production[[#This Row],[Commissioned Date]]),MAX(0,(expected_production[[#This Row],[Date]]-expected_production[[#This Row],[Commissioned Date]])/365.25),"")</f>
        <v>4.0985626283367553</v>
      </c>
      <c r="F1491" s="49">
        <f>IF(expected_production[[#This Row],[Age (yrs)]]="",1,(1-DegradationRate)^expected_production[[#This Row],[Age (yrs)]])</f>
        <v>0.97161968247868147</v>
      </c>
      <c r="G1491" s="52">
        <f>IF(expected_production[[#This Row],[Base Expected (kWh)]]="","",expected_production[[#This Row],[Base Expected (kWh)]]*expected_production[[#This Row],[Degradation Factor]])</f>
        <v>11213.423890699163</v>
      </c>
    </row>
    <row r="1492" spans="1:7" ht="15" hidden="1" customHeight="1" x14ac:dyDescent="0.3">
      <c r="A1492" t="s">
        <v>152</v>
      </c>
      <c r="B1492" s="2">
        <v>45689</v>
      </c>
      <c r="C1492" s="52">
        <v>9862.32</v>
      </c>
      <c r="D1492" s="48">
        <f>_xlfn.XLOOKUP(expected_production[[#This Row],[Site Name]],Table1[[Site Name ]],Table1[Commisioned Date],"")</f>
        <v>44161</v>
      </c>
      <c r="E1492" s="47">
        <f>IF(ISNUMBER(expected_production[[#This Row],[Commissioned Date]]),MAX(0,(expected_production[[#This Row],[Date]]-expected_production[[#This Row],[Commissioned Date]])/365.25),"")</f>
        <v>4.1834360027378512</v>
      </c>
      <c r="F1492" s="49">
        <f>IF(expected_production[[#This Row],[Age (yrs)]]="",1,(1-DegradationRate)^expected_production[[#This Row],[Age (yrs)]])</f>
        <v>0.97104057277969236</v>
      </c>
      <c r="G1492" s="52">
        <f>IF(expected_production[[#This Row],[Base Expected (kWh)]]="","",expected_production[[#This Row],[Base Expected (kWh)]]*expected_production[[#This Row],[Degradation Factor]])</f>
        <v>9576.7128617366161</v>
      </c>
    </row>
    <row r="1493" spans="1:7" ht="15" hidden="1" customHeight="1" x14ac:dyDescent="0.3">
      <c r="A1493" t="s">
        <v>152</v>
      </c>
      <c r="B1493" s="2">
        <v>45717</v>
      </c>
      <c r="C1493" s="52">
        <v>10345.44</v>
      </c>
      <c r="D1493" s="48">
        <f>_xlfn.XLOOKUP(expected_production[[#This Row],[Site Name]],Table1[[Site Name ]],Table1[Commisioned Date],"")</f>
        <v>44161</v>
      </c>
      <c r="E1493" s="47">
        <f>IF(ISNUMBER(expected_production[[#This Row],[Commissioned Date]]),MAX(0,(expected_production[[#This Row],[Date]]-expected_production[[#This Row],[Commissioned Date]])/365.25),"")</f>
        <v>4.26009582477755</v>
      </c>
      <c r="F1493" s="49">
        <f>IF(expected_production[[#This Row],[Age (yrs)]]="",1,(1-DegradationRate)^expected_production[[#This Row],[Age (yrs)]])</f>
        <v>0.9705178026362431</v>
      </c>
      <c r="G1493" s="52">
        <f>IF(expected_production[[#This Row],[Base Expected (kWh)]]="","",expected_production[[#This Row],[Base Expected (kWh)]]*expected_production[[#This Row],[Degradation Factor]])</f>
        <v>10040.433696105096</v>
      </c>
    </row>
    <row r="1494" spans="1:7" ht="15" hidden="1" customHeight="1" x14ac:dyDescent="0.3">
      <c r="A1494" t="s">
        <v>152</v>
      </c>
      <c r="B1494" s="2">
        <v>45748</v>
      </c>
      <c r="C1494" s="52">
        <v>8819.52</v>
      </c>
      <c r="D1494" s="48">
        <f>_xlfn.XLOOKUP(expected_production[[#This Row],[Site Name]],Table1[[Site Name ]],Table1[Commisioned Date],"")</f>
        <v>44161</v>
      </c>
      <c r="E1494" s="47">
        <f>IF(ISNUMBER(expected_production[[#This Row],[Commissioned Date]]),MAX(0,(expected_production[[#This Row],[Date]]-expected_production[[#This Row],[Commissioned Date]])/365.25),"")</f>
        <v>4.344969199178645</v>
      </c>
      <c r="F1494" s="49">
        <f>IF(expected_production[[#This Row],[Age (yrs)]]="",1,(1-DegradationRate)^expected_production[[#This Row],[Age (yrs)]])</f>
        <v>0.96993934968527529</v>
      </c>
      <c r="G1494" s="52">
        <f>IF(expected_production[[#This Row],[Base Expected (kWh)]]="","",expected_production[[#This Row],[Base Expected (kWh)]]*expected_production[[#This Row],[Degradation Factor]])</f>
        <v>8554.3994933362792</v>
      </c>
    </row>
    <row r="1495" spans="1:7" ht="15" hidden="1" customHeight="1" x14ac:dyDescent="0.3">
      <c r="A1495" t="s">
        <v>152</v>
      </c>
      <c r="B1495" s="2">
        <v>45778</v>
      </c>
      <c r="C1495" s="52">
        <v>8538.08</v>
      </c>
      <c r="D1495" s="48">
        <f>_xlfn.XLOOKUP(expected_production[[#This Row],[Site Name]],Table1[[Site Name ]],Table1[Commisioned Date],"")</f>
        <v>44161</v>
      </c>
      <c r="E1495" s="47">
        <f>IF(ISNUMBER(expected_production[[#This Row],[Commissioned Date]]),MAX(0,(expected_production[[#This Row],[Date]]-expected_production[[#This Row],[Commissioned Date]])/365.25),"")</f>
        <v>4.4271047227926079</v>
      </c>
      <c r="F1495" s="49">
        <f>IF(expected_production[[#This Row],[Age (yrs)]]="",1,(1-DegradationRate)^expected_production[[#This Row],[Age (yrs)]])</f>
        <v>0.96937988477833326</v>
      </c>
      <c r="G1495" s="52">
        <f>IF(expected_production[[#This Row],[Base Expected (kWh)]]="","",expected_production[[#This Row],[Base Expected (kWh)]]*expected_production[[#This Row],[Degradation Factor]])</f>
        <v>8276.6430066281919</v>
      </c>
    </row>
    <row r="1496" spans="1:7" ht="15" hidden="1" customHeight="1" x14ac:dyDescent="0.3">
      <c r="A1496" t="s">
        <v>152</v>
      </c>
      <c r="B1496" s="2">
        <v>45809</v>
      </c>
      <c r="C1496" s="52">
        <v>7700</v>
      </c>
      <c r="D1496" s="48">
        <f>_xlfn.XLOOKUP(expected_production[[#This Row],[Site Name]],Table1[[Site Name ]],Table1[Commisioned Date],"")</f>
        <v>44161</v>
      </c>
      <c r="E1496" s="47">
        <f>IF(ISNUMBER(expected_production[[#This Row],[Commissioned Date]]),MAX(0,(expected_production[[#This Row],[Date]]-expected_production[[#This Row],[Commissioned Date]])/365.25),"")</f>
        <v>4.5119780971937029</v>
      </c>
      <c r="F1496" s="49">
        <f>IF(expected_production[[#This Row],[Age (yrs)]]="",1,(1-DegradationRate)^expected_production[[#This Row],[Age (yrs)]])</f>
        <v>0.96880211005494776</v>
      </c>
      <c r="G1496" s="52">
        <f>IF(expected_production[[#This Row],[Base Expected (kWh)]]="","",expected_production[[#This Row],[Base Expected (kWh)]]*expected_production[[#This Row],[Degradation Factor]])</f>
        <v>7459.7762474230976</v>
      </c>
    </row>
    <row r="1497" spans="1:7" ht="15" hidden="1" customHeight="1" x14ac:dyDescent="0.3">
      <c r="A1497" t="s">
        <v>152</v>
      </c>
      <c r="B1497" s="2">
        <v>45839</v>
      </c>
      <c r="C1497" s="52">
        <v>8487.2000000000007</v>
      </c>
      <c r="D1497" s="48">
        <f>_xlfn.XLOOKUP(expected_production[[#This Row],[Site Name]],Table1[[Site Name ]],Table1[Commisioned Date],"")</f>
        <v>44161</v>
      </c>
      <c r="E1497" s="47">
        <f>IF(ISNUMBER(expected_production[[#This Row],[Commissioned Date]]),MAX(0,(expected_production[[#This Row],[Date]]-expected_production[[#This Row],[Commissioned Date]])/365.25),"")</f>
        <v>4.5941136208076658</v>
      </c>
      <c r="F1497" s="49">
        <f>IF(expected_production[[#This Row],[Age (yrs)]]="",1,(1-DegradationRate)^expected_production[[#This Row],[Age (yrs)]])</f>
        <v>0.96824330111238555</v>
      </c>
      <c r="G1497" s="52">
        <f>IF(expected_production[[#This Row],[Base Expected (kWh)]]="","",expected_production[[#This Row],[Base Expected (kWh)]]*expected_production[[#This Row],[Degradation Factor]])</f>
        <v>8217.67454520104</v>
      </c>
    </row>
    <row r="1498" spans="1:7" ht="15" hidden="1" customHeight="1" x14ac:dyDescent="0.3">
      <c r="A1498" t="s">
        <v>152</v>
      </c>
      <c r="B1498" s="2">
        <v>45870</v>
      </c>
      <c r="C1498" s="52">
        <v>9810.48</v>
      </c>
      <c r="D1498" s="48">
        <f>_xlfn.XLOOKUP(expected_production[[#This Row],[Site Name]],Table1[[Site Name ]],Table1[Commisioned Date],"")</f>
        <v>44161</v>
      </c>
      <c r="E1498" s="47">
        <f>IF(ISNUMBER(expected_production[[#This Row],[Commissioned Date]]),MAX(0,(expected_production[[#This Row],[Date]]-expected_production[[#This Row],[Commissioned Date]])/365.25),"")</f>
        <v>4.6789869952087608</v>
      </c>
      <c r="F1498" s="49">
        <f>IF(expected_production[[#This Row],[Age (yrs)]]="",1,(1-DegradationRate)^expected_production[[#This Row],[Age (yrs)]])</f>
        <v>0.96766620382137047</v>
      </c>
      <c r="G1498" s="52">
        <f>IF(expected_production[[#This Row],[Base Expected (kWh)]]="","",expected_production[[#This Row],[Base Expected (kWh)]]*expected_production[[#This Row],[Degradation Factor]])</f>
        <v>9493.2699392654777</v>
      </c>
    </row>
    <row r="1499" spans="1:7" ht="15" hidden="1" customHeight="1" x14ac:dyDescent="0.3">
      <c r="A1499" t="s">
        <v>152</v>
      </c>
      <c r="B1499" s="2">
        <v>45901</v>
      </c>
      <c r="C1499" s="52">
        <v>10706.48</v>
      </c>
      <c r="D1499" s="48">
        <f>_xlfn.XLOOKUP(expected_production[[#This Row],[Site Name]],Table1[[Site Name ]],Table1[Commisioned Date],"")</f>
        <v>44161</v>
      </c>
      <c r="E1499" s="47">
        <f>IF(ISNUMBER(expected_production[[#This Row],[Commissioned Date]]),MAX(0,(expected_production[[#This Row],[Date]]-expected_production[[#This Row],[Commissioned Date]])/365.25),"")</f>
        <v>4.7638603696098567</v>
      </c>
      <c r="F1499" s="49">
        <f>IF(expected_production[[#This Row],[Age (yrs)]]="",1,(1-DegradationRate)^expected_production[[#This Row],[Age (yrs)]])</f>
        <v>0.96708945049481443</v>
      </c>
      <c r="G1499" s="52">
        <f>IF(expected_production[[#This Row],[Base Expected (kWh)]]="","",expected_production[[#This Row],[Base Expected (kWh)]]*expected_production[[#This Row],[Degradation Factor]])</f>
        <v>10354.123859933721</v>
      </c>
    </row>
    <row r="1500" spans="1:7" ht="15" hidden="1" customHeight="1" x14ac:dyDescent="0.3">
      <c r="A1500" t="s">
        <v>152</v>
      </c>
      <c r="B1500" s="2">
        <v>45931</v>
      </c>
      <c r="C1500" s="52">
        <v>11410.4</v>
      </c>
      <c r="D1500" s="48">
        <f>_xlfn.XLOOKUP(expected_production[[#This Row],[Site Name]],Table1[[Site Name ]],Table1[Commisioned Date],"")</f>
        <v>44161</v>
      </c>
      <c r="E1500" s="47">
        <f>IF(ISNUMBER(expected_production[[#This Row],[Commissioned Date]]),MAX(0,(expected_production[[#This Row],[Date]]-expected_production[[#This Row],[Commissioned Date]])/365.25),"")</f>
        <v>4.8459958932238196</v>
      </c>
      <c r="F1500" s="49">
        <f>IF(expected_production[[#This Row],[Age (yrs)]]="",1,(1-DegradationRate)^expected_production[[#This Row],[Age (yrs)]])</f>
        <v>0.96653162942115523</v>
      </c>
      <c r="G1500" s="52">
        <f>IF(expected_production[[#This Row],[Base Expected (kWh)]]="","",expected_production[[#This Row],[Base Expected (kWh)]]*expected_production[[#This Row],[Degradation Factor]])</f>
        <v>11028.512504347149</v>
      </c>
    </row>
    <row r="1501" spans="1:7" ht="15" hidden="1" customHeight="1" x14ac:dyDescent="0.3">
      <c r="A1501" t="s">
        <v>152</v>
      </c>
      <c r="B1501" s="2">
        <v>45962</v>
      </c>
      <c r="C1501" s="52">
        <v>11340.4</v>
      </c>
      <c r="D1501" s="48">
        <f>_xlfn.XLOOKUP(expected_production[[#This Row],[Site Name]],Table1[[Site Name ]],Table1[Commisioned Date],"")</f>
        <v>44161</v>
      </c>
      <c r="E1501" s="47">
        <f>IF(ISNUMBER(expected_production[[#This Row],[Commissioned Date]]),MAX(0,(expected_production[[#This Row],[Date]]-expected_production[[#This Row],[Commissioned Date]])/365.25),"")</f>
        <v>4.9308692676249146</v>
      </c>
      <c r="F1501" s="49">
        <f>IF(expected_production[[#This Row],[Age (yrs)]]="",1,(1-DegradationRate)^expected_production[[#This Row],[Age (yrs)]])</f>
        <v>0.96595555232939689</v>
      </c>
      <c r="G1501" s="52">
        <f>IF(expected_production[[#This Row],[Base Expected (kWh)]]="","",expected_production[[#This Row],[Base Expected (kWh)]]*expected_production[[#This Row],[Degradation Factor]])</f>
        <v>10954.322345636292</v>
      </c>
    </row>
    <row r="1502" spans="1:7" ht="15" hidden="1" customHeight="1" x14ac:dyDescent="0.3">
      <c r="A1502" t="s">
        <v>152</v>
      </c>
      <c r="B1502" s="2">
        <v>45992</v>
      </c>
      <c r="C1502" s="52">
        <v>12102.56</v>
      </c>
      <c r="D1502" s="48">
        <f>_xlfn.XLOOKUP(expected_production[[#This Row],[Site Name]],Table1[[Site Name ]],Table1[Commisioned Date],"")</f>
        <v>44161</v>
      </c>
      <c r="E1502" s="47">
        <f>IF(ISNUMBER(expected_production[[#This Row],[Commissioned Date]]),MAX(0,(expected_production[[#This Row],[Date]]-expected_production[[#This Row],[Commissioned Date]])/365.25),"")</f>
        <v>5.0130047912388775</v>
      </c>
      <c r="F1502" s="49">
        <f>IF(expected_production[[#This Row],[Age (yrs)]]="",1,(1-DegradationRate)^expected_production[[#This Row],[Age (yrs)]])</f>
        <v>0.96539838529274724</v>
      </c>
      <c r="G1502" s="52">
        <f>IF(expected_production[[#This Row],[Base Expected (kWh)]]="","",expected_production[[#This Row],[Base Expected (kWh)]]*expected_production[[#This Row],[Degradation Factor]])</f>
        <v>11683.79188190859</v>
      </c>
    </row>
    <row r="1503" spans="1:7" ht="15" hidden="1" customHeight="1" x14ac:dyDescent="0.3">
      <c r="A1503" t="s">
        <v>152</v>
      </c>
      <c r="B1503" s="2">
        <v>46023</v>
      </c>
      <c r="C1503" s="52">
        <v>11540.96</v>
      </c>
      <c r="D1503" s="48">
        <f>_xlfn.XLOOKUP(expected_production[[#This Row],[Site Name]],Table1[[Site Name ]],Table1[Commisioned Date],"")</f>
        <v>44161</v>
      </c>
      <c r="E1503" s="47">
        <f>IF(ISNUMBER(expected_production[[#This Row],[Commissioned Date]]),MAX(0,(expected_production[[#This Row],[Date]]-expected_production[[#This Row],[Commissioned Date]])/365.25),"")</f>
        <v>5.0978781656399725</v>
      </c>
      <c r="F1503" s="49">
        <f>IF(expected_production[[#This Row],[Age (yrs)]]="",1,(1-DegradationRate)^expected_production[[#This Row],[Age (yrs)]])</f>
        <v>0.96482298364291119</v>
      </c>
      <c r="G1503" s="52">
        <f>IF(expected_production[[#This Row],[Base Expected (kWh)]]="","",expected_production[[#This Row],[Base Expected (kWh)]]*expected_production[[#This Row],[Degradation Factor]])</f>
        <v>11134.983461303491</v>
      </c>
    </row>
    <row r="1504" spans="1:7" ht="15" hidden="1" customHeight="1" x14ac:dyDescent="0.3">
      <c r="A1504" t="s">
        <v>152</v>
      </c>
      <c r="B1504" s="2">
        <v>46054</v>
      </c>
      <c r="C1504" s="52">
        <v>9862.32</v>
      </c>
      <c r="D1504" s="48">
        <f>_xlfn.XLOOKUP(expected_production[[#This Row],[Site Name]],Table1[[Site Name ]],Table1[Commisioned Date],"")</f>
        <v>44161</v>
      </c>
      <c r="E1504" s="47">
        <f>IF(ISNUMBER(expected_production[[#This Row],[Commissioned Date]]),MAX(0,(expected_production[[#This Row],[Date]]-expected_production[[#This Row],[Commissioned Date]])/365.25),"")</f>
        <v>5.1827515400410675</v>
      </c>
      <c r="F1504" s="49">
        <f>IF(expected_production[[#This Row],[Age (yrs)]]="",1,(1-DegradationRate)^expected_production[[#This Row],[Age (yrs)]])</f>
        <v>0.96424792494688949</v>
      </c>
      <c r="G1504" s="52">
        <f>IF(expected_production[[#This Row],[Base Expected (kWh)]]="","",expected_production[[#This Row],[Base Expected (kWh)]]*expected_production[[#This Row],[Degradation Factor]])</f>
        <v>9509.7215951622074</v>
      </c>
    </row>
    <row r="1505" spans="1:7" ht="15" hidden="1" customHeight="1" x14ac:dyDescent="0.3">
      <c r="A1505" t="s">
        <v>152</v>
      </c>
      <c r="B1505" s="2">
        <v>46082</v>
      </c>
      <c r="C1505" s="52">
        <v>10345.44</v>
      </c>
      <c r="D1505" s="48">
        <f>_xlfn.XLOOKUP(expected_production[[#This Row],[Site Name]],Table1[[Site Name ]],Table1[Commisioned Date],"")</f>
        <v>44161</v>
      </c>
      <c r="E1505" s="47">
        <f>IF(ISNUMBER(expected_production[[#This Row],[Commissioned Date]]),MAX(0,(expected_production[[#This Row],[Date]]-expected_production[[#This Row],[Commissioned Date]])/365.25),"")</f>
        <v>5.2594113620807663</v>
      </c>
      <c r="F1505" s="49">
        <f>IF(expected_production[[#This Row],[Age (yrs)]]="",1,(1-DegradationRate)^expected_production[[#This Row],[Age (yrs)]])</f>
        <v>0.96372881169850866</v>
      </c>
      <c r="G1505" s="52">
        <f>IF(expected_production[[#This Row],[Base Expected (kWh)]]="","",expected_production[[#This Row],[Base Expected (kWh)]]*expected_production[[#This Row],[Degradation Factor]])</f>
        <v>9970.1985976982196</v>
      </c>
    </row>
    <row r="1506" spans="1:7" ht="15" hidden="1" customHeight="1" x14ac:dyDescent="0.3">
      <c r="A1506" t="s">
        <v>152</v>
      </c>
      <c r="B1506" s="2">
        <v>46113</v>
      </c>
      <c r="C1506" s="52">
        <v>8819.52</v>
      </c>
      <c r="D1506" s="48">
        <f>_xlfn.XLOOKUP(expected_production[[#This Row],[Site Name]],Table1[[Site Name ]],Table1[Commisioned Date],"")</f>
        <v>44161</v>
      </c>
      <c r="E1506" s="47">
        <f>IF(ISNUMBER(expected_production[[#This Row],[Commissioned Date]]),MAX(0,(expected_production[[#This Row],[Date]]-expected_production[[#This Row],[Commissioned Date]])/365.25),"")</f>
        <v>5.3442847364818613</v>
      </c>
      <c r="F1506" s="49">
        <f>IF(expected_production[[#This Row],[Age (yrs)]]="",1,(1-DegradationRate)^expected_production[[#This Row],[Age (yrs)]])</f>
        <v>0.96315440515640771</v>
      </c>
      <c r="G1506" s="52">
        <f>IF(expected_production[[#This Row],[Base Expected (kWh)]]="","",expected_production[[#This Row],[Base Expected (kWh)]]*expected_production[[#This Row],[Degradation Factor]])</f>
        <v>8494.5595393650419</v>
      </c>
    </row>
    <row r="1507" spans="1:7" ht="15" hidden="1" customHeight="1" x14ac:dyDescent="0.3">
      <c r="A1507" t="s">
        <v>152</v>
      </c>
      <c r="B1507" s="2">
        <v>46143</v>
      </c>
      <c r="C1507" s="52">
        <v>8538.08</v>
      </c>
      <c r="D1507" s="48">
        <f>_xlfn.XLOOKUP(expected_production[[#This Row],[Site Name]],Table1[[Site Name ]],Table1[Commisioned Date],"")</f>
        <v>44161</v>
      </c>
      <c r="E1507" s="47">
        <f>IF(ISNUMBER(expected_production[[#This Row],[Commissioned Date]]),MAX(0,(expected_production[[#This Row],[Date]]-expected_production[[#This Row],[Commissioned Date]])/365.25),"")</f>
        <v>5.4264202600958251</v>
      </c>
      <c r="F1507" s="49">
        <f>IF(expected_production[[#This Row],[Age (yrs)]]="",1,(1-DegradationRate)^expected_production[[#This Row],[Age (yrs)]])</f>
        <v>0.96259885383268173</v>
      </c>
      <c r="G1507" s="52">
        <f>IF(expected_production[[#This Row],[Base Expected (kWh)]]="","",expected_production[[#This Row],[Base Expected (kWh)]]*expected_production[[#This Row],[Degradation Factor]])</f>
        <v>8218.7460219317436</v>
      </c>
    </row>
    <row r="1508" spans="1:7" ht="15" hidden="1" customHeight="1" x14ac:dyDescent="0.3">
      <c r="A1508" t="s">
        <v>152</v>
      </c>
      <c r="B1508" s="2">
        <v>46174</v>
      </c>
      <c r="C1508" s="52">
        <v>7700</v>
      </c>
      <c r="D1508" s="48">
        <f>_xlfn.XLOOKUP(expected_production[[#This Row],[Site Name]],Table1[[Site Name ]],Table1[Commisioned Date],"")</f>
        <v>44161</v>
      </c>
      <c r="E1508" s="47">
        <f>IF(ISNUMBER(expected_production[[#This Row],[Commissioned Date]]),MAX(0,(expected_production[[#This Row],[Date]]-expected_production[[#This Row],[Commissioned Date]])/365.25),"")</f>
        <v>5.5112936344969201</v>
      </c>
      <c r="F1508" s="49">
        <f>IF(expected_production[[#This Row],[Age (yrs)]]="",1,(1-DegradationRate)^expected_production[[#This Row],[Age (yrs)]])</f>
        <v>0.96202512077380808</v>
      </c>
      <c r="G1508" s="52">
        <f>IF(expected_production[[#This Row],[Base Expected (kWh)]]="","",expected_production[[#This Row],[Base Expected (kWh)]]*expected_production[[#This Row],[Degradation Factor]])</f>
        <v>7407.5934299583223</v>
      </c>
    </row>
    <row r="1509" spans="1:7" ht="15" hidden="1" customHeight="1" x14ac:dyDescent="0.3">
      <c r="A1509" t="s">
        <v>152</v>
      </c>
      <c r="B1509" s="2">
        <v>46204</v>
      </c>
      <c r="C1509" s="52">
        <v>8487.2000000000007</v>
      </c>
      <c r="D1509" s="48">
        <f>_xlfn.XLOOKUP(expected_production[[#This Row],[Site Name]],Table1[[Site Name ]],Table1[Commisioned Date],"")</f>
        <v>44161</v>
      </c>
      <c r="E1509" s="47">
        <f>IF(ISNUMBER(expected_production[[#This Row],[Commissioned Date]]),MAX(0,(expected_production[[#This Row],[Date]]-expected_production[[#This Row],[Commissioned Date]])/365.25),"")</f>
        <v>5.593429158110883</v>
      </c>
      <c r="F1509" s="49">
        <f>IF(expected_production[[#This Row],[Age (yrs)]]="",1,(1-DegradationRate)^expected_production[[#This Row],[Age (yrs)]])</f>
        <v>0.9614702208258431</v>
      </c>
      <c r="G1509" s="52">
        <f>IF(expected_production[[#This Row],[Base Expected (kWh)]]="","",expected_production[[#This Row],[Base Expected (kWh)]]*expected_production[[#This Row],[Degradation Factor]])</f>
        <v>8160.1900581930959</v>
      </c>
    </row>
    <row r="1510" spans="1:7" ht="15" hidden="1" customHeight="1" x14ac:dyDescent="0.3">
      <c r="A1510" t="s">
        <v>152</v>
      </c>
      <c r="B1510" s="2">
        <v>46235</v>
      </c>
      <c r="C1510" s="52">
        <v>9810.48</v>
      </c>
      <c r="D1510" s="48">
        <f>_xlfn.XLOOKUP(expected_production[[#This Row],[Site Name]],Table1[[Site Name ]],Table1[Commisioned Date],"")</f>
        <v>44161</v>
      </c>
      <c r="E1510" s="47">
        <f>IF(ISNUMBER(expected_production[[#This Row],[Commissioned Date]]),MAX(0,(expected_production[[#This Row],[Date]]-expected_production[[#This Row],[Commissioned Date]])/365.25),"")</f>
        <v>5.678302532511978</v>
      </c>
      <c r="F1510" s="49">
        <f>IF(expected_production[[#This Row],[Age (yrs)]]="",1,(1-DegradationRate)^expected_production[[#This Row],[Age (yrs)]])</f>
        <v>0.96089716046054774</v>
      </c>
      <c r="G1510" s="52">
        <f>IF(expected_production[[#This Row],[Base Expected (kWh)]]="","",expected_production[[#This Row],[Base Expected (kWh)]]*expected_production[[#This Row],[Degradation Factor]])</f>
        <v>9426.8623747549937</v>
      </c>
    </row>
    <row r="1511" spans="1:7" ht="15" hidden="1" customHeight="1" x14ac:dyDescent="0.3">
      <c r="A1511" t="s">
        <v>152</v>
      </c>
      <c r="B1511" s="2">
        <v>46266</v>
      </c>
      <c r="C1511" s="52">
        <v>10706.48</v>
      </c>
      <c r="D1511" s="48">
        <f>_xlfn.XLOOKUP(expected_production[[#This Row],[Site Name]],Table1[[Site Name ]],Table1[Commisioned Date],"")</f>
        <v>44161</v>
      </c>
      <c r="E1511" s="47">
        <f>IF(ISNUMBER(expected_production[[#This Row],[Commissioned Date]]),MAX(0,(expected_production[[#This Row],[Date]]-expected_production[[#This Row],[Commissioned Date]])/365.25),"")</f>
        <v>5.763175906913073</v>
      </c>
      <c r="F1511" s="49">
        <f>IF(expected_production[[#This Row],[Age (yrs)]]="",1,(1-DegradationRate)^expected_production[[#This Row],[Age (yrs)]])</f>
        <v>0.96032444165360242</v>
      </c>
      <c r="G1511" s="52">
        <f>IF(expected_production[[#This Row],[Base Expected (kWh)]]="","",expected_production[[#This Row],[Base Expected (kWh)]]*expected_production[[#This Row],[Degradation Factor]])</f>
        <v>10281.694428075461</v>
      </c>
    </row>
    <row r="1512" spans="1:7" ht="15" hidden="1" customHeight="1" x14ac:dyDescent="0.3">
      <c r="A1512" t="s">
        <v>152</v>
      </c>
      <c r="B1512" s="2">
        <v>46296</v>
      </c>
      <c r="C1512" s="52">
        <v>11410.4</v>
      </c>
      <c r="D1512" s="48">
        <f>_xlfn.XLOOKUP(expected_production[[#This Row],[Site Name]],Table1[[Site Name ]],Table1[Commisioned Date],"")</f>
        <v>44161</v>
      </c>
      <c r="E1512" s="47">
        <f>IF(ISNUMBER(expected_production[[#This Row],[Commissioned Date]]),MAX(0,(expected_production[[#This Row],[Date]]-expected_production[[#This Row],[Commissioned Date]])/365.25),"")</f>
        <v>5.8453114305270359</v>
      </c>
      <c r="F1512" s="49">
        <f>IF(expected_production[[#This Row],[Age (yrs)]]="",1,(1-DegradationRate)^expected_production[[#This Row],[Age (yrs)]])</f>
        <v>0.95977052266417462</v>
      </c>
      <c r="G1512" s="52">
        <f>IF(expected_production[[#This Row],[Base Expected (kWh)]]="","",expected_production[[#This Row],[Base Expected (kWh)]]*expected_production[[#This Row],[Degradation Factor]])</f>
        <v>10951.365571807297</v>
      </c>
    </row>
    <row r="1513" spans="1:7" ht="15" hidden="1" customHeight="1" x14ac:dyDescent="0.3">
      <c r="A1513" t="s">
        <v>152</v>
      </c>
      <c r="B1513" s="2">
        <v>46327</v>
      </c>
      <c r="C1513" s="52">
        <v>11340.4</v>
      </c>
      <c r="D1513" s="48">
        <f>_xlfn.XLOOKUP(expected_production[[#This Row],[Site Name]],Table1[[Site Name ]],Table1[Commisioned Date],"")</f>
        <v>44161</v>
      </c>
      <c r="E1513" s="47">
        <f>IF(ISNUMBER(expected_production[[#This Row],[Commissioned Date]]),MAX(0,(expected_production[[#This Row],[Date]]-expected_production[[#This Row],[Commissioned Date]])/365.25),"")</f>
        <v>5.9301848049281318</v>
      </c>
      <c r="F1513" s="49">
        <f>IF(expected_production[[#This Row],[Age (yrs)]]="",1,(1-DegradationRate)^expected_production[[#This Row],[Age (yrs)]])</f>
        <v>0.95919847536161207</v>
      </c>
      <c r="G1513" s="52">
        <f>IF(expected_production[[#This Row],[Base Expected (kWh)]]="","",expected_production[[#This Row],[Base Expected (kWh)]]*expected_production[[#This Row],[Degradation Factor]])</f>
        <v>10877.694389990826</v>
      </c>
    </row>
    <row r="1514" spans="1:7" ht="15" hidden="1" customHeight="1" x14ac:dyDescent="0.3">
      <c r="A1514" t="s">
        <v>152</v>
      </c>
      <c r="B1514" s="2">
        <v>46357</v>
      </c>
      <c r="C1514" s="52">
        <v>12102.56</v>
      </c>
      <c r="D1514" s="48">
        <f>_xlfn.XLOOKUP(expected_production[[#This Row],[Site Name]],Table1[[Site Name ]],Table1[Commisioned Date],"")</f>
        <v>44161</v>
      </c>
      <c r="E1514" s="47">
        <f>IF(ISNUMBER(expected_production[[#This Row],[Commissioned Date]]),MAX(0,(expected_production[[#This Row],[Date]]-expected_production[[#This Row],[Commissioned Date]])/365.25),"")</f>
        <v>6.0123203285420947</v>
      </c>
      <c r="F1514" s="49">
        <f>IF(expected_production[[#This Row],[Age (yrs)]]="",1,(1-DegradationRate)^expected_production[[#This Row],[Age (yrs)]])</f>
        <v>0.95864520583405732</v>
      </c>
      <c r="G1514" s="52">
        <f>IF(expected_production[[#This Row],[Base Expected (kWh)]]="","",expected_production[[#This Row],[Base Expected (kWh)]]*expected_production[[#This Row],[Degradation Factor]])</f>
        <v>11602.061122319028</v>
      </c>
    </row>
    <row r="1515" spans="1:7" ht="15" hidden="1" customHeight="1" x14ac:dyDescent="0.3">
      <c r="A1515" t="s">
        <v>149</v>
      </c>
      <c r="B1515" s="2">
        <v>45292</v>
      </c>
      <c r="C1515" s="52">
        <v>8591.0249999999996</v>
      </c>
      <c r="D1515" s="48">
        <f>_xlfn.XLOOKUP(expected_production[[#This Row],[Site Name]],Table1[[Site Name ]],Table1[Commisioned Date],"")</f>
        <v>44688</v>
      </c>
      <c r="E1515" s="47">
        <f>IF(ISNUMBER(expected_production[[#This Row],[Commissioned Date]]),MAX(0,(expected_production[[#This Row],[Date]]-expected_production[[#This Row],[Commissioned Date]])/365.25),"")</f>
        <v>1.6536618754277892</v>
      </c>
      <c r="F1515" s="49">
        <f>IF(expected_production[[#This Row],[Age (yrs)]]="",1,(1-DegradationRate)^expected_production[[#This Row],[Age (yrs)]])</f>
        <v>0.98845087124924669</v>
      </c>
      <c r="G1515" s="52">
        <f>IF(expected_production[[#This Row],[Base Expected (kWh)]]="","",expected_production[[#This Row],[Base Expected (kWh)]]*expected_production[[#This Row],[Degradation Factor]])</f>
        <v>8491.8061461740599</v>
      </c>
    </row>
    <row r="1516" spans="1:7" ht="15" hidden="1" customHeight="1" x14ac:dyDescent="0.3">
      <c r="A1516" t="s">
        <v>149</v>
      </c>
      <c r="B1516" s="2">
        <v>45323</v>
      </c>
      <c r="C1516" s="52">
        <v>7466.4750000000004</v>
      </c>
      <c r="D1516" s="48">
        <f>_xlfn.XLOOKUP(expected_production[[#This Row],[Site Name]],Table1[[Site Name ]],Table1[Commisioned Date],"")</f>
        <v>44688</v>
      </c>
      <c r="E1516" s="47">
        <f>IF(ISNUMBER(expected_production[[#This Row],[Commissioned Date]]),MAX(0,(expected_production[[#This Row],[Date]]-expected_production[[#This Row],[Commissioned Date]])/365.25),"")</f>
        <v>1.7385352498288844</v>
      </c>
      <c r="F1516" s="49">
        <f>IF(expected_production[[#This Row],[Age (yrs)]]="",1,(1-DegradationRate)^expected_production[[#This Row],[Age (yrs)]])</f>
        <v>0.98786172973962394</v>
      </c>
      <c r="G1516" s="52">
        <f>IF(expected_production[[#This Row],[Base Expected (kWh)]]="","",expected_production[[#This Row],[Base Expected (kWh)]]*expected_production[[#This Row],[Degradation Factor]])</f>
        <v>7375.8449085576594</v>
      </c>
    </row>
    <row r="1517" spans="1:7" ht="15" hidden="1" customHeight="1" x14ac:dyDescent="0.3">
      <c r="A1517" t="s">
        <v>149</v>
      </c>
      <c r="B1517" s="2">
        <v>45352</v>
      </c>
      <c r="C1517" s="52">
        <v>7931.85</v>
      </c>
      <c r="D1517" s="48">
        <f>_xlfn.XLOOKUP(expected_production[[#This Row],[Site Name]],Table1[[Site Name ]],Table1[Commisioned Date],"")</f>
        <v>44688</v>
      </c>
      <c r="E1517" s="47">
        <f>IF(ISNUMBER(expected_production[[#This Row],[Commissioned Date]]),MAX(0,(expected_production[[#This Row],[Date]]-expected_production[[#This Row],[Commissioned Date]])/365.25),"")</f>
        <v>1.8179329226557153</v>
      </c>
      <c r="F1517" s="49">
        <f>IF(expected_production[[#This Row],[Age (yrs)]]="",1,(1-DegradationRate)^expected_production[[#This Row],[Age (yrs)]])</f>
        <v>0.98731091525604009</v>
      </c>
      <c r="G1517" s="52">
        <f>IF(expected_production[[#This Row],[Base Expected (kWh)]]="","",expected_production[[#This Row],[Base Expected (kWh)]]*expected_production[[#This Row],[Degradation Factor]])</f>
        <v>7831.2020831736218</v>
      </c>
    </row>
    <row r="1518" spans="1:7" ht="15" hidden="1" customHeight="1" x14ac:dyDescent="0.3">
      <c r="A1518" t="s">
        <v>149</v>
      </c>
      <c r="B1518" s="2">
        <v>45383</v>
      </c>
      <c r="C1518" s="52">
        <v>6987.15</v>
      </c>
      <c r="D1518" s="48">
        <f>_xlfn.XLOOKUP(expected_production[[#This Row],[Site Name]],Table1[[Site Name ]],Table1[Commisioned Date],"")</f>
        <v>44688</v>
      </c>
      <c r="E1518" s="47">
        <f>IF(ISNUMBER(expected_production[[#This Row],[Commissioned Date]]),MAX(0,(expected_production[[#This Row],[Date]]-expected_production[[#This Row],[Commissioned Date]])/365.25),"")</f>
        <v>1.9028062970568105</v>
      </c>
      <c r="F1518" s="49">
        <f>IF(expected_production[[#This Row],[Age (yrs)]]="",1,(1-DegradationRate)^expected_production[[#This Row],[Age (yrs)]])</f>
        <v>0.98672245318877938</v>
      </c>
      <c r="G1518" s="52">
        <f>IF(expected_production[[#This Row],[Base Expected (kWh)]]="","",expected_production[[#This Row],[Base Expected (kWh)]]*expected_production[[#This Row],[Degradation Factor]])</f>
        <v>6894.3777887979795</v>
      </c>
    </row>
    <row r="1519" spans="1:7" ht="15" hidden="1" customHeight="1" x14ac:dyDescent="0.3">
      <c r="A1519" t="s">
        <v>149</v>
      </c>
      <c r="B1519" s="2">
        <v>45413</v>
      </c>
      <c r="C1519" s="52">
        <v>6858.5249999999996</v>
      </c>
      <c r="D1519" s="48">
        <f>_xlfn.XLOOKUP(expected_production[[#This Row],[Site Name]],Table1[[Site Name ]],Table1[Commisioned Date],"")</f>
        <v>44688</v>
      </c>
      <c r="E1519" s="47">
        <f>IF(ISNUMBER(expected_production[[#This Row],[Commissioned Date]]),MAX(0,(expected_production[[#This Row],[Date]]-expected_production[[#This Row],[Commissioned Date]])/365.25),"")</f>
        <v>1.9849418206707734</v>
      </c>
      <c r="F1519" s="49">
        <f>IF(expected_production[[#This Row],[Age (yrs)]]="",1,(1-DegradationRate)^expected_production[[#This Row],[Age (yrs)]])</f>
        <v>0.9861533077204262</v>
      </c>
      <c r="G1519" s="52">
        <f>IF(expected_production[[#This Row],[Base Expected (kWh)]]="","",expected_production[[#This Row],[Base Expected (kWh)]]*expected_production[[#This Row],[Degradation Factor]])</f>
        <v>6763.5571148332356</v>
      </c>
    </row>
    <row r="1520" spans="1:7" ht="15" hidden="1" customHeight="1" x14ac:dyDescent="0.3">
      <c r="A1520" t="s">
        <v>149</v>
      </c>
      <c r="B1520" s="2">
        <v>45444</v>
      </c>
      <c r="C1520" s="52">
        <v>6375.45</v>
      </c>
      <c r="D1520" s="48">
        <f>_xlfn.XLOOKUP(expected_production[[#This Row],[Site Name]],Table1[[Site Name ]],Table1[Commisioned Date],"")</f>
        <v>44688</v>
      </c>
      <c r="E1520" s="47">
        <f>IF(ISNUMBER(expected_production[[#This Row],[Commissioned Date]]),MAX(0,(expected_production[[#This Row],[Date]]-expected_production[[#This Row],[Commissioned Date]])/365.25),"")</f>
        <v>2.0698151950718686</v>
      </c>
      <c r="F1520" s="49">
        <f>IF(expected_production[[#This Row],[Age (yrs)]]="",1,(1-DegradationRate)^expected_production[[#This Row],[Age (yrs)]])</f>
        <v>0.98556553561628957</v>
      </c>
      <c r="G1520" s="52">
        <f>IF(expected_production[[#This Row],[Base Expected (kWh)]]="","",expected_production[[#This Row],[Base Expected (kWh)]]*expected_production[[#This Row],[Degradation Factor]])</f>
        <v>6283.4237940448729</v>
      </c>
    </row>
    <row r="1521" spans="1:7" ht="15" hidden="1" customHeight="1" x14ac:dyDescent="0.3">
      <c r="A1521" t="s">
        <v>149</v>
      </c>
      <c r="B1521" s="2">
        <v>45474</v>
      </c>
      <c r="C1521" s="52">
        <v>6946.7250000000004</v>
      </c>
      <c r="D1521" s="48">
        <f>_xlfn.XLOOKUP(expected_production[[#This Row],[Site Name]],Table1[[Site Name ]],Table1[Commisioned Date],"")</f>
        <v>44688</v>
      </c>
      <c r="E1521" s="47">
        <f>IF(ISNUMBER(expected_production[[#This Row],[Commissioned Date]]),MAX(0,(expected_production[[#This Row],[Date]]-expected_production[[#This Row],[Commissioned Date]])/365.25),"")</f>
        <v>2.1519507186858315</v>
      </c>
      <c r="F1521" s="49">
        <f>IF(expected_production[[#This Row],[Age (yrs)]]="",1,(1-DegradationRate)^expected_production[[#This Row],[Age (yrs)]])</f>
        <v>0.98499705746263211</v>
      </c>
      <c r="G1521" s="52">
        <f>IF(expected_production[[#This Row],[Base Expected (kWh)]]="","",expected_production[[#This Row],[Base Expected (kWh)]]*expected_production[[#This Row],[Degradation Factor]])</f>
        <v>6842.503684002103</v>
      </c>
    </row>
    <row r="1522" spans="1:7" ht="15" hidden="1" customHeight="1" x14ac:dyDescent="0.3">
      <c r="A1522" t="s">
        <v>149</v>
      </c>
      <c r="B1522" s="2">
        <v>45505</v>
      </c>
      <c r="C1522" s="52">
        <v>7852.65</v>
      </c>
      <c r="D1522" s="48">
        <f>_xlfn.XLOOKUP(expected_production[[#This Row],[Site Name]],Table1[[Site Name ]],Table1[Commisioned Date],"")</f>
        <v>44688</v>
      </c>
      <c r="E1522" s="47">
        <f>IF(ISNUMBER(expected_production[[#This Row],[Commissioned Date]]),MAX(0,(expected_production[[#This Row],[Date]]-expected_production[[#This Row],[Commissioned Date]])/365.25),"")</f>
        <v>2.236824093086927</v>
      </c>
      <c r="F1522" s="49">
        <f>IF(expected_production[[#This Row],[Age (yrs)]]="",1,(1-DegradationRate)^expected_production[[#This Row],[Age (yrs)]])</f>
        <v>0.98440997451264789</v>
      </c>
      <c r="G1522" s="52">
        <f>IF(expected_production[[#This Row],[Base Expected (kWh)]]="","",expected_production[[#This Row],[Base Expected (kWh)]]*expected_production[[#This Row],[Degradation Factor]])</f>
        <v>7730.2269863567444</v>
      </c>
    </row>
    <row r="1523" spans="1:7" ht="15" hidden="1" customHeight="1" x14ac:dyDescent="0.3">
      <c r="A1523" t="s">
        <v>149</v>
      </c>
      <c r="B1523" s="2">
        <v>45536</v>
      </c>
      <c r="C1523" s="52">
        <v>8347.0499999999993</v>
      </c>
      <c r="D1523" s="48">
        <f>_xlfn.XLOOKUP(expected_production[[#This Row],[Site Name]],Table1[[Site Name ]],Table1[Commisioned Date],"")</f>
        <v>44688</v>
      </c>
      <c r="E1523" s="47">
        <f>IF(ISNUMBER(expected_production[[#This Row],[Commissioned Date]]),MAX(0,(expected_production[[#This Row],[Date]]-expected_production[[#This Row],[Commissioned Date]])/365.25),"")</f>
        <v>2.321697467488022</v>
      </c>
      <c r="F1523" s="49">
        <f>IF(expected_production[[#This Row],[Age (yrs)]]="",1,(1-DegradationRate)^expected_production[[#This Row],[Age (yrs)]])</f>
        <v>0.98382324147882594</v>
      </c>
      <c r="G1523" s="52">
        <f>IF(expected_production[[#This Row],[Base Expected (kWh)]]="","",expected_production[[#This Row],[Base Expected (kWh)]]*expected_production[[#This Row],[Degradation Factor]])</f>
        <v>8212.021787785834</v>
      </c>
    </row>
    <row r="1524" spans="1:7" ht="15" hidden="1" customHeight="1" x14ac:dyDescent="0.3">
      <c r="A1524" t="s">
        <v>149</v>
      </c>
      <c r="B1524" s="2">
        <v>45566</v>
      </c>
      <c r="C1524" s="52">
        <v>8786.625</v>
      </c>
      <c r="D1524" s="48">
        <f>_xlfn.XLOOKUP(expected_production[[#This Row],[Site Name]],Table1[[Site Name ]],Table1[Commisioned Date],"")</f>
        <v>44688</v>
      </c>
      <c r="E1524" s="47">
        <f>IF(ISNUMBER(expected_production[[#This Row],[Commissioned Date]]),MAX(0,(expected_production[[#This Row],[Date]]-expected_production[[#This Row],[Commissioned Date]])/365.25),"")</f>
        <v>2.4038329911019849</v>
      </c>
      <c r="F1524" s="49">
        <f>IF(expected_production[[#This Row],[Age (yrs)]]="",1,(1-DegradationRate)^expected_production[[#This Row],[Age (yrs)]])</f>
        <v>0.98325576828741457</v>
      </c>
      <c r="G1524" s="52">
        <f>IF(expected_production[[#This Row],[Base Expected (kWh)]]="","",expected_production[[#This Row],[Base Expected (kWh)]]*expected_production[[#This Row],[Degradation Factor]])</f>
        <v>8639.4997150284034</v>
      </c>
    </row>
    <row r="1525" spans="1:7" ht="15" hidden="1" customHeight="1" x14ac:dyDescent="0.3">
      <c r="A1525" t="s">
        <v>149</v>
      </c>
      <c r="B1525" s="2">
        <v>45597</v>
      </c>
      <c r="C1525" s="52">
        <v>8551.7999999999993</v>
      </c>
      <c r="D1525" s="48">
        <f>_xlfn.XLOOKUP(expected_production[[#This Row],[Site Name]],Table1[[Site Name ]],Table1[Commisioned Date],"")</f>
        <v>44688</v>
      </c>
      <c r="E1525" s="47">
        <f>IF(ISNUMBER(expected_production[[#This Row],[Commissioned Date]]),MAX(0,(expected_production[[#This Row],[Date]]-expected_production[[#This Row],[Commissioned Date]])/365.25),"")</f>
        <v>2.4887063655030799</v>
      </c>
      <c r="F1525" s="49">
        <f>IF(expected_production[[#This Row],[Age (yrs)]]="",1,(1-DegradationRate)^expected_production[[#This Row],[Age (yrs)]])</f>
        <v>0.98266972318945034</v>
      </c>
      <c r="G1525" s="52">
        <f>IF(expected_production[[#This Row],[Base Expected (kWh)]]="","",expected_production[[#This Row],[Base Expected (kWh)]]*expected_production[[#This Row],[Degradation Factor]])</f>
        <v>8403.5949387715409</v>
      </c>
    </row>
    <row r="1526" spans="1:7" ht="15" hidden="1" customHeight="1" x14ac:dyDescent="0.3">
      <c r="A1526" t="s">
        <v>149</v>
      </c>
      <c r="B1526" s="2">
        <v>45627</v>
      </c>
      <c r="C1526" s="52">
        <v>9109.0499999999993</v>
      </c>
      <c r="D1526" s="48">
        <f>_xlfn.XLOOKUP(expected_production[[#This Row],[Site Name]],Table1[[Site Name ]],Table1[Commisioned Date],"")</f>
        <v>44688</v>
      </c>
      <c r="E1526" s="47">
        <f>IF(ISNUMBER(expected_production[[#This Row],[Commissioned Date]]),MAX(0,(expected_production[[#This Row],[Date]]-expected_production[[#This Row],[Commissioned Date]])/365.25),"")</f>
        <v>2.5708418891170433</v>
      </c>
      <c r="F1526" s="49">
        <f>IF(expected_production[[#This Row],[Age (yrs)]]="",1,(1-DegradationRate)^expected_production[[#This Row],[Age (yrs)]])</f>
        <v>0.98210291535201466</v>
      </c>
      <c r="G1526" s="52">
        <f>IF(expected_production[[#This Row],[Base Expected (kWh)]]="","",expected_production[[#This Row],[Base Expected (kWh)]]*expected_production[[#This Row],[Degradation Factor]])</f>
        <v>8946.024561087268</v>
      </c>
    </row>
    <row r="1527" spans="1:7" ht="15" hidden="1" customHeight="1" x14ac:dyDescent="0.3">
      <c r="A1527" t="s">
        <v>149</v>
      </c>
      <c r="B1527" s="2">
        <v>45658</v>
      </c>
      <c r="C1527" s="52">
        <v>8591.0249999999996</v>
      </c>
      <c r="D1527" s="48">
        <f>_xlfn.XLOOKUP(expected_production[[#This Row],[Site Name]],Table1[[Site Name ]],Table1[Commisioned Date],"")</f>
        <v>44688</v>
      </c>
      <c r="E1527" s="47">
        <f>IF(ISNUMBER(expected_production[[#This Row],[Commissioned Date]]),MAX(0,(expected_production[[#This Row],[Date]]-expected_production[[#This Row],[Commissioned Date]])/365.25),"")</f>
        <v>2.6557152635181382</v>
      </c>
      <c r="F1527" s="49">
        <f>IF(expected_production[[#This Row],[Age (yrs)]]="",1,(1-DegradationRate)^expected_production[[#This Row],[Age (yrs)]])</f>
        <v>0.98151755738331348</v>
      </c>
      <c r="G1527" s="52">
        <f>IF(expected_production[[#This Row],[Base Expected (kWh)]]="","",expected_production[[#This Row],[Base Expected (kWh)]]*expected_production[[#This Row],[Degradation Factor]])</f>
        <v>8432.2418734189796</v>
      </c>
    </row>
    <row r="1528" spans="1:7" ht="15" hidden="1" customHeight="1" x14ac:dyDescent="0.3">
      <c r="A1528" t="s">
        <v>149</v>
      </c>
      <c r="B1528" s="2">
        <v>45689</v>
      </c>
      <c r="C1528" s="52">
        <v>7466.4750000000004</v>
      </c>
      <c r="D1528" s="48">
        <f>_xlfn.XLOOKUP(expected_production[[#This Row],[Site Name]],Table1[[Site Name ]],Table1[Commisioned Date],"")</f>
        <v>44688</v>
      </c>
      <c r="E1528" s="47">
        <f>IF(ISNUMBER(expected_production[[#This Row],[Commissioned Date]]),MAX(0,(expected_production[[#This Row],[Date]]-expected_production[[#This Row],[Commissioned Date]])/365.25),"")</f>
        <v>2.7405886379192332</v>
      </c>
      <c r="F1528" s="49">
        <f>IF(expected_production[[#This Row],[Age (yrs)]]="",1,(1-DegradationRate)^expected_production[[#This Row],[Age (yrs)]])</f>
        <v>0.98093254830264243</v>
      </c>
      <c r="G1528" s="52">
        <f>IF(expected_production[[#This Row],[Base Expected (kWh)]]="","",expected_production[[#This Row],[Base Expected (kWh)]]*expected_production[[#This Row],[Degradation Factor]])</f>
        <v>7324.1083485879726</v>
      </c>
    </row>
    <row r="1529" spans="1:7" ht="15" hidden="1" customHeight="1" x14ac:dyDescent="0.3">
      <c r="A1529" t="s">
        <v>149</v>
      </c>
      <c r="B1529" s="2">
        <v>45717</v>
      </c>
      <c r="C1529" s="52">
        <v>7931.85</v>
      </c>
      <c r="D1529" s="48">
        <f>_xlfn.XLOOKUP(expected_production[[#This Row],[Site Name]],Table1[[Site Name ]],Table1[Commisioned Date],"")</f>
        <v>44688</v>
      </c>
      <c r="E1529" s="47">
        <f>IF(ISNUMBER(expected_production[[#This Row],[Commissioned Date]]),MAX(0,(expected_production[[#This Row],[Date]]-expected_production[[#This Row],[Commissioned Date]])/365.25),"")</f>
        <v>2.817248459958932</v>
      </c>
      <c r="F1529" s="49">
        <f>IF(expected_production[[#This Row],[Age (yrs)]]="",1,(1-DegradationRate)^expected_production[[#This Row],[Age (yrs)]])</f>
        <v>0.98040445270770515</v>
      </c>
      <c r="G1529" s="52">
        <f>IF(expected_production[[#This Row],[Base Expected (kWh)]]="","",expected_production[[#This Row],[Base Expected (kWh)]]*expected_production[[#This Row],[Degradation Factor]])</f>
        <v>7776.4210582096111</v>
      </c>
    </row>
    <row r="1530" spans="1:7" ht="15" hidden="1" customHeight="1" x14ac:dyDescent="0.3">
      <c r="A1530" t="s">
        <v>149</v>
      </c>
      <c r="B1530" s="2">
        <v>45748</v>
      </c>
      <c r="C1530" s="52">
        <v>6987.15</v>
      </c>
      <c r="D1530" s="48">
        <f>_xlfn.XLOOKUP(expected_production[[#This Row],[Site Name]],Table1[[Site Name ]],Table1[Commisioned Date],"")</f>
        <v>44688</v>
      </c>
      <c r="E1530" s="47">
        <f>IF(ISNUMBER(expected_production[[#This Row],[Commissioned Date]]),MAX(0,(expected_production[[#This Row],[Date]]-expected_production[[#This Row],[Commissioned Date]])/365.25),"")</f>
        <v>2.9021218343600275</v>
      </c>
      <c r="F1530" s="49">
        <f>IF(expected_production[[#This Row],[Age (yrs)]]="",1,(1-DegradationRate)^expected_production[[#This Row],[Age (yrs)]])</f>
        <v>0.97982010706533751</v>
      </c>
      <c r="G1530" s="52">
        <f>IF(expected_production[[#This Row],[Base Expected (kWh)]]="","",expected_production[[#This Row],[Base Expected (kWh)]]*expected_production[[#This Row],[Degradation Factor]])</f>
        <v>6846.1500610815729</v>
      </c>
    </row>
    <row r="1531" spans="1:7" ht="15" hidden="1" customHeight="1" x14ac:dyDescent="0.3">
      <c r="A1531" t="s">
        <v>149</v>
      </c>
      <c r="B1531" s="2">
        <v>45778</v>
      </c>
      <c r="C1531" s="52">
        <v>6858.5249999999996</v>
      </c>
      <c r="D1531" s="48">
        <f>_xlfn.XLOOKUP(expected_production[[#This Row],[Site Name]],Table1[[Site Name ]],Table1[Commisioned Date],"")</f>
        <v>44688</v>
      </c>
      <c r="E1531" s="47">
        <f>IF(ISNUMBER(expected_production[[#This Row],[Commissioned Date]]),MAX(0,(expected_production[[#This Row],[Date]]-expected_production[[#This Row],[Commissioned Date]])/365.25),"")</f>
        <v>2.9842573579739904</v>
      </c>
      <c r="F1531" s="49">
        <f>IF(expected_production[[#This Row],[Age (yrs)]]="",1,(1-DegradationRate)^expected_production[[#This Row],[Age (yrs)]])</f>
        <v>0.97925494289791082</v>
      </c>
      <c r="G1531" s="52">
        <f>IF(expected_production[[#This Row],[Base Expected (kWh)]]="","",expected_production[[#This Row],[Base Expected (kWh)]]*expected_production[[#This Row],[Degradation Factor]])</f>
        <v>6716.2445072388937</v>
      </c>
    </row>
    <row r="1532" spans="1:7" ht="15" hidden="1" customHeight="1" x14ac:dyDescent="0.3">
      <c r="A1532" t="s">
        <v>149</v>
      </c>
      <c r="B1532" s="2">
        <v>45809</v>
      </c>
      <c r="C1532" s="52">
        <v>6375.45</v>
      </c>
      <c r="D1532" s="48">
        <f>_xlfn.XLOOKUP(expected_production[[#This Row],[Site Name]],Table1[[Site Name ]],Table1[Commisioned Date],"")</f>
        <v>44688</v>
      </c>
      <c r="E1532" s="47">
        <f>IF(ISNUMBER(expected_production[[#This Row],[Commissioned Date]]),MAX(0,(expected_production[[#This Row],[Date]]-expected_production[[#This Row],[Commissioned Date]])/365.25),"")</f>
        <v>3.0691307323750854</v>
      </c>
      <c r="F1532" s="49">
        <f>IF(expected_production[[#This Row],[Age (yrs)]]="",1,(1-DegradationRate)^expected_production[[#This Row],[Age (yrs)]])</f>
        <v>0.97867128239221945</v>
      </c>
      <c r="G1532" s="52">
        <f>IF(expected_production[[#This Row],[Base Expected (kWh)]]="","",expected_production[[#This Row],[Base Expected (kWh)]]*expected_production[[#This Row],[Degradation Factor]])</f>
        <v>6239.4698273274753</v>
      </c>
    </row>
    <row r="1533" spans="1:7" ht="15" hidden="1" customHeight="1" x14ac:dyDescent="0.3">
      <c r="A1533" t="s">
        <v>149</v>
      </c>
      <c r="B1533" s="2">
        <v>45839</v>
      </c>
      <c r="C1533" s="52">
        <v>6946.7250000000004</v>
      </c>
      <c r="D1533" s="48">
        <f>_xlfn.XLOOKUP(expected_production[[#This Row],[Site Name]],Table1[[Site Name ]],Table1[Commisioned Date],"")</f>
        <v>44688</v>
      </c>
      <c r="E1533" s="47">
        <f>IF(ISNUMBER(expected_production[[#This Row],[Commissioned Date]]),MAX(0,(expected_production[[#This Row],[Date]]-expected_production[[#This Row],[Commissioned Date]])/365.25),"")</f>
        <v>3.1512662559890487</v>
      </c>
      <c r="F1533" s="49">
        <f>IF(expected_production[[#This Row],[Age (yrs)]]="",1,(1-DegradationRate)^expected_production[[#This Row],[Age (yrs)]])</f>
        <v>0.97810678087147185</v>
      </c>
      <c r="G1533" s="52">
        <f>IF(expected_production[[#This Row],[Base Expected (kWh)]]="","",expected_production[[#This Row],[Base Expected (kWh)]]*expected_production[[#This Row],[Degradation Factor]])</f>
        <v>6794.6388273493758</v>
      </c>
    </row>
    <row r="1534" spans="1:7" ht="15" hidden="1" customHeight="1" x14ac:dyDescent="0.3">
      <c r="A1534" t="s">
        <v>149</v>
      </c>
      <c r="B1534" s="2">
        <v>45870</v>
      </c>
      <c r="C1534" s="52">
        <v>7852.65</v>
      </c>
      <c r="D1534" s="48">
        <f>_xlfn.XLOOKUP(expected_production[[#This Row],[Site Name]],Table1[[Site Name ]],Table1[Commisioned Date],"")</f>
        <v>44688</v>
      </c>
      <c r="E1534" s="47">
        <f>IF(ISNUMBER(expected_production[[#This Row],[Commissioned Date]]),MAX(0,(expected_production[[#This Row],[Date]]-expected_production[[#This Row],[Commissioned Date]])/365.25),"")</f>
        <v>3.2361396303901437</v>
      </c>
      <c r="F1534" s="49">
        <f>IF(expected_production[[#This Row],[Age (yrs)]]="",1,(1-DegradationRate)^expected_production[[#This Row],[Age (yrs)]])</f>
        <v>0.97752380469914413</v>
      </c>
      <c r="G1534" s="52">
        <f>IF(expected_production[[#This Row],[Base Expected (kWh)]]="","",expected_production[[#This Row],[Base Expected (kWh)]]*expected_production[[#This Row],[Degradation Factor]])</f>
        <v>7676.1523049707339</v>
      </c>
    </row>
    <row r="1535" spans="1:7" ht="15" hidden="1" customHeight="1" x14ac:dyDescent="0.3">
      <c r="A1535" t="s">
        <v>149</v>
      </c>
      <c r="B1535" s="2">
        <v>45901</v>
      </c>
      <c r="C1535" s="52">
        <v>8347.0499999999993</v>
      </c>
      <c r="D1535" s="48">
        <f>_xlfn.XLOOKUP(expected_production[[#This Row],[Site Name]],Table1[[Site Name ]],Table1[Commisioned Date],"")</f>
        <v>44688</v>
      </c>
      <c r="E1535" s="47">
        <f>IF(ISNUMBER(expected_production[[#This Row],[Commissioned Date]]),MAX(0,(expected_production[[#This Row],[Date]]-expected_production[[#This Row],[Commissioned Date]])/365.25),"")</f>
        <v>3.3210130047912387</v>
      </c>
      <c r="F1535" s="49">
        <f>IF(expected_production[[#This Row],[Age (yrs)]]="",1,(1-DegradationRate)^expected_production[[#This Row],[Age (yrs)]])</f>
        <v>0.97694117599523622</v>
      </c>
      <c r="G1535" s="52">
        <f>IF(expected_production[[#This Row],[Base Expected (kWh)]]="","",expected_production[[#This Row],[Base Expected (kWh)]]*expected_production[[#This Row],[Degradation Factor]])</f>
        <v>8154.5768430910357</v>
      </c>
    </row>
    <row r="1536" spans="1:7" ht="15" hidden="1" customHeight="1" x14ac:dyDescent="0.3">
      <c r="A1536" t="s">
        <v>149</v>
      </c>
      <c r="B1536" s="2">
        <v>45931</v>
      </c>
      <c r="C1536" s="52">
        <v>8786.625</v>
      </c>
      <c r="D1536" s="48">
        <f>_xlfn.XLOOKUP(expected_production[[#This Row],[Site Name]],Table1[[Site Name ]],Table1[Commisioned Date],"")</f>
        <v>44688</v>
      </c>
      <c r="E1536" s="47">
        <f>IF(ISNUMBER(expected_production[[#This Row],[Commissioned Date]]),MAX(0,(expected_production[[#This Row],[Date]]-expected_production[[#This Row],[Commissioned Date]])/365.25),"")</f>
        <v>3.4031485284052021</v>
      </c>
      <c r="F1536" s="49">
        <f>IF(expected_production[[#This Row],[Age (yrs)]]="",1,(1-DegradationRate)^expected_production[[#This Row],[Age (yrs)]])</f>
        <v>0.97637767240679707</v>
      </c>
      <c r="G1536" s="52">
        <f>IF(expected_production[[#This Row],[Base Expected (kWh)]]="","",expected_production[[#This Row],[Base Expected (kWh)]]*expected_production[[#This Row],[Degradation Factor]])</f>
        <v>8579.0644658113724</v>
      </c>
    </row>
    <row r="1537" spans="1:7" ht="15" hidden="1" customHeight="1" x14ac:dyDescent="0.3">
      <c r="A1537" t="s">
        <v>149</v>
      </c>
      <c r="B1537" s="2">
        <v>45962</v>
      </c>
      <c r="C1537" s="52">
        <v>8551.7999999999993</v>
      </c>
      <c r="D1537" s="48">
        <f>_xlfn.XLOOKUP(expected_production[[#This Row],[Site Name]],Table1[[Site Name ]],Table1[Commisioned Date],"")</f>
        <v>44688</v>
      </c>
      <c r="E1537" s="47">
        <f>IF(ISNUMBER(expected_production[[#This Row],[Commissioned Date]]),MAX(0,(expected_production[[#This Row],[Date]]-expected_production[[#This Row],[Commissioned Date]])/365.25),"")</f>
        <v>3.4880219028062971</v>
      </c>
      <c r="F1537" s="49">
        <f>IF(expected_production[[#This Row],[Age (yrs)]]="",1,(1-DegradationRate)^expected_production[[#This Row],[Age (yrs)]])</f>
        <v>0.9757957268264803</v>
      </c>
      <c r="G1537" s="52">
        <f>IF(expected_production[[#This Row],[Base Expected (kWh)]]="","",expected_production[[#This Row],[Base Expected (kWh)]]*expected_production[[#This Row],[Degradation Factor]])</f>
        <v>8344.8098966746929</v>
      </c>
    </row>
    <row r="1538" spans="1:7" ht="15" hidden="1" customHeight="1" x14ac:dyDescent="0.3">
      <c r="A1538" t="s">
        <v>149</v>
      </c>
      <c r="B1538" s="2">
        <v>45992</v>
      </c>
      <c r="C1538" s="52">
        <v>9109.0499999999993</v>
      </c>
      <c r="D1538" s="48">
        <f>_xlfn.XLOOKUP(expected_production[[#This Row],[Site Name]],Table1[[Site Name ]],Table1[Commisioned Date],"")</f>
        <v>44688</v>
      </c>
      <c r="E1538" s="47">
        <f>IF(ISNUMBER(expected_production[[#This Row],[Commissioned Date]]),MAX(0,(expected_production[[#This Row],[Date]]-expected_production[[#This Row],[Commissioned Date]])/365.25),"")</f>
        <v>3.57015742642026</v>
      </c>
      <c r="F1538" s="49">
        <f>IF(expected_production[[#This Row],[Age (yrs)]]="",1,(1-DegradationRate)^expected_production[[#This Row],[Age (yrs)]])</f>
        <v>0.97523288393771568</v>
      </c>
      <c r="G1538" s="52">
        <f>IF(expected_production[[#This Row],[Base Expected (kWh)]]="","",expected_production[[#This Row],[Base Expected (kWh)]]*expected_production[[#This Row],[Degradation Factor]])</f>
        <v>8883.4451014328479</v>
      </c>
    </row>
    <row r="1539" spans="1:7" ht="15" hidden="1" customHeight="1" x14ac:dyDescent="0.3">
      <c r="A1539" t="s">
        <v>149</v>
      </c>
      <c r="B1539" s="2">
        <v>46023</v>
      </c>
      <c r="C1539" s="52">
        <v>8591.0249999999996</v>
      </c>
      <c r="D1539" s="48">
        <f>_xlfn.XLOOKUP(expected_production[[#This Row],[Site Name]],Table1[[Site Name ]],Table1[Commisioned Date],"")</f>
        <v>44688</v>
      </c>
      <c r="E1539" s="47">
        <f>IF(ISNUMBER(expected_production[[#This Row],[Commissioned Date]]),MAX(0,(expected_production[[#This Row],[Date]]-expected_production[[#This Row],[Commissioned Date]])/365.25),"")</f>
        <v>3.6550308008213555</v>
      </c>
      <c r="F1539" s="49">
        <f>IF(expected_production[[#This Row],[Age (yrs)]]="",1,(1-DegradationRate)^expected_production[[#This Row],[Age (yrs)]])</f>
        <v>0.97465162068003786</v>
      </c>
      <c r="G1539" s="52">
        <f>IF(expected_production[[#This Row],[Base Expected (kWh)]]="","",expected_production[[#This Row],[Base Expected (kWh)]]*expected_production[[#This Row],[Degradation Factor]])</f>
        <v>8373.2564395527224</v>
      </c>
    </row>
    <row r="1540" spans="1:7" ht="15" hidden="1" customHeight="1" x14ac:dyDescent="0.3">
      <c r="A1540" t="s">
        <v>149</v>
      </c>
      <c r="B1540" s="2">
        <v>46054</v>
      </c>
      <c r="C1540" s="52">
        <v>7466.4750000000004</v>
      </c>
      <c r="D1540" s="48">
        <f>_xlfn.XLOOKUP(expected_production[[#This Row],[Site Name]],Table1[[Site Name ]],Table1[Commisioned Date],"")</f>
        <v>44688</v>
      </c>
      <c r="E1540" s="47">
        <f>IF(ISNUMBER(expected_production[[#This Row],[Commissioned Date]]),MAX(0,(expected_production[[#This Row],[Date]]-expected_production[[#This Row],[Commissioned Date]])/365.25),"")</f>
        <v>3.7399041752224504</v>
      </c>
      <c r="F1540" s="49">
        <f>IF(expected_production[[#This Row],[Age (yrs)]]="",1,(1-DegradationRate)^expected_production[[#This Row],[Age (yrs)]])</f>
        <v>0.97407070386983974</v>
      </c>
      <c r="G1540" s="52">
        <f>IF(expected_production[[#This Row],[Base Expected (kWh)]]="","",expected_production[[#This Row],[Base Expected (kWh)]]*expected_production[[#This Row],[Degradation Factor]])</f>
        <v>7272.8745586765617</v>
      </c>
    </row>
    <row r="1541" spans="1:7" ht="15" hidden="1" customHeight="1" x14ac:dyDescent="0.3">
      <c r="A1541" t="s">
        <v>149</v>
      </c>
      <c r="B1541" s="2">
        <v>46082</v>
      </c>
      <c r="C1541" s="52">
        <v>7931.85</v>
      </c>
      <c r="D1541" s="48">
        <f>_xlfn.XLOOKUP(expected_production[[#This Row],[Site Name]],Table1[[Site Name ]],Table1[Commisioned Date],"")</f>
        <v>44688</v>
      </c>
      <c r="E1541" s="47">
        <f>IF(ISNUMBER(expected_production[[#This Row],[Commissioned Date]]),MAX(0,(expected_production[[#This Row],[Date]]-expected_production[[#This Row],[Commissioned Date]])/365.25),"")</f>
        <v>3.8165639972621492</v>
      </c>
      <c r="F1541" s="49">
        <f>IF(expected_production[[#This Row],[Age (yrs)]]="",1,(1-DegradationRate)^expected_production[[#This Row],[Age (yrs)]])</f>
        <v>0.97354630242270546</v>
      </c>
      <c r="G1541" s="52">
        <f>IF(expected_production[[#This Row],[Base Expected (kWh)]]="","",expected_production[[#This Row],[Base Expected (kWh)]]*expected_production[[#This Row],[Degradation Factor]])</f>
        <v>7722.0232388715367</v>
      </c>
    </row>
    <row r="1542" spans="1:7" ht="15" hidden="1" customHeight="1" x14ac:dyDescent="0.3">
      <c r="A1542" t="s">
        <v>149</v>
      </c>
      <c r="B1542" s="2">
        <v>46113</v>
      </c>
      <c r="C1542" s="52">
        <v>6987.15</v>
      </c>
      <c r="D1542" s="48">
        <f>_xlfn.XLOOKUP(expected_production[[#This Row],[Site Name]],Table1[[Site Name ]],Table1[Commisioned Date],"")</f>
        <v>44688</v>
      </c>
      <c r="E1542" s="47">
        <f>IF(ISNUMBER(expected_production[[#This Row],[Commissioned Date]]),MAX(0,(expected_production[[#This Row],[Date]]-expected_production[[#This Row],[Commissioned Date]])/365.25),"")</f>
        <v>3.9014373716632442</v>
      </c>
      <c r="F1542" s="49">
        <f>IF(expected_production[[#This Row],[Age (yrs)]]="",1,(1-DegradationRate)^expected_production[[#This Row],[Age (yrs)]])</f>
        <v>0.97296604440991008</v>
      </c>
      <c r="G1542" s="52">
        <f>IF(expected_production[[#This Row],[Base Expected (kWh)]]="","",expected_production[[#This Row],[Base Expected (kWh)]]*expected_production[[#This Row],[Degradation Factor]])</f>
        <v>6798.2596971987032</v>
      </c>
    </row>
    <row r="1543" spans="1:7" ht="15" hidden="1" customHeight="1" x14ac:dyDescent="0.3">
      <c r="A1543" t="s">
        <v>149</v>
      </c>
      <c r="B1543" s="2">
        <v>46143</v>
      </c>
      <c r="C1543" s="52">
        <v>6858.5249999999996</v>
      </c>
      <c r="D1543" s="48">
        <f>_xlfn.XLOOKUP(expected_production[[#This Row],[Site Name]],Table1[[Site Name ]],Table1[Commisioned Date],"")</f>
        <v>44688</v>
      </c>
      <c r="E1543" s="47">
        <f>IF(ISNUMBER(expected_production[[#This Row],[Commissioned Date]]),MAX(0,(expected_production[[#This Row],[Date]]-expected_production[[#This Row],[Commissioned Date]])/365.25),"")</f>
        <v>3.9835728952772076</v>
      </c>
      <c r="F1543" s="49">
        <f>IF(expected_production[[#This Row],[Age (yrs)]]="",1,(1-DegradationRate)^expected_production[[#This Row],[Age (yrs)]])</f>
        <v>0.9724048336933121</v>
      </c>
      <c r="G1543" s="52">
        <f>IF(expected_production[[#This Row],[Base Expected (kWh)]]="","",expected_production[[#This Row],[Base Expected (kWh)]]*expected_production[[#This Row],[Degradation Factor]])</f>
        <v>6669.2628620064233</v>
      </c>
    </row>
    <row r="1544" spans="1:7" ht="15" hidden="1" customHeight="1" x14ac:dyDescent="0.3">
      <c r="A1544" t="s">
        <v>149</v>
      </c>
      <c r="B1544" s="2">
        <v>46174</v>
      </c>
      <c r="C1544" s="52">
        <v>6375.45</v>
      </c>
      <c r="D1544" s="48">
        <f>_xlfn.XLOOKUP(expected_production[[#This Row],[Site Name]],Table1[[Site Name ]],Table1[Commisioned Date],"")</f>
        <v>44688</v>
      </c>
      <c r="E1544" s="47">
        <f>IF(ISNUMBER(expected_production[[#This Row],[Commissioned Date]]),MAX(0,(expected_production[[#This Row],[Date]]-expected_production[[#This Row],[Commissioned Date]])/365.25),"")</f>
        <v>4.0684462696783026</v>
      </c>
      <c r="F1544" s="49">
        <f>IF(expected_production[[#This Row],[Age (yrs)]]="",1,(1-DegradationRate)^expected_production[[#This Row],[Age (yrs)]])</f>
        <v>0.97182525602450742</v>
      </c>
      <c r="G1544" s="52">
        <f>IF(expected_production[[#This Row],[Base Expected (kWh)]]="","",expected_production[[#This Row],[Base Expected (kWh)]]*expected_production[[#This Row],[Degradation Factor]])</f>
        <v>6195.8233285214455</v>
      </c>
    </row>
    <row r="1545" spans="1:7" ht="15" hidden="1" customHeight="1" x14ac:dyDescent="0.3">
      <c r="A1545" t="s">
        <v>149</v>
      </c>
      <c r="B1545" s="2">
        <v>46204</v>
      </c>
      <c r="C1545" s="52">
        <v>6946.7250000000004</v>
      </c>
      <c r="D1545" s="48">
        <f>_xlfn.XLOOKUP(expected_production[[#This Row],[Site Name]],Table1[[Site Name ]],Table1[Commisioned Date],"")</f>
        <v>44688</v>
      </c>
      <c r="E1545" s="47">
        <f>IF(ISNUMBER(expected_production[[#This Row],[Commissioned Date]]),MAX(0,(expected_production[[#This Row],[Date]]-expected_production[[#This Row],[Commissioned Date]])/365.25),"")</f>
        <v>4.1505817932922655</v>
      </c>
      <c r="F1545" s="49">
        <f>IF(expected_production[[#This Row],[Age (yrs)]]="",1,(1-DegradationRate)^expected_production[[#This Row],[Age (yrs)]])</f>
        <v>0.97126470331922532</v>
      </c>
      <c r="G1545" s="52">
        <f>IF(expected_production[[#This Row],[Base Expected (kWh)]]="","",expected_production[[#This Row],[Base Expected (kWh)]]*expected_production[[#This Row],[Degradation Factor]])</f>
        <v>6747.1087961652456</v>
      </c>
    </row>
    <row r="1546" spans="1:7" ht="15" hidden="1" customHeight="1" x14ac:dyDescent="0.3">
      <c r="A1546" t="s">
        <v>149</v>
      </c>
      <c r="B1546" s="2">
        <v>46235</v>
      </c>
      <c r="C1546" s="52">
        <v>7852.65</v>
      </c>
      <c r="D1546" s="48">
        <f>_xlfn.XLOOKUP(expected_production[[#This Row],[Site Name]],Table1[[Site Name ]],Table1[Commisioned Date],"")</f>
        <v>44688</v>
      </c>
      <c r="E1546" s="47">
        <f>IF(ISNUMBER(expected_production[[#This Row],[Commissioned Date]]),MAX(0,(expected_production[[#This Row],[Date]]-expected_production[[#This Row],[Commissioned Date]])/365.25),"")</f>
        <v>4.2354551676933605</v>
      </c>
      <c r="F1546" s="49">
        <f>IF(expected_production[[#This Row],[Age (yrs)]]="",1,(1-DegradationRate)^expected_production[[#This Row],[Age (yrs)]])</f>
        <v>0.97068580519671821</v>
      </c>
      <c r="G1546" s="52">
        <f>IF(expected_production[[#This Row],[Base Expected (kWh)]]="","",expected_production[[#This Row],[Base Expected (kWh)]]*expected_production[[#This Row],[Degradation Factor]])</f>
        <v>7622.4558881780085</v>
      </c>
    </row>
    <row r="1547" spans="1:7" ht="15" hidden="1" customHeight="1" x14ac:dyDescent="0.3">
      <c r="A1547" t="s">
        <v>149</v>
      </c>
      <c r="B1547" s="2">
        <v>46266</v>
      </c>
      <c r="C1547" s="52">
        <v>8347.0499999999993</v>
      </c>
      <c r="D1547" s="48">
        <f>_xlfn.XLOOKUP(expected_production[[#This Row],[Site Name]],Table1[[Site Name ]],Table1[Commisioned Date],"")</f>
        <v>44688</v>
      </c>
      <c r="E1547" s="47">
        <f>IF(ISNUMBER(expected_production[[#This Row],[Commissioned Date]]),MAX(0,(expected_production[[#This Row],[Date]]-expected_production[[#This Row],[Commissioned Date]])/365.25),"")</f>
        <v>4.3203285420944555</v>
      </c>
      <c r="F1547" s="49">
        <f>IF(expected_production[[#This Row],[Age (yrs)]]="",1,(1-DegradationRate)^expected_production[[#This Row],[Age (yrs)]])</f>
        <v>0.97010725211201077</v>
      </c>
      <c r="G1547" s="52">
        <f>IF(expected_production[[#This Row],[Base Expected (kWh)]]="","",expected_production[[#This Row],[Base Expected (kWh)]]*expected_production[[#This Row],[Degradation Factor]])</f>
        <v>8097.5337387415584</v>
      </c>
    </row>
    <row r="1548" spans="1:7" ht="15" hidden="1" customHeight="1" x14ac:dyDescent="0.3">
      <c r="A1548" t="s">
        <v>149</v>
      </c>
      <c r="B1548" s="2">
        <v>46296</v>
      </c>
      <c r="C1548" s="52">
        <v>8786.625</v>
      </c>
      <c r="D1548" s="48">
        <f>_xlfn.XLOOKUP(expected_production[[#This Row],[Site Name]],Table1[[Site Name ]],Table1[Commisioned Date],"")</f>
        <v>44688</v>
      </c>
      <c r="E1548" s="47">
        <f>IF(ISNUMBER(expected_production[[#This Row],[Commissioned Date]]),MAX(0,(expected_production[[#This Row],[Date]]-expected_production[[#This Row],[Commissioned Date]])/365.25),"")</f>
        <v>4.4024640657084193</v>
      </c>
      <c r="F1548" s="49">
        <f>IF(expected_production[[#This Row],[Age (yrs)]]="",1,(1-DegradationRate)^expected_production[[#This Row],[Age (yrs)]])</f>
        <v>0.9695476903582757</v>
      </c>
      <c r="G1548" s="52">
        <f>IF(expected_production[[#This Row],[Base Expected (kWh)]]="","",expected_production[[#This Row],[Base Expected (kWh)]]*expected_production[[#This Row],[Degradation Factor]])</f>
        <v>8519.0519747942835</v>
      </c>
    </row>
    <row r="1549" spans="1:7" ht="15" hidden="1" customHeight="1" x14ac:dyDescent="0.3">
      <c r="A1549" t="s">
        <v>149</v>
      </c>
      <c r="B1549" s="2">
        <v>46327</v>
      </c>
      <c r="C1549" s="52">
        <v>8551.7999999999993</v>
      </c>
      <c r="D1549" s="48">
        <f>_xlfn.XLOOKUP(expected_production[[#This Row],[Site Name]],Table1[[Site Name ]],Table1[Commisioned Date],"")</f>
        <v>44688</v>
      </c>
      <c r="E1549" s="47">
        <f>IF(ISNUMBER(expected_production[[#This Row],[Commissioned Date]]),MAX(0,(expected_production[[#This Row],[Date]]-expected_production[[#This Row],[Commissioned Date]])/365.25),"")</f>
        <v>4.4873374401095143</v>
      </c>
      <c r="F1549" s="49">
        <f>IF(expected_production[[#This Row],[Age (yrs)]]="",1,(1-DegradationRate)^expected_production[[#This Row],[Age (yrs)]])</f>
        <v>0.96896981561855589</v>
      </c>
      <c r="G1549" s="52">
        <f>IF(expected_production[[#This Row],[Base Expected (kWh)]]="","",expected_production[[#This Row],[Base Expected (kWh)]]*expected_production[[#This Row],[Degradation Factor]])</f>
        <v>8286.4360692067658</v>
      </c>
    </row>
    <row r="1550" spans="1:7" ht="15" hidden="1" customHeight="1" x14ac:dyDescent="0.3">
      <c r="A1550" t="s">
        <v>149</v>
      </c>
      <c r="B1550" s="2">
        <v>46357</v>
      </c>
      <c r="C1550" s="52">
        <v>9109.0499999999993</v>
      </c>
      <c r="D1550" s="48">
        <f>_xlfn.XLOOKUP(expected_production[[#This Row],[Site Name]],Table1[[Site Name ]],Table1[Commisioned Date],"")</f>
        <v>44688</v>
      </c>
      <c r="E1550" s="47">
        <f>IF(ISNUMBER(expected_production[[#This Row],[Commissioned Date]]),MAX(0,(expected_production[[#This Row],[Date]]-expected_production[[#This Row],[Commissioned Date]])/365.25),"")</f>
        <v>4.5694729637234772</v>
      </c>
      <c r="F1550" s="49">
        <f>IF(expected_production[[#This Row],[Age (yrs)]]="",1,(1-DegradationRate)^expected_production[[#This Row],[Age (yrs)]])</f>
        <v>0.96841090994275203</v>
      </c>
      <c r="G1550" s="52">
        <f>IF(expected_production[[#This Row],[Base Expected (kWh)]]="","",expected_production[[#This Row],[Base Expected (kWh)]]*expected_production[[#This Row],[Degradation Factor]])</f>
        <v>8821.3033992140245</v>
      </c>
    </row>
    <row r="1551" spans="1:7" ht="15" hidden="1" customHeight="1" x14ac:dyDescent="0.3">
      <c r="A1551" t="s">
        <v>155</v>
      </c>
      <c r="B1551" s="2">
        <v>45292</v>
      </c>
      <c r="C1551" s="52">
        <v>4894.29</v>
      </c>
      <c r="D1551" s="48">
        <f>_xlfn.XLOOKUP(expected_production[[#This Row],[Site Name]],Table1[[Site Name ]],Table1[Commisioned Date],"")</f>
        <v>45092</v>
      </c>
      <c r="E1551" s="47">
        <f>IF(ISNUMBER(expected_production[[#This Row],[Commissioned Date]]),MAX(0,(expected_production[[#This Row],[Date]]-expected_production[[#This Row],[Commissioned Date]])/365.25),"")</f>
        <v>0.54757015742642023</v>
      </c>
      <c r="F1551" s="49">
        <f>IF(expected_production[[#This Row],[Age (yrs)]]="",1,(1-DegradationRate)^expected_production[[#This Row],[Age (yrs)]])</f>
        <v>0.99616091868109125</v>
      </c>
      <c r="G1551" s="52">
        <f>IF(expected_production[[#This Row],[Base Expected (kWh)]]="","",expected_production[[#This Row],[Base Expected (kWh)]]*expected_production[[#This Row],[Degradation Factor]])</f>
        <v>4875.5004226916781</v>
      </c>
    </row>
    <row r="1552" spans="1:7" ht="15" hidden="1" customHeight="1" x14ac:dyDescent="0.3">
      <c r="A1552" t="s">
        <v>155</v>
      </c>
      <c r="B1552" s="2">
        <v>45323</v>
      </c>
      <c r="C1552" s="52">
        <v>4527.45</v>
      </c>
      <c r="D1552" s="48">
        <f>_xlfn.XLOOKUP(expected_production[[#This Row],[Site Name]],Table1[[Site Name ]],Table1[Commisioned Date],"")</f>
        <v>45092</v>
      </c>
      <c r="E1552" s="47">
        <f>IF(ISNUMBER(expected_production[[#This Row],[Commissioned Date]]),MAX(0,(expected_production[[#This Row],[Date]]-expected_production[[#This Row],[Commissioned Date]])/365.25),"")</f>
        <v>0.63244353182751545</v>
      </c>
      <c r="F1552" s="49">
        <f>IF(expected_production[[#This Row],[Age (yrs)]]="",1,(1-DegradationRate)^expected_production[[#This Row],[Age (yrs)]])</f>
        <v>0.99556718178983106</v>
      </c>
      <c r="G1552" s="52">
        <f>IF(expected_production[[#This Row],[Base Expected (kWh)]]="","",expected_production[[#This Row],[Base Expected (kWh)]]*expected_production[[#This Row],[Degradation Factor]])</f>
        <v>4507.3806371943701</v>
      </c>
    </row>
    <row r="1553" spans="1:7" ht="15" hidden="1" customHeight="1" x14ac:dyDescent="0.3">
      <c r="A1553" t="s">
        <v>155</v>
      </c>
      <c r="B1553" s="2">
        <v>45352</v>
      </c>
      <c r="C1553" s="52">
        <v>4754.25</v>
      </c>
      <c r="D1553" s="48">
        <f>_xlfn.XLOOKUP(expected_production[[#This Row],[Site Name]],Table1[[Site Name ]],Table1[Commisioned Date],"")</f>
        <v>45092</v>
      </c>
      <c r="E1553" s="47">
        <f>IF(ISNUMBER(expected_production[[#This Row],[Commissioned Date]]),MAX(0,(expected_production[[#This Row],[Date]]-expected_production[[#This Row],[Commissioned Date]])/365.25),"")</f>
        <v>0.7118412046543463</v>
      </c>
      <c r="F1553" s="49">
        <f>IF(expected_production[[#This Row],[Age (yrs)]]="",1,(1-DegradationRate)^expected_production[[#This Row],[Age (yrs)]])</f>
        <v>0.99501207088047827</v>
      </c>
      <c r="G1553" s="52">
        <f>IF(expected_production[[#This Row],[Base Expected (kWh)]]="","",expected_production[[#This Row],[Base Expected (kWh)]]*expected_production[[#This Row],[Degradation Factor]])</f>
        <v>4730.536137983514</v>
      </c>
    </row>
    <row r="1554" spans="1:7" ht="15" hidden="1" customHeight="1" x14ac:dyDescent="0.3">
      <c r="A1554" t="s">
        <v>155</v>
      </c>
      <c r="B1554" s="2">
        <v>45383</v>
      </c>
      <c r="C1554" s="52">
        <v>4171.59</v>
      </c>
      <c r="D1554" s="48">
        <f>_xlfn.XLOOKUP(expected_production[[#This Row],[Site Name]],Table1[[Site Name ]],Table1[Commisioned Date],"")</f>
        <v>45092</v>
      </c>
      <c r="E1554" s="47">
        <f>IF(ISNUMBER(expected_production[[#This Row],[Commissioned Date]]),MAX(0,(expected_production[[#This Row],[Date]]-expected_production[[#This Row],[Commissioned Date]])/365.25),"")</f>
        <v>0.79671457905544152</v>
      </c>
      <c r="F1554" s="49">
        <f>IF(expected_production[[#This Row],[Age (yrs)]]="",1,(1-DegradationRate)^expected_production[[#This Row],[Age (yrs)]])</f>
        <v>0.99441901873132033</v>
      </c>
      <c r="G1554" s="52">
        <f>IF(expected_production[[#This Row],[Base Expected (kWh)]]="","",expected_production[[#This Row],[Base Expected (kWh)]]*expected_production[[#This Row],[Degradation Factor]])</f>
        <v>4148.3084343493883</v>
      </c>
    </row>
    <row r="1555" spans="1:7" ht="15" hidden="1" customHeight="1" x14ac:dyDescent="0.3">
      <c r="A1555" t="s">
        <v>155</v>
      </c>
      <c r="B1555" s="2">
        <v>45413</v>
      </c>
      <c r="C1555" s="52">
        <v>4117.5</v>
      </c>
      <c r="D1555" s="48">
        <f>_xlfn.XLOOKUP(expected_production[[#This Row],[Site Name]],Table1[[Site Name ]],Table1[Commisioned Date],"")</f>
        <v>45092</v>
      </c>
      <c r="E1555" s="47">
        <f>IF(ISNUMBER(expected_production[[#This Row],[Commissioned Date]]),MAX(0,(expected_production[[#This Row],[Date]]-expected_production[[#This Row],[Commissioned Date]])/365.25),"")</f>
        <v>0.87885010266940455</v>
      </c>
      <c r="F1555" s="49">
        <f>IF(expected_production[[#This Row],[Age (yrs)]]="",1,(1-DegradationRate)^expected_production[[#This Row],[Age (yrs)]])</f>
        <v>0.99384543385309432</v>
      </c>
      <c r="G1555" s="52">
        <f>IF(expected_production[[#This Row],[Base Expected (kWh)]]="","",expected_production[[#This Row],[Base Expected (kWh)]]*expected_production[[#This Row],[Degradation Factor]])</f>
        <v>4092.1585738901158</v>
      </c>
    </row>
    <row r="1556" spans="1:7" ht="15" hidden="1" customHeight="1" x14ac:dyDescent="0.3">
      <c r="A1556" t="s">
        <v>155</v>
      </c>
      <c r="B1556" s="2">
        <v>45444</v>
      </c>
      <c r="C1556" s="52">
        <v>3729.06</v>
      </c>
      <c r="D1556" s="48">
        <f>_xlfn.XLOOKUP(expected_production[[#This Row],[Site Name]],Table1[[Site Name ]],Table1[Commisioned Date],"")</f>
        <v>45092</v>
      </c>
      <c r="E1556" s="47">
        <f>IF(ISNUMBER(expected_production[[#This Row],[Commissioned Date]]),MAX(0,(expected_production[[#This Row],[Date]]-expected_production[[#This Row],[Commissioned Date]])/365.25),"")</f>
        <v>0.96372347707049966</v>
      </c>
      <c r="F1556" s="49">
        <f>IF(expected_production[[#This Row],[Age (yrs)]]="",1,(1-DegradationRate)^expected_production[[#This Row],[Age (yrs)]])</f>
        <v>0.99325307704886401</v>
      </c>
      <c r="G1556" s="52">
        <f>IF(expected_production[[#This Row],[Base Expected (kWh)]]="","",expected_production[[#This Row],[Base Expected (kWh)]]*expected_production[[#This Row],[Degradation Factor]])</f>
        <v>3703.9003194998368</v>
      </c>
    </row>
    <row r="1557" spans="1:7" ht="15" hidden="1" customHeight="1" x14ac:dyDescent="0.3">
      <c r="A1557" t="s">
        <v>155</v>
      </c>
      <c r="B1557" s="2">
        <v>45474</v>
      </c>
      <c r="C1557" s="52">
        <v>4105.53</v>
      </c>
      <c r="D1557" s="48">
        <f>_xlfn.XLOOKUP(expected_production[[#This Row],[Site Name]],Table1[[Site Name ]],Table1[Commisioned Date],"")</f>
        <v>45092</v>
      </c>
      <c r="E1557" s="47">
        <f>IF(ISNUMBER(expected_production[[#This Row],[Commissioned Date]]),MAX(0,(expected_production[[#This Row],[Date]]-expected_production[[#This Row],[Commissioned Date]])/365.25),"")</f>
        <v>1.0458590006844628</v>
      </c>
      <c r="F1557" s="49">
        <f>IF(expected_production[[#This Row],[Age (yrs)]]="",1,(1-DegradationRate)^expected_production[[#This Row],[Age (yrs)]])</f>
        <v>0.99268016469047649</v>
      </c>
      <c r="G1557" s="52">
        <f>IF(expected_production[[#This Row],[Base Expected (kWh)]]="","",expected_production[[#This Row],[Base Expected (kWh)]]*expected_production[[#This Row],[Degradation Factor]])</f>
        <v>4075.4781965416919</v>
      </c>
    </row>
    <row r="1558" spans="1:7" ht="15" hidden="1" customHeight="1" x14ac:dyDescent="0.3">
      <c r="A1558" t="s">
        <v>155</v>
      </c>
      <c r="B1558" s="2">
        <v>45505</v>
      </c>
      <c r="C1558" s="52">
        <v>4624.83</v>
      </c>
      <c r="D1558" s="48">
        <f>_xlfn.XLOOKUP(expected_production[[#This Row],[Site Name]],Table1[[Site Name ]],Table1[Commisioned Date],"")</f>
        <v>45092</v>
      </c>
      <c r="E1558" s="47">
        <f>IF(ISNUMBER(expected_production[[#This Row],[Commissioned Date]]),MAX(0,(expected_production[[#This Row],[Date]]-expected_production[[#This Row],[Commissioned Date]])/365.25),"")</f>
        <v>1.1307323750855578</v>
      </c>
      <c r="F1558" s="49">
        <f>IF(expected_production[[#This Row],[Age (yrs)]]="",1,(1-DegradationRate)^expected_production[[#This Row],[Age (yrs)]])</f>
        <v>0.99208850241589208</v>
      </c>
      <c r="G1558" s="52">
        <f>IF(expected_production[[#This Row],[Base Expected (kWh)]]="","",expected_production[[#This Row],[Base Expected (kWh)]]*expected_production[[#This Row],[Degradation Factor]])</f>
        <v>4588.2406686280901</v>
      </c>
    </row>
    <row r="1559" spans="1:7" ht="15" hidden="1" customHeight="1" x14ac:dyDescent="0.3">
      <c r="A1559" t="s">
        <v>155</v>
      </c>
      <c r="B1559" s="2">
        <v>45536</v>
      </c>
      <c r="C1559" s="52">
        <v>4797</v>
      </c>
      <c r="D1559" s="48">
        <f>_xlfn.XLOOKUP(expected_production[[#This Row],[Site Name]],Table1[[Site Name ]],Table1[Commisioned Date],"")</f>
        <v>45092</v>
      </c>
      <c r="E1559" s="47">
        <f>IF(ISNUMBER(expected_production[[#This Row],[Commissioned Date]]),MAX(0,(expected_production[[#This Row],[Date]]-expected_production[[#This Row],[Commissioned Date]])/365.25),"")</f>
        <v>1.215605749486653</v>
      </c>
      <c r="F1559" s="49">
        <f>IF(expected_production[[#This Row],[Age (yrs)]]="",1,(1-DegradationRate)^expected_production[[#This Row],[Age (yrs)]])</f>
        <v>0.99149719278686221</v>
      </c>
      <c r="G1559" s="52">
        <f>IF(expected_production[[#This Row],[Base Expected (kWh)]]="","",expected_production[[#This Row],[Base Expected (kWh)]]*expected_production[[#This Row],[Degradation Factor]])</f>
        <v>4756.212033798578</v>
      </c>
    </row>
    <row r="1560" spans="1:7" ht="15" hidden="1" customHeight="1" x14ac:dyDescent="0.3">
      <c r="A1560" t="s">
        <v>155</v>
      </c>
      <c r="B1560" s="2">
        <v>45566</v>
      </c>
      <c r="C1560" s="52">
        <v>5068.9799999999996</v>
      </c>
      <c r="D1560" s="48">
        <f>_xlfn.XLOOKUP(expected_production[[#This Row],[Site Name]],Table1[[Site Name ]],Table1[Commisioned Date],"")</f>
        <v>45092</v>
      </c>
      <c r="E1560" s="47">
        <f>IF(ISNUMBER(expected_production[[#This Row],[Commissioned Date]]),MAX(0,(expected_production[[#This Row],[Date]]-expected_production[[#This Row],[Commissioned Date]])/365.25),"")</f>
        <v>1.2977412731006159</v>
      </c>
      <c r="F1560" s="49">
        <f>IF(expected_production[[#This Row],[Age (yrs)]]="",1,(1-DegradationRate)^expected_production[[#This Row],[Age (yrs)]])</f>
        <v>0.99092529322955925</v>
      </c>
      <c r="G1560" s="52">
        <f>IF(expected_production[[#This Row],[Base Expected (kWh)]]="","",expected_production[[#This Row],[Base Expected (kWh)]]*expected_production[[#This Row],[Degradation Factor]])</f>
        <v>5022.9804928747708</v>
      </c>
    </row>
    <row r="1561" spans="1:7" ht="15" hidden="1" customHeight="1" x14ac:dyDescent="0.3">
      <c r="A1561" t="s">
        <v>155</v>
      </c>
      <c r="B1561" s="2">
        <v>45597</v>
      </c>
      <c r="C1561" s="52">
        <v>4862.88</v>
      </c>
      <c r="D1561" s="48">
        <f>_xlfn.XLOOKUP(expected_production[[#This Row],[Site Name]],Table1[[Site Name ]],Table1[Commisioned Date],"")</f>
        <v>45092</v>
      </c>
      <c r="E1561" s="47">
        <f>IF(ISNUMBER(expected_production[[#This Row],[Commissioned Date]]),MAX(0,(expected_production[[#This Row],[Date]]-expected_production[[#This Row],[Commissioned Date]])/365.25),"")</f>
        <v>1.3826146475017111</v>
      </c>
      <c r="F1561" s="49">
        <f>IF(expected_production[[#This Row],[Age (yrs)]]="",1,(1-DegradationRate)^expected_production[[#This Row],[Age (yrs)]])</f>
        <v>0.99033467690237775</v>
      </c>
      <c r="G1561" s="52">
        <f>IF(expected_production[[#This Row],[Base Expected (kWh)]]="","",expected_production[[#This Row],[Base Expected (kWh)]]*expected_production[[#This Row],[Degradation Factor]])</f>
        <v>4815.8786936150345</v>
      </c>
    </row>
    <row r="1562" spans="1:7" ht="15" hidden="1" customHeight="1" x14ac:dyDescent="0.3">
      <c r="A1562" t="s">
        <v>155</v>
      </c>
      <c r="B1562" s="2">
        <v>45627</v>
      </c>
      <c r="C1562" s="52">
        <v>5082.3900000000003</v>
      </c>
      <c r="D1562" s="48">
        <f>_xlfn.XLOOKUP(expected_production[[#This Row],[Site Name]],Table1[[Site Name ]],Table1[Commisioned Date],"")</f>
        <v>45092</v>
      </c>
      <c r="E1562" s="47">
        <f>IF(ISNUMBER(expected_production[[#This Row],[Commissioned Date]]),MAX(0,(expected_production[[#This Row],[Date]]-expected_production[[#This Row],[Commissioned Date]])/365.25),"")</f>
        <v>1.4647501711156743</v>
      </c>
      <c r="F1562" s="49">
        <f>IF(expected_production[[#This Row],[Age (yrs)]]="",1,(1-DegradationRate)^expected_production[[#This Row],[Age (yrs)]])</f>
        <v>0.98976344788889925</v>
      </c>
      <c r="G1562" s="52">
        <f>IF(expected_production[[#This Row],[Base Expected (kWh)]]="","",expected_production[[#This Row],[Base Expected (kWh)]]*expected_production[[#This Row],[Degradation Factor]])</f>
        <v>5030.3638499160634</v>
      </c>
    </row>
    <row r="1563" spans="1:7" ht="15" hidden="1" customHeight="1" x14ac:dyDescent="0.3">
      <c r="A1563" t="s">
        <v>155</v>
      </c>
      <c r="B1563" s="2">
        <v>45658</v>
      </c>
      <c r="C1563" s="52">
        <v>4894.29</v>
      </c>
      <c r="D1563" s="48">
        <f>_xlfn.XLOOKUP(expected_production[[#This Row],[Site Name]],Table1[[Site Name ]],Table1[Commisioned Date],"")</f>
        <v>45092</v>
      </c>
      <c r="E1563" s="47">
        <f>IF(ISNUMBER(expected_production[[#This Row],[Commissioned Date]]),MAX(0,(expected_production[[#This Row],[Date]]-expected_production[[#This Row],[Commissioned Date]])/365.25),"")</f>
        <v>1.5496235455167693</v>
      </c>
      <c r="F1563" s="49">
        <f>IF(expected_production[[#This Row],[Age (yrs)]]="",1,(1-DegradationRate)^expected_production[[#This Row],[Age (yrs)]])</f>
        <v>0.98917352405067993</v>
      </c>
      <c r="G1563" s="52">
        <f>IF(expected_production[[#This Row],[Base Expected (kWh)]]="","",expected_production[[#This Row],[Base Expected (kWh)]]*expected_production[[#This Row],[Degradation Factor]])</f>
        <v>4841.3020870260025</v>
      </c>
    </row>
    <row r="1564" spans="1:7" ht="15" hidden="1" customHeight="1" x14ac:dyDescent="0.3">
      <c r="A1564" t="s">
        <v>155</v>
      </c>
      <c r="B1564" s="2">
        <v>45689</v>
      </c>
      <c r="C1564" s="52">
        <v>4527.45</v>
      </c>
      <c r="D1564" s="48">
        <f>_xlfn.XLOOKUP(expected_production[[#This Row],[Site Name]],Table1[[Site Name ]],Table1[Commisioned Date],"")</f>
        <v>45092</v>
      </c>
      <c r="E1564" s="47">
        <f>IF(ISNUMBER(expected_production[[#This Row],[Commissioned Date]]),MAX(0,(expected_production[[#This Row],[Date]]-expected_production[[#This Row],[Commissioned Date]])/365.25),"")</f>
        <v>1.6344969199178645</v>
      </c>
      <c r="F1564" s="49">
        <f>IF(expected_production[[#This Row],[Age (yrs)]]="",1,(1-DegradationRate)^expected_production[[#This Row],[Age (yrs)]])</f>
        <v>0.98858395182186332</v>
      </c>
      <c r="G1564" s="52">
        <f>IF(expected_production[[#This Row],[Base Expected (kWh)]]="","",expected_production[[#This Row],[Base Expected (kWh)]]*expected_production[[#This Row],[Degradation Factor]])</f>
        <v>4475.7644126758951</v>
      </c>
    </row>
    <row r="1565" spans="1:7" ht="15" hidden="1" customHeight="1" x14ac:dyDescent="0.3">
      <c r="A1565" t="s">
        <v>155</v>
      </c>
      <c r="B1565" s="2">
        <v>45717</v>
      </c>
      <c r="C1565" s="52">
        <v>4754.25</v>
      </c>
      <c r="D1565" s="48">
        <f>_xlfn.XLOOKUP(expected_production[[#This Row],[Site Name]],Table1[[Site Name ]],Table1[Commisioned Date],"")</f>
        <v>45092</v>
      </c>
      <c r="E1565" s="47">
        <f>IF(ISNUMBER(expected_production[[#This Row],[Commissioned Date]]),MAX(0,(expected_production[[#This Row],[Date]]-expected_production[[#This Row],[Commissioned Date]])/365.25),"")</f>
        <v>1.7111567419575633</v>
      </c>
      <c r="F1565" s="49">
        <f>IF(expected_production[[#This Row],[Age (yrs)]]="",1,(1-DegradationRate)^expected_production[[#This Row],[Age (yrs)]])</f>
        <v>0.98805173701149118</v>
      </c>
      <c r="G1565" s="52">
        <f>IF(expected_production[[#This Row],[Base Expected (kWh)]]="","",expected_production[[#This Row],[Base Expected (kWh)]]*expected_production[[#This Row],[Degradation Factor]])</f>
        <v>4697.4449706868818</v>
      </c>
    </row>
    <row r="1566" spans="1:7" ht="15" hidden="1" customHeight="1" x14ac:dyDescent="0.3">
      <c r="A1566" t="s">
        <v>155</v>
      </c>
      <c r="B1566" s="2">
        <v>45748</v>
      </c>
      <c r="C1566" s="52">
        <v>4171.59</v>
      </c>
      <c r="D1566" s="48">
        <f>_xlfn.XLOOKUP(expected_production[[#This Row],[Site Name]],Table1[[Site Name ]],Table1[Commisioned Date],"")</f>
        <v>45092</v>
      </c>
      <c r="E1566" s="47">
        <f>IF(ISNUMBER(expected_production[[#This Row],[Commissioned Date]]),MAX(0,(expected_production[[#This Row],[Date]]-expected_production[[#This Row],[Commissioned Date]])/365.25),"")</f>
        <v>1.7960301163586585</v>
      </c>
      <c r="F1566" s="49">
        <f>IF(expected_production[[#This Row],[Age (yrs)]]="",1,(1-DegradationRate)^expected_production[[#This Row],[Age (yrs)]])</f>
        <v>0.98746283339588448</v>
      </c>
      <c r="G1566" s="52">
        <f>IF(expected_production[[#This Row],[Base Expected (kWh)]]="","",expected_production[[#This Row],[Base Expected (kWh)]]*expected_production[[#This Row],[Degradation Factor]])</f>
        <v>4119.2900811659383</v>
      </c>
    </row>
    <row r="1567" spans="1:7" ht="15" hidden="1" customHeight="1" x14ac:dyDescent="0.3">
      <c r="A1567" t="s">
        <v>155</v>
      </c>
      <c r="B1567" s="2">
        <v>45778</v>
      </c>
      <c r="C1567" s="52">
        <v>4117.5</v>
      </c>
      <c r="D1567" s="48">
        <f>_xlfn.XLOOKUP(expected_production[[#This Row],[Site Name]],Table1[[Site Name ]],Table1[Commisioned Date],"")</f>
        <v>45092</v>
      </c>
      <c r="E1567" s="47">
        <f>IF(ISNUMBER(expected_production[[#This Row],[Commissioned Date]]),MAX(0,(expected_production[[#This Row],[Date]]-expected_production[[#This Row],[Commissioned Date]])/365.25),"")</f>
        <v>1.8781656399726214</v>
      </c>
      <c r="F1567" s="49">
        <f>IF(expected_production[[#This Row],[Age (yrs)]]="",1,(1-DegradationRate)^expected_production[[#This Row],[Age (yrs)]])</f>
        <v>0.98689326087325846</v>
      </c>
      <c r="G1567" s="52">
        <f>IF(expected_production[[#This Row],[Base Expected (kWh)]]="","",expected_production[[#This Row],[Base Expected (kWh)]]*expected_production[[#This Row],[Degradation Factor]])</f>
        <v>4063.5330016456419</v>
      </c>
    </row>
    <row r="1568" spans="1:7" ht="15" hidden="1" customHeight="1" x14ac:dyDescent="0.3">
      <c r="A1568" t="s">
        <v>155</v>
      </c>
      <c r="B1568" s="2">
        <v>45809</v>
      </c>
      <c r="C1568" s="52">
        <v>3729.06</v>
      </c>
      <c r="D1568" s="48">
        <f>_xlfn.XLOOKUP(expected_production[[#This Row],[Site Name]],Table1[[Site Name ]],Table1[Commisioned Date],"")</f>
        <v>45092</v>
      </c>
      <c r="E1568" s="47">
        <f>IF(ISNUMBER(expected_production[[#This Row],[Commissioned Date]]),MAX(0,(expected_production[[#This Row],[Date]]-expected_production[[#This Row],[Commissioned Date]])/365.25),"")</f>
        <v>1.9630390143737166</v>
      </c>
      <c r="F1568" s="49">
        <f>IF(expected_production[[#This Row],[Age (yrs)]]="",1,(1-DegradationRate)^expected_production[[#This Row],[Age (yrs)]])</f>
        <v>0.98630504773848471</v>
      </c>
      <c r="G1568" s="52">
        <f>IF(expected_production[[#This Row],[Base Expected (kWh)]]="","",expected_production[[#This Row],[Base Expected (kWh)]]*expected_production[[#This Row],[Degradation Factor]])</f>
        <v>3677.9907013196739</v>
      </c>
    </row>
    <row r="1569" spans="1:7" ht="15" hidden="1" customHeight="1" x14ac:dyDescent="0.3">
      <c r="A1569" t="s">
        <v>155</v>
      </c>
      <c r="B1569" s="2">
        <v>45839</v>
      </c>
      <c r="C1569" s="52">
        <v>4105.53</v>
      </c>
      <c r="D1569" s="48">
        <f>_xlfn.XLOOKUP(expected_production[[#This Row],[Site Name]],Table1[[Site Name ]],Table1[Commisioned Date],"")</f>
        <v>45092</v>
      </c>
      <c r="E1569" s="47">
        <f>IF(ISNUMBER(expected_production[[#This Row],[Commissioned Date]]),MAX(0,(expected_production[[#This Row],[Date]]-expected_production[[#This Row],[Commissioned Date]])/365.25),"")</f>
        <v>2.0451745379876796</v>
      </c>
      <c r="F1569" s="49">
        <f>IF(expected_production[[#This Row],[Age (yrs)]]="",1,(1-DegradationRate)^expected_production[[#This Row],[Age (yrs)]])</f>
        <v>0.98573614303126922</v>
      </c>
      <c r="G1569" s="52">
        <f>IF(expected_production[[#This Row],[Base Expected (kWh)]]="","",expected_production[[#This Row],[Base Expected (kWh)]]*expected_production[[#This Row],[Degradation Factor]])</f>
        <v>4046.9693072991663</v>
      </c>
    </row>
    <row r="1570" spans="1:7" ht="15" hidden="1" customHeight="1" x14ac:dyDescent="0.3">
      <c r="A1570" t="s">
        <v>155</v>
      </c>
      <c r="B1570" s="2">
        <v>45870</v>
      </c>
      <c r="C1570" s="52">
        <v>4624.83</v>
      </c>
      <c r="D1570" s="48">
        <f>_xlfn.XLOOKUP(expected_production[[#This Row],[Site Name]],Table1[[Site Name ]],Table1[Commisioned Date],"")</f>
        <v>45092</v>
      </c>
      <c r="E1570" s="47">
        <f>IF(ISNUMBER(expected_production[[#This Row],[Commissioned Date]]),MAX(0,(expected_production[[#This Row],[Date]]-expected_production[[#This Row],[Commissioned Date]])/365.25),"")</f>
        <v>2.130047912388775</v>
      </c>
      <c r="F1570" s="49">
        <f>IF(expected_production[[#This Row],[Age (yrs)]]="",1,(1-DegradationRate)^expected_production[[#This Row],[Age (yrs)]])</f>
        <v>0.98514861956774979</v>
      </c>
      <c r="G1570" s="52">
        <f>IF(expected_production[[#This Row],[Base Expected (kWh)]]="","",expected_production[[#This Row],[Base Expected (kWh)]]*expected_production[[#This Row],[Degradation Factor]])</f>
        <v>4556.144890235516</v>
      </c>
    </row>
    <row r="1571" spans="1:7" ht="15" hidden="1" customHeight="1" x14ac:dyDescent="0.3">
      <c r="A1571" t="s">
        <v>155</v>
      </c>
      <c r="B1571" s="2">
        <v>45901</v>
      </c>
      <c r="C1571" s="52">
        <v>4797</v>
      </c>
      <c r="D1571" s="48">
        <f>_xlfn.XLOOKUP(expected_production[[#This Row],[Site Name]],Table1[[Site Name ]],Table1[Commisioned Date],"")</f>
        <v>45092</v>
      </c>
      <c r="E1571" s="47">
        <f>IF(ISNUMBER(expected_production[[#This Row],[Commissioned Date]]),MAX(0,(expected_production[[#This Row],[Date]]-expected_production[[#This Row],[Commissioned Date]])/365.25),"")</f>
        <v>2.21492128678987</v>
      </c>
      <c r="F1571" s="49">
        <f>IF(expected_production[[#This Row],[Age (yrs)]]="",1,(1-DegradationRate)^expected_production[[#This Row],[Age (yrs)]])</f>
        <v>0.98456144628294973</v>
      </c>
      <c r="G1571" s="52">
        <f>IF(expected_production[[#This Row],[Base Expected (kWh)]]="","",expected_production[[#This Row],[Base Expected (kWh)]]*expected_production[[#This Row],[Degradation Factor]])</f>
        <v>4722.9412578193096</v>
      </c>
    </row>
    <row r="1572" spans="1:7" ht="15" hidden="1" customHeight="1" x14ac:dyDescent="0.3">
      <c r="A1572" t="s">
        <v>155</v>
      </c>
      <c r="B1572" s="2">
        <v>45931</v>
      </c>
      <c r="C1572" s="52">
        <v>5068.9799999999996</v>
      </c>
      <c r="D1572" s="48">
        <f>_xlfn.XLOOKUP(expected_production[[#This Row],[Site Name]],Table1[[Site Name ]],Table1[Commisioned Date],"")</f>
        <v>45092</v>
      </c>
      <c r="E1572" s="47">
        <f>IF(ISNUMBER(expected_production[[#This Row],[Commissioned Date]]),MAX(0,(expected_production[[#This Row],[Date]]-expected_production[[#This Row],[Commissioned Date]])/365.25),"")</f>
        <v>2.2970568104038329</v>
      </c>
      <c r="F1572" s="49">
        <f>IF(expected_production[[#This Row],[Age (yrs)]]="",1,(1-DegradationRate)^expected_production[[#This Row],[Age (yrs)]])</f>
        <v>0.9839935472920468</v>
      </c>
      <c r="G1572" s="52">
        <f>IF(expected_production[[#This Row],[Base Expected (kWh)]]="","",expected_production[[#This Row],[Base Expected (kWh)]]*expected_production[[#This Row],[Degradation Factor]])</f>
        <v>4987.8436113524385</v>
      </c>
    </row>
    <row r="1573" spans="1:7" ht="15" hidden="1" customHeight="1" x14ac:dyDescent="0.3">
      <c r="A1573" t="s">
        <v>155</v>
      </c>
      <c r="B1573" s="2">
        <v>45962</v>
      </c>
      <c r="C1573" s="52">
        <v>4862.88</v>
      </c>
      <c r="D1573" s="48">
        <f>_xlfn.XLOOKUP(expected_production[[#This Row],[Site Name]],Table1[[Site Name ]],Table1[Commisioned Date],"")</f>
        <v>45092</v>
      </c>
      <c r="E1573" s="47">
        <f>IF(ISNUMBER(expected_production[[#This Row],[Commissioned Date]]),MAX(0,(expected_production[[#This Row],[Date]]-expected_production[[#This Row],[Commissioned Date]])/365.25),"")</f>
        <v>2.3819301848049284</v>
      </c>
      <c r="F1573" s="49">
        <f>IF(expected_production[[#This Row],[Age (yrs)]]="",1,(1-DegradationRate)^expected_production[[#This Row],[Age (yrs)]])</f>
        <v>0.98340706245929232</v>
      </c>
      <c r="G1573" s="52">
        <f>IF(expected_production[[#This Row],[Base Expected (kWh)]]="","",expected_production[[#This Row],[Base Expected (kWh)]]*expected_production[[#This Row],[Degradation Factor]])</f>
        <v>4782.190535892044</v>
      </c>
    </row>
    <row r="1574" spans="1:7" ht="15" hidden="1" customHeight="1" x14ac:dyDescent="0.3">
      <c r="A1574" t="s">
        <v>155</v>
      </c>
      <c r="B1574" s="2">
        <v>45992</v>
      </c>
      <c r="C1574" s="52">
        <v>5082.3900000000003</v>
      </c>
      <c r="D1574" s="48">
        <f>_xlfn.XLOOKUP(expected_production[[#This Row],[Site Name]],Table1[[Site Name ]],Table1[Commisioned Date],"")</f>
        <v>45092</v>
      </c>
      <c r="E1574" s="47">
        <f>IF(ISNUMBER(expected_production[[#This Row],[Commissioned Date]]),MAX(0,(expected_production[[#This Row],[Date]]-expected_production[[#This Row],[Commissioned Date]])/365.25),"")</f>
        <v>2.4640657084188913</v>
      </c>
      <c r="F1574" s="49">
        <f>IF(expected_production[[#This Row],[Age (yrs)]]="",1,(1-DegradationRate)^expected_production[[#This Row],[Age (yrs)]])</f>
        <v>0.98283982932160852</v>
      </c>
      <c r="G1574" s="52">
        <f>IF(expected_production[[#This Row],[Base Expected (kWh)]]="","",expected_production[[#This Row],[Base Expected (kWh)]]*expected_production[[#This Row],[Degradation Factor]])</f>
        <v>4995.1753201458505</v>
      </c>
    </row>
    <row r="1575" spans="1:7" ht="15" hidden="1" customHeight="1" x14ac:dyDescent="0.3">
      <c r="A1575" t="s">
        <v>155</v>
      </c>
      <c r="B1575" s="2">
        <v>46023</v>
      </c>
      <c r="C1575" s="52">
        <v>4894.29</v>
      </c>
      <c r="D1575" s="48">
        <f>_xlfn.XLOOKUP(expected_production[[#This Row],[Site Name]],Table1[[Site Name ]],Table1[Commisioned Date],"")</f>
        <v>45092</v>
      </c>
      <c r="E1575" s="47">
        <f>IF(ISNUMBER(expected_production[[#This Row],[Commissioned Date]]),MAX(0,(expected_production[[#This Row],[Date]]-expected_production[[#This Row],[Commissioned Date]])/365.25),"")</f>
        <v>2.5489390828199863</v>
      </c>
      <c r="F1575" s="49">
        <f>IF(expected_production[[#This Row],[Age (yrs)]]="",1,(1-DegradationRate)^expected_production[[#This Row],[Age (yrs)]])</f>
        <v>0.98225403213369966</v>
      </c>
      <c r="G1575" s="52">
        <f>IF(expected_production[[#This Row],[Base Expected (kWh)]]="","",expected_production[[#This Row],[Base Expected (kWh)]]*expected_production[[#This Row],[Degradation Factor]])</f>
        <v>4807.4360869316451</v>
      </c>
    </row>
    <row r="1576" spans="1:7" ht="15" hidden="1" customHeight="1" x14ac:dyDescent="0.3">
      <c r="A1576" t="s">
        <v>155</v>
      </c>
      <c r="B1576" s="2">
        <v>46054</v>
      </c>
      <c r="C1576" s="52">
        <v>4527.45</v>
      </c>
      <c r="D1576" s="48">
        <f>_xlfn.XLOOKUP(expected_production[[#This Row],[Site Name]],Table1[[Site Name ]],Table1[Commisioned Date],"")</f>
        <v>45092</v>
      </c>
      <c r="E1576" s="47">
        <f>IF(ISNUMBER(expected_production[[#This Row],[Commissioned Date]]),MAX(0,(expected_production[[#This Row],[Date]]-expected_production[[#This Row],[Commissioned Date]])/365.25),"")</f>
        <v>2.6338124572210813</v>
      </c>
      <c r="F1576" s="49">
        <f>IF(expected_production[[#This Row],[Age (yrs)]]="",1,(1-DegradationRate)^expected_production[[#This Row],[Age (yrs)]])</f>
        <v>0.98166858409560664</v>
      </c>
      <c r="G1576" s="52">
        <f>IF(expected_production[[#This Row],[Base Expected (kWh)]]="","",expected_production[[#This Row],[Base Expected (kWh)]]*expected_production[[#This Row],[Degradation Factor]])</f>
        <v>4444.455431063654</v>
      </c>
    </row>
    <row r="1577" spans="1:7" ht="15" hidden="1" customHeight="1" x14ac:dyDescent="0.3">
      <c r="A1577" t="s">
        <v>155</v>
      </c>
      <c r="B1577" s="2">
        <v>46082</v>
      </c>
      <c r="C1577" s="52">
        <v>4754.25</v>
      </c>
      <c r="D1577" s="48">
        <f>_xlfn.XLOOKUP(expected_production[[#This Row],[Site Name]],Table1[[Site Name ]],Table1[Commisioned Date],"")</f>
        <v>45092</v>
      </c>
      <c r="E1577" s="47">
        <f>IF(ISNUMBER(expected_production[[#This Row],[Commissioned Date]]),MAX(0,(expected_production[[#This Row],[Date]]-expected_production[[#This Row],[Commissioned Date]])/365.25),"")</f>
        <v>2.7104722792607805</v>
      </c>
      <c r="F1577" s="49">
        <f>IF(expected_production[[#This Row],[Age (yrs)]]="",1,(1-DegradationRate)^expected_production[[#This Row],[Age (yrs)]])</f>
        <v>0.98114009224787846</v>
      </c>
      <c r="G1577" s="52">
        <f>IF(expected_production[[#This Row],[Base Expected (kWh)]]="","",expected_production[[#This Row],[Base Expected (kWh)]]*expected_production[[#This Row],[Degradation Factor]])</f>
        <v>4664.5852835694759</v>
      </c>
    </row>
    <row r="1578" spans="1:7" ht="15" hidden="1" customHeight="1" x14ac:dyDescent="0.3">
      <c r="A1578" t="s">
        <v>155</v>
      </c>
      <c r="B1578" s="2">
        <v>46113</v>
      </c>
      <c r="C1578" s="52">
        <v>4171.59</v>
      </c>
      <c r="D1578" s="48">
        <f>_xlfn.XLOOKUP(expected_production[[#This Row],[Site Name]],Table1[[Site Name ]],Table1[Commisioned Date],"")</f>
        <v>45092</v>
      </c>
      <c r="E1578" s="47">
        <f>IF(ISNUMBER(expected_production[[#This Row],[Commissioned Date]]),MAX(0,(expected_production[[#This Row],[Date]]-expected_production[[#This Row],[Commissioned Date]])/365.25),"")</f>
        <v>2.7953456536618755</v>
      </c>
      <c r="F1578" s="49">
        <f>IF(expected_production[[#This Row],[Age (yrs)]]="",1,(1-DegradationRate)^expected_production[[#This Row],[Age (yrs)]])</f>
        <v>0.98055530814589498</v>
      </c>
      <c r="G1578" s="52">
        <f>IF(expected_production[[#This Row],[Base Expected (kWh)]]="","",expected_production[[#This Row],[Base Expected (kWh)]]*expected_production[[#This Row],[Degradation Factor]])</f>
        <v>4090.4747179083342</v>
      </c>
    </row>
    <row r="1579" spans="1:7" ht="15" hidden="1" customHeight="1" x14ac:dyDescent="0.3">
      <c r="A1579" t="s">
        <v>155</v>
      </c>
      <c r="B1579" s="2">
        <v>46143</v>
      </c>
      <c r="C1579" s="52">
        <v>4117.5</v>
      </c>
      <c r="D1579" s="48">
        <f>_xlfn.XLOOKUP(expected_production[[#This Row],[Site Name]],Table1[[Site Name ]],Table1[Commisioned Date],"")</f>
        <v>45092</v>
      </c>
      <c r="E1579" s="47">
        <f>IF(ISNUMBER(expected_production[[#This Row],[Commissioned Date]]),MAX(0,(expected_production[[#This Row],[Date]]-expected_production[[#This Row],[Commissioned Date]])/365.25),"")</f>
        <v>2.8774811772758384</v>
      </c>
      <c r="F1579" s="49">
        <f>IF(expected_production[[#This Row],[Age (yrs)]]="",1,(1-DegradationRate)^expected_production[[#This Row],[Age (yrs)]])</f>
        <v>0.97998971991153649</v>
      </c>
      <c r="G1579" s="52">
        <f>IF(expected_production[[#This Row],[Base Expected (kWh)]]="","",expected_production[[#This Row],[Base Expected (kWh)]]*expected_production[[#This Row],[Degradation Factor]])</f>
        <v>4035.1076717357514</v>
      </c>
    </row>
    <row r="1580" spans="1:7" ht="15" hidden="1" customHeight="1" x14ac:dyDescent="0.3">
      <c r="A1580" t="s">
        <v>155</v>
      </c>
      <c r="B1580" s="2">
        <v>46174</v>
      </c>
      <c r="C1580" s="52">
        <v>3729.06</v>
      </c>
      <c r="D1580" s="48">
        <f>_xlfn.XLOOKUP(expected_production[[#This Row],[Site Name]],Table1[[Site Name ]],Table1[Commisioned Date],"")</f>
        <v>45092</v>
      </c>
      <c r="E1580" s="47">
        <f>IF(ISNUMBER(expected_production[[#This Row],[Commissioned Date]]),MAX(0,(expected_production[[#This Row],[Date]]-expected_production[[#This Row],[Commissioned Date]])/365.25),"")</f>
        <v>2.9623545516769334</v>
      </c>
      <c r="F1580" s="49">
        <f>IF(expected_production[[#This Row],[Age (yrs)]]="",1,(1-DegradationRate)^expected_production[[#This Row],[Age (yrs)]])</f>
        <v>0.97940562146031673</v>
      </c>
      <c r="G1580" s="52">
        <f>IF(expected_production[[#This Row],[Base Expected (kWh)]]="","",expected_production[[#This Row],[Base Expected (kWh)]]*expected_production[[#This Row],[Degradation Factor]])</f>
        <v>3652.2623267628087</v>
      </c>
    </row>
    <row r="1581" spans="1:7" ht="15" hidden="1" customHeight="1" x14ac:dyDescent="0.3">
      <c r="A1581" t="s">
        <v>155</v>
      </c>
      <c r="B1581" s="2">
        <v>46204</v>
      </c>
      <c r="C1581" s="52">
        <v>4105.53</v>
      </c>
      <c r="D1581" s="48">
        <f>_xlfn.XLOOKUP(expected_production[[#This Row],[Site Name]],Table1[[Site Name ]],Table1[Commisioned Date],"")</f>
        <v>45092</v>
      </c>
      <c r="E1581" s="47">
        <f>IF(ISNUMBER(expected_production[[#This Row],[Commissioned Date]]),MAX(0,(expected_production[[#This Row],[Date]]-expected_production[[#This Row],[Commissioned Date]])/365.25),"")</f>
        <v>3.0444900752908968</v>
      </c>
      <c r="F1581" s="49">
        <f>IF(expected_production[[#This Row],[Age (yrs)]]="",1,(1-DegradationRate)^expected_production[[#This Row],[Age (yrs)]])</f>
        <v>0.97884069636984949</v>
      </c>
      <c r="G1581" s="52">
        <f>IF(expected_production[[#This Row],[Base Expected (kWh)]]="","",expected_production[[#This Row],[Base Expected (kWh)]]*expected_production[[#This Row],[Degradation Factor]])</f>
        <v>4018.6598441673082</v>
      </c>
    </row>
    <row r="1582" spans="1:7" ht="15" hidden="1" customHeight="1" x14ac:dyDescent="0.3">
      <c r="A1582" t="s">
        <v>155</v>
      </c>
      <c r="B1582" s="2">
        <v>46235</v>
      </c>
      <c r="C1582" s="52">
        <v>4624.83</v>
      </c>
      <c r="D1582" s="48">
        <f>_xlfn.XLOOKUP(expected_production[[#This Row],[Site Name]],Table1[[Site Name ]],Table1[Commisioned Date],"")</f>
        <v>45092</v>
      </c>
      <c r="E1582" s="47">
        <f>IF(ISNUMBER(expected_production[[#This Row],[Commissioned Date]]),MAX(0,(expected_production[[#This Row],[Date]]-expected_production[[#This Row],[Commissioned Date]])/365.25),"")</f>
        <v>3.1293634496919918</v>
      </c>
      <c r="F1582" s="49">
        <f>IF(expected_production[[#This Row],[Age (yrs)]]="",1,(1-DegradationRate)^expected_production[[#This Row],[Age (yrs)]])</f>
        <v>0.97825728276547819</v>
      </c>
      <c r="G1582" s="52">
        <f>IF(expected_production[[#This Row],[Base Expected (kWh)]]="","",expected_production[[#This Row],[Base Expected (kWh)]]*expected_production[[#This Row],[Degradation Factor]])</f>
        <v>4524.2736290522662</v>
      </c>
    </row>
    <row r="1583" spans="1:7" ht="15" hidden="1" customHeight="1" x14ac:dyDescent="0.3">
      <c r="A1583" t="s">
        <v>155</v>
      </c>
      <c r="B1583" s="2">
        <v>46266</v>
      </c>
      <c r="C1583" s="52">
        <v>4797</v>
      </c>
      <c r="D1583" s="48">
        <f>_xlfn.XLOOKUP(expected_production[[#This Row],[Site Name]],Table1[[Site Name ]],Table1[Commisioned Date],"")</f>
        <v>45092</v>
      </c>
      <c r="E1583" s="47">
        <f>IF(ISNUMBER(expected_production[[#This Row],[Commissioned Date]]),MAX(0,(expected_production[[#This Row],[Date]]-expected_production[[#This Row],[Commissioned Date]])/365.25),"")</f>
        <v>3.2142368240930868</v>
      </c>
      <c r="F1583" s="49">
        <f>IF(expected_production[[#This Row],[Age (yrs)]]="",1,(1-DegradationRate)^expected_production[[#This Row],[Age (yrs)]])</f>
        <v>0.97767421689024703</v>
      </c>
      <c r="G1583" s="52">
        <f>IF(expected_production[[#This Row],[Base Expected (kWh)]]="","",expected_production[[#This Row],[Base Expected (kWh)]]*expected_production[[#This Row],[Degradation Factor]])</f>
        <v>4689.9032184225152</v>
      </c>
    </row>
    <row r="1584" spans="1:7" ht="15" hidden="1" customHeight="1" x14ac:dyDescent="0.3">
      <c r="A1584" t="s">
        <v>155</v>
      </c>
      <c r="B1584" s="2">
        <v>46296</v>
      </c>
      <c r="C1584" s="52">
        <v>5068.9799999999996</v>
      </c>
      <c r="D1584" s="48">
        <f>_xlfn.XLOOKUP(expected_production[[#This Row],[Site Name]],Table1[[Site Name ]],Table1[Commisioned Date],"")</f>
        <v>45092</v>
      </c>
      <c r="E1584" s="47">
        <f>IF(ISNUMBER(expected_production[[#This Row],[Commissioned Date]]),MAX(0,(expected_production[[#This Row],[Date]]-expected_production[[#This Row],[Commissioned Date]])/365.25),"")</f>
        <v>3.2963723477070501</v>
      </c>
      <c r="F1584" s="49">
        <f>IF(expected_production[[#This Row],[Age (yrs)]]="",1,(1-DegradationRate)^expected_production[[#This Row],[Age (yrs)]])</f>
        <v>0.97711029048087972</v>
      </c>
      <c r="G1584" s="52">
        <f>IF(expected_production[[#This Row],[Base Expected (kWh)]]="","",expected_production[[#This Row],[Base Expected (kWh)]]*expected_production[[#This Row],[Degradation Factor]])</f>
        <v>4952.952520241769</v>
      </c>
    </row>
    <row r="1585" spans="1:7" ht="15" hidden="1" customHeight="1" x14ac:dyDescent="0.3">
      <c r="A1585" t="s">
        <v>155</v>
      </c>
      <c r="B1585" s="2">
        <v>46327</v>
      </c>
      <c r="C1585" s="52">
        <v>4862.88</v>
      </c>
      <c r="D1585" s="48">
        <f>_xlfn.XLOOKUP(expected_production[[#This Row],[Site Name]],Table1[[Site Name ]],Table1[Commisioned Date],"")</f>
        <v>45092</v>
      </c>
      <c r="E1585" s="47">
        <f>IF(ISNUMBER(expected_production[[#This Row],[Commissioned Date]]),MAX(0,(expected_production[[#This Row],[Date]]-expected_production[[#This Row],[Commissioned Date]])/365.25),"")</f>
        <v>3.3812457221081451</v>
      </c>
      <c r="F1585" s="49">
        <f>IF(expected_production[[#This Row],[Age (yrs)]]="",1,(1-DegradationRate)^expected_production[[#This Row],[Age (yrs)]])</f>
        <v>0.97652790824181679</v>
      </c>
      <c r="G1585" s="52">
        <f>IF(expected_production[[#This Row],[Base Expected (kWh)]]="","",expected_production[[#This Row],[Base Expected (kWh)]]*expected_production[[#This Row],[Degradation Factor]])</f>
        <v>4748.7380344309659</v>
      </c>
    </row>
    <row r="1586" spans="1:7" ht="15" hidden="1" customHeight="1" x14ac:dyDescent="0.3">
      <c r="A1586" t="s">
        <v>155</v>
      </c>
      <c r="B1586" s="2">
        <v>46357</v>
      </c>
      <c r="C1586" s="52">
        <v>5082.3900000000003</v>
      </c>
      <c r="D1586" s="48">
        <f>_xlfn.XLOOKUP(expected_production[[#This Row],[Site Name]],Table1[[Site Name ]],Table1[Commisioned Date],"")</f>
        <v>45092</v>
      </c>
      <c r="E1586" s="47">
        <f>IF(ISNUMBER(expected_production[[#This Row],[Commissioned Date]]),MAX(0,(expected_production[[#This Row],[Date]]-expected_production[[#This Row],[Commissioned Date]])/365.25),"")</f>
        <v>3.463381245722108</v>
      </c>
      <c r="F1586" s="49">
        <f>IF(expected_production[[#This Row],[Age (yrs)]]="",1,(1-DegradationRate)^expected_production[[#This Row],[Age (yrs)]])</f>
        <v>0.97596464302787533</v>
      </c>
      <c r="G1586" s="52">
        <f>IF(expected_production[[#This Row],[Base Expected (kWh)]]="","",expected_production[[#This Row],[Base Expected (kWh)]]*expected_production[[#This Row],[Degradation Factor]])</f>
        <v>4960.2329420784436</v>
      </c>
    </row>
    <row r="1587" spans="1:7" ht="15" hidden="1" customHeight="1" x14ac:dyDescent="0.3">
      <c r="A1587" t="s">
        <v>157</v>
      </c>
      <c r="B1587" s="2">
        <v>45292</v>
      </c>
      <c r="C1587" s="52">
        <v>5902.47</v>
      </c>
      <c r="D1587" s="48">
        <f>_xlfn.XLOOKUP(expected_production[[#This Row],[Site Name]],Table1[[Site Name ]],Table1[Commisioned Date],"")</f>
        <v>44663</v>
      </c>
      <c r="E1587" s="47">
        <f>IF(ISNUMBER(expected_production[[#This Row],[Commissioned Date]]),MAX(0,(expected_production[[#This Row],[Date]]-expected_production[[#This Row],[Commissioned Date]])/365.25),"")</f>
        <v>1.7221081451060918</v>
      </c>
      <c r="F1587" s="49">
        <f>IF(expected_production[[#This Row],[Age (yrs)]]="",1,(1-DegradationRate)^expected_production[[#This Row],[Age (yrs)]])</f>
        <v>0.98797572971757319</v>
      </c>
      <c r="G1587" s="52">
        <f>IF(expected_production[[#This Row],[Base Expected (kWh)]]="","",expected_production[[#This Row],[Base Expected (kWh)]]*expected_production[[#This Row],[Degradation Factor]])</f>
        <v>5831.4971053860845</v>
      </c>
    </row>
    <row r="1588" spans="1:7" ht="15" hidden="1" customHeight="1" x14ac:dyDescent="0.3">
      <c r="A1588" t="s">
        <v>157</v>
      </c>
      <c r="B1588" s="2">
        <v>45323</v>
      </c>
      <c r="C1588" s="52">
        <v>5299.2</v>
      </c>
      <c r="D1588" s="48">
        <f>_xlfn.XLOOKUP(expected_production[[#This Row],[Site Name]],Table1[[Site Name ]],Table1[Commisioned Date],"")</f>
        <v>44663</v>
      </c>
      <c r="E1588" s="47">
        <f>IF(ISNUMBER(expected_production[[#This Row],[Commissioned Date]]),MAX(0,(expected_production[[#This Row],[Date]]-expected_production[[#This Row],[Commissioned Date]])/365.25),"")</f>
        <v>1.8069815195071868</v>
      </c>
      <c r="F1588" s="49">
        <f>IF(expected_production[[#This Row],[Age (yrs)]]="",1,(1-DegradationRate)^expected_production[[#This Row],[Age (yrs)]])</f>
        <v>0.98738687140421988</v>
      </c>
      <c r="G1588" s="52">
        <f>IF(expected_production[[#This Row],[Base Expected (kWh)]]="","",expected_production[[#This Row],[Base Expected (kWh)]]*expected_production[[#This Row],[Degradation Factor]])</f>
        <v>5232.3605089452421</v>
      </c>
    </row>
    <row r="1589" spans="1:7" ht="15" hidden="1" customHeight="1" x14ac:dyDescent="0.3">
      <c r="A1589" t="s">
        <v>157</v>
      </c>
      <c r="B1589" s="2">
        <v>45352</v>
      </c>
      <c r="C1589" s="52">
        <v>5701.86</v>
      </c>
      <c r="D1589" s="48">
        <f>_xlfn.XLOOKUP(expected_production[[#This Row],[Site Name]],Table1[[Site Name ]],Table1[Commisioned Date],"")</f>
        <v>44663</v>
      </c>
      <c r="E1589" s="47">
        <f>IF(ISNUMBER(expected_production[[#This Row],[Commissioned Date]]),MAX(0,(expected_production[[#This Row],[Date]]-expected_production[[#This Row],[Commissioned Date]])/365.25),"")</f>
        <v>1.8863791923340179</v>
      </c>
      <c r="F1589" s="49">
        <f>IF(expected_production[[#This Row],[Age (yrs)]]="",1,(1-DegradationRate)^expected_production[[#This Row],[Age (yrs)]])</f>
        <v>0.98683632169336777</v>
      </c>
      <c r="G1589" s="52">
        <f>IF(expected_production[[#This Row],[Base Expected (kWh)]]="","",expected_production[[#This Row],[Base Expected (kWh)]]*expected_production[[#This Row],[Degradation Factor]])</f>
        <v>5626.8025492105453</v>
      </c>
    </row>
    <row r="1590" spans="1:7" ht="15" hidden="1" customHeight="1" x14ac:dyDescent="0.3">
      <c r="A1590" t="s">
        <v>157</v>
      </c>
      <c r="B1590" s="2">
        <v>45383</v>
      </c>
      <c r="C1590" s="52">
        <v>5085.8999999999996</v>
      </c>
      <c r="D1590" s="48">
        <f>_xlfn.XLOOKUP(expected_production[[#This Row],[Site Name]],Table1[[Site Name ]],Table1[Commisioned Date],"")</f>
        <v>44663</v>
      </c>
      <c r="E1590" s="47">
        <f>IF(ISNUMBER(expected_production[[#This Row],[Commissioned Date]]),MAX(0,(expected_production[[#This Row],[Date]]-expected_production[[#This Row],[Commissioned Date]])/365.25),"")</f>
        <v>1.9712525667351128</v>
      </c>
      <c r="F1590" s="49">
        <f>IF(expected_production[[#This Row],[Age (yrs)]]="",1,(1-DegradationRate)^expected_production[[#This Row],[Age (yrs)]])</f>
        <v>0.98624814249577331</v>
      </c>
      <c r="G1590" s="52">
        <f>IF(expected_production[[#This Row],[Base Expected (kWh)]]="","",expected_production[[#This Row],[Base Expected (kWh)]]*expected_production[[#This Row],[Degradation Factor]])</f>
        <v>5015.9594279192534</v>
      </c>
    </row>
    <row r="1591" spans="1:7" ht="15" hidden="1" customHeight="1" x14ac:dyDescent="0.3">
      <c r="A1591" t="s">
        <v>157</v>
      </c>
      <c r="B1591" s="2">
        <v>45413</v>
      </c>
      <c r="C1591" s="52">
        <v>5204.6099999999997</v>
      </c>
      <c r="D1591" s="48">
        <f>_xlfn.XLOOKUP(expected_production[[#This Row],[Site Name]],Table1[[Site Name ]],Table1[Commisioned Date],"")</f>
        <v>44663</v>
      </c>
      <c r="E1591" s="47">
        <f>IF(ISNUMBER(expected_production[[#This Row],[Commissioned Date]]),MAX(0,(expected_production[[#This Row],[Date]]-expected_production[[#This Row],[Commissioned Date]])/365.25),"")</f>
        <v>2.0533880903490758</v>
      </c>
      <c r="F1591" s="49">
        <f>IF(expected_production[[#This Row],[Age (yrs)]]="",1,(1-DegradationRate)^expected_production[[#This Row],[Age (yrs)]])</f>
        <v>0.98567927061173</v>
      </c>
      <c r="G1591" s="52">
        <f>IF(expected_production[[#This Row],[Base Expected (kWh)]]="","",expected_production[[#This Row],[Base Expected (kWh)]]*expected_production[[#This Row],[Degradation Factor]])</f>
        <v>5130.0761886185155</v>
      </c>
    </row>
    <row r="1592" spans="1:7" ht="15" hidden="1" customHeight="1" x14ac:dyDescent="0.3">
      <c r="A1592" t="s">
        <v>157</v>
      </c>
      <c r="B1592" s="2">
        <v>45444</v>
      </c>
      <c r="C1592" s="52">
        <v>4824.3599999999997</v>
      </c>
      <c r="D1592" s="48">
        <f>_xlfn.XLOOKUP(expected_production[[#This Row],[Site Name]],Table1[[Site Name ]],Table1[Commisioned Date],"")</f>
        <v>44663</v>
      </c>
      <c r="E1592" s="47">
        <f>IF(ISNUMBER(expected_production[[#This Row],[Commissioned Date]]),MAX(0,(expected_production[[#This Row],[Date]]-expected_production[[#This Row],[Commissioned Date]])/365.25),"")</f>
        <v>2.1382614647501712</v>
      </c>
      <c r="F1592" s="49">
        <f>IF(expected_production[[#This Row],[Age (yrs)]]="",1,(1-DegradationRate)^expected_production[[#This Row],[Age (yrs)]])</f>
        <v>0.98509178104559902</v>
      </c>
      <c r="G1592" s="52">
        <f>IF(expected_production[[#This Row],[Base Expected (kWh)]]="","",expected_production[[#This Row],[Base Expected (kWh)]]*expected_production[[#This Row],[Degradation Factor]])</f>
        <v>4752.4373848051455</v>
      </c>
    </row>
    <row r="1593" spans="1:7" ht="15" hidden="1" customHeight="1" x14ac:dyDescent="0.3">
      <c r="A1593" t="s">
        <v>157</v>
      </c>
      <c r="B1593" s="2">
        <v>45474</v>
      </c>
      <c r="C1593" s="52">
        <v>5303.16</v>
      </c>
      <c r="D1593" s="48">
        <f>_xlfn.XLOOKUP(expected_production[[#This Row],[Site Name]],Table1[[Site Name ]],Table1[Commisioned Date],"")</f>
        <v>44663</v>
      </c>
      <c r="E1593" s="47">
        <f>IF(ISNUMBER(expected_production[[#This Row],[Commissioned Date]]),MAX(0,(expected_production[[#This Row],[Date]]-expected_production[[#This Row],[Commissioned Date]])/365.25),"")</f>
        <v>2.2203969883641341</v>
      </c>
      <c r="F1593" s="49">
        <f>IF(expected_production[[#This Row],[Age (yrs)]]="",1,(1-DegradationRate)^expected_production[[#This Row],[Age (yrs)]])</f>
        <v>0.98452357615547803</v>
      </c>
      <c r="G1593" s="52">
        <f>IF(expected_production[[#This Row],[Base Expected (kWh)]]="","",expected_production[[#This Row],[Base Expected (kWh)]]*expected_production[[#This Row],[Degradation Factor]])</f>
        <v>5221.0860481246846</v>
      </c>
    </row>
    <row r="1594" spans="1:7" ht="15" hidden="1" customHeight="1" x14ac:dyDescent="0.3">
      <c r="A1594" t="s">
        <v>157</v>
      </c>
      <c r="B1594" s="2">
        <v>45505</v>
      </c>
      <c r="C1594" s="52">
        <v>5833.08</v>
      </c>
      <c r="D1594" s="48">
        <f>_xlfn.XLOOKUP(expected_production[[#This Row],[Site Name]],Table1[[Site Name ]],Table1[Commisioned Date],"")</f>
        <v>44663</v>
      </c>
      <c r="E1594" s="47">
        <f>IF(ISNUMBER(expected_production[[#This Row],[Commissioned Date]]),MAX(0,(expected_production[[#This Row],[Date]]-expected_production[[#This Row],[Commissioned Date]])/365.25),"")</f>
        <v>2.3052703627652291</v>
      </c>
      <c r="F1594" s="49">
        <f>IF(expected_production[[#This Row],[Age (yrs)]]="",1,(1-DegradationRate)^expected_production[[#This Row],[Age (yrs)]])</f>
        <v>0.98393677541222779</v>
      </c>
      <c r="G1594" s="52">
        <f>IF(expected_production[[#This Row],[Base Expected (kWh)]]="","",expected_production[[#This Row],[Base Expected (kWh)]]*expected_production[[#This Row],[Degradation Factor]])</f>
        <v>5739.3819259215579</v>
      </c>
    </row>
    <row r="1595" spans="1:7" ht="15" hidden="1" customHeight="1" x14ac:dyDescent="0.3">
      <c r="A1595" t="s">
        <v>157</v>
      </c>
      <c r="B1595" s="2">
        <v>45536</v>
      </c>
      <c r="C1595" s="52">
        <v>6021.81</v>
      </c>
      <c r="D1595" s="48">
        <f>_xlfn.XLOOKUP(expected_production[[#This Row],[Site Name]],Table1[[Site Name ]],Table1[Commisioned Date],"")</f>
        <v>44663</v>
      </c>
      <c r="E1595" s="47">
        <f>IF(ISNUMBER(expected_production[[#This Row],[Commissioned Date]]),MAX(0,(expected_production[[#This Row],[Date]]-expected_production[[#This Row],[Commissioned Date]])/365.25),"")</f>
        <v>2.3901437371663246</v>
      </c>
      <c r="F1595" s="49">
        <f>IF(expected_production[[#This Row],[Age (yrs)]]="",1,(1-DegradationRate)^expected_production[[#This Row],[Age (yrs)]])</f>
        <v>0.98335032441693748</v>
      </c>
      <c r="G1595" s="52">
        <f>IF(expected_production[[#This Row],[Base Expected (kWh)]]="","",expected_production[[#This Row],[Base Expected (kWh)]]*expected_production[[#This Row],[Degradation Factor]])</f>
        <v>5921.5488170771587</v>
      </c>
    </row>
    <row r="1596" spans="1:7" ht="15" hidden="1" customHeight="1" x14ac:dyDescent="0.3">
      <c r="A1596" t="s">
        <v>157</v>
      </c>
      <c r="B1596" s="2">
        <v>45566</v>
      </c>
      <c r="C1596" s="52">
        <v>6128.91</v>
      </c>
      <c r="D1596" s="48">
        <f>_xlfn.XLOOKUP(expected_production[[#This Row],[Site Name]],Table1[[Site Name ]],Table1[Commisioned Date],"")</f>
        <v>44663</v>
      </c>
      <c r="E1596" s="47">
        <f>IF(ISNUMBER(expected_production[[#This Row],[Commissioned Date]]),MAX(0,(expected_production[[#This Row],[Date]]-expected_production[[#This Row],[Commissioned Date]])/365.25),"")</f>
        <v>2.4722792607802875</v>
      </c>
      <c r="F1596" s="49">
        <f>IF(expected_production[[#This Row],[Age (yrs)]]="",1,(1-DegradationRate)^expected_production[[#This Row],[Age (yrs)]])</f>
        <v>0.98278312400598411</v>
      </c>
      <c r="G1596" s="52">
        <f>IF(expected_production[[#This Row],[Base Expected (kWh)]]="","",expected_production[[#This Row],[Base Expected (kWh)]]*expected_production[[#This Row],[Degradation Factor]])</f>
        <v>6023.3893165515155</v>
      </c>
    </row>
    <row r="1597" spans="1:7" ht="15" hidden="1" customHeight="1" x14ac:dyDescent="0.3">
      <c r="A1597" t="s">
        <v>157</v>
      </c>
      <c r="B1597" s="2">
        <v>45597</v>
      </c>
      <c r="C1597" s="52">
        <v>5928.57</v>
      </c>
      <c r="D1597" s="48">
        <f>_xlfn.XLOOKUP(expected_production[[#This Row],[Site Name]],Table1[[Site Name ]],Table1[Commisioned Date],"")</f>
        <v>44663</v>
      </c>
      <c r="E1597" s="47">
        <f>IF(ISNUMBER(expected_production[[#This Row],[Commissioned Date]]),MAX(0,(expected_production[[#This Row],[Date]]-expected_production[[#This Row],[Commissioned Date]])/365.25),"")</f>
        <v>2.5571526351813825</v>
      </c>
      <c r="F1597" s="49">
        <f>IF(expected_production[[#This Row],[Age (yrs)]]="",1,(1-DegradationRate)^expected_production[[#This Row],[Age (yrs)]])</f>
        <v>0.98219736061586549</v>
      </c>
      <c r="G1597" s="52">
        <f>IF(expected_production[[#This Row],[Base Expected (kWh)]]="","",expected_production[[#This Row],[Base Expected (kWh)]]*expected_production[[#This Row],[Degradation Factor]])</f>
        <v>5823.0258062264011</v>
      </c>
    </row>
    <row r="1598" spans="1:7" ht="15" hidden="1" customHeight="1" x14ac:dyDescent="0.3">
      <c r="A1598" t="s">
        <v>157</v>
      </c>
      <c r="B1598" s="2">
        <v>45627</v>
      </c>
      <c r="C1598" s="52">
        <v>6186.69</v>
      </c>
      <c r="D1598" s="48">
        <f>_xlfn.XLOOKUP(expected_production[[#This Row],[Site Name]],Table1[[Site Name ]],Table1[Commisioned Date],"")</f>
        <v>44663</v>
      </c>
      <c r="E1598" s="47">
        <f>IF(ISNUMBER(expected_production[[#This Row],[Commissioned Date]]),MAX(0,(expected_production[[#This Row],[Date]]-expected_production[[#This Row],[Commissioned Date]])/365.25),"")</f>
        <v>2.6392881587953458</v>
      </c>
      <c r="F1598" s="49">
        <f>IF(expected_production[[#This Row],[Age (yrs)]]="",1,(1-DegradationRate)^expected_production[[#This Row],[Age (yrs)]])</f>
        <v>0.98163082523905676</v>
      </c>
      <c r="G1598" s="52">
        <f>IF(expected_production[[#This Row],[Base Expected (kWh)]]="","",expected_production[[#This Row],[Base Expected (kWh)]]*expected_production[[#This Row],[Degradation Factor]])</f>
        <v>6073.0456101982199</v>
      </c>
    </row>
    <row r="1599" spans="1:7" ht="15" hidden="1" customHeight="1" x14ac:dyDescent="0.3">
      <c r="A1599" t="s">
        <v>157</v>
      </c>
      <c r="B1599" s="2">
        <v>45658</v>
      </c>
      <c r="C1599" s="52">
        <v>5902.47</v>
      </c>
      <c r="D1599" s="48">
        <f>_xlfn.XLOOKUP(expected_production[[#This Row],[Site Name]],Table1[[Site Name ]],Table1[Commisioned Date],"")</f>
        <v>44663</v>
      </c>
      <c r="E1599" s="47">
        <f>IF(ISNUMBER(expected_production[[#This Row],[Commissioned Date]]),MAX(0,(expected_production[[#This Row],[Date]]-expected_production[[#This Row],[Commissioned Date]])/365.25),"")</f>
        <v>2.7241615331964408</v>
      </c>
      <c r="F1599" s="49">
        <f>IF(expected_production[[#This Row],[Age (yrs)]]="",1,(1-DegradationRate)^expected_production[[#This Row],[Age (yrs)]])</f>
        <v>0.98104574864790284</v>
      </c>
      <c r="G1599" s="52">
        <f>IF(expected_production[[#This Row],[Base Expected (kWh)]]="","",expected_production[[#This Row],[Base Expected (kWh)]]*expected_production[[#This Row],[Degradation Factor]])</f>
        <v>5790.593100021787</v>
      </c>
    </row>
    <row r="1600" spans="1:7" ht="15" hidden="1" customHeight="1" x14ac:dyDescent="0.3">
      <c r="A1600" t="s">
        <v>157</v>
      </c>
      <c r="B1600" s="2">
        <v>45689</v>
      </c>
      <c r="C1600" s="52">
        <v>5299.2</v>
      </c>
      <c r="D1600" s="48">
        <f>_xlfn.XLOOKUP(expected_production[[#This Row],[Site Name]],Table1[[Site Name ]],Table1[Commisioned Date],"")</f>
        <v>44663</v>
      </c>
      <c r="E1600" s="47">
        <f>IF(ISNUMBER(expected_production[[#This Row],[Commissioned Date]]),MAX(0,(expected_production[[#This Row],[Date]]-expected_production[[#This Row],[Commissioned Date]])/365.25),"")</f>
        <v>2.8090349075975358</v>
      </c>
      <c r="F1600" s="49">
        <f>IF(expected_production[[#This Row],[Age (yrs)]]="",1,(1-DegradationRate)^expected_production[[#This Row],[Age (yrs)]])</f>
        <v>0.98046102077707109</v>
      </c>
      <c r="G1600" s="52">
        <f>IF(expected_production[[#This Row],[Base Expected (kWh)]]="","",expected_production[[#This Row],[Base Expected (kWh)]]*expected_production[[#This Row],[Degradation Factor]])</f>
        <v>5195.6590413018548</v>
      </c>
    </row>
    <row r="1601" spans="1:7" ht="15" hidden="1" customHeight="1" x14ac:dyDescent="0.3">
      <c r="A1601" t="s">
        <v>157</v>
      </c>
      <c r="B1601" s="2">
        <v>45717</v>
      </c>
      <c r="C1601" s="52">
        <v>5701.86</v>
      </c>
      <c r="D1601" s="48">
        <f>_xlfn.XLOOKUP(expected_production[[#This Row],[Site Name]],Table1[[Site Name ]],Table1[Commisioned Date],"")</f>
        <v>44663</v>
      </c>
      <c r="E1601" s="47">
        <f>IF(ISNUMBER(expected_production[[#This Row],[Commissioned Date]]),MAX(0,(expected_production[[#This Row],[Date]]-expected_production[[#This Row],[Commissioned Date]])/365.25),"")</f>
        <v>2.8856947296372346</v>
      </c>
      <c r="F1601" s="49">
        <f>IF(expected_production[[#This Row],[Age (yrs)]]="",1,(1-DegradationRate)^expected_production[[#This Row],[Age (yrs)]])</f>
        <v>0.97993317903405219</v>
      </c>
      <c r="G1601" s="52">
        <f>IF(expected_production[[#This Row],[Base Expected (kWh)]]="","",expected_production[[#This Row],[Base Expected (kWh)]]*expected_production[[#This Row],[Degradation Factor]])</f>
        <v>5587.4417962071002</v>
      </c>
    </row>
    <row r="1602" spans="1:7" ht="15" hidden="1" customHeight="1" x14ac:dyDescent="0.3">
      <c r="A1602" t="s">
        <v>157</v>
      </c>
      <c r="B1602" s="2">
        <v>45748</v>
      </c>
      <c r="C1602" s="52">
        <v>5085.8999999999996</v>
      </c>
      <c r="D1602" s="48">
        <f>_xlfn.XLOOKUP(expected_production[[#This Row],[Site Name]],Table1[[Site Name ]],Table1[Commisioned Date],"")</f>
        <v>44663</v>
      </c>
      <c r="E1602" s="47">
        <f>IF(ISNUMBER(expected_production[[#This Row],[Commissioned Date]]),MAX(0,(expected_production[[#This Row],[Date]]-expected_production[[#This Row],[Commissioned Date]])/365.25),"")</f>
        <v>2.97056810403833</v>
      </c>
      <c r="F1602" s="49">
        <f>IF(expected_production[[#This Row],[Age (yrs)]]="",1,(1-DegradationRate)^expected_production[[#This Row],[Age (yrs)]])</f>
        <v>0.97934911428261362</v>
      </c>
      <c r="G1602" s="52">
        <f>IF(expected_production[[#This Row],[Base Expected (kWh)]]="","",expected_production[[#This Row],[Base Expected (kWh)]]*expected_production[[#This Row],[Degradation Factor]])</f>
        <v>4980.8716603299445</v>
      </c>
    </row>
    <row r="1603" spans="1:7" ht="15" hidden="1" customHeight="1" x14ac:dyDescent="0.3">
      <c r="A1603" t="s">
        <v>157</v>
      </c>
      <c r="B1603" s="2">
        <v>45778</v>
      </c>
      <c r="C1603" s="52">
        <v>5204.6099999999997</v>
      </c>
      <c r="D1603" s="48">
        <f>_xlfn.XLOOKUP(expected_production[[#This Row],[Site Name]],Table1[[Site Name ]],Table1[Commisioned Date],"")</f>
        <v>44663</v>
      </c>
      <c r="E1603" s="47">
        <f>IF(ISNUMBER(expected_production[[#This Row],[Commissioned Date]]),MAX(0,(expected_production[[#This Row],[Date]]-expected_production[[#This Row],[Commissioned Date]])/365.25),"")</f>
        <v>3.052703627652293</v>
      </c>
      <c r="F1603" s="49">
        <f>IF(expected_production[[#This Row],[Age (yrs)]]="",1,(1-DegradationRate)^expected_production[[#This Row],[Age (yrs)]])</f>
        <v>0.978784221785713</v>
      </c>
      <c r="G1603" s="52">
        <f>IF(expected_production[[#This Row],[Base Expected (kWh)]]="","",expected_production[[#This Row],[Base Expected (kWh)]]*expected_production[[#This Row],[Degradation Factor]])</f>
        <v>5094.1901485481394</v>
      </c>
    </row>
    <row r="1604" spans="1:7" ht="15" hidden="1" customHeight="1" x14ac:dyDescent="0.3">
      <c r="A1604" t="s">
        <v>157</v>
      </c>
      <c r="B1604" s="2">
        <v>45809</v>
      </c>
      <c r="C1604" s="52">
        <v>4824.3599999999997</v>
      </c>
      <c r="D1604" s="48">
        <f>_xlfn.XLOOKUP(expected_production[[#This Row],[Site Name]],Table1[[Site Name ]],Table1[Commisioned Date],"")</f>
        <v>44663</v>
      </c>
      <c r="E1604" s="47">
        <f>IF(ISNUMBER(expected_production[[#This Row],[Commissioned Date]]),MAX(0,(expected_production[[#This Row],[Date]]-expected_production[[#This Row],[Commissioned Date]])/365.25),"")</f>
        <v>3.137577002053388</v>
      </c>
      <c r="F1604" s="49">
        <f>IF(expected_production[[#This Row],[Age (yrs)]]="",1,(1-DegradationRate)^expected_production[[#This Row],[Age (yrs)]])</f>
        <v>0.97820084184161016</v>
      </c>
      <c r="G1604" s="52">
        <f>IF(expected_production[[#This Row],[Base Expected (kWh)]]="","",expected_production[[#This Row],[Base Expected (kWh)]]*expected_production[[#This Row],[Degradation Factor]])</f>
        <v>4719.1930133469905</v>
      </c>
    </row>
    <row r="1605" spans="1:7" ht="15" hidden="1" customHeight="1" x14ac:dyDescent="0.3">
      <c r="A1605" t="s">
        <v>157</v>
      </c>
      <c r="B1605" s="2">
        <v>45839</v>
      </c>
      <c r="C1605" s="52">
        <v>5303.16</v>
      </c>
      <c r="D1605" s="48">
        <f>_xlfn.XLOOKUP(expected_production[[#This Row],[Site Name]],Table1[[Site Name ]],Table1[Commisioned Date],"")</f>
        <v>44663</v>
      </c>
      <c r="E1605" s="47">
        <f>IF(ISNUMBER(expected_production[[#This Row],[Commissioned Date]]),MAX(0,(expected_production[[#This Row],[Date]]-expected_production[[#This Row],[Commissioned Date]])/365.25),"")</f>
        <v>3.2197125256673513</v>
      </c>
      <c r="F1605" s="49">
        <f>IF(expected_production[[#This Row],[Age (yrs)]]="",1,(1-DegradationRate)^expected_production[[#This Row],[Age (yrs)]])</f>
        <v>0.97763661167285887</v>
      </c>
      <c r="G1605" s="52">
        <f>IF(expected_production[[#This Row],[Base Expected (kWh)]]="","",expected_production[[#This Row],[Base Expected (kWh)]]*expected_production[[#This Row],[Degradation Factor]])</f>
        <v>5184.5633735590382</v>
      </c>
    </row>
    <row r="1606" spans="1:7" ht="15" hidden="1" customHeight="1" x14ac:dyDescent="0.3">
      <c r="A1606" t="s">
        <v>157</v>
      </c>
      <c r="B1606" s="2">
        <v>45870</v>
      </c>
      <c r="C1606" s="52">
        <v>5833.08</v>
      </c>
      <c r="D1606" s="48">
        <f>_xlfn.XLOOKUP(expected_production[[#This Row],[Site Name]],Table1[[Site Name ]],Table1[Commisioned Date],"")</f>
        <v>44663</v>
      </c>
      <c r="E1606" s="47">
        <f>IF(ISNUMBER(expected_production[[#This Row],[Commissioned Date]]),MAX(0,(expected_production[[#This Row],[Date]]-expected_production[[#This Row],[Commissioned Date]])/365.25),"")</f>
        <v>3.3045859000684463</v>
      </c>
      <c r="F1606" s="49">
        <f>IF(expected_production[[#This Row],[Age (yrs)]]="",1,(1-DegradationRate)^expected_production[[#This Row],[Age (yrs)]])</f>
        <v>0.97705391573316536</v>
      </c>
      <c r="G1606" s="52">
        <f>IF(expected_production[[#This Row],[Base Expected (kWh)]]="","",expected_production[[#This Row],[Base Expected (kWh)]]*expected_production[[#This Row],[Degradation Factor]])</f>
        <v>5699.2336547848117</v>
      </c>
    </row>
    <row r="1607" spans="1:7" ht="15" hidden="1" customHeight="1" x14ac:dyDescent="0.3">
      <c r="A1607" t="s">
        <v>157</v>
      </c>
      <c r="B1607" s="2">
        <v>45901</v>
      </c>
      <c r="C1607" s="52">
        <v>6021.81</v>
      </c>
      <c r="D1607" s="48">
        <f>_xlfn.XLOOKUP(expected_production[[#This Row],[Site Name]],Table1[[Site Name ]],Table1[Commisioned Date],"")</f>
        <v>44663</v>
      </c>
      <c r="E1607" s="47">
        <f>IF(ISNUMBER(expected_production[[#This Row],[Commissioned Date]]),MAX(0,(expected_production[[#This Row],[Date]]-expected_production[[#This Row],[Commissioned Date]])/365.25),"")</f>
        <v>3.3894592744695413</v>
      </c>
      <c r="F1607" s="49">
        <f>IF(expected_production[[#This Row],[Age (yrs)]]="",1,(1-DegradationRate)^expected_production[[#This Row],[Age (yrs)]])</f>
        <v>0.97647156709486593</v>
      </c>
      <c r="G1607" s="52">
        <f>IF(expected_production[[#This Row],[Base Expected (kWh)]]="","",expected_production[[#This Row],[Base Expected (kWh)]]*expected_production[[#This Row],[Degradation Factor]])</f>
        <v>5880.1262474475352</v>
      </c>
    </row>
    <row r="1608" spans="1:7" ht="15" hidden="1" customHeight="1" x14ac:dyDescent="0.3">
      <c r="A1608" t="s">
        <v>157</v>
      </c>
      <c r="B1608" s="2">
        <v>45931</v>
      </c>
      <c r="C1608" s="52">
        <v>6128.91</v>
      </c>
      <c r="D1608" s="48">
        <f>_xlfn.XLOOKUP(expected_production[[#This Row],[Site Name]],Table1[[Site Name ]],Table1[Commisioned Date],"")</f>
        <v>44663</v>
      </c>
      <c r="E1608" s="47">
        <f>IF(ISNUMBER(expected_production[[#This Row],[Commissioned Date]]),MAX(0,(expected_production[[#This Row],[Date]]-expected_production[[#This Row],[Commissioned Date]])/365.25),"")</f>
        <v>3.4715947980835042</v>
      </c>
      <c r="F1608" s="49">
        <f>IF(expected_production[[#This Row],[Age (yrs)]]="",1,(1-DegradationRate)^expected_production[[#This Row],[Age (yrs)]])</f>
        <v>0.97590833437872404</v>
      </c>
      <c r="G1608" s="52">
        <f>IF(expected_production[[#This Row],[Base Expected (kWh)]]="","",expected_production[[#This Row],[Base Expected (kWh)]]*expected_production[[#This Row],[Degradation Factor]])</f>
        <v>5981.2543496571052</v>
      </c>
    </row>
    <row r="1609" spans="1:7" ht="15" hidden="1" customHeight="1" x14ac:dyDescent="0.3">
      <c r="A1609" t="s">
        <v>157</v>
      </c>
      <c r="B1609" s="2">
        <v>45962</v>
      </c>
      <c r="C1609" s="52">
        <v>5928.57</v>
      </c>
      <c r="D1609" s="48">
        <f>_xlfn.XLOOKUP(expected_production[[#This Row],[Site Name]],Table1[[Site Name ]],Table1[Commisioned Date],"")</f>
        <v>44663</v>
      </c>
      <c r="E1609" s="47">
        <f>IF(ISNUMBER(expected_production[[#This Row],[Commissioned Date]]),MAX(0,(expected_production[[#This Row],[Date]]-expected_production[[#This Row],[Commissioned Date]])/365.25),"")</f>
        <v>3.5564681724845997</v>
      </c>
      <c r="F1609" s="49">
        <f>IF(expected_production[[#This Row],[Age (yrs)]]="",1,(1-DegradationRate)^expected_production[[#This Row],[Age (yrs)]])</f>
        <v>0.97532666853564309</v>
      </c>
      <c r="G1609" s="52">
        <f>IF(expected_production[[#This Row],[Base Expected (kWh)]]="","",expected_production[[#This Row],[Base Expected (kWh)]]*expected_production[[#This Row],[Degradation Factor]])</f>
        <v>5782.2924272803575</v>
      </c>
    </row>
    <row r="1610" spans="1:7" ht="15" hidden="1" customHeight="1" x14ac:dyDescent="0.3">
      <c r="A1610" t="s">
        <v>157</v>
      </c>
      <c r="B1610" s="2">
        <v>45992</v>
      </c>
      <c r="C1610" s="52">
        <v>6186.69</v>
      </c>
      <c r="D1610" s="48">
        <f>_xlfn.XLOOKUP(expected_production[[#This Row],[Site Name]],Table1[[Site Name ]],Table1[Commisioned Date],"")</f>
        <v>44663</v>
      </c>
      <c r="E1610" s="47">
        <f>IF(ISNUMBER(expected_production[[#This Row],[Commissioned Date]]),MAX(0,(expected_production[[#This Row],[Date]]-expected_production[[#This Row],[Commissioned Date]])/365.25),"")</f>
        <v>3.6386036960985626</v>
      </c>
      <c r="F1610" s="49">
        <f>IF(expected_production[[#This Row],[Age (yrs)]]="",1,(1-DegradationRate)^expected_production[[#This Row],[Age (yrs)]])</f>
        <v>0.97476409620158178</v>
      </c>
      <c r="G1610" s="52">
        <f>IF(expected_production[[#This Row],[Base Expected (kWh)]]="","",expected_production[[#This Row],[Base Expected (kWh)]]*expected_production[[#This Row],[Degradation Factor]])</f>
        <v>6030.563286329364</v>
      </c>
    </row>
    <row r="1611" spans="1:7" ht="15" hidden="1" customHeight="1" x14ac:dyDescent="0.3">
      <c r="A1611" t="s">
        <v>157</v>
      </c>
      <c r="B1611" s="2">
        <v>46023</v>
      </c>
      <c r="C1611" s="52">
        <v>5902.47</v>
      </c>
      <c r="D1611" s="48">
        <f>_xlfn.XLOOKUP(expected_production[[#This Row],[Site Name]],Table1[[Site Name ]],Table1[Commisioned Date],"")</f>
        <v>44663</v>
      </c>
      <c r="E1611" s="47">
        <f>IF(ISNUMBER(expected_production[[#This Row],[Commissioned Date]]),MAX(0,(expected_production[[#This Row],[Date]]-expected_production[[#This Row],[Commissioned Date]])/365.25),"")</f>
        <v>3.7234770704996576</v>
      </c>
      <c r="F1611" s="49">
        <f>IF(expected_production[[#This Row],[Age (yrs)]]="",1,(1-DegradationRate)^expected_production[[#This Row],[Age (yrs)]])</f>
        <v>0.97418311235315191</v>
      </c>
      <c r="G1611" s="52">
        <f>IF(expected_production[[#This Row],[Base Expected (kWh)]]="","",expected_production[[#This Row],[Base Expected (kWh)]]*expected_production[[#This Row],[Degradation Factor]])</f>
        <v>5750.0865951711085</v>
      </c>
    </row>
    <row r="1612" spans="1:7" ht="15" hidden="1" customHeight="1" x14ac:dyDescent="0.3">
      <c r="A1612" t="s">
        <v>157</v>
      </c>
      <c r="B1612" s="2">
        <v>46054</v>
      </c>
      <c r="C1612" s="52">
        <v>5299.2</v>
      </c>
      <c r="D1612" s="48">
        <f>_xlfn.XLOOKUP(expected_production[[#This Row],[Site Name]],Table1[[Site Name ]],Table1[Commisioned Date],"")</f>
        <v>44663</v>
      </c>
      <c r="E1612" s="47">
        <f>IF(ISNUMBER(expected_production[[#This Row],[Commissioned Date]]),MAX(0,(expected_production[[#This Row],[Date]]-expected_production[[#This Row],[Commissioned Date]])/365.25),"")</f>
        <v>3.808350444900753</v>
      </c>
      <c r="F1612" s="49">
        <f>IF(expected_production[[#This Row],[Age (yrs)]]="",1,(1-DegradationRate)^expected_production[[#This Row],[Age (yrs)]])</f>
        <v>0.97360247478566675</v>
      </c>
      <c r="G1612" s="52">
        <f>IF(expected_production[[#This Row],[Base Expected (kWh)]]="","",expected_production[[#This Row],[Base Expected (kWh)]]*expected_production[[#This Row],[Degradation Factor]])</f>
        <v>5159.3142343842046</v>
      </c>
    </row>
    <row r="1613" spans="1:7" ht="15" hidden="1" customHeight="1" x14ac:dyDescent="0.3">
      <c r="A1613" t="s">
        <v>157</v>
      </c>
      <c r="B1613" s="2">
        <v>46082</v>
      </c>
      <c r="C1613" s="52">
        <v>5701.86</v>
      </c>
      <c r="D1613" s="48">
        <f>_xlfn.XLOOKUP(expected_production[[#This Row],[Site Name]],Table1[[Site Name ]],Table1[Commisioned Date],"")</f>
        <v>44663</v>
      </c>
      <c r="E1613" s="47">
        <f>IF(ISNUMBER(expected_production[[#This Row],[Commissioned Date]]),MAX(0,(expected_production[[#This Row],[Date]]-expected_production[[#This Row],[Commissioned Date]])/365.25),"")</f>
        <v>3.8850102669404518</v>
      </c>
      <c r="F1613" s="49">
        <f>IF(expected_production[[#This Row],[Age (yrs)]]="",1,(1-DegradationRate)^expected_production[[#This Row],[Age (yrs)]])</f>
        <v>0.97307832541469941</v>
      </c>
      <c r="G1613" s="52">
        <f>IF(expected_production[[#This Row],[Base Expected (kWh)]]="","",expected_production[[#This Row],[Base Expected (kWh)]]*expected_production[[#This Row],[Degradation Factor]])</f>
        <v>5548.3563805490576</v>
      </c>
    </row>
    <row r="1614" spans="1:7" ht="15" hidden="1" customHeight="1" x14ac:dyDescent="0.3">
      <c r="A1614" t="s">
        <v>157</v>
      </c>
      <c r="B1614" s="2">
        <v>46113</v>
      </c>
      <c r="C1614" s="52">
        <v>5085.8999999999996</v>
      </c>
      <c r="D1614" s="48">
        <f>_xlfn.XLOOKUP(expected_production[[#This Row],[Site Name]],Table1[[Site Name ]],Table1[Commisioned Date],"")</f>
        <v>44663</v>
      </c>
      <c r="E1614" s="47">
        <f>IF(ISNUMBER(expected_production[[#This Row],[Commissioned Date]]),MAX(0,(expected_production[[#This Row],[Date]]-expected_production[[#This Row],[Commissioned Date]])/365.25),"")</f>
        <v>3.9698836413415468</v>
      </c>
      <c r="F1614" s="49">
        <f>IF(expected_production[[#This Row],[Age (yrs)]]="",1,(1-DegradationRate)^expected_production[[#This Row],[Age (yrs)]])</f>
        <v>0.97249834632793764</v>
      </c>
      <c r="G1614" s="52">
        <f>IF(expected_production[[#This Row],[Base Expected (kWh)]]="","",expected_production[[#This Row],[Base Expected (kWh)]]*expected_production[[#This Row],[Degradation Factor]])</f>
        <v>4946.0293395892577</v>
      </c>
    </row>
    <row r="1615" spans="1:7" ht="15" hidden="1" customHeight="1" x14ac:dyDescent="0.3">
      <c r="A1615" t="s">
        <v>157</v>
      </c>
      <c r="B1615" s="2">
        <v>46143</v>
      </c>
      <c r="C1615" s="52">
        <v>5204.6099999999997</v>
      </c>
      <c r="D1615" s="48">
        <f>_xlfn.XLOOKUP(expected_production[[#This Row],[Site Name]],Table1[[Site Name ]],Table1[Commisioned Date],"")</f>
        <v>44663</v>
      </c>
      <c r="E1615" s="47">
        <f>IF(ISNUMBER(expected_production[[#This Row],[Commissioned Date]]),MAX(0,(expected_production[[#This Row],[Date]]-expected_production[[#This Row],[Commissioned Date]])/365.25),"")</f>
        <v>4.0520191649555102</v>
      </c>
      <c r="F1615" s="49">
        <f>IF(expected_production[[#This Row],[Age (yrs)]]="",1,(1-DegradationRate)^expected_production[[#This Row],[Age (yrs)]])</f>
        <v>0.971937405381469</v>
      </c>
      <c r="G1615" s="52">
        <f>IF(expected_production[[#This Row],[Base Expected (kWh)]]="","",expected_production[[#This Row],[Base Expected (kWh)]]*expected_production[[#This Row],[Degradation Factor]])</f>
        <v>5058.5551394224467</v>
      </c>
    </row>
    <row r="1616" spans="1:7" ht="15" hidden="1" customHeight="1" x14ac:dyDescent="0.3">
      <c r="A1616" t="s">
        <v>157</v>
      </c>
      <c r="B1616" s="2">
        <v>46174</v>
      </c>
      <c r="C1616" s="52">
        <v>4824.3599999999997</v>
      </c>
      <c r="D1616" s="48">
        <f>_xlfn.XLOOKUP(expected_production[[#This Row],[Site Name]],Table1[[Site Name ]],Table1[Commisioned Date],"")</f>
        <v>44663</v>
      </c>
      <c r="E1616" s="47">
        <f>IF(ISNUMBER(expected_production[[#This Row],[Commissioned Date]]),MAX(0,(expected_production[[#This Row],[Date]]-expected_production[[#This Row],[Commissioned Date]])/365.25),"")</f>
        <v>4.1368925393566052</v>
      </c>
      <c r="F1616" s="49">
        <f>IF(expected_production[[#This Row],[Age (yrs)]]="",1,(1-DegradationRate)^expected_production[[#This Row],[Age (yrs)]])</f>
        <v>0.97135810631166142</v>
      </c>
      <c r="G1616" s="52">
        <f>IF(expected_production[[#This Row],[Base Expected (kWh)]]="","",expected_production[[#This Row],[Base Expected (kWh)]]*expected_production[[#This Row],[Degradation Factor]])</f>
        <v>4686.1811937657267</v>
      </c>
    </row>
    <row r="1617" spans="1:7" ht="15" hidden="1" customHeight="1" x14ac:dyDescent="0.3">
      <c r="A1617" t="s">
        <v>157</v>
      </c>
      <c r="B1617" s="2">
        <v>46204</v>
      </c>
      <c r="C1617" s="52">
        <v>5303.16</v>
      </c>
      <c r="D1617" s="48">
        <f>_xlfn.XLOOKUP(expected_production[[#This Row],[Site Name]],Table1[[Site Name ]],Table1[Commisioned Date],"")</f>
        <v>44663</v>
      </c>
      <c r="E1617" s="47">
        <f>IF(ISNUMBER(expected_production[[#This Row],[Commissioned Date]]),MAX(0,(expected_production[[#This Row],[Date]]-expected_production[[#This Row],[Commissioned Date]])/365.25),"")</f>
        <v>4.2190280629705681</v>
      </c>
      <c r="F1617" s="49">
        <f>IF(expected_production[[#This Row],[Age (yrs)]]="",1,(1-DegradationRate)^expected_production[[#This Row],[Age (yrs)]])</f>
        <v>0.97079782306020723</v>
      </c>
      <c r="G1617" s="52">
        <f>IF(expected_production[[#This Row],[Base Expected (kWh)]]="","",expected_production[[#This Row],[Base Expected (kWh)]]*expected_production[[#This Row],[Degradation Factor]])</f>
        <v>5148.2961833399686</v>
      </c>
    </row>
    <row r="1618" spans="1:7" ht="15" hidden="1" customHeight="1" x14ac:dyDescent="0.3">
      <c r="A1618" t="s">
        <v>157</v>
      </c>
      <c r="B1618" s="2">
        <v>46235</v>
      </c>
      <c r="C1618" s="52">
        <v>5833.08</v>
      </c>
      <c r="D1618" s="48">
        <f>_xlfn.XLOOKUP(expected_production[[#This Row],[Site Name]],Table1[[Site Name ]],Table1[Commisioned Date],"")</f>
        <v>44663</v>
      </c>
      <c r="E1618" s="47">
        <f>IF(ISNUMBER(expected_production[[#This Row],[Commissioned Date]]),MAX(0,(expected_production[[#This Row],[Date]]-expected_production[[#This Row],[Commissioned Date]])/365.25),"")</f>
        <v>4.3039014373716631</v>
      </c>
      <c r="F1618" s="49">
        <f>IF(expected_production[[#This Row],[Age (yrs)]]="",1,(1-DegradationRate)^expected_production[[#This Row],[Age (yrs)]])</f>
        <v>0.97021920321004385</v>
      </c>
      <c r="G1618" s="52">
        <f>IF(expected_production[[#This Row],[Base Expected (kWh)]]="","",expected_production[[#This Row],[Base Expected (kWh)]]*expected_production[[#This Row],[Degradation Factor]])</f>
        <v>5659.3662298604422</v>
      </c>
    </row>
    <row r="1619" spans="1:7" ht="15" hidden="1" customHeight="1" x14ac:dyDescent="0.3">
      <c r="A1619" t="s">
        <v>157</v>
      </c>
      <c r="B1619" s="2">
        <v>46266</v>
      </c>
      <c r="C1619" s="52">
        <v>6021.81</v>
      </c>
      <c r="D1619" s="48">
        <f>_xlfn.XLOOKUP(expected_production[[#This Row],[Site Name]],Table1[[Site Name ]],Table1[Commisioned Date],"")</f>
        <v>44663</v>
      </c>
      <c r="E1619" s="47">
        <f>IF(ISNUMBER(expected_production[[#This Row],[Commissioned Date]]),MAX(0,(expected_production[[#This Row],[Date]]-expected_production[[#This Row],[Commissioned Date]])/365.25),"")</f>
        <v>4.3887748117727581</v>
      </c>
      <c r="F1619" s="49">
        <f>IF(expected_production[[#This Row],[Age (yrs)]]="",1,(1-DegradationRate)^expected_production[[#This Row],[Age (yrs)]])</f>
        <v>0.9696409282318228</v>
      </c>
      <c r="G1619" s="52">
        <f>IF(expected_production[[#This Row],[Base Expected (kWh)]]="","",expected_production[[#This Row],[Base Expected (kWh)]]*expected_production[[#This Row],[Degradation Factor]])</f>
        <v>5838.9934380356735</v>
      </c>
    </row>
    <row r="1620" spans="1:7" ht="15" hidden="1" customHeight="1" x14ac:dyDescent="0.3">
      <c r="A1620" t="s">
        <v>157</v>
      </c>
      <c r="B1620" s="2">
        <v>46296</v>
      </c>
      <c r="C1620" s="52">
        <v>6128.91</v>
      </c>
      <c r="D1620" s="48">
        <f>_xlfn.XLOOKUP(expected_production[[#This Row],[Site Name]],Table1[[Site Name ]],Table1[Commisioned Date],"")</f>
        <v>44663</v>
      </c>
      <c r="E1620" s="47">
        <f>IF(ISNUMBER(expected_production[[#This Row],[Commissioned Date]]),MAX(0,(expected_production[[#This Row],[Date]]-expected_production[[#This Row],[Commissioned Date]])/365.25),"")</f>
        <v>4.470910335386721</v>
      </c>
      <c r="F1620" s="49">
        <f>IF(expected_production[[#This Row],[Age (yrs)]]="",1,(1-DegradationRate)^expected_production[[#This Row],[Age (yrs)]])</f>
        <v>0.96908163545557202</v>
      </c>
      <c r="G1620" s="52">
        <f>IF(expected_production[[#This Row],[Base Expected (kWh)]]="","",expected_production[[#This Row],[Base Expected (kWh)]]*expected_production[[#This Row],[Degradation Factor]])</f>
        <v>5939.4141263600095</v>
      </c>
    </row>
    <row r="1621" spans="1:7" ht="15" hidden="1" customHeight="1" x14ac:dyDescent="0.3">
      <c r="A1621" t="s">
        <v>157</v>
      </c>
      <c r="B1621" s="2">
        <v>46327</v>
      </c>
      <c r="C1621" s="52">
        <v>5928.57</v>
      </c>
      <c r="D1621" s="48">
        <f>_xlfn.XLOOKUP(expected_production[[#This Row],[Site Name]],Table1[[Site Name ]],Table1[Commisioned Date],"")</f>
        <v>44663</v>
      </c>
      <c r="E1621" s="47">
        <f>IF(ISNUMBER(expected_production[[#This Row],[Commissioned Date]]),MAX(0,(expected_production[[#This Row],[Date]]-expected_production[[#This Row],[Commissioned Date]])/365.25),"")</f>
        <v>4.5557837097878169</v>
      </c>
      <c r="F1621" s="49">
        <f>IF(expected_production[[#This Row],[Age (yrs)]]="",1,(1-DegradationRate)^expected_production[[#This Row],[Age (yrs)]])</f>
        <v>0.96850403849626299</v>
      </c>
      <c r="G1621" s="52">
        <f>IF(expected_production[[#This Row],[Base Expected (kWh)]]="","",expected_production[[#This Row],[Base Expected (kWh)]]*expected_production[[#This Row],[Degradation Factor]])</f>
        <v>5741.8439875077893</v>
      </c>
    </row>
    <row r="1622" spans="1:7" ht="15" hidden="1" customHeight="1" x14ac:dyDescent="0.3">
      <c r="A1622" t="s">
        <v>157</v>
      </c>
      <c r="B1622" s="2">
        <v>46357</v>
      </c>
      <c r="C1622" s="52">
        <v>6186.69</v>
      </c>
      <c r="D1622" s="48">
        <f>_xlfn.XLOOKUP(expected_production[[#This Row],[Site Name]],Table1[[Site Name ]],Table1[Commisioned Date],"")</f>
        <v>44663</v>
      </c>
      <c r="E1622" s="47">
        <f>IF(ISNUMBER(expected_production[[#This Row],[Commissioned Date]]),MAX(0,(expected_production[[#This Row],[Date]]-expected_production[[#This Row],[Commissioned Date]])/365.25),"")</f>
        <v>4.6379192334017798</v>
      </c>
      <c r="F1622" s="49">
        <f>IF(expected_production[[#This Row],[Age (yrs)]]="",1,(1-DegradationRate)^expected_production[[#This Row],[Age (yrs)]])</f>
        <v>0.96794540148257124</v>
      </c>
      <c r="G1622" s="52">
        <f>IF(expected_production[[#This Row],[Base Expected (kWh)]]="","",expected_production[[#This Row],[Base Expected (kWh)]]*expected_production[[#This Row],[Degradation Factor]])</f>
        <v>5988.3781358982087</v>
      </c>
    </row>
    <row r="1623" spans="1:7" ht="15" hidden="1" customHeight="1" x14ac:dyDescent="0.3">
      <c r="A1623" t="s">
        <v>160</v>
      </c>
      <c r="B1623" s="2">
        <v>45292</v>
      </c>
      <c r="C1623" s="52">
        <v>17099.45</v>
      </c>
      <c r="D1623" s="48">
        <f>_xlfn.XLOOKUP(expected_production[[#This Row],[Site Name]],Table1[[Site Name ]],Table1[Commisioned Date],"")</f>
        <v>45058</v>
      </c>
      <c r="E1623" s="47">
        <f>IF(ISNUMBER(expected_production[[#This Row],[Commissioned Date]]),MAX(0,(expected_production[[#This Row],[Date]]-expected_production[[#This Row],[Commissioned Date]])/365.25),"")</f>
        <v>0.64065708418891165</v>
      </c>
      <c r="F1623" s="49">
        <f>IF(expected_production[[#This Row],[Age (yrs)]]="",1,(1-DegradationRate)^expected_production[[#This Row],[Age (yrs)]])</f>
        <v>0.99550974216479293</v>
      </c>
      <c r="G1623" s="52">
        <f>IF(expected_production[[#This Row],[Base Expected (kWh)]]="","",expected_production[[#This Row],[Base Expected (kWh)]]*expected_production[[#This Row],[Degradation Factor]])</f>
        <v>17022.669060659769</v>
      </c>
    </row>
    <row r="1624" spans="1:7" ht="15" hidden="1" customHeight="1" x14ac:dyDescent="0.3">
      <c r="A1624" t="s">
        <v>160</v>
      </c>
      <c r="B1624" s="2">
        <v>45323</v>
      </c>
      <c r="C1624" s="52">
        <v>15031.4</v>
      </c>
      <c r="D1624" s="48">
        <f>_xlfn.XLOOKUP(expected_production[[#This Row],[Site Name]],Table1[[Site Name ]],Table1[Commisioned Date],"")</f>
        <v>45058</v>
      </c>
      <c r="E1624" s="47">
        <f>IF(ISNUMBER(expected_production[[#This Row],[Commissioned Date]]),MAX(0,(expected_production[[#This Row],[Date]]-expected_production[[#This Row],[Commissioned Date]])/365.25),"")</f>
        <v>0.72553045859000687</v>
      </c>
      <c r="F1624" s="49">
        <f>IF(expected_production[[#This Row],[Age (yrs)]]="",1,(1-DegradationRate)^expected_production[[#This Row],[Age (yrs)]])</f>
        <v>0.99491639339106797</v>
      </c>
      <c r="G1624" s="52">
        <f>IF(expected_production[[#This Row],[Base Expected (kWh)]]="","",expected_production[[#This Row],[Base Expected (kWh)]]*expected_production[[#This Row],[Degradation Factor]])</f>
        <v>14954.986275618499</v>
      </c>
    </row>
    <row r="1625" spans="1:7" ht="15" hidden="1" customHeight="1" x14ac:dyDescent="0.3">
      <c r="A1625" t="s">
        <v>160</v>
      </c>
      <c r="B1625" s="2">
        <v>45352</v>
      </c>
      <c r="C1625" s="52">
        <v>16289.4</v>
      </c>
      <c r="D1625" s="48">
        <f>_xlfn.XLOOKUP(expected_production[[#This Row],[Site Name]],Table1[[Site Name ]],Table1[Commisioned Date],"")</f>
        <v>45058</v>
      </c>
      <c r="E1625" s="47">
        <f>IF(ISNUMBER(expected_production[[#This Row],[Commissioned Date]]),MAX(0,(expected_production[[#This Row],[Date]]-expected_production[[#This Row],[Commissioned Date]])/365.25),"")</f>
        <v>0.80492813141683783</v>
      </c>
      <c r="F1625" s="49">
        <f>IF(expected_production[[#This Row],[Age (yrs)]]="",1,(1-DegradationRate)^expected_production[[#This Row],[Age (yrs)]])</f>
        <v>0.99436164534998406</v>
      </c>
      <c r="G1625" s="52">
        <f>IF(expected_production[[#This Row],[Base Expected (kWh)]]="","",expected_production[[#This Row],[Base Expected (kWh)]]*expected_production[[#This Row],[Degradation Factor]])</f>
        <v>16197.55458576403</v>
      </c>
    </row>
    <row r="1626" spans="1:7" ht="15" hidden="1" customHeight="1" x14ac:dyDescent="0.3">
      <c r="A1626" t="s">
        <v>160</v>
      </c>
      <c r="B1626" s="2">
        <v>45383</v>
      </c>
      <c r="C1626" s="52">
        <v>14250.25</v>
      </c>
      <c r="D1626" s="48">
        <f>_xlfn.XLOOKUP(expected_production[[#This Row],[Site Name]],Table1[[Site Name ]],Table1[Commisioned Date],"")</f>
        <v>45058</v>
      </c>
      <c r="E1626" s="47">
        <f>IF(ISNUMBER(expected_production[[#This Row],[Commissioned Date]]),MAX(0,(expected_production[[#This Row],[Date]]-expected_production[[#This Row],[Commissioned Date]])/365.25),"")</f>
        <v>0.88980150581793294</v>
      </c>
      <c r="F1626" s="49">
        <f>IF(expected_production[[#This Row],[Age (yrs)]]="",1,(1-DegradationRate)^expected_production[[#This Row],[Age (yrs)]])</f>
        <v>0.99376898087075505</v>
      </c>
      <c r="G1626" s="52">
        <f>IF(expected_production[[#This Row],[Base Expected (kWh)]]="","",expected_production[[#This Row],[Base Expected (kWh)]]*expected_production[[#This Row],[Degradation Factor]])</f>
        <v>14161.456419653477</v>
      </c>
    </row>
    <row r="1627" spans="1:7" ht="15" hidden="1" customHeight="1" x14ac:dyDescent="0.3">
      <c r="A1627" t="s">
        <v>160</v>
      </c>
      <c r="B1627" s="2">
        <v>45413</v>
      </c>
      <c r="C1627" s="52">
        <v>14783.2</v>
      </c>
      <c r="D1627" s="48">
        <f>_xlfn.XLOOKUP(expected_production[[#This Row],[Site Name]],Table1[[Site Name ]],Table1[Commisioned Date],"")</f>
        <v>45058</v>
      </c>
      <c r="E1627" s="47">
        <f>IF(ISNUMBER(expected_production[[#This Row],[Commissioned Date]]),MAX(0,(expected_production[[#This Row],[Date]]-expected_production[[#This Row],[Commissioned Date]])/365.25),"")</f>
        <v>0.97193702943189597</v>
      </c>
      <c r="F1627" s="49">
        <f>IF(expected_production[[#This Row],[Age (yrs)]]="",1,(1-DegradationRate)^expected_production[[#This Row],[Age (yrs)]])</f>
        <v>0.99319577093697398</v>
      </c>
      <c r="G1627" s="52">
        <f>IF(expected_production[[#This Row],[Base Expected (kWh)]]="","",expected_production[[#This Row],[Base Expected (kWh)]]*expected_production[[#This Row],[Degradation Factor]])</f>
        <v>14682.611720915475</v>
      </c>
    </row>
    <row r="1628" spans="1:7" ht="15" hidden="1" customHeight="1" x14ac:dyDescent="0.3">
      <c r="A1628" t="s">
        <v>160</v>
      </c>
      <c r="B1628" s="2">
        <v>45444</v>
      </c>
      <c r="C1628" s="52">
        <v>13871.15</v>
      </c>
      <c r="D1628" s="48">
        <f>_xlfn.XLOOKUP(expected_production[[#This Row],[Site Name]],Table1[[Site Name ]],Table1[Commisioned Date],"")</f>
        <v>45058</v>
      </c>
      <c r="E1628" s="47">
        <f>IF(ISNUMBER(expected_production[[#This Row],[Commissioned Date]]),MAX(0,(expected_production[[#This Row],[Date]]-expected_production[[#This Row],[Commissioned Date]])/365.25),"")</f>
        <v>1.0568104038329911</v>
      </c>
      <c r="F1628" s="49">
        <f>IF(expected_production[[#This Row],[Age (yrs)]]="",1,(1-DegradationRate)^expected_production[[#This Row],[Age (yrs)]])</f>
        <v>0.99260380134813531</v>
      </c>
      <c r="G1628" s="52">
        <f>IF(expected_production[[#This Row],[Base Expected (kWh)]]="","",expected_production[[#This Row],[Base Expected (kWh)]]*expected_production[[#This Row],[Degradation Factor]])</f>
        <v>13768.556219070188</v>
      </c>
    </row>
    <row r="1629" spans="1:7" ht="15" hidden="1" customHeight="1" x14ac:dyDescent="0.3">
      <c r="A1629" t="s">
        <v>160</v>
      </c>
      <c r="B1629" s="2">
        <v>45474</v>
      </c>
      <c r="C1629" s="52">
        <v>15110.45</v>
      </c>
      <c r="D1629" s="48">
        <f>_xlfn.XLOOKUP(expected_production[[#This Row],[Site Name]],Table1[[Site Name ]],Table1[Commisioned Date],"")</f>
        <v>45058</v>
      </c>
      <c r="E1629" s="47">
        <f>IF(ISNUMBER(expected_production[[#This Row],[Commissioned Date]]),MAX(0,(expected_production[[#This Row],[Date]]-expected_production[[#This Row],[Commissioned Date]])/365.25),"")</f>
        <v>1.1389459274469542</v>
      </c>
      <c r="F1629" s="49">
        <f>IF(expected_production[[#This Row],[Age (yrs)]]="",1,(1-DegradationRate)^expected_production[[#This Row],[Age (yrs)]])</f>
        <v>0.99203126349457593</v>
      </c>
      <c r="G1629" s="52">
        <f>IF(expected_production[[#This Row],[Base Expected (kWh)]]="","",expected_production[[#This Row],[Base Expected (kWh)]]*expected_production[[#This Row],[Degradation Factor]])</f>
        <v>14990.038805471615</v>
      </c>
    </row>
    <row r="1630" spans="1:7" ht="15" hidden="1" customHeight="1" x14ac:dyDescent="0.3">
      <c r="A1630" t="s">
        <v>160</v>
      </c>
      <c r="B1630" s="2">
        <v>45505</v>
      </c>
      <c r="C1630" s="52">
        <v>16763.7</v>
      </c>
      <c r="D1630" s="48">
        <f>_xlfn.XLOOKUP(expected_production[[#This Row],[Site Name]],Table1[[Site Name ]],Table1[Commisioned Date],"")</f>
        <v>45058</v>
      </c>
      <c r="E1630" s="47">
        <f>IF(ISNUMBER(expected_production[[#This Row],[Commissioned Date]]),MAX(0,(expected_production[[#This Row],[Date]]-expected_production[[#This Row],[Commissioned Date]])/365.25),"")</f>
        <v>1.2238193018480492</v>
      </c>
      <c r="F1630" s="49">
        <f>IF(expected_production[[#This Row],[Age (yrs)]]="",1,(1-DegradationRate)^expected_production[[#This Row],[Age (yrs)]])</f>
        <v>0.99143998798137878</v>
      </c>
      <c r="G1630" s="52">
        <f>IF(expected_production[[#This Row],[Base Expected (kWh)]]="","",expected_production[[#This Row],[Base Expected (kWh)]]*expected_production[[#This Row],[Degradation Factor]])</f>
        <v>16620.202526523441</v>
      </c>
    </row>
    <row r="1631" spans="1:7" ht="15" hidden="1" customHeight="1" x14ac:dyDescent="0.3">
      <c r="A1631" t="s">
        <v>160</v>
      </c>
      <c r="B1631" s="2">
        <v>45536</v>
      </c>
      <c r="C1631" s="52">
        <v>16935.400000000001</v>
      </c>
      <c r="D1631" s="48">
        <f>_xlfn.XLOOKUP(expected_production[[#This Row],[Site Name]],Table1[[Site Name ]],Table1[Commisioned Date],"")</f>
        <v>45058</v>
      </c>
      <c r="E1631" s="47">
        <f>IF(ISNUMBER(expected_production[[#This Row],[Commissioned Date]]),MAX(0,(expected_production[[#This Row],[Date]]-expected_production[[#This Row],[Commissioned Date]])/365.25),"")</f>
        <v>1.3086926762491444</v>
      </c>
      <c r="F1631" s="49">
        <f>IF(expected_production[[#This Row],[Age (yrs)]]="",1,(1-DegradationRate)^expected_production[[#This Row],[Age (yrs)]])</f>
        <v>0.99084906488321656</v>
      </c>
      <c r="G1631" s="52">
        <f>IF(expected_production[[#This Row],[Base Expected (kWh)]]="","",expected_production[[#This Row],[Base Expected (kWh)]]*expected_production[[#This Row],[Degradation Factor]])</f>
        <v>16780.425253423226</v>
      </c>
    </row>
    <row r="1632" spans="1:7" ht="15" hidden="1" customHeight="1" x14ac:dyDescent="0.3">
      <c r="A1632" t="s">
        <v>160</v>
      </c>
      <c r="B1632" s="2">
        <v>45566</v>
      </c>
      <c r="C1632" s="52">
        <v>17583.95</v>
      </c>
      <c r="D1632" s="48">
        <f>_xlfn.XLOOKUP(expected_production[[#This Row],[Site Name]],Table1[[Site Name ]],Table1[Commisioned Date],"")</f>
        <v>45058</v>
      </c>
      <c r="E1632" s="47">
        <f>IF(ISNUMBER(expected_production[[#This Row],[Commissioned Date]]),MAX(0,(expected_production[[#This Row],[Date]]-expected_production[[#This Row],[Commissioned Date]])/365.25),"")</f>
        <v>1.3908281998631074</v>
      </c>
      <c r="F1632" s="49">
        <f>IF(expected_production[[#This Row],[Age (yrs)]]="",1,(1-DegradationRate)^expected_production[[#This Row],[Age (yrs)]])</f>
        <v>0.99027753916868777</v>
      </c>
      <c r="G1632" s="52">
        <f>IF(expected_production[[#This Row],[Base Expected (kWh)]]="","",expected_production[[#This Row],[Base Expected (kWh)]]*expected_production[[#This Row],[Degradation Factor]])</f>
        <v>17412.990734865249</v>
      </c>
    </row>
    <row r="1633" spans="1:7" ht="15" hidden="1" customHeight="1" x14ac:dyDescent="0.3">
      <c r="A1633" t="s">
        <v>160</v>
      </c>
      <c r="B1633" s="2">
        <v>45597</v>
      </c>
      <c r="C1633" s="52">
        <v>16597.099999999999</v>
      </c>
      <c r="D1633" s="48">
        <f>_xlfn.XLOOKUP(expected_production[[#This Row],[Site Name]],Table1[[Site Name ]],Table1[Commisioned Date],"")</f>
        <v>45058</v>
      </c>
      <c r="E1633" s="47">
        <f>IF(ISNUMBER(expected_production[[#This Row],[Commissioned Date]]),MAX(0,(expected_production[[#This Row],[Date]]-expected_production[[#This Row],[Commissioned Date]])/365.25),"")</f>
        <v>1.4757015742642026</v>
      </c>
      <c r="F1633" s="49">
        <f>IF(expected_production[[#This Row],[Age (yrs)]]="",1,(1-DegradationRate)^expected_production[[#This Row],[Age (yrs)]])</f>
        <v>0.98968730891917223</v>
      </c>
      <c r="G1633" s="52">
        <f>IF(expected_production[[#This Row],[Base Expected (kWh)]]="","",expected_production[[#This Row],[Base Expected (kWh)]]*expected_production[[#This Row],[Degradation Factor]])</f>
        <v>16425.939234862391</v>
      </c>
    </row>
    <row r="1634" spans="1:7" ht="15" hidden="1" customHeight="1" x14ac:dyDescent="0.3">
      <c r="A1634" t="s">
        <v>160</v>
      </c>
      <c r="B1634" s="2">
        <v>45627</v>
      </c>
      <c r="C1634" s="52">
        <v>17731</v>
      </c>
      <c r="D1634" s="48">
        <f>_xlfn.XLOOKUP(expected_production[[#This Row],[Site Name]],Table1[[Site Name ]],Table1[Commisioned Date],"")</f>
        <v>45058</v>
      </c>
      <c r="E1634" s="47">
        <f>IF(ISNUMBER(expected_production[[#This Row],[Commissioned Date]]),MAX(0,(expected_production[[#This Row],[Date]]-expected_production[[#This Row],[Commissioned Date]])/365.25),"")</f>
        <v>1.5578370978781657</v>
      </c>
      <c r="F1634" s="49">
        <f>IF(expected_production[[#This Row],[Age (yrs)]]="",1,(1-DegradationRate)^expected_production[[#This Row],[Age (yrs)]])</f>
        <v>0.98911645331014286</v>
      </c>
      <c r="G1634" s="52">
        <f>IF(expected_production[[#This Row],[Base Expected (kWh)]]="","",expected_production[[#This Row],[Base Expected (kWh)]]*expected_production[[#This Row],[Degradation Factor]])</f>
        <v>17538.023833642143</v>
      </c>
    </row>
    <row r="1635" spans="1:7" ht="15" hidden="1" customHeight="1" x14ac:dyDescent="0.3">
      <c r="A1635" t="s">
        <v>160</v>
      </c>
      <c r="B1635" s="2">
        <v>45658</v>
      </c>
      <c r="C1635" s="52">
        <v>17099.45</v>
      </c>
      <c r="D1635" s="48">
        <f>_xlfn.XLOOKUP(expected_production[[#This Row],[Site Name]],Table1[[Site Name ]],Table1[Commisioned Date],"")</f>
        <v>45058</v>
      </c>
      <c r="E1635" s="47">
        <f>IF(ISNUMBER(expected_production[[#This Row],[Commissioned Date]]),MAX(0,(expected_production[[#This Row],[Date]]-expected_production[[#This Row],[Commissioned Date]])/365.25),"")</f>
        <v>1.6427104722792607</v>
      </c>
      <c r="F1635" s="49">
        <f>IF(expected_production[[#This Row],[Age (yrs)]]="",1,(1-DegradationRate)^expected_production[[#This Row],[Age (yrs)]])</f>
        <v>0.98852691509691903</v>
      </c>
      <c r="G1635" s="52">
        <f>IF(expected_production[[#This Row],[Base Expected (kWh)]]="","",expected_production[[#This Row],[Base Expected (kWh)]]*expected_production[[#This Row],[Degradation Factor]])</f>
        <v>16903.266558354015</v>
      </c>
    </row>
    <row r="1636" spans="1:7" ht="15" hidden="1" customHeight="1" x14ac:dyDescent="0.3">
      <c r="A1636" t="s">
        <v>160</v>
      </c>
      <c r="B1636" s="2">
        <v>45689</v>
      </c>
      <c r="C1636" s="52">
        <v>15031.4</v>
      </c>
      <c r="D1636" s="48">
        <f>_xlfn.XLOOKUP(expected_production[[#This Row],[Site Name]],Table1[[Site Name ]],Table1[Commisioned Date],"")</f>
        <v>45058</v>
      </c>
      <c r="E1636" s="47">
        <f>IF(ISNUMBER(expected_production[[#This Row],[Commissioned Date]]),MAX(0,(expected_production[[#This Row],[Date]]-expected_production[[#This Row],[Commissioned Date]])/365.25),"")</f>
        <v>1.7275838466803559</v>
      </c>
      <c r="F1636" s="49">
        <f>IF(expected_production[[#This Row],[Age (yrs)]]="",1,(1-DegradationRate)^expected_production[[#This Row],[Age (yrs)]])</f>
        <v>0.98793772826325588</v>
      </c>
      <c r="G1636" s="52">
        <f>IF(expected_production[[#This Row],[Base Expected (kWh)]]="","",expected_production[[#This Row],[Base Expected (kWh)]]*expected_production[[#This Row],[Degradation Factor]])</f>
        <v>14850.087168616305</v>
      </c>
    </row>
    <row r="1637" spans="1:7" ht="15" hidden="1" customHeight="1" x14ac:dyDescent="0.3">
      <c r="A1637" t="s">
        <v>160</v>
      </c>
      <c r="B1637" s="2">
        <v>45717</v>
      </c>
      <c r="C1637" s="52">
        <v>16289.4</v>
      </c>
      <c r="D1637" s="48">
        <f>_xlfn.XLOOKUP(expected_production[[#This Row],[Site Name]],Table1[[Site Name ]],Table1[Commisioned Date],"")</f>
        <v>45058</v>
      </c>
      <c r="E1637" s="47">
        <f>IF(ISNUMBER(expected_production[[#This Row],[Commissioned Date]]),MAX(0,(expected_production[[#This Row],[Date]]-expected_production[[#This Row],[Commissioned Date]])/365.25),"")</f>
        <v>1.8042436687200547</v>
      </c>
      <c r="F1637" s="49">
        <f>IF(expected_production[[#This Row],[Age (yrs)]]="",1,(1-DegradationRate)^expected_production[[#This Row],[Age (yrs)]])</f>
        <v>0.98740586135429176</v>
      </c>
      <c r="G1637" s="52">
        <f>IF(expected_production[[#This Row],[Base Expected (kWh)]]="","",expected_production[[#This Row],[Base Expected (kWh)]]*expected_production[[#This Row],[Degradation Factor]])</f>
        <v>16084.249037944599</v>
      </c>
    </row>
    <row r="1638" spans="1:7" ht="15" hidden="1" customHeight="1" x14ac:dyDescent="0.3">
      <c r="A1638" t="s">
        <v>160</v>
      </c>
      <c r="B1638" s="2">
        <v>45748</v>
      </c>
      <c r="C1638" s="52">
        <v>14250.25</v>
      </c>
      <c r="D1638" s="48">
        <f>_xlfn.XLOOKUP(expected_production[[#This Row],[Site Name]],Table1[[Site Name ]],Table1[Commisioned Date],"")</f>
        <v>45058</v>
      </c>
      <c r="E1638" s="47">
        <f>IF(ISNUMBER(expected_production[[#This Row],[Commissioned Date]]),MAX(0,(expected_production[[#This Row],[Date]]-expected_production[[#This Row],[Commissioned Date]])/365.25),"")</f>
        <v>1.8891170431211499</v>
      </c>
      <c r="F1638" s="49">
        <f>IF(expected_production[[#This Row],[Age (yrs)]]="",1,(1-DegradationRate)^expected_production[[#This Row],[Age (yrs)]])</f>
        <v>0.98681734269677523</v>
      </c>
      <c r="G1638" s="52">
        <f>IF(expected_production[[#This Row],[Base Expected (kWh)]]="","",expected_production[[#This Row],[Base Expected (kWh)]]*expected_production[[#This Row],[Degradation Factor]])</f>
        <v>14062.393837764721</v>
      </c>
    </row>
    <row r="1639" spans="1:7" ht="15" hidden="1" customHeight="1" x14ac:dyDescent="0.3">
      <c r="A1639" t="s">
        <v>160</v>
      </c>
      <c r="B1639" s="2">
        <v>45778</v>
      </c>
      <c r="C1639" s="52">
        <v>14783.2</v>
      </c>
      <c r="D1639" s="48">
        <f>_xlfn.XLOOKUP(expected_production[[#This Row],[Site Name]],Table1[[Site Name ]],Table1[Commisioned Date],"")</f>
        <v>45058</v>
      </c>
      <c r="E1639" s="47">
        <f>IF(ISNUMBER(expected_production[[#This Row],[Commissioned Date]]),MAX(0,(expected_production[[#This Row],[Date]]-expected_production[[#This Row],[Commissioned Date]])/365.25),"")</f>
        <v>1.9712525667351128</v>
      </c>
      <c r="F1639" s="49">
        <f>IF(expected_production[[#This Row],[Age (yrs)]]="",1,(1-DegradationRate)^expected_production[[#This Row],[Age (yrs)]])</f>
        <v>0.98624814249577331</v>
      </c>
      <c r="G1639" s="52">
        <f>IF(expected_production[[#This Row],[Base Expected (kWh)]]="","",expected_production[[#This Row],[Base Expected (kWh)]]*expected_production[[#This Row],[Degradation Factor]])</f>
        <v>14579.903540143516</v>
      </c>
    </row>
    <row r="1640" spans="1:7" ht="15" hidden="1" customHeight="1" x14ac:dyDescent="0.3">
      <c r="A1640" t="s">
        <v>160</v>
      </c>
      <c r="B1640" s="2">
        <v>45809</v>
      </c>
      <c r="C1640" s="52">
        <v>13871.15</v>
      </c>
      <c r="D1640" s="48">
        <f>_xlfn.XLOOKUP(expected_production[[#This Row],[Site Name]],Table1[[Site Name ]],Table1[Commisioned Date],"")</f>
        <v>45058</v>
      </c>
      <c r="E1640" s="47">
        <f>IF(ISNUMBER(expected_production[[#This Row],[Commissioned Date]]),MAX(0,(expected_production[[#This Row],[Date]]-expected_production[[#This Row],[Commissioned Date]])/365.25),"")</f>
        <v>2.0561259411362083</v>
      </c>
      <c r="F1640" s="49">
        <f>IF(expected_production[[#This Row],[Age (yrs)]]="",1,(1-DegradationRate)^expected_production[[#This Row],[Age (yrs)]])</f>
        <v>0.98566031386773201</v>
      </c>
      <c r="G1640" s="52">
        <f>IF(expected_production[[#This Row],[Base Expected (kWh)]]="","",expected_production[[#This Row],[Base Expected (kWh)]]*expected_production[[#This Row],[Degradation Factor]])</f>
        <v>13672.242062706391</v>
      </c>
    </row>
    <row r="1641" spans="1:7" ht="15" hidden="1" customHeight="1" x14ac:dyDescent="0.3">
      <c r="A1641" t="s">
        <v>160</v>
      </c>
      <c r="B1641" s="2">
        <v>45839</v>
      </c>
      <c r="C1641" s="52">
        <v>15110.45</v>
      </c>
      <c r="D1641" s="48">
        <f>_xlfn.XLOOKUP(expected_production[[#This Row],[Site Name]],Table1[[Site Name ]],Table1[Commisioned Date],"")</f>
        <v>45058</v>
      </c>
      <c r="E1641" s="47">
        <f>IF(ISNUMBER(expected_production[[#This Row],[Commissioned Date]]),MAX(0,(expected_production[[#This Row],[Date]]-expected_production[[#This Row],[Commissioned Date]])/365.25),"")</f>
        <v>2.1382614647501712</v>
      </c>
      <c r="F1641" s="49">
        <f>IF(expected_production[[#This Row],[Age (yrs)]]="",1,(1-DegradationRate)^expected_production[[#This Row],[Age (yrs)]])</f>
        <v>0.98509178104559902</v>
      </c>
      <c r="G1641" s="52">
        <f>IF(expected_production[[#This Row],[Base Expected (kWh)]]="","",expected_production[[#This Row],[Base Expected (kWh)]]*expected_production[[#This Row],[Degradation Factor]])</f>
        <v>14885.180102900473</v>
      </c>
    </row>
    <row r="1642" spans="1:7" ht="15" hidden="1" customHeight="1" x14ac:dyDescent="0.3">
      <c r="A1642" t="s">
        <v>160</v>
      </c>
      <c r="B1642" s="2">
        <v>45870</v>
      </c>
      <c r="C1642" s="52">
        <v>16763.7</v>
      </c>
      <c r="D1642" s="48">
        <f>_xlfn.XLOOKUP(expected_production[[#This Row],[Site Name]],Table1[[Site Name ]],Table1[Commisioned Date],"")</f>
        <v>45058</v>
      </c>
      <c r="E1642" s="47">
        <f>IF(ISNUMBER(expected_production[[#This Row],[Commissioned Date]]),MAX(0,(expected_production[[#This Row],[Date]]-expected_production[[#This Row],[Commissioned Date]])/365.25),"")</f>
        <v>2.2231348391512662</v>
      </c>
      <c r="F1642" s="49">
        <f>IF(expected_production[[#This Row],[Age (yrs)]]="",1,(1-DegradationRate)^expected_production[[#This Row],[Age (yrs)]])</f>
        <v>0.98450464163798368</v>
      </c>
      <c r="G1642" s="52">
        <f>IF(expected_production[[#This Row],[Base Expected (kWh)]]="","",expected_production[[#This Row],[Base Expected (kWh)]]*expected_production[[#This Row],[Degradation Factor]])</f>
        <v>16503.940461026668</v>
      </c>
    </row>
    <row r="1643" spans="1:7" ht="15" hidden="1" customHeight="1" x14ac:dyDescent="0.3">
      <c r="A1643" t="s">
        <v>160</v>
      </c>
      <c r="B1643" s="2">
        <v>45901</v>
      </c>
      <c r="C1643" s="52">
        <v>16935.400000000001</v>
      </c>
      <c r="D1643" s="48">
        <f>_xlfn.XLOOKUP(expected_production[[#This Row],[Site Name]],Table1[[Site Name ]],Table1[Commisioned Date],"")</f>
        <v>45058</v>
      </c>
      <c r="E1643" s="47">
        <f>IF(ISNUMBER(expected_production[[#This Row],[Commissioned Date]]),MAX(0,(expected_production[[#This Row],[Date]]-expected_production[[#This Row],[Commissioned Date]])/365.25),"")</f>
        <v>2.3080082135523612</v>
      </c>
      <c r="F1643" s="49">
        <f>IF(expected_production[[#This Row],[Age (yrs)]]="",1,(1-DegradationRate)^expected_production[[#This Row],[Age (yrs)]])</f>
        <v>0.9839178521801808</v>
      </c>
      <c r="G1643" s="52">
        <f>IF(expected_production[[#This Row],[Base Expected (kWh)]]="","",expected_production[[#This Row],[Base Expected (kWh)]]*expected_production[[#This Row],[Degradation Factor]])</f>
        <v>16663.042393812237</v>
      </c>
    </row>
    <row r="1644" spans="1:7" ht="15" hidden="1" customHeight="1" x14ac:dyDescent="0.3">
      <c r="A1644" t="s">
        <v>160</v>
      </c>
      <c r="B1644" s="2">
        <v>45931</v>
      </c>
      <c r="C1644" s="52">
        <v>17583.95</v>
      </c>
      <c r="D1644" s="48">
        <f>_xlfn.XLOOKUP(expected_production[[#This Row],[Site Name]],Table1[[Site Name ]],Table1[Commisioned Date],"")</f>
        <v>45058</v>
      </c>
      <c r="E1644" s="47">
        <f>IF(ISNUMBER(expected_production[[#This Row],[Commissioned Date]]),MAX(0,(expected_production[[#This Row],[Date]]-expected_production[[#This Row],[Commissioned Date]])/365.25),"")</f>
        <v>2.3901437371663246</v>
      </c>
      <c r="F1644" s="49">
        <f>IF(expected_production[[#This Row],[Age (yrs)]]="",1,(1-DegradationRate)^expected_production[[#This Row],[Age (yrs)]])</f>
        <v>0.98335032441693748</v>
      </c>
      <c r="G1644" s="52">
        <f>IF(expected_production[[#This Row],[Base Expected (kWh)]]="","",expected_production[[#This Row],[Base Expected (kWh)]]*expected_production[[#This Row],[Degradation Factor]])</f>
        <v>17291.182937031208</v>
      </c>
    </row>
    <row r="1645" spans="1:7" ht="15" hidden="1" customHeight="1" x14ac:dyDescent="0.3">
      <c r="A1645" t="s">
        <v>160</v>
      </c>
      <c r="B1645" s="2">
        <v>45962</v>
      </c>
      <c r="C1645" s="52">
        <v>16597.099999999999</v>
      </c>
      <c r="D1645" s="48">
        <f>_xlfn.XLOOKUP(expected_production[[#This Row],[Site Name]],Table1[[Site Name ]],Table1[Commisioned Date],"")</f>
        <v>45058</v>
      </c>
      <c r="E1645" s="47">
        <f>IF(ISNUMBER(expected_production[[#This Row],[Commissioned Date]]),MAX(0,(expected_production[[#This Row],[Date]]-expected_production[[#This Row],[Commissioned Date]])/365.25),"")</f>
        <v>2.4750171115674195</v>
      </c>
      <c r="F1645" s="49">
        <f>IF(expected_production[[#This Row],[Age (yrs)]]="",1,(1-DegradationRate)^expected_production[[#This Row],[Age (yrs)]])</f>
        <v>0.98276422296114851</v>
      </c>
      <c r="G1645" s="52">
        <f>IF(expected_production[[#This Row],[Base Expected (kWh)]]="","",expected_production[[#This Row],[Base Expected (kWh)]]*expected_production[[#This Row],[Degradation Factor]])</f>
        <v>16311.036084908477</v>
      </c>
    </row>
    <row r="1646" spans="1:7" ht="15" hidden="1" customHeight="1" x14ac:dyDescent="0.3">
      <c r="A1646" t="s">
        <v>160</v>
      </c>
      <c r="B1646" s="2">
        <v>45992</v>
      </c>
      <c r="C1646" s="52">
        <v>17731</v>
      </c>
      <c r="D1646" s="48">
        <f>_xlfn.XLOOKUP(expected_production[[#This Row],[Site Name]],Table1[[Site Name ]],Table1[Commisioned Date],"")</f>
        <v>45058</v>
      </c>
      <c r="E1646" s="47">
        <f>IF(ISNUMBER(expected_production[[#This Row],[Commissioned Date]]),MAX(0,(expected_production[[#This Row],[Date]]-expected_production[[#This Row],[Commissioned Date]])/365.25),"")</f>
        <v>2.5571526351813825</v>
      </c>
      <c r="F1646" s="49">
        <f>IF(expected_production[[#This Row],[Age (yrs)]]="",1,(1-DegradationRate)^expected_production[[#This Row],[Age (yrs)]])</f>
        <v>0.98219736061586549</v>
      </c>
      <c r="G1646" s="52">
        <f>IF(expected_production[[#This Row],[Base Expected (kWh)]]="","",expected_production[[#This Row],[Base Expected (kWh)]]*expected_production[[#This Row],[Degradation Factor]])</f>
        <v>17415.34140107991</v>
      </c>
    </row>
    <row r="1647" spans="1:7" ht="15" hidden="1" customHeight="1" x14ac:dyDescent="0.3">
      <c r="A1647" t="s">
        <v>160</v>
      </c>
      <c r="B1647" s="2">
        <v>46023</v>
      </c>
      <c r="C1647" s="52">
        <v>17099.45</v>
      </c>
      <c r="D1647" s="48">
        <f>_xlfn.XLOOKUP(expected_production[[#This Row],[Site Name]],Table1[[Site Name ]],Table1[Commisioned Date],"")</f>
        <v>45058</v>
      </c>
      <c r="E1647" s="47">
        <f>IF(ISNUMBER(expected_production[[#This Row],[Commissioned Date]]),MAX(0,(expected_production[[#This Row],[Date]]-expected_production[[#This Row],[Commissioned Date]])/365.25),"")</f>
        <v>2.6420260095824779</v>
      </c>
      <c r="F1647" s="49">
        <f>IF(expected_production[[#This Row],[Age (yrs)]]="",1,(1-DegradationRate)^expected_production[[#This Row],[Age (yrs)]])</f>
        <v>0.98161194635541837</v>
      </c>
      <c r="G1647" s="52">
        <f>IF(expected_production[[#This Row],[Base Expected (kWh)]]="","",expected_production[[#This Row],[Base Expected (kWh)]]*expected_production[[#This Row],[Degradation Factor]])</f>
        <v>16785.024396107161</v>
      </c>
    </row>
    <row r="1648" spans="1:7" ht="15" hidden="1" customHeight="1" x14ac:dyDescent="0.3">
      <c r="A1648" t="s">
        <v>160</v>
      </c>
      <c r="B1648" s="2">
        <v>46054</v>
      </c>
      <c r="C1648" s="52">
        <v>15031.4</v>
      </c>
      <c r="D1648" s="48">
        <f>_xlfn.XLOOKUP(expected_production[[#This Row],[Site Name]],Table1[[Site Name ]],Table1[Commisioned Date],"")</f>
        <v>45058</v>
      </c>
      <c r="E1648" s="47">
        <f>IF(ISNUMBER(expected_production[[#This Row],[Commissioned Date]]),MAX(0,(expected_production[[#This Row],[Date]]-expected_production[[#This Row],[Commissioned Date]])/365.25),"")</f>
        <v>2.7268993839835729</v>
      </c>
      <c r="F1648" s="49">
        <f>IF(expected_production[[#This Row],[Age (yrs)]]="",1,(1-DegradationRate)^expected_production[[#This Row],[Age (yrs)]])</f>
        <v>0.98102688101655267</v>
      </c>
      <c r="G1648" s="52">
        <f>IF(expected_production[[#This Row],[Base Expected (kWh)]]="","",expected_production[[#This Row],[Base Expected (kWh)]]*expected_production[[#This Row],[Degradation Factor]])</f>
        <v>14746.207459312209</v>
      </c>
    </row>
    <row r="1649" spans="1:7" ht="15" hidden="1" customHeight="1" x14ac:dyDescent="0.3">
      <c r="A1649" t="s">
        <v>160</v>
      </c>
      <c r="B1649" s="2">
        <v>46082</v>
      </c>
      <c r="C1649" s="52">
        <v>16289.4</v>
      </c>
      <c r="D1649" s="48">
        <f>_xlfn.XLOOKUP(expected_production[[#This Row],[Site Name]],Table1[[Site Name ]],Table1[Commisioned Date],"")</f>
        <v>45058</v>
      </c>
      <c r="E1649" s="47">
        <f>IF(ISNUMBER(expected_production[[#This Row],[Commissioned Date]]),MAX(0,(expected_production[[#This Row],[Date]]-expected_production[[#This Row],[Commissioned Date]])/365.25),"")</f>
        <v>2.8035592060232717</v>
      </c>
      <c r="F1649" s="49">
        <f>IF(expected_production[[#This Row],[Age (yrs)]]="",1,(1-DegradationRate)^expected_production[[#This Row],[Age (yrs)]])</f>
        <v>0.98049873463658366</v>
      </c>
      <c r="G1649" s="52">
        <f>IF(expected_production[[#This Row],[Base Expected (kWh)]]="","",expected_production[[#This Row],[Base Expected (kWh)]]*expected_production[[#This Row],[Degradation Factor]])</f>
        <v>15971.736087989166</v>
      </c>
    </row>
    <row r="1650" spans="1:7" ht="15" hidden="1" customHeight="1" x14ac:dyDescent="0.3">
      <c r="A1650" t="s">
        <v>160</v>
      </c>
      <c r="B1650" s="2">
        <v>46113</v>
      </c>
      <c r="C1650" s="52">
        <v>14250.25</v>
      </c>
      <c r="D1650" s="48">
        <f>_xlfn.XLOOKUP(expected_production[[#This Row],[Site Name]],Table1[[Site Name ]],Table1[Commisioned Date],"")</f>
        <v>45058</v>
      </c>
      <c r="E1650" s="47">
        <f>IF(ISNUMBER(expected_production[[#This Row],[Commissioned Date]]),MAX(0,(expected_production[[#This Row],[Date]]-expected_production[[#This Row],[Commissioned Date]])/365.25),"")</f>
        <v>2.8884325804243667</v>
      </c>
      <c r="F1650" s="49">
        <f>IF(expected_production[[#This Row],[Age (yrs)]]="",1,(1-DegradationRate)^expected_production[[#This Row],[Age (yrs)]])</f>
        <v>0.97991433279982176</v>
      </c>
      <c r="G1650" s="52">
        <f>IF(expected_production[[#This Row],[Base Expected (kWh)]]="","",expected_production[[#This Row],[Base Expected (kWh)]]*expected_production[[#This Row],[Degradation Factor]])</f>
        <v>13964.02422098066</v>
      </c>
    </row>
    <row r="1651" spans="1:7" ht="15" hidden="1" customHeight="1" x14ac:dyDescent="0.3">
      <c r="A1651" t="s">
        <v>160</v>
      </c>
      <c r="B1651" s="2">
        <v>46143</v>
      </c>
      <c r="C1651" s="52">
        <v>14783.2</v>
      </c>
      <c r="D1651" s="48">
        <f>_xlfn.XLOOKUP(expected_production[[#This Row],[Site Name]],Table1[[Site Name ]],Table1[Commisioned Date],"")</f>
        <v>45058</v>
      </c>
      <c r="E1651" s="47">
        <f>IF(ISNUMBER(expected_production[[#This Row],[Commissioned Date]]),MAX(0,(expected_production[[#This Row],[Date]]-expected_production[[#This Row],[Commissioned Date]])/365.25),"")</f>
        <v>2.97056810403833</v>
      </c>
      <c r="F1651" s="49">
        <f>IF(expected_production[[#This Row],[Age (yrs)]]="",1,(1-DegradationRate)^expected_production[[#This Row],[Age (yrs)]])</f>
        <v>0.97934911428261362</v>
      </c>
      <c r="G1651" s="52">
        <f>IF(expected_production[[#This Row],[Base Expected (kWh)]]="","",expected_production[[#This Row],[Base Expected (kWh)]]*expected_production[[#This Row],[Degradation Factor]])</f>
        <v>14477.913826262735</v>
      </c>
    </row>
    <row r="1652" spans="1:7" ht="15" hidden="1" customHeight="1" x14ac:dyDescent="0.3">
      <c r="A1652" t="s">
        <v>160</v>
      </c>
      <c r="B1652" s="2">
        <v>46174</v>
      </c>
      <c r="C1652" s="52">
        <v>13871.15</v>
      </c>
      <c r="D1652" s="48">
        <f>_xlfn.XLOOKUP(expected_production[[#This Row],[Site Name]],Table1[[Site Name ]],Table1[Commisioned Date],"")</f>
        <v>45058</v>
      </c>
      <c r="E1652" s="47">
        <f>IF(ISNUMBER(expected_production[[#This Row],[Commissioned Date]]),MAX(0,(expected_production[[#This Row],[Date]]-expected_production[[#This Row],[Commissioned Date]])/365.25),"")</f>
        <v>3.055441478439425</v>
      </c>
      <c r="F1652" s="49">
        <f>IF(expected_production[[#This Row],[Age (yrs)]]="",1,(1-DegradationRate)^expected_production[[#This Row],[Age (yrs)]])</f>
        <v>0.97876539764841508</v>
      </c>
      <c r="G1652" s="52">
        <f>IF(expected_production[[#This Row],[Base Expected (kWh)]]="","",expected_production[[#This Row],[Base Expected (kWh)]]*expected_production[[#This Row],[Degradation Factor]])</f>
        <v>13576.601645590812</v>
      </c>
    </row>
    <row r="1653" spans="1:7" ht="15" hidden="1" customHeight="1" x14ac:dyDescent="0.3">
      <c r="A1653" t="s">
        <v>160</v>
      </c>
      <c r="B1653" s="2">
        <v>46204</v>
      </c>
      <c r="C1653" s="52">
        <v>15110.45</v>
      </c>
      <c r="D1653" s="48">
        <f>_xlfn.XLOOKUP(expected_production[[#This Row],[Site Name]],Table1[[Site Name ]],Table1[Commisioned Date],"")</f>
        <v>45058</v>
      </c>
      <c r="E1653" s="47">
        <f>IF(ISNUMBER(expected_production[[#This Row],[Commissioned Date]]),MAX(0,(expected_production[[#This Row],[Date]]-expected_production[[#This Row],[Commissioned Date]])/365.25),"")</f>
        <v>3.137577002053388</v>
      </c>
      <c r="F1653" s="49">
        <f>IF(expected_production[[#This Row],[Age (yrs)]]="",1,(1-DegradationRate)^expected_production[[#This Row],[Age (yrs)]])</f>
        <v>0.97820084184161016</v>
      </c>
      <c r="G1653" s="52">
        <f>IF(expected_production[[#This Row],[Base Expected (kWh)]]="","",expected_production[[#This Row],[Base Expected (kWh)]]*expected_production[[#This Row],[Degradation Factor]])</f>
        <v>14781.054910605559</v>
      </c>
    </row>
    <row r="1654" spans="1:7" ht="15" hidden="1" customHeight="1" x14ac:dyDescent="0.3">
      <c r="A1654" t="s">
        <v>160</v>
      </c>
      <c r="B1654" s="2">
        <v>46235</v>
      </c>
      <c r="C1654" s="52">
        <v>16763.7</v>
      </c>
      <c r="D1654" s="48">
        <f>_xlfn.XLOOKUP(expected_production[[#This Row],[Site Name]],Table1[[Site Name ]],Table1[Commisioned Date],"")</f>
        <v>45058</v>
      </c>
      <c r="E1654" s="47">
        <f>IF(ISNUMBER(expected_production[[#This Row],[Commissioned Date]]),MAX(0,(expected_production[[#This Row],[Date]]-expected_production[[#This Row],[Commissioned Date]])/365.25),"")</f>
        <v>3.2224503764544834</v>
      </c>
      <c r="F1654" s="49">
        <f>IF(expected_production[[#This Row],[Age (yrs)]]="",1,(1-DegradationRate)^expected_production[[#This Row],[Age (yrs)]])</f>
        <v>0.97761780960658529</v>
      </c>
      <c r="G1654" s="52">
        <f>IF(expected_production[[#This Row],[Base Expected (kWh)]]="","",expected_production[[#This Row],[Base Expected (kWh)]]*expected_production[[#This Row],[Degradation Factor]])</f>
        <v>16388.491674901914</v>
      </c>
    </row>
    <row r="1655" spans="1:7" ht="15" hidden="1" customHeight="1" x14ac:dyDescent="0.3">
      <c r="A1655" t="s">
        <v>160</v>
      </c>
      <c r="B1655" s="2">
        <v>46266</v>
      </c>
      <c r="C1655" s="52">
        <v>16935.400000000001</v>
      </c>
      <c r="D1655" s="48">
        <f>_xlfn.XLOOKUP(expected_production[[#This Row],[Site Name]],Table1[[Site Name ]],Table1[Commisioned Date],"")</f>
        <v>45058</v>
      </c>
      <c r="E1655" s="47">
        <f>IF(ISNUMBER(expected_production[[#This Row],[Commissioned Date]]),MAX(0,(expected_production[[#This Row],[Date]]-expected_production[[#This Row],[Commissioned Date]])/365.25),"")</f>
        <v>3.3073237508555784</v>
      </c>
      <c r="F1655" s="49">
        <f>IF(expected_production[[#This Row],[Age (yrs)]]="",1,(1-DegradationRate)^expected_production[[#This Row],[Age (yrs)]])</f>
        <v>0.97703512487339483</v>
      </c>
      <c r="G1655" s="52">
        <f>IF(expected_production[[#This Row],[Base Expected (kWh)]]="","",expected_production[[#This Row],[Base Expected (kWh)]]*expected_production[[#This Row],[Degradation Factor]])</f>
        <v>16546.480653780891</v>
      </c>
    </row>
    <row r="1656" spans="1:7" ht="15" hidden="1" customHeight="1" x14ac:dyDescent="0.3">
      <c r="A1656" t="s">
        <v>160</v>
      </c>
      <c r="B1656" s="2">
        <v>46296</v>
      </c>
      <c r="C1656" s="52">
        <v>17583.95</v>
      </c>
      <c r="D1656" s="48">
        <f>_xlfn.XLOOKUP(expected_production[[#This Row],[Site Name]],Table1[[Site Name ]],Table1[Commisioned Date],"")</f>
        <v>45058</v>
      </c>
      <c r="E1656" s="47">
        <f>IF(ISNUMBER(expected_production[[#This Row],[Commissioned Date]]),MAX(0,(expected_production[[#This Row],[Date]]-expected_production[[#This Row],[Commissioned Date]])/365.25),"")</f>
        <v>3.3894592744695413</v>
      </c>
      <c r="F1656" s="49">
        <f>IF(expected_production[[#This Row],[Age (yrs)]]="",1,(1-DegradationRate)^expected_production[[#This Row],[Age (yrs)]])</f>
        <v>0.97647156709486593</v>
      </c>
      <c r="G1656" s="52">
        <f>IF(expected_production[[#This Row],[Base Expected (kWh)]]="","",expected_production[[#This Row],[Base Expected (kWh)]]*expected_production[[#This Row],[Degradation Factor]])</f>
        <v>17170.227212217767</v>
      </c>
    </row>
    <row r="1657" spans="1:7" ht="15" hidden="1" customHeight="1" x14ac:dyDescent="0.3">
      <c r="A1657" t="s">
        <v>160</v>
      </c>
      <c r="B1657" s="2">
        <v>46327</v>
      </c>
      <c r="C1657" s="52">
        <v>16597.099999999999</v>
      </c>
      <c r="D1657" s="48">
        <f>_xlfn.XLOOKUP(expected_production[[#This Row],[Site Name]],Table1[[Site Name ]],Table1[Commisioned Date],"")</f>
        <v>45058</v>
      </c>
      <c r="E1657" s="47">
        <f>IF(ISNUMBER(expected_production[[#This Row],[Commissioned Date]]),MAX(0,(expected_production[[#This Row],[Date]]-expected_production[[#This Row],[Commissioned Date]])/365.25),"")</f>
        <v>3.4743326488706368</v>
      </c>
      <c r="F1657" s="49">
        <f>IF(expected_production[[#This Row],[Age (yrs)]]="",1,(1-DegradationRate)^expected_production[[#This Row],[Age (yrs)]])</f>
        <v>0.97588956555096029</v>
      </c>
      <c r="G1657" s="52">
        <f>IF(expected_production[[#This Row],[Base Expected (kWh)]]="","",expected_production[[#This Row],[Base Expected (kWh)]]*expected_production[[#This Row],[Degradation Factor]])</f>
        <v>16196.936708405841</v>
      </c>
    </row>
    <row r="1658" spans="1:7" ht="15" hidden="1" customHeight="1" x14ac:dyDescent="0.3">
      <c r="A1658" t="s">
        <v>160</v>
      </c>
      <c r="B1658" s="2">
        <v>46357</v>
      </c>
      <c r="C1658" s="52">
        <v>17731</v>
      </c>
      <c r="D1658" s="48">
        <f>_xlfn.XLOOKUP(expected_production[[#This Row],[Site Name]],Table1[[Site Name ]],Table1[Commisioned Date],"")</f>
        <v>45058</v>
      </c>
      <c r="E1658" s="47">
        <f>IF(ISNUMBER(expected_production[[#This Row],[Commissioned Date]]),MAX(0,(expected_production[[#This Row],[Date]]-expected_production[[#This Row],[Commissioned Date]])/365.25),"")</f>
        <v>3.5564681724845997</v>
      </c>
      <c r="F1658" s="49">
        <f>IF(expected_production[[#This Row],[Age (yrs)]]="",1,(1-DegradationRate)^expected_production[[#This Row],[Age (yrs)]])</f>
        <v>0.97532666853564309</v>
      </c>
      <c r="G1658" s="52">
        <f>IF(expected_production[[#This Row],[Base Expected (kWh)]]="","",expected_production[[#This Row],[Base Expected (kWh)]]*expected_production[[#This Row],[Degradation Factor]])</f>
        <v>17293.517159805488</v>
      </c>
    </row>
    <row r="1659" spans="1:7" ht="15" hidden="1" customHeight="1" x14ac:dyDescent="0.3">
      <c r="A1659" t="s">
        <v>244</v>
      </c>
      <c r="B1659" s="2">
        <v>45292</v>
      </c>
      <c r="C1659" s="52">
        <v>20178</v>
      </c>
      <c r="D1659" s="48">
        <f>_xlfn.XLOOKUP(expected_production[[#This Row],[Site Name]],Table1[[Site Name ]],Table1[Commisioned Date],"")</f>
        <v>46114</v>
      </c>
      <c r="E1659" s="47">
        <f>IF(ISNUMBER(expected_production[[#This Row],[Commissioned Date]]),MAX(0,(expected_production[[#This Row],[Date]]-expected_production[[#This Row],[Commissioned Date]])/365.25),"")</f>
        <v>0</v>
      </c>
      <c r="F1659" s="49">
        <f>IF(expected_production[[#This Row],[Age (yrs)]]="",1,(1-DegradationRate)^expected_production[[#This Row],[Age (yrs)]])</f>
        <v>1</v>
      </c>
      <c r="G1659" s="52">
        <f>IF(expected_production[[#This Row],[Base Expected (kWh)]]="","",expected_production[[#This Row],[Base Expected (kWh)]]*expected_production[[#This Row],[Degradation Factor]])</f>
        <v>20178</v>
      </c>
    </row>
    <row r="1660" spans="1:7" ht="15" hidden="1" customHeight="1" x14ac:dyDescent="0.3">
      <c r="A1660" t="s">
        <v>244</v>
      </c>
      <c r="B1660" s="2">
        <v>45323</v>
      </c>
      <c r="C1660" s="52">
        <v>17954</v>
      </c>
      <c r="D1660" s="48">
        <f>_xlfn.XLOOKUP(expected_production[[#This Row],[Site Name]],Table1[[Site Name ]],Table1[Commisioned Date],"")</f>
        <v>46114</v>
      </c>
      <c r="E1660" s="47">
        <f>IF(ISNUMBER(expected_production[[#This Row],[Commissioned Date]]),MAX(0,(expected_production[[#This Row],[Date]]-expected_production[[#This Row],[Commissioned Date]])/365.25),"")</f>
        <v>0</v>
      </c>
      <c r="F1660" s="49">
        <f>IF(expected_production[[#This Row],[Age (yrs)]]="",1,(1-DegradationRate)^expected_production[[#This Row],[Age (yrs)]])</f>
        <v>1</v>
      </c>
      <c r="G1660" s="52">
        <f>IF(expected_production[[#This Row],[Base Expected (kWh)]]="","",expected_production[[#This Row],[Base Expected (kWh)]]*expected_production[[#This Row],[Degradation Factor]])</f>
        <v>17954</v>
      </c>
    </row>
    <row r="1661" spans="1:7" ht="15" hidden="1" customHeight="1" x14ac:dyDescent="0.3">
      <c r="A1661" t="s">
        <v>244</v>
      </c>
      <c r="B1661" s="2">
        <v>45352</v>
      </c>
      <c r="C1661" s="52">
        <v>19150</v>
      </c>
      <c r="D1661" s="48">
        <f>_xlfn.XLOOKUP(expected_production[[#This Row],[Site Name]],Table1[[Site Name ]],Table1[Commisioned Date],"")</f>
        <v>46114</v>
      </c>
      <c r="E1661" s="47">
        <f>IF(ISNUMBER(expected_production[[#This Row],[Commissioned Date]]),MAX(0,(expected_production[[#This Row],[Date]]-expected_production[[#This Row],[Commissioned Date]])/365.25),"")</f>
        <v>0</v>
      </c>
      <c r="F1661" s="49">
        <f>IF(expected_production[[#This Row],[Age (yrs)]]="",1,(1-DegradationRate)^expected_production[[#This Row],[Age (yrs)]])</f>
        <v>1</v>
      </c>
      <c r="G1661" s="52">
        <f>IF(expected_production[[#This Row],[Base Expected (kWh)]]="","",expected_production[[#This Row],[Base Expected (kWh)]]*expected_production[[#This Row],[Degradation Factor]])</f>
        <v>19150</v>
      </c>
    </row>
    <row r="1662" spans="1:7" ht="15" hidden="1" customHeight="1" x14ac:dyDescent="0.3">
      <c r="A1662" t="s">
        <v>244</v>
      </c>
      <c r="B1662" s="2">
        <v>45383</v>
      </c>
      <c r="C1662" s="52">
        <v>18060</v>
      </c>
      <c r="D1662" s="48">
        <f>_xlfn.XLOOKUP(expected_production[[#This Row],[Site Name]],Table1[[Site Name ]],Table1[Commisioned Date],"")</f>
        <v>46114</v>
      </c>
      <c r="E1662" s="47">
        <f>IF(ISNUMBER(expected_production[[#This Row],[Commissioned Date]]),MAX(0,(expected_production[[#This Row],[Date]]-expected_production[[#This Row],[Commissioned Date]])/365.25),"")</f>
        <v>0</v>
      </c>
      <c r="F1662" s="49">
        <f>IF(expected_production[[#This Row],[Age (yrs)]]="",1,(1-DegradationRate)^expected_production[[#This Row],[Age (yrs)]])</f>
        <v>1</v>
      </c>
      <c r="G1662" s="52">
        <f>IF(expected_production[[#This Row],[Base Expected (kWh)]]="","",expected_production[[#This Row],[Base Expected (kWh)]]*expected_production[[#This Row],[Degradation Factor]])</f>
        <v>18060</v>
      </c>
    </row>
    <row r="1663" spans="1:7" ht="15" hidden="1" customHeight="1" x14ac:dyDescent="0.3">
      <c r="A1663" t="s">
        <v>244</v>
      </c>
      <c r="B1663" s="2">
        <v>45413</v>
      </c>
      <c r="C1663" s="52">
        <v>18124</v>
      </c>
      <c r="D1663" s="48">
        <f>_xlfn.XLOOKUP(expected_production[[#This Row],[Site Name]],Table1[[Site Name ]],Table1[Commisioned Date],"")</f>
        <v>46114</v>
      </c>
      <c r="E1663" s="47">
        <f>IF(ISNUMBER(expected_production[[#This Row],[Commissioned Date]]),MAX(0,(expected_production[[#This Row],[Date]]-expected_production[[#This Row],[Commissioned Date]])/365.25),"")</f>
        <v>0</v>
      </c>
      <c r="F1663" s="49">
        <f>IF(expected_production[[#This Row],[Age (yrs)]]="",1,(1-DegradationRate)^expected_production[[#This Row],[Age (yrs)]])</f>
        <v>1</v>
      </c>
      <c r="G1663" s="52">
        <f>IF(expected_production[[#This Row],[Base Expected (kWh)]]="","",expected_production[[#This Row],[Base Expected (kWh)]]*expected_production[[#This Row],[Degradation Factor]])</f>
        <v>18124</v>
      </c>
    </row>
    <row r="1664" spans="1:7" ht="15" hidden="1" customHeight="1" x14ac:dyDescent="0.3">
      <c r="A1664" t="s">
        <v>244</v>
      </c>
      <c r="B1664" s="2">
        <v>45444</v>
      </c>
      <c r="C1664" s="52">
        <v>15908</v>
      </c>
      <c r="D1664" s="48">
        <f>_xlfn.XLOOKUP(expected_production[[#This Row],[Site Name]],Table1[[Site Name ]],Table1[Commisioned Date],"")</f>
        <v>46114</v>
      </c>
      <c r="E1664" s="47">
        <f>IF(ISNUMBER(expected_production[[#This Row],[Commissioned Date]]),MAX(0,(expected_production[[#This Row],[Date]]-expected_production[[#This Row],[Commissioned Date]])/365.25),"")</f>
        <v>0</v>
      </c>
      <c r="F1664" s="49">
        <f>IF(expected_production[[#This Row],[Age (yrs)]]="",1,(1-DegradationRate)^expected_production[[#This Row],[Age (yrs)]])</f>
        <v>1</v>
      </c>
      <c r="G1664" s="52">
        <f>IF(expected_production[[#This Row],[Base Expected (kWh)]]="","",expected_production[[#This Row],[Base Expected (kWh)]]*expected_production[[#This Row],[Degradation Factor]])</f>
        <v>15908</v>
      </c>
    </row>
    <row r="1665" spans="1:7" ht="15" hidden="1" customHeight="1" x14ac:dyDescent="0.3">
      <c r="A1665" t="s">
        <v>244</v>
      </c>
      <c r="B1665" s="2">
        <v>45474</v>
      </c>
      <c r="C1665" s="52">
        <v>16827</v>
      </c>
      <c r="D1665" s="48">
        <f>_xlfn.XLOOKUP(expected_production[[#This Row],[Site Name]],Table1[[Site Name ]],Table1[Commisioned Date],"")</f>
        <v>46114</v>
      </c>
      <c r="E1665" s="47">
        <f>IF(ISNUMBER(expected_production[[#This Row],[Commissioned Date]]),MAX(0,(expected_production[[#This Row],[Date]]-expected_production[[#This Row],[Commissioned Date]])/365.25),"")</f>
        <v>0</v>
      </c>
      <c r="F1665" s="49">
        <f>IF(expected_production[[#This Row],[Age (yrs)]]="",1,(1-DegradationRate)^expected_production[[#This Row],[Age (yrs)]])</f>
        <v>1</v>
      </c>
      <c r="G1665" s="52">
        <f>IF(expected_production[[#This Row],[Base Expected (kWh)]]="","",expected_production[[#This Row],[Base Expected (kWh)]]*expected_production[[#This Row],[Degradation Factor]])</f>
        <v>16827</v>
      </c>
    </row>
    <row r="1666" spans="1:7" ht="15" hidden="1" customHeight="1" x14ac:dyDescent="0.3">
      <c r="A1666" t="s">
        <v>244</v>
      </c>
      <c r="B1666" s="2">
        <v>45505</v>
      </c>
      <c r="C1666" s="52">
        <v>19405</v>
      </c>
      <c r="D1666" s="48">
        <f>_xlfn.XLOOKUP(expected_production[[#This Row],[Site Name]],Table1[[Site Name ]],Table1[Commisioned Date],"")</f>
        <v>46114</v>
      </c>
      <c r="E1666" s="47">
        <f>IF(ISNUMBER(expected_production[[#This Row],[Commissioned Date]]),MAX(0,(expected_production[[#This Row],[Date]]-expected_production[[#This Row],[Commissioned Date]])/365.25),"")</f>
        <v>0</v>
      </c>
      <c r="F1666" s="49">
        <f>IF(expected_production[[#This Row],[Age (yrs)]]="",1,(1-DegradationRate)^expected_production[[#This Row],[Age (yrs)]])</f>
        <v>1</v>
      </c>
      <c r="G1666" s="52">
        <f>IF(expected_production[[#This Row],[Base Expected (kWh)]]="","",expected_production[[#This Row],[Base Expected (kWh)]]*expected_production[[#This Row],[Degradation Factor]])</f>
        <v>19405</v>
      </c>
    </row>
    <row r="1667" spans="1:7" ht="15" hidden="1" customHeight="1" x14ac:dyDescent="0.3">
      <c r="A1667" t="s">
        <v>244</v>
      </c>
      <c r="B1667" s="2">
        <v>45536</v>
      </c>
      <c r="C1667" s="52">
        <v>19981</v>
      </c>
      <c r="D1667" s="48">
        <f>_xlfn.XLOOKUP(expected_production[[#This Row],[Site Name]],Table1[[Site Name ]],Table1[Commisioned Date],"")</f>
        <v>46114</v>
      </c>
      <c r="E1667" s="47">
        <f>IF(ISNUMBER(expected_production[[#This Row],[Commissioned Date]]),MAX(0,(expected_production[[#This Row],[Date]]-expected_production[[#This Row],[Commissioned Date]])/365.25),"")</f>
        <v>0</v>
      </c>
      <c r="F1667" s="49">
        <f>IF(expected_production[[#This Row],[Age (yrs)]]="",1,(1-DegradationRate)^expected_production[[#This Row],[Age (yrs)]])</f>
        <v>1</v>
      </c>
      <c r="G1667" s="52">
        <f>IF(expected_production[[#This Row],[Base Expected (kWh)]]="","",expected_production[[#This Row],[Base Expected (kWh)]]*expected_production[[#This Row],[Degradation Factor]])</f>
        <v>19981</v>
      </c>
    </row>
    <row r="1668" spans="1:7" ht="15" hidden="1" customHeight="1" x14ac:dyDescent="0.3">
      <c r="A1668" t="s">
        <v>244</v>
      </c>
      <c r="B1668" s="2">
        <v>45566</v>
      </c>
      <c r="C1668" s="52">
        <v>22401</v>
      </c>
      <c r="D1668" s="48">
        <f>_xlfn.XLOOKUP(expected_production[[#This Row],[Site Name]],Table1[[Site Name ]],Table1[Commisioned Date],"")</f>
        <v>46114</v>
      </c>
      <c r="E1668" s="47">
        <f>IF(ISNUMBER(expected_production[[#This Row],[Commissioned Date]]),MAX(0,(expected_production[[#This Row],[Date]]-expected_production[[#This Row],[Commissioned Date]])/365.25),"")</f>
        <v>0</v>
      </c>
      <c r="F1668" s="49">
        <f>IF(expected_production[[#This Row],[Age (yrs)]]="",1,(1-DegradationRate)^expected_production[[#This Row],[Age (yrs)]])</f>
        <v>1</v>
      </c>
      <c r="G1668" s="52">
        <f>IF(expected_production[[#This Row],[Base Expected (kWh)]]="","",expected_production[[#This Row],[Base Expected (kWh)]]*expected_production[[#This Row],[Degradation Factor]])</f>
        <v>22401</v>
      </c>
    </row>
    <row r="1669" spans="1:7" ht="15" hidden="1" customHeight="1" x14ac:dyDescent="0.3">
      <c r="A1669" t="s">
        <v>244</v>
      </c>
      <c r="B1669" s="2">
        <v>45597</v>
      </c>
      <c r="C1669" s="52">
        <v>20125</v>
      </c>
      <c r="D1669" s="48">
        <f>_xlfn.XLOOKUP(expected_production[[#This Row],[Site Name]],Table1[[Site Name ]],Table1[Commisioned Date],"")</f>
        <v>46114</v>
      </c>
      <c r="E1669" s="47">
        <f>IF(ISNUMBER(expected_production[[#This Row],[Commissioned Date]]),MAX(0,(expected_production[[#This Row],[Date]]-expected_production[[#This Row],[Commissioned Date]])/365.25),"")</f>
        <v>0</v>
      </c>
      <c r="F1669" s="49">
        <f>IF(expected_production[[#This Row],[Age (yrs)]]="",1,(1-DegradationRate)^expected_production[[#This Row],[Age (yrs)]])</f>
        <v>1</v>
      </c>
      <c r="G1669" s="52">
        <f>IF(expected_production[[#This Row],[Base Expected (kWh)]]="","",expected_production[[#This Row],[Base Expected (kWh)]]*expected_production[[#This Row],[Degradation Factor]])</f>
        <v>20125</v>
      </c>
    </row>
    <row r="1670" spans="1:7" ht="15" hidden="1" customHeight="1" x14ac:dyDescent="0.3">
      <c r="A1670" t="s">
        <v>244</v>
      </c>
      <c r="B1670" s="2">
        <v>45627</v>
      </c>
      <c r="C1670" s="52">
        <v>20771</v>
      </c>
      <c r="D1670" s="48">
        <f>_xlfn.XLOOKUP(expected_production[[#This Row],[Site Name]],Table1[[Site Name ]],Table1[Commisioned Date],"")</f>
        <v>46114</v>
      </c>
      <c r="E1670" s="47">
        <f>IF(ISNUMBER(expected_production[[#This Row],[Commissioned Date]]),MAX(0,(expected_production[[#This Row],[Date]]-expected_production[[#This Row],[Commissioned Date]])/365.25),"")</f>
        <v>0</v>
      </c>
      <c r="F1670" s="49">
        <f>IF(expected_production[[#This Row],[Age (yrs)]]="",1,(1-DegradationRate)^expected_production[[#This Row],[Age (yrs)]])</f>
        <v>1</v>
      </c>
      <c r="G1670" s="52">
        <f>IF(expected_production[[#This Row],[Base Expected (kWh)]]="","",expected_production[[#This Row],[Base Expected (kWh)]]*expected_production[[#This Row],[Degradation Factor]])</f>
        <v>20771</v>
      </c>
    </row>
    <row r="1671" spans="1:7" ht="15" hidden="1" customHeight="1" x14ac:dyDescent="0.3">
      <c r="A1671" t="s">
        <v>244</v>
      </c>
      <c r="B1671" s="2">
        <v>45658</v>
      </c>
      <c r="C1671" s="52">
        <v>20178</v>
      </c>
      <c r="D1671" s="48">
        <f>_xlfn.XLOOKUP(expected_production[[#This Row],[Site Name]],Table1[[Site Name ]],Table1[Commisioned Date],"")</f>
        <v>46114</v>
      </c>
      <c r="E1671" s="47">
        <f>IF(ISNUMBER(expected_production[[#This Row],[Commissioned Date]]),MAX(0,(expected_production[[#This Row],[Date]]-expected_production[[#This Row],[Commissioned Date]])/365.25),"")</f>
        <v>0</v>
      </c>
      <c r="F1671" s="49">
        <f>IF(expected_production[[#This Row],[Age (yrs)]]="",1,(1-DegradationRate)^expected_production[[#This Row],[Age (yrs)]])</f>
        <v>1</v>
      </c>
      <c r="G1671" s="52">
        <f>IF(expected_production[[#This Row],[Base Expected (kWh)]]="","",expected_production[[#This Row],[Base Expected (kWh)]]*expected_production[[#This Row],[Degradation Factor]])</f>
        <v>20178</v>
      </c>
    </row>
    <row r="1672" spans="1:7" ht="15" hidden="1" customHeight="1" x14ac:dyDescent="0.3">
      <c r="A1672" t="s">
        <v>244</v>
      </c>
      <c r="B1672" s="2">
        <v>45689</v>
      </c>
      <c r="C1672" s="52">
        <v>17954</v>
      </c>
      <c r="D1672" s="48">
        <f>_xlfn.XLOOKUP(expected_production[[#This Row],[Site Name]],Table1[[Site Name ]],Table1[Commisioned Date],"")</f>
        <v>46114</v>
      </c>
      <c r="E1672" s="47">
        <f>IF(ISNUMBER(expected_production[[#This Row],[Commissioned Date]]),MAX(0,(expected_production[[#This Row],[Date]]-expected_production[[#This Row],[Commissioned Date]])/365.25),"")</f>
        <v>0</v>
      </c>
      <c r="F1672" s="49">
        <f>IF(expected_production[[#This Row],[Age (yrs)]]="",1,(1-DegradationRate)^expected_production[[#This Row],[Age (yrs)]])</f>
        <v>1</v>
      </c>
      <c r="G1672" s="52">
        <f>IF(expected_production[[#This Row],[Base Expected (kWh)]]="","",expected_production[[#This Row],[Base Expected (kWh)]]*expected_production[[#This Row],[Degradation Factor]])</f>
        <v>17954</v>
      </c>
    </row>
    <row r="1673" spans="1:7" ht="15" hidden="1" customHeight="1" x14ac:dyDescent="0.3">
      <c r="A1673" t="s">
        <v>244</v>
      </c>
      <c r="B1673" s="2">
        <v>45717</v>
      </c>
      <c r="C1673" s="52">
        <v>19150</v>
      </c>
      <c r="D1673" s="48">
        <f>_xlfn.XLOOKUP(expected_production[[#This Row],[Site Name]],Table1[[Site Name ]],Table1[Commisioned Date],"")</f>
        <v>46114</v>
      </c>
      <c r="E1673" s="47">
        <f>IF(ISNUMBER(expected_production[[#This Row],[Commissioned Date]]),MAX(0,(expected_production[[#This Row],[Date]]-expected_production[[#This Row],[Commissioned Date]])/365.25),"")</f>
        <v>0</v>
      </c>
      <c r="F1673" s="49">
        <f>IF(expected_production[[#This Row],[Age (yrs)]]="",1,(1-DegradationRate)^expected_production[[#This Row],[Age (yrs)]])</f>
        <v>1</v>
      </c>
      <c r="G1673" s="52">
        <f>IF(expected_production[[#This Row],[Base Expected (kWh)]]="","",expected_production[[#This Row],[Base Expected (kWh)]]*expected_production[[#This Row],[Degradation Factor]])</f>
        <v>19150</v>
      </c>
    </row>
    <row r="1674" spans="1:7" ht="15" hidden="1" customHeight="1" x14ac:dyDescent="0.3">
      <c r="A1674" t="s">
        <v>244</v>
      </c>
      <c r="B1674" s="2">
        <v>45748</v>
      </c>
      <c r="C1674" s="52">
        <v>18060</v>
      </c>
      <c r="D1674" s="48">
        <f>_xlfn.XLOOKUP(expected_production[[#This Row],[Site Name]],Table1[[Site Name ]],Table1[Commisioned Date],"")</f>
        <v>46114</v>
      </c>
      <c r="E1674" s="47">
        <f>IF(ISNUMBER(expected_production[[#This Row],[Commissioned Date]]),MAX(0,(expected_production[[#This Row],[Date]]-expected_production[[#This Row],[Commissioned Date]])/365.25),"")</f>
        <v>0</v>
      </c>
      <c r="F1674" s="49">
        <f>IF(expected_production[[#This Row],[Age (yrs)]]="",1,(1-DegradationRate)^expected_production[[#This Row],[Age (yrs)]])</f>
        <v>1</v>
      </c>
      <c r="G1674" s="52">
        <f>IF(expected_production[[#This Row],[Base Expected (kWh)]]="","",expected_production[[#This Row],[Base Expected (kWh)]]*expected_production[[#This Row],[Degradation Factor]])</f>
        <v>18060</v>
      </c>
    </row>
    <row r="1675" spans="1:7" ht="15" hidden="1" customHeight="1" x14ac:dyDescent="0.3">
      <c r="A1675" t="s">
        <v>244</v>
      </c>
      <c r="B1675" s="2">
        <v>45778</v>
      </c>
      <c r="C1675" s="52">
        <v>18124</v>
      </c>
      <c r="D1675" s="48">
        <f>_xlfn.XLOOKUP(expected_production[[#This Row],[Site Name]],Table1[[Site Name ]],Table1[Commisioned Date],"")</f>
        <v>46114</v>
      </c>
      <c r="E1675" s="47">
        <f>IF(ISNUMBER(expected_production[[#This Row],[Commissioned Date]]),MAX(0,(expected_production[[#This Row],[Date]]-expected_production[[#This Row],[Commissioned Date]])/365.25),"")</f>
        <v>0</v>
      </c>
      <c r="F1675" s="49">
        <f>IF(expected_production[[#This Row],[Age (yrs)]]="",1,(1-DegradationRate)^expected_production[[#This Row],[Age (yrs)]])</f>
        <v>1</v>
      </c>
      <c r="G1675" s="52">
        <f>IF(expected_production[[#This Row],[Base Expected (kWh)]]="","",expected_production[[#This Row],[Base Expected (kWh)]]*expected_production[[#This Row],[Degradation Factor]])</f>
        <v>18124</v>
      </c>
    </row>
    <row r="1676" spans="1:7" ht="15" hidden="1" customHeight="1" x14ac:dyDescent="0.3">
      <c r="A1676" t="s">
        <v>244</v>
      </c>
      <c r="B1676" s="2">
        <v>45809</v>
      </c>
      <c r="C1676" s="52">
        <v>15908</v>
      </c>
      <c r="D1676" s="48">
        <f>_xlfn.XLOOKUP(expected_production[[#This Row],[Site Name]],Table1[[Site Name ]],Table1[Commisioned Date],"")</f>
        <v>46114</v>
      </c>
      <c r="E1676" s="47">
        <f>IF(ISNUMBER(expected_production[[#This Row],[Commissioned Date]]),MAX(0,(expected_production[[#This Row],[Date]]-expected_production[[#This Row],[Commissioned Date]])/365.25),"")</f>
        <v>0</v>
      </c>
      <c r="F1676" s="49">
        <f>IF(expected_production[[#This Row],[Age (yrs)]]="",1,(1-DegradationRate)^expected_production[[#This Row],[Age (yrs)]])</f>
        <v>1</v>
      </c>
      <c r="G1676" s="52">
        <f>IF(expected_production[[#This Row],[Base Expected (kWh)]]="","",expected_production[[#This Row],[Base Expected (kWh)]]*expected_production[[#This Row],[Degradation Factor]])</f>
        <v>15908</v>
      </c>
    </row>
    <row r="1677" spans="1:7" ht="15" hidden="1" customHeight="1" x14ac:dyDescent="0.3">
      <c r="A1677" t="s">
        <v>244</v>
      </c>
      <c r="B1677" s="2">
        <v>45839</v>
      </c>
      <c r="C1677" s="52">
        <v>16827</v>
      </c>
      <c r="D1677" s="48">
        <f>_xlfn.XLOOKUP(expected_production[[#This Row],[Site Name]],Table1[[Site Name ]],Table1[Commisioned Date],"")</f>
        <v>46114</v>
      </c>
      <c r="E1677" s="47">
        <f>IF(ISNUMBER(expected_production[[#This Row],[Commissioned Date]]),MAX(0,(expected_production[[#This Row],[Date]]-expected_production[[#This Row],[Commissioned Date]])/365.25),"")</f>
        <v>0</v>
      </c>
      <c r="F1677" s="49">
        <f>IF(expected_production[[#This Row],[Age (yrs)]]="",1,(1-DegradationRate)^expected_production[[#This Row],[Age (yrs)]])</f>
        <v>1</v>
      </c>
      <c r="G1677" s="52">
        <f>IF(expected_production[[#This Row],[Base Expected (kWh)]]="","",expected_production[[#This Row],[Base Expected (kWh)]]*expected_production[[#This Row],[Degradation Factor]])</f>
        <v>16827</v>
      </c>
    </row>
    <row r="1678" spans="1:7" ht="15" hidden="1" customHeight="1" x14ac:dyDescent="0.3">
      <c r="A1678" t="s">
        <v>244</v>
      </c>
      <c r="B1678" s="2">
        <v>45870</v>
      </c>
      <c r="C1678" s="52">
        <v>19405</v>
      </c>
      <c r="D1678" s="48">
        <f>_xlfn.XLOOKUP(expected_production[[#This Row],[Site Name]],Table1[[Site Name ]],Table1[Commisioned Date],"")</f>
        <v>46114</v>
      </c>
      <c r="E1678" s="47">
        <f>IF(ISNUMBER(expected_production[[#This Row],[Commissioned Date]]),MAX(0,(expected_production[[#This Row],[Date]]-expected_production[[#This Row],[Commissioned Date]])/365.25),"")</f>
        <v>0</v>
      </c>
      <c r="F1678" s="49">
        <f>IF(expected_production[[#This Row],[Age (yrs)]]="",1,(1-DegradationRate)^expected_production[[#This Row],[Age (yrs)]])</f>
        <v>1</v>
      </c>
      <c r="G1678" s="52">
        <f>IF(expected_production[[#This Row],[Base Expected (kWh)]]="","",expected_production[[#This Row],[Base Expected (kWh)]]*expected_production[[#This Row],[Degradation Factor]])</f>
        <v>19405</v>
      </c>
    </row>
    <row r="1679" spans="1:7" ht="15" hidden="1" customHeight="1" x14ac:dyDescent="0.3">
      <c r="A1679" t="s">
        <v>244</v>
      </c>
      <c r="B1679" s="2">
        <v>45901</v>
      </c>
      <c r="C1679" s="52">
        <v>19981</v>
      </c>
      <c r="D1679" s="48">
        <f>_xlfn.XLOOKUP(expected_production[[#This Row],[Site Name]],Table1[[Site Name ]],Table1[Commisioned Date],"")</f>
        <v>46114</v>
      </c>
      <c r="E1679" s="47">
        <f>IF(ISNUMBER(expected_production[[#This Row],[Commissioned Date]]),MAX(0,(expected_production[[#This Row],[Date]]-expected_production[[#This Row],[Commissioned Date]])/365.25),"")</f>
        <v>0</v>
      </c>
      <c r="F1679" s="49">
        <f>IF(expected_production[[#This Row],[Age (yrs)]]="",1,(1-DegradationRate)^expected_production[[#This Row],[Age (yrs)]])</f>
        <v>1</v>
      </c>
      <c r="G1679" s="52">
        <f>IF(expected_production[[#This Row],[Base Expected (kWh)]]="","",expected_production[[#This Row],[Base Expected (kWh)]]*expected_production[[#This Row],[Degradation Factor]])</f>
        <v>19981</v>
      </c>
    </row>
    <row r="1680" spans="1:7" ht="15" hidden="1" customHeight="1" x14ac:dyDescent="0.3">
      <c r="A1680" t="s">
        <v>244</v>
      </c>
      <c r="B1680" s="2">
        <v>45931</v>
      </c>
      <c r="C1680" s="52">
        <v>22401</v>
      </c>
      <c r="D1680" s="48">
        <f>_xlfn.XLOOKUP(expected_production[[#This Row],[Site Name]],Table1[[Site Name ]],Table1[Commisioned Date],"")</f>
        <v>46114</v>
      </c>
      <c r="E1680" s="47">
        <f>IF(ISNUMBER(expected_production[[#This Row],[Commissioned Date]]),MAX(0,(expected_production[[#This Row],[Date]]-expected_production[[#This Row],[Commissioned Date]])/365.25),"")</f>
        <v>0</v>
      </c>
      <c r="F1680" s="49">
        <f>IF(expected_production[[#This Row],[Age (yrs)]]="",1,(1-DegradationRate)^expected_production[[#This Row],[Age (yrs)]])</f>
        <v>1</v>
      </c>
      <c r="G1680" s="52">
        <f>IF(expected_production[[#This Row],[Base Expected (kWh)]]="","",expected_production[[#This Row],[Base Expected (kWh)]]*expected_production[[#This Row],[Degradation Factor]])</f>
        <v>22401</v>
      </c>
    </row>
    <row r="1681" spans="1:7" ht="15" hidden="1" customHeight="1" x14ac:dyDescent="0.3">
      <c r="A1681" t="s">
        <v>244</v>
      </c>
      <c r="B1681" s="2">
        <v>45962</v>
      </c>
      <c r="C1681" s="52">
        <v>20125</v>
      </c>
      <c r="D1681" s="48">
        <f>_xlfn.XLOOKUP(expected_production[[#This Row],[Site Name]],Table1[[Site Name ]],Table1[Commisioned Date],"")</f>
        <v>46114</v>
      </c>
      <c r="E1681" s="47">
        <f>IF(ISNUMBER(expected_production[[#This Row],[Commissioned Date]]),MAX(0,(expected_production[[#This Row],[Date]]-expected_production[[#This Row],[Commissioned Date]])/365.25),"")</f>
        <v>0</v>
      </c>
      <c r="F1681" s="49">
        <f>IF(expected_production[[#This Row],[Age (yrs)]]="",1,(1-DegradationRate)^expected_production[[#This Row],[Age (yrs)]])</f>
        <v>1</v>
      </c>
      <c r="G1681" s="52">
        <f>IF(expected_production[[#This Row],[Base Expected (kWh)]]="","",expected_production[[#This Row],[Base Expected (kWh)]]*expected_production[[#This Row],[Degradation Factor]])</f>
        <v>20125</v>
      </c>
    </row>
    <row r="1682" spans="1:7" ht="15" hidden="1" customHeight="1" x14ac:dyDescent="0.3">
      <c r="A1682" t="s">
        <v>244</v>
      </c>
      <c r="B1682" s="2">
        <v>45992</v>
      </c>
      <c r="C1682" s="52">
        <v>20771</v>
      </c>
      <c r="D1682" s="48">
        <f>_xlfn.XLOOKUP(expected_production[[#This Row],[Site Name]],Table1[[Site Name ]],Table1[Commisioned Date],"")</f>
        <v>46114</v>
      </c>
      <c r="E1682" s="47">
        <f>IF(ISNUMBER(expected_production[[#This Row],[Commissioned Date]]),MAX(0,(expected_production[[#This Row],[Date]]-expected_production[[#This Row],[Commissioned Date]])/365.25),"")</f>
        <v>0</v>
      </c>
      <c r="F1682" s="49">
        <f>IF(expected_production[[#This Row],[Age (yrs)]]="",1,(1-DegradationRate)^expected_production[[#This Row],[Age (yrs)]])</f>
        <v>1</v>
      </c>
      <c r="G1682" s="52">
        <f>IF(expected_production[[#This Row],[Base Expected (kWh)]]="","",expected_production[[#This Row],[Base Expected (kWh)]]*expected_production[[#This Row],[Degradation Factor]])</f>
        <v>20771</v>
      </c>
    </row>
    <row r="1683" spans="1:7" ht="15" hidden="1" customHeight="1" x14ac:dyDescent="0.3">
      <c r="A1683" t="s">
        <v>244</v>
      </c>
      <c r="B1683" s="2">
        <v>46023</v>
      </c>
      <c r="C1683" s="52">
        <v>20178</v>
      </c>
      <c r="D1683" s="48">
        <f>_xlfn.XLOOKUP(expected_production[[#This Row],[Site Name]],Table1[[Site Name ]],Table1[Commisioned Date],"")</f>
        <v>46114</v>
      </c>
      <c r="E1683" s="47">
        <f>IF(ISNUMBER(expected_production[[#This Row],[Commissioned Date]]),MAX(0,(expected_production[[#This Row],[Date]]-expected_production[[#This Row],[Commissioned Date]])/365.25),"")</f>
        <v>0</v>
      </c>
      <c r="F1683" s="49">
        <f>IF(expected_production[[#This Row],[Age (yrs)]]="",1,(1-DegradationRate)^expected_production[[#This Row],[Age (yrs)]])</f>
        <v>1</v>
      </c>
      <c r="G1683" s="52">
        <f>IF(expected_production[[#This Row],[Base Expected (kWh)]]="","",expected_production[[#This Row],[Base Expected (kWh)]]*expected_production[[#This Row],[Degradation Factor]])</f>
        <v>20178</v>
      </c>
    </row>
    <row r="1684" spans="1:7" ht="15" hidden="1" customHeight="1" x14ac:dyDescent="0.3">
      <c r="A1684" t="s">
        <v>244</v>
      </c>
      <c r="B1684" s="2">
        <v>46054</v>
      </c>
      <c r="C1684" s="52">
        <v>17954</v>
      </c>
      <c r="D1684" s="48">
        <f>_xlfn.XLOOKUP(expected_production[[#This Row],[Site Name]],Table1[[Site Name ]],Table1[Commisioned Date],"")</f>
        <v>46114</v>
      </c>
      <c r="E1684" s="47">
        <f>IF(ISNUMBER(expected_production[[#This Row],[Commissioned Date]]),MAX(0,(expected_production[[#This Row],[Date]]-expected_production[[#This Row],[Commissioned Date]])/365.25),"")</f>
        <v>0</v>
      </c>
      <c r="F1684" s="49">
        <f>IF(expected_production[[#This Row],[Age (yrs)]]="",1,(1-DegradationRate)^expected_production[[#This Row],[Age (yrs)]])</f>
        <v>1</v>
      </c>
      <c r="G1684" s="52">
        <f>IF(expected_production[[#This Row],[Base Expected (kWh)]]="","",expected_production[[#This Row],[Base Expected (kWh)]]*expected_production[[#This Row],[Degradation Factor]])</f>
        <v>17954</v>
      </c>
    </row>
    <row r="1685" spans="1:7" ht="15" hidden="1" customHeight="1" x14ac:dyDescent="0.3">
      <c r="A1685" t="s">
        <v>244</v>
      </c>
      <c r="B1685" s="2">
        <v>46082</v>
      </c>
      <c r="C1685" s="52">
        <v>19150</v>
      </c>
      <c r="D1685" s="48">
        <f>_xlfn.XLOOKUP(expected_production[[#This Row],[Site Name]],Table1[[Site Name ]],Table1[Commisioned Date],"")</f>
        <v>46114</v>
      </c>
      <c r="E1685" s="47">
        <f>IF(ISNUMBER(expected_production[[#This Row],[Commissioned Date]]),MAX(0,(expected_production[[#This Row],[Date]]-expected_production[[#This Row],[Commissioned Date]])/365.25),"")</f>
        <v>0</v>
      </c>
      <c r="F1685" s="49">
        <f>IF(expected_production[[#This Row],[Age (yrs)]]="",1,(1-DegradationRate)^expected_production[[#This Row],[Age (yrs)]])</f>
        <v>1</v>
      </c>
      <c r="G1685" s="52">
        <f>IF(expected_production[[#This Row],[Base Expected (kWh)]]="","",expected_production[[#This Row],[Base Expected (kWh)]]*expected_production[[#This Row],[Degradation Factor]])</f>
        <v>19150</v>
      </c>
    </row>
    <row r="1686" spans="1:7" ht="15" hidden="1" customHeight="1" x14ac:dyDescent="0.3">
      <c r="A1686" t="s">
        <v>244</v>
      </c>
      <c r="B1686" s="2">
        <v>46113</v>
      </c>
      <c r="C1686" s="52">
        <v>18060</v>
      </c>
      <c r="D1686" s="48">
        <f>_xlfn.XLOOKUP(expected_production[[#This Row],[Site Name]],Table1[[Site Name ]],Table1[Commisioned Date],"")</f>
        <v>46114</v>
      </c>
      <c r="E1686" s="47">
        <f>IF(ISNUMBER(expected_production[[#This Row],[Commissioned Date]]),MAX(0,(expected_production[[#This Row],[Date]]-expected_production[[#This Row],[Commissioned Date]])/365.25),"")</f>
        <v>0</v>
      </c>
      <c r="F1686" s="49">
        <f>IF(expected_production[[#This Row],[Age (yrs)]]="",1,(1-DegradationRate)^expected_production[[#This Row],[Age (yrs)]])</f>
        <v>1</v>
      </c>
      <c r="G1686" s="52">
        <f>IF(expected_production[[#This Row],[Base Expected (kWh)]]="","",expected_production[[#This Row],[Base Expected (kWh)]]*expected_production[[#This Row],[Degradation Factor]])</f>
        <v>18060</v>
      </c>
    </row>
    <row r="1687" spans="1:7" ht="15" hidden="1" customHeight="1" x14ac:dyDescent="0.3">
      <c r="A1687" t="s">
        <v>244</v>
      </c>
      <c r="B1687" s="2">
        <v>46143</v>
      </c>
      <c r="C1687" s="52">
        <v>18124</v>
      </c>
      <c r="D1687" s="48">
        <f>_xlfn.XLOOKUP(expected_production[[#This Row],[Site Name]],Table1[[Site Name ]],Table1[Commisioned Date],"")</f>
        <v>46114</v>
      </c>
      <c r="E1687" s="47">
        <f>IF(ISNUMBER(expected_production[[#This Row],[Commissioned Date]]),MAX(0,(expected_production[[#This Row],[Date]]-expected_production[[#This Row],[Commissioned Date]])/365.25),"")</f>
        <v>7.939767282683094E-2</v>
      </c>
      <c r="F1687" s="49">
        <f>IF(expected_production[[#This Row],[Age (yrs)]]="",1,(1-DegradationRate)^expected_production[[#This Row],[Age (yrs)]])</f>
        <v>0.99944241742847051</v>
      </c>
      <c r="G1687" s="52">
        <f>IF(expected_production[[#This Row],[Base Expected (kWh)]]="","",expected_production[[#This Row],[Base Expected (kWh)]]*expected_production[[#This Row],[Degradation Factor]])</f>
        <v>18113.894373473599</v>
      </c>
    </row>
    <row r="1688" spans="1:7" ht="15" hidden="1" customHeight="1" x14ac:dyDescent="0.3">
      <c r="A1688" t="s">
        <v>244</v>
      </c>
      <c r="B1688" s="2">
        <v>46174</v>
      </c>
      <c r="C1688" s="52">
        <v>15908</v>
      </c>
      <c r="D1688" s="48">
        <f>_xlfn.XLOOKUP(expected_production[[#This Row],[Site Name]],Table1[[Site Name ]],Table1[Commisioned Date],"")</f>
        <v>46114</v>
      </c>
      <c r="E1688" s="47">
        <f>IF(ISNUMBER(expected_production[[#This Row],[Commissioned Date]]),MAX(0,(expected_production[[#This Row],[Date]]-expected_production[[#This Row],[Commissioned Date]])/365.25),"")</f>
        <v>0.16427104722792607</v>
      </c>
      <c r="F1688" s="49">
        <f>IF(expected_production[[#This Row],[Age (yrs)]]="",1,(1-DegradationRate)^expected_production[[#This Row],[Age (yrs)]])</f>
        <v>0.99884672468165681</v>
      </c>
      <c r="G1688" s="52">
        <f>IF(expected_production[[#This Row],[Base Expected (kWh)]]="","",expected_production[[#This Row],[Base Expected (kWh)]]*expected_production[[#This Row],[Degradation Factor]])</f>
        <v>15889.653696235797</v>
      </c>
    </row>
    <row r="1689" spans="1:7" ht="15" hidden="1" customHeight="1" x14ac:dyDescent="0.3">
      <c r="A1689" t="s">
        <v>244</v>
      </c>
      <c r="B1689" s="2">
        <v>46204</v>
      </c>
      <c r="C1689" s="52">
        <v>16827</v>
      </c>
      <c r="D1689" s="48">
        <f>_xlfn.XLOOKUP(expected_production[[#This Row],[Site Name]],Table1[[Site Name ]],Table1[Commisioned Date],"")</f>
        <v>46114</v>
      </c>
      <c r="E1689" s="47">
        <f>IF(ISNUMBER(expected_production[[#This Row],[Commissioned Date]]),MAX(0,(expected_production[[#This Row],[Date]]-expected_production[[#This Row],[Commissioned Date]])/365.25),"")</f>
        <v>0.24640657084188911</v>
      </c>
      <c r="F1689" s="49">
        <f>IF(expected_production[[#This Row],[Age (yrs)]]="",1,(1-DegradationRate)^expected_production[[#This Row],[Age (yrs)]])</f>
        <v>0.99827058588488082</v>
      </c>
      <c r="G1689" s="52">
        <f>IF(expected_production[[#This Row],[Base Expected (kWh)]]="","",expected_production[[#This Row],[Base Expected (kWh)]]*expected_production[[#This Row],[Degradation Factor]])</f>
        <v>16797.89914868489</v>
      </c>
    </row>
    <row r="1690" spans="1:7" ht="15" hidden="1" customHeight="1" x14ac:dyDescent="0.3">
      <c r="A1690" t="s">
        <v>244</v>
      </c>
      <c r="B1690" s="2">
        <v>46235</v>
      </c>
      <c r="C1690" s="52">
        <v>19405</v>
      </c>
      <c r="D1690" s="48">
        <f>_xlfn.XLOOKUP(expected_production[[#This Row],[Site Name]],Table1[[Site Name ]],Table1[Commisioned Date],"")</f>
        <v>46114</v>
      </c>
      <c r="E1690" s="47">
        <f>IF(ISNUMBER(expected_production[[#This Row],[Commissioned Date]]),MAX(0,(expected_production[[#This Row],[Date]]-expected_production[[#This Row],[Commissioned Date]])/365.25),"")</f>
        <v>0.33127994524298426</v>
      </c>
      <c r="F1690" s="49">
        <f>IF(expected_production[[#This Row],[Age (yrs)]]="",1,(1-DegradationRate)^expected_production[[#This Row],[Age (yrs)]])</f>
        <v>0.99767559157905672</v>
      </c>
      <c r="G1690" s="52">
        <f>IF(expected_production[[#This Row],[Base Expected (kWh)]]="","",expected_production[[#This Row],[Base Expected (kWh)]]*expected_production[[#This Row],[Degradation Factor]])</f>
        <v>19359.894854591596</v>
      </c>
    </row>
    <row r="1691" spans="1:7" ht="15" hidden="1" customHeight="1" x14ac:dyDescent="0.3">
      <c r="A1691" t="s">
        <v>244</v>
      </c>
      <c r="B1691" s="2">
        <v>46266</v>
      </c>
      <c r="C1691" s="52">
        <v>19981</v>
      </c>
      <c r="D1691" s="48">
        <f>_xlfn.XLOOKUP(expected_production[[#This Row],[Site Name]],Table1[[Site Name ]],Table1[Commisioned Date],"")</f>
        <v>46114</v>
      </c>
      <c r="E1691" s="47">
        <f>IF(ISNUMBER(expected_production[[#This Row],[Commissioned Date]]),MAX(0,(expected_production[[#This Row],[Date]]-expected_production[[#This Row],[Commissioned Date]])/365.25),"")</f>
        <v>0.41615331964407942</v>
      </c>
      <c r="F1691" s="49">
        <f>IF(expected_production[[#This Row],[Age (yrs)]]="",1,(1-DegradationRate)^expected_production[[#This Row],[Age (yrs)]])</f>
        <v>0.99708095190476131</v>
      </c>
      <c r="G1691" s="52">
        <f>IF(expected_production[[#This Row],[Base Expected (kWh)]]="","",expected_production[[#This Row],[Base Expected (kWh)]]*expected_production[[#This Row],[Degradation Factor]])</f>
        <v>19922.674500009034</v>
      </c>
    </row>
    <row r="1692" spans="1:7" ht="15" hidden="1" customHeight="1" x14ac:dyDescent="0.3">
      <c r="A1692" t="s">
        <v>244</v>
      </c>
      <c r="B1692" s="2">
        <v>46296</v>
      </c>
      <c r="C1692" s="52">
        <v>22401</v>
      </c>
      <c r="D1692" s="48">
        <f>_xlfn.XLOOKUP(expected_production[[#This Row],[Site Name]],Table1[[Site Name ]],Table1[Commisioned Date],"")</f>
        <v>46114</v>
      </c>
      <c r="E1692" s="47">
        <f>IF(ISNUMBER(expected_production[[#This Row],[Commissioned Date]]),MAX(0,(expected_production[[#This Row],[Date]]-expected_production[[#This Row],[Commissioned Date]])/365.25),"")</f>
        <v>0.49828884325804246</v>
      </c>
      <c r="F1692" s="49">
        <f>IF(expected_production[[#This Row],[Age (yrs)]]="",1,(1-DegradationRate)^expected_production[[#This Row],[Age (yrs)]])</f>
        <v>0.99650583161280493</v>
      </c>
      <c r="G1692" s="52">
        <f>IF(expected_production[[#This Row],[Base Expected (kWh)]]="","",expected_production[[#This Row],[Base Expected (kWh)]]*expected_production[[#This Row],[Degradation Factor]])</f>
        <v>22322.727133958444</v>
      </c>
    </row>
    <row r="1693" spans="1:7" ht="15" hidden="1" customHeight="1" x14ac:dyDescent="0.3">
      <c r="A1693" t="s">
        <v>244</v>
      </c>
      <c r="B1693" s="2">
        <v>46327</v>
      </c>
      <c r="C1693" s="52">
        <v>20125</v>
      </c>
      <c r="D1693" s="48">
        <f>_xlfn.XLOOKUP(expected_production[[#This Row],[Site Name]],Table1[[Site Name ]],Table1[Commisioned Date],"")</f>
        <v>46114</v>
      </c>
      <c r="E1693" s="47">
        <f>IF(ISNUMBER(expected_production[[#This Row],[Commissioned Date]]),MAX(0,(expected_production[[#This Row],[Date]]-expected_production[[#This Row],[Commissioned Date]])/365.25),"")</f>
        <v>0.58316221765913756</v>
      </c>
      <c r="F1693" s="49">
        <f>IF(expected_production[[#This Row],[Age (yrs)]]="",1,(1-DegradationRate)^expected_production[[#This Row],[Age (yrs)]])</f>
        <v>0.99591188914478701</v>
      </c>
      <c r="G1693" s="52">
        <f>IF(expected_production[[#This Row],[Base Expected (kWh)]]="","",expected_production[[#This Row],[Base Expected (kWh)]]*expected_production[[#This Row],[Degradation Factor]])</f>
        <v>20042.72676903884</v>
      </c>
    </row>
    <row r="1694" spans="1:7" ht="15" hidden="1" customHeight="1" x14ac:dyDescent="0.3">
      <c r="A1694" t="s">
        <v>244</v>
      </c>
      <c r="B1694" s="2">
        <v>46357</v>
      </c>
      <c r="C1694" s="52">
        <v>20771</v>
      </c>
      <c r="D1694" s="48">
        <f>_xlfn.XLOOKUP(expected_production[[#This Row],[Site Name]],Table1[[Site Name ]],Table1[Commisioned Date],"")</f>
        <v>46114</v>
      </c>
      <c r="E1694" s="47">
        <f>IF(ISNUMBER(expected_production[[#This Row],[Commissioned Date]]),MAX(0,(expected_production[[#This Row],[Date]]-expected_production[[#This Row],[Commissioned Date]])/365.25),"")</f>
        <v>0.6652977412731006</v>
      </c>
      <c r="F1694" s="49">
        <f>IF(expected_production[[#This Row],[Age (yrs)]]="",1,(1-DegradationRate)^expected_production[[#This Row],[Age (yrs)]])</f>
        <v>0.99533744317291917</v>
      </c>
      <c r="G1694" s="52">
        <f>IF(expected_production[[#This Row],[Base Expected (kWh)]]="","",expected_production[[#This Row],[Base Expected (kWh)]]*expected_production[[#This Row],[Degradation Factor]])</f>
        <v>20674.154032144703</v>
      </c>
    </row>
    <row r="1695" spans="1:7" ht="15" hidden="1" customHeight="1" x14ac:dyDescent="0.3">
      <c r="A1695" t="s">
        <v>213</v>
      </c>
      <c r="B1695" s="2">
        <v>45292</v>
      </c>
      <c r="C1695" s="52">
        <v>9307.7999999999993</v>
      </c>
      <c r="D1695" s="48">
        <f>_xlfn.XLOOKUP(expected_production[[#This Row],[Site Name]],Table1[[Site Name ]],Table1[Commisioned Date],"")</f>
        <v>45889</v>
      </c>
      <c r="E1695" s="47">
        <f>IF(ISNUMBER(expected_production[[#This Row],[Commissioned Date]]),MAX(0,(expected_production[[#This Row],[Date]]-expected_production[[#This Row],[Commissioned Date]])/365.25),"")</f>
        <v>0</v>
      </c>
      <c r="F1695" s="49">
        <f>IF(expected_production[[#This Row],[Age (yrs)]]="",1,(1-DegradationRate)^expected_production[[#This Row],[Age (yrs)]])</f>
        <v>1</v>
      </c>
      <c r="G1695" s="52">
        <f>IF(expected_production[[#This Row],[Base Expected (kWh)]]="","",expected_production[[#This Row],[Base Expected (kWh)]]*expected_production[[#This Row],[Degradation Factor]])</f>
        <v>9307.7999999999993</v>
      </c>
    </row>
    <row r="1696" spans="1:7" ht="15" hidden="1" customHeight="1" x14ac:dyDescent="0.3">
      <c r="A1696" t="s">
        <v>213</v>
      </c>
      <c r="B1696" s="2">
        <v>45323</v>
      </c>
      <c r="C1696" s="52">
        <v>8001.9</v>
      </c>
      <c r="D1696" s="48">
        <f>_xlfn.XLOOKUP(expected_production[[#This Row],[Site Name]],Table1[[Site Name ]],Table1[Commisioned Date],"")</f>
        <v>45889</v>
      </c>
      <c r="E1696" s="47">
        <f>IF(ISNUMBER(expected_production[[#This Row],[Commissioned Date]]),MAX(0,(expected_production[[#This Row],[Date]]-expected_production[[#This Row],[Commissioned Date]])/365.25),"")</f>
        <v>0</v>
      </c>
      <c r="F1696" s="49">
        <f>IF(expected_production[[#This Row],[Age (yrs)]]="",1,(1-DegradationRate)^expected_production[[#This Row],[Age (yrs)]])</f>
        <v>1</v>
      </c>
      <c r="G1696" s="52">
        <f>IF(expected_production[[#This Row],[Base Expected (kWh)]]="","",expected_production[[#This Row],[Base Expected (kWh)]]*expected_production[[#This Row],[Degradation Factor]])</f>
        <v>8001.9</v>
      </c>
    </row>
    <row r="1697" spans="1:7" ht="15" hidden="1" customHeight="1" x14ac:dyDescent="0.3">
      <c r="A1697" t="s">
        <v>213</v>
      </c>
      <c r="B1697" s="2">
        <v>45352</v>
      </c>
      <c r="C1697" s="52">
        <v>7803.9</v>
      </c>
      <c r="D1697" s="48">
        <f>_xlfn.XLOOKUP(expected_production[[#This Row],[Site Name]],Table1[[Site Name ]],Table1[Commisioned Date],"")</f>
        <v>45889</v>
      </c>
      <c r="E1697" s="47">
        <f>IF(ISNUMBER(expected_production[[#This Row],[Commissioned Date]]),MAX(0,(expected_production[[#This Row],[Date]]-expected_production[[#This Row],[Commissioned Date]])/365.25),"")</f>
        <v>0</v>
      </c>
      <c r="F1697" s="49">
        <f>IF(expected_production[[#This Row],[Age (yrs)]]="",1,(1-DegradationRate)^expected_production[[#This Row],[Age (yrs)]])</f>
        <v>1</v>
      </c>
      <c r="G1697" s="52">
        <f>IF(expected_production[[#This Row],[Base Expected (kWh)]]="","",expected_production[[#This Row],[Base Expected (kWh)]]*expected_production[[#This Row],[Degradation Factor]])</f>
        <v>7803.9</v>
      </c>
    </row>
    <row r="1698" spans="1:7" ht="15" hidden="1" customHeight="1" x14ac:dyDescent="0.3">
      <c r="A1698" t="s">
        <v>213</v>
      </c>
      <c r="B1698" s="2">
        <v>45383</v>
      </c>
      <c r="C1698" s="52">
        <v>6785.1</v>
      </c>
      <c r="D1698" s="48">
        <f>_xlfn.XLOOKUP(expected_production[[#This Row],[Site Name]],Table1[[Site Name ]],Table1[Commisioned Date],"")</f>
        <v>45889</v>
      </c>
      <c r="E1698" s="47">
        <f>IF(ISNUMBER(expected_production[[#This Row],[Commissioned Date]]),MAX(0,(expected_production[[#This Row],[Date]]-expected_production[[#This Row],[Commissioned Date]])/365.25),"")</f>
        <v>0</v>
      </c>
      <c r="F1698" s="49">
        <f>IF(expected_production[[#This Row],[Age (yrs)]]="",1,(1-DegradationRate)^expected_production[[#This Row],[Age (yrs)]])</f>
        <v>1</v>
      </c>
      <c r="G1698" s="52">
        <f>IF(expected_production[[#This Row],[Base Expected (kWh)]]="","",expected_production[[#This Row],[Base Expected (kWh)]]*expected_production[[#This Row],[Degradation Factor]])</f>
        <v>6785.1</v>
      </c>
    </row>
    <row r="1699" spans="1:7" ht="15" hidden="1" customHeight="1" x14ac:dyDescent="0.3">
      <c r="A1699" t="s">
        <v>213</v>
      </c>
      <c r="B1699" s="2">
        <v>45413</v>
      </c>
      <c r="C1699" s="52">
        <v>6244.2</v>
      </c>
      <c r="D1699" s="48">
        <f>_xlfn.XLOOKUP(expected_production[[#This Row],[Site Name]],Table1[[Site Name ]],Table1[Commisioned Date],"")</f>
        <v>45889</v>
      </c>
      <c r="E1699" s="47">
        <f>IF(ISNUMBER(expected_production[[#This Row],[Commissioned Date]]),MAX(0,(expected_production[[#This Row],[Date]]-expected_production[[#This Row],[Commissioned Date]])/365.25),"")</f>
        <v>0</v>
      </c>
      <c r="F1699" s="49">
        <f>IF(expected_production[[#This Row],[Age (yrs)]]="",1,(1-DegradationRate)^expected_production[[#This Row],[Age (yrs)]])</f>
        <v>1</v>
      </c>
      <c r="G1699" s="52">
        <f>IF(expected_production[[#This Row],[Base Expected (kWh)]]="","",expected_production[[#This Row],[Base Expected (kWh)]]*expected_production[[#This Row],[Degradation Factor]])</f>
        <v>6244.2</v>
      </c>
    </row>
    <row r="1700" spans="1:7" ht="15" hidden="1" customHeight="1" x14ac:dyDescent="0.3">
      <c r="A1700" t="s">
        <v>213</v>
      </c>
      <c r="B1700" s="2">
        <v>45444</v>
      </c>
      <c r="C1700" s="52">
        <v>5524.2</v>
      </c>
      <c r="D1700" s="48">
        <f>_xlfn.XLOOKUP(expected_production[[#This Row],[Site Name]],Table1[[Site Name ]],Table1[Commisioned Date],"")</f>
        <v>45889</v>
      </c>
      <c r="E1700" s="47">
        <f>IF(ISNUMBER(expected_production[[#This Row],[Commissioned Date]]),MAX(0,(expected_production[[#This Row],[Date]]-expected_production[[#This Row],[Commissioned Date]])/365.25),"")</f>
        <v>0</v>
      </c>
      <c r="F1700" s="49">
        <f>IF(expected_production[[#This Row],[Age (yrs)]]="",1,(1-DegradationRate)^expected_production[[#This Row],[Age (yrs)]])</f>
        <v>1</v>
      </c>
      <c r="G1700" s="52">
        <f>IF(expected_production[[#This Row],[Base Expected (kWh)]]="","",expected_production[[#This Row],[Base Expected (kWh)]]*expected_production[[#This Row],[Degradation Factor]])</f>
        <v>5524.2</v>
      </c>
    </row>
    <row r="1701" spans="1:7" ht="15" hidden="1" customHeight="1" x14ac:dyDescent="0.3">
      <c r="A1701" t="s">
        <v>213</v>
      </c>
      <c r="B1701" s="2">
        <v>45474</v>
      </c>
      <c r="C1701" s="52">
        <v>6086.7</v>
      </c>
      <c r="D1701" s="48">
        <f>_xlfn.XLOOKUP(expected_production[[#This Row],[Site Name]],Table1[[Site Name ]],Table1[Commisioned Date],"")</f>
        <v>45889</v>
      </c>
      <c r="E1701" s="47">
        <f>IF(ISNUMBER(expected_production[[#This Row],[Commissioned Date]]),MAX(0,(expected_production[[#This Row],[Date]]-expected_production[[#This Row],[Commissioned Date]])/365.25),"")</f>
        <v>0</v>
      </c>
      <c r="F1701" s="49">
        <f>IF(expected_production[[#This Row],[Age (yrs)]]="",1,(1-DegradationRate)^expected_production[[#This Row],[Age (yrs)]])</f>
        <v>1</v>
      </c>
      <c r="G1701" s="52">
        <f>IF(expected_production[[#This Row],[Base Expected (kWh)]]="","",expected_production[[#This Row],[Base Expected (kWh)]]*expected_production[[#This Row],[Degradation Factor]])</f>
        <v>6086.7</v>
      </c>
    </row>
    <row r="1702" spans="1:7" ht="15" hidden="1" customHeight="1" x14ac:dyDescent="0.3">
      <c r="A1702" t="s">
        <v>213</v>
      </c>
      <c r="B1702" s="2">
        <v>45505</v>
      </c>
      <c r="C1702" s="52">
        <v>2298.1935483870998</v>
      </c>
      <c r="D1702" s="48">
        <f>_xlfn.XLOOKUP(expected_production[[#This Row],[Site Name]],Table1[[Site Name ]],Table1[Commisioned Date],"")</f>
        <v>45889</v>
      </c>
      <c r="E1702" s="47">
        <f>IF(ISNUMBER(expected_production[[#This Row],[Commissioned Date]]),MAX(0,(expected_production[[#This Row],[Date]]-expected_production[[#This Row],[Commissioned Date]])/365.25),"")</f>
        <v>0</v>
      </c>
      <c r="F1702" s="49">
        <f>IF(expected_production[[#This Row],[Age (yrs)]]="",1,(1-DegradationRate)^expected_production[[#This Row],[Age (yrs)]])</f>
        <v>1</v>
      </c>
      <c r="G1702" s="52">
        <f>IF(expected_production[[#This Row],[Base Expected (kWh)]]="","",expected_production[[#This Row],[Base Expected (kWh)]]*expected_production[[#This Row],[Degradation Factor]])</f>
        <v>2298.1935483870998</v>
      </c>
    </row>
    <row r="1703" spans="1:7" ht="15" hidden="1" customHeight="1" x14ac:dyDescent="0.3">
      <c r="A1703" t="s">
        <v>213</v>
      </c>
      <c r="B1703" s="2">
        <v>45536</v>
      </c>
      <c r="C1703" s="52">
        <v>7864.2</v>
      </c>
      <c r="D1703" s="48">
        <f>_xlfn.XLOOKUP(expected_production[[#This Row],[Site Name]],Table1[[Site Name ]],Table1[Commisioned Date],"")</f>
        <v>45889</v>
      </c>
      <c r="E1703" s="47">
        <f>IF(ISNUMBER(expected_production[[#This Row],[Commissioned Date]]),MAX(0,(expected_production[[#This Row],[Date]]-expected_production[[#This Row],[Commissioned Date]])/365.25),"")</f>
        <v>0</v>
      </c>
      <c r="F1703" s="49">
        <f>IF(expected_production[[#This Row],[Age (yrs)]]="",1,(1-DegradationRate)^expected_production[[#This Row],[Age (yrs)]])</f>
        <v>1</v>
      </c>
      <c r="G1703" s="52">
        <f>IF(expected_production[[#This Row],[Base Expected (kWh)]]="","",expected_production[[#This Row],[Base Expected (kWh)]]*expected_production[[#This Row],[Degradation Factor]])</f>
        <v>7864.2</v>
      </c>
    </row>
    <row r="1704" spans="1:7" ht="15" hidden="1" customHeight="1" x14ac:dyDescent="0.3">
      <c r="A1704" t="s">
        <v>213</v>
      </c>
      <c r="B1704" s="2">
        <v>45566</v>
      </c>
      <c r="C1704" s="52">
        <v>9007.2000000000007</v>
      </c>
      <c r="D1704" s="48">
        <f>_xlfn.XLOOKUP(expected_production[[#This Row],[Site Name]],Table1[[Site Name ]],Table1[Commisioned Date],"")</f>
        <v>45889</v>
      </c>
      <c r="E1704" s="47">
        <f>IF(ISNUMBER(expected_production[[#This Row],[Commissioned Date]]),MAX(0,(expected_production[[#This Row],[Date]]-expected_production[[#This Row],[Commissioned Date]])/365.25),"")</f>
        <v>0</v>
      </c>
      <c r="F1704" s="49">
        <f>IF(expected_production[[#This Row],[Age (yrs)]]="",1,(1-DegradationRate)^expected_production[[#This Row],[Age (yrs)]])</f>
        <v>1</v>
      </c>
      <c r="G1704" s="52">
        <f>IF(expected_production[[#This Row],[Base Expected (kWh)]]="","",expected_production[[#This Row],[Base Expected (kWh)]]*expected_production[[#This Row],[Degradation Factor]])</f>
        <v>9007.2000000000007</v>
      </c>
    </row>
    <row r="1705" spans="1:7" ht="15" hidden="1" customHeight="1" x14ac:dyDescent="0.3">
      <c r="A1705" t="s">
        <v>213</v>
      </c>
      <c r="B1705" s="2">
        <v>45597</v>
      </c>
      <c r="C1705" s="52">
        <v>8999.1</v>
      </c>
      <c r="D1705" s="48">
        <f>_xlfn.XLOOKUP(expected_production[[#This Row],[Site Name]],Table1[[Site Name ]],Table1[Commisioned Date],"")</f>
        <v>45889</v>
      </c>
      <c r="E1705" s="47">
        <f>IF(ISNUMBER(expected_production[[#This Row],[Commissioned Date]]),MAX(0,(expected_production[[#This Row],[Date]]-expected_production[[#This Row],[Commissioned Date]])/365.25),"")</f>
        <v>0</v>
      </c>
      <c r="F1705" s="49">
        <f>IF(expected_production[[#This Row],[Age (yrs)]]="",1,(1-DegradationRate)^expected_production[[#This Row],[Age (yrs)]])</f>
        <v>1</v>
      </c>
      <c r="G1705" s="52">
        <f>IF(expected_production[[#This Row],[Base Expected (kWh)]]="","",expected_production[[#This Row],[Base Expected (kWh)]]*expected_production[[#This Row],[Degradation Factor]])</f>
        <v>8999.1</v>
      </c>
    </row>
    <row r="1706" spans="1:7" ht="15" hidden="1" customHeight="1" x14ac:dyDescent="0.3">
      <c r="A1706" t="s">
        <v>213</v>
      </c>
      <c r="B1706" s="2">
        <v>45627</v>
      </c>
      <c r="C1706" s="52">
        <v>9241.2000000000007</v>
      </c>
      <c r="D1706" s="48">
        <f>_xlfn.XLOOKUP(expected_production[[#This Row],[Site Name]],Table1[[Site Name ]],Table1[Commisioned Date],"")</f>
        <v>45889</v>
      </c>
      <c r="E1706" s="47">
        <f>IF(ISNUMBER(expected_production[[#This Row],[Commissioned Date]]),MAX(0,(expected_production[[#This Row],[Date]]-expected_production[[#This Row],[Commissioned Date]])/365.25),"")</f>
        <v>0</v>
      </c>
      <c r="F1706" s="49">
        <f>IF(expected_production[[#This Row],[Age (yrs)]]="",1,(1-DegradationRate)^expected_production[[#This Row],[Age (yrs)]])</f>
        <v>1</v>
      </c>
      <c r="G1706" s="52">
        <f>IF(expected_production[[#This Row],[Base Expected (kWh)]]="","",expected_production[[#This Row],[Base Expected (kWh)]]*expected_production[[#This Row],[Degradation Factor]])</f>
        <v>9241.2000000000007</v>
      </c>
    </row>
    <row r="1707" spans="1:7" ht="15" hidden="1" customHeight="1" x14ac:dyDescent="0.3">
      <c r="A1707" t="s">
        <v>213</v>
      </c>
      <c r="B1707" s="2">
        <v>45658</v>
      </c>
      <c r="C1707" s="52">
        <v>9307.7999999999993</v>
      </c>
      <c r="D1707" s="48">
        <f>_xlfn.XLOOKUP(expected_production[[#This Row],[Site Name]],Table1[[Site Name ]],Table1[Commisioned Date],"")</f>
        <v>45889</v>
      </c>
      <c r="E1707" s="47">
        <f>IF(ISNUMBER(expected_production[[#This Row],[Commissioned Date]]),MAX(0,(expected_production[[#This Row],[Date]]-expected_production[[#This Row],[Commissioned Date]])/365.25),"")</f>
        <v>0</v>
      </c>
      <c r="F1707" s="49">
        <f>IF(expected_production[[#This Row],[Age (yrs)]]="",1,(1-DegradationRate)^expected_production[[#This Row],[Age (yrs)]])</f>
        <v>1</v>
      </c>
      <c r="G1707" s="52">
        <f>IF(expected_production[[#This Row],[Base Expected (kWh)]]="","",expected_production[[#This Row],[Base Expected (kWh)]]*expected_production[[#This Row],[Degradation Factor]])</f>
        <v>9307.7999999999993</v>
      </c>
    </row>
    <row r="1708" spans="1:7" ht="15" hidden="1" customHeight="1" x14ac:dyDescent="0.3">
      <c r="A1708" t="s">
        <v>213</v>
      </c>
      <c r="B1708" s="2">
        <v>45689</v>
      </c>
      <c r="C1708" s="52">
        <v>8001.9</v>
      </c>
      <c r="D1708" s="48">
        <f>_xlfn.XLOOKUP(expected_production[[#This Row],[Site Name]],Table1[[Site Name ]],Table1[Commisioned Date],"")</f>
        <v>45889</v>
      </c>
      <c r="E1708" s="47">
        <f>IF(ISNUMBER(expected_production[[#This Row],[Commissioned Date]]),MAX(0,(expected_production[[#This Row],[Date]]-expected_production[[#This Row],[Commissioned Date]])/365.25),"")</f>
        <v>0</v>
      </c>
      <c r="F1708" s="49">
        <f>IF(expected_production[[#This Row],[Age (yrs)]]="",1,(1-DegradationRate)^expected_production[[#This Row],[Age (yrs)]])</f>
        <v>1</v>
      </c>
      <c r="G1708" s="52">
        <f>IF(expected_production[[#This Row],[Base Expected (kWh)]]="","",expected_production[[#This Row],[Base Expected (kWh)]]*expected_production[[#This Row],[Degradation Factor]])</f>
        <v>8001.9</v>
      </c>
    </row>
    <row r="1709" spans="1:7" ht="15" hidden="1" customHeight="1" x14ac:dyDescent="0.3">
      <c r="A1709" t="s">
        <v>213</v>
      </c>
      <c r="B1709" s="2">
        <v>45717</v>
      </c>
      <c r="C1709" s="52">
        <v>7803.9</v>
      </c>
      <c r="D1709" s="48">
        <f>_xlfn.XLOOKUP(expected_production[[#This Row],[Site Name]],Table1[[Site Name ]],Table1[Commisioned Date],"")</f>
        <v>45889</v>
      </c>
      <c r="E1709" s="47">
        <f>IF(ISNUMBER(expected_production[[#This Row],[Commissioned Date]]),MAX(0,(expected_production[[#This Row],[Date]]-expected_production[[#This Row],[Commissioned Date]])/365.25),"")</f>
        <v>0</v>
      </c>
      <c r="F1709" s="49">
        <f>IF(expected_production[[#This Row],[Age (yrs)]]="",1,(1-DegradationRate)^expected_production[[#This Row],[Age (yrs)]])</f>
        <v>1</v>
      </c>
      <c r="G1709" s="52">
        <f>IF(expected_production[[#This Row],[Base Expected (kWh)]]="","",expected_production[[#This Row],[Base Expected (kWh)]]*expected_production[[#This Row],[Degradation Factor]])</f>
        <v>7803.9</v>
      </c>
    </row>
    <row r="1710" spans="1:7" ht="15" hidden="1" customHeight="1" x14ac:dyDescent="0.3">
      <c r="A1710" t="s">
        <v>213</v>
      </c>
      <c r="B1710" s="2">
        <v>45748</v>
      </c>
      <c r="C1710" s="52">
        <v>6785.1</v>
      </c>
      <c r="D1710" s="48">
        <f>_xlfn.XLOOKUP(expected_production[[#This Row],[Site Name]],Table1[[Site Name ]],Table1[Commisioned Date],"")</f>
        <v>45889</v>
      </c>
      <c r="E1710" s="47">
        <f>IF(ISNUMBER(expected_production[[#This Row],[Commissioned Date]]),MAX(0,(expected_production[[#This Row],[Date]]-expected_production[[#This Row],[Commissioned Date]])/365.25),"")</f>
        <v>0</v>
      </c>
      <c r="F1710" s="49">
        <f>IF(expected_production[[#This Row],[Age (yrs)]]="",1,(1-DegradationRate)^expected_production[[#This Row],[Age (yrs)]])</f>
        <v>1</v>
      </c>
      <c r="G1710" s="52">
        <f>IF(expected_production[[#This Row],[Base Expected (kWh)]]="","",expected_production[[#This Row],[Base Expected (kWh)]]*expected_production[[#This Row],[Degradation Factor]])</f>
        <v>6785.1</v>
      </c>
    </row>
    <row r="1711" spans="1:7" ht="15" hidden="1" customHeight="1" x14ac:dyDescent="0.3">
      <c r="A1711" t="s">
        <v>213</v>
      </c>
      <c r="B1711" s="2">
        <v>45778</v>
      </c>
      <c r="C1711" s="52">
        <v>6244.2</v>
      </c>
      <c r="D1711" s="48">
        <f>_xlfn.XLOOKUP(expected_production[[#This Row],[Site Name]],Table1[[Site Name ]],Table1[Commisioned Date],"")</f>
        <v>45889</v>
      </c>
      <c r="E1711" s="47">
        <f>IF(ISNUMBER(expected_production[[#This Row],[Commissioned Date]]),MAX(0,(expected_production[[#This Row],[Date]]-expected_production[[#This Row],[Commissioned Date]])/365.25),"")</f>
        <v>0</v>
      </c>
      <c r="F1711" s="49">
        <f>IF(expected_production[[#This Row],[Age (yrs)]]="",1,(1-DegradationRate)^expected_production[[#This Row],[Age (yrs)]])</f>
        <v>1</v>
      </c>
      <c r="G1711" s="52">
        <f>IF(expected_production[[#This Row],[Base Expected (kWh)]]="","",expected_production[[#This Row],[Base Expected (kWh)]]*expected_production[[#This Row],[Degradation Factor]])</f>
        <v>6244.2</v>
      </c>
    </row>
    <row r="1712" spans="1:7" ht="15" hidden="1" customHeight="1" x14ac:dyDescent="0.3">
      <c r="A1712" t="s">
        <v>213</v>
      </c>
      <c r="B1712" s="2">
        <v>45809</v>
      </c>
      <c r="C1712" s="52">
        <v>5524.2</v>
      </c>
      <c r="D1712" s="48">
        <f>_xlfn.XLOOKUP(expected_production[[#This Row],[Site Name]],Table1[[Site Name ]],Table1[Commisioned Date],"")</f>
        <v>45889</v>
      </c>
      <c r="E1712" s="47">
        <f>IF(ISNUMBER(expected_production[[#This Row],[Commissioned Date]]),MAX(0,(expected_production[[#This Row],[Date]]-expected_production[[#This Row],[Commissioned Date]])/365.25),"")</f>
        <v>0</v>
      </c>
      <c r="F1712" s="49">
        <f>IF(expected_production[[#This Row],[Age (yrs)]]="",1,(1-DegradationRate)^expected_production[[#This Row],[Age (yrs)]])</f>
        <v>1</v>
      </c>
      <c r="G1712" s="52">
        <f>IF(expected_production[[#This Row],[Base Expected (kWh)]]="","",expected_production[[#This Row],[Base Expected (kWh)]]*expected_production[[#This Row],[Degradation Factor]])</f>
        <v>5524.2</v>
      </c>
    </row>
    <row r="1713" spans="1:7" ht="15" hidden="1" customHeight="1" x14ac:dyDescent="0.3">
      <c r="A1713" t="s">
        <v>213</v>
      </c>
      <c r="B1713" s="2">
        <v>45839</v>
      </c>
      <c r="C1713" s="52">
        <v>6086.7</v>
      </c>
      <c r="D1713" s="48">
        <f>_xlfn.XLOOKUP(expected_production[[#This Row],[Site Name]],Table1[[Site Name ]],Table1[Commisioned Date],"")</f>
        <v>45889</v>
      </c>
      <c r="E1713" s="47">
        <f>IF(ISNUMBER(expected_production[[#This Row],[Commissioned Date]]),MAX(0,(expected_production[[#This Row],[Date]]-expected_production[[#This Row],[Commissioned Date]])/365.25),"")</f>
        <v>0</v>
      </c>
      <c r="F1713" s="49">
        <f>IF(expected_production[[#This Row],[Age (yrs)]]="",1,(1-DegradationRate)^expected_production[[#This Row],[Age (yrs)]])</f>
        <v>1</v>
      </c>
      <c r="G1713" s="52">
        <f>IF(expected_production[[#This Row],[Base Expected (kWh)]]="","",expected_production[[#This Row],[Base Expected (kWh)]]*expected_production[[#This Row],[Degradation Factor]])</f>
        <v>6086.7</v>
      </c>
    </row>
    <row r="1714" spans="1:7" ht="15" hidden="1" customHeight="1" x14ac:dyDescent="0.3">
      <c r="A1714" t="s">
        <v>213</v>
      </c>
      <c r="B1714" s="2">
        <v>45870</v>
      </c>
      <c r="C1714" s="52">
        <v>2298.1935483870998</v>
      </c>
      <c r="D1714" s="48">
        <f>_xlfn.XLOOKUP(expected_production[[#This Row],[Site Name]],Table1[[Site Name ]],Table1[Commisioned Date],"")</f>
        <v>45889</v>
      </c>
      <c r="E1714" s="47">
        <f>IF(ISNUMBER(expected_production[[#This Row],[Commissioned Date]]),MAX(0,(expected_production[[#This Row],[Date]]-expected_production[[#This Row],[Commissioned Date]])/365.25),"")</f>
        <v>0</v>
      </c>
      <c r="F1714" s="49">
        <f>IF(expected_production[[#This Row],[Age (yrs)]]="",1,(1-DegradationRate)^expected_production[[#This Row],[Age (yrs)]])</f>
        <v>1</v>
      </c>
      <c r="G1714" s="52">
        <f>IF(expected_production[[#This Row],[Base Expected (kWh)]]="","",expected_production[[#This Row],[Base Expected (kWh)]]*expected_production[[#This Row],[Degradation Factor]])</f>
        <v>2298.1935483870998</v>
      </c>
    </row>
    <row r="1715" spans="1:7" ht="15" hidden="1" customHeight="1" x14ac:dyDescent="0.3">
      <c r="A1715" t="s">
        <v>213</v>
      </c>
      <c r="B1715" s="2">
        <v>45901</v>
      </c>
      <c r="C1715" s="52">
        <v>7864.2</v>
      </c>
      <c r="D1715" s="48">
        <f>_xlfn.XLOOKUP(expected_production[[#This Row],[Site Name]],Table1[[Site Name ]],Table1[Commisioned Date],"")</f>
        <v>45889</v>
      </c>
      <c r="E1715" s="47">
        <f>IF(ISNUMBER(expected_production[[#This Row],[Commissioned Date]]),MAX(0,(expected_production[[#This Row],[Date]]-expected_production[[#This Row],[Commissioned Date]])/365.25),"")</f>
        <v>3.2854209445585217E-2</v>
      </c>
      <c r="F1715" s="49">
        <f>IF(expected_production[[#This Row],[Age (yrs)]]="",1,(1-DegradationRate)^expected_production[[#This Row],[Age (yrs)]])</f>
        <v>0.99976923845912757</v>
      </c>
      <c r="G1715" s="52">
        <f>IF(expected_production[[#This Row],[Base Expected (kWh)]]="","",expected_production[[#This Row],[Base Expected (kWh)]]*expected_production[[#This Row],[Degradation Factor]])</f>
        <v>7862.3852450902705</v>
      </c>
    </row>
    <row r="1716" spans="1:7" ht="15" hidden="1" customHeight="1" x14ac:dyDescent="0.3">
      <c r="A1716" t="s">
        <v>213</v>
      </c>
      <c r="B1716" s="2">
        <v>45931</v>
      </c>
      <c r="C1716" s="52">
        <v>9007.2000000000007</v>
      </c>
      <c r="D1716" s="48">
        <f>_xlfn.XLOOKUP(expected_production[[#This Row],[Site Name]],Table1[[Site Name ]],Table1[Commisioned Date],"")</f>
        <v>45889</v>
      </c>
      <c r="E1716" s="47">
        <f>IF(ISNUMBER(expected_production[[#This Row],[Commissioned Date]]),MAX(0,(expected_production[[#This Row],[Date]]-expected_production[[#This Row],[Commissioned Date]])/365.25),"")</f>
        <v>0.11498973305954825</v>
      </c>
      <c r="F1716" s="49">
        <f>IF(expected_production[[#This Row],[Age (yrs)]]="",1,(1-DegradationRate)^expected_production[[#This Row],[Age (yrs)]])</f>
        <v>0.99919256755270491</v>
      </c>
      <c r="G1716" s="52">
        <f>IF(expected_production[[#This Row],[Base Expected (kWh)]]="","",expected_production[[#This Row],[Base Expected (kWh)]]*expected_production[[#This Row],[Degradation Factor]])</f>
        <v>8999.9272944607237</v>
      </c>
    </row>
    <row r="1717" spans="1:7" ht="15" hidden="1" customHeight="1" x14ac:dyDescent="0.3">
      <c r="A1717" t="s">
        <v>213</v>
      </c>
      <c r="B1717" s="2">
        <v>45962</v>
      </c>
      <c r="C1717" s="52">
        <v>8999.1</v>
      </c>
      <c r="D1717" s="48">
        <f>_xlfn.XLOOKUP(expected_production[[#This Row],[Site Name]],Table1[[Site Name ]],Table1[Commisioned Date],"")</f>
        <v>45889</v>
      </c>
      <c r="E1717" s="47">
        <f>IF(ISNUMBER(expected_production[[#This Row],[Commissioned Date]]),MAX(0,(expected_production[[#This Row],[Date]]-expected_production[[#This Row],[Commissioned Date]])/365.25),"")</f>
        <v>0.1998631074606434</v>
      </c>
      <c r="F1717" s="49">
        <f>IF(expected_production[[#This Row],[Age (yrs)]]="",1,(1-DegradationRate)^expected_production[[#This Row],[Age (yrs)]])</f>
        <v>0.99859702372268344</v>
      </c>
      <c r="G1717" s="52">
        <f>IF(expected_production[[#This Row],[Base Expected (kWh)]]="","",expected_production[[#This Row],[Base Expected (kWh)]]*expected_production[[#This Row],[Degradation Factor]])</f>
        <v>8986.4744761828006</v>
      </c>
    </row>
    <row r="1718" spans="1:7" ht="15" hidden="1" customHeight="1" x14ac:dyDescent="0.3">
      <c r="A1718" t="s">
        <v>213</v>
      </c>
      <c r="B1718" s="2">
        <v>45992</v>
      </c>
      <c r="C1718" s="52">
        <v>9241.2000000000007</v>
      </c>
      <c r="D1718" s="48">
        <f>_xlfn.XLOOKUP(expected_production[[#This Row],[Site Name]],Table1[[Site Name ]],Table1[Commisioned Date],"")</f>
        <v>45889</v>
      </c>
      <c r="E1718" s="47">
        <f>IF(ISNUMBER(expected_production[[#This Row],[Commissioned Date]]),MAX(0,(expected_production[[#This Row],[Date]]-expected_production[[#This Row],[Commissioned Date]])/365.25),"")</f>
        <v>0.28199863107460643</v>
      </c>
      <c r="F1718" s="49">
        <f>IF(expected_production[[#This Row],[Age (yrs)]]="",1,(1-DegradationRate)^expected_production[[#This Row],[Age (yrs)]])</f>
        <v>0.99802102895442202</v>
      </c>
      <c r="G1718" s="52">
        <f>IF(expected_production[[#This Row],[Base Expected (kWh)]]="","",expected_production[[#This Row],[Base Expected (kWh)]]*expected_production[[#This Row],[Degradation Factor]])</f>
        <v>9222.9119327736062</v>
      </c>
    </row>
    <row r="1719" spans="1:7" ht="15" hidden="1" customHeight="1" x14ac:dyDescent="0.3">
      <c r="A1719" t="s">
        <v>213</v>
      </c>
      <c r="B1719" s="2">
        <v>46023</v>
      </c>
      <c r="C1719" s="52">
        <v>9307.7999999999993</v>
      </c>
      <c r="D1719" s="48">
        <f>_xlfn.XLOOKUP(expected_production[[#This Row],[Site Name]],Table1[[Site Name ]],Table1[Commisioned Date],"")</f>
        <v>45889</v>
      </c>
      <c r="E1719" s="47">
        <f>IF(ISNUMBER(expected_production[[#This Row],[Commissioned Date]]),MAX(0,(expected_production[[#This Row],[Date]]-expected_production[[#This Row],[Commissioned Date]])/365.25),"")</f>
        <v>0.36687200547570159</v>
      </c>
      <c r="F1719" s="49">
        <f>IF(expected_production[[#This Row],[Age (yrs)]]="",1,(1-DegradationRate)^expected_production[[#This Row],[Age (yrs)]])</f>
        <v>0.99742618339078737</v>
      </c>
      <c r="G1719" s="52">
        <f>IF(expected_production[[#This Row],[Base Expected (kWh)]]="","",expected_production[[#This Row],[Base Expected (kWh)]]*expected_production[[#This Row],[Degradation Factor]])</f>
        <v>9283.8434297647691</v>
      </c>
    </row>
    <row r="1720" spans="1:7" ht="15" hidden="1" customHeight="1" x14ac:dyDescent="0.3">
      <c r="A1720" t="s">
        <v>213</v>
      </c>
      <c r="B1720" s="2">
        <v>46054</v>
      </c>
      <c r="C1720" s="52">
        <v>8001.9</v>
      </c>
      <c r="D1720" s="48">
        <f>_xlfn.XLOOKUP(expected_production[[#This Row],[Site Name]],Table1[[Site Name ]],Table1[Commisioned Date],"")</f>
        <v>45889</v>
      </c>
      <c r="E1720" s="47">
        <f>IF(ISNUMBER(expected_production[[#This Row],[Commissioned Date]]),MAX(0,(expected_production[[#This Row],[Date]]-expected_production[[#This Row],[Commissioned Date]])/365.25),"")</f>
        <v>0.45174537987679669</v>
      </c>
      <c r="F1720" s="49">
        <f>IF(expected_production[[#This Row],[Age (yrs)]]="",1,(1-DegradationRate)^expected_production[[#This Row],[Age (yrs)]])</f>
        <v>0.99683169237002733</v>
      </c>
      <c r="G1720" s="52">
        <f>IF(expected_production[[#This Row],[Base Expected (kWh)]]="","",expected_production[[#This Row],[Base Expected (kWh)]]*expected_production[[#This Row],[Degradation Factor]])</f>
        <v>7976.5475191757214</v>
      </c>
    </row>
    <row r="1721" spans="1:7" ht="15" hidden="1" customHeight="1" x14ac:dyDescent="0.3">
      <c r="A1721" t="s">
        <v>213</v>
      </c>
      <c r="B1721" s="2">
        <v>46082</v>
      </c>
      <c r="C1721" s="52">
        <v>7803.9</v>
      </c>
      <c r="D1721" s="48">
        <f>_xlfn.XLOOKUP(expected_production[[#This Row],[Site Name]],Table1[[Site Name ]],Table1[Commisioned Date],"")</f>
        <v>45889</v>
      </c>
      <c r="E1721" s="47">
        <f>IF(ISNUMBER(expected_production[[#This Row],[Commissioned Date]]),MAX(0,(expected_production[[#This Row],[Date]]-expected_production[[#This Row],[Commissioned Date]])/365.25),"")</f>
        <v>0.52840520191649554</v>
      </c>
      <c r="F1721" s="49">
        <f>IF(expected_production[[#This Row],[Age (yrs)]]="",1,(1-DegradationRate)^expected_production[[#This Row],[Age (yrs)]])</f>
        <v>0.99629503729976254</v>
      </c>
      <c r="G1721" s="52">
        <f>IF(expected_production[[#This Row],[Base Expected (kWh)]]="","",expected_production[[#This Row],[Base Expected (kWh)]]*expected_production[[#This Row],[Degradation Factor]])</f>
        <v>7774.9868415836163</v>
      </c>
    </row>
    <row r="1722" spans="1:7" ht="15" hidden="1" customHeight="1" x14ac:dyDescent="0.3">
      <c r="A1722" t="s">
        <v>213</v>
      </c>
      <c r="B1722" s="2">
        <v>46113</v>
      </c>
      <c r="C1722" s="52">
        <v>6785.1</v>
      </c>
      <c r="D1722" s="48">
        <f>_xlfn.XLOOKUP(expected_production[[#This Row],[Site Name]],Table1[[Site Name ]],Table1[Commisioned Date],"")</f>
        <v>45889</v>
      </c>
      <c r="E1722" s="47">
        <f>IF(ISNUMBER(expected_production[[#This Row],[Commissioned Date]]),MAX(0,(expected_production[[#This Row],[Date]]-expected_production[[#This Row],[Commissioned Date]])/365.25),"")</f>
        <v>0.61327857631759064</v>
      </c>
      <c r="F1722" s="49">
        <f>IF(expected_production[[#This Row],[Age (yrs)]]="",1,(1-DegradationRate)^expected_production[[#This Row],[Age (yrs)]])</f>
        <v>0.99570122047044196</v>
      </c>
      <c r="G1722" s="52">
        <f>IF(expected_production[[#This Row],[Base Expected (kWh)]]="","",expected_production[[#This Row],[Base Expected (kWh)]]*expected_production[[#This Row],[Degradation Factor]])</f>
        <v>6755.9323510139957</v>
      </c>
    </row>
    <row r="1723" spans="1:7" ht="15" hidden="1" customHeight="1" x14ac:dyDescent="0.3">
      <c r="A1723" t="s">
        <v>213</v>
      </c>
      <c r="B1723" s="2">
        <v>46143</v>
      </c>
      <c r="C1723" s="52">
        <v>6244.2</v>
      </c>
      <c r="D1723" s="48">
        <f>_xlfn.XLOOKUP(expected_production[[#This Row],[Site Name]],Table1[[Site Name ]],Table1[Commisioned Date],"")</f>
        <v>45889</v>
      </c>
      <c r="E1723" s="47">
        <f>IF(ISNUMBER(expected_production[[#This Row],[Commissioned Date]]),MAX(0,(expected_production[[#This Row],[Date]]-expected_production[[#This Row],[Commissioned Date]])/365.25),"")</f>
        <v>0.69541409993155368</v>
      </c>
      <c r="F1723" s="49">
        <f>IF(expected_production[[#This Row],[Age (yrs)]]="",1,(1-DegradationRate)^expected_production[[#This Row],[Age (yrs)]])</f>
        <v>0.99512689601311044</v>
      </c>
      <c r="G1723" s="52">
        <f>IF(expected_production[[#This Row],[Base Expected (kWh)]]="","",expected_production[[#This Row],[Base Expected (kWh)]]*expected_production[[#This Row],[Degradation Factor]])</f>
        <v>6213.7713640850643</v>
      </c>
    </row>
    <row r="1724" spans="1:7" ht="15" hidden="1" customHeight="1" x14ac:dyDescent="0.3">
      <c r="A1724" t="s">
        <v>213</v>
      </c>
      <c r="B1724" s="2">
        <v>46174</v>
      </c>
      <c r="C1724" s="52">
        <v>5524.2</v>
      </c>
      <c r="D1724" s="48">
        <f>_xlfn.XLOOKUP(expected_production[[#This Row],[Site Name]],Table1[[Site Name ]],Table1[Commisioned Date],"")</f>
        <v>45889</v>
      </c>
      <c r="E1724" s="47">
        <f>IF(ISNUMBER(expected_production[[#This Row],[Commissioned Date]]),MAX(0,(expected_production[[#This Row],[Date]]-expected_production[[#This Row],[Commissioned Date]])/365.25),"")</f>
        <v>0.78028747433264889</v>
      </c>
      <c r="F1724" s="49">
        <f>IF(expected_production[[#This Row],[Age (yrs)]]="",1,(1-DegradationRate)^expected_production[[#This Row],[Age (yrs)]])</f>
        <v>0.99453377542529364</v>
      </c>
      <c r="G1724" s="52">
        <f>IF(expected_production[[#This Row],[Base Expected (kWh)]]="","",expected_production[[#This Row],[Base Expected (kWh)]]*expected_production[[#This Row],[Degradation Factor]])</f>
        <v>5494.0034822044072</v>
      </c>
    </row>
    <row r="1725" spans="1:7" ht="15" hidden="1" customHeight="1" x14ac:dyDescent="0.3">
      <c r="A1725" t="s">
        <v>213</v>
      </c>
      <c r="B1725" s="2">
        <v>46204</v>
      </c>
      <c r="C1725" s="52">
        <v>6086.7</v>
      </c>
      <c r="D1725" s="48">
        <f>_xlfn.XLOOKUP(expected_production[[#This Row],[Site Name]],Table1[[Site Name ]],Table1[Commisioned Date],"")</f>
        <v>45889</v>
      </c>
      <c r="E1725" s="47">
        <f>IF(ISNUMBER(expected_production[[#This Row],[Commissioned Date]]),MAX(0,(expected_production[[#This Row],[Date]]-expected_production[[#This Row],[Commissioned Date]])/365.25),"")</f>
        <v>0.86242299794661192</v>
      </c>
      <c r="F1725" s="49">
        <f>IF(expected_production[[#This Row],[Age (yrs)]]="",1,(1-DegradationRate)^expected_production[[#This Row],[Age (yrs)]])</f>
        <v>0.99396012435494629</v>
      </c>
      <c r="G1725" s="52">
        <f>IF(expected_production[[#This Row],[Base Expected (kWh)]]="","",expected_production[[#This Row],[Base Expected (kWh)]]*expected_production[[#This Row],[Degradation Factor]])</f>
        <v>6049.9370889112515</v>
      </c>
    </row>
    <row r="1726" spans="1:7" ht="15" hidden="1" customHeight="1" x14ac:dyDescent="0.3">
      <c r="A1726" t="s">
        <v>213</v>
      </c>
      <c r="B1726" s="2">
        <v>46235</v>
      </c>
      <c r="C1726" s="52">
        <v>7124</v>
      </c>
      <c r="D1726" s="48">
        <f>_xlfn.XLOOKUP(expected_production[[#This Row],[Site Name]],Table1[[Site Name ]],Table1[Commisioned Date],"")</f>
        <v>45889</v>
      </c>
      <c r="E1726" s="47">
        <f>IF(ISNUMBER(expected_production[[#This Row],[Commissioned Date]]),MAX(0,(expected_production[[#This Row],[Date]]-expected_production[[#This Row],[Commissioned Date]])/365.25),"")</f>
        <v>0.94729637234770703</v>
      </c>
      <c r="F1726" s="49">
        <f>IF(expected_production[[#This Row],[Age (yrs)]]="",1,(1-DegradationRate)^expected_production[[#This Row],[Age (yrs)]])</f>
        <v>0.99336769919230039</v>
      </c>
      <c r="G1726" s="52">
        <f>IF(expected_production[[#This Row],[Base Expected (kWh)]]="","",expected_production[[#This Row],[Base Expected (kWh)]]*expected_production[[#This Row],[Degradation Factor]])</f>
        <v>7076.7514890459479</v>
      </c>
    </row>
    <row r="1727" spans="1:7" ht="15" hidden="1" customHeight="1" x14ac:dyDescent="0.3">
      <c r="A1727" t="s">
        <v>213</v>
      </c>
      <c r="B1727" s="2">
        <v>46266</v>
      </c>
      <c r="C1727" s="52">
        <v>7864.2</v>
      </c>
      <c r="D1727" s="48">
        <f>_xlfn.XLOOKUP(expected_production[[#This Row],[Site Name]],Table1[[Site Name ]],Table1[Commisioned Date],"")</f>
        <v>45889</v>
      </c>
      <c r="E1727" s="47">
        <f>IF(ISNUMBER(expected_production[[#This Row],[Commissioned Date]]),MAX(0,(expected_production[[#This Row],[Date]]-expected_production[[#This Row],[Commissioned Date]])/365.25),"")</f>
        <v>1.0321697467488022</v>
      </c>
      <c r="F1727" s="49">
        <f>IF(expected_production[[#This Row],[Age (yrs)]]="",1,(1-DegradationRate)^expected_production[[#This Row],[Age (yrs)]])</f>
        <v>0.99277562712990952</v>
      </c>
      <c r="G1727" s="52">
        <f>IF(expected_production[[#This Row],[Base Expected (kWh)]]="","",expected_production[[#This Row],[Base Expected (kWh)]]*expected_production[[#This Row],[Degradation Factor]])</f>
        <v>7807.3860868750344</v>
      </c>
    </row>
    <row r="1728" spans="1:7" ht="15" hidden="1" customHeight="1" x14ac:dyDescent="0.3">
      <c r="A1728" t="s">
        <v>213</v>
      </c>
      <c r="B1728" s="2">
        <v>46296</v>
      </c>
      <c r="C1728" s="52">
        <v>9007.2000000000007</v>
      </c>
      <c r="D1728" s="48">
        <f>_xlfn.XLOOKUP(expected_production[[#This Row],[Site Name]],Table1[[Site Name ]],Table1[Commisioned Date],"")</f>
        <v>45889</v>
      </c>
      <c r="E1728" s="47">
        <f>IF(ISNUMBER(expected_production[[#This Row],[Commissioned Date]]),MAX(0,(expected_production[[#This Row],[Date]]-expected_production[[#This Row],[Commissioned Date]])/365.25),"")</f>
        <v>1.1143052703627652</v>
      </c>
      <c r="F1728" s="49">
        <f>IF(expected_production[[#This Row],[Age (yrs)]]="",1,(1-DegradationRate)^expected_production[[#This Row],[Age (yrs)]])</f>
        <v>0.99220299016655011</v>
      </c>
      <c r="G1728" s="52">
        <f>IF(expected_production[[#This Row],[Base Expected (kWh)]]="","",expected_production[[#This Row],[Base Expected (kWh)]]*expected_production[[#This Row],[Degradation Factor]])</f>
        <v>8936.9707730281516</v>
      </c>
    </row>
    <row r="1729" spans="1:7" ht="15" hidden="1" customHeight="1" x14ac:dyDescent="0.3">
      <c r="A1729" t="s">
        <v>213</v>
      </c>
      <c r="B1729" s="2">
        <v>46327</v>
      </c>
      <c r="C1729" s="52">
        <v>8999.1</v>
      </c>
      <c r="D1729" s="48">
        <f>_xlfn.XLOOKUP(expected_production[[#This Row],[Site Name]],Table1[[Site Name ]],Table1[Commisioned Date],"")</f>
        <v>45889</v>
      </c>
      <c r="E1729" s="47">
        <f>IF(ISNUMBER(expected_production[[#This Row],[Commissioned Date]]),MAX(0,(expected_production[[#This Row],[Date]]-expected_production[[#This Row],[Commissioned Date]])/365.25),"")</f>
        <v>1.1991786447638604</v>
      </c>
      <c r="F1729" s="49">
        <f>IF(expected_production[[#This Row],[Age (yrs)]]="",1,(1-DegradationRate)^expected_production[[#This Row],[Age (yrs)]])</f>
        <v>0.99161161229994954</v>
      </c>
      <c r="G1729" s="52">
        <f>IF(expected_production[[#This Row],[Base Expected (kWh)]]="","",expected_production[[#This Row],[Base Expected (kWh)]]*expected_production[[#This Row],[Degradation Factor]])</f>
        <v>8923.6120602484771</v>
      </c>
    </row>
    <row r="1730" spans="1:7" ht="15" hidden="1" customHeight="1" x14ac:dyDescent="0.3">
      <c r="A1730" t="s">
        <v>213</v>
      </c>
      <c r="B1730" s="2">
        <v>46357</v>
      </c>
      <c r="C1730" s="52">
        <v>9241.2000000000007</v>
      </c>
      <c r="D1730" s="48">
        <f>_xlfn.XLOOKUP(expected_production[[#This Row],[Site Name]],Table1[[Site Name ]],Table1[Commisioned Date],"")</f>
        <v>45889</v>
      </c>
      <c r="E1730" s="47">
        <f>IF(ISNUMBER(expected_production[[#This Row],[Commissioned Date]]),MAX(0,(expected_production[[#This Row],[Date]]-expected_production[[#This Row],[Commissioned Date]])/365.25),"")</f>
        <v>1.2813141683778233</v>
      </c>
      <c r="F1730" s="49">
        <f>IF(expected_production[[#This Row],[Age (yrs)]]="",1,(1-DegradationRate)^expected_production[[#This Row],[Age (yrs)]])</f>
        <v>0.99103964674501255</v>
      </c>
      <c r="G1730" s="52">
        <f>IF(expected_production[[#This Row],[Base Expected (kWh)]]="","",expected_production[[#This Row],[Base Expected (kWh)]]*expected_production[[#This Row],[Degradation Factor]])</f>
        <v>9158.3955835000106</v>
      </c>
    </row>
    <row r="1731" spans="1:7" ht="15" hidden="1" customHeight="1" x14ac:dyDescent="0.3">
      <c r="A1731" t="s">
        <v>216</v>
      </c>
      <c r="B1731" s="2">
        <v>45292</v>
      </c>
      <c r="C1731" s="52">
        <v>28699.56</v>
      </c>
      <c r="D1731" s="48">
        <f>_xlfn.XLOOKUP(expected_production[[#This Row],[Site Name]],Table1[[Site Name ]],Table1[Commisioned Date],"")</f>
        <v>45889</v>
      </c>
      <c r="E1731" s="47">
        <f>IF(ISNUMBER(expected_production[[#This Row],[Commissioned Date]]),MAX(0,(expected_production[[#This Row],[Date]]-expected_production[[#This Row],[Commissioned Date]])/365.25),"")</f>
        <v>0</v>
      </c>
      <c r="F1731" s="49">
        <f>IF(expected_production[[#This Row],[Age (yrs)]]="",1,(1-DegradationRate)^expected_production[[#This Row],[Age (yrs)]])</f>
        <v>1</v>
      </c>
      <c r="G1731" s="52">
        <f>IF(expected_production[[#This Row],[Base Expected (kWh)]]="","",expected_production[[#This Row],[Base Expected (kWh)]]*expected_production[[#This Row],[Degradation Factor]])</f>
        <v>28699.56</v>
      </c>
    </row>
    <row r="1732" spans="1:7" ht="15" hidden="1" customHeight="1" x14ac:dyDescent="0.3">
      <c r="A1732" t="s">
        <v>216</v>
      </c>
      <c r="B1732" s="2">
        <v>45323</v>
      </c>
      <c r="C1732" s="52">
        <v>24909.3</v>
      </c>
      <c r="D1732" s="48">
        <f>_xlfn.XLOOKUP(expected_production[[#This Row],[Site Name]],Table1[[Site Name ]],Table1[Commisioned Date],"")</f>
        <v>45889</v>
      </c>
      <c r="E1732" s="47">
        <f>IF(ISNUMBER(expected_production[[#This Row],[Commissioned Date]]),MAX(0,(expected_production[[#This Row],[Date]]-expected_production[[#This Row],[Commissioned Date]])/365.25),"")</f>
        <v>0</v>
      </c>
      <c r="F1732" s="49">
        <f>IF(expected_production[[#This Row],[Age (yrs)]]="",1,(1-DegradationRate)^expected_production[[#This Row],[Age (yrs)]])</f>
        <v>1</v>
      </c>
      <c r="G1732" s="52">
        <f>IF(expected_production[[#This Row],[Base Expected (kWh)]]="","",expected_production[[#This Row],[Base Expected (kWh)]]*expected_production[[#This Row],[Degradation Factor]])</f>
        <v>24909.3</v>
      </c>
    </row>
    <row r="1733" spans="1:7" ht="15" hidden="1" customHeight="1" x14ac:dyDescent="0.3">
      <c r="A1733" t="s">
        <v>216</v>
      </c>
      <c r="B1733" s="2">
        <v>45352</v>
      </c>
      <c r="C1733" s="52">
        <v>24570</v>
      </c>
      <c r="D1733" s="48">
        <f>_xlfn.XLOOKUP(expected_production[[#This Row],[Site Name]],Table1[[Site Name ]],Table1[Commisioned Date],"")</f>
        <v>45889</v>
      </c>
      <c r="E1733" s="47">
        <f>IF(ISNUMBER(expected_production[[#This Row],[Commissioned Date]]),MAX(0,(expected_production[[#This Row],[Date]]-expected_production[[#This Row],[Commissioned Date]])/365.25),"")</f>
        <v>0</v>
      </c>
      <c r="F1733" s="49">
        <f>IF(expected_production[[#This Row],[Age (yrs)]]="",1,(1-DegradationRate)^expected_production[[#This Row],[Age (yrs)]])</f>
        <v>1</v>
      </c>
      <c r="G1733" s="52">
        <f>IF(expected_production[[#This Row],[Base Expected (kWh)]]="","",expected_production[[#This Row],[Base Expected (kWh)]]*expected_production[[#This Row],[Degradation Factor]])</f>
        <v>24570</v>
      </c>
    </row>
    <row r="1734" spans="1:7" ht="15" hidden="1" customHeight="1" x14ac:dyDescent="0.3">
      <c r="A1734" t="s">
        <v>216</v>
      </c>
      <c r="B1734" s="2">
        <v>45383</v>
      </c>
      <c r="C1734" s="52">
        <v>21388.5</v>
      </c>
      <c r="D1734" s="48">
        <f>_xlfn.XLOOKUP(expected_production[[#This Row],[Site Name]],Table1[[Site Name ]],Table1[Commisioned Date],"")</f>
        <v>45889</v>
      </c>
      <c r="E1734" s="47">
        <f>IF(ISNUMBER(expected_production[[#This Row],[Commissioned Date]]),MAX(0,(expected_production[[#This Row],[Date]]-expected_production[[#This Row],[Commissioned Date]])/365.25),"")</f>
        <v>0</v>
      </c>
      <c r="F1734" s="49">
        <f>IF(expected_production[[#This Row],[Age (yrs)]]="",1,(1-DegradationRate)^expected_production[[#This Row],[Age (yrs)]])</f>
        <v>1</v>
      </c>
      <c r="G1734" s="52">
        <f>IF(expected_production[[#This Row],[Base Expected (kWh)]]="","",expected_production[[#This Row],[Base Expected (kWh)]]*expected_production[[#This Row],[Degradation Factor]])</f>
        <v>21388.5</v>
      </c>
    </row>
    <row r="1735" spans="1:7" ht="15" hidden="1" customHeight="1" x14ac:dyDescent="0.3">
      <c r="A1735" t="s">
        <v>216</v>
      </c>
      <c r="B1735" s="2">
        <v>45413</v>
      </c>
      <c r="C1735" s="52">
        <v>19723.5</v>
      </c>
      <c r="D1735" s="48">
        <f>_xlfn.XLOOKUP(expected_production[[#This Row],[Site Name]],Table1[[Site Name ]],Table1[Commisioned Date],"")</f>
        <v>45889</v>
      </c>
      <c r="E1735" s="47">
        <f>IF(ISNUMBER(expected_production[[#This Row],[Commissioned Date]]),MAX(0,(expected_production[[#This Row],[Date]]-expected_production[[#This Row],[Commissioned Date]])/365.25),"")</f>
        <v>0</v>
      </c>
      <c r="F1735" s="49">
        <f>IF(expected_production[[#This Row],[Age (yrs)]]="",1,(1-DegradationRate)^expected_production[[#This Row],[Age (yrs)]])</f>
        <v>1</v>
      </c>
      <c r="G1735" s="52">
        <f>IF(expected_production[[#This Row],[Base Expected (kWh)]]="","",expected_production[[#This Row],[Base Expected (kWh)]]*expected_production[[#This Row],[Degradation Factor]])</f>
        <v>19723.5</v>
      </c>
    </row>
    <row r="1736" spans="1:7" ht="15" hidden="1" customHeight="1" x14ac:dyDescent="0.3">
      <c r="A1736" t="s">
        <v>216</v>
      </c>
      <c r="B1736" s="2">
        <v>45444</v>
      </c>
      <c r="C1736" s="52">
        <v>17431.2</v>
      </c>
      <c r="D1736" s="48">
        <f>_xlfn.XLOOKUP(expected_production[[#This Row],[Site Name]],Table1[[Site Name ]],Table1[Commisioned Date],"")</f>
        <v>45889</v>
      </c>
      <c r="E1736" s="47">
        <f>IF(ISNUMBER(expected_production[[#This Row],[Commissioned Date]]),MAX(0,(expected_production[[#This Row],[Date]]-expected_production[[#This Row],[Commissioned Date]])/365.25),"")</f>
        <v>0</v>
      </c>
      <c r="F1736" s="49">
        <f>IF(expected_production[[#This Row],[Age (yrs)]]="",1,(1-DegradationRate)^expected_production[[#This Row],[Age (yrs)]])</f>
        <v>1</v>
      </c>
      <c r="G1736" s="52">
        <f>IF(expected_production[[#This Row],[Base Expected (kWh)]]="","",expected_production[[#This Row],[Base Expected (kWh)]]*expected_production[[#This Row],[Degradation Factor]])</f>
        <v>17431.2</v>
      </c>
    </row>
    <row r="1737" spans="1:7" ht="15" hidden="1" customHeight="1" x14ac:dyDescent="0.3">
      <c r="A1737" t="s">
        <v>216</v>
      </c>
      <c r="B1737" s="2">
        <v>45474</v>
      </c>
      <c r="C1737" s="52">
        <v>19181.7</v>
      </c>
      <c r="D1737" s="48">
        <f>_xlfn.XLOOKUP(expected_production[[#This Row],[Site Name]],Table1[[Site Name ]],Table1[Commisioned Date],"")</f>
        <v>45889</v>
      </c>
      <c r="E1737" s="47">
        <f>IF(ISNUMBER(expected_production[[#This Row],[Commissioned Date]]),MAX(0,(expected_production[[#This Row],[Date]]-expected_production[[#This Row],[Commissioned Date]])/365.25),"")</f>
        <v>0</v>
      </c>
      <c r="F1737" s="49">
        <f>IF(expected_production[[#This Row],[Age (yrs)]]="",1,(1-DegradationRate)^expected_production[[#This Row],[Age (yrs)]])</f>
        <v>1</v>
      </c>
      <c r="G1737" s="52">
        <f>IF(expected_production[[#This Row],[Base Expected (kWh)]]="","",expected_production[[#This Row],[Base Expected (kWh)]]*expected_production[[#This Row],[Degradation Factor]])</f>
        <v>19181.7</v>
      </c>
    </row>
    <row r="1738" spans="1:7" ht="15" hidden="1" customHeight="1" x14ac:dyDescent="0.3">
      <c r="A1738" t="s">
        <v>216</v>
      </c>
      <c r="B1738" s="2">
        <v>45505</v>
      </c>
      <c r="C1738" s="52">
        <v>7231.3548387096798</v>
      </c>
      <c r="D1738" s="48">
        <f>_xlfn.XLOOKUP(expected_production[[#This Row],[Site Name]],Table1[[Site Name ]],Table1[Commisioned Date],"")</f>
        <v>45889</v>
      </c>
      <c r="E1738" s="47">
        <f>IF(ISNUMBER(expected_production[[#This Row],[Commissioned Date]]),MAX(0,(expected_production[[#This Row],[Date]]-expected_production[[#This Row],[Commissioned Date]])/365.25),"")</f>
        <v>0</v>
      </c>
      <c r="F1738" s="49">
        <f>IF(expected_production[[#This Row],[Age (yrs)]]="",1,(1-DegradationRate)^expected_production[[#This Row],[Age (yrs)]])</f>
        <v>1</v>
      </c>
      <c r="G1738" s="52">
        <f>IF(expected_production[[#This Row],[Base Expected (kWh)]]="","",expected_production[[#This Row],[Base Expected (kWh)]]*expected_production[[#This Row],[Degradation Factor]])</f>
        <v>7231.3548387096798</v>
      </c>
    </row>
    <row r="1739" spans="1:7" ht="15" hidden="1" customHeight="1" x14ac:dyDescent="0.3">
      <c r="A1739" t="s">
        <v>216</v>
      </c>
      <c r="B1739" s="2">
        <v>45536</v>
      </c>
      <c r="C1739" s="52">
        <v>24780.6</v>
      </c>
      <c r="D1739" s="48">
        <f>_xlfn.XLOOKUP(expected_production[[#This Row],[Site Name]],Table1[[Site Name ]],Table1[Commisioned Date],"")</f>
        <v>45889</v>
      </c>
      <c r="E1739" s="47">
        <f>IF(ISNUMBER(expected_production[[#This Row],[Commissioned Date]]),MAX(0,(expected_production[[#This Row],[Date]]-expected_production[[#This Row],[Commissioned Date]])/365.25),"")</f>
        <v>0</v>
      </c>
      <c r="F1739" s="49">
        <f>IF(expected_production[[#This Row],[Age (yrs)]]="",1,(1-DegradationRate)^expected_production[[#This Row],[Age (yrs)]])</f>
        <v>1</v>
      </c>
      <c r="G1739" s="52">
        <f>IF(expected_production[[#This Row],[Base Expected (kWh)]]="","",expected_production[[#This Row],[Base Expected (kWh)]]*expected_production[[#This Row],[Degradation Factor]])</f>
        <v>24780.6</v>
      </c>
    </row>
    <row r="1740" spans="1:7" ht="15" hidden="1" customHeight="1" x14ac:dyDescent="0.3">
      <c r="A1740" t="s">
        <v>216</v>
      </c>
      <c r="B1740" s="2">
        <v>45566</v>
      </c>
      <c r="C1740" s="52">
        <v>28127.7</v>
      </c>
      <c r="D1740" s="48">
        <f>_xlfn.XLOOKUP(expected_production[[#This Row],[Site Name]],Table1[[Site Name ]],Table1[Commisioned Date],"")</f>
        <v>45889</v>
      </c>
      <c r="E1740" s="47">
        <f>IF(ISNUMBER(expected_production[[#This Row],[Commissioned Date]]),MAX(0,(expected_production[[#This Row],[Date]]-expected_production[[#This Row],[Commissioned Date]])/365.25),"")</f>
        <v>0</v>
      </c>
      <c r="F1740" s="49">
        <f>IF(expected_production[[#This Row],[Age (yrs)]]="",1,(1-DegradationRate)^expected_production[[#This Row],[Age (yrs)]])</f>
        <v>1</v>
      </c>
      <c r="G1740" s="52">
        <f>IF(expected_production[[#This Row],[Base Expected (kWh)]]="","",expected_production[[#This Row],[Base Expected (kWh)]]*expected_production[[#This Row],[Degradation Factor]])</f>
        <v>28127.7</v>
      </c>
    </row>
    <row r="1741" spans="1:7" ht="15" hidden="1" customHeight="1" x14ac:dyDescent="0.3">
      <c r="A1741" t="s">
        <v>216</v>
      </c>
      <c r="B1741" s="2">
        <v>45597</v>
      </c>
      <c r="C1741" s="52">
        <v>28061.1</v>
      </c>
      <c r="D1741" s="48">
        <f>_xlfn.XLOOKUP(expected_production[[#This Row],[Site Name]],Table1[[Site Name ]],Table1[Commisioned Date],"")</f>
        <v>45889</v>
      </c>
      <c r="E1741" s="47">
        <f>IF(ISNUMBER(expected_production[[#This Row],[Commissioned Date]]),MAX(0,(expected_production[[#This Row],[Date]]-expected_production[[#This Row],[Commissioned Date]])/365.25),"")</f>
        <v>0</v>
      </c>
      <c r="F1741" s="49">
        <f>IF(expected_production[[#This Row],[Age (yrs)]]="",1,(1-DegradationRate)^expected_production[[#This Row],[Age (yrs)]])</f>
        <v>1</v>
      </c>
      <c r="G1741" s="52">
        <f>IF(expected_production[[#This Row],[Base Expected (kWh)]]="","",expected_production[[#This Row],[Base Expected (kWh)]]*expected_production[[#This Row],[Degradation Factor]])</f>
        <v>28061.1</v>
      </c>
    </row>
    <row r="1742" spans="1:7" ht="15" hidden="1" customHeight="1" x14ac:dyDescent="0.3">
      <c r="A1742" t="s">
        <v>216</v>
      </c>
      <c r="B1742" s="2">
        <v>45627</v>
      </c>
      <c r="C1742" s="52">
        <v>28703.7</v>
      </c>
      <c r="D1742" s="48">
        <f>_xlfn.XLOOKUP(expected_production[[#This Row],[Site Name]],Table1[[Site Name ]],Table1[Commisioned Date],"")</f>
        <v>45889</v>
      </c>
      <c r="E1742" s="47">
        <f>IF(ISNUMBER(expected_production[[#This Row],[Commissioned Date]]),MAX(0,(expected_production[[#This Row],[Date]]-expected_production[[#This Row],[Commissioned Date]])/365.25),"")</f>
        <v>0</v>
      </c>
      <c r="F1742" s="49">
        <f>IF(expected_production[[#This Row],[Age (yrs)]]="",1,(1-DegradationRate)^expected_production[[#This Row],[Age (yrs)]])</f>
        <v>1</v>
      </c>
      <c r="G1742" s="52">
        <f>IF(expected_production[[#This Row],[Base Expected (kWh)]]="","",expected_production[[#This Row],[Base Expected (kWh)]]*expected_production[[#This Row],[Degradation Factor]])</f>
        <v>28703.7</v>
      </c>
    </row>
    <row r="1743" spans="1:7" ht="15" hidden="1" customHeight="1" x14ac:dyDescent="0.3">
      <c r="A1743" t="s">
        <v>216</v>
      </c>
      <c r="B1743" s="2">
        <v>45658</v>
      </c>
      <c r="C1743" s="52">
        <v>28699.56</v>
      </c>
      <c r="D1743" s="48">
        <f>_xlfn.XLOOKUP(expected_production[[#This Row],[Site Name]],Table1[[Site Name ]],Table1[Commisioned Date],"")</f>
        <v>45889</v>
      </c>
      <c r="E1743" s="47">
        <f>IF(ISNUMBER(expected_production[[#This Row],[Commissioned Date]]),MAX(0,(expected_production[[#This Row],[Date]]-expected_production[[#This Row],[Commissioned Date]])/365.25),"")</f>
        <v>0</v>
      </c>
      <c r="F1743" s="49">
        <f>IF(expected_production[[#This Row],[Age (yrs)]]="",1,(1-DegradationRate)^expected_production[[#This Row],[Age (yrs)]])</f>
        <v>1</v>
      </c>
      <c r="G1743" s="52">
        <f>IF(expected_production[[#This Row],[Base Expected (kWh)]]="","",expected_production[[#This Row],[Base Expected (kWh)]]*expected_production[[#This Row],[Degradation Factor]])</f>
        <v>28699.56</v>
      </c>
    </row>
    <row r="1744" spans="1:7" ht="15" hidden="1" customHeight="1" x14ac:dyDescent="0.3">
      <c r="A1744" t="s">
        <v>216</v>
      </c>
      <c r="B1744" s="2">
        <v>45689</v>
      </c>
      <c r="C1744" s="52">
        <v>24909.3</v>
      </c>
      <c r="D1744" s="48">
        <f>_xlfn.XLOOKUP(expected_production[[#This Row],[Site Name]],Table1[[Site Name ]],Table1[Commisioned Date],"")</f>
        <v>45889</v>
      </c>
      <c r="E1744" s="47">
        <f>IF(ISNUMBER(expected_production[[#This Row],[Commissioned Date]]),MAX(0,(expected_production[[#This Row],[Date]]-expected_production[[#This Row],[Commissioned Date]])/365.25),"")</f>
        <v>0</v>
      </c>
      <c r="F1744" s="49">
        <f>IF(expected_production[[#This Row],[Age (yrs)]]="",1,(1-DegradationRate)^expected_production[[#This Row],[Age (yrs)]])</f>
        <v>1</v>
      </c>
      <c r="G1744" s="52">
        <f>IF(expected_production[[#This Row],[Base Expected (kWh)]]="","",expected_production[[#This Row],[Base Expected (kWh)]]*expected_production[[#This Row],[Degradation Factor]])</f>
        <v>24909.3</v>
      </c>
    </row>
    <row r="1745" spans="1:7" ht="15" hidden="1" customHeight="1" x14ac:dyDescent="0.3">
      <c r="A1745" t="s">
        <v>216</v>
      </c>
      <c r="B1745" s="2">
        <v>45717</v>
      </c>
      <c r="C1745" s="52">
        <v>24570</v>
      </c>
      <c r="D1745" s="48">
        <f>_xlfn.XLOOKUP(expected_production[[#This Row],[Site Name]],Table1[[Site Name ]],Table1[Commisioned Date],"")</f>
        <v>45889</v>
      </c>
      <c r="E1745" s="47">
        <f>IF(ISNUMBER(expected_production[[#This Row],[Commissioned Date]]),MAX(0,(expected_production[[#This Row],[Date]]-expected_production[[#This Row],[Commissioned Date]])/365.25),"")</f>
        <v>0</v>
      </c>
      <c r="F1745" s="49">
        <f>IF(expected_production[[#This Row],[Age (yrs)]]="",1,(1-DegradationRate)^expected_production[[#This Row],[Age (yrs)]])</f>
        <v>1</v>
      </c>
      <c r="G1745" s="52">
        <f>IF(expected_production[[#This Row],[Base Expected (kWh)]]="","",expected_production[[#This Row],[Base Expected (kWh)]]*expected_production[[#This Row],[Degradation Factor]])</f>
        <v>24570</v>
      </c>
    </row>
    <row r="1746" spans="1:7" ht="15" hidden="1" customHeight="1" x14ac:dyDescent="0.3">
      <c r="A1746" t="s">
        <v>216</v>
      </c>
      <c r="B1746" s="2">
        <v>45748</v>
      </c>
      <c r="C1746" s="52">
        <v>21388.5</v>
      </c>
      <c r="D1746" s="48">
        <f>_xlfn.XLOOKUP(expected_production[[#This Row],[Site Name]],Table1[[Site Name ]],Table1[Commisioned Date],"")</f>
        <v>45889</v>
      </c>
      <c r="E1746" s="47">
        <f>IF(ISNUMBER(expected_production[[#This Row],[Commissioned Date]]),MAX(0,(expected_production[[#This Row],[Date]]-expected_production[[#This Row],[Commissioned Date]])/365.25),"")</f>
        <v>0</v>
      </c>
      <c r="F1746" s="49">
        <f>IF(expected_production[[#This Row],[Age (yrs)]]="",1,(1-DegradationRate)^expected_production[[#This Row],[Age (yrs)]])</f>
        <v>1</v>
      </c>
      <c r="G1746" s="52">
        <f>IF(expected_production[[#This Row],[Base Expected (kWh)]]="","",expected_production[[#This Row],[Base Expected (kWh)]]*expected_production[[#This Row],[Degradation Factor]])</f>
        <v>21388.5</v>
      </c>
    </row>
    <row r="1747" spans="1:7" ht="15" hidden="1" customHeight="1" x14ac:dyDescent="0.3">
      <c r="A1747" t="s">
        <v>216</v>
      </c>
      <c r="B1747" s="2">
        <v>45778</v>
      </c>
      <c r="C1747" s="52">
        <v>19723.5</v>
      </c>
      <c r="D1747" s="48">
        <f>_xlfn.XLOOKUP(expected_production[[#This Row],[Site Name]],Table1[[Site Name ]],Table1[Commisioned Date],"")</f>
        <v>45889</v>
      </c>
      <c r="E1747" s="47">
        <f>IF(ISNUMBER(expected_production[[#This Row],[Commissioned Date]]),MAX(0,(expected_production[[#This Row],[Date]]-expected_production[[#This Row],[Commissioned Date]])/365.25),"")</f>
        <v>0</v>
      </c>
      <c r="F1747" s="49">
        <f>IF(expected_production[[#This Row],[Age (yrs)]]="",1,(1-DegradationRate)^expected_production[[#This Row],[Age (yrs)]])</f>
        <v>1</v>
      </c>
      <c r="G1747" s="52">
        <f>IF(expected_production[[#This Row],[Base Expected (kWh)]]="","",expected_production[[#This Row],[Base Expected (kWh)]]*expected_production[[#This Row],[Degradation Factor]])</f>
        <v>19723.5</v>
      </c>
    </row>
    <row r="1748" spans="1:7" ht="15" hidden="1" customHeight="1" x14ac:dyDescent="0.3">
      <c r="A1748" t="s">
        <v>216</v>
      </c>
      <c r="B1748" s="2">
        <v>45809</v>
      </c>
      <c r="C1748" s="52">
        <v>17431.2</v>
      </c>
      <c r="D1748" s="48">
        <f>_xlfn.XLOOKUP(expected_production[[#This Row],[Site Name]],Table1[[Site Name ]],Table1[Commisioned Date],"")</f>
        <v>45889</v>
      </c>
      <c r="E1748" s="47">
        <f>IF(ISNUMBER(expected_production[[#This Row],[Commissioned Date]]),MAX(0,(expected_production[[#This Row],[Date]]-expected_production[[#This Row],[Commissioned Date]])/365.25),"")</f>
        <v>0</v>
      </c>
      <c r="F1748" s="49">
        <f>IF(expected_production[[#This Row],[Age (yrs)]]="",1,(1-DegradationRate)^expected_production[[#This Row],[Age (yrs)]])</f>
        <v>1</v>
      </c>
      <c r="G1748" s="52">
        <f>IF(expected_production[[#This Row],[Base Expected (kWh)]]="","",expected_production[[#This Row],[Base Expected (kWh)]]*expected_production[[#This Row],[Degradation Factor]])</f>
        <v>17431.2</v>
      </c>
    </row>
    <row r="1749" spans="1:7" ht="15" hidden="1" customHeight="1" x14ac:dyDescent="0.3">
      <c r="A1749" t="s">
        <v>216</v>
      </c>
      <c r="B1749" s="2">
        <v>45839</v>
      </c>
      <c r="C1749" s="52">
        <v>19181.7</v>
      </c>
      <c r="D1749" s="48">
        <f>_xlfn.XLOOKUP(expected_production[[#This Row],[Site Name]],Table1[[Site Name ]],Table1[Commisioned Date],"")</f>
        <v>45889</v>
      </c>
      <c r="E1749" s="47">
        <f>IF(ISNUMBER(expected_production[[#This Row],[Commissioned Date]]),MAX(0,(expected_production[[#This Row],[Date]]-expected_production[[#This Row],[Commissioned Date]])/365.25),"")</f>
        <v>0</v>
      </c>
      <c r="F1749" s="49">
        <f>IF(expected_production[[#This Row],[Age (yrs)]]="",1,(1-DegradationRate)^expected_production[[#This Row],[Age (yrs)]])</f>
        <v>1</v>
      </c>
      <c r="G1749" s="52">
        <f>IF(expected_production[[#This Row],[Base Expected (kWh)]]="","",expected_production[[#This Row],[Base Expected (kWh)]]*expected_production[[#This Row],[Degradation Factor]])</f>
        <v>19181.7</v>
      </c>
    </row>
    <row r="1750" spans="1:7" ht="15" hidden="1" customHeight="1" x14ac:dyDescent="0.3">
      <c r="A1750" t="s">
        <v>216</v>
      </c>
      <c r="B1750" s="2">
        <v>45870</v>
      </c>
      <c r="C1750" s="52">
        <v>7231.3548387096798</v>
      </c>
      <c r="D1750" s="48">
        <f>_xlfn.XLOOKUP(expected_production[[#This Row],[Site Name]],Table1[[Site Name ]],Table1[Commisioned Date],"")</f>
        <v>45889</v>
      </c>
      <c r="E1750" s="47">
        <f>IF(ISNUMBER(expected_production[[#This Row],[Commissioned Date]]),MAX(0,(expected_production[[#This Row],[Date]]-expected_production[[#This Row],[Commissioned Date]])/365.25),"")</f>
        <v>0</v>
      </c>
      <c r="F1750" s="49">
        <f>IF(expected_production[[#This Row],[Age (yrs)]]="",1,(1-DegradationRate)^expected_production[[#This Row],[Age (yrs)]])</f>
        <v>1</v>
      </c>
      <c r="G1750" s="52">
        <f>IF(expected_production[[#This Row],[Base Expected (kWh)]]="","",expected_production[[#This Row],[Base Expected (kWh)]]*expected_production[[#This Row],[Degradation Factor]])</f>
        <v>7231.3548387096798</v>
      </c>
    </row>
    <row r="1751" spans="1:7" ht="15" hidden="1" customHeight="1" x14ac:dyDescent="0.3">
      <c r="A1751" t="s">
        <v>216</v>
      </c>
      <c r="B1751" s="2">
        <v>45901</v>
      </c>
      <c r="C1751" s="52">
        <v>24780.6</v>
      </c>
      <c r="D1751" s="48">
        <f>_xlfn.XLOOKUP(expected_production[[#This Row],[Site Name]],Table1[[Site Name ]],Table1[Commisioned Date],"")</f>
        <v>45889</v>
      </c>
      <c r="E1751" s="47">
        <f>IF(ISNUMBER(expected_production[[#This Row],[Commissioned Date]]),MAX(0,(expected_production[[#This Row],[Date]]-expected_production[[#This Row],[Commissioned Date]])/365.25),"")</f>
        <v>3.2854209445585217E-2</v>
      </c>
      <c r="F1751" s="49">
        <f>IF(expected_production[[#This Row],[Age (yrs)]]="",1,(1-DegradationRate)^expected_production[[#This Row],[Age (yrs)]])</f>
        <v>0.99976923845912757</v>
      </c>
      <c r="G1751" s="52">
        <f>IF(expected_production[[#This Row],[Base Expected (kWh)]]="","",expected_production[[#This Row],[Base Expected (kWh)]]*expected_production[[#This Row],[Degradation Factor]])</f>
        <v>24774.881590560257</v>
      </c>
    </row>
    <row r="1752" spans="1:7" ht="15" hidden="1" customHeight="1" x14ac:dyDescent="0.3">
      <c r="A1752" t="s">
        <v>216</v>
      </c>
      <c r="B1752" s="2">
        <v>45931</v>
      </c>
      <c r="C1752" s="52">
        <v>28127.7</v>
      </c>
      <c r="D1752" s="48">
        <f>_xlfn.XLOOKUP(expected_production[[#This Row],[Site Name]],Table1[[Site Name ]],Table1[Commisioned Date],"")</f>
        <v>45889</v>
      </c>
      <c r="E1752" s="47">
        <f>IF(ISNUMBER(expected_production[[#This Row],[Commissioned Date]]),MAX(0,(expected_production[[#This Row],[Date]]-expected_production[[#This Row],[Commissioned Date]])/365.25),"")</f>
        <v>0.11498973305954825</v>
      </c>
      <c r="F1752" s="49">
        <f>IF(expected_production[[#This Row],[Age (yrs)]]="",1,(1-DegradationRate)^expected_production[[#This Row],[Age (yrs)]])</f>
        <v>0.99919256755270491</v>
      </c>
      <c r="G1752" s="52">
        <f>IF(expected_production[[#This Row],[Base Expected (kWh)]]="","",expected_production[[#This Row],[Base Expected (kWh)]]*expected_production[[#This Row],[Degradation Factor]])</f>
        <v>28104.988782352219</v>
      </c>
    </row>
    <row r="1753" spans="1:7" ht="15" hidden="1" customHeight="1" x14ac:dyDescent="0.3">
      <c r="A1753" t="s">
        <v>216</v>
      </c>
      <c r="B1753" s="2">
        <v>45962</v>
      </c>
      <c r="C1753" s="52">
        <v>28061.1</v>
      </c>
      <c r="D1753" s="48">
        <f>_xlfn.XLOOKUP(expected_production[[#This Row],[Site Name]],Table1[[Site Name ]],Table1[Commisioned Date],"")</f>
        <v>45889</v>
      </c>
      <c r="E1753" s="47">
        <f>IF(ISNUMBER(expected_production[[#This Row],[Commissioned Date]]),MAX(0,(expected_production[[#This Row],[Date]]-expected_production[[#This Row],[Commissioned Date]])/365.25),"")</f>
        <v>0.1998631074606434</v>
      </c>
      <c r="F1753" s="49">
        <f>IF(expected_production[[#This Row],[Age (yrs)]]="",1,(1-DegradationRate)^expected_production[[#This Row],[Age (yrs)]])</f>
        <v>0.99859702372268344</v>
      </c>
      <c r="G1753" s="52">
        <f>IF(expected_production[[#This Row],[Base Expected (kWh)]]="","",expected_production[[#This Row],[Base Expected (kWh)]]*expected_production[[#This Row],[Degradation Factor]])</f>
        <v>28021.730942384591</v>
      </c>
    </row>
    <row r="1754" spans="1:7" ht="15" hidden="1" customHeight="1" x14ac:dyDescent="0.3">
      <c r="A1754" t="s">
        <v>216</v>
      </c>
      <c r="B1754" s="2">
        <v>45992</v>
      </c>
      <c r="C1754" s="52">
        <v>28703.7</v>
      </c>
      <c r="D1754" s="48">
        <f>_xlfn.XLOOKUP(expected_production[[#This Row],[Site Name]],Table1[[Site Name ]],Table1[Commisioned Date],"")</f>
        <v>45889</v>
      </c>
      <c r="E1754" s="47">
        <f>IF(ISNUMBER(expected_production[[#This Row],[Commissioned Date]]),MAX(0,(expected_production[[#This Row],[Date]]-expected_production[[#This Row],[Commissioned Date]])/365.25),"")</f>
        <v>0.28199863107460643</v>
      </c>
      <c r="F1754" s="49">
        <f>IF(expected_production[[#This Row],[Age (yrs)]]="",1,(1-DegradationRate)^expected_production[[#This Row],[Age (yrs)]])</f>
        <v>0.99802102895442202</v>
      </c>
      <c r="G1754" s="52">
        <f>IF(expected_production[[#This Row],[Base Expected (kWh)]]="","",expected_production[[#This Row],[Base Expected (kWh)]]*expected_production[[#This Row],[Degradation Factor]])</f>
        <v>28646.896208799044</v>
      </c>
    </row>
    <row r="1755" spans="1:7" ht="15" hidden="1" customHeight="1" x14ac:dyDescent="0.3">
      <c r="A1755" t="s">
        <v>216</v>
      </c>
      <c r="B1755" s="2">
        <v>46023</v>
      </c>
      <c r="C1755" s="52">
        <v>28699.56</v>
      </c>
      <c r="D1755" s="48">
        <f>_xlfn.XLOOKUP(expected_production[[#This Row],[Site Name]],Table1[[Site Name ]],Table1[Commisioned Date],"")</f>
        <v>45889</v>
      </c>
      <c r="E1755" s="47">
        <f>IF(ISNUMBER(expected_production[[#This Row],[Commissioned Date]]),MAX(0,(expected_production[[#This Row],[Date]]-expected_production[[#This Row],[Commissioned Date]])/365.25),"")</f>
        <v>0.36687200547570159</v>
      </c>
      <c r="F1755" s="49">
        <f>IF(expected_production[[#This Row],[Age (yrs)]]="",1,(1-DegradationRate)^expected_production[[#This Row],[Age (yrs)]])</f>
        <v>0.99742618339078737</v>
      </c>
      <c r="G1755" s="52">
        <f>IF(expected_production[[#This Row],[Base Expected (kWh)]]="","",expected_production[[#This Row],[Base Expected (kWh)]]*expected_production[[#This Row],[Degradation Factor]])</f>
        <v>28625.692595794906</v>
      </c>
    </row>
    <row r="1756" spans="1:7" ht="15" hidden="1" customHeight="1" x14ac:dyDescent="0.3">
      <c r="A1756" t="s">
        <v>216</v>
      </c>
      <c r="B1756" s="2">
        <v>46054</v>
      </c>
      <c r="C1756" s="52">
        <v>24909.3</v>
      </c>
      <c r="D1756" s="48">
        <f>_xlfn.XLOOKUP(expected_production[[#This Row],[Site Name]],Table1[[Site Name ]],Table1[Commisioned Date],"")</f>
        <v>45889</v>
      </c>
      <c r="E1756" s="47">
        <f>IF(ISNUMBER(expected_production[[#This Row],[Commissioned Date]]),MAX(0,(expected_production[[#This Row],[Date]]-expected_production[[#This Row],[Commissioned Date]])/365.25),"")</f>
        <v>0.45174537987679669</v>
      </c>
      <c r="F1756" s="49">
        <f>IF(expected_production[[#This Row],[Age (yrs)]]="",1,(1-DegradationRate)^expected_production[[#This Row],[Age (yrs)]])</f>
        <v>0.99683169237002733</v>
      </c>
      <c r="G1756" s="52">
        <f>IF(expected_production[[#This Row],[Base Expected (kWh)]]="","",expected_production[[#This Row],[Base Expected (kWh)]]*expected_production[[#This Row],[Degradation Factor]])</f>
        <v>24830.379674752719</v>
      </c>
    </row>
    <row r="1757" spans="1:7" ht="15" hidden="1" customHeight="1" x14ac:dyDescent="0.3">
      <c r="A1757" t="s">
        <v>216</v>
      </c>
      <c r="B1757" s="2">
        <v>46082</v>
      </c>
      <c r="C1757" s="52">
        <v>24570</v>
      </c>
      <c r="D1757" s="48">
        <f>_xlfn.XLOOKUP(expected_production[[#This Row],[Site Name]],Table1[[Site Name ]],Table1[Commisioned Date],"")</f>
        <v>45889</v>
      </c>
      <c r="E1757" s="47">
        <f>IF(ISNUMBER(expected_production[[#This Row],[Commissioned Date]]),MAX(0,(expected_production[[#This Row],[Date]]-expected_production[[#This Row],[Commissioned Date]])/365.25),"")</f>
        <v>0.52840520191649554</v>
      </c>
      <c r="F1757" s="49">
        <f>IF(expected_production[[#This Row],[Age (yrs)]]="",1,(1-DegradationRate)^expected_production[[#This Row],[Age (yrs)]])</f>
        <v>0.99629503729976254</v>
      </c>
      <c r="G1757" s="52">
        <f>IF(expected_production[[#This Row],[Base Expected (kWh)]]="","",expected_production[[#This Row],[Base Expected (kWh)]]*expected_production[[#This Row],[Degradation Factor]])</f>
        <v>24478.969066455167</v>
      </c>
    </row>
    <row r="1758" spans="1:7" ht="15" hidden="1" customHeight="1" x14ac:dyDescent="0.3">
      <c r="A1758" t="s">
        <v>216</v>
      </c>
      <c r="B1758" s="2">
        <v>46113</v>
      </c>
      <c r="C1758" s="52">
        <v>21388.5</v>
      </c>
      <c r="D1758" s="48">
        <f>_xlfn.XLOOKUP(expected_production[[#This Row],[Site Name]],Table1[[Site Name ]],Table1[Commisioned Date],"")</f>
        <v>45889</v>
      </c>
      <c r="E1758" s="47">
        <f>IF(ISNUMBER(expected_production[[#This Row],[Commissioned Date]]),MAX(0,(expected_production[[#This Row],[Date]]-expected_production[[#This Row],[Commissioned Date]])/365.25),"")</f>
        <v>0.61327857631759064</v>
      </c>
      <c r="F1758" s="49">
        <f>IF(expected_production[[#This Row],[Age (yrs)]]="",1,(1-DegradationRate)^expected_production[[#This Row],[Age (yrs)]])</f>
        <v>0.99570122047044196</v>
      </c>
      <c r="G1758" s="52">
        <f>IF(expected_production[[#This Row],[Base Expected (kWh)]]="","",expected_production[[#This Row],[Base Expected (kWh)]]*expected_production[[#This Row],[Degradation Factor]])</f>
        <v>21296.555554032049</v>
      </c>
    </row>
    <row r="1759" spans="1:7" ht="15" hidden="1" customHeight="1" x14ac:dyDescent="0.3">
      <c r="A1759" t="s">
        <v>216</v>
      </c>
      <c r="B1759" s="2">
        <v>46143</v>
      </c>
      <c r="C1759" s="52">
        <v>19723.5</v>
      </c>
      <c r="D1759" s="48">
        <f>_xlfn.XLOOKUP(expected_production[[#This Row],[Site Name]],Table1[[Site Name ]],Table1[Commisioned Date],"")</f>
        <v>45889</v>
      </c>
      <c r="E1759" s="47">
        <f>IF(ISNUMBER(expected_production[[#This Row],[Commissioned Date]]),MAX(0,(expected_production[[#This Row],[Date]]-expected_production[[#This Row],[Commissioned Date]])/365.25),"")</f>
        <v>0.69541409993155368</v>
      </c>
      <c r="F1759" s="49">
        <f>IF(expected_production[[#This Row],[Age (yrs)]]="",1,(1-DegradationRate)^expected_production[[#This Row],[Age (yrs)]])</f>
        <v>0.99512689601311044</v>
      </c>
      <c r="G1759" s="52">
        <f>IF(expected_production[[#This Row],[Base Expected (kWh)]]="","",expected_production[[#This Row],[Base Expected (kWh)]]*expected_production[[#This Row],[Degradation Factor]])</f>
        <v>19627.385333514583</v>
      </c>
    </row>
    <row r="1760" spans="1:7" ht="15" hidden="1" customHeight="1" x14ac:dyDescent="0.3">
      <c r="A1760" t="s">
        <v>216</v>
      </c>
      <c r="B1760" s="2">
        <v>46174</v>
      </c>
      <c r="C1760" s="52">
        <v>17431.2</v>
      </c>
      <c r="D1760" s="48">
        <f>_xlfn.XLOOKUP(expected_production[[#This Row],[Site Name]],Table1[[Site Name ]],Table1[Commisioned Date],"")</f>
        <v>45889</v>
      </c>
      <c r="E1760" s="47">
        <f>IF(ISNUMBER(expected_production[[#This Row],[Commissioned Date]]),MAX(0,(expected_production[[#This Row],[Date]]-expected_production[[#This Row],[Commissioned Date]])/365.25),"")</f>
        <v>0.78028747433264889</v>
      </c>
      <c r="F1760" s="49">
        <f>IF(expected_production[[#This Row],[Age (yrs)]]="",1,(1-DegradationRate)^expected_production[[#This Row],[Age (yrs)]])</f>
        <v>0.99453377542529364</v>
      </c>
      <c r="G1760" s="52">
        <f>IF(expected_production[[#This Row],[Base Expected (kWh)]]="","",expected_production[[#This Row],[Base Expected (kWh)]]*expected_production[[#This Row],[Degradation Factor]])</f>
        <v>17335.91714619338</v>
      </c>
    </row>
    <row r="1761" spans="1:7" ht="15" hidden="1" customHeight="1" x14ac:dyDescent="0.3">
      <c r="A1761" t="s">
        <v>216</v>
      </c>
      <c r="B1761" s="2">
        <v>46204</v>
      </c>
      <c r="C1761" s="52">
        <v>19181.7</v>
      </c>
      <c r="D1761" s="48">
        <f>_xlfn.XLOOKUP(expected_production[[#This Row],[Site Name]],Table1[[Site Name ]],Table1[Commisioned Date],"")</f>
        <v>45889</v>
      </c>
      <c r="E1761" s="47">
        <f>IF(ISNUMBER(expected_production[[#This Row],[Commissioned Date]]),MAX(0,(expected_production[[#This Row],[Date]]-expected_production[[#This Row],[Commissioned Date]])/365.25),"")</f>
        <v>0.86242299794661192</v>
      </c>
      <c r="F1761" s="49">
        <f>IF(expected_production[[#This Row],[Age (yrs)]]="",1,(1-DegradationRate)^expected_production[[#This Row],[Age (yrs)]])</f>
        <v>0.99396012435494629</v>
      </c>
      <c r="G1761" s="52">
        <f>IF(expected_production[[#This Row],[Base Expected (kWh)]]="","",expected_production[[#This Row],[Base Expected (kWh)]]*expected_production[[#This Row],[Degradation Factor]])</f>
        <v>19065.844917339273</v>
      </c>
    </row>
    <row r="1762" spans="1:7" ht="15" hidden="1" customHeight="1" x14ac:dyDescent="0.3">
      <c r="A1762" t="s">
        <v>216</v>
      </c>
      <c r="B1762" s="2">
        <v>46235</v>
      </c>
      <c r="C1762" s="52">
        <v>22417</v>
      </c>
      <c r="D1762" s="48">
        <f>_xlfn.XLOOKUP(expected_production[[#This Row],[Site Name]],Table1[[Site Name ]],Table1[Commisioned Date],"")</f>
        <v>45889</v>
      </c>
      <c r="E1762" s="47">
        <f>IF(ISNUMBER(expected_production[[#This Row],[Commissioned Date]]),MAX(0,(expected_production[[#This Row],[Date]]-expected_production[[#This Row],[Commissioned Date]])/365.25),"")</f>
        <v>0.94729637234770703</v>
      </c>
      <c r="F1762" s="49">
        <f>IF(expected_production[[#This Row],[Age (yrs)]]="",1,(1-DegradationRate)^expected_production[[#This Row],[Age (yrs)]])</f>
        <v>0.99336769919230039</v>
      </c>
      <c r="G1762" s="52">
        <f>IF(expected_production[[#This Row],[Base Expected (kWh)]]="","",expected_production[[#This Row],[Base Expected (kWh)]]*expected_production[[#This Row],[Degradation Factor]])</f>
        <v>22268.323712793797</v>
      </c>
    </row>
    <row r="1763" spans="1:7" ht="15" hidden="1" customHeight="1" x14ac:dyDescent="0.3">
      <c r="A1763" t="s">
        <v>216</v>
      </c>
      <c r="B1763" s="2">
        <v>46266</v>
      </c>
      <c r="C1763" s="52">
        <v>24780.6</v>
      </c>
      <c r="D1763" s="48">
        <f>_xlfn.XLOOKUP(expected_production[[#This Row],[Site Name]],Table1[[Site Name ]],Table1[Commisioned Date],"")</f>
        <v>45889</v>
      </c>
      <c r="E1763" s="47">
        <f>IF(ISNUMBER(expected_production[[#This Row],[Commissioned Date]]),MAX(0,(expected_production[[#This Row],[Date]]-expected_production[[#This Row],[Commissioned Date]])/365.25),"")</f>
        <v>1.0321697467488022</v>
      </c>
      <c r="F1763" s="49">
        <f>IF(expected_production[[#This Row],[Age (yrs)]]="",1,(1-DegradationRate)^expected_production[[#This Row],[Age (yrs)]])</f>
        <v>0.99277562712990952</v>
      </c>
      <c r="G1763" s="52">
        <f>IF(expected_production[[#This Row],[Base Expected (kWh)]]="","",expected_production[[#This Row],[Base Expected (kWh)]]*expected_production[[#This Row],[Degradation Factor]])</f>
        <v>24601.575705655436</v>
      </c>
    </row>
    <row r="1764" spans="1:7" ht="15" hidden="1" customHeight="1" x14ac:dyDescent="0.3">
      <c r="A1764" t="s">
        <v>216</v>
      </c>
      <c r="B1764" s="2">
        <v>46296</v>
      </c>
      <c r="C1764" s="52">
        <v>28127.7</v>
      </c>
      <c r="D1764" s="48">
        <f>_xlfn.XLOOKUP(expected_production[[#This Row],[Site Name]],Table1[[Site Name ]],Table1[Commisioned Date],"")</f>
        <v>45889</v>
      </c>
      <c r="E1764" s="47">
        <f>IF(ISNUMBER(expected_production[[#This Row],[Commissioned Date]]),MAX(0,(expected_production[[#This Row],[Date]]-expected_production[[#This Row],[Commissioned Date]])/365.25),"")</f>
        <v>1.1143052703627652</v>
      </c>
      <c r="F1764" s="49">
        <f>IF(expected_production[[#This Row],[Age (yrs)]]="",1,(1-DegradationRate)^expected_production[[#This Row],[Age (yrs)]])</f>
        <v>0.99220299016655011</v>
      </c>
      <c r="G1764" s="52">
        <f>IF(expected_production[[#This Row],[Base Expected (kWh)]]="","",expected_production[[#This Row],[Base Expected (kWh)]]*expected_production[[#This Row],[Degradation Factor]])</f>
        <v>27908.388046507673</v>
      </c>
    </row>
    <row r="1765" spans="1:7" ht="15" hidden="1" customHeight="1" x14ac:dyDescent="0.3">
      <c r="A1765" t="s">
        <v>216</v>
      </c>
      <c r="B1765" s="2">
        <v>46327</v>
      </c>
      <c r="C1765" s="52">
        <v>28061.1</v>
      </c>
      <c r="D1765" s="48">
        <f>_xlfn.XLOOKUP(expected_production[[#This Row],[Site Name]],Table1[[Site Name ]],Table1[Commisioned Date],"")</f>
        <v>45889</v>
      </c>
      <c r="E1765" s="47">
        <f>IF(ISNUMBER(expected_production[[#This Row],[Commissioned Date]]),MAX(0,(expected_production[[#This Row],[Date]]-expected_production[[#This Row],[Commissioned Date]])/365.25),"")</f>
        <v>1.1991786447638604</v>
      </c>
      <c r="F1765" s="49">
        <f>IF(expected_production[[#This Row],[Age (yrs)]]="",1,(1-DegradationRate)^expected_production[[#This Row],[Age (yrs)]])</f>
        <v>0.99161161229994954</v>
      </c>
      <c r="G1765" s="52">
        <f>IF(expected_production[[#This Row],[Base Expected (kWh)]]="","",expected_production[[#This Row],[Base Expected (kWh)]]*expected_production[[#This Row],[Degradation Factor]])</f>
        <v>27825.712613910113</v>
      </c>
    </row>
    <row r="1766" spans="1:7" ht="15" hidden="1" customHeight="1" x14ac:dyDescent="0.3">
      <c r="A1766" t="s">
        <v>216</v>
      </c>
      <c r="B1766" s="2">
        <v>46357</v>
      </c>
      <c r="C1766" s="52">
        <v>28703.7</v>
      </c>
      <c r="D1766" s="48">
        <f>_xlfn.XLOOKUP(expected_production[[#This Row],[Site Name]],Table1[[Site Name ]],Table1[Commisioned Date],"")</f>
        <v>45889</v>
      </c>
      <c r="E1766" s="47">
        <f>IF(ISNUMBER(expected_production[[#This Row],[Commissioned Date]]),MAX(0,(expected_production[[#This Row],[Date]]-expected_production[[#This Row],[Commissioned Date]])/365.25),"")</f>
        <v>1.2813141683778233</v>
      </c>
      <c r="F1766" s="49">
        <f>IF(expected_production[[#This Row],[Age (yrs)]]="",1,(1-DegradationRate)^expected_production[[#This Row],[Age (yrs)]])</f>
        <v>0.99103964674501255</v>
      </c>
      <c r="G1766" s="52">
        <f>IF(expected_production[[#This Row],[Base Expected (kWh)]]="","",expected_production[[#This Row],[Base Expected (kWh)]]*expected_production[[#This Row],[Degradation Factor]])</f>
        <v>28446.504708274817</v>
      </c>
    </row>
    <row r="1767" spans="1:7" ht="15" hidden="1" customHeight="1" x14ac:dyDescent="0.3">
      <c r="A1767" t="s">
        <v>218</v>
      </c>
      <c r="B1767" s="2">
        <v>45292</v>
      </c>
      <c r="C1767" s="52">
        <v>9601.92</v>
      </c>
      <c r="D1767" s="48">
        <f>_xlfn.XLOOKUP(expected_production[[#This Row],[Site Name]],Table1[[Site Name ]],Table1[Commisioned Date],"")</f>
        <v>45889</v>
      </c>
      <c r="E1767" s="47">
        <f>IF(ISNUMBER(expected_production[[#This Row],[Commissioned Date]]),MAX(0,(expected_production[[#This Row],[Date]]-expected_production[[#This Row],[Commissioned Date]])/365.25),"")</f>
        <v>0</v>
      </c>
      <c r="F1767" s="49">
        <f>IF(expected_production[[#This Row],[Age (yrs)]]="",1,(1-DegradationRate)^expected_production[[#This Row],[Age (yrs)]])</f>
        <v>1</v>
      </c>
      <c r="G1767" s="52">
        <f>IF(expected_production[[#This Row],[Base Expected (kWh)]]="","",expected_production[[#This Row],[Base Expected (kWh)]]*expected_production[[#This Row],[Degradation Factor]])</f>
        <v>9601.92</v>
      </c>
    </row>
    <row r="1768" spans="1:7" ht="15" hidden="1" customHeight="1" x14ac:dyDescent="0.3">
      <c r="A1768" t="s">
        <v>218</v>
      </c>
      <c r="B1768" s="2">
        <v>45323</v>
      </c>
      <c r="C1768" s="52">
        <v>8296.74</v>
      </c>
      <c r="D1768" s="48">
        <f>_xlfn.XLOOKUP(expected_production[[#This Row],[Site Name]],Table1[[Site Name ]],Table1[Commisioned Date],"")</f>
        <v>45889</v>
      </c>
      <c r="E1768" s="47">
        <f>IF(ISNUMBER(expected_production[[#This Row],[Commissioned Date]]),MAX(0,(expected_production[[#This Row],[Date]]-expected_production[[#This Row],[Commissioned Date]])/365.25),"")</f>
        <v>0</v>
      </c>
      <c r="F1768" s="49">
        <f>IF(expected_production[[#This Row],[Age (yrs)]]="",1,(1-DegradationRate)^expected_production[[#This Row],[Age (yrs)]])</f>
        <v>1</v>
      </c>
      <c r="G1768" s="52">
        <f>IF(expected_production[[#This Row],[Base Expected (kWh)]]="","",expected_production[[#This Row],[Base Expected (kWh)]]*expected_production[[#This Row],[Degradation Factor]])</f>
        <v>8296.74</v>
      </c>
    </row>
    <row r="1769" spans="1:7" ht="15" hidden="1" customHeight="1" x14ac:dyDescent="0.3">
      <c r="A1769" t="s">
        <v>218</v>
      </c>
      <c r="B1769" s="2">
        <v>45352</v>
      </c>
      <c r="C1769" s="52">
        <v>8140.5</v>
      </c>
      <c r="D1769" s="48">
        <f>_xlfn.XLOOKUP(expected_production[[#This Row],[Site Name]],Table1[[Site Name ]],Table1[Commisioned Date],"")</f>
        <v>45889</v>
      </c>
      <c r="E1769" s="47">
        <f>IF(ISNUMBER(expected_production[[#This Row],[Commissioned Date]]),MAX(0,(expected_production[[#This Row],[Date]]-expected_production[[#This Row],[Commissioned Date]])/365.25),"")</f>
        <v>0</v>
      </c>
      <c r="F1769" s="49">
        <f>IF(expected_production[[#This Row],[Age (yrs)]]="",1,(1-DegradationRate)^expected_production[[#This Row],[Age (yrs)]])</f>
        <v>1</v>
      </c>
      <c r="G1769" s="52">
        <f>IF(expected_production[[#This Row],[Base Expected (kWh)]]="","",expected_production[[#This Row],[Base Expected (kWh)]]*expected_production[[#This Row],[Degradation Factor]])</f>
        <v>8140.5</v>
      </c>
    </row>
    <row r="1770" spans="1:7" ht="15" hidden="1" customHeight="1" x14ac:dyDescent="0.3">
      <c r="A1770" t="s">
        <v>218</v>
      </c>
      <c r="B1770" s="2">
        <v>45383</v>
      </c>
      <c r="C1770" s="52">
        <v>7017.3</v>
      </c>
      <c r="D1770" s="48">
        <f>_xlfn.XLOOKUP(expected_production[[#This Row],[Site Name]],Table1[[Site Name ]],Table1[Commisioned Date],"")</f>
        <v>45889</v>
      </c>
      <c r="E1770" s="47">
        <f>IF(ISNUMBER(expected_production[[#This Row],[Commissioned Date]]),MAX(0,(expected_production[[#This Row],[Date]]-expected_production[[#This Row],[Commissioned Date]])/365.25),"")</f>
        <v>0</v>
      </c>
      <c r="F1770" s="49">
        <f>IF(expected_production[[#This Row],[Age (yrs)]]="",1,(1-DegradationRate)^expected_production[[#This Row],[Age (yrs)]])</f>
        <v>1</v>
      </c>
      <c r="G1770" s="52">
        <f>IF(expected_production[[#This Row],[Base Expected (kWh)]]="","",expected_production[[#This Row],[Base Expected (kWh)]]*expected_production[[#This Row],[Degradation Factor]])</f>
        <v>7017.3</v>
      </c>
    </row>
    <row r="1771" spans="1:7" ht="15" hidden="1" customHeight="1" x14ac:dyDescent="0.3">
      <c r="A1771" t="s">
        <v>218</v>
      </c>
      <c r="B1771" s="2">
        <v>45413</v>
      </c>
      <c r="C1771" s="52">
        <v>6430.32</v>
      </c>
      <c r="D1771" s="48">
        <f>_xlfn.XLOOKUP(expected_production[[#This Row],[Site Name]],Table1[[Site Name ]],Table1[Commisioned Date],"")</f>
        <v>45889</v>
      </c>
      <c r="E1771" s="47">
        <f>IF(ISNUMBER(expected_production[[#This Row],[Commissioned Date]]),MAX(0,(expected_production[[#This Row],[Date]]-expected_production[[#This Row],[Commissioned Date]])/365.25),"")</f>
        <v>0</v>
      </c>
      <c r="F1771" s="49">
        <f>IF(expected_production[[#This Row],[Age (yrs)]]="",1,(1-DegradationRate)^expected_production[[#This Row],[Age (yrs)]])</f>
        <v>1</v>
      </c>
      <c r="G1771" s="52">
        <f>IF(expected_production[[#This Row],[Base Expected (kWh)]]="","",expected_production[[#This Row],[Base Expected (kWh)]]*expected_production[[#This Row],[Degradation Factor]])</f>
        <v>6430.32</v>
      </c>
    </row>
    <row r="1772" spans="1:7" ht="15" hidden="1" customHeight="1" x14ac:dyDescent="0.3">
      <c r="A1772" t="s">
        <v>218</v>
      </c>
      <c r="B1772" s="2">
        <v>45444</v>
      </c>
      <c r="C1772" s="52">
        <v>5669.28</v>
      </c>
      <c r="D1772" s="48">
        <f>_xlfn.XLOOKUP(expected_production[[#This Row],[Site Name]],Table1[[Site Name ]],Table1[Commisioned Date],"")</f>
        <v>45889</v>
      </c>
      <c r="E1772" s="47">
        <f>IF(ISNUMBER(expected_production[[#This Row],[Commissioned Date]]),MAX(0,(expected_production[[#This Row],[Date]]-expected_production[[#This Row],[Commissioned Date]])/365.25),"")</f>
        <v>0</v>
      </c>
      <c r="F1772" s="49">
        <f>IF(expected_production[[#This Row],[Age (yrs)]]="",1,(1-DegradationRate)^expected_production[[#This Row],[Age (yrs)]])</f>
        <v>1</v>
      </c>
      <c r="G1772" s="52">
        <f>IF(expected_production[[#This Row],[Base Expected (kWh)]]="","",expected_production[[#This Row],[Base Expected (kWh)]]*expected_production[[#This Row],[Degradation Factor]])</f>
        <v>5669.28</v>
      </c>
    </row>
    <row r="1773" spans="1:7" ht="15" hidden="1" customHeight="1" x14ac:dyDescent="0.3">
      <c r="A1773" t="s">
        <v>218</v>
      </c>
      <c r="B1773" s="2">
        <v>45474</v>
      </c>
      <c r="C1773" s="52">
        <v>6247.44</v>
      </c>
      <c r="D1773" s="48">
        <f>_xlfn.XLOOKUP(expected_production[[#This Row],[Site Name]],Table1[[Site Name ]],Table1[Commisioned Date],"")</f>
        <v>45889</v>
      </c>
      <c r="E1773" s="47">
        <f>IF(ISNUMBER(expected_production[[#This Row],[Commissioned Date]]),MAX(0,(expected_production[[#This Row],[Date]]-expected_production[[#This Row],[Commissioned Date]])/365.25),"")</f>
        <v>0</v>
      </c>
      <c r="F1773" s="49">
        <f>IF(expected_production[[#This Row],[Age (yrs)]]="",1,(1-DegradationRate)^expected_production[[#This Row],[Age (yrs)]])</f>
        <v>1</v>
      </c>
      <c r="G1773" s="52">
        <f>IF(expected_production[[#This Row],[Base Expected (kWh)]]="","",expected_production[[#This Row],[Base Expected (kWh)]]*expected_production[[#This Row],[Degradation Factor]])</f>
        <v>6247.44</v>
      </c>
    </row>
    <row r="1774" spans="1:7" ht="15" hidden="1" customHeight="1" x14ac:dyDescent="0.3">
      <c r="A1774" t="s">
        <v>218</v>
      </c>
      <c r="B1774" s="2">
        <v>45505</v>
      </c>
      <c r="C1774" s="52">
        <v>2367.7838709677399</v>
      </c>
      <c r="D1774" s="48">
        <f>_xlfn.XLOOKUP(expected_production[[#This Row],[Site Name]],Table1[[Site Name ]],Table1[Commisioned Date],"")</f>
        <v>45889</v>
      </c>
      <c r="E1774" s="47">
        <f>IF(ISNUMBER(expected_production[[#This Row],[Commissioned Date]]),MAX(0,(expected_production[[#This Row],[Date]]-expected_production[[#This Row],[Commissioned Date]])/365.25),"")</f>
        <v>0</v>
      </c>
      <c r="F1774" s="49">
        <f>IF(expected_production[[#This Row],[Age (yrs)]]="",1,(1-DegradationRate)^expected_production[[#This Row],[Age (yrs)]])</f>
        <v>1</v>
      </c>
      <c r="G1774" s="52">
        <f>IF(expected_production[[#This Row],[Base Expected (kWh)]]="","",expected_production[[#This Row],[Base Expected (kWh)]]*expected_production[[#This Row],[Degradation Factor]])</f>
        <v>2367.7838709677399</v>
      </c>
    </row>
    <row r="1775" spans="1:7" ht="15" hidden="1" customHeight="1" x14ac:dyDescent="0.3">
      <c r="A1775" t="s">
        <v>218</v>
      </c>
      <c r="B1775" s="2">
        <v>45536</v>
      </c>
      <c r="C1775" s="52">
        <v>8154</v>
      </c>
      <c r="D1775" s="48">
        <f>_xlfn.XLOOKUP(expected_production[[#This Row],[Site Name]],Table1[[Site Name ]],Table1[Commisioned Date],"")</f>
        <v>45889</v>
      </c>
      <c r="E1775" s="47">
        <f>IF(ISNUMBER(expected_production[[#This Row],[Commissioned Date]]),MAX(0,(expected_production[[#This Row],[Date]]-expected_production[[#This Row],[Commissioned Date]])/365.25),"")</f>
        <v>0</v>
      </c>
      <c r="F1775" s="49">
        <f>IF(expected_production[[#This Row],[Age (yrs)]]="",1,(1-DegradationRate)^expected_production[[#This Row],[Age (yrs)]])</f>
        <v>1</v>
      </c>
      <c r="G1775" s="52">
        <f>IF(expected_production[[#This Row],[Base Expected (kWh)]]="","",expected_production[[#This Row],[Base Expected (kWh)]]*expected_production[[#This Row],[Degradation Factor]])</f>
        <v>8154</v>
      </c>
    </row>
    <row r="1776" spans="1:7" ht="15" hidden="1" customHeight="1" x14ac:dyDescent="0.3">
      <c r="A1776" t="s">
        <v>218</v>
      </c>
      <c r="B1776" s="2">
        <v>45566</v>
      </c>
      <c r="C1776" s="52">
        <v>9352.7999999999993</v>
      </c>
      <c r="D1776" s="48">
        <f>_xlfn.XLOOKUP(expected_production[[#This Row],[Site Name]],Table1[[Site Name ]],Table1[Commisioned Date],"")</f>
        <v>45889</v>
      </c>
      <c r="E1776" s="47">
        <f>IF(ISNUMBER(expected_production[[#This Row],[Commissioned Date]]),MAX(0,(expected_production[[#This Row],[Date]]-expected_production[[#This Row],[Commissioned Date]])/365.25),"")</f>
        <v>0</v>
      </c>
      <c r="F1776" s="49">
        <f>IF(expected_production[[#This Row],[Age (yrs)]]="",1,(1-DegradationRate)^expected_production[[#This Row],[Age (yrs)]])</f>
        <v>1</v>
      </c>
      <c r="G1776" s="52">
        <f>IF(expected_production[[#This Row],[Base Expected (kWh)]]="","",expected_production[[#This Row],[Base Expected (kWh)]]*expected_production[[#This Row],[Degradation Factor]])</f>
        <v>9352.7999999999993</v>
      </c>
    </row>
    <row r="1777" spans="1:7" ht="15" hidden="1" customHeight="1" x14ac:dyDescent="0.3">
      <c r="A1777" t="s">
        <v>218</v>
      </c>
      <c r="B1777" s="2">
        <v>45597</v>
      </c>
      <c r="C1777" s="52">
        <v>9353.7000000000007</v>
      </c>
      <c r="D1777" s="48">
        <f>_xlfn.XLOOKUP(expected_production[[#This Row],[Site Name]],Table1[[Site Name ]],Table1[Commisioned Date],"")</f>
        <v>45889</v>
      </c>
      <c r="E1777" s="47">
        <f>IF(ISNUMBER(expected_production[[#This Row],[Commissioned Date]]),MAX(0,(expected_production[[#This Row],[Date]]-expected_production[[#This Row],[Commissioned Date]])/365.25),"")</f>
        <v>0</v>
      </c>
      <c r="F1777" s="49">
        <f>IF(expected_production[[#This Row],[Age (yrs)]]="",1,(1-DegradationRate)^expected_production[[#This Row],[Age (yrs)]])</f>
        <v>1</v>
      </c>
      <c r="G1777" s="52">
        <f>IF(expected_production[[#This Row],[Base Expected (kWh)]]="","",expected_production[[#This Row],[Base Expected (kWh)]]*expected_production[[#This Row],[Degradation Factor]])</f>
        <v>9353.7000000000007</v>
      </c>
    </row>
    <row r="1778" spans="1:7" ht="15" hidden="1" customHeight="1" x14ac:dyDescent="0.3">
      <c r="A1778" t="s">
        <v>218</v>
      </c>
      <c r="B1778" s="2">
        <v>45627</v>
      </c>
      <c r="C1778" s="52">
        <v>9582.2999999999993</v>
      </c>
      <c r="D1778" s="48">
        <f>_xlfn.XLOOKUP(expected_production[[#This Row],[Site Name]],Table1[[Site Name ]],Table1[Commisioned Date],"")</f>
        <v>45889</v>
      </c>
      <c r="E1778" s="47">
        <f>IF(ISNUMBER(expected_production[[#This Row],[Commissioned Date]]),MAX(0,(expected_production[[#This Row],[Date]]-expected_production[[#This Row],[Commissioned Date]])/365.25),"")</f>
        <v>0</v>
      </c>
      <c r="F1778" s="49">
        <f>IF(expected_production[[#This Row],[Age (yrs)]]="",1,(1-DegradationRate)^expected_production[[#This Row],[Age (yrs)]])</f>
        <v>1</v>
      </c>
      <c r="G1778" s="52">
        <f>IF(expected_production[[#This Row],[Base Expected (kWh)]]="","",expected_production[[#This Row],[Base Expected (kWh)]]*expected_production[[#This Row],[Degradation Factor]])</f>
        <v>9582.2999999999993</v>
      </c>
    </row>
    <row r="1779" spans="1:7" ht="15" hidden="1" customHeight="1" x14ac:dyDescent="0.3">
      <c r="A1779" t="s">
        <v>218</v>
      </c>
      <c r="B1779" s="2">
        <v>45658</v>
      </c>
      <c r="C1779" s="52">
        <v>9601.92</v>
      </c>
      <c r="D1779" s="48">
        <f>_xlfn.XLOOKUP(expected_production[[#This Row],[Site Name]],Table1[[Site Name ]],Table1[Commisioned Date],"")</f>
        <v>45889</v>
      </c>
      <c r="E1779" s="47">
        <f>IF(ISNUMBER(expected_production[[#This Row],[Commissioned Date]]),MAX(0,(expected_production[[#This Row],[Date]]-expected_production[[#This Row],[Commissioned Date]])/365.25),"")</f>
        <v>0</v>
      </c>
      <c r="F1779" s="49">
        <f>IF(expected_production[[#This Row],[Age (yrs)]]="",1,(1-DegradationRate)^expected_production[[#This Row],[Age (yrs)]])</f>
        <v>1</v>
      </c>
      <c r="G1779" s="52">
        <f>IF(expected_production[[#This Row],[Base Expected (kWh)]]="","",expected_production[[#This Row],[Base Expected (kWh)]]*expected_production[[#This Row],[Degradation Factor]])</f>
        <v>9601.92</v>
      </c>
    </row>
    <row r="1780" spans="1:7" ht="15" hidden="1" customHeight="1" x14ac:dyDescent="0.3">
      <c r="A1780" t="s">
        <v>218</v>
      </c>
      <c r="B1780" s="2">
        <v>45689</v>
      </c>
      <c r="C1780" s="52">
        <v>8296.74</v>
      </c>
      <c r="D1780" s="48">
        <f>_xlfn.XLOOKUP(expected_production[[#This Row],[Site Name]],Table1[[Site Name ]],Table1[Commisioned Date],"")</f>
        <v>45889</v>
      </c>
      <c r="E1780" s="47">
        <f>IF(ISNUMBER(expected_production[[#This Row],[Commissioned Date]]),MAX(0,(expected_production[[#This Row],[Date]]-expected_production[[#This Row],[Commissioned Date]])/365.25),"")</f>
        <v>0</v>
      </c>
      <c r="F1780" s="49">
        <f>IF(expected_production[[#This Row],[Age (yrs)]]="",1,(1-DegradationRate)^expected_production[[#This Row],[Age (yrs)]])</f>
        <v>1</v>
      </c>
      <c r="G1780" s="52">
        <f>IF(expected_production[[#This Row],[Base Expected (kWh)]]="","",expected_production[[#This Row],[Base Expected (kWh)]]*expected_production[[#This Row],[Degradation Factor]])</f>
        <v>8296.74</v>
      </c>
    </row>
    <row r="1781" spans="1:7" ht="15" hidden="1" customHeight="1" x14ac:dyDescent="0.3">
      <c r="A1781" t="s">
        <v>218</v>
      </c>
      <c r="B1781" s="2">
        <v>45717</v>
      </c>
      <c r="C1781" s="52">
        <v>8140.5</v>
      </c>
      <c r="D1781" s="48">
        <f>_xlfn.XLOOKUP(expected_production[[#This Row],[Site Name]],Table1[[Site Name ]],Table1[Commisioned Date],"")</f>
        <v>45889</v>
      </c>
      <c r="E1781" s="47">
        <f>IF(ISNUMBER(expected_production[[#This Row],[Commissioned Date]]),MAX(0,(expected_production[[#This Row],[Date]]-expected_production[[#This Row],[Commissioned Date]])/365.25),"")</f>
        <v>0</v>
      </c>
      <c r="F1781" s="49">
        <f>IF(expected_production[[#This Row],[Age (yrs)]]="",1,(1-DegradationRate)^expected_production[[#This Row],[Age (yrs)]])</f>
        <v>1</v>
      </c>
      <c r="G1781" s="52">
        <f>IF(expected_production[[#This Row],[Base Expected (kWh)]]="","",expected_production[[#This Row],[Base Expected (kWh)]]*expected_production[[#This Row],[Degradation Factor]])</f>
        <v>8140.5</v>
      </c>
    </row>
    <row r="1782" spans="1:7" ht="15" hidden="1" customHeight="1" x14ac:dyDescent="0.3">
      <c r="A1782" t="s">
        <v>218</v>
      </c>
      <c r="B1782" s="2">
        <v>45748</v>
      </c>
      <c r="C1782" s="52">
        <v>7017.3</v>
      </c>
      <c r="D1782" s="48">
        <f>_xlfn.XLOOKUP(expected_production[[#This Row],[Site Name]],Table1[[Site Name ]],Table1[Commisioned Date],"")</f>
        <v>45889</v>
      </c>
      <c r="E1782" s="47">
        <f>IF(ISNUMBER(expected_production[[#This Row],[Commissioned Date]]),MAX(0,(expected_production[[#This Row],[Date]]-expected_production[[#This Row],[Commissioned Date]])/365.25),"")</f>
        <v>0</v>
      </c>
      <c r="F1782" s="49">
        <f>IF(expected_production[[#This Row],[Age (yrs)]]="",1,(1-DegradationRate)^expected_production[[#This Row],[Age (yrs)]])</f>
        <v>1</v>
      </c>
      <c r="G1782" s="52">
        <f>IF(expected_production[[#This Row],[Base Expected (kWh)]]="","",expected_production[[#This Row],[Base Expected (kWh)]]*expected_production[[#This Row],[Degradation Factor]])</f>
        <v>7017.3</v>
      </c>
    </row>
    <row r="1783" spans="1:7" ht="15" hidden="1" customHeight="1" x14ac:dyDescent="0.3">
      <c r="A1783" t="s">
        <v>218</v>
      </c>
      <c r="B1783" s="2">
        <v>45778</v>
      </c>
      <c r="C1783" s="52">
        <v>6430.32</v>
      </c>
      <c r="D1783" s="48">
        <f>_xlfn.XLOOKUP(expected_production[[#This Row],[Site Name]],Table1[[Site Name ]],Table1[Commisioned Date],"")</f>
        <v>45889</v>
      </c>
      <c r="E1783" s="47">
        <f>IF(ISNUMBER(expected_production[[#This Row],[Commissioned Date]]),MAX(0,(expected_production[[#This Row],[Date]]-expected_production[[#This Row],[Commissioned Date]])/365.25),"")</f>
        <v>0</v>
      </c>
      <c r="F1783" s="49">
        <f>IF(expected_production[[#This Row],[Age (yrs)]]="",1,(1-DegradationRate)^expected_production[[#This Row],[Age (yrs)]])</f>
        <v>1</v>
      </c>
      <c r="G1783" s="52">
        <f>IF(expected_production[[#This Row],[Base Expected (kWh)]]="","",expected_production[[#This Row],[Base Expected (kWh)]]*expected_production[[#This Row],[Degradation Factor]])</f>
        <v>6430.32</v>
      </c>
    </row>
    <row r="1784" spans="1:7" ht="15" hidden="1" customHeight="1" x14ac:dyDescent="0.3">
      <c r="A1784" t="s">
        <v>218</v>
      </c>
      <c r="B1784" s="2">
        <v>45809</v>
      </c>
      <c r="C1784" s="52">
        <v>5669.28</v>
      </c>
      <c r="D1784" s="48">
        <f>_xlfn.XLOOKUP(expected_production[[#This Row],[Site Name]],Table1[[Site Name ]],Table1[Commisioned Date],"")</f>
        <v>45889</v>
      </c>
      <c r="E1784" s="47">
        <f>IF(ISNUMBER(expected_production[[#This Row],[Commissioned Date]]),MAX(0,(expected_production[[#This Row],[Date]]-expected_production[[#This Row],[Commissioned Date]])/365.25),"")</f>
        <v>0</v>
      </c>
      <c r="F1784" s="49">
        <f>IF(expected_production[[#This Row],[Age (yrs)]]="",1,(1-DegradationRate)^expected_production[[#This Row],[Age (yrs)]])</f>
        <v>1</v>
      </c>
      <c r="G1784" s="52">
        <f>IF(expected_production[[#This Row],[Base Expected (kWh)]]="","",expected_production[[#This Row],[Base Expected (kWh)]]*expected_production[[#This Row],[Degradation Factor]])</f>
        <v>5669.28</v>
      </c>
    </row>
    <row r="1785" spans="1:7" ht="15" hidden="1" customHeight="1" x14ac:dyDescent="0.3">
      <c r="A1785" t="s">
        <v>218</v>
      </c>
      <c r="B1785" s="2">
        <v>45839</v>
      </c>
      <c r="C1785" s="52">
        <v>6247.44</v>
      </c>
      <c r="D1785" s="48">
        <f>_xlfn.XLOOKUP(expected_production[[#This Row],[Site Name]],Table1[[Site Name ]],Table1[Commisioned Date],"")</f>
        <v>45889</v>
      </c>
      <c r="E1785" s="47">
        <f>IF(ISNUMBER(expected_production[[#This Row],[Commissioned Date]]),MAX(0,(expected_production[[#This Row],[Date]]-expected_production[[#This Row],[Commissioned Date]])/365.25),"")</f>
        <v>0</v>
      </c>
      <c r="F1785" s="49">
        <f>IF(expected_production[[#This Row],[Age (yrs)]]="",1,(1-DegradationRate)^expected_production[[#This Row],[Age (yrs)]])</f>
        <v>1</v>
      </c>
      <c r="G1785" s="52">
        <f>IF(expected_production[[#This Row],[Base Expected (kWh)]]="","",expected_production[[#This Row],[Base Expected (kWh)]]*expected_production[[#This Row],[Degradation Factor]])</f>
        <v>6247.44</v>
      </c>
    </row>
    <row r="1786" spans="1:7" ht="15" hidden="1" customHeight="1" x14ac:dyDescent="0.3">
      <c r="A1786" t="s">
        <v>218</v>
      </c>
      <c r="B1786" s="2">
        <v>45870</v>
      </c>
      <c r="C1786" s="52">
        <v>2367.7838709677399</v>
      </c>
      <c r="D1786" s="48">
        <f>_xlfn.XLOOKUP(expected_production[[#This Row],[Site Name]],Table1[[Site Name ]],Table1[Commisioned Date],"")</f>
        <v>45889</v>
      </c>
      <c r="E1786" s="47">
        <f>IF(ISNUMBER(expected_production[[#This Row],[Commissioned Date]]),MAX(0,(expected_production[[#This Row],[Date]]-expected_production[[#This Row],[Commissioned Date]])/365.25),"")</f>
        <v>0</v>
      </c>
      <c r="F1786" s="49">
        <f>IF(expected_production[[#This Row],[Age (yrs)]]="",1,(1-DegradationRate)^expected_production[[#This Row],[Age (yrs)]])</f>
        <v>1</v>
      </c>
      <c r="G1786" s="52">
        <f>IF(expected_production[[#This Row],[Base Expected (kWh)]]="","",expected_production[[#This Row],[Base Expected (kWh)]]*expected_production[[#This Row],[Degradation Factor]])</f>
        <v>2367.7838709677399</v>
      </c>
    </row>
    <row r="1787" spans="1:7" ht="15" hidden="1" customHeight="1" x14ac:dyDescent="0.3">
      <c r="A1787" t="s">
        <v>218</v>
      </c>
      <c r="B1787" s="2">
        <v>45901</v>
      </c>
      <c r="C1787" s="52">
        <v>8154</v>
      </c>
      <c r="D1787" s="48">
        <f>_xlfn.XLOOKUP(expected_production[[#This Row],[Site Name]],Table1[[Site Name ]],Table1[Commisioned Date],"")</f>
        <v>45889</v>
      </c>
      <c r="E1787" s="47">
        <f>IF(ISNUMBER(expected_production[[#This Row],[Commissioned Date]]),MAX(0,(expected_production[[#This Row],[Date]]-expected_production[[#This Row],[Commissioned Date]])/365.25),"")</f>
        <v>3.2854209445585217E-2</v>
      </c>
      <c r="F1787" s="49">
        <f>IF(expected_production[[#This Row],[Age (yrs)]]="",1,(1-DegradationRate)^expected_production[[#This Row],[Age (yrs)]])</f>
        <v>0.99976923845912757</v>
      </c>
      <c r="G1787" s="52">
        <f>IF(expected_production[[#This Row],[Base Expected (kWh)]]="","",expected_production[[#This Row],[Base Expected (kWh)]]*expected_production[[#This Row],[Degradation Factor]])</f>
        <v>8152.1183703957258</v>
      </c>
    </row>
    <row r="1788" spans="1:7" ht="15" hidden="1" customHeight="1" x14ac:dyDescent="0.3">
      <c r="A1788" t="s">
        <v>218</v>
      </c>
      <c r="B1788" s="2">
        <v>45931</v>
      </c>
      <c r="C1788" s="52">
        <v>9352.7999999999993</v>
      </c>
      <c r="D1788" s="48">
        <f>_xlfn.XLOOKUP(expected_production[[#This Row],[Site Name]],Table1[[Site Name ]],Table1[Commisioned Date],"")</f>
        <v>45889</v>
      </c>
      <c r="E1788" s="47">
        <f>IF(ISNUMBER(expected_production[[#This Row],[Commissioned Date]]),MAX(0,(expected_production[[#This Row],[Date]]-expected_production[[#This Row],[Commissioned Date]])/365.25),"")</f>
        <v>0.11498973305954825</v>
      </c>
      <c r="F1788" s="49">
        <f>IF(expected_production[[#This Row],[Age (yrs)]]="",1,(1-DegradationRate)^expected_production[[#This Row],[Age (yrs)]])</f>
        <v>0.99919256755270491</v>
      </c>
      <c r="G1788" s="52">
        <f>IF(expected_production[[#This Row],[Base Expected (kWh)]]="","",expected_production[[#This Row],[Base Expected (kWh)]]*expected_production[[#This Row],[Degradation Factor]])</f>
        <v>9345.2482458069371</v>
      </c>
    </row>
    <row r="1789" spans="1:7" ht="15" hidden="1" customHeight="1" x14ac:dyDescent="0.3">
      <c r="A1789" t="s">
        <v>218</v>
      </c>
      <c r="B1789" s="2">
        <v>45962</v>
      </c>
      <c r="C1789" s="52">
        <v>9353.7000000000007</v>
      </c>
      <c r="D1789" s="48">
        <f>_xlfn.XLOOKUP(expected_production[[#This Row],[Site Name]],Table1[[Site Name ]],Table1[Commisioned Date],"")</f>
        <v>45889</v>
      </c>
      <c r="E1789" s="47">
        <f>IF(ISNUMBER(expected_production[[#This Row],[Commissioned Date]]),MAX(0,(expected_production[[#This Row],[Date]]-expected_production[[#This Row],[Commissioned Date]])/365.25),"")</f>
        <v>0.1998631074606434</v>
      </c>
      <c r="F1789" s="49">
        <f>IF(expected_production[[#This Row],[Age (yrs)]]="",1,(1-DegradationRate)^expected_production[[#This Row],[Age (yrs)]])</f>
        <v>0.99859702372268344</v>
      </c>
      <c r="G1789" s="52">
        <f>IF(expected_production[[#This Row],[Base Expected (kWh)]]="","",expected_production[[#This Row],[Base Expected (kWh)]]*expected_production[[#This Row],[Degradation Factor]])</f>
        <v>9340.5769807948654</v>
      </c>
    </row>
    <row r="1790" spans="1:7" ht="15" hidden="1" customHeight="1" x14ac:dyDescent="0.3">
      <c r="A1790" t="s">
        <v>218</v>
      </c>
      <c r="B1790" s="2">
        <v>45992</v>
      </c>
      <c r="C1790" s="52">
        <v>9582.2999999999993</v>
      </c>
      <c r="D1790" s="48">
        <f>_xlfn.XLOOKUP(expected_production[[#This Row],[Site Name]],Table1[[Site Name ]],Table1[Commisioned Date],"")</f>
        <v>45889</v>
      </c>
      <c r="E1790" s="47">
        <f>IF(ISNUMBER(expected_production[[#This Row],[Commissioned Date]]),MAX(0,(expected_production[[#This Row],[Date]]-expected_production[[#This Row],[Commissioned Date]])/365.25),"")</f>
        <v>0.28199863107460643</v>
      </c>
      <c r="F1790" s="49">
        <f>IF(expected_production[[#This Row],[Age (yrs)]]="",1,(1-DegradationRate)^expected_production[[#This Row],[Age (yrs)]])</f>
        <v>0.99802102895442202</v>
      </c>
      <c r="G1790" s="52">
        <f>IF(expected_production[[#This Row],[Base Expected (kWh)]]="","",expected_production[[#This Row],[Base Expected (kWh)]]*expected_production[[#This Row],[Degradation Factor]])</f>
        <v>9563.3369057499567</v>
      </c>
    </row>
    <row r="1791" spans="1:7" ht="15" hidden="1" customHeight="1" x14ac:dyDescent="0.3">
      <c r="A1791" t="s">
        <v>218</v>
      </c>
      <c r="B1791" s="2">
        <v>46023</v>
      </c>
      <c r="C1791" s="52">
        <v>9601.92</v>
      </c>
      <c r="D1791" s="48">
        <f>_xlfn.XLOOKUP(expected_production[[#This Row],[Site Name]],Table1[[Site Name ]],Table1[Commisioned Date],"")</f>
        <v>45889</v>
      </c>
      <c r="E1791" s="47">
        <f>IF(ISNUMBER(expected_production[[#This Row],[Commissioned Date]]),MAX(0,(expected_production[[#This Row],[Date]]-expected_production[[#This Row],[Commissioned Date]])/365.25),"")</f>
        <v>0.36687200547570159</v>
      </c>
      <c r="F1791" s="49">
        <f>IF(expected_production[[#This Row],[Age (yrs)]]="",1,(1-DegradationRate)^expected_production[[#This Row],[Age (yrs)]])</f>
        <v>0.99742618339078737</v>
      </c>
      <c r="G1791" s="52">
        <f>IF(expected_production[[#This Row],[Base Expected (kWh)]]="","",expected_production[[#This Row],[Base Expected (kWh)]]*expected_production[[#This Row],[Degradation Factor]])</f>
        <v>9577.2064188236691</v>
      </c>
    </row>
    <row r="1792" spans="1:7" ht="15" hidden="1" customHeight="1" x14ac:dyDescent="0.3">
      <c r="A1792" t="s">
        <v>218</v>
      </c>
      <c r="B1792" s="2">
        <v>46054</v>
      </c>
      <c r="C1792" s="52">
        <v>8296.74</v>
      </c>
      <c r="D1792" s="48">
        <f>_xlfn.XLOOKUP(expected_production[[#This Row],[Site Name]],Table1[[Site Name ]],Table1[Commisioned Date],"")</f>
        <v>45889</v>
      </c>
      <c r="E1792" s="47">
        <f>IF(ISNUMBER(expected_production[[#This Row],[Commissioned Date]]),MAX(0,(expected_production[[#This Row],[Date]]-expected_production[[#This Row],[Commissioned Date]])/365.25),"")</f>
        <v>0.45174537987679669</v>
      </c>
      <c r="F1792" s="49">
        <f>IF(expected_production[[#This Row],[Age (yrs)]]="",1,(1-DegradationRate)^expected_production[[#This Row],[Age (yrs)]])</f>
        <v>0.99683169237002733</v>
      </c>
      <c r="G1792" s="52">
        <f>IF(expected_production[[#This Row],[Base Expected (kWh)]]="","",expected_production[[#This Row],[Base Expected (kWh)]]*expected_production[[#This Row],[Degradation Factor]])</f>
        <v>8270.4533753541</v>
      </c>
    </row>
    <row r="1793" spans="1:7" ht="15" hidden="1" customHeight="1" x14ac:dyDescent="0.3">
      <c r="A1793" t="s">
        <v>218</v>
      </c>
      <c r="B1793" s="2">
        <v>46082</v>
      </c>
      <c r="C1793" s="52">
        <v>8140.5</v>
      </c>
      <c r="D1793" s="48">
        <f>_xlfn.XLOOKUP(expected_production[[#This Row],[Site Name]],Table1[[Site Name ]],Table1[Commisioned Date],"")</f>
        <v>45889</v>
      </c>
      <c r="E1793" s="47">
        <f>IF(ISNUMBER(expected_production[[#This Row],[Commissioned Date]]),MAX(0,(expected_production[[#This Row],[Date]]-expected_production[[#This Row],[Commissioned Date]])/365.25),"")</f>
        <v>0.52840520191649554</v>
      </c>
      <c r="F1793" s="49">
        <f>IF(expected_production[[#This Row],[Age (yrs)]]="",1,(1-DegradationRate)^expected_production[[#This Row],[Age (yrs)]])</f>
        <v>0.99629503729976254</v>
      </c>
      <c r="G1793" s="52">
        <f>IF(expected_production[[#This Row],[Base Expected (kWh)]]="","",expected_production[[#This Row],[Base Expected (kWh)]]*expected_production[[#This Row],[Degradation Factor]])</f>
        <v>8110.3397511387166</v>
      </c>
    </row>
    <row r="1794" spans="1:7" ht="15" hidden="1" customHeight="1" x14ac:dyDescent="0.3">
      <c r="A1794" t="s">
        <v>218</v>
      </c>
      <c r="B1794" s="2">
        <v>46113</v>
      </c>
      <c r="C1794" s="52">
        <v>7017.3</v>
      </c>
      <c r="D1794" s="48">
        <f>_xlfn.XLOOKUP(expected_production[[#This Row],[Site Name]],Table1[[Site Name ]],Table1[Commisioned Date],"")</f>
        <v>45889</v>
      </c>
      <c r="E1794" s="47">
        <f>IF(ISNUMBER(expected_production[[#This Row],[Commissioned Date]]),MAX(0,(expected_production[[#This Row],[Date]]-expected_production[[#This Row],[Commissioned Date]])/365.25),"")</f>
        <v>0.61327857631759064</v>
      </c>
      <c r="F1794" s="49">
        <f>IF(expected_production[[#This Row],[Age (yrs)]]="",1,(1-DegradationRate)^expected_production[[#This Row],[Age (yrs)]])</f>
        <v>0.99570122047044196</v>
      </c>
      <c r="G1794" s="52">
        <f>IF(expected_production[[#This Row],[Base Expected (kWh)]]="","",expected_production[[#This Row],[Base Expected (kWh)]]*expected_production[[#This Row],[Degradation Factor]])</f>
        <v>6987.1341744072324</v>
      </c>
    </row>
    <row r="1795" spans="1:7" ht="15" hidden="1" customHeight="1" x14ac:dyDescent="0.3">
      <c r="A1795" t="s">
        <v>218</v>
      </c>
      <c r="B1795" s="2">
        <v>46143</v>
      </c>
      <c r="C1795" s="52">
        <v>6430.32</v>
      </c>
      <c r="D1795" s="48">
        <f>_xlfn.XLOOKUP(expected_production[[#This Row],[Site Name]],Table1[[Site Name ]],Table1[Commisioned Date],"")</f>
        <v>45889</v>
      </c>
      <c r="E1795" s="47">
        <f>IF(ISNUMBER(expected_production[[#This Row],[Commissioned Date]]),MAX(0,(expected_production[[#This Row],[Date]]-expected_production[[#This Row],[Commissioned Date]])/365.25),"")</f>
        <v>0.69541409993155368</v>
      </c>
      <c r="F1795" s="49">
        <f>IF(expected_production[[#This Row],[Age (yrs)]]="",1,(1-DegradationRate)^expected_production[[#This Row],[Age (yrs)]])</f>
        <v>0.99512689601311044</v>
      </c>
      <c r="G1795" s="52">
        <f>IF(expected_production[[#This Row],[Base Expected (kWh)]]="","",expected_production[[#This Row],[Base Expected (kWh)]]*expected_production[[#This Row],[Degradation Factor]])</f>
        <v>6398.984381971024</v>
      </c>
    </row>
    <row r="1796" spans="1:7" ht="15" hidden="1" customHeight="1" x14ac:dyDescent="0.3">
      <c r="A1796" t="s">
        <v>218</v>
      </c>
      <c r="B1796" s="2">
        <v>46174</v>
      </c>
      <c r="C1796" s="52">
        <v>5669.28</v>
      </c>
      <c r="D1796" s="48">
        <f>_xlfn.XLOOKUP(expected_production[[#This Row],[Site Name]],Table1[[Site Name ]],Table1[Commisioned Date],"")</f>
        <v>45889</v>
      </c>
      <c r="E1796" s="47">
        <f>IF(ISNUMBER(expected_production[[#This Row],[Commissioned Date]]),MAX(0,(expected_production[[#This Row],[Date]]-expected_production[[#This Row],[Commissioned Date]])/365.25),"")</f>
        <v>0.78028747433264889</v>
      </c>
      <c r="F1796" s="49">
        <f>IF(expected_production[[#This Row],[Age (yrs)]]="",1,(1-DegradationRate)^expected_production[[#This Row],[Age (yrs)]])</f>
        <v>0.99453377542529364</v>
      </c>
      <c r="G1796" s="52">
        <f>IF(expected_production[[#This Row],[Base Expected (kWh)]]="","",expected_production[[#This Row],[Base Expected (kWh)]]*expected_production[[#This Row],[Degradation Factor]])</f>
        <v>5638.2904423431082</v>
      </c>
    </row>
    <row r="1797" spans="1:7" ht="15" hidden="1" customHeight="1" x14ac:dyDescent="0.3">
      <c r="A1797" t="s">
        <v>218</v>
      </c>
      <c r="B1797" s="2">
        <v>46204</v>
      </c>
      <c r="C1797" s="52">
        <v>6247.44</v>
      </c>
      <c r="D1797" s="48">
        <f>_xlfn.XLOOKUP(expected_production[[#This Row],[Site Name]],Table1[[Site Name ]],Table1[Commisioned Date],"")</f>
        <v>45889</v>
      </c>
      <c r="E1797" s="47">
        <f>IF(ISNUMBER(expected_production[[#This Row],[Commissioned Date]]),MAX(0,(expected_production[[#This Row],[Date]]-expected_production[[#This Row],[Commissioned Date]])/365.25),"")</f>
        <v>0.86242299794661192</v>
      </c>
      <c r="F1797" s="49">
        <f>IF(expected_production[[#This Row],[Age (yrs)]]="",1,(1-DegradationRate)^expected_production[[#This Row],[Age (yrs)]])</f>
        <v>0.99396012435494629</v>
      </c>
      <c r="G1797" s="52">
        <f>IF(expected_production[[#This Row],[Base Expected (kWh)]]="","",expected_production[[#This Row],[Base Expected (kWh)]]*expected_production[[#This Row],[Degradation Factor]])</f>
        <v>6209.7062393000651</v>
      </c>
    </row>
    <row r="1798" spans="1:7" ht="15" hidden="1" customHeight="1" x14ac:dyDescent="0.3">
      <c r="A1798" t="s">
        <v>218</v>
      </c>
      <c r="B1798" s="2">
        <v>46235</v>
      </c>
      <c r="C1798" s="52">
        <v>7340</v>
      </c>
      <c r="D1798" s="48">
        <f>_xlfn.XLOOKUP(expected_production[[#This Row],[Site Name]],Table1[[Site Name ]],Table1[Commisioned Date],"")</f>
        <v>45889</v>
      </c>
      <c r="E1798" s="47">
        <f>IF(ISNUMBER(expected_production[[#This Row],[Commissioned Date]]),MAX(0,(expected_production[[#This Row],[Date]]-expected_production[[#This Row],[Commissioned Date]])/365.25),"")</f>
        <v>0.94729637234770703</v>
      </c>
      <c r="F1798" s="49">
        <f>IF(expected_production[[#This Row],[Age (yrs)]]="",1,(1-DegradationRate)^expected_production[[#This Row],[Age (yrs)]])</f>
        <v>0.99336769919230039</v>
      </c>
      <c r="G1798" s="52">
        <f>IF(expected_production[[#This Row],[Base Expected (kWh)]]="","",expected_production[[#This Row],[Base Expected (kWh)]]*expected_production[[#This Row],[Degradation Factor]])</f>
        <v>7291.3189120714851</v>
      </c>
    </row>
    <row r="1799" spans="1:7" ht="15" hidden="1" customHeight="1" x14ac:dyDescent="0.3">
      <c r="A1799" t="s">
        <v>218</v>
      </c>
      <c r="B1799" s="2">
        <v>46266</v>
      </c>
      <c r="C1799" s="52">
        <v>8154</v>
      </c>
      <c r="D1799" s="48">
        <f>_xlfn.XLOOKUP(expected_production[[#This Row],[Site Name]],Table1[[Site Name ]],Table1[Commisioned Date],"")</f>
        <v>45889</v>
      </c>
      <c r="E1799" s="47">
        <f>IF(ISNUMBER(expected_production[[#This Row],[Commissioned Date]]),MAX(0,(expected_production[[#This Row],[Date]]-expected_production[[#This Row],[Commissioned Date]])/365.25),"")</f>
        <v>1.0321697467488022</v>
      </c>
      <c r="F1799" s="49">
        <f>IF(expected_production[[#This Row],[Age (yrs)]]="",1,(1-DegradationRate)^expected_production[[#This Row],[Age (yrs)]])</f>
        <v>0.99277562712990952</v>
      </c>
      <c r="G1799" s="52">
        <f>IF(expected_production[[#This Row],[Base Expected (kWh)]]="","",expected_production[[#This Row],[Base Expected (kWh)]]*expected_production[[#This Row],[Degradation Factor]])</f>
        <v>8095.0924636172822</v>
      </c>
    </row>
    <row r="1800" spans="1:7" ht="15" hidden="1" customHeight="1" x14ac:dyDescent="0.3">
      <c r="A1800" t="s">
        <v>218</v>
      </c>
      <c r="B1800" s="2">
        <v>46296</v>
      </c>
      <c r="C1800" s="52">
        <v>9352.7999999999993</v>
      </c>
      <c r="D1800" s="48">
        <f>_xlfn.XLOOKUP(expected_production[[#This Row],[Site Name]],Table1[[Site Name ]],Table1[Commisioned Date],"")</f>
        <v>45889</v>
      </c>
      <c r="E1800" s="47">
        <f>IF(ISNUMBER(expected_production[[#This Row],[Commissioned Date]]),MAX(0,(expected_production[[#This Row],[Date]]-expected_production[[#This Row],[Commissioned Date]])/365.25),"")</f>
        <v>1.1143052703627652</v>
      </c>
      <c r="F1800" s="49">
        <f>IF(expected_production[[#This Row],[Age (yrs)]]="",1,(1-DegradationRate)^expected_production[[#This Row],[Age (yrs)]])</f>
        <v>0.99220299016655011</v>
      </c>
      <c r="G1800" s="52">
        <f>IF(expected_production[[#This Row],[Base Expected (kWh)]]="","",expected_production[[#This Row],[Base Expected (kWh)]]*expected_production[[#This Row],[Degradation Factor]])</f>
        <v>9279.87612642971</v>
      </c>
    </row>
    <row r="1801" spans="1:7" ht="15" hidden="1" customHeight="1" x14ac:dyDescent="0.3">
      <c r="A1801" t="s">
        <v>218</v>
      </c>
      <c r="B1801" s="2">
        <v>46327</v>
      </c>
      <c r="C1801" s="52">
        <v>9353.7000000000007</v>
      </c>
      <c r="D1801" s="48">
        <f>_xlfn.XLOOKUP(expected_production[[#This Row],[Site Name]],Table1[[Site Name ]],Table1[Commisioned Date],"")</f>
        <v>45889</v>
      </c>
      <c r="E1801" s="47">
        <f>IF(ISNUMBER(expected_production[[#This Row],[Commissioned Date]]),MAX(0,(expected_production[[#This Row],[Date]]-expected_production[[#This Row],[Commissioned Date]])/365.25),"")</f>
        <v>1.1991786447638604</v>
      </c>
      <c r="F1801" s="49">
        <f>IF(expected_production[[#This Row],[Age (yrs)]]="",1,(1-DegradationRate)^expected_production[[#This Row],[Age (yrs)]])</f>
        <v>0.99161161229994954</v>
      </c>
      <c r="G1801" s="52">
        <f>IF(expected_production[[#This Row],[Base Expected (kWh)]]="","",expected_production[[#This Row],[Base Expected (kWh)]]*expected_production[[#This Row],[Degradation Factor]])</f>
        <v>9275.2375379700388</v>
      </c>
    </row>
    <row r="1802" spans="1:7" ht="15" hidden="1" customHeight="1" x14ac:dyDescent="0.3">
      <c r="A1802" t="s">
        <v>218</v>
      </c>
      <c r="B1802" s="2">
        <v>46357</v>
      </c>
      <c r="C1802" s="52">
        <v>9582.2999999999993</v>
      </c>
      <c r="D1802" s="48">
        <f>_xlfn.XLOOKUP(expected_production[[#This Row],[Site Name]],Table1[[Site Name ]],Table1[Commisioned Date],"")</f>
        <v>45889</v>
      </c>
      <c r="E1802" s="47">
        <f>IF(ISNUMBER(expected_production[[#This Row],[Commissioned Date]]),MAX(0,(expected_production[[#This Row],[Date]]-expected_production[[#This Row],[Commissioned Date]])/365.25),"")</f>
        <v>1.2813141683778233</v>
      </c>
      <c r="F1802" s="49">
        <f>IF(expected_production[[#This Row],[Age (yrs)]]="",1,(1-DegradationRate)^expected_production[[#This Row],[Age (yrs)]])</f>
        <v>0.99103964674501255</v>
      </c>
      <c r="G1802" s="52">
        <f>IF(expected_production[[#This Row],[Base Expected (kWh)]]="","",expected_production[[#This Row],[Base Expected (kWh)]]*expected_production[[#This Row],[Degradation Factor]])</f>
        <v>9496.4392070047325</v>
      </c>
    </row>
    <row r="1803" spans="1:7" ht="15" hidden="1" customHeight="1" x14ac:dyDescent="0.3">
      <c r="A1803" t="s">
        <v>163</v>
      </c>
      <c r="B1803" s="2">
        <v>45292</v>
      </c>
      <c r="C1803" s="52">
        <v>5191.4789549999996</v>
      </c>
      <c r="D1803" s="48" t="str">
        <f>_xlfn.XLOOKUP(expected_production[[#This Row],[Site Name]],Table1[[Site Name ]],Table1[Commisioned Date],"")</f>
        <v>null</v>
      </c>
      <c r="E1803" s="47" t="str">
        <f>IF(ISNUMBER(expected_production[[#This Row],[Commissioned Date]]),MAX(0,(expected_production[[#This Row],[Date]]-expected_production[[#This Row],[Commissioned Date]])/365.25),"")</f>
        <v/>
      </c>
      <c r="F1803" s="49">
        <f>IF(expected_production[[#This Row],[Age (yrs)]]="",1,(1-DegradationRate)^expected_production[[#This Row],[Age (yrs)]])</f>
        <v>1</v>
      </c>
      <c r="G1803" s="52">
        <f>IF(expected_production[[#This Row],[Base Expected (kWh)]]="","",expected_production[[#This Row],[Base Expected (kWh)]]*expected_production[[#This Row],[Degradation Factor]])</f>
        <v>5191.4789549999996</v>
      </c>
    </row>
    <row r="1804" spans="1:7" ht="15" hidden="1" customHeight="1" x14ac:dyDescent="0.3">
      <c r="A1804" t="s">
        <v>163</v>
      </c>
      <c r="B1804" s="2">
        <v>45323</v>
      </c>
      <c r="C1804" s="52">
        <v>4656.5572949999996</v>
      </c>
      <c r="D1804" s="48" t="str">
        <f>_xlfn.XLOOKUP(expected_production[[#This Row],[Site Name]],Table1[[Site Name ]],Table1[Commisioned Date],"")</f>
        <v>null</v>
      </c>
      <c r="E1804" s="47" t="str">
        <f>IF(ISNUMBER(expected_production[[#This Row],[Commissioned Date]]),MAX(0,(expected_production[[#This Row],[Date]]-expected_production[[#This Row],[Commissioned Date]])/365.25),"")</f>
        <v/>
      </c>
      <c r="F1804" s="49">
        <f>IF(expected_production[[#This Row],[Age (yrs)]]="",1,(1-DegradationRate)^expected_production[[#This Row],[Age (yrs)]])</f>
        <v>1</v>
      </c>
      <c r="G1804" s="52">
        <f>IF(expected_production[[#This Row],[Base Expected (kWh)]]="","",expected_production[[#This Row],[Base Expected (kWh)]]*expected_production[[#This Row],[Degradation Factor]])</f>
        <v>4656.5572949999996</v>
      </c>
    </row>
    <row r="1805" spans="1:7" ht="15" hidden="1" customHeight="1" x14ac:dyDescent="0.3">
      <c r="A1805" t="s">
        <v>163</v>
      </c>
      <c r="B1805" s="2">
        <v>45352</v>
      </c>
      <c r="C1805" s="52">
        <v>5018.2718624999998</v>
      </c>
      <c r="D1805" s="48" t="str">
        <f>_xlfn.XLOOKUP(expected_production[[#This Row],[Site Name]],Table1[[Site Name ]],Table1[Commisioned Date],"")</f>
        <v>null</v>
      </c>
      <c r="E1805" s="47" t="str">
        <f>IF(ISNUMBER(expected_production[[#This Row],[Commissioned Date]]),MAX(0,(expected_production[[#This Row],[Date]]-expected_production[[#This Row],[Commissioned Date]])/365.25),"")</f>
        <v/>
      </c>
      <c r="F1805" s="49">
        <f>IF(expected_production[[#This Row],[Age (yrs)]]="",1,(1-DegradationRate)^expected_production[[#This Row],[Age (yrs)]])</f>
        <v>1</v>
      </c>
      <c r="G1805" s="52">
        <f>IF(expected_production[[#This Row],[Base Expected (kWh)]]="","",expected_production[[#This Row],[Base Expected (kWh)]]*expected_production[[#This Row],[Degradation Factor]])</f>
        <v>5018.2718624999998</v>
      </c>
    </row>
    <row r="1806" spans="1:7" ht="15" hidden="1" customHeight="1" x14ac:dyDescent="0.3">
      <c r="A1806" t="s">
        <v>163</v>
      </c>
      <c r="B1806" s="2">
        <v>45383</v>
      </c>
      <c r="C1806" s="52">
        <v>4498.5660525000003</v>
      </c>
      <c r="D1806" s="48" t="str">
        <f>_xlfn.XLOOKUP(expected_production[[#This Row],[Site Name]],Table1[[Site Name ]],Table1[Commisioned Date],"")</f>
        <v>null</v>
      </c>
      <c r="E1806" s="47" t="str">
        <f>IF(ISNUMBER(expected_production[[#This Row],[Commissioned Date]]),MAX(0,(expected_production[[#This Row],[Date]]-expected_production[[#This Row],[Commissioned Date]])/365.25),"")</f>
        <v/>
      </c>
      <c r="F1806" s="49">
        <f>IF(expected_production[[#This Row],[Age (yrs)]]="",1,(1-DegradationRate)^expected_production[[#This Row],[Age (yrs)]])</f>
        <v>1</v>
      </c>
      <c r="G1806" s="52">
        <f>IF(expected_production[[#This Row],[Base Expected (kWh)]]="","",expected_production[[#This Row],[Base Expected (kWh)]]*expected_production[[#This Row],[Degradation Factor]])</f>
        <v>4498.5660525000003</v>
      </c>
    </row>
    <row r="1807" spans="1:7" ht="15" hidden="1" customHeight="1" x14ac:dyDescent="0.3">
      <c r="A1807" t="s">
        <v>163</v>
      </c>
      <c r="B1807" s="2">
        <v>45413</v>
      </c>
      <c r="C1807" s="52">
        <v>4604.0626124999999</v>
      </c>
      <c r="D1807" s="48" t="str">
        <f>_xlfn.XLOOKUP(expected_production[[#This Row],[Site Name]],Table1[[Site Name ]],Table1[Commisioned Date],"")</f>
        <v>null</v>
      </c>
      <c r="E1807" s="47" t="str">
        <f>IF(ISNUMBER(expected_production[[#This Row],[Commissioned Date]]),MAX(0,(expected_production[[#This Row],[Date]]-expected_production[[#This Row],[Commissioned Date]])/365.25),"")</f>
        <v/>
      </c>
      <c r="F1807" s="49">
        <f>IF(expected_production[[#This Row],[Age (yrs)]]="",1,(1-DegradationRate)^expected_production[[#This Row],[Age (yrs)]])</f>
        <v>1</v>
      </c>
      <c r="G1807" s="52">
        <f>IF(expected_production[[#This Row],[Base Expected (kWh)]]="","",expected_production[[#This Row],[Base Expected (kWh)]]*expected_production[[#This Row],[Degradation Factor]])</f>
        <v>4604.0626124999999</v>
      </c>
    </row>
    <row r="1808" spans="1:7" ht="15" hidden="1" customHeight="1" x14ac:dyDescent="0.3">
      <c r="A1808" t="s">
        <v>163</v>
      </c>
      <c r="B1808" s="2">
        <v>45444</v>
      </c>
      <c r="C1808" s="52">
        <v>4265.4254174999996</v>
      </c>
      <c r="D1808" s="48" t="str">
        <f>_xlfn.XLOOKUP(expected_production[[#This Row],[Site Name]],Table1[[Site Name ]],Table1[Commisioned Date],"")</f>
        <v>null</v>
      </c>
      <c r="E1808" s="47" t="str">
        <f>IF(ISNUMBER(expected_production[[#This Row],[Commissioned Date]]),MAX(0,(expected_production[[#This Row],[Date]]-expected_production[[#This Row],[Commissioned Date]])/365.25),"")</f>
        <v/>
      </c>
      <c r="F1808" s="49">
        <f>IF(expected_production[[#This Row],[Age (yrs)]]="",1,(1-DegradationRate)^expected_production[[#This Row],[Age (yrs)]])</f>
        <v>1</v>
      </c>
      <c r="G1808" s="52">
        <f>IF(expected_production[[#This Row],[Base Expected (kWh)]]="","",expected_production[[#This Row],[Base Expected (kWh)]]*expected_production[[#This Row],[Degradation Factor]])</f>
        <v>4265.4254174999996</v>
      </c>
    </row>
    <row r="1809" spans="1:7" ht="15" hidden="1" customHeight="1" x14ac:dyDescent="0.3">
      <c r="A1809" t="s">
        <v>163</v>
      </c>
      <c r="B1809" s="2">
        <v>45474</v>
      </c>
      <c r="C1809" s="52">
        <v>4694.8505175</v>
      </c>
      <c r="D1809" s="48" t="str">
        <f>_xlfn.XLOOKUP(expected_production[[#This Row],[Site Name]],Table1[[Site Name ]],Table1[Commisioned Date],"")</f>
        <v>null</v>
      </c>
      <c r="E1809" s="47" t="str">
        <f>IF(ISNUMBER(expected_production[[#This Row],[Commissioned Date]]),MAX(0,(expected_production[[#This Row],[Date]]-expected_production[[#This Row],[Commissioned Date]])/365.25),"")</f>
        <v/>
      </c>
      <c r="F1809" s="49">
        <f>IF(expected_production[[#This Row],[Age (yrs)]]="",1,(1-DegradationRate)^expected_production[[#This Row],[Age (yrs)]])</f>
        <v>1</v>
      </c>
      <c r="G1809" s="52">
        <f>IF(expected_production[[#This Row],[Base Expected (kWh)]]="","",expected_production[[#This Row],[Base Expected (kWh)]]*expected_production[[#This Row],[Degradation Factor]])</f>
        <v>4694.8505175</v>
      </c>
    </row>
    <row r="1810" spans="1:7" ht="15" hidden="1" customHeight="1" x14ac:dyDescent="0.3">
      <c r="A1810" t="s">
        <v>163</v>
      </c>
      <c r="B1810" s="2">
        <v>45505</v>
      </c>
      <c r="C1810" s="52">
        <v>5144.2252875000004</v>
      </c>
      <c r="D1810" s="48" t="str">
        <f>_xlfn.XLOOKUP(expected_production[[#This Row],[Site Name]],Table1[[Site Name ]],Table1[Commisioned Date],"")</f>
        <v>null</v>
      </c>
      <c r="E1810" s="47" t="str">
        <f>IF(ISNUMBER(expected_production[[#This Row],[Commissioned Date]]),MAX(0,(expected_production[[#This Row],[Date]]-expected_production[[#This Row],[Commissioned Date]])/365.25),"")</f>
        <v/>
      </c>
      <c r="F1810" s="49">
        <f>IF(expected_production[[#This Row],[Age (yrs)]]="",1,(1-DegradationRate)^expected_production[[#This Row],[Age (yrs)]])</f>
        <v>1</v>
      </c>
      <c r="G1810" s="52">
        <f>IF(expected_production[[#This Row],[Base Expected (kWh)]]="","",expected_production[[#This Row],[Base Expected (kWh)]]*expected_production[[#This Row],[Degradation Factor]])</f>
        <v>5144.2252875000004</v>
      </c>
    </row>
    <row r="1811" spans="1:7" ht="15" hidden="1" customHeight="1" x14ac:dyDescent="0.3">
      <c r="A1811" t="s">
        <v>163</v>
      </c>
      <c r="B1811" s="2">
        <v>45536</v>
      </c>
      <c r="C1811" s="52">
        <v>5295.0312674999996</v>
      </c>
      <c r="D1811" s="48" t="str">
        <f>_xlfn.XLOOKUP(expected_production[[#This Row],[Site Name]],Table1[[Site Name ]],Table1[Commisioned Date],"")</f>
        <v>null</v>
      </c>
      <c r="E1811" s="47" t="str">
        <f>IF(ISNUMBER(expected_production[[#This Row],[Commissioned Date]]),MAX(0,(expected_production[[#This Row],[Date]]-expected_production[[#This Row],[Commissioned Date]])/365.25),"")</f>
        <v/>
      </c>
      <c r="F1811" s="49">
        <f>IF(expected_production[[#This Row],[Age (yrs)]]="",1,(1-DegradationRate)^expected_production[[#This Row],[Age (yrs)]])</f>
        <v>1</v>
      </c>
      <c r="G1811" s="52">
        <f>IF(expected_production[[#This Row],[Base Expected (kWh)]]="","",expected_production[[#This Row],[Base Expected (kWh)]]*expected_production[[#This Row],[Degradation Factor]])</f>
        <v>5295.0312674999996</v>
      </c>
    </row>
    <row r="1812" spans="1:7" ht="15" hidden="1" customHeight="1" x14ac:dyDescent="0.3">
      <c r="A1812" t="s">
        <v>163</v>
      </c>
      <c r="B1812" s="2">
        <v>45566</v>
      </c>
      <c r="C1812" s="52">
        <v>5391.4828500000003</v>
      </c>
      <c r="D1812" s="48" t="str">
        <f>_xlfn.XLOOKUP(expected_production[[#This Row],[Site Name]],Table1[[Site Name ]],Table1[Commisioned Date],"")</f>
        <v>null</v>
      </c>
      <c r="E1812" s="47" t="str">
        <f>IF(ISNUMBER(expected_production[[#This Row],[Commissioned Date]]),MAX(0,(expected_production[[#This Row],[Date]]-expected_production[[#This Row],[Commissioned Date]])/365.25),"")</f>
        <v/>
      </c>
      <c r="F1812" s="49">
        <f>IF(expected_production[[#This Row],[Age (yrs)]]="",1,(1-DegradationRate)^expected_production[[#This Row],[Age (yrs)]])</f>
        <v>1</v>
      </c>
      <c r="G1812" s="52">
        <f>IF(expected_production[[#This Row],[Base Expected (kWh)]]="","",expected_production[[#This Row],[Base Expected (kWh)]]*expected_production[[#This Row],[Degradation Factor]])</f>
        <v>5391.4828500000003</v>
      </c>
    </row>
    <row r="1813" spans="1:7" ht="15" hidden="1" customHeight="1" x14ac:dyDescent="0.3">
      <c r="A1813" t="s">
        <v>163</v>
      </c>
      <c r="B1813" s="2">
        <v>45597</v>
      </c>
      <c r="C1813" s="52">
        <v>5210.6678325000003</v>
      </c>
      <c r="D1813" s="48" t="str">
        <f>_xlfn.XLOOKUP(expected_production[[#This Row],[Site Name]],Table1[[Site Name ]],Table1[Commisioned Date],"")</f>
        <v>null</v>
      </c>
      <c r="E1813" s="47" t="str">
        <f>IF(ISNUMBER(expected_production[[#This Row],[Commissioned Date]]),MAX(0,(expected_production[[#This Row],[Date]]-expected_production[[#This Row],[Commissioned Date]])/365.25),"")</f>
        <v/>
      </c>
      <c r="F1813" s="49">
        <f>IF(expected_production[[#This Row],[Age (yrs)]]="",1,(1-DegradationRate)^expected_production[[#This Row],[Age (yrs)]])</f>
        <v>1</v>
      </c>
      <c r="G1813" s="52">
        <f>IF(expected_production[[#This Row],[Base Expected (kWh)]]="","",expected_production[[#This Row],[Base Expected (kWh)]]*expected_production[[#This Row],[Degradation Factor]])</f>
        <v>5210.6678325000003</v>
      </c>
    </row>
    <row r="1814" spans="1:7" ht="15" hidden="1" customHeight="1" x14ac:dyDescent="0.3">
      <c r="A1814" t="s">
        <v>163</v>
      </c>
      <c r="B1814" s="2">
        <v>45627</v>
      </c>
      <c r="C1814" s="52">
        <v>5439.6663749999998</v>
      </c>
      <c r="D1814" s="48" t="str">
        <f>_xlfn.XLOOKUP(expected_production[[#This Row],[Site Name]],Table1[[Site Name ]],Table1[Commisioned Date],"")</f>
        <v>null</v>
      </c>
      <c r="E1814" s="47" t="str">
        <f>IF(ISNUMBER(expected_production[[#This Row],[Commissioned Date]]),MAX(0,(expected_production[[#This Row],[Date]]-expected_production[[#This Row],[Commissioned Date]])/365.25),"")</f>
        <v/>
      </c>
      <c r="F1814" s="49">
        <f>IF(expected_production[[#This Row],[Age (yrs)]]="",1,(1-DegradationRate)^expected_production[[#This Row],[Age (yrs)]])</f>
        <v>1</v>
      </c>
      <c r="G1814" s="52">
        <f>IF(expected_production[[#This Row],[Base Expected (kWh)]]="","",expected_production[[#This Row],[Base Expected (kWh)]]*expected_production[[#This Row],[Degradation Factor]])</f>
        <v>5439.6663749999998</v>
      </c>
    </row>
    <row r="1815" spans="1:7" ht="15" hidden="1" customHeight="1" x14ac:dyDescent="0.3">
      <c r="A1815" t="s">
        <v>163</v>
      </c>
      <c r="B1815" s="2">
        <v>45658</v>
      </c>
      <c r="C1815" s="52">
        <v>5191.4789549999996</v>
      </c>
      <c r="D1815" s="48" t="str">
        <f>_xlfn.XLOOKUP(expected_production[[#This Row],[Site Name]],Table1[[Site Name ]],Table1[Commisioned Date],"")</f>
        <v>null</v>
      </c>
      <c r="E1815" s="47" t="str">
        <f>IF(ISNUMBER(expected_production[[#This Row],[Commissioned Date]]),MAX(0,(expected_production[[#This Row],[Date]]-expected_production[[#This Row],[Commissioned Date]])/365.25),"")</f>
        <v/>
      </c>
      <c r="F1815" s="49">
        <f>IF(expected_production[[#This Row],[Age (yrs)]]="",1,(1-DegradationRate)^expected_production[[#This Row],[Age (yrs)]])</f>
        <v>1</v>
      </c>
      <c r="G1815" s="52">
        <f>IF(expected_production[[#This Row],[Base Expected (kWh)]]="","",expected_production[[#This Row],[Base Expected (kWh)]]*expected_production[[#This Row],[Degradation Factor]])</f>
        <v>5191.4789549999996</v>
      </c>
    </row>
    <row r="1816" spans="1:7" ht="15" hidden="1" customHeight="1" x14ac:dyDescent="0.3">
      <c r="A1816" t="s">
        <v>163</v>
      </c>
      <c r="B1816" s="2">
        <v>45689</v>
      </c>
      <c r="C1816" s="52">
        <v>4656.5572949999996</v>
      </c>
      <c r="D1816" s="48" t="str">
        <f>_xlfn.XLOOKUP(expected_production[[#This Row],[Site Name]],Table1[[Site Name ]],Table1[Commisioned Date],"")</f>
        <v>null</v>
      </c>
      <c r="E1816" s="47" t="str">
        <f>IF(ISNUMBER(expected_production[[#This Row],[Commissioned Date]]),MAX(0,(expected_production[[#This Row],[Date]]-expected_production[[#This Row],[Commissioned Date]])/365.25),"")</f>
        <v/>
      </c>
      <c r="F1816" s="49">
        <f>IF(expected_production[[#This Row],[Age (yrs)]]="",1,(1-DegradationRate)^expected_production[[#This Row],[Age (yrs)]])</f>
        <v>1</v>
      </c>
      <c r="G1816" s="52">
        <f>IF(expected_production[[#This Row],[Base Expected (kWh)]]="","",expected_production[[#This Row],[Base Expected (kWh)]]*expected_production[[#This Row],[Degradation Factor]])</f>
        <v>4656.5572949999996</v>
      </c>
    </row>
    <row r="1817" spans="1:7" ht="15" hidden="1" customHeight="1" x14ac:dyDescent="0.3">
      <c r="A1817" t="s">
        <v>163</v>
      </c>
      <c r="B1817" s="2">
        <v>45717</v>
      </c>
      <c r="C1817" s="52">
        <v>5018.2718624999998</v>
      </c>
      <c r="D1817" s="48" t="str">
        <f>_xlfn.XLOOKUP(expected_production[[#This Row],[Site Name]],Table1[[Site Name ]],Table1[Commisioned Date],"")</f>
        <v>null</v>
      </c>
      <c r="E1817" s="47" t="str">
        <f>IF(ISNUMBER(expected_production[[#This Row],[Commissioned Date]]),MAX(0,(expected_production[[#This Row],[Date]]-expected_production[[#This Row],[Commissioned Date]])/365.25),"")</f>
        <v/>
      </c>
      <c r="F1817" s="49">
        <f>IF(expected_production[[#This Row],[Age (yrs)]]="",1,(1-DegradationRate)^expected_production[[#This Row],[Age (yrs)]])</f>
        <v>1</v>
      </c>
      <c r="G1817" s="52">
        <f>IF(expected_production[[#This Row],[Base Expected (kWh)]]="","",expected_production[[#This Row],[Base Expected (kWh)]]*expected_production[[#This Row],[Degradation Factor]])</f>
        <v>5018.2718624999998</v>
      </c>
    </row>
    <row r="1818" spans="1:7" ht="15" hidden="1" customHeight="1" x14ac:dyDescent="0.3">
      <c r="A1818" t="s">
        <v>163</v>
      </c>
      <c r="B1818" s="2">
        <v>45748</v>
      </c>
      <c r="C1818" s="52">
        <v>4498.5660525000003</v>
      </c>
      <c r="D1818" s="48" t="str">
        <f>_xlfn.XLOOKUP(expected_production[[#This Row],[Site Name]],Table1[[Site Name ]],Table1[Commisioned Date],"")</f>
        <v>null</v>
      </c>
      <c r="E1818" s="47" t="str">
        <f>IF(ISNUMBER(expected_production[[#This Row],[Commissioned Date]]),MAX(0,(expected_production[[#This Row],[Date]]-expected_production[[#This Row],[Commissioned Date]])/365.25),"")</f>
        <v/>
      </c>
      <c r="F1818" s="49">
        <f>IF(expected_production[[#This Row],[Age (yrs)]]="",1,(1-DegradationRate)^expected_production[[#This Row],[Age (yrs)]])</f>
        <v>1</v>
      </c>
      <c r="G1818" s="52">
        <f>IF(expected_production[[#This Row],[Base Expected (kWh)]]="","",expected_production[[#This Row],[Base Expected (kWh)]]*expected_production[[#This Row],[Degradation Factor]])</f>
        <v>4498.5660525000003</v>
      </c>
    </row>
    <row r="1819" spans="1:7" ht="15" hidden="1" customHeight="1" x14ac:dyDescent="0.3">
      <c r="A1819" t="s">
        <v>163</v>
      </c>
      <c r="B1819" s="2">
        <v>45778</v>
      </c>
      <c r="C1819" s="52">
        <v>4604.0626124999999</v>
      </c>
      <c r="D1819" s="48" t="str">
        <f>_xlfn.XLOOKUP(expected_production[[#This Row],[Site Name]],Table1[[Site Name ]],Table1[Commisioned Date],"")</f>
        <v>null</v>
      </c>
      <c r="E1819" s="47" t="str">
        <f>IF(ISNUMBER(expected_production[[#This Row],[Commissioned Date]]),MAX(0,(expected_production[[#This Row],[Date]]-expected_production[[#This Row],[Commissioned Date]])/365.25),"")</f>
        <v/>
      </c>
      <c r="F1819" s="49">
        <f>IF(expected_production[[#This Row],[Age (yrs)]]="",1,(1-DegradationRate)^expected_production[[#This Row],[Age (yrs)]])</f>
        <v>1</v>
      </c>
      <c r="G1819" s="52">
        <f>IF(expected_production[[#This Row],[Base Expected (kWh)]]="","",expected_production[[#This Row],[Base Expected (kWh)]]*expected_production[[#This Row],[Degradation Factor]])</f>
        <v>4604.0626124999999</v>
      </c>
    </row>
    <row r="1820" spans="1:7" ht="15" hidden="1" customHeight="1" x14ac:dyDescent="0.3">
      <c r="A1820" t="s">
        <v>163</v>
      </c>
      <c r="B1820" s="2">
        <v>45809</v>
      </c>
      <c r="C1820" s="52">
        <v>4265.4254174999996</v>
      </c>
      <c r="D1820" s="48" t="str">
        <f>_xlfn.XLOOKUP(expected_production[[#This Row],[Site Name]],Table1[[Site Name ]],Table1[Commisioned Date],"")</f>
        <v>null</v>
      </c>
      <c r="E1820" s="47" t="str">
        <f>IF(ISNUMBER(expected_production[[#This Row],[Commissioned Date]]),MAX(0,(expected_production[[#This Row],[Date]]-expected_production[[#This Row],[Commissioned Date]])/365.25),"")</f>
        <v/>
      </c>
      <c r="F1820" s="49">
        <f>IF(expected_production[[#This Row],[Age (yrs)]]="",1,(1-DegradationRate)^expected_production[[#This Row],[Age (yrs)]])</f>
        <v>1</v>
      </c>
      <c r="G1820" s="52">
        <f>IF(expected_production[[#This Row],[Base Expected (kWh)]]="","",expected_production[[#This Row],[Base Expected (kWh)]]*expected_production[[#This Row],[Degradation Factor]])</f>
        <v>4265.4254174999996</v>
      </c>
    </row>
    <row r="1821" spans="1:7" ht="15" hidden="1" customHeight="1" x14ac:dyDescent="0.3">
      <c r="A1821" t="s">
        <v>163</v>
      </c>
      <c r="B1821" s="2">
        <v>45839</v>
      </c>
      <c r="C1821" s="52">
        <v>4694.8505175</v>
      </c>
      <c r="D1821" s="48" t="str">
        <f>_xlfn.XLOOKUP(expected_production[[#This Row],[Site Name]],Table1[[Site Name ]],Table1[Commisioned Date],"")</f>
        <v>null</v>
      </c>
      <c r="E1821" s="47" t="str">
        <f>IF(ISNUMBER(expected_production[[#This Row],[Commissioned Date]]),MAX(0,(expected_production[[#This Row],[Date]]-expected_production[[#This Row],[Commissioned Date]])/365.25),"")</f>
        <v/>
      </c>
      <c r="F1821" s="49">
        <f>IF(expected_production[[#This Row],[Age (yrs)]]="",1,(1-DegradationRate)^expected_production[[#This Row],[Age (yrs)]])</f>
        <v>1</v>
      </c>
      <c r="G1821" s="52">
        <f>IF(expected_production[[#This Row],[Base Expected (kWh)]]="","",expected_production[[#This Row],[Base Expected (kWh)]]*expected_production[[#This Row],[Degradation Factor]])</f>
        <v>4694.8505175</v>
      </c>
    </row>
    <row r="1822" spans="1:7" ht="15" hidden="1" customHeight="1" x14ac:dyDescent="0.3">
      <c r="A1822" t="s">
        <v>163</v>
      </c>
      <c r="B1822" s="2">
        <v>45870</v>
      </c>
      <c r="C1822" s="52">
        <v>5144.2252875000004</v>
      </c>
      <c r="D1822" s="48" t="str">
        <f>_xlfn.XLOOKUP(expected_production[[#This Row],[Site Name]],Table1[[Site Name ]],Table1[Commisioned Date],"")</f>
        <v>null</v>
      </c>
      <c r="E1822" s="47" t="str">
        <f>IF(ISNUMBER(expected_production[[#This Row],[Commissioned Date]]),MAX(0,(expected_production[[#This Row],[Date]]-expected_production[[#This Row],[Commissioned Date]])/365.25),"")</f>
        <v/>
      </c>
      <c r="F1822" s="49">
        <f>IF(expected_production[[#This Row],[Age (yrs)]]="",1,(1-DegradationRate)^expected_production[[#This Row],[Age (yrs)]])</f>
        <v>1</v>
      </c>
      <c r="G1822" s="52">
        <f>IF(expected_production[[#This Row],[Base Expected (kWh)]]="","",expected_production[[#This Row],[Base Expected (kWh)]]*expected_production[[#This Row],[Degradation Factor]])</f>
        <v>5144.2252875000004</v>
      </c>
    </row>
    <row r="1823" spans="1:7" ht="15" hidden="1" customHeight="1" x14ac:dyDescent="0.3">
      <c r="A1823" t="s">
        <v>163</v>
      </c>
      <c r="B1823" s="2">
        <v>45901</v>
      </c>
      <c r="C1823" s="52">
        <v>5295.0312674999996</v>
      </c>
      <c r="D1823" s="48" t="str">
        <f>_xlfn.XLOOKUP(expected_production[[#This Row],[Site Name]],Table1[[Site Name ]],Table1[Commisioned Date],"")</f>
        <v>null</v>
      </c>
      <c r="E1823" s="47" t="str">
        <f>IF(ISNUMBER(expected_production[[#This Row],[Commissioned Date]]),MAX(0,(expected_production[[#This Row],[Date]]-expected_production[[#This Row],[Commissioned Date]])/365.25),"")</f>
        <v/>
      </c>
      <c r="F1823" s="49">
        <f>IF(expected_production[[#This Row],[Age (yrs)]]="",1,(1-DegradationRate)^expected_production[[#This Row],[Age (yrs)]])</f>
        <v>1</v>
      </c>
      <c r="G1823" s="52">
        <f>IF(expected_production[[#This Row],[Base Expected (kWh)]]="","",expected_production[[#This Row],[Base Expected (kWh)]]*expected_production[[#This Row],[Degradation Factor]])</f>
        <v>5295.0312674999996</v>
      </c>
    </row>
    <row r="1824" spans="1:7" ht="15" hidden="1" customHeight="1" x14ac:dyDescent="0.3">
      <c r="A1824" t="s">
        <v>163</v>
      </c>
      <c r="B1824" s="2">
        <v>45931</v>
      </c>
      <c r="C1824" s="52">
        <v>5391.4828500000003</v>
      </c>
      <c r="D1824" s="48" t="str">
        <f>_xlfn.XLOOKUP(expected_production[[#This Row],[Site Name]],Table1[[Site Name ]],Table1[Commisioned Date],"")</f>
        <v>null</v>
      </c>
      <c r="E1824" s="47" t="str">
        <f>IF(ISNUMBER(expected_production[[#This Row],[Commissioned Date]]),MAX(0,(expected_production[[#This Row],[Date]]-expected_production[[#This Row],[Commissioned Date]])/365.25),"")</f>
        <v/>
      </c>
      <c r="F1824" s="49">
        <f>IF(expected_production[[#This Row],[Age (yrs)]]="",1,(1-DegradationRate)^expected_production[[#This Row],[Age (yrs)]])</f>
        <v>1</v>
      </c>
      <c r="G1824" s="52">
        <f>IF(expected_production[[#This Row],[Base Expected (kWh)]]="","",expected_production[[#This Row],[Base Expected (kWh)]]*expected_production[[#This Row],[Degradation Factor]])</f>
        <v>5391.4828500000003</v>
      </c>
    </row>
    <row r="1825" spans="1:7" ht="15" hidden="1" customHeight="1" x14ac:dyDescent="0.3">
      <c r="A1825" t="s">
        <v>163</v>
      </c>
      <c r="B1825" s="2">
        <v>45962</v>
      </c>
      <c r="C1825" s="52">
        <v>5210.6678325000003</v>
      </c>
      <c r="D1825" s="48" t="str">
        <f>_xlfn.XLOOKUP(expected_production[[#This Row],[Site Name]],Table1[[Site Name ]],Table1[Commisioned Date],"")</f>
        <v>null</v>
      </c>
      <c r="E1825" s="47" t="str">
        <f>IF(ISNUMBER(expected_production[[#This Row],[Commissioned Date]]),MAX(0,(expected_production[[#This Row],[Date]]-expected_production[[#This Row],[Commissioned Date]])/365.25),"")</f>
        <v/>
      </c>
      <c r="F1825" s="49">
        <f>IF(expected_production[[#This Row],[Age (yrs)]]="",1,(1-DegradationRate)^expected_production[[#This Row],[Age (yrs)]])</f>
        <v>1</v>
      </c>
      <c r="G1825" s="52">
        <f>IF(expected_production[[#This Row],[Base Expected (kWh)]]="","",expected_production[[#This Row],[Base Expected (kWh)]]*expected_production[[#This Row],[Degradation Factor]])</f>
        <v>5210.6678325000003</v>
      </c>
    </row>
    <row r="1826" spans="1:7" ht="15" hidden="1" customHeight="1" x14ac:dyDescent="0.3">
      <c r="A1826" t="s">
        <v>163</v>
      </c>
      <c r="B1826" s="2">
        <v>45992</v>
      </c>
      <c r="C1826" s="52">
        <v>5439.6663749999998</v>
      </c>
      <c r="D1826" s="48" t="str">
        <f>_xlfn.XLOOKUP(expected_production[[#This Row],[Site Name]],Table1[[Site Name ]],Table1[Commisioned Date],"")</f>
        <v>null</v>
      </c>
      <c r="E1826" s="47" t="str">
        <f>IF(ISNUMBER(expected_production[[#This Row],[Commissioned Date]]),MAX(0,(expected_production[[#This Row],[Date]]-expected_production[[#This Row],[Commissioned Date]])/365.25),"")</f>
        <v/>
      </c>
      <c r="F1826" s="49">
        <f>IF(expected_production[[#This Row],[Age (yrs)]]="",1,(1-DegradationRate)^expected_production[[#This Row],[Age (yrs)]])</f>
        <v>1</v>
      </c>
      <c r="G1826" s="52">
        <f>IF(expected_production[[#This Row],[Base Expected (kWh)]]="","",expected_production[[#This Row],[Base Expected (kWh)]]*expected_production[[#This Row],[Degradation Factor]])</f>
        <v>5439.6663749999998</v>
      </c>
    </row>
    <row r="1827" spans="1:7" ht="15" hidden="1" customHeight="1" x14ac:dyDescent="0.3">
      <c r="A1827" t="s">
        <v>163</v>
      </c>
      <c r="B1827" s="2">
        <v>46023</v>
      </c>
      <c r="C1827" s="52">
        <v>5191.4789549999996</v>
      </c>
      <c r="D1827" s="48" t="str">
        <f>_xlfn.XLOOKUP(expected_production[[#This Row],[Site Name]],Table1[[Site Name ]],Table1[Commisioned Date],"")</f>
        <v>null</v>
      </c>
      <c r="E1827" s="47" t="str">
        <f>IF(ISNUMBER(expected_production[[#This Row],[Commissioned Date]]),MAX(0,(expected_production[[#This Row],[Date]]-expected_production[[#This Row],[Commissioned Date]])/365.25),"")</f>
        <v/>
      </c>
      <c r="F1827" s="49">
        <f>IF(expected_production[[#This Row],[Age (yrs)]]="",1,(1-DegradationRate)^expected_production[[#This Row],[Age (yrs)]])</f>
        <v>1</v>
      </c>
      <c r="G1827" s="52">
        <f>IF(expected_production[[#This Row],[Base Expected (kWh)]]="","",expected_production[[#This Row],[Base Expected (kWh)]]*expected_production[[#This Row],[Degradation Factor]])</f>
        <v>5191.4789549999996</v>
      </c>
    </row>
    <row r="1828" spans="1:7" ht="15" hidden="1" customHeight="1" x14ac:dyDescent="0.3">
      <c r="A1828" t="s">
        <v>163</v>
      </c>
      <c r="B1828" s="2">
        <v>46054</v>
      </c>
      <c r="C1828" s="52">
        <v>4656.5572949999996</v>
      </c>
      <c r="D1828" s="48" t="str">
        <f>_xlfn.XLOOKUP(expected_production[[#This Row],[Site Name]],Table1[[Site Name ]],Table1[Commisioned Date],"")</f>
        <v>null</v>
      </c>
      <c r="E1828" s="47" t="str">
        <f>IF(ISNUMBER(expected_production[[#This Row],[Commissioned Date]]),MAX(0,(expected_production[[#This Row],[Date]]-expected_production[[#This Row],[Commissioned Date]])/365.25),"")</f>
        <v/>
      </c>
      <c r="F1828" s="49">
        <f>IF(expected_production[[#This Row],[Age (yrs)]]="",1,(1-DegradationRate)^expected_production[[#This Row],[Age (yrs)]])</f>
        <v>1</v>
      </c>
      <c r="G1828" s="52">
        <f>IF(expected_production[[#This Row],[Base Expected (kWh)]]="","",expected_production[[#This Row],[Base Expected (kWh)]]*expected_production[[#This Row],[Degradation Factor]])</f>
        <v>4656.5572949999996</v>
      </c>
    </row>
    <row r="1829" spans="1:7" ht="15" hidden="1" customHeight="1" x14ac:dyDescent="0.3">
      <c r="A1829" t="s">
        <v>163</v>
      </c>
      <c r="B1829" s="2">
        <v>46082</v>
      </c>
      <c r="C1829" s="52">
        <v>5018.2718624999998</v>
      </c>
      <c r="D1829" s="48" t="str">
        <f>_xlfn.XLOOKUP(expected_production[[#This Row],[Site Name]],Table1[[Site Name ]],Table1[Commisioned Date],"")</f>
        <v>null</v>
      </c>
      <c r="E1829" s="47" t="str">
        <f>IF(ISNUMBER(expected_production[[#This Row],[Commissioned Date]]),MAX(0,(expected_production[[#This Row],[Date]]-expected_production[[#This Row],[Commissioned Date]])/365.25),"")</f>
        <v/>
      </c>
      <c r="F1829" s="49">
        <f>IF(expected_production[[#This Row],[Age (yrs)]]="",1,(1-DegradationRate)^expected_production[[#This Row],[Age (yrs)]])</f>
        <v>1</v>
      </c>
      <c r="G1829" s="52">
        <f>IF(expected_production[[#This Row],[Base Expected (kWh)]]="","",expected_production[[#This Row],[Base Expected (kWh)]]*expected_production[[#This Row],[Degradation Factor]])</f>
        <v>5018.2718624999998</v>
      </c>
    </row>
    <row r="1830" spans="1:7" ht="15" hidden="1" customHeight="1" x14ac:dyDescent="0.3">
      <c r="A1830" t="s">
        <v>163</v>
      </c>
      <c r="B1830" s="2">
        <v>46113</v>
      </c>
      <c r="C1830" s="52">
        <v>4498.5660525000003</v>
      </c>
      <c r="D1830" s="48" t="str">
        <f>_xlfn.XLOOKUP(expected_production[[#This Row],[Site Name]],Table1[[Site Name ]],Table1[Commisioned Date],"")</f>
        <v>null</v>
      </c>
      <c r="E1830" s="47" t="str">
        <f>IF(ISNUMBER(expected_production[[#This Row],[Commissioned Date]]),MAX(0,(expected_production[[#This Row],[Date]]-expected_production[[#This Row],[Commissioned Date]])/365.25),"")</f>
        <v/>
      </c>
      <c r="F1830" s="49">
        <f>IF(expected_production[[#This Row],[Age (yrs)]]="",1,(1-DegradationRate)^expected_production[[#This Row],[Age (yrs)]])</f>
        <v>1</v>
      </c>
      <c r="G1830" s="52">
        <f>IF(expected_production[[#This Row],[Base Expected (kWh)]]="","",expected_production[[#This Row],[Base Expected (kWh)]]*expected_production[[#This Row],[Degradation Factor]])</f>
        <v>4498.5660525000003</v>
      </c>
    </row>
    <row r="1831" spans="1:7" ht="15" hidden="1" customHeight="1" x14ac:dyDescent="0.3">
      <c r="A1831" t="s">
        <v>163</v>
      </c>
      <c r="B1831" s="2">
        <v>46143</v>
      </c>
      <c r="C1831" s="52">
        <v>4604.0626124999999</v>
      </c>
      <c r="D1831" s="48" t="str">
        <f>_xlfn.XLOOKUP(expected_production[[#This Row],[Site Name]],Table1[[Site Name ]],Table1[Commisioned Date],"")</f>
        <v>null</v>
      </c>
      <c r="E1831" s="47" t="str">
        <f>IF(ISNUMBER(expected_production[[#This Row],[Commissioned Date]]),MAX(0,(expected_production[[#This Row],[Date]]-expected_production[[#This Row],[Commissioned Date]])/365.25),"")</f>
        <v/>
      </c>
      <c r="F1831" s="49">
        <f>IF(expected_production[[#This Row],[Age (yrs)]]="",1,(1-DegradationRate)^expected_production[[#This Row],[Age (yrs)]])</f>
        <v>1</v>
      </c>
      <c r="G1831" s="52">
        <f>IF(expected_production[[#This Row],[Base Expected (kWh)]]="","",expected_production[[#This Row],[Base Expected (kWh)]]*expected_production[[#This Row],[Degradation Factor]])</f>
        <v>4604.0626124999999</v>
      </c>
    </row>
    <row r="1832" spans="1:7" ht="15" hidden="1" customHeight="1" x14ac:dyDescent="0.3">
      <c r="A1832" t="s">
        <v>163</v>
      </c>
      <c r="B1832" s="2">
        <v>46174</v>
      </c>
      <c r="C1832" s="52">
        <v>4265.4254174999996</v>
      </c>
      <c r="D1832" s="48" t="str">
        <f>_xlfn.XLOOKUP(expected_production[[#This Row],[Site Name]],Table1[[Site Name ]],Table1[Commisioned Date],"")</f>
        <v>null</v>
      </c>
      <c r="E1832" s="47" t="str">
        <f>IF(ISNUMBER(expected_production[[#This Row],[Commissioned Date]]),MAX(0,(expected_production[[#This Row],[Date]]-expected_production[[#This Row],[Commissioned Date]])/365.25),"")</f>
        <v/>
      </c>
      <c r="F1832" s="49">
        <f>IF(expected_production[[#This Row],[Age (yrs)]]="",1,(1-DegradationRate)^expected_production[[#This Row],[Age (yrs)]])</f>
        <v>1</v>
      </c>
      <c r="G1832" s="52">
        <f>IF(expected_production[[#This Row],[Base Expected (kWh)]]="","",expected_production[[#This Row],[Base Expected (kWh)]]*expected_production[[#This Row],[Degradation Factor]])</f>
        <v>4265.4254174999996</v>
      </c>
    </row>
    <row r="1833" spans="1:7" ht="15" hidden="1" customHeight="1" x14ac:dyDescent="0.3">
      <c r="A1833" t="s">
        <v>163</v>
      </c>
      <c r="B1833" s="2">
        <v>46204</v>
      </c>
      <c r="C1833" s="52">
        <v>4694.8505175</v>
      </c>
      <c r="D1833" s="48" t="str">
        <f>_xlfn.XLOOKUP(expected_production[[#This Row],[Site Name]],Table1[[Site Name ]],Table1[Commisioned Date],"")</f>
        <v>null</v>
      </c>
      <c r="E1833" s="47" t="str">
        <f>IF(ISNUMBER(expected_production[[#This Row],[Commissioned Date]]),MAX(0,(expected_production[[#This Row],[Date]]-expected_production[[#This Row],[Commissioned Date]])/365.25),"")</f>
        <v/>
      </c>
      <c r="F1833" s="49">
        <f>IF(expected_production[[#This Row],[Age (yrs)]]="",1,(1-DegradationRate)^expected_production[[#This Row],[Age (yrs)]])</f>
        <v>1</v>
      </c>
      <c r="G1833" s="52">
        <f>IF(expected_production[[#This Row],[Base Expected (kWh)]]="","",expected_production[[#This Row],[Base Expected (kWh)]]*expected_production[[#This Row],[Degradation Factor]])</f>
        <v>4694.8505175</v>
      </c>
    </row>
    <row r="1834" spans="1:7" ht="15" hidden="1" customHeight="1" x14ac:dyDescent="0.3">
      <c r="A1834" t="s">
        <v>163</v>
      </c>
      <c r="B1834" s="2">
        <v>46235</v>
      </c>
      <c r="C1834" s="52">
        <v>5144.2252875000004</v>
      </c>
      <c r="D1834" s="48" t="str">
        <f>_xlfn.XLOOKUP(expected_production[[#This Row],[Site Name]],Table1[[Site Name ]],Table1[Commisioned Date],"")</f>
        <v>null</v>
      </c>
      <c r="E1834" s="47" t="str">
        <f>IF(ISNUMBER(expected_production[[#This Row],[Commissioned Date]]),MAX(0,(expected_production[[#This Row],[Date]]-expected_production[[#This Row],[Commissioned Date]])/365.25),"")</f>
        <v/>
      </c>
      <c r="F1834" s="49">
        <f>IF(expected_production[[#This Row],[Age (yrs)]]="",1,(1-DegradationRate)^expected_production[[#This Row],[Age (yrs)]])</f>
        <v>1</v>
      </c>
      <c r="G1834" s="52">
        <f>IF(expected_production[[#This Row],[Base Expected (kWh)]]="","",expected_production[[#This Row],[Base Expected (kWh)]]*expected_production[[#This Row],[Degradation Factor]])</f>
        <v>5144.2252875000004</v>
      </c>
    </row>
    <row r="1835" spans="1:7" ht="15" hidden="1" customHeight="1" x14ac:dyDescent="0.3">
      <c r="A1835" t="s">
        <v>163</v>
      </c>
      <c r="B1835" s="2">
        <v>46266</v>
      </c>
      <c r="C1835" s="52">
        <v>5295.0312674999996</v>
      </c>
      <c r="D1835" s="48" t="str">
        <f>_xlfn.XLOOKUP(expected_production[[#This Row],[Site Name]],Table1[[Site Name ]],Table1[Commisioned Date],"")</f>
        <v>null</v>
      </c>
      <c r="E1835" s="47" t="str">
        <f>IF(ISNUMBER(expected_production[[#This Row],[Commissioned Date]]),MAX(0,(expected_production[[#This Row],[Date]]-expected_production[[#This Row],[Commissioned Date]])/365.25),"")</f>
        <v/>
      </c>
      <c r="F1835" s="49">
        <f>IF(expected_production[[#This Row],[Age (yrs)]]="",1,(1-DegradationRate)^expected_production[[#This Row],[Age (yrs)]])</f>
        <v>1</v>
      </c>
      <c r="G1835" s="52">
        <f>IF(expected_production[[#This Row],[Base Expected (kWh)]]="","",expected_production[[#This Row],[Base Expected (kWh)]]*expected_production[[#This Row],[Degradation Factor]])</f>
        <v>5295.0312674999996</v>
      </c>
    </row>
    <row r="1836" spans="1:7" ht="15" hidden="1" customHeight="1" x14ac:dyDescent="0.3">
      <c r="A1836" t="s">
        <v>163</v>
      </c>
      <c r="B1836" s="2">
        <v>46296</v>
      </c>
      <c r="C1836" s="52">
        <v>5391.4828500000003</v>
      </c>
      <c r="D1836" s="48" t="str">
        <f>_xlfn.XLOOKUP(expected_production[[#This Row],[Site Name]],Table1[[Site Name ]],Table1[Commisioned Date],"")</f>
        <v>null</v>
      </c>
      <c r="E1836" s="47" t="str">
        <f>IF(ISNUMBER(expected_production[[#This Row],[Commissioned Date]]),MAX(0,(expected_production[[#This Row],[Date]]-expected_production[[#This Row],[Commissioned Date]])/365.25),"")</f>
        <v/>
      </c>
      <c r="F1836" s="49">
        <f>IF(expected_production[[#This Row],[Age (yrs)]]="",1,(1-DegradationRate)^expected_production[[#This Row],[Age (yrs)]])</f>
        <v>1</v>
      </c>
      <c r="G1836" s="52">
        <f>IF(expected_production[[#This Row],[Base Expected (kWh)]]="","",expected_production[[#This Row],[Base Expected (kWh)]]*expected_production[[#This Row],[Degradation Factor]])</f>
        <v>5391.4828500000003</v>
      </c>
    </row>
    <row r="1837" spans="1:7" ht="15" hidden="1" customHeight="1" x14ac:dyDescent="0.3">
      <c r="A1837" t="s">
        <v>163</v>
      </c>
      <c r="B1837" s="2">
        <v>46327</v>
      </c>
      <c r="C1837" s="52">
        <v>5210.6678325000003</v>
      </c>
      <c r="D1837" s="48" t="str">
        <f>_xlfn.XLOOKUP(expected_production[[#This Row],[Site Name]],Table1[[Site Name ]],Table1[Commisioned Date],"")</f>
        <v>null</v>
      </c>
      <c r="E1837" s="47" t="str">
        <f>IF(ISNUMBER(expected_production[[#This Row],[Commissioned Date]]),MAX(0,(expected_production[[#This Row],[Date]]-expected_production[[#This Row],[Commissioned Date]])/365.25),"")</f>
        <v/>
      </c>
      <c r="F1837" s="49">
        <f>IF(expected_production[[#This Row],[Age (yrs)]]="",1,(1-DegradationRate)^expected_production[[#This Row],[Age (yrs)]])</f>
        <v>1</v>
      </c>
      <c r="G1837" s="52">
        <f>IF(expected_production[[#This Row],[Base Expected (kWh)]]="","",expected_production[[#This Row],[Base Expected (kWh)]]*expected_production[[#This Row],[Degradation Factor]])</f>
        <v>5210.6678325000003</v>
      </c>
    </row>
    <row r="1838" spans="1:7" ht="15" hidden="1" customHeight="1" x14ac:dyDescent="0.3">
      <c r="A1838" t="s">
        <v>163</v>
      </c>
      <c r="B1838" s="2">
        <v>46357</v>
      </c>
      <c r="C1838" s="52">
        <v>5439.6663749999998</v>
      </c>
      <c r="D1838" s="48" t="str">
        <f>_xlfn.XLOOKUP(expected_production[[#This Row],[Site Name]],Table1[[Site Name ]],Table1[Commisioned Date],"")</f>
        <v>null</v>
      </c>
      <c r="E1838" s="47" t="str">
        <f>IF(ISNUMBER(expected_production[[#This Row],[Commissioned Date]]),MAX(0,(expected_production[[#This Row],[Date]]-expected_production[[#This Row],[Commissioned Date]])/365.25),"")</f>
        <v/>
      </c>
      <c r="F1838" s="49">
        <f>IF(expected_production[[#This Row],[Age (yrs)]]="",1,(1-DegradationRate)^expected_production[[#This Row],[Age (yrs)]])</f>
        <v>1</v>
      </c>
      <c r="G1838" s="52">
        <f>IF(expected_production[[#This Row],[Base Expected (kWh)]]="","",expected_production[[#This Row],[Base Expected (kWh)]]*expected_production[[#This Row],[Degradation Factor]])</f>
        <v>5439.6663749999998</v>
      </c>
    </row>
    <row r="1839" spans="1:7" ht="15" hidden="1" customHeight="1" x14ac:dyDescent="0.3">
      <c r="A1839" t="s">
        <v>166</v>
      </c>
      <c r="B1839" s="2">
        <v>45292</v>
      </c>
      <c r="C1839" s="52">
        <v>23005.8</v>
      </c>
      <c r="D1839" s="48">
        <f>_xlfn.XLOOKUP(expected_production[[#This Row],[Site Name]],Table1[[Site Name ]],Table1[Commisioned Date],"")</f>
        <v>45110</v>
      </c>
      <c r="E1839" s="47">
        <f>IF(ISNUMBER(expected_production[[#This Row],[Commissioned Date]]),MAX(0,(expected_production[[#This Row],[Date]]-expected_production[[#This Row],[Commissioned Date]])/365.25),"")</f>
        <v>0.49828884325804246</v>
      </c>
      <c r="F1839" s="49">
        <f>IF(expected_production[[#This Row],[Age (yrs)]]="",1,(1-DegradationRate)^expected_production[[#This Row],[Age (yrs)]])</f>
        <v>0.99650583161280493</v>
      </c>
      <c r="G1839" s="52">
        <f>IF(expected_production[[#This Row],[Base Expected (kWh)]]="","",expected_production[[#This Row],[Base Expected (kWh)]]*expected_production[[#This Row],[Degradation Factor]])</f>
        <v>22925.413860917866</v>
      </c>
    </row>
    <row r="1840" spans="1:7" ht="15" hidden="1" customHeight="1" x14ac:dyDescent="0.3">
      <c r="A1840" t="s">
        <v>166</v>
      </c>
      <c r="B1840" s="2">
        <v>45323</v>
      </c>
      <c r="C1840" s="52">
        <v>19888.2</v>
      </c>
      <c r="D1840" s="48">
        <f>_xlfn.XLOOKUP(expected_production[[#This Row],[Site Name]],Table1[[Site Name ]],Table1[Commisioned Date],"")</f>
        <v>45110</v>
      </c>
      <c r="E1840" s="47">
        <f>IF(ISNUMBER(expected_production[[#This Row],[Commissioned Date]]),MAX(0,(expected_production[[#This Row],[Date]]-expected_production[[#This Row],[Commissioned Date]])/365.25),"")</f>
        <v>0.58316221765913756</v>
      </c>
      <c r="F1840" s="49">
        <f>IF(expected_production[[#This Row],[Age (yrs)]]="",1,(1-DegradationRate)^expected_production[[#This Row],[Age (yrs)]])</f>
        <v>0.99591188914478701</v>
      </c>
      <c r="G1840" s="52">
        <f>IF(expected_production[[#This Row],[Base Expected (kWh)]]="","",expected_production[[#This Row],[Base Expected (kWh)]]*expected_production[[#This Row],[Degradation Factor]])</f>
        <v>19806.894833689355</v>
      </c>
    </row>
    <row r="1841" spans="1:7" ht="15" hidden="1" customHeight="1" x14ac:dyDescent="0.3">
      <c r="A1841" t="s">
        <v>166</v>
      </c>
      <c r="B1841" s="2">
        <v>45352</v>
      </c>
      <c r="C1841" s="52">
        <v>21952.799999999999</v>
      </c>
      <c r="D1841" s="48">
        <f>_xlfn.XLOOKUP(expected_production[[#This Row],[Site Name]],Table1[[Site Name ]],Table1[Commisioned Date],"")</f>
        <v>45110</v>
      </c>
      <c r="E1841" s="47">
        <f>IF(ISNUMBER(expected_production[[#This Row],[Commissioned Date]]),MAX(0,(expected_production[[#This Row],[Date]]-expected_production[[#This Row],[Commissioned Date]])/365.25),"")</f>
        <v>0.66255989048596853</v>
      </c>
      <c r="F1841" s="49">
        <f>IF(expected_production[[#This Row],[Age (yrs)]]="",1,(1-DegradationRate)^expected_production[[#This Row],[Age (yrs)]])</f>
        <v>0.99535658603262078</v>
      </c>
      <c r="G1841" s="52">
        <f>IF(expected_production[[#This Row],[Base Expected (kWh)]]="","",expected_production[[#This Row],[Base Expected (kWh)]]*expected_production[[#This Row],[Degradation Factor]])</f>
        <v>21850.864061856915</v>
      </c>
    </row>
    <row r="1842" spans="1:7" ht="15" hidden="1" customHeight="1" x14ac:dyDescent="0.3">
      <c r="A1842" t="s">
        <v>166</v>
      </c>
      <c r="B1842" s="2">
        <v>45383</v>
      </c>
      <c r="C1842" s="52">
        <v>21444.3</v>
      </c>
      <c r="D1842" s="48">
        <f>_xlfn.XLOOKUP(expected_production[[#This Row],[Site Name]],Table1[[Site Name ]],Table1[Commisioned Date],"")</f>
        <v>45110</v>
      </c>
      <c r="E1842" s="47">
        <f>IF(ISNUMBER(expected_production[[#This Row],[Commissioned Date]]),MAX(0,(expected_production[[#This Row],[Date]]-expected_production[[#This Row],[Commissioned Date]])/365.25),"")</f>
        <v>0.74743326488706363</v>
      </c>
      <c r="F1842" s="49">
        <f>IF(expected_production[[#This Row],[Age (yrs)]]="",1,(1-DegradationRate)^expected_production[[#This Row],[Age (yrs)]])</f>
        <v>0.99476332854379179</v>
      </c>
      <c r="G1842" s="52">
        <f>IF(expected_production[[#This Row],[Base Expected (kWh)]]="","",expected_production[[#This Row],[Base Expected (kWh)]]*expected_production[[#This Row],[Degradation Factor]])</f>
        <v>21332.003246291635</v>
      </c>
    </row>
    <row r="1843" spans="1:7" ht="15" hidden="1" customHeight="1" x14ac:dyDescent="0.3">
      <c r="A1843" t="s">
        <v>166</v>
      </c>
      <c r="B1843" s="2">
        <v>45413</v>
      </c>
      <c r="C1843" s="52">
        <v>20688.3</v>
      </c>
      <c r="D1843" s="48">
        <f>_xlfn.XLOOKUP(expected_production[[#This Row],[Site Name]],Table1[[Site Name ]],Table1[Commisioned Date],"")</f>
        <v>45110</v>
      </c>
      <c r="E1843" s="47">
        <f>IF(ISNUMBER(expected_production[[#This Row],[Commissioned Date]]),MAX(0,(expected_production[[#This Row],[Date]]-expected_production[[#This Row],[Commissioned Date]])/365.25),"")</f>
        <v>0.82956878850102667</v>
      </c>
      <c r="F1843" s="49">
        <f>IF(expected_production[[#This Row],[Age (yrs)]]="",1,(1-DegradationRate)^expected_production[[#This Row],[Age (yrs)]])</f>
        <v>0.99418954506628499</v>
      </c>
      <c r="G1843" s="52">
        <f>IF(expected_production[[#This Row],[Base Expected (kWh)]]="","",expected_production[[#This Row],[Base Expected (kWh)]]*expected_production[[#This Row],[Degradation Factor]])</f>
        <v>20568.091565194823</v>
      </c>
    </row>
    <row r="1844" spans="1:7" ht="15" hidden="1" customHeight="1" x14ac:dyDescent="0.3">
      <c r="A1844" t="s">
        <v>166</v>
      </c>
      <c r="B1844" s="2">
        <v>45444</v>
      </c>
      <c r="C1844" s="52">
        <v>18646.2</v>
      </c>
      <c r="D1844" s="48">
        <f>_xlfn.XLOOKUP(expected_production[[#This Row],[Site Name]],Table1[[Site Name ]],Table1[Commisioned Date],"")</f>
        <v>45110</v>
      </c>
      <c r="E1844" s="47">
        <f>IF(ISNUMBER(expected_production[[#This Row],[Commissioned Date]]),MAX(0,(expected_production[[#This Row],[Date]]-expected_production[[#This Row],[Commissioned Date]])/365.25),"")</f>
        <v>0.91444216290212188</v>
      </c>
      <c r="F1844" s="49">
        <f>IF(expected_production[[#This Row],[Age (yrs)]]="",1,(1-DegradationRate)^expected_production[[#This Row],[Age (yrs)]])</f>
        <v>0.99359698316314138</v>
      </c>
      <c r="G1844" s="52">
        <f>IF(expected_production[[#This Row],[Base Expected (kWh)]]="","",expected_production[[#This Row],[Base Expected (kWh)]]*expected_production[[#This Row],[Degradation Factor]])</f>
        <v>18526.808067456568</v>
      </c>
    </row>
    <row r="1845" spans="1:7" ht="15" hidden="1" customHeight="1" x14ac:dyDescent="0.3">
      <c r="A1845" t="s">
        <v>166</v>
      </c>
      <c r="B1845" s="2">
        <v>45474</v>
      </c>
      <c r="C1845" s="52">
        <v>19629.900000000001</v>
      </c>
      <c r="D1845" s="48">
        <f>_xlfn.XLOOKUP(expected_production[[#This Row],[Site Name]],Table1[[Site Name ]],Table1[Commisioned Date],"")</f>
        <v>45110</v>
      </c>
      <c r="E1845" s="47">
        <f>IF(ISNUMBER(expected_production[[#This Row],[Commissioned Date]]),MAX(0,(expected_production[[#This Row],[Date]]-expected_production[[#This Row],[Commissioned Date]])/365.25),"")</f>
        <v>0.99657768651608492</v>
      </c>
      <c r="F1845" s="49">
        <f>IF(expected_production[[#This Row],[Age (yrs)]]="",1,(1-DegradationRate)^expected_production[[#This Row],[Age (yrs)]])</f>
        <v>0.9930238724383279</v>
      </c>
      <c r="G1845" s="52">
        <f>IF(expected_production[[#This Row],[Base Expected (kWh)]]="","",expected_production[[#This Row],[Base Expected (kWh)]]*expected_production[[#This Row],[Degradation Factor]])</f>
        <v>19492.959313577136</v>
      </c>
    </row>
    <row r="1846" spans="1:7" ht="15" hidden="1" customHeight="1" x14ac:dyDescent="0.3">
      <c r="A1846" t="s">
        <v>166</v>
      </c>
      <c r="B1846" s="2">
        <v>45505</v>
      </c>
      <c r="C1846" s="52">
        <v>22998.6</v>
      </c>
      <c r="D1846" s="48">
        <f>_xlfn.XLOOKUP(expected_production[[#This Row],[Site Name]],Table1[[Site Name ]],Table1[Commisioned Date],"")</f>
        <v>45110</v>
      </c>
      <c r="E1846" s="47">
        <f>IF(ISNUMBER(expected_production[[#This Row],[Commissioned Date]]),MAX(0,(expected_production[[#This Row],[Date]]-expected_production[[#This Row],[Commissioned Date]])/365.25),"")</f>
        <v>1.0814510609171799</v>
      </c>
      <c r="F1846" s="49">
        <f>IF(expected_production[[#This Row],[Age (yrs)]]="",1,(1-DegradationRate)^expected_production[[#This Row],[Age (yrs)]])</f>
        <v>0.99243200530530551</v>
      </c>
      <c r="G1846" s="52">
        <f>IF(expected_production[[#This Row],[Base Expected (kWh)]]="","",expected_production[[#This Row],[Base Expected (kWh)]]*expected_production[[#This Row],[Degradation Factor]])</f>
        <v>22824.546717214598</v>
      </c>
    </row>
    <row r="1847" spans="1:7" ht="15" hidden="1" customHeight="1" x14ac:dyDescent="0.3">
      <c r="A1847" t="s">
        <v>166</v>
      </c>
      <c r="B1847" s="2">
        <v>45536</v>
      </c>
      <c r="C1847" s="52">
        <v>22670.1</v>
      </c>
      <c r="D1847" s="48">
        <f>_xlfn.XLOOKUP(expected_production[[#This Row],[Site Name]],Table1[[Site Name ]],Table1[Commisioned Date],"")</f>
        <v>45110</v>
      </c>
      <c r="E1847" s="47">
        <f>IF(ISNUMBER(expected_production[[#This Row],[Commissioned Date]]),MAX(0,(expected_production[[#This Row],[Date]]-expected_production[[#This Row],[Commissioned Date]])/365.25),"")</f>
        <v>1.1663244353182751</v>
      </c>
      <c r="F1847" s="49">
        <f>IF(expected_production[[#This Row],[Age (yrs)]]="",1,(1-DegradationRate)^expected_production[[#This Row],[Age (yrs)]])</f>
        <v>0.99184049093993853</v>
      </c>
      <c r="G1847" s="52">
        <f>IF(expected_production[[#This Row],[Base Expected (kWh)]]="","",expected_production[[#This Row],[Base Expected (kWh)]]*expected_production[[#This Row],[Degradation Factor]])</f>
        <v>22485.123113657501</v>
      </c>
    </row>
    <row r="1848" spans="1:7" ht="15" hidden="1" customHeight="1" x14ac:dyDescent="0.3">
      <c r="A1848" t="s">
        <v>166</v>
      </c>
      <c r="B1848" s="2">
        <v>45566</v>
      </c>
      <c r="C1848" s="52">
        <v>22045.5</v>
      </c>
      <c r="D1848" s="48">
        <f>_xlfn.XLOOKUP(expected_production[[#This Row],[Site Name]],Table1[[Site Name ]],Table1[Commisioned Date],"")</f>
        <v>45110</v>
      </c>
      <c r="E1848" s="47">
        <f>IF(ISNUMBER(expected_production[[#This Row],[Commissioned Date]]),MAX(0,(expected_production[[#This Row],[Date]]-expected_production[[#This Row],[Commissioned Date]])/365.25),"")</f>
        <v>1.2484599589322383</v>
      </c>
      <c r="F1848" s="49">
        <f>IF(expected_production[[#This Row],[Age (yrs)]]="",1,(1-DegradationRate)^expected_production[[#This Row],[Age (yrs)]])</f>
        <v>0.99126839336688399</v>
      </c>
      <c r="G1848" s="52">
        <f>IF(expected_production[[#This Row],[Base Expected (kWh)]]="","",expected_production[[#This Row],[Base Expected (kWh)]]*expected_production[[#This Row],[Degradation Factor]])</f>
        <v>21853.007365969643</v>
      </c>
    </row>
    <row r="1849" spans="1:7" ht="15" hidden="1" customHeight="1" x14ac:dyDescent="0.3">
      <c r="A1849" t="s">
        <v>166</v>
      </c>
      <c r="B1849" s="2">
        <v>45597</v>
      </c>
      <c r="C1849" s="52">
        <v>22062.6</v>
      </c>
      <c r="D1849" s="48">
        <f>_xlfn.XLOOKUP(expected_production[[#This Row],[Site Name]],Table1[[Site Name ]],Table1[Commisioned Date],"")</f>
        <v>45110</v>
      </c>
      <c r="E1849" s="47">
        <f>IF(ISNUMBER(expected_production[[#This Row],[Commissioned Date]]),MAX(0,(expected_production[[#This Row],[Date]]-expected_production[[#This Row],[Commissioned Date]])/365.25),"")</f>
        <v>1.3333333333333333</v>
      </c>
      <c r="F1849" s="49">
        <f>IF(expected_production[[#This Row],[Age (yrs)]]="",1,(1-DegradationRate)^expected_production[[#This Row],[Age (yrs)]])</f>
        <v>0.99067757254341571</v>
      </c>
      <c r="G1849" s="52">
        <f>IF(expected_production[[#This Row],[Base Expected (kWh)]]="","",expected_production[[#This Row],[Base Expected (kWh)]]*expected_production[[#This Row],[Degradation Factor]])</f>
        <v>21856.923011996361</v>
      </c>
    </row>
    <row r="1850" spans="1:7" ht="15" hidden="1" customHeight="1" x14ac:dyDescent="0.3">
      <c r="A1850" t="s">
        <v>166</v>
      </c>
      <c r="B1850" s="2">
        <v>45627</v>
      </c>
      <c r="C1850" s="52">
        <v>23333.4</v>
      </c>
      <c r="D1850" s="48">
        <f>_xlfn.XLOOKUP(expected_production[[#This Row],[Site Name]],Table1[[Site Name ]],Table1[Commisioned Date],"")</f>
        <v>45110</v>
      </c>
      <c r="E1850" s="47">
        <f>IF(ISNUMBER(expected_production[[#This Row],[Commissioned Date]]),MAX(0,(expected_production[[#This Row],[Date]]-expected_production[[#This Row],[Commissioned Date]])/365.25),"")</f>
        <v>1.4154688569472964</v>
      </c>
      <c r="F1850" s="49">
        <f>IF(expected_production[[#This Row],[Age (yrs)]]="",1,(1-DegradationRate)^expected_production[[#This Row],[Age (yrs)]])</f>
        <v>0.99010614574635625</v>
      </c>
      <c r="G1850" s="52">
        <f>IF(expected_production[[#This Row],[Base Expected (kWh)]]="","",expected_production[[#This Row],[Base Expected (kWh)]]*expected_production[[#This Row],[Degradation Factor]])</f>
        <v>23102.542741158031</v>
      </c>
    </row>
    <row r="1851" spans="1:7" ht="15" hidden="1" customHeight="1" x14ac:dyDescent="0.3">
      <c r="A1851" t="s">
        <v>166</v>
      </c>
      <c r="B1851" s="2">
        <v>45658</v>
      </c>
      <c r="C1851" s="52">
        <v>23005.8</v>
      </c>
      <c r="D1851" s="48">
        <f>_xlfn.XLOOKUP(expected_production[[#This Row],[Site Name]],Table1[[Site Name ]],Table1[Commisioned Date],"")</f>
        <v>45110</v>
      </c>
      <c r="E1851" s="47">
        <f>IF(ISNUMBER(expected_production[[#This Row],[Commissioned Date]]),MAX(0,(expected_production[[#This Row],[Date]]-expected_production[[#This Row],[Commissioned Date]])/365.25),"")</f>
        <v>1.5003422313483916</v>
      </c>
      <c r="F1851" s="49">
        <f>IF(expected_production[[#This Row],[Age (yrs)]]="",1,(1-DegradationRate)^expected_production[[#This Row],[Age (yrs)]])</f>
        <v>0.98951601765161901</v>
      </c>
      <c r="G1851" s="52">
        <f>IF(expected_production[[#This Row],[Base Expected (kWh)]]="","",expected_production[[#This Row],[Base Expected (kWh)]]*expected_production[[#This Row],[Degradation Factor]])</f>
        <v>22764.607598889615</v>
      </c>
    </row>
    <row r="1852" spans="1:7" ht="15" hidden="1" customHeight="1" x14ac:dyDescent="0.3">
      <c r="A1852" t="s">
        <v>166</v>
      </c>
      <c r="B1852" s="2">
        <v>45689</v>
      </c>
      <c r="C1852" s="52">
        <v>19888.2</v>
      </c>
      <c r="D1852" s="48">
        <f>_xlfn.XLOOKUP(expected_production[[#This Row],[Site Name]],Table1[[Site Name ]],Table1[Commisioned Date],"")</f>
        <v>45110</v>
      </c>
      <c r="E1852" s="47">
        <f>IF(ISNUMBER(expected_production[[#This Row],[Commissioned Date]]),MAX(0,(expected_production[[#This Row],[Date]]-expected_production[[#This Row],[Commissioned Date]])/365.25),"")</f>
        <v>1.5852156057494866</v>
      </c>
      <c r="F1852" s="49">
        <f>IF(expected_production[[#This Row],[Age (yrs)]]="",1,(1-DegradationRate)^expected_production[[#This Row],[Age (yrs)]])</f>
        <v>0.98892624128802653</v>
      </c>
      <c r="G1852" s="52">
        <f>IF(expected_production[[#This Row],[Base Expected (kWh)]]="","",expected_production[[#This Row],[Base Expected (kWh)]]*expected_production[[#This Row],[Degradation Factor]])</f>
        <v>19667.962871984531</v>
      </c>
    </row>
    <row r="1853" spans="1:7" ht="15" hidden="1" customHeight="1" x14ac:dyDescent="0.3">
      <c r="A1853" t="s">
        <v>166</v>
      </c>
      <c r="B1853" s="2">
        <v>45717</v>
      </c>
      <c r="C1853" s="52">
        <v>21952.799999999999</v>
      </c>
      <c r="D1853" s="48">
        <f>_xlfn.XLOOKUP(expected_production[[#This Row],[Site Name]],Table1[[Site Name ]],Table1[Commisioned Date],"")</f>
        <v>45110</v>
      </c>
      <c r="E1853" s="47">
        <f>IF(ISNUMBER(expected_production[[#This Row],[Commissioned Date]]),MAX(0,(expected_production[[#This Row],[Date]]-expected_production[[#This Row],[Commissioned Date]])/365.25),"")</f>
        <v>1.6618754277891854</v>
      </c>
      <c r="F1853" s="49">
        <f>IF(expected_production[[#This Row],[Age (yrs)]]="",1,(1-DegradationRate)^expected_production[[#This Row],[Age (yrs)]])</f>
        <v>0.98839384220243631</v>
      </c>
      <c r="G1853" s="52">
        <f>IF(expected_production[[#This Row],[Base Expected (kWh)]]="","",expected_production[[#This Row],[Base Expected (kWh)]]*expected_production[[#This Row],[Degradation Factor]])</f>
        <v>21698.012339101642</v>
      </c>
    </row>
    <row r="1854" spans="1:7" ht="15" hidden="1" customHeight="1" x14ac:dyDescent="0.3">
      <c r="A1854" t="s">
        <v>166</v>
      </c>
      <c r="B1854" s="2">
        <v>45748</v>
      </c>
      <c r="C1854" s="52">
        <v>21444.3</v>
      </c>
      <c r="D1854" s="48">
        <f>_xlfn.XLOOKUP(expected_production[[#This Row],[Site Name]],Table1[[Site Name ]],Table1[Commisioned Date],"")</f>
        <v>45110</v>
      </c>
      <c r="E1854" s="47">
        <f>IF(ISNUMBER(expected_production[[#This Row],[Commissioned Date]]),MAX(0,(expected_production[[#This Row],[Date]]-expected_production[[#This Row],[Commissioned Date]])/365.25),"")</f>
        <v>1.7467488021902806</v>
      </c>
      <c r="F1854" s="49">
        <f>IF(expected_production[[#This Row],[Age (yrs)]]="",1,(1-DegradationRate)^expected_production[[#This Row],[Age (yrs)]])</f>
        <v>0.98780473468355579</v>
      </c>
      <c r="G1854" s="52">
        <f>IF(expected_production[[#This Row],[Base Expected (kWh)]]="","",expected_production[[#This Row],[Base Expected (kWh)]]*expected_production[[#This Row],[Degradation Factor]])</f>
        <v>21182.781071974576</v>
      </c>
    </row>
    <row r="1855" spans="1:7" ht="15" hidden="1" customHeight="1" x14ac:dyDescent="0.3">
      <c r="A1855" t="s">
        <v>166</v>
      </c>
      <c r="B1855" s="2">
        <v>45778</v>
      </c>
      <c r="C1855" s="52">
        <v>20688.3</v>
      </c>
      <c r="D1855" s="48">
        <f>_xlfn.XLOOKUP(expected_production[[#This Row],[Site Name]],Table1[[Site Name ]],Table1[Commisioned Date],"")</f>
        <v>45110</v>
      </c>
      <c r="E1855" s="47">
        <f>IF(ISNUMBER(expected_production[[#This Row],[Commissioned Date]]),MAX(0,(expected_production[[#This Row],[Date]]-expected_production[[#This Row],[Commissioned Date]])/365.25),"")</f>
        <v>1.8288843258042438</v>
      </c>
      <c r="F1855" s="49">
        <f>IF(expected_production[[#This Row],[Age (yrs)]]="",1,(1-DegradationRate)^expected_production[[#This Row],[Age (yrs)]])</f>
        <v>0.9872349649508958</v>
      </c>
      <c r="G1855" s="52">
        <f>IF(expected_production[[#This Row],[Base Expected (kWh)]]="","",expected_production[[#This Row],[Base Expected (kWh)]]*expected_production[[#This Row],[Degradation Factor]])</f>
        <v>20424.213125393617</v>
      </c>
    </row>
    <row r="1856" spans="1:7" ht="15" hidden="1" customHeight="1" x14ac:dyDescent="0.3">
      <c r="A1856" t="s">
        <v>166</v>
      </c>
      <c r="B1856" s="2">
        <v>45809</v>
      </c>
      <c r="C1856" s="52">
        <v>18646.2</v>
      </c>
      <c r="D1856" s="48">
        <f>_xlfn.XLOOKUP(expected_production[[#This Row],[Site Name]],Table1[[Site Name ]],Table1[Commisioned Date],"")</f>
        <v>45110</v>
      </c>
      <c r="E1856" s="47">
        <f>IF(ISNUMBER(expected_production[[#This Row],[Commissioned Date]]),MAX(0,(expected_production[[#This Row],[Date]]-expected_production[[#This Row],[Commissioned Date]])/365.25),"")</f>
        <v>1.9137577002053388</v>
      </c>
      <c r="F1856" s="49">
        <f>IF(expected_production[[#This Row],[Age (yrs)]]="",1,(1-DegradationRate)^expected_production[[#This Row],[Age (yrs)]])</f>
        <v>0.98664654815192177</v>
      </c>
      <c r="G1856" s="52">
        <f>IF(expected_production[[#This Row],[Base Expected (kWh)]]="","",expected_production[[#This Row],[Base Expected (kWh)]]*expected_production[[#This Row],[Degradation Factor]])</f>
        <v>18397.208866150366</v>
      </c>
    </row>
    <row r="1857" spans="1:7" ht="15" hidden="1" customHeight="1" x14ac:dyDescent="0.3">
      <c r="A1857" t="s">
        <v>166</v>
      </c>
      <c r="B1857" s="2">
        <v>45839</v>
      </c>
      <c r="C1857" s="52">
        <v>19629.900000000001</v>
      </c>
      <c r="D1857" s="48">
        <f>_xlfn.XLOOKUP(expected_production[[#This Row],[Site Name]],Table1[[Site Name ]],Table1[Commisioned Date],"")</f>
        <v>45110</v>
      </c>
      <c r="E1857" s="47">
        <f>IF(ISNUMBER(expected_production[[#This Row],[Commissioned Date]]),MAX(0,(expected_production[[#This Row],[Date]]-expected_production[[#This Row],[Commissioned Date]])/365.25),"")</f>
        <v>1.9958932238193019</v>
      </c>
      <c r="F1857" s="49">
        <f>IF(expected_production[[#This Row],[Age (yrs)]]="",1,(1-DegradationRate)^expected_production[[#This Row],[Age (yrs)]])</f>
        <v>0.98607744646589823</v>
      </c>
      <c r="G1857" s="52">
        <f>IF(expected_production[[#This Row],[Base Expected (kWh)]]="","",expected_production[[#This Row],[Base Expected (kWh)]]*expected_production[[#This Row],[Degradation Factor]])</f>
        <v>19356.601666380939</v>
      </c>
    </row>
    <row r="1858" spans="1:7" ht="15" hidden="1" customHeight="1" x14ac:dyDescent="0.3">
      <c r="A1858" t="s">
        <v>166</v>
      </c>
      <c r="B1858" s="2">
        <v>45870</v>
      </c>
      <c r="C1858" s="52">
        <v>22998.6</v>
      </c>
      <c r="D1858" s="48">
        <f>_xlfn.XLOOKUP(expected_production[[#This Row],[Site Name]],Table1[[Site Name ]],Table1[Commisioned Date],"")</f>
        <v>45110</v>
      </c>
      <c r="E1858" s="47">
        <f>IF(ISNUMBER(expected_production[[#This Row],[Commissioned Date]]),MAX(0,(expected_production[[#This Row],[Date]]-expected_production[[#This Row],[Commissioned Date]])/365.25),"")</f>
        <v>2.0807665982203969</v>
      </c>
      <c r="F1858" s="49">
        <f>IF(expected_production[[#This Row],[Age (yrs)]]="",1,(1-DegradationRate)^expected_production[[#This Row],[Age (yrs)]])</f>
        <v>0.98548971957697196</v>
      </c>
      <c r="G1858" s="52">
        <f>IF(expected_production[[#This Row],[Base Expected (kWh)]]="","",expected_production[[#This Row],[Base Expected (kWh)]]*expected_production[[#This Row],[Degradation Factor]])</f>
        <v>22664.883864662945</v>
      </c>
    </row>
    <row r="1859" spans="1:7" ht="15" hidden="1" customHeight="1" x14ac:dyDescent="0.3">
      <c r="A1859" t="s">
        <v>166</v>
      </c>
      <c r="B1859" s="2">
        <v>45901</v>
      </c>
      <c r="C1859" s="52">
        <v>22670.1</v>
      </c>
      <c r="D1859" s="48">
        <f>_xlfn.XLOOKUP(expected_production[[#This Row],[Site Name]],Table1[[Site Name ]],Table1[Commisioned Date],"")</f>
        <v>45110</v>
      </c>
      <c r="E1859" s="47">
        <f>IF(ISNUMBER(expected_production[[#This Row],[Commissioned Date]]),MAX(0,(expected_production[[#This Row],[Date]]-expected_production[[#This Row],[Commissioned Date]])/365.25),"")</f>
        <v>2.1656399726214923</v>
      </c>
      <c r="F1859" s="49">
        <f>IF(expected_production[[#This Row],[Age (yrs)]]="",1,(1-DegradationRate)^expected_production[[#This Row],[Age (yrs)]])</f>
        <v>0.9849023429880116</v>
      </c>
      <c r="G1859" s="52">
        <f>IF(expected_production[[#This Row],[Base Expected (kWh)]]="","",expected_production[[#This Row],[Base Expected (kWh)]]*expected_production[[#This Row],[Degradation Factor]])</f>
        <v>22327.834605772521</v>
      </c>
    </row>
    <row r="1860" spans="1:7" ht="15" hidden="1" customHeight="1" x14ac:dyDescent="0.3">
      <c r="A1860" t="s">
        <v>166</v>
      </c>
      <c r="B1860" s="2">
        <v>45931</v>
      </c>
      <c r="C1860" s="52">
        <v>22045.5</v>
      </c>
      <c r="D1860" s="48">
        <f>_xlfn.XLOOKUP(expected_production[[#This Row],[Site Name]],Table1[[Site Name ]],Table1[Commisioned Date],"")</f>
        <v>45110</v>
      </c>
      <c r="E1860" s="47">
        <f>IF(ISNUMBER(expected_production[[#This Row],[Commissioned Date]]),MAX(0,(expected_production[[#This Row],[Date]]-expected_production[[#This Row],[Commissioned Date]])/365.25),"")</f>
        <v>2.2477754962354553</v>
      </c>
      <c r="F1860" s="49">
        <f>IF(expected_production[[#This Row],[Age (yrs)]]="",1,(1-DegradationRate)^expected_production[[#This Row],[Age (yrs)]])</f>
        <v>0.98433424736652186</v>
      </c>
      <c r="G1860" s="52">
        <f>IF(expected_production[[#This Row],[Base Expected (kWh)]]="","",expected_production[[#This Row],[Base Expected (kWh)]]*expected_production[[#This Row],[Degradation Factor]])</f>
        <v>21700.140650318659</v>
      </c>
    </row>
    <row r="1861" spans="1:7" ht="15" hidden="1" customHeight="1" x14ac:dyDescent="0.3">
      <c r="A1861" t="s">
        <v>166</v>
      </c>
      <c r="B1861" s="2">
        <v>45962</v>
      </c>
      <c r="C1861" s="52">
        <v>22062.6</v>
      </c>
      <c r="D1861" s="48">
        <f>_xlfn.XLOOKUP(expected_production[[#This Row],[Site Name]],Table1[[Site Name ]],Table1[Commisioned Date],"")</f>
        <v>45110</v>
      </c>
      <c r="E1861" s="47">
        <f>IF(ISNUMBER(expected_production[[#This Row],[Commissioned Date]]),MAX(0,(expected_production[[#This Row],[Date]]-expected_production[[#This Row],[Commissioned Date]])/365.25),"")</f>
        <v>2.3326488706365502</v>
      </c>
      <c r="F1861" s="49">
        <f>IF(expected_production[[#This Row],[Age (yrs)]]="",1,(1-DegradationRate)^expected_production[[#This Row],[Age (yrs)]])</f>
        <v>0.98374755946797821</v>
      </c>
      <c r="G1861" s="52">
        <f>IF(expected_production[[#This Row],[Base Expected (kWh)]]="","",expected_production[[#This Row],[Base Expected (kWh)]]*expected_production[[#This Row],[Degradation Factor]])</f>
        <v>21704.028905518215</v>
      </c>
    </row>
    <row r="1862" spans="1:7" ht="15" hidden="1" customHeight="1" x14ac:dyDescent="0.3">
      <c r="A1862" t="s">
        <v>166</v>
      </c>
      <c r="B1862" s="2">
        <v>45992</v>
      </c>
      <c r="C1862" s="52">
        <v>23333.4</v>
      </c>
      <c r="D1862" s="48">
        <f>_xlfn.XLOOKUP(expected_production[[#This Row],[Site Name]],Table1[[Site Name ]],Table1[Commisioned Date],"")</f>
        <v>45110</v>
      </c>
      <c r="E1862" s="47">
        <f>IF(ISNUMBER(expected_production[[#This Row],[Commissioned Date]]),MAX(0,(expected_production[[#This Row],[Date]]-expected_production[[#This Row],[Commissioned Date]])/365.25),"")</f>
        <v>2.4147843942505132</v>
      </c>
      <c r="F1862" s="49">
        <f>IF(expected_production[[#This Row],[Age (yrs)]]="",1,(1-DegradationRate)^expected_production[[#This Row],[Age (yrs)]])</f>
        <v>0.98318012993025428</v>
      </c>
      <c r="G1862" s="52">
        <f>IF(expected_production[[#This Row],[Base Expected (kWh)]]="","",expected_production[[#This Row],[Base Expected (kWh)]]*expected_production[[#This Row],[Degradation Factor]])</f>
        <v>22940.935243714597</v>
      </c>
    </row>
    <row r="1863" spans="1:7" ht="15" hidden="1" customHeight="1" x14ac:dyDescent="0.3">
      <c r="A1863" t="s">
        <v>166</v>
      </c>
      <c r="B1863" s="2">
        <v>46023</v>
      </c>
      <c r="C1863" s="52">
        <v>23005.8</v>
      </c>
      <c r="D1863" s="48">
        <f>_xlfn.XLOOKUP(expected_production[[#This Row],[Site Name]],Table1[[Site Name ]],Table1[Commisioned Date],"")</f>
        <v>45110</v>
      </c>
      <c r="E1863" s="47">
        <f>IF(ISNUMBER(expected_production[[#This Row],[Commissioned Date]]),MAX(0,(expected_production[[#This Row],[Date]]-expected_production[[#This Row],[Commissioned Date]])/365.25),"")</f>
        <v>2.4996577686516086</v>
      </c>
      <c r="F1863" s="49">
        <f>IF(expected_production[[#This Row],[Age (yrs)]]="",1,(1-DegradationRate)^expected_production[[#This Row],[Age (yrs)]])</f>
        <v>0.98259412991464801</v>
      </c>
      <c r="G1863" s="52">
        <f>IF(expected_production[[#This Row],[Base Expected (kWh)]]="","",expected_production[[#This Row],[Base Expected (kWh)]]*expected_production[[#This Row],[Degradation Factor]])</f>
        <v>22605.364033990409</v>
      </c>
    </row>
    <row r="1864" spans="1:7" ht="15" hidden="1" customHeight="1" x14ac:dyDescent="0.3">
      <c r="A1864" t="s">
        <v>166</v>
      </c>
      <c r="B1864" s="2">
        <v>46054</v>
      </c>
      <c r="C1864" s="52">
        <v>19888.2</v>
      </c>
      <c r="D1864" s="48">
        <f>_xlfn.XLOOKUP(expected_production[[#This Row],[Site Name]],Table1[[Site Name ]],Table1[Commisioned Date],"")</f>
        <v>45110</v>
      </c>
      <c r="E1864" s="47">
        <f>IF(ISNUMBER(expected_production[[#This Row],[Commissioned Date]]),MAX(0,(expected_production[[#This Row],[Date]]-expected_production[[#This Row],[Commissioned Date]])/365.25),"")</f>
        <v>2.5845311430527036</v>
      </c>
      <c r="F1864" s="49">
        <f>IF(expected_production[[#This Row],[Age (yrs)]]="",1,(1-DegradationRate)^expected_production[[#This Row],[Age (yrs)]])</f>
        <v>0.98200847916974776</v>
      </c>
      <c r="G1864" s="52">
        <f>IF(expected_production[[#This Row],[Base Expected (kWh)]]="","",expected_production[[#This Row],[Base Expected (kWh)]]*expected_production[[#This Row],[Degradation Factor]])</f>
        <v>19530.381035423779</v>
      </c>
    </row>
    <row r="1865" spans="1:7" ht="15" hidden="1" customHeight="1" x14ac:dyDescent="0.3">
      <c r="A1865" t="s">
        <v>166</v>
      </c>
      <c r="B1865" s="2">
        <v>46082</v>
      </c>
      <c r="C1865" s="52">
        <v>21952.799999999999</v>
      </c>
      <c r="D1865" s="48">
        <f>_xlfn.XLOOKUP(expected_production[[#This Row],[Site Name]],Table1[[Site Name ]],Table1[Commisioned Date],"")</f>
        <v>45110</v>
      </c>
      <c r="E1865" s="47">
        <f>IF(ISNUMBER(expected_production[[#This Row],[Commissioned Date]]),MAX(0,(expected_production[[#This Row],[Date]]-expected_production[[#This Row],[Commissioned Date]])/365.25),"")</f>
        <v>2.6611909650924024</v>
      </c>
      <c r="F1865" s="49">
        <f>IF(expected_production[[#This Row],[Age (yrs)]]="",1,(1-DegradationRate)^expected_production[[#This Row],[Age (yrs)]])</f>
        <v>0.98147980433584825</v>
      </c>
      <c r="G1865" s="52">
        <f>IF(expected_production[[#This Row],[Base Expected (kWh)]]="","",expected_production[[#This Row],[Base Expected (kWh)]]*expected_production[[#This Row],[Degradation Factor]])</f>
        <v>21546.229848624007</v>
      </c>
    </row>
    <row r="1866" spans="1:7" ht="15" hidden="1" customHeight="1" x14ac:dyDescent="0.3">
      <c r="A1866" t="s">
        <v>166</v>
      </c>
      <c r="B1866" s="2">
        <v>46113</v>
      </c>
      <c r="C1866" s="52">
        <v>21444.3</v>
      </c>
      <c r="D1866" s="48">
        <f>_xlfn.XLOOKUP(expected_production[[#This Row],[Site Name]],Table1[[Site Name ]],Table1[Commisioned Date],"")</f>
        <v>45110</v>
      </c>
      <c r="E1866" s="47">
        <f>IF(ISNUMBER(expected_production[[#This Row],[Commissioned Date]]),MAX(0,(expected_production[[#This Row],[Date]]-expected_production[[#This Row],[Commissioned Date]])/365.25),"")</f>
        <v>2.7460643394934978</v>
      </c>
      <c r="F1866" s="49">
        <f>IF(expected_production[[#This Row],[Age (yrs)]]="",1,(1-DegradationRate)^expected_production[[#This Row],[Age (yrs)]])</f>
        <v>0.98089481775694032</v>
      </c>
      <c r="G1866" s="52">
        <f>IF(expected_production[[#This Row],[Base Expected (kWh)]]="","",expected_production[[#This Row],[Base Expected (kWh)]]*expected_production[[#This Row],[Degradation Factor]])</f>
        <v>21034.602740425154</v>
      </c>
    </row>
    <row r="1867" spans="1:7" ht="15" hidden="1" customHeight="1" x14ac:dyDescent="0.3">
      <c r="A1867" t="s">
        <v>166</v>
      </c>
      <c r="B1867" s="2">
        <v>46143</v>
      </c>
      <c r="C1867" s="52">
        <v>20688.3</v>
      </c>
      <c r="D1867" s="48">
        <f>_xlfn.XLOOKUP(expected_production[[#This Row],[Site Name]],Table1[[Site Name ]],Table1[Commisioned Date],"")</f>
        <v>45110</v>
      </c>
      <c r="E1867" s="47">
        <f>IF(ISNUMBER(expected_production[[#This Row],[Commissioned Date]]),MAX(0,(expected_production[[#This Row],[Date]]-expected_production[[#This Row],[Commissioned Date]])/365.25),"")</f>
        <v>2.8281998631074607</v>
      </c>
      <c r="F1867" s="49">
        <f>IF(expected_production[[#This Row],[Age (yrs)]]="",1,(1-DegradationRate)^expected_production[[#This Row],[Age (yrs)]])</f>
        <v>0.98032903369207658</v>
      </c>
      <c r="G1867" s="52">
        <f>IF(expected_production[[#This Row],[Base Expected (kWh)]]="","",expected_production[[#This Row],[Base Expected (kWh)]]*expected_production[[#This Row],[Degradation Factor]])</f>
        <v>20281.341147731786</v>
      </c>
    </row>
    <row r="1868" spans="1:7" ht="15" hidden="1" customHeight="1" x14ac:dyDescent="0.3">
      <c r="A1868" t="s">
        <v>166</v>
      </c>
      <c r="B1868" s="2">
        <v>46174</v>
      </c>
      <c r="C1868" s="52">
        <v>18646.2</v>
      </c>
      <c r="D1868" s="48">
        <f>_xlfn.XLOOKUP(expected_production[[#This Row],[Site Name]],Table1[[Site Name ]],Table1[Commisioned Date],"")</f>
        <v>45110</v>
      </c>
      <c r="E1868" s="47">
        <f>IF(ISNUMBER(expected_production[[#This Row],[Commissioned Date]]),MAX(0,(expected_production[[#This Row],[Date]]-expected_production[[#This Row],[Commissioned Date]])/365.25),"")</f>
        <v>2.9130732375085557</v>
      </c>
      <c r="F1868" s="49">
        <f>IF(expected_production[[#This Row],[Age (yrs)]]="",1,(1-DegradationRate)^expected_production[[#This Row],[Age (yrs)]])</f>
        <v>0.97974473300133369</v>
      </c>
      <c r="G1868" s="52">
        <f>IF(expected_production[[#This Row],[Base Expected (kWh)]]="","",expected_production[[#This Row],[Base Expected (kWh)]]*expected_production[[#This Row],[Degradation Factor]])</f>
        <v>18268.516240489469</v>
      </c>
    </row>
    <row r="1869" spans="1:7" ht="15" hidden="1" customHeight="1" x14ac:dyDescent="0.3">
      <c r="A1869" t="s">
        <v>166</v>
      </c>
      <c r="B1869" s="2">
        <v>46204</v>
      </c>
      <c r="C1869" s="52">
        <v>19629.900000000001</v>
      </c>
      <c r="D1869" s="48">
        <f>_xlfn.XLOOKUP(expected_production[[#This Row],[Site Name]],Table1[[Site Name ]],Table1[Commisioned Date],"")</f>
        <v>45110</v>
      </c>
      <c r="E1869" s="47">
        <f>IF(ISNUMBER(expected_production[[#This Row],[Commissioned Date]]),MAX(0,(expected_production[[#This Row],[Date]]-expected_production[[#This Row],[Commissioned Date]])/365.25),"")</f>
        <v>2.9952087611225187</v>
      </c>
      <c r="F1869" s="49">
        <f>IF(expected_production[[#This Row],[Age (yrs)]]="",1,(1-DegradationRate)^expected_production[[#This Row],[Age (yrs)]])</f>
        <v>0.97917961230996942</v>
      </c>
      <c r="G1869" s="52">
        <f>IF(expected_production[[#This Row],[Base Expected (kWh)]]="","",expected_production[[#This Row],[Base Expected (kWh)]]*expected_production[[#This Row],[Degradation Factor]])</f>
        <v>19221.197871683471</v>
      </c>
    </row>
    <row r="1870" spans="1:7" ht="15" hidden="1" customHeight="1" x14ac:dyDescent="0.3">
      <c r="A1870" t="s">
        <v>166</v>
      </c>
      <c r="B1870" s="2">
        <v>46235</v>
      </c>
      <c r="C1870" s="52">
        <v>22998.6</v>
      </c>
      <c r="D1870" s="48">
        <f>_xlfn.XLOOKUP(expected_production[[#This Row],[Site Name]],Table1[[Site Name ]],Table1[Commisioned Date],"")</f>
        <v>45110</v>
      </c>
      <c r="E1870" s="47">
        <f>IF(ISNUMBER(expected_production[[#This Row],[Commissioned Date]]),MAX(0,(expected_production[[#This Row],[Date]]-expected_production[[#This Row],[Commissioned Date]])/365.25),"")</f>
        <v>3.0800821355236141</v>
      </c>
      <c r="F1870" s="49">
        <f>IF(expected_production[[#This Row],[Age (yrs)]]="",1,(1-DegradationRate)^expected_production[[#This Row],[Age (yrs)]])</f>
        <v>0.97859599670319786</v>
      </c>
      <c r="G1870" s="52">
        <f>IF(expected_production[[#This Row],[Base Expected (kWh)]]="","",expected_production[[#This Row],[Base Expected (kWh)]]*expected_production[[#This Row],[Degradation Factor]])</f>
        <v>22506.337889778166</v>
      </c>
    </row>
    <row r="1871" spans="1:7" ht="15" hidden="1" customHeight="1" x14ac:dyDescent="0.3">
      <c r="A1871" t="s">
        <v>166</v>
      </c>
      <c r="B1871" s="2">
        <v>46266</v>
      </c>
      <c r="C1871" s="52">
        <v>22670.1</v>
      </c>
      <c r="D1871" s="48">
        <f>_xlfn.XLOOKUP(expected_production[[#This Row],[Site Name]],Table1[[Site Name ]],Table1[Commisioned Date],"")</f>
        <v>45110</v>
      </c>
      <c r="E1871" s="47">
        <f>IF(ISNUMBER(expected_production[[#This Row],[Commissioned Date]]),MAX(0,(expected_production[[#This Row],[Date]]-expected_production[[#This Row],[Commissioned Date]])/365.25),"")</f>
        <v>3.1649555099247091</v>
      </c>
      <c r="F1871" s="49">
        <f>IF(expected_production[[#This Row],[Age (yrs)]]="",1,(1-DegradationRate)^expected_production[[#This Row],[Age (yrs)]])</f>
        <v>0.97801272894596492</v>
      </c>
      <c r="G1871" s="52">
        <f>IF(expected_production[[#This Row],[Base Expected (kWh)]]="","",expected_production[[#This Row],[Base Expected (kWh)]]*expected_production[[#This Row],[Degradation Factor]])</f>
        <v>22171.646366477918</v>
      </c>
    </row>
    <row r="1872" spans="1:7" ht="15" hidden="1" customHeight="1" x14ac:dyDescent="0.3">
      <c r="A1872" t="s">
        <v>166</v>
      </c>
      <c r="B1872" s="2">
        <v>46296</v>
      </c>
      <c r="C1872" s="52">
        <v>22045.5</v>
      </c>
      <c r="D1872" s="48">
        <f>_xlfn.XLOOKUP(expected_production[[#This Row],[Site Name]],Table1[[Site Name ]],Table1[Commisioned Date],"")</f>
        <v>45110</v>
      </c>
      <c r="E1872" s="47">
        <f>IF(ISNUMBER(expected_production[[#This Row],[Commissioned Date]]),MAX(0,(expected_production[[#This Row],[Date]]-expected_production[[#This Row],[Commissioned Date]])/365.25),"")</f>
        <v>3.247091033538672</v>
      </c>
      <c r="F1872" s="49">
        <f>IF(expected_production[[#This Row],[Age (yrs)]]="",1,(1-DegradationRate)^expected_production[[#This Row],[Age (yrs)]])</f>
        <v>0.97744860728148619</v>
      </c>
      <c r="G1872" s="52">
        <f>IF(expected_production[[#This Row],[Base Expected (kWh)]]="","",expected_production[[#This Row],[Base Expected (kWh)]]*expected_production[[#This Row],[Degradation Factor]])</f>
        <v>21548.343271824004</v>
      </c>
    </row>
    <row r="1873" spans="1:7" ht="15" hidden="1" customHeight="1" x14ac:dyDescent="0.3">
      <c r="A1873" t="s">
        <v>166</v>
      </c>
      <c r="B1873" s="2">
        <v>46327</v>
      </c>
      <c r="C1873" s="52">
        <v>22062.6</v>
      </c>
      <c r="D1873" s="48">
        <f>_xlfn.XLOOKUP(expected_production[[#This Row],[Site Name]],Table1[[Site Name ]],Table1[Commisioned Date],"")</f>
        <v>45110</v>
      </c>
      <c r="E1873" s="47">
        <f>IF(ISNUMBER(expected_production[[#This Row],[Commissioned Date]]),MAX(0,(expected_production[[#This Row],[Date]]-expected_production[[#This Row],[Commissioned Date]])/365.25),"")</f>
        <v>3.3319644079397674</v>
      </c>
      <c r="F1873" s="49">
        <f>IF(expected_production[[#This Row],[Age (yrs)]]="",1,(1-DegradationRate)^expected_production[[#This Row],[Age (yrs)]])</f>
        <v>0.97686602339712514</v>
      </c>
      <c r="G1873" s="52">
        <f>IF(expected_production[[#This Row],[Base Expected (kWh)]]="","",expected_production[[#This Row],[Base Expected (kWh)]]*expected_production[[#This Row],[Degradation Factor]])</f>
        <v>21552.204327801413</v>
      </c>
    </row>
    <row r="1874" spans="1:7" ht="15" hidden="1" customHeight="1" x14ac:dyDescent="0.3">
      <c r="A1874" t="s">
        <v>166</v>
      </c>
      <c r="B1874" s="2">
        <v>46357</v>
      </c>
      <c r="C1874" s="52">
        <v>23333.4</v>
      </c>
      <c r="D1874" s="48">
        <f>_xlfn.XLOOKUP(expected_production[[#This Row],[Site Name]],Table1[[Site Name ]],Table1[Commisioned Date],"")</f>
        <v>45110</v>
      </c>
      <c r="E1874" s="47">
        <f>IF(ISNUMBER(expected_production[[#This Row],[Commissioned Date]]),MAX(0,(expected_production[[#This Row],[Date]]-expected_production[[#This Row],[Commissioned Date]])/365.25),"")</f>
        <v>3.4140999315537304</v>
      </c>
      <c r="F1874" s="49">
        <f>IF(expected_production[[#This Row],[Age (yrs)]]="",1,(1-DegradationRate)^expected_production[[#This Row],[Age (yrs)]])</f>
        <v>0.97630256315700603</v>
      </c>
      <c r="G1874" s="52">
        <f>IF(expected_production[[#This Row],[Base Expected (kWh)]]="","",expected_production[[#This Row],[Base Expected (kWh)]]*expected_production[[#This Row],[Degradation Factor]])</f>
        <v>22780.458227167685</v>
      </c>
    </row>
    <row r="1875" spans="1:7" ht="15" hidden="1" customHeight="1" x14ac:dyDescent="0.3">
      <c r="A1875" t="s">
        <v>169</v>
      </c>
      <c r="B1875" s="2">
        <v>45292</v>
      </c>
      <c r="C1875" s="52">
        <v>3308.4549999999999</v>
      </c>
      <c r="D1875" s="48">
        <f>_xlfn.XLOOKUP(expected_production[[#This Row],[Site Name]],Table1[[Site Name ]],Table1[Commisioned Date],"")</f>
        <v>45111</v>
      </c>
      <c r="E1875" s="47">
        <f>IF(ISNUMBER(expected_production[[#This Row],[Commissioned Date]]),MAX(0,(expected_production[[#This Row],[Date]]-expected_production[[#This Row],[Commissioned Date]])/365.25),"")</f>
        <v>0.49555099247091033</v>
      </c>
      <c r="F1875" s="49">
        <f>IF(expected_production[[#This Row],[Age (yrs)]]="",1,(1-DegradationRate)^expected_production[[#This Row],[Age (yrs)]])</f>
        <v>0.99652499694357521</v>
      </c>
      <c r="G1875" s="52">
        <f>IF(expected_production[[#This Row],[Base Expected (kWh)]]="","",expected_production[[#This Row],[Base Expected (kWh)]]*expected_production[[#This Row],[Degradation Factor]])</f>
        <v>3296.9581087629563</v>
      </c>
    </row>
    <row r="1876" spans="1:7" ht="15" hidden="1" customHeight="1" x14ac:dyDescent="0.3">
      <c r="A1876" t="s">
        <v>169</v>
      </c>
      <c r="B1876" s="2">
        <v>45323</v>
      </c>
      <c r="C1876" s="52">
        <v>2856.5949999999998</v>
      </c>
      <c r="D1876" s="48">
        <f>_xlfn.XLOOKUP(expected_production[[#This Row],[Site Name]],Table1[[Site Name ]],Table1[Commisioned Date],"")</f>
        <v>45111</v>
      </c>
      <c r="E1876" s="47">
        <f>IF(ISNUMBER(expected_production[[#This Row],[Commissioned Date]]),MAX(0,(expected_production[[#This Row],[Date]]-expected_production[[#This Row],[Commissioned Date]])/365.25),"")</f>
        <v>0.58042436687200549</v>
      </c>
      <c r="F1876" s="49">
        <f>IF(expected_production[[#This Row],[Age (yrs)]]="",1,(1-DegradationRate)^expected_production[[#This Row],[Age (yrs)]])</f>
        <v>0.99593104305253943</v>
      </c>
      <c r="G1876" s="52">
        <f>IF(expected_production[[#This Row],[Base Expected (kWh)]]="","",expected_production[[#This Row],[Base Expected (kWh)]]*expected_production[[#This Row],[Degradation Factor]])</f>
        <v>2844.9716379286688</v>
      </c>
    </row>
    <row r="1877" spans="1:7" ht="15" hidden="1" customHeight="1" x14ac:dyDescent="0.3">
      <c r="A1877" t="s">
        <v>169</v>
      </c>
      <c r="B1877" s="2">
        <v>45352</v>
      </c>
      <c r="C1877" s="52">
        <v>3155.625</v>
      </c>
      <c r="D1877" s="48">
        <f>_xlfn.XLOOKUP(expected_production[[#This Row],[Site Name]],Table1[[Site Name ]],Table1[Commisioned Date],"")</f>
        <v>45111</v>
      </c>
      <c r="E1877" s="47">
        <f>IF(ISNUMBER(expected_production[[#This Row],[Commissioned Date]]),MAX(0,(expected_production[[#This Row],[Date]]-expected_production[[#This Row],[Commissioned Date]])/365.25),"")</f>
        <v>0.65982203969883646</v>
      </c>
      <c r="F1877" s="49">
        <f>IF(expected_production[[#This Row],[Age (yrs)]]="",1,(1-DegradationRate)^expected_production[[#This Row],[Age (yrs)]])</f>
        <v>0.99537572926048812</v>
      </c>
      <c r="G1877" s="52">
        <f>IF(expected_production[[#This Row],[Base Expected (kWh)]]="","",expected_production[[#This Row],[Base Expected (kWh)]]*expected_production[[#This Row],[Degradation Factor]])</f>
        <v>3141.0325356476278</v>
      </c>
    </row>
    <row r="1878" spans="1:7" ht="15" hidden="1" customHeight="1" x14ac:dyDescent="0.3">
      <c r="A1878" t="s">
        <v>169</v>
      </c>
      <c r="B1878" s="2">
        <v>45383</v>
      </c>
      <c r="C1878" s="52">
        <v>3081.8449999999998</v>
      </c>
      <c r="D1878" s="48">
        <f>_xlfn.XLOOKUP(expected_production[[#This Row],[Site Name]],Table1[[Site Name ]],Table1[Commisioned Date],"")</f>
        <v>45111</v>
      </c>
      <c r="E1878" s="47">
        <f>IF(ISNUMBER(expected_production[[#This Row],[Commissioned Date]]),MAX(0,(expected_production[[#This Row],[Date]]-expected_production[[#This Row],[Commissioned Date]])/365.25),"")</f>
        <v>0.74469541409993156</v>
      </c>
      <c r="F1878" s="49">
        <f>IF(expected_production[[#This Row],[Age (yrs)]]="",1,(1-DegradationRate)^expected_production[[#This Row],[Age (yrs)]])</f>
        <v>0.99478246036181517</v>
      </c>
      <c r="G1878" s="52">
        <f>IF(expected_production[[#This Row],[Base Expected (kWh)]]="","",expected_production[[#This Row],[Base Expected (kWh)]]*expected_production[[#This Row],[Degradation Factor]])</f>
        <v>3065.7653515537581</v>
      </c>
    </row>
    <row r="1879" spans="1:7" ht="15" hidden="1" customHeight="1" x14ac:dyDescent="0.3">
      <c r="A1879" t="s">
        <v>169</v>
      </c>
      <c r="B1879" s="2">
        <v>45413</v>
      </c>
      <c r="C1879" s="52">
        <v>2972.875</v>
      </c>
      <c r="D1879" s="48">
        <f>_xlfn.XLOOKUP(expected_production[[#This Row],[Site Name]],Table1[[Site Name ]],Table1[Commisioned Date],"")</f>
        <v>45111</v>
      </c>
      <c r="E1879" s="47">
        <f>IF(ISNUMBER(expected_production[[#This Row],[Commissioned Date]]),MAX(0,(expected_production[[#This Row],[Date]]-expected_production[[#This Row],[Commissioned Date]])/365.25),"")</f>
        <v>0.8268309377138946</v>
      </c>
      <c r="F1879" s="49">
        <f>IF(expected_production[[#This Row],[Age (yrs)]]="",1,(1-DegradationRate)^expected_production[[#This Row],[Age (yrs)]])</f>
        <v>0.99420866584899903</v>
      </c>
      <c r="G1879" s="52">
        <f>IF(expected_production[[#This Row],[Base Expected (kWh)]]="","",expected_production[[#This Row],[Base Expected (kWh)]]*expected_production[[#This Row],[Degradation Factor]])</f>
        <v>2955.6580874858428</v>
      </c>
    </row>
    <row r="1880" spans="1:7" ht="15" hidden="1" customHeight="1" x14ac:dyDescent="0.3">
      <c r="A1880" t="s">
        <v>169</v>
      </c>
      <c r="B1880" s="2">
        <v>45444</v>
      </c>
      <c r="C1880" s="52">
        <v>2678.69</v>
      </c>
      <c r="D1880" s="48">
        <f>_xlfn.XLOOKUP(expected_production[[#This Row],[Site Name]],Table1[[Site Name ]],Table1[Commisioned Date],"")</f>
        <v>45111</v>
      </c>
      <c r="E1880" s="47">
        <f>IF(ISNUMBER(expected_production[[#This Row],[Commissioned Date]]),MAX(0,(expected_production[[#This Row],[Date]]-expected_production[[#This Row],[Commissioned Date]])/365.25),"")</f>
        <v>0.9117043121149897</v>
      </c>
      <c r="F1880" s="49">
        <f>IF(expected_production[[#This Row],[Age (yrs)]]="",1,(1-DegradationRate)^expected_production[[#This Row],[Age (yrs)]])</f>
        <v>0.99361609254938932</v>
      </c>
      <c r="G1880" s="52">
        <f>IF(expected_production[[#This Row],[Base Expected (kWh)]]="","",expected_production[[#This Row],[Base Expected (kWh)]]*expected_production[[#This Row],[Degradation Factor]])</f>
        <v>2661.5894909511239</v>
      </c>
    </row>
    <row r="1881" spans="1:7" ht="15" hidden="1" customHeight="1" x14ac:dyDescent="0.3">
      <c r="A1881" t="s">
        <v>169</v>
      </c>
      <c r="B1881" s="2">
        <v>45474</v>
      </c>
      <c r="C1881" s="52">
        <v>2819.0250000000001</v>
      </c>
      <c r="D1881" s="48">
        <f>_xlfn.XLOOKUP(expected_production[[#This Row],[Site Name]],Table1[[Site Name ]],Table1[Commisioned Date],"")</f>
        <v>45111</v>
      </c>
      <c r="E1881" s="47">
        <f>IF(ISNUMBER(expected_production[[#This Row],[Commissioned Date]]),MAX(0,(expected_production[[#This Row],[Date]]-expected_production[[#This Row],[Commissioned Date]])/365.25),"")</f>
        <v>0.99383983572895274</v>
      </c>
      <c r="F1881" s="49">
        <f>IF(expected_production[[#This Row],[Age (yrs)]]="",1,(1-DegradationRate)^expected_production[[#This Row],[Age (yrs)]])</f>
        <v>0.99304297080220527</v>
      </c>
      <c r="G1881" s="52">
        <f>IF(expected_production[[#This Row],[Base Expected (kWh)]]="","",expected_production[[#This Row],[Base Expected (kWh)]]*expected_production[[#This Row],[Degradation Factor]])</f>
        <v>2799.4129607656869</v>
      </c>
    </row>
    <row r="1882" spans="1:7" ht="15" hidden="1" customHeight="1" x14ac:dyDescent="0.3">
      <c r="A1882" t="s">
        <v>169</v>
      </c>
      <c r="B1882" s="2">
        <v>45505</v>
      </c>
      <c r="C1882" s="52">
        <v>3304.375</v>
      </c>
      <c r="D1882" s="48">
        <f>_xlfn.XLOOKUP(expected_production[[#This Row],[Site Name]],Table1[[Site Name ]],Table1[Commisioned Date],"")</f>
        <v>45111</v>
      </c>
      <c r="E1882" s="47">
        <f>IF(ISNUMBER(expected_production[[#This Row],[Commissioned Date]]),MAX(0,(expected_production[[#This Row],[Date]]-expected_production[[#This Row],[Commissioned Date]])/365.25),"")</f>
        <v>1.0787132101300478</v>
      </c>
      <c r="F1882" s="49">
        <f>IF(expected_production[[#This Row],[Age (yrs)]]="",1,(1-DegradationRate)^expected_production[[#This Row],[Age (yrs)]])</f>
        <v>0.99245109228607908</v>
      </c>
      <c r="G1882" s="52">
        <f>IF(expected_production[[#This Row],[Base Expected (kWh)]]="","",expected_production[[#This Row],[Base Expected (kWh)]]*expected_production[[#This Row],[Degradation Factor]])</f>
        <v>3279.4305780728128</v>
      </c>
    </row>
    <row r="1883" spans="1:7" ht="15" hidden="1" customHeight="1" x14ac:dyDescent="0.3">
      <c r="A1883" t="s">
        <v>169</v>
      </c>
      <c r="B1883" s="2">
        <v>45536</v>
      </c>
      <c r="C1883" s="52">
        <v>3255.7550000000001</v>
      </c>
      <c r="D1883" s="48">
        <f>_xlfn.XLOOKUP(expected_production[[#This Row],[Site Name]],Table1[[Site Name ]],Table1[Commisioned Date],"")</f>
        <v>45111</v>
      </c>
      <c r="E1883" s="47">
        <f>IF(ISNUMBER(expected_production[[#This Row],[Commissioned Date]]),MAX(0,(expected_production[[#This Row],[Date]]-expected_production[[#This Row],[Commissioned Date]])/365.25),"")</f>
        <v>1.1635865845311431</v>
      </c>
      <c r="F1883" s="49">
        <f>IF(expected_production[[#This Row],[Age (yrs)]]="",1,(1-DegradationRate)^expected_production[[#This Row],[Age (yrs)]])</f>
        <v>0.99185956654439278</v>
      </c>
      <c r="G1883" s="52">
        <f>IF(expected_production[[#This Row],[Base Expected (kWh)]]="","",expected_production[[#This Row],[Base Expected (kWh)]]*expected_production[[#This Row],[Degradation Factor]])</f>
        <v>3229.2517430747398</v>
      </c>
    </row>
    <row r="1884" spans="1:7" ht="15" hidden="1" customHeight="1" x14ac:dyDescent="0.3">
      <c r="A1884" t="s">
        <v>169</v>
      </c>
      <c r="B1884" s="2">
        <v>45566</v>
      </c>
      <c r="C1884" s="52">
        <v>3170.2449999999999</v>
      </c>
      <c r="D1884" s="48">
        <f>_xlfn.XLOOKUP(expected_production[[#This Row],[Site Name]],Table1[[Site Name ]],Table1[Commisioned Date],"")</f>
        <v>45111</v>
      </c>
      <c r="E1884" s="47">
        <f>IF(ISNUMBER(expected_production[[#This Row],[Commissioned Date]]),MAX(0,(expected_production[[#This Row],[Date]]-expected_production[[#This Row],[Commissioned Date]])/365.25),"")</f>
        <v>1.2457221081451062</v>
      </c>
      <c r="F1884" s="49">
        <f>IF(expected_production[[#This Row],[Age (yrs)]]="",1,(1-DegradationRate)^expected_production[[#This Row],[Age (yrs)]])</f>
        <v>0.99128745796845308</v>
      </c>
      <c r="G1884" s="52">
        <f>IF(expected_production[[#This Row],[Base Expected (kWh)]]="","",expected_production[[#This Row],[Base Expected (kWh)]]*expected_production[[#This Row],[Degradation Factor]])</f>
        <v>3142.6241071871982</v>
      </c>
    </row>
    <row r="1885" spans="1:7" ht="15" hidden="1" customHeight="1" x14ac:dyDescent="0.3">
      <c r="A1885" t="s">
        <v>169</v>
      </c>
      <c r="B1885" s="2">
        <v>45597</v>
      </c>
      <c r="C1885" s="52">
        <v>3173.1350000000002</v>
      </c>
      <c r="D1885" s="48">
        <f>_xlfn.XLOOKUP(expected_production[[#This Row],[Site Name]],Table1[[Site Name ]],Table1[Commisioned Date],"")</f>
        <v>45111</v>
      </c>
      <c r="E1885" s="47">
        <f>IF(ISNUMBER(expected_production[[#This Row],[Commissioned Date]]),MAX(0,(expected_production[[#This Row],[Date]]-expected_production[[#This Row],[Commissioned Date]])/365.25),"")</f>
        <v>1.3305954825462012</v>
      </c>
      <c r="F1885" s="49">
        <f>IF(expected_production[[#This Row],[Age (yrs)]]="",1,(1-DegradationRate)^expected_production[[#This Row],[Age (yrs)]])</f>
        <v>0.99069662578200413</v>
      </c>
      <c r="G1885" s="52">
        <f>IF(expected_production[[#This Row],[Base Expected (kWh)]]="","",expected_production[[#This Row],[Base Expected (kWh)]]*expected_production[[#This Row],[Degradation Factor]])</f>
        <v>3143.6141376507799</v>
      </c>
    </row>
    <row r="1886" spans="1:7" ht="15" hidden="1" customHeight="1" x14ac:dyDescent="0.3">
      <c r="A1886" t="s">
        <v>169</v>
      </c>
      <c r="B1886" s="2">
        <v>45627</v>
      </c>
      <c r="C1886" s="52">
        <v>3354.1849999999999</v>
      </c>
      <c r="D1886" s="48">
        <f>_xlfn.XLOOKUP(expected_production[[#This Row],[Site Name]],Table1[[Site Name ]],Table1[Commisioned Date],"")</f>
        <v>45111</v>
      </c>
      <c r="E1886" s="47">
        <f>IF(ISNUMBER(expected_production[[#This Row],[Commissioned Date]]),MAX(0,(expected_production[[#This Row],[Date]]-expected_production[[#This Row],[Commissioned Date]])/365.25),"")</f>
        <v>1.4127310061601643</v>
      </c>
      <c r="F1886" s="49">
        <f>IF(expected_production[[#This Row],[Age (yrs)]]="",1,(1-DegradationRate)^expected_production[[#This Row],[Age (yrs)]])</f>
        <v>0.9901251879949603</v>
      </c>
      <c r="G1886" s="52">
        <f>IF(expected_production[[#This Row],[Base Expected (kWh)]]="","",expected_production[[#This Row],[Base Expected (kWh)]]*expected_production[[#This Row],[Degradation Factor]])</f>
        <v>3321.0630536948756</v>
      </c>
    </row>
    <row r="1887" spans="1:7" ht="15" hidden="1" customHeight="1" x14ac:dyDescent="0.3">
      <c r="A1887" t="s">
        <v>169</v>
      </c>
      <c r="B1887" s="2">
        <v>45658</v>
      </c>
      <c r="C1887" s="52">
        <v>3308.4549999999999</v>
      </c>
      <c r="D1887" s="48">
        <f>_xlfn.XLOOKUP(expected_production[[#This Row],[Site Name]],Table1[[Site Name ]],Table1[Commisioned Date],"")</f>
        <v>45111</v>
      </c>
      <c r="E1887" s="47">
        <f>IF(ISNUMBER(expected_production[[#This Row],[Commissioned Date]]),MAX(0,(expected_production[[#This Row],[Date]]-expected_production[[#This Row],[Commissioned Date]])/365.25),"")</f>
        <v>1.4976043805612593</v>
      </c>
      <c r="F1887" s="49">
        <f>IF(expected_production[[#This Row],[Age (yrs)]]="",1,(1-DegradationRate)^expected_production[[#This Row],[Age (yrs)]])</f>
        <v>0.98953504855056518</v>
      </c>
      <c r="G1887" s="52">
        <f>IF(expected_production[[#This Row],[Base Expected (kWh)]]="","",expected_production[[#This Row],[Base Expected (kWh)]]*expected_production[[#This Row],[Degradation Factor]])</f>
        <v>3273.8321790523601</v>
      </c>
    </row>
    <row r="1888" spans="1:7" ht="15" hidden="1" customHeight="1" x14ac:dyDescent="0.3">
      <c r="A1888" t="s">
        <v>169</v>
      </c>
      <c r="B1888" s="2">
        <v>45689</v>
      </c>
      <c r="C1888" s="52">
        <v>2856.5949999999998</v>
      </c>
      <c r="D1888" s="48">
        <f>_xlfn.XLOOKUP(expected_production[[#This Row],[Site Name]],Table1[[Site Name ]],Table1[Commisioned Date],"")</f>
        <v>45111</v>
      </c>
      <c r="E1888" s="47">
        <f>IF(ISNUMBER(expected_production[[#This Row],[Commissioned Date]]),MAX(0,(expected_production[[#This Row],[Date]]-expected_production[[#This Row],[Commissioned Date]])/365.25),"")</f>
        <v>1.5824777549623545</v>
      </c>
      <c r="F1888" s="49">
        <f>IF(expected_production[[#This Row],[Age (yrs)]]="",1,(1-DegradationRate)^expected_production[[#This Row],[Age (yrs)]])</f>
        <v>0.98894526084407974</v>
      </c>
      <c r="G1888" s="52">
        <f>IF(expected_production[[#This Row],[Base Expected (kWh)]]="","",expected_production[[#This Row],[Base Expected (kWh)]]*expected_production[[#This Row],[Degradation Factor]])</f>
        <v>2825.0160874008939</v>
      </c>
    </row>
    <row r="1889" spans="1:7" ht="15" hidden="1" customHeight="1" x14ac:dyDescent="0.3">
      <c r="A1889" t="s">
        <v>169</v>
      </c>
      <c r="B1889" s="2">
        <v>45717</v>
      </c>
      <c r="C1889" s="52">
        <v>3155.625</v>
      </c>
      <c r="D1889" s="48">
        <f>_xlfn.XLOOKUP(expected_production[[#This Row],[Site Name]],Table1[[Site Name ]],Table1[Commisioned Date],"")</f>
        <v>45111</v>
      </c>
      <c r="E1889" s="47">
        <f>IF(ISNUMBER(expected_production[[#This Row],[Commissioned Date]]),MAX(0,(expected_production[[#This Row],[Date]]-expected_production[[#This Row],[Commissioned Date]])/365.25),"")</f>
        <v>1.6591375770020533</v>
      </c>
      <c r="F1889" s="49">
        <f>IF(expected_production[[#This Row],[Age (yrs)]]="",1,(1-DegradationRate)^expected_production[[#This Row],[Age (yrs)]])</f>
        <v>0.98841285151910685</v>
      </c>
      <c r="G1889" s="52">
        <f>IF(expected_production[[#This Row],[Base Expected (kWh)]]="","",expected_production[[#This Row],[Base Expected (kWh)]]*expected_production[[#This Row],[Degradation Factor]])</f>
        <v>3119.0603045749817</v>
      </c>
    </row>
    <row r="1890" spans="1:7" ht="15" hidden="1" customHeight="1" x14ac:dyDescent="0.3">
      <c r="A1890" t="s">
        <v>169</v>
      </c>
      <c r="B1890" s="2">
        <v>45748</v>
      </c>
      <c r="C1890" s="52">
        <v>3081.8449999999998</v>
      </c>
      <c r="D1890" s="48">
        <f>_xlfn.XLOOKUP(expected_production[[#This Row],[Site Name]],Table1[[Site Name ]],Table1[Commisioned Date],"")</f>
        <v>45111</v>
      </c>
      <c r="E1890" s="47">
        <f>IF(ISNUMBER(expected_production[[#This Row],[Commissioned Date]]),MAX(0,(expected_production[[#This Row],[Date]]-expected_production[[#This Row],[Commissioned Date]])/365.25),"")</f>
        <v>1.7440109514031485</v>
      </c>
      <c r="F1890" s="49">
        <f>IF(expected_production[[#This Row],[Age (yrs)]]="",1,(1-DegradationRate)^expected_production[[#This Row],[Age (yrs)]])</f>
        <v>0.98782373267019674</v>
      </c>
      <c r="G1890" s="52">
        <f>IF(expected_production[[#This Row],[Base Expected (kWh)]]="","",expected_production[[#This Row],[Base Expected (kWh)]]*expected_production[[#This Row],[Degradation Factor]])</f>
        <v>3044.3196314109823</v>
      </c>
    </row>
    <row r="1891" spans="1:7" ht="15" hidden="1" customHeight="1" x14ac:dyDescent="0.3">
      <c r="A1891" t="s">
        <v>169</v>
      </c>
      <c r="B1891" s="2">
        <v>45778</v>
      </c>
      <c r="C1891" s="52">
        <v>2972.875</v>
      </c>
      <c r="D1891" s="48">
        <f>_xlfn.XLOOKUP(expected_production[[#This Row],[Site Name]],Table1[[Site Name ]],Table1[Commisioned Date],"")</f>
        <v>45111</v>
      </c>
      <c r="E1891" s="47">
        <f>IF(ISNUMBER(expected_production[[#This Row],[Commissioned Date]]),MAX(0,(expected_production[[#This Row],[Date]]-expected_production[[#This Row],[Commissioned Date]])/365.25),"")</f>
        <v>1.8261464750171115</v>
      </c>
      <c r="F1891" s="49">
        <f>IF(expected_production[[#This Row],[Age (yrs)]]="",1,(1-DegradationRate)^expected_production[[#This Row],[Age (yrs)]])</f>
        <v>0.9872539519794219</v>
      </c>
      <c r="G1891" s="52">
        <f>IF(expected_production[[#This Row],[Base Expected (kWh)]]="","",expected_production[[#This Row],[Base Expected (kWh)]]*expected_production[[#This Row],[Degradation Factor]])</f>
        <v>2934.9825924908237</v>
      </c>
    </row>
    <row r="1892" spans="1:7" ht="15" hidden="1" customHeight="1" x14ac:dyDescent="0.3">
      <c r="A1892" t="s">
        <v>169</v>
      </c>
      <c r="B1892" s="2">
        <v>45809</v>
      </c>
      <c r="C1892" s="52">
        <v>2678.69</v>
      </c>
      <c r="D1892" s="48">
        <f>_xlfn.XLOOKUP(expected_production[[#This Row],[Site Name]],Table1[[Site Name ]],Table1[Commisioned Date],"")</f>
        <v>45111</v>
      </c>
      <c r="E1892" s="47">
        <f>IF(ISNUMBER(expected_production[[#This Row],[Commissioned Date]]),MAX(0,(expected_production[[#This Row],[Date]]-expected_production[[#This Row],[Commissioned Date]])/365.25),"")</f>
        <v>1.9110198494182067</v>
      </c>
      <c r="F1892" s="49">
        <f>IF(expected_production[[#This Row],[Age (yrs)]]="",1,(1-DegradationRate)^expected_production[[#This Row],[Age (yrs)]])</f>
        <v>0.98666552386370265</v>
      </c>
      <c r="G1892" s="52">
        <f>IF(expected_production[[#This Row],[Base Expected (kWh)]]="","",expected_production[[#This Row],[Base Expected (kWh)]]*expected_production[[#This Row],[Degradation Factor]])</f>
        <v>2642.9710721184615</v>
      </c>
    </row>
    <row r="1893" spans="1:7" ht="15" hidden="1" customHeight="1" x14ac:dyDescent="0.3">
      <c r="A1893" t="s">
        <v>169</v>
      </c>
      <c r="B1893" s="2">
        <v>45839</v>
      </c>
      <c r="C1893" s="52">
        <v>2819.0250000000001</v>
      </c>
      <c r="D1893" s="48">
        <f>_xlfn.XLOOKUP(expected_production[[#This Row],[Site Name]],Table1[[Site Name ]],Table1[Commisioned Date],"")</f>
        <v>45111</v>
      </c>
      <c r="E1893" s="47">
        <f>IF(ISNUMBER(expected_production[[#This Row],[Commissioned Date]]),MAX(0,(expected_production[[#This Row],[Date]]-expected_production[[#This Row],[Commissioned Date]])/365.25),"")</f>
        <v>1.9931553730321698</v>
      </c>
      <c r="F1893" s="49">
        <f>IF(expected_production[[#This Row],[Age (yrs)]]="",1,(1-DegradationRate)^expected_production[[#This Row],[Age (yrs)]])</f>
        <v>0.98609641123241254</v>
      </c>
      <c r="G1893" s="52">
        <f>IF(expected_production[[#This Row],[Base Expected (kWh)]]="","",expected_production[[#This Row],[Base Expected (kWh)]]*expected_production[[#This Row],[Degradation Factor]])</f>
        <v>2779.830435674452</v>
      </c>
    </row>
    <row r="1894" spans="1:7" ht="15" hidden="1" customHeight="1" x14ac:dyDescent="0.3">
      <c r="A1894" t="s">
        <v>169</v>
      </c>
      <c r="B1894" s="2">
        <v>45870</v>
      </c>
      <c r="C1894" s="52">
        <v>3304.375</v>
      </c>
      <c r="D1894" s="48">
        <f>_xlfn.XLOOKUP(expected_production[[#This Row],[Site Name]],Table1[[Site Name ]],Table1[Commisioned Date],"")</f>
        <v>45111</v>
      </c>
      <c r="E1894" s="47">
        <f>IF(ISNUMBER(expected_production[[#This Row],[Commissioned Date]]),MAX(0,(expected_production[[#This Row],[Date]]-expected_production[[#This Row],[Commissioned Date]])/365.25),"")</f>
        <v>2.0780287474332648</v>
      </c>
      <c r="F1894" s="49">
        <f>IF(expected_production[[#This Row],[Age (yrs)]]="",1,(1-DegradationRate)^expected_production[[#This Row],[Age (yrs)]])</f>
        <v>0.98550867304000966</v>
      </c>
      <c r="G1894" s="52">
        <f>IF(expected_production[[#This Row],[Base Expected (kWh)]]="","",expected_production[[#This Row],[Base Expected (kWh)]]*expected_production[[#This Row],[Degradation Factor]])</f>
        <v>3256.4902214765821</v>
      </c>
    </row>
    <row r="1895" spans="1:7" ht="15" hidden="1" customHeight="1" x14ac:dyDescent="0.3">
      <c r="A1895" t="s">
        <v>169</v>
      </c>
      <c r="B1895" s="2">
        <v>45901</v>
      </c>
      <c r="C1895" s="52">
        <v>3255.7550000000001</v>
      </c>
      <c r="D1895" s="48">
        <f>_xlfn.XLOOKUP(expected_production[[#This Row],[Site Name]],Table1[[Site Name ]],Table1[Commisioned Date],"")</f>
        <v>45111</v>
      </c>
      <c r="E1895" s="47">
        <f>IF(ISNUMBER(expected_production[[#This Row],[Commissioned Date]]),MAX(0,(expected_production[[#This Row],[Date]]-expected_production[[#This Row],[Commissioned Date]])/365.25),"")</f>
        <v>2.1629021218343598</v>
      </c>
      <c r="F1895" s="49">
        <f>IF(expected_production[[#This Row],[Age (yrs)]]="",1,(1-DegradationRate)^expected_production[[#This Row],[Age (yrs)]])</f>
        <v>0.98492128515430999</v>
      </c>
      <c r="G1895" s="52">
        <f>IF(expected_production[[#This Row],[Base Expected (kWh)]]="","",expected_production[[#This Row],[Base Expected (kWh)]]*expected_production[[#This Row],[Degradation Factor]])</f>
        <v>3206.6623987475705</v>
      </c>
    </row>
    <row r="1896" spans="1:7" ht="15" hidden="1" customHeight="1" x14ac:dyDescent="0.3">
      <c r="A1896" t="s">
        <v>169</v>
      </c>
      <c r="B1896" s="2">
        <v>45931</v>
      </c>
      <c r="C1896" s="52">
        <v>3170.2449999999999</v>
      </c>
      <c r="D1896" s="48">
        <f>_xlfn.XLOOKUP(expected_production[[#This Row],[Site Name]],Table1[[Site Name ]],Table1[Commisioned Date],"")</f>
        <v>45111</v>
      </c>
      <c r="E1896" s="47">
        <f>IF(ISNUMBER(expected_production[[#This Row],[Commissioned Date]]),MAX(0,(expected_production[[#This Row],[Date]]-expected_production[[#This Row],[Commissioned Date]])/365.25),"")</f>
        <v>2.2450376454483232</v>
      </c>
      <c r="F1896" s="49">
        <f>IF(expected_production[[#This Row],[Age (yrs)]]="",1,(1-DegradationRate)^expected_production[[#This Row],[Age (yrs)]])</f>
        <v>0.98435317860690286</v>
      </c>
      <c r="G1896" s="52">
        <f>IF(expected_production[[#This Row],[Base Expected (kWh)]]="","",expected_production[[#This Row],[Base Expected (kWh)]]*expected_production[[#This Row],[Degradation Factor]])</f>
        <v>3120.6407427126405</v>
      </c>
    </row>
    <row r="1897" spans="1:7" ht="15" hidden="1" customHeight="1" x14ac:dyDescent="0.3">
      <c r="A1897" t="s">
        <v>169</v>
      </c>
      <c r="B1897" s="2">
        <v>45962</v>
      </c>
      <c r="C1897" s="52">
        <v>3173.1350000000002</v>
      </c>
      <c r="D1897" s="48">
        <f>_xlfn.XLOOKUP(expected_production[[#This Row],[Site Name]],Table1[[Site Name ]],Table1[Commisioned Date],"")</f>
        <v>45111</v>
      </c>
      <c r="E1897" s="47">
        <f>IF(ISNUMBER(expected_production[[#This Row],[Commissioned Date]]),MAX(0,(expected_production[[#This Row],[Date]]-expected_production[[#This Row],[Commissioned Date]])/365.25),"")</f>
        <v>2.3299110198494182</v>
      </c>
      <c r="F1897" s="49">
        <f>IF(expected_production[[#This Row],[Age (yrs)]]="",1,(1-DegradationRate)^expected_production[[#This Row],[Age (yrs)]])</f>
        <v>0.98376647942486517</v>
      </c>
      <c r="G1897" s="52">
        <f>IF(expected_production[[#This Row],[Base Expected (kWh)]]="","",expected_production[[#This Row],[Base Expected (kWh)]]*expected_production[[#This Row],[Degradation Factor]])</f>
        <v>3121.6238476898197</v>
      </c>
    </row>
    <row r="1898" spans="1:7" ht="15" hidden="1" customHeight="1" x14ac:dyDescent="0.3">
      <c r="A1898" t="s">
        <v>169</v>
      </c>
      <c r="B1898" s="2">
        <v>45992</v>
      </c>
      <c r="C1898" s="52">
        <v>3354.1849999999999</v>
      </c>
      <c r="D1898" s="48">
        <f>_xlfn.XLOOKUP(expected_production[[#This Row],[Site Name]],Table1[[Site Name ]],Table1[Commisioned Date],"")</f>
        <v>45111</v>
      </c>
      <c r="E1898" s="47">
        <f>IF(ISNUMBER(expected_production[[#This Row],[Commissioned Date]]),MAX(0,(expected_production[[#This Row],[Date]]-expected_production[[#This Row],[Commissioned Date]])/365.25),"")</f>
        <v>2.4120465434633811</v>
      </c>
      <c r="F1898" s="49">
        <f>IF(expected_production[[#This Row],[Age (yrs)]]="",1,(1-DegradationRate)^expected_production[[#This Row],[Age (yrs)]])</f>
        <v>0.98319903897403416</v>
      </c>
      <c r="G1898" s="52">
        <f>IF(expected_production[[#This Row],[Base Expected (kWh)]]="","",expected_production[[#This Row],[Base Expected (kWh)]]*expected_production[[#This Row],[Degradation Factor]])</f>
        <v>3297.8314685411206</v>
      </c>
    </row>
    <row r="1899" spans="1:7" ht="15" hidden="1" customHeight="1" x14ac:dyDescent="0.3">
      <c r="A1899" t="s">
        <v>169</v>
      </c>
      <c r="B1899" s="2">
        <v>46023</v>
      </c>
      <c r="C1899" s="52">
        <v>3308.4549999999999</v>
      </c>
      <c r="D1899" s="48">
        <f>_xlfn.XLOOKUP(expected_production[[#This Row],[Site Name]],Table1[[Site Name ]],Table1[Commisioned Date],"")</f>
        <v>45111</v>
      </c>
      <c r="E1899" s="47">
        <f>IF(ISNUMBER(expected_production[[#This Row],[Commissioned Date]]),MAX(0,(expected_production[[#This Row],[Date]]-expected_production[[#This Row],[Commissioned Date]])/365.25),"")</f>
        <v>2.4969199178644765</v>
      </c>
      <c r="F1899" s="49">
        <f>IF(expected_production[[#This Row],[Age (yrs)]]="",1,(1-DegradationRate)^expected_production[[#This Row],[Age (yrs)]])</f>
        <v>0.9826130276881635</v>
      </c>
      <c r="G1899" s="52">
        <f>IF(expected_production[[#This Row],[Base Expected (kWh)]]="","",expected_production[[#This Row],[Base Expected (kWh)]]*expected_production[[#This Row],[Degradation Factor]])</f>
        <v>3250.9309845200428</v>
      </c>
    </row>
    <row r="1900" spans="1:7" ht="15" hidden="1" customHeight="1" x14ac:dyDescent="0.3">
      <c r="A1900" t="s">
        <v>169</v>
      </c>
      <c r="B1900" s="2">
        <v>46054</v>
      </c>
      <c r="C1900" s="52">
        <v>2856.5949999999998</v>
      </c>
      <c r="D1900" s="48">
        <f>_xlfn.XLOOKUP(expected_production[[#This Row],[Site Name]],Table1[[Site Name ]],Table1[Commisioned Date],"")</f>
        <v>45111</v>
      </c>
      <c r="E1900" s="47">
        <f>IF(ISNUMBER(expected_production[[#This Row],[Commissioned Date]]),MAX(0,(expected_production[[#This Row],[Date]]-expected_production[[#This Row],[Commissioned Date]])/365.25),"")</f>
        <v>2.5817932922655715</v>
      </c>
      <c r="F1900" s="49">
        <f>IF(expected_production[[#This Row],[Age (yrs)]]="",1,(1-DegradationRate)^expected_production[[#This Row],[Age (yrs)]])</f>
        <v>0.98202736567971638</v>
      </c>
      <c r="G1900" s="52">
        <f>IF(expected_production[[#This Row],[Base Expected (kWh)]]="","",expected_production[[#This Row],[Base Expected (kWh)]]*expected_production[[#This Row],[Degradation Factor]])</f>
        <v>2805.2544626638492</v>
      </c>
    </row>
    <row r="1901" spans="1:7" ht="15" hidden="1" customHeight="1" x14ac:dyDescent="0.3">
      <c r="A1901" t="s">
        <v>169</v>
      </c>
      <c r="B1901" s="2">
        <v>46082</v>
      </c>
      <c r="C1901" s="52">
        <v>3155.625</v>
      </c>
      <c r="D1901" s="48">
        <f>_xlfn.XLOOKUP(expected_production[[#This Row],[Site Name]],Table1[[Site Name ]],Table1[Commisioned Date],"")</f>
        <v>45111</v>
      </c>
      <c r="E1901" s="47">
        <f>IF(ISNUMBER(expected_production[[#This Row],[Commissioned Date]]),MAX(0,(expected_production[[#This Row],[Date]]-expected_production[[#This Row],[Commissioned Date]])/365.25),"")</f>
        <v>2.6584531143052703</v>
      </c>
      <c r="F1901" s="49">
        <f>IF(expected_production[[#This Row],[Age (yrs)]]="",1,(1-DegradationRate)^expected_production[[#This Row],[Age (yrs)]])</f>
        <v>0.9814986806780609</v>
      </c>
      <c r="G1901" s="52">
        <f>IF(expected_production[[#This Row],[Base Expected (kWh)]]="","",expected_production[[#This Row],[Base Expected (kWh)]]*expected_production[[#This Row],[Degradation Factor]])</f>
        <v>3097.2417742147059</v>
      </c>
    </row>
    <row r="1902" spans="1:7" ht="15" hidden="1" customHeight="1" x14ac:dyDescent="0.3">
      <c r="A1902" t="s">
        <v>169</v>
      </c>
      <c r="B1902" s="2">
        <v>46113</v>
      </c>
      <c r="C1902" s="52">
        <v>3081.8449999999998</v>
      </c>
      <c r="D1902" s="48">
        <f>_xlfn.XLOOKUP(expected_production[[#This Row],[Site Name]],Table1[[Site Name ]],Table1[Commisioned Date],"")</f>
        <v>45111</v>
      </c>
      <c r="E1902" s="47">
        <f>IF(ISNUMBER(expected_production[[#This Row],[Commissioned Date]]),MAX(0,(expected_production[[#This Row],[Date]]-expected_production[[#This Row],[Commissioned Date]])/365.25),"")</f>
        <v>2.7433264887063653</v>
      </c>
      <c r="F1902" s="49">
        <f>IF(expected_production[[#This Row],[Age (yrs)]]="",1,(1-DegradationRate)^expected_production[[#This Row],[Age (yrs)]])</f>
        <v>0.98091368284837965</v>
      </c>
      <c r="G1902" s="52">
        <f>IF(expected_production[[#This Row],[Base Expected (kWh)]]="","",expected_production[[#This Row],[Base Expected (kWh)]]*expected_production[[#This Row],[Degradation Factor]])</f>
        <v>3023.0239289178644</v>
      </c>
    </row>
    <row r="1903" spans="1:7" ht="15" hidden="1" customHeight="1" x14ac:dyDescent="0.3">
      <c r="A1903" t="s">
        <v>169</v>
      </c>
      <c r="B1903" s="2">
        <v>46143</v>
      </c>
      <c r="C1903" s="52">
        <v>2972.875</v>
      </c>
      <c r="D1903" s="48">
        <f>_xlfn.XLOOKUP(expected_production[[#This Row],[Site Name]],Table1[[Site Name ]],Table1[Commisioned Date],"")</f>
        <v>45111</v>
      </c>
      <c r="E1903" s="47">
        <f>IF(ISNUMBER(expected_production[[#This Row],[Commissioned Date]]),MAX(0,(expected_production[[#This Row],[Date]]-expected_production[[#This Row],[Commissioned Date]])/365.25),"")</f>
        <v>2.8254620123203287</v>
      </c>
      <c r="F1903" s="49">
        <f>IF(expected_production[[#This Row],[Age (yrs)]]="",1,(1-DegradationRate)^expected_production[[#This Row],[Age (yrs)]])</f>
        <v>0.9803478879020554</v>
      </c>
      <c r="G1903" s="52">
        <f>IF(expected_production[[#This Row],[Base Expected (kWh)]]="","",expected_production[[#This Row],[Base Expected (kWh)]]*expected_production[[#This Row],[Degradation Factor]])</f>
        <v>2914.4517272468229</v>
      </c>
    </row>
    <row r="1904" spans="1:7" ht="15" hidden="1" customHeight="1" x14ac:dyDescent="0.3">
      <c r="A1904" t="s">
        <v>169</v>
      </c>
      <c r="B1904" s="2">
        <v>46174</v>
      </c>
      <c r="C1904" s="52">
        <v>2678.69</v>
      </c>
      <c r="D1904" s="48">
        <f>_xlfn.XLOOKUP(expected_production[[#This Row],[Site Name]],Table1[[Site Name ]],Table1[Commisioned Date],"")</f>
        <v>45111</v>
      </c>
      <c r="E1904" s="47">
        <f>IF(ISNUMBER(expected_production[[#This Row],[Commissioned Date]]),MAX(0,(expected_production[[#This Row],[Date]]-expected_production[[#This Row],[Commissioned Date]])/365.25),"")</f>
        <v>2.9103353867214237</v>
      </c>
      <c r="F1904" s="49">
        <f>IF(expected_production[[#This Row],[Age (yrs)]]="",1,(1-DegradationRate)^expected_production[[#This Row],[Age (yrs)]])</f>
        <v>0.97976357597373054</v>
      </c>
      <c r="G1904" s="52">
        <f>IF(expected_production[[#This Row],[Base Expected (kWh)]]="","",expected_production[[#This Row],[Base Expected (kWh)]]*expected_production[[#This Row],[Degradation Factor]])</f>
        <v>2624.4828933250724</v>
      </c>
    </row>
    <row r="1905" spans="1:7" ht="15" hidden="1" customHeight="1" x14ac:dyDescent="0.3">
      <c r="A1905" t="s">
        <v>169</v>
      </c>
      <c r="B1905" s="2">
        <v>46204</v>
      </c>
      <c r="C1905" s="52">
        <v>2819.0250000000001</v>
      </c>
      <c r="D1905" s="48">
        <f>_xlfn.XLOOKUP(expected_production[[#This Row],[Site Name]],Table1[[Site Name ]],Table1[Commisioned Date],"")</f>
        <v>45111</v>
      </c>
      <c r="E1905" s="47">
        <f>IF(ISNUMBER(expected_production[[#This Row],[Commissioned Date]]),MAX(0,(expected_production[[#This Row],[Date]]-expected_production[[#This Row],[Commissioned Date]])/365.25),"")</f>
        <v>2.9924709103353866</v>
      </c>
      <c r="F1905" s="49">
        <f>IF(expected_production[[#This Row],[Age (yrs)]]="",1,(1-DegradationRate)^expected_production[[#This Row],[Age (yrs)]])</f>
        <v>0.97919844441366433</v>
      </c>
      <c r="G1905" s="52">
        <f>IF(expected_production[[#This Row],[Base Expected (kWh)]]="","",expected_production[[#This Row],[Base Expected (kWh)]]*expected_production[[#This Row],[Degradation Factor]])</f>
        <v>2760.38489476323</v>
      </c>
    </row>
    <row r="1906" spans="1:7" ht="15" hidden="1" customHeight="1" x14ac:dyDescent="0.3">
      <c r="A1906" t="s">
        <v>169</v>
      </c>
      <c r="B1906" s="2">
        <v>46235</v>
      </c>
      <c r="C1906" s="52">
        <v>3304.375</v>
      </c>
      <c r="D1906" s="48">
        <f>_xlfn.XLOOKUP(expected_production[[#This Row],[Site Name]],Table1[[Site Name ]],Table1[Commisioned Date],"")</f>
        <v>45111</v>
      </c>
      <c r="E1906" s="47">
        <f>IF(ISNUMBER(expected_production[[#This Row],[Commissioned Date]]),MAX(0,(expected_production[[#This Row],[Date]]-expected_production[[#This Row],[Commissioned Date]])/365.25),"")</f>
        <v>3.077344284736482</v>
      </c>
      <c r="F1906" s="49">
        <f>IF(expected_production[[#This Row],[Age (yrs)]]="",1,(1-DegradationRate)^expected_production[[#This Row],[Age (yrs)]])</f>
        <v>0.97861481758248647</v>
      </c>
      <c r="G1906" s="52">
        <f>IF(expected_production[[#This Row],[Base Expected (kWh)]]="","",expected_production[[#This Row],[Base Expected (kWh)]]*expected_production[[#This Row],[Degradation Factor]])</f>
        <v>3233.7103378491288</v>
      </c>
    </row>
    <row r="1907" spans="1:7" ht="15" hidden="1" customHeight="1" x14ac:dyDescent="0.3">
      <c r="A1907" t="s">
        <v>169</v>
      </c>
      <c r="B1907" s="2">
        <v>46266</v>
      </c>
      <c r="C1907" s="52">
        <v>3255.7550000000001</v>
      </c>
      <c r="D1907" s="48">
        <f>_xlfn.XLOOKUP(expected_production[[#This Row],[Site Name]],Table1[[Site Name ]],Table1[Commisioned Date],"")</f>
        <v>45111</v>
      </c>
      <c r="E1907" s="47">
        <f>IF(ISNUMBER(expected_production[[#This Row],[Commissioned Date]]),MAX(0,(expected_production[[#This Row],[Date]]-expected_production[[#This Row],[Commissioned Date]])/365.25),"")</f>
        <v>3.162217659137577</v>
      </c>
      <c r="F1907" s="49">
        <f>IF(expected_production[[#This Row],[Age (yrs)]]="",1,(1-DegradationRate)^expected_production[[#This Row],[Age (yrs)]])</f>
        <v>0.97803153860753744</v>
      </c>
      <c r="G1907" s="52">
        <f>IF(expected_production[[#This Row],[Base Expected (kWh)]]="","",expected_production[[#This Row],[Base Expected (kWh)]]*expected_production[[#This Row],[Degradation Factor]])</f>
        <v>3184.2310719791831</v>
      </c>
    </row>
    <row r="1908" spans="1:7" ht="15" hidden="1" customHeight="1" x14ac:dyDescent="0.3">
      <c r="A1908" t="s">
        <v>169</v>
      </c>
      <c r="B1908" s="2">
        <v>46296</v>
      </c>
      <c r="C1908" s="52">
        <v>3170.2449999999999</v>
      </c>
      <c r="D1908" s="48">
        <f>_xlfn.XLOOKUP(expected_production[[#This Row],[Site Name]],Table1[[Site Name ]],Table1[Commisioned Date],"")</f>
        <v>45111</v>
      </c>
      <c r="E1908" s="47">
        <f>IF(ISNUMBER(expected_production[[#This Row],[Commissioned Date]]),MAX(0,(expected_production[[#This Row],[Date]]-expected_production[[#This Row],[Commissioned Date]])/365.25),"")</f>
        <v>3.2443531827515399</v>
      </c>
      <c r="F1908" s="49">
        <f>IF(expected_production[[#This Row],[Age (yrs)]]="",1,(1-DegradationRate)^expected_production[[#This Row],[Age (yrs)]])</f>
        <v>0.97746740609357052</v>
      </c>
      <c r="G1908" s="52">
        <f>IF(expected_production[[#This Row],[Base Expected (kWh)]]="","",expected_production[[#This Row],[Base Expected (kWh)]]*expected_production[[#This Row],[Degradation Factor]])</f>
        <v>3098.8111568311115</v>
      </c>
    </row>
    <row r="1909" spans="1:7" ht="15" hidden="1" customHeight="1" x14ac:dyDescent="0.3">
      <c r="A1909" t="s">
        <v>169</v>
      </c>
      <c r="B1909" s="2">
        <v>46327</v>
      </c>
      <c r="C1909" s="52">
        <v>3173.1350000000002</v>
      </c>
      <c r="D1909" s="48">
        <f>_xlfn.XLOOKUP(expected_production[[#This Row],[Site Name]],Table1[[Site Name ]],Table1[Commisioned Date],"")</f>
        <v>45111</v>
      </c>
      <c r="E1909" s="47">
        <f>IF(ISNUMBER(expected_production[[#This Row],[Commissioned Date]]),MAX(0,(expected_production[[#This Row],[Date]]-expected_production[[#This Row],[Commissioned Date]])/365.25),"")</f>
        <v>3.3292265571526354</v>
      </c>
      <c r="F1909" s="49">
        <f>IF(expected_production[[#This Row],[Age (yrs)]]="",1,(1-DegradationRate)^expected_production[[#This Row],[Age (yrs)]])</f>
        <v>0.97688481100464597</v>
      </c>
      <c r="G1909" s="52">
        <f>IF(expected_production[[#This Row],[Base Expected (kWh)]]="","",expected_production[[#This Row],[Base Expected (kWh)]]*expected_production[[#This Row],[Degradation Factor]])</f>
        <v>3099.7873847672276</v>
      </c>
    </row>
    <row r="1910" spans="1:7" ht="15" hidden="1" customHeight="1" x14ac:dyDescent="0.3">
      <c r="A1910" t="s">
        <v>169</v>
      </c>
      <c r="B1910" s="2">
        <v>46357</v>
      </c>
      <c r="C1910" s="52">
        <v>3354.1849999999999</v>
      </c>
      <c r="D1910" s="48">
        <f>_xlfn.XLOOKUP(expected_production[[#This Row],[Site Name]],Table1[[Site Name ]],Table1[Commisioned Date],"")</f>
        <v>45111</v>
      </c>
      <c r="E1910" s="47">
        <f>IF(ISNUMBER(expected_production[[#This Row],[Commissioned Date]]),MAX(0,(expected_production[[#This Row],[Date]]-expected_production[[#This Row],[Commissioned Date]])/365.25),"")</f>
        <v>3.4113620807665983</v>
      </c>
      <c r="F1910" s="49">
        <f>IF(expected_production[[#This Row],[Age (yrs)]]="",1,(1-DegradationRate)^expected_production[[#This Row],[Age (yrs)]])</f>
        <v>0.97632133992775949</v>
      </c>
      <c r="G1910" s="52">
        <f>IF(expected_production[[#This Row],[Base Expected (kWh)]]="","",expected_production[[#This Row],[Base Expected (kWh)]]*expected_production[[#This Row],[Degradation Factor]])</f>
        <v>3274.762393565592</v>
      </c>
    </row>
    <row r="1911" spans="1:7" ht="15" hidden="1" customHeight="1" x14ac:dyDescent="0.3">
      <c r="A1911" t="s">
        <v>171</v>
      </c>
      <c r="B1911" s="2">
        <v>45292</v>
      </c>
      <c r="C1911" s="52">
        <v>12489.555</v>
      </c>
      <c r="D1911" s="48">
        <f>_xlfn.XLOOKUP(expected_production[[#This Row],[Site Name]],Table1[[Site Name ]],Table1[Commisioned Date],"")</f>
        <v>45111</v>
      </c>
      <c r="E1911" s="47">
        <f>IF(ISNUMBER(expected_production[[#This Row],[Commissioned Date]]),MAX(0,(expected_production[[#This Row],[Date]]-expected_production[[#This Row],[Commissioned Date]])/365.25),"")</f>
        <v>0.49555099247091033</v>
      </c>
      <c r="F1911" s="49">
        <f>IF(expected_production[[#This Row],[Age (yrs)]]="",1,(1-DegradationRate)^expected_production[[#This Row],[Age (yrs)]])</f>
        <v>0.99652499694357521</v>
      </c>
      <c r="G1911" s="52">
        <f>IF(expected_production[[#This Row],[Base Expected (kWh)]]="","",expected_production[[#This Row],[Base Expected (kWh)]]*expected_production[[#This Row],[Degradation Factor]])</f>
        <v>12446.153758201615</v>
      </c>
    </row>
    <row r="1912" spans="1:7" ht="15" hidden="1" customHeight="1" x14ac:dyDescent="0.3">
      <c r="A1912" t="s">
        <v>171</v>
      </c>
      <c r="B1912" s="2">
        <v>45323</v>
      </c>
      <c r="C1912" s="52">
        <v>10877.69</v>
      </c>
      <c r="D1912" s="48">
        <f>_xlfn.XLOOKUP(expected_production[[#This Row],[Site Name]],Table1[[Site Name ]],Table1[Commisioned Date],"")</f>
        <v>45111</v>
      </c>
      <c r="E1912" s="47">
        <f>IF(ISNUMBER(expected_production[[#This Row],[Commissioned Date]]),MAX(0,(expected_production[[#This Row],[Date]]-expected_production[[#This Row],[Commissioned Date]])/365.25),"")</f>
        <v>0.58042436687200549</v>
      </c>
      <c r="F1912" s="49">
        <f>IF(expected_production[[#This Row],[Age (yrs)]]="",1,(1-DegradationRate)^expected_production[[#This Row],[Age (yrs)]])</f>
        <v>0.99593104305253943</v>
      </c>
      <c r="G1912" s="52">
        <f>IF(expected_production[[#This Row],[Base Expected (kWh)]]="","",expected_production[[#This Row],[Base Expected (kWh)]]*expected_production[[#This Row],[Degradation Factor]])</f>
        <v>10833.429147702178</v>
      </c>
    </row>
    <row r="1913" spans="1:7" ht="15" hidden="1" customHeight="1" x14ac:dyDescent="0.3">
      <c r="A1913" t="s">
        <v>171</v>
      </c>
      <c r="B1913" s="2">
        <v>45352</v>
      </c>
      <c r="C1913" s="52">
        <v>10897.355</v>
      </c>
      <c r="D1913" s="48">
        <f>_xlfn.XLOOKUP(expected_production[[#This Row],[Site Name]],Table1[[Site Name ]],Table1[Commisioned Date],"")</f>
        <v>45111</v>
      </c>
      <c r="E1913" s="47">
        <f>IF(ISNUMBER(expected_production[[#This Row],[Commissioned Date]]),MAX(0,(expected_production[[#This Row],[Date]]-expected_production[[#This Row],[Commissioned Date]])/365.25),"")</f>
        <v>0.65982203969883646</v>
      </c>
      <c r="F1913" s="49">
        <f>IF(expected_production[[#This Row],[Age (yrs)]]="",1,(1-DegradationRate)^expected_production[[#This Row],[Age (yrs)]])</f>
        <v>0.99537572926048812</v>
      </c>
      <c r="G1913" s="52">
        <f>IF(expected_production[[#This Row],[Base Expected (kWh)]]="","",expected_production[[#This Row],[Base Expected (kWh)]]*expected_production[[#This Row],[Degradation Factor]])</f>
        <v>10846.962680135426</v>
      </c>
    </row>
    <row r="1914" spans="1:7" ht="15" hidden="1" customHeight="1" x14ac:dyDescent="0.3">
      <c r="A1914" t="s">
        <v>171</v>
      </c>
      <c r="B1914" s="2">
        <v>45383</v>
      </c>
      <c r="C1914" s="52">
        <v>8757.9549999999999</v>
      </c>
      <c r="D1914" s="48">
        <f>_xlfn.XLOOKUP(expected_production[[#This Row],[Site Name]],Table1[[Site Name ]],Table1[Commisioned Date],"")</f>
        <v>45111</v>
      </c>
      <c r="E1914" s="47">
        <f>IF(ISNUMBER(expected_production[[#This Row],[Commissioned Date]]),MAX(0,(expected_production[[#This Row],[Date]]-expected_production[[#This Row],[Commissioned Date]])/365.25),"")</f>
        <v>0.74469541409993156</v>
      </c>
      <c r="F1914" s="49">
        <f>IF(expected_production[[#This Row],[Age (yrs)]]="",1,(1-DegradationRate)^expected_production[[#This Row],[Age (yrs)]])</f>
        <v>0.99478246036181517</v>
      </c>
      <c r="G1914" s="52">
        <f>IF(expected_production[[#This Row],[Base Expected (kWh)]]="","",expected_production[[#This Row],[Base Expected (kWh)]]*expected_production[[#This Row],[Degradation Factor]])</f>
        <v>8712.26002263806</v>
      </c>
    </row>
    <row r="1915" spans="1:7" ht="15" hidden="1" customHeight="1" x14ac:dyDescent="0.3">
      <c r="A1915" t="s">
        <v>171</v>
      </c>
      <c r="B1915" s="2">
        <v>45413</v>
      </c>
      <c r="C1915" s="52">
        <v>7449.4250000000002</v>
      </c>
      <c r="D1915" s="48">
        <f>_xlfn.XLOOKUP(expected_production[[#This Row],[Site Name]],Table1[[Site Name ]],Table1[Commisioned Date],"")</f>
        <v>45111</v>
      </c>
      <c r="E1915" s="47">
        <f>IF(ISNUMBER(expected_production[[#This Row],[Commissioned Date]]),MAX(0,(expected_production[[#This Row],[Date]]-expected_production[[#This Row],[Commissioned Date]])/365.25),"")</f>
        <v>0.8268309377138946</v>
      </c>
      <c r="F1915" s="49">
        <f>IF(expected_production[[#This Row],[Age (yrs)]]="",1,(1-DegradationRate)^expected_production[[#This Row],[Age (yrs)]])</f>
        <v>0.99420866584899903</v>
      </c>
      <c r="G1915" s="52">
        <f>IF(expected_production[[#This Row],[Base Expected (kWh)]]="","",expected_production[[#This Row],[Base Expected (kWh)]]*expected_production[[#This Row],[Degradation Factor]])</f>
        <v>7406.2828905921797</v>
      </c>
    </row>
    <row r="1916" spans="1:7" ht="15" hidden="1" customHeight="1" x14ac:dyDescent="0.3">
      <c r="A1916" t="s">
        <v>171</v>
      </c>
      <c r="B1916" s="2">
        <v>45444</v>
      </c>
      <c r="C1916" s="52">
        <v>6752.6949999999997</v>
      </c>
      <c r="D1916" s="48">
        <f>_xlfn.XLOOKUP(expected_production[[#This Row],[Site Name]],Table1[[Site Name ]],Table1[Commisioned Date],"")</f>
        <v>45111</v>
      </c>
      <c r="E1916" s="47">
        <f>IF(ISNUMBER(expected_production[[#This Row],[Commissioned Date]]),MAX(0,(expected_production[[#This Row],[Date]]-expected_production[[#This Row],[Commissioned Date]])/365.25),"")</f>
        <v>0.9117043121149897</v>
      </c>
      <c r="F1916" s="49">
        <f>IF(expected_production[[#This Row],[Age (yrs)]]="",1,(1-DegradationRate)^expected_production[[#This Row],[Age (yrs)]])</f>
        <v>0.99361609254938932</v>
      </c>
      <c r="G1916" s="52">
        <f>IF(expected_production[[#This Row],[Base Expected (kWh)]]="","",expected_production[[#This Row],[Base Expected (kWh)]]*expected_production[[#This Row],[Degradation Factor]])</f>
        <v>6709.5864200777978</v>
      </c>
    </row>
    <row r="1917" spans="1:7" ht="15" hidden="1" customHeight="1" x14ac:dyDescent="0.3">
      <c r="A1917" t="s">
        <v>171</v>
      </c>
      <c r="B1917" s="2">
        <v>45474</v>
      </c>
      <c r="C1917" s="52">
        <v>7274.2449999999999</v>
      </c>
      <c r="D1917" s="48">
        <f>_xlfn.XLOOKUP(expected_production[[#This Row],[Site Name]],Table1[[Site Name ]],Table1[Commisioned Date],"")</f>
        <v>45111</v>
      </c>
      <c r="E1917" s="47">
        <f>IF(ISNUMBER(expected_production[[#This Row],[Commissioned Date]]),MAX(0,(expected_production[[#This Row],[Date]]-expected_production[[#This Row],[Commissioned Date]])/365.25),"")</f>
        <v>0.99383983572895274</v>
      </c>
      <c r="F1917" s="49">
        <f>IF(expected_production[[#This Row],[Age (yrs)]]="",1,(1-DegradationRate)^expected_production[[#This Row],[Age (yrs)]])</f>
        <v>0.99304297080220527</v>
      </c>
      <c r="G1917" s="52">
        <f>IF(expected_production[[#This Row],[Base Expected (kWh)]]="","",expected_production[[#This Row],[Base Expected (kWh)]]*expected_production[[#This Row],[Degradation Factor]])</f>
        <v>7223.6378651430878</v>
      </c>
    </row>
    <row r="1918" spans="1:7" ht="15" hidden="1" customHeight="1" x14ac:dyDescent="0.3">
      <c r="A1918" t="s">
        <v>171</v>
      </c>
      <c r="B1918" s="2">
        <v>45505</v>
      </c>
      <c r="C1918" s="52">
        <v>8568.7150000000001</v>
      </c>
      <c r="D1918" s="48">
        <f>_xlfn.XLOOKUP(expected_production[[#This Row],[Site Name]],Table1[[Site Name ]],Table1[Commisioned Date],"")</f>
        <v>45111</v>
      </c>
      <c r="E1918" s="47">
        <f>IF(ISNUMBER(expected_production[[#This Row],[Commissioned Date]]),MAX(0,(expected_production[[#This Row],[Date]]-expected_production[[#This Row],[Commissioned Date]])/365.25),"")</f>
        <v>1.0787132101300478</v>
      </c>
      <c r="F1918" s="49">
        <f>IF(expected_production[[#This Row],[Age (yrs)]]="",1,(1-DegradationRate)^expected_production[[#This Row],[Age (yrs)]])</f>
        <v>0.99245109228607908</v>
      </c>
      <c r="G1918" s="52">
        <f>IF(expected_production[[#This Row],[Base Expected (kWh)]]="","",expected_production[[#This Row],[Base Expected (kWh)]]*expected_production[[#This Row],[Degradation Factor]])</f>
        <v>8504.0305612381107</v>
      </c>
    </row>
    <row r="1919" spans="1:7" ht="15" hidden="1" customHeight="1" x14ac:dyDescent="0.3">
      <c r="A1919" t="s">
        <v>171</v>
      </c>
      <c r="B1919" s="2">
        <v>45536</v>
      </c>
      <c r="C1919" s="52">
        <v>9196</v>
      </c>
      <c r="D1919" s="48">
        <f>_xlfn.XLOOKUP(expected_production[[#This Row],[Site Name]],Table1[[Site Name ]],Table1[Commisioned Date],"")</f>
        <v>45111</v>
      </c>
      <c r="E1919" s="47">
        <f>IF(ISNUMBER(expected_production[[#This Row],[Commissioned Date]]),MAX(0,(expected_production[[#This Row],[Date]]-expected_production[[#This Row],[Commissioned Date]])/365.25),"")</f>
        <v>1.1635865845311431</v>
      </c>
      <c r="F1919" s="49">
        <f>IF(expected_production[[#This Row],[Age (yrs)]]="",1,(1-DegradationRate)^expected_production[[#This Row],[Age (yrs)]])</f>
        <v>0.99185956654439278</v>
      </c>
      <c r="G1919" s="52">
        <f>IF(expected_production[[#This Row],[Base Expected (kWh)]]="","",expected_production[[#This Row],[Base Expected (kWh)]]*expected_production[[#This Row],[Degradation Factor]])</f>
        <v>9121.1405739422353</v>
      </c>
    </row>
    <row r="1920" spans="1:7" ht="15" hidden="1" customHeight="1" x14ac:dyDescent="0.3">
      <c r="A1920" t="s">
        <v>171</v>
      </c>
      <c r="B1920" s="2">
        <v>45566</v>
      </c>
      <c r="C1920" s="52">
        <v>10753.525</v>
      </c>
      <c r="D1920" s="48">
        <f>_xlfn.XLOOKUP(expected_production[[#This Row],[Site Name]],Table1[[Site Name ]],Table1[Commisioned Date],"")</f>
        <v>45111</v>
      </c>
      <c r="E1920" s="47">
        <f>IF(ISNUMBER(expected_production[[#This Row],[Commissioned Date]]),MAX(0,(expected_production[[#This Row],[Date]]-expected_production[[#This Row],[Commissioned Date]])/365.25),"")</f>
        <v>1.2457221081451062</v>
      </c>
      <c r="F1920" s="49">
        <f>IF(expected_production[[#This Row],[Age (yrs)]]="",1,(1-DegradationRate)^expected_production[[#This Row],[Age (yrs)]])</f>
        <v>0.99128745796845308</v>
      </c>
      <c r="G1920" s="52">
        <f>IF(expected_production[[#This Row],[Base Expected (kWh)]]="","",expected_production[[#This Row],[Base Expected (kWh)]]*expected_production[[#This Row],[Degradation Factor]])</f>
        <v>10659.834461450209</v>
      </c>
    </row>
    <row r="1921" spans="1:7" ht="15" hidden="1" customHeight="1" x14ac:dyDescent="0.3">
      <c r="A1921" t="s">
        <v>171</v>
      </c>
      <c r="B1921" s="2">
        <v>45597</v>
      </c>
      <c r="C1921" s="52">
        <v>11159.27</v>
      </c>
      <c r="D1921" s="48">
        <f>_xlfn.XLOOKUP(expected_production[[#This Row],[Site Name]],Table1[[Site Name ]],Table1[Commisioned Date],"")</f>
        <v>45111</v>
      </c>
      <c r="E1921" s="47">
        <f>IF(ISNUMBER(expected_production[[#This Row],[Commissioned Date]]),MAX(0,(expected_production[[#This Row],[Date]]-expected_production[[#This Row],[Commissioned Date]])/365.25),"")</f>
        <v>1.3305954825462012</v>
      </c>
      <c r="F1921" s="49">
        <f>IF(expected_production[[#This Row],[Age (yrs)]]="",1,(1-DegradationRate)^expected_production[[#This Row],[Age (yrs)]])</f>
        <v>0.99069662578200413</v>
      </c>
      <c r="G1921" s="52">
        <f>IF(expected_production[[#This Row],[Base Expected (kWh)]]="","",expected_production[[#This Row],[Base Expected (kWh)]]*expected_production[[#This Row],[Degradation Factor]])</f>
        <v>11055.451135190346</v>
      </c>
    </row>
    <row r="1922" spans="1:7" ht="15" hidden="1" customHeight="1" x14ac:dyDescent="0.3">
      <c r="A1922" t="s">
        <v>171</v>
      </c>
      <c r="B1922" s="2">
        <v>45627</v>
      </c>
      <c r="C1922" s="52">
        <v>12687.82</v>
      </c>
      <c r="D1922" s="48">
        <f>_xlfn.XLOOKUP(expected_production[[#This Row],[Site Name]],Table1[[Site Name ]],Table1[Commisioned Date],"")</f>
        <v>45111</v>
      </c>
      <c r="E1922" s="47">
        <f>IF(ISNUMBER(expected_production[[#This Row],[Commissioned Date]]),MAX(0,(expected_production[[#This Row],[Date]]-expected_production[[#This Row],[Commissioned Date]])/365.25),"")</f>
        <v>1.4127310061601643</v>
      </c>
      <c r="F1922" s="49">
        <f>IF(expected_production[[#This Row],[Age (yrs)]]="",1,(1-DegradationRate)^expected_production[[#This Row],[Age (yrs)]])</f>
        <v>0.9901251879949603</v>
      </c>
      <c r="G1922" s="52">
        <f>IF(expected_production[[#This Row],[Base Expected (kWh)]]="","",expected_production[[#This Row],[Base Expected (kWh)]]*expected_production[[#This Row],[Degradation Factor]])</f>
        <v>12562.530162746218</v>
      </c>
    </row>
    <row r="1923" spans="1:7" ht="15" hidden="1" customHeight="1" x14ac:dyDescent="0.3">
      <c r="A1923" t="s">
        <v>171</v>
      </c>
      <c r="B1923" s="2">
        <v>45658</v>
      </c>
      <c r="C1923" s="52">
        <v>12489.555</v>
      </c>
      <c r="D1923" s="48">
        <f>_xlfn.XLOOKUP(expected_production[[#This Row],[Site Name]],Table1[[Site Name ]],Table1[Commisioned Date],"")</f>
        <v>45111</v>
      </c>
      <c r="E1923" s="47">
        <f>IF(ISNUMBER(expected_production[[#This Row],[Commissioned Date]]),MAX(0,(expected_production[[#This Row],[Date]]-expected_production[[#This Row],[Commissioned Date]])/365.25),"")</f>
        <v>1.4976043805612593</v>
      </c>
      <c r="F1923" s="49">
        <f>IF(expected_production[[#This Row],[Age (yrs)]]="",1,(1-DegradationRate)^expected_production[[#This Row],[Age (yrs)]])</f>
        <v>0.98953504855056518</v>
      </c>
      <c r="G1923" s="52">
        <f>IF(expected_production[[#This Row],[Base Expected (kWh)]]="","",expected_production[[#This Row],[Base Expected (kWh)]]*expected_production[[#This Row],[Degradation Factor]])</f>
        <v>12358.852413299954</v>
      </c>
    </row>
    <row r="1924" spans="1:7" ht="15" hidden="1" customHeight="1" x14ac:dyDescent="0.3">
      <c r="A1924" t="s">
        <v>171</v>
      </c>
      <c r="B1924" s="2">
        <v>45689</v>
      </c>
      <c r="C1924" s="52">
        <v>10877.69</v>
      </c>
      <c r="D1924" s="48">
        <f>_xlfn.XLOOKUP(expected_production[[#This Row],[Site Name]],Table1[[Site Name ]],Table1[Commisioned Date],"")</f>
        <v>45111</v>
      </c>
      <c r="E1924" s="47">
        <f>IF(ISNUMBER(expected_production[[#This Row],[Commissioned Date]]),MAX(0,(expected_production[[#This Row],[Date]]-expected_production[[#This Row],[Commissioned Date]])/365.25),"")</f>
        <v>1.5824777549623545</v>
      </c>
      <c r="F1924" s="49">
        <f>IF(expected_production[[#This Row],[Age (yrs)]]="",1,(1-DegradationRate)^expected_production[[#This Row],[Age (yrs)]])</f>
        <v>0.98894526084407974</v>
      </c>
      <c r="G1924" s="52">
        <f>IF(expected_production[[#This Row],[Base Expected (kWh)]]="","",expected_production[[#This Row],[Base Expected (kWh)]]*expected_production[[#This Row],[Degradation Factor]])</f>
        <v>10757.439974431038</v>
      </c>
    </row>
    <row r="1925" spans="1:7" ht="15" hidden="1" customHeight="1" x14ac:dyDescent="0.3">
      <c r="A1925" t="s">
        <v>171</v>
      </c>
      <c r="B1925" s="2">
        <v>45717</v>
      </c>
      <c r="C1925" s="52">
        <v>10897.355</v>
      </c>
      <c r="D1925" s="48">
        <f>_xlfn.XLOOKUP(expected_production[[#This Row],[Site Name]],Table1[[Site Name ]],Table1[Commisioned Date],"")</f>
        <v>45111</v>
      </c>
      <c r="E1925" s="47">
        <f>IF(ISNUMBER(expected_production[[#This Row],[Commissioned Date]]),MAX(0,(expected_production[[#This Row],[Date]]-expected_production[[#This Row],[Commissioned Date]])/365.25),"")</f>
        <v>1.6591375770020533</v>
      </c>
      <c r="F1925" s="49">
        <f>IF(expected_production[[#This Row],[Age (yrs)]]="",1,(1-DegradationRate)^expected_production[[#This Row],[Age (yrs)]])</f>
        <v>0.98841285151910685</v>
      </c>
      <c r="G1925" s="52">
        <f>IF(expected_production[[#This Row],[Base Expected (kWh)]]="","",expected_production[[#This Row],[Base Expected (kWh)]]*expected_production[[#This Row],[Degradation Factor]])</f>
        <v>10771.085729565997</v>
      </c>
    </row>
    <row r="1926" spans="1:7" ht="15" hidden="1" customHeight="1" x14ac:dyDescent="0.3">
      <c r="A1926" t="s">
        <v>171</v>
      </c>
      <c r="B1926" s="2">
        <v>45748</v>
      </c>
      <c r="C1926" s="52">
        <v>8757.9549999999999</v>
      </c>
      <c r="D1926" s="48">
        <f>_xlfn.XLOOKUP(expected_production[[#This Row],[Site Name]],Table1[[Site Name ]],Table1[Commisioned Date],"")</f>
        <v>45111</v>
      </c>
      <c r="E1926" s="47">
        <f>IF(ISNUMBER(expected_production[[#This Row],[Commissioned Date]]),MAX(0,(expected_production[[#This Row],[Date]]-expected_production[[#This Row],[Commissioned Date]])/365.25),"")</f>
        <v>1.7440109514031485</v>
      </c>
      <c r="F1926" s="49">
        <f>IF(expected_production[[#This Row],[Age (yrs)]]="",1,(1-DegradationRate)^expected_production[[#This Row],[Age (yrs)]])</f>
        <v>0.98782373267019674</v>
      </c>
      <c r="G1926" s="52">
        <f>IF(expected_production[[#This Row],[Base Expected (kWh)]]="","",expected_production[[#This Row],[Base Expected (kWh)]]*expected_production[[#This Row],[Degradation Factor]])</f>
        <v>8651.3157986576134</v>
      </c>
    </row>
    <row r="1927" spans="1:7" ht="15" hidden="1" customHeight="1" x14ac:dyDescent="0.3">
      <c r="A1927" t="s">
        <v>171</v>
      </c>
      <c r="B1927" s="2">
        <v>45778</v>
      </c>
      <c r="C1927" s="52">
        <v>7449.4250000000002</v>
      </c>
      <c r="D1927" s="48">
        <f>_xlfn.XLOOKUP(expected_production[[#This Row],[Site Name]],Table1[[Site Name ]],Table1[Commisioned Date],"")</f>
        <v>45111</v>
      </c>
      <c r="E1927" s="47">
        <f>IF(ISNUMBER(expected_production[[#This Row],[Commissioned Date]]),MAX(0,(expected_production[[#This Row],[Date]]-expected_production[[#This Row],[Commissioned Date]])/365.25),"")</f>
        <v>1.8261464750171115</v>
      </c>
      <c r="F1927" s="49">
        <f>IF(expected_production[[#This Row],[Age (yrs)]]="",1,(1-DegradationRate)^expected_production[[#This Row],[Age (yrs)]])</f>
        <v>0.9872539519794219</v>
      </c>
      <c r="G1927" s="52">
        <f>IF(expected_production[[#This Row],[Base Expected (kWh)]]="","",expected_production[[#This Row],[Base Expected (kWh)]]*expected_production[[#This Row],[Degradation Factor]])</f>
        <v>7354.4742712243051</v>
      </c>
    </row>
    <row r="1928" spans="1:7" ht="15" hidden="1" customHeight="1" x14ac:dyDescent="0.3">
      <c r="A1928" t="s">
        <v>171</v>
      </c>
      <c r="B1928" s="2">
        <v>45809</v>
      </c>
      <c r="C1928" s="52">
        <v>6752.6949999999997</v>
      </c>
      <c r="D1928" s="48">
        <f>_xlfn.XLOOKUP(expected_production[[#This Row],[Site Name]],Table1[[Site Name ]],Table1[Commisioned Date],"")</f>
        <v>45111</v>
      </c>
      <c r="E1928" s="47">
        <f>IF(ISNUMBER(expected_production[[#This Row],[Commissioned Date]]),MAX(0,(expected_production[[#This Row],[Date]]-expected_production[[#This Row],[Commissioned Date]])/365.25),"")</f>
        <v>1.9110198494182067</v>
      </c>
      <c r="F1928" s="49">
        <f>IF(expected_production[[#This Row],[Age (yrs)]]="",1,(1-DegradationRate)^expected_production[[#This Row],[Age (yrs)]])</f>
        <v>0.98666552386370265</v>
      </c>
      <c r="G1928" s="52">
        <f>IF(expected_production[[#This Row],[Base Expected (kWh)]]="","",expected_production[[#This Row],[Base Expected (kWh)]]*expected_production[[#This Row],[Degradation Factor]])</f>
        <v>6662.6513496668049</v>
      </c>
    </row>
    <row r="1929" spans="1:7" ht="15" hidden="1" customHeight="1" x14ac:dyDescent="0.3">
      <c r="A1929" t="s">
        <v>171</v>
      </c>
      <c r="B1929" s="2">
        <v>45839</v>
      </c>
      <c r="C1929" s="52">
        <v>7274.2449999999999</v>
      </c>
      <c r="D1929" s="48">
        <f>_xlfn.XLOOKUP(expected_production[[#This Row],[Site Name]],Table1[[Site Name ]],Table1[Commisioned Date],"")</f>
        <v>45111</v>
      </c>
      <c r="E1929" s="47">
        <f>IF(ISNUMBER(expected_production[[#This Row],[Commissioned Date]]),MAX(0,(expected_production[[#This Row],[Date]]-expected_production[[#This Row],[Commissioned Date]])/365.25),"")</f>
        <v>1.9931553730321698</v>
      </c>
      <c r="F1929" s="49">
        <f>IF(expected_production[[#This Row],[Age (yrs)]]="",1,(1-DegradationRate)^expected_production[[#This Row],[Age (yrs)]])</f>
        <v>0.98609641123241254</v>
      </c>
      <c r="G1929" s="52">
        <f>IF(expected_production[[#This Row],[Base Expected (kWh)]]="","",expected_production[[#This Row],[Base Expected (kWh)]]*expected_production[[#This Row],[Degradation Factor]])</f>
        <v>7173.1068889253211</v>
      </c>
    </row>
    <row r="1930" spans="1:7" ht="15" hidden="1" customHeight="1" x14ac:dyDescent="0.3">
      <c r="A1930" t="s">
        <v>171</v>
      </c>
      <c r="B1930" s="2">
        <v>45870</v>
      </c>
      <c r="C1930" s="52">
        <v>8568.7150000000001</v>
      </c>
      <c r="D1930" s="48">
        <f>_xlfn.XLOOKUP(expected_production[[#This Row],[Site Name]],Table1[[Site Name ]],Table1[Commisioned Date],"")</f>
        <v>45111</v>
      </c>
      <c r="E1930" s="47">
        <f>IF(ISNUMBER(expected_production[[#This Row],[Commissioned Date]]),MAX(0,(expected_production[[#This Row],[Date]]-expected_production[[#This Row],[Commissioned Date]])/365.25),"")</f>
        <v>2.0780287474332648</v>
      </c>
      <c r="F1930" s="49">
        <f>IF(expected_production[[#This Row],[Age (yrs)]]="",1,(1-DegradationRate)^expected_production[[#This Row],[Age (yrs)]])</f>
        <v>0.98550867304000966</v>
      </c>
      <c r="G1930" s="52">
        <f>IF(expected_production[[#This Row],[Base Expected (kWh)]]="","",expected_production[[#This Row],[Base Expected (kWh)]]*expected_production[[#This Row],[Degradation Factor]])</f>
        <v>8444.5429493080264</v>
      </c>
    </row>
    <row r="1931" spans="1:7" ht="15" hidden="1" customHeight="1" x14ac:dyDescent="0.3">
      <c r="A1931" t="s">
        <v>171</v>
      </c>
      <c r="B1931" s="2">
        <v>45901</v>
      </c>
      <c r="C1931" s="52">
        <v>9196</v>
      </c>
      <c r="D1931" s="48">
        <f>_xlfn.XLOOKUP(expected_production[[#This Row],[Site Name]],Table1[[Site Name ]],Table1[Commisioned Date],"")</f>
        <v>45111</v>
      </c>
      <c r="E1931" s="47">
        <f>IF(ISNUMBER(expected_production[[#This Row],[Commissioned Date]]),MAX(0,(expected_production[[#This Row],[Date]]-expected_production[[#This Row],[Commissioned Date]])/365.25),"")</f>
        <v>2.1629021218343598</v>
      </c>
      <c r="F1931" s="49">
        <f>IF(expected_production[[#This Row],[Age (yrs)]]="",1,(1-DegradationRate)^expected_production[[#This Row],[Age (yrs)]])</f>
        <v>0.98492128515430999</v>
      </c>
      <c r="G1931" s="52">
        <f>IF(expected_production[[#This Row],[Base Expected (kWh)]]="","",expected_production[[#This Row],[Base Expected (kWh)]]*expected_production[[#This Row],[Degradation Factor]])</f>
        <v>9057.3361382790354</v>
      </c>
    </row>
    <row r="1932" spans="1:7" ht="15" hidden="1" customHeight="1" x14ac:dyDescent="0.3">
      <c r="A1932" t="s">
        <v>171</v>
      </c>
      <c r="B1932" s="2">
        <v>45931</v>
      </c>
      <c r="C1932" s="52">
        <v>10753.525</v>
      </c>
      <c r="D1932" s="48">
        <f>_xlfn.XLOOKUP(expected_production[[#This Row],[Site Name]],Table1[[Site Name ]],Table1[Commisioned Date],"")</f>
        <v>45111</v>
      </c>
      <c r="E1932" s="47">
        <f>IF(ISNUMBER(expected_production[[#This Row],[Commissioned Date]]),MAX(0,(expected_production[[#This Row],[Date]]-expected_production[[#This Row],[Commissioned Date]])/365.25),"")</f>
        <v>2.2450376454483232</v>
      </c>
      <c r="F1932" s="49">
        <f>IF(expected_production[[#This Row],[Age (yrs)]]="",1,(1-DegradationRate)^expected_production[[#This Row],[Age (yrs)]])</f>
        <v>0.98435317860690286</v>
      </c>
      <c r="G1932" s="52">
        <f>IF(expected_production[[#This Row],[Base Expected (kWh)]]="","",expected_production[[#This Row],[Base Expected (kWh)]]*expected_production[[#This Row],[Degradation Factor]])</f>
        <v>10585.266514978795</v>
      </c>
    </row>
    <row r="1933" spans="1:7" ht="15" hidden="1" customHeight="1" x14ac:dyDescent="0.3">
      <c r="A1933" t="s">
        <v>171</v>
      </c>
      <c r="B1933" s="2">
        <v>45962</v>
      </c>
      <c r="C1933" s="52">
        <v>11159.27</v>
      </c>
      <c r="D1933" s="48">
        <f>_xlfn.XLOOKUP(expected_production[[#This Row],[Site Name]],Table1[[Site Name ]],Table1[Commisioned Date],"")</f>
        <v>45111</v>
      </c>
      <c r="E1933" s="47">
        <f>IF(ISNUMBER(expected_production[[#This Row],[Commissioned Date]]),MAX(0,(expected_production[[#This Row],[Date]]-expected_production[[#This Row],[Commissioned Date]])/365.25),"")</f>
        <v>2.3299110198494182</v>
      </c>
      <c r="F1933" s="49">
        <f>IF(expected_production[[#This Row],[Age (yrs)]]="",1,(1-DegradationRate)^expected_production[[#This Row],[Age (yrs)]])</f>
        <v>0.98376647942486517</v>
      </c>
      <c r="G1933" s="52">
        <f>IF(expected_production[[#This Row],[Base Expected (kWh)]]="","",expected_production[[#This Row],[Base Expected (kWh)]]*expected_production[[#This Row],[Degradation Factor]])</f>
        <v>10978.115760851515</v>
      </c>
    </row>
    <row r="1934" spans="1:7" ht="15" hidden="1" customHeight="1" x14ac:dyDescent="0.3">
      <c r="A1934" t="s">
        <v>171</v>
      </c>
      <c r="B1934" s="2">
        <v>45992</v>
      </c>
      <c r="C1934" s="52">
        <v>12687.82</v>
      </c>
      <c r="D1934" s="48">
        <f>_xlfn.XLOOKUP(expected_production[[#This Row],[Site Name]],Table1[[Site Name ]],Table1[Commisioned Date],"")</f>
        <v>45111</v>
      </c>
      <c r="E1934" s="47">
        <f>IF(ISNUMBER(expected_production[[#This Row],[Commissioned Date]]),MAX(0,(expected_production[[#This Row],[Date]]-expected_production[[#This Row],[Commissioned Date]])/365.25),"")</f>
        <v>2.4120465434633811</v>
      </c>
      <c r="F1934" s="49">
        <f>IF(expected_production[[#This Row],[Age (yrs)]]="",1,(1-DegradationRate)^expected_production[[#This Row],[Age (yrs)]])</f>
        <v>0.98319903897403416</v>
      </c>
      <c r="G1934" s="52">
        <f>IF(expected_production[[#This Row],[Base Expected (kWh)]]="","",expected_production[[#This Row],[Base Expected (kWh)]]*expected_production[[#This Row],[Degradation Factor]])</f>
        <v>12474.652430675529</v>
      </c>
    </row>
    <row r="1935" spans="1:7" ht="15" hidden="1" customHeight="1" x14ac:dyDescent="0.3">
      <c r="A1935" t="s">
        <v>171</v>
      </c>
      <c r="B1935" s="2">
        <v>46023</v>
      </c>
      <c r="C1935" s="52">
        <v>12489.555</v>
      </c>
      <c r="D1935" s="48">
        <f>_xlfn.XLOOKUP(expected_production[[#This Row],[Site Name]],Table1[[Site Name ]],Table1[Commisioned Date],"")</f>
        <v>45111</v>
      </c>
      <c r="E1935" s="47">
        <f>IF(ISNUMBER(expected_production[[#This Row],[Commissioned Date]]),MAX(0,(expected_production[[#This Row],[Date]]-expected_production[[#This Row],[Commissioned Date]])/365.25),"")</f>
        <v>2.4969199178644765</v>
      </c>
      <c r="F1935" s="49">
        <f>IF(expected_production[[#This Row],[Age (yrs)]]="",1,(1-DegradationRate)^expected_production[[#This Row],[Age (yrs)]])</f>
        <v>0.9826130276881635</v>
      </c>
      <c r="G1935" s="52">
        <f>IF(expected_production[[#This Row],[Base Expected (kWh)]]="","",expected_production[[#This Row],[Base Expected (kWh)]]*expected_production[[#This Row],[Degradation Factor]])</f>
        <v>12272.399453027841</v>
      </c>
    </row>
    <row r="1936" spans="1:7" ht="15" hidden="1" customHeight="1" x14ac:dyDescent="0.3">
      <c r="A1936" t="s">
        <v>171</v>
      </c>
      <c r="B1936" s="2">
        <v>46054</v>
      </c>
      <c r="C1936" s="52">
        <v>10877.69</v>
      </c>
      <c r="D1936" s="48">
        <f>_xlfn.XLOOKUP(expected_production[[#This Row],[Site Name]],Table1[[Site Name ]],Table1[Commisioned Date],"")</f>
        <v>45111</v>
      </c>
      <c r="E1936" s="47">
        <f>IF(ISNUMBER(expected_production[[#This Row],[Commissioned Date]]),MAX(0,(expected_production[[#This Row],[Date]]-expected_production[[#This Row],[Commissioned Date]])/365.25),"")</f>
        <v>2.5817932922655715</v>
      </c>
      <c r="F1936" s="49">
        <f>IF(expected_production[[#This Row],[Age (yrs)]]="",1,(1-DegradationRate)^expected_production[[#This Row],[Age (yrs)]])</f>
        <v>0.98202736567971638</v>
      </c>
      <c r="G1936" s="52">
        <f>IF(expected_production[[#This Row],[Base Expected (kWh)]]="","",expected_production[[#This Row],[Base Expected (kWh)]]*expected_production[[#This Row],[Degradation Factor]])</f>
        <v>10682.189255380594</v>
      </c>
    </row>
    <row r="1937" spans="1:7" ht="15" hidden="1" customHeight="1" x14ac:dyDescent="0.3">
      <c r="A1937" t="s">
        <v>171</v>
      </c>
      <c r="B1937" s="2">
        <v>46082</v>
      </c>
      <c r="C1937" s="52">
        <v>10897.355</v>
      </c>
      <c r="D1937" s="48">
        <f>_xlfn.XLOOKUP(expected_production[[#This Row],[Site Name]],Table1[[Site Name ]],Table1[Commisioned Date],"")</f>
        <v>45111</v>
      </c>
      <c r="E1937" s="47">
        <f>IF(ISNUMBER(expected_production[[#This Row],[Commissioned Date]]),MAX(0,(expected_production[[#This Row],[Date]]-expected_production[[#This Row],[Commissioned Date]])/365.25),"")</f>
        <v>2.6584531143052703</v>
      </c>
      <c r="F1937" s="49">
        <f>IF(expected_production[[#This Row],[Age (yrs)]]="",1,(1-DegradationRate)^expected_production[[#This Row],[Age (yrs)]])</f>
        <v>0.9814986806780609</v>
      </c>
      <c r="G1937" s="52">
        <f>IF(expected_production[[#This Row],[Base Expected (kWh)]]="","",expected_production[[#This Row],[Base Expected (kWh)]]*expected_production[[#This Row],[Degradation Factor]])</f>
        <v>10695.739555380469</v>
      </c>
    </row>
    <row r="1938" spans="1:7" ht="15" hidden="1" customHeight="1" x14ac:dyDescent="0.3">
      <c r="A1938" t="s">
        <v>171</v>
      </c>
      <c r="B1938" s="2">
        <v>46113</v>
      </c>
      <c r="C1938" s="52">
        <v>8757.9549999999999</v>
      </c>
      <c r="D1938" s="48">
        <f>_xlfn.XLOOKUP(expected_production[[#This Row],[Site Name]],Table1[[Site Name ]],Table1[Commisioned Date],"")</f>
        <v>45111</v>
      </c>
      <c r="E1938" s="47">
        <f>IF(ISNUMBER(expected_production[[#This Row],[Commissioned Date]]),MAX(0,(expected_production[[#This Row],[Date]]-expected_production[[#This Row],[Commissioned Date]])/365.25),"")</f>
        <v>2.7433264887063653</v>
      </c>
      <c r="F1938" s="49">
        <f>IF(expected_production[[#This Row],[Age (yrs)]]="",1,(1-DegradationRate)^expected_production[[#This Row],[Age (yrs)]])</f>
        <v>0.98091368284837965</v>
      </c>
      <c r="G1938" s="52">
        <f>IF(expected_production[[#This Row],[Base Expected (kWh)]]="","",expected_production[[#This Row],[Base Expected (kWh)]]*expected_production[[#This Row],[Degradation Factor]])</f>
        <v>8590.7978932703809</v>
      </c>
    </row>
    <row r="1939" spans="1:7" ht="15" hidden="1" customHeight="1" x14ac:dyDescent="0.3">
      <c r="A1939" t="s">
        <v>171</v>
      </c>
      <c r="B1939" s="2">
        <v>46143</v>
      </c>
      <c r="C1939" s="52">
        <v>7449.4250000000002</v>
      </c>
      <c r="D1939" s="48">
        <f>_xlfn.XLOOKUP(expected_production[[#This Row],[Site Name]],Table1[[Site Name ]],Table1[Commisioned Date],"")</f>
        <v>45111</v>
      </c>
      <c r="E1939" s="47">
        <f>IF(ISNUMBER(expected_production[[#This Row],[Commissioned Date]]),MAX(0,(expected_production[[#This Row],[Date]]-expected_production[[#This Row],[Commissioned Date]])/365.25),"")</f>
        <v>2.8254620123203287</v>
      </c>
      <c r="F1939" s="49">
        <f>IF(expected_production[[#This Row],[Age (yrs)]]="",1,(1-DegradationRate)^expected_production[[#This Row],[Age (yrs)]])</f>
        <v>0.9803478879020554</v>
      </c>
      <c r="G1939" s="52">
        <f>IF(expected_production[[#This Row],[Base Expected (kWh)]]="","",expected_production[[#This Row],[Base Expected (kWh)]]*expected_production[[#This Row],[Degradation Factor]])</f>
        <v>7303.0280648347689</v>
      </c>
    </row>
    <row r="1940" spans="1:7" ht="15" hidden="1" customHeight="1" x14ac:dyDescent="0.3">
      <c r="A1940" t="s">
        <v>171</v>
      </c>
      <c r="B1940" s="2">
        <v>46174</v>
      </c>
      <c r="C1940" s="52">
        <v>6752.6949999999997</v>
      </c>
      <c r="D1940" s="48">
        <f>_xlfn.XLOOKUP(expected_production[[#This Row],[Site Name]],Table1[[Site Name ]],Table1[Commisioned Date],"")</f>
        <v>45111</v>
      </c>
      <c r="E1940" s="47">
        <f>IF(ISNUMBER(expected_production[[#This Row],[Commissioned Date]]),MAX(0,(expected_production[[#This Row],[Date]]-expected_production[[#This Row],[Commissioned Date]])/365.25),"")</f>
        <v>2.9103353867214237</v>
      </c>
      <c r="F1940" s="49">
        <f>IF(expected_production[[#This Row],[Age (yrs)]]="",1,(1-DegradationRate)^expected_production[[#This Row],[Age (yrs)]])</f>
        <v>0.97976357597373054</v>
      </c>
      <c r="G1940" s="52">
        <f>IF(expected_production[[#This Row],[Base Expected (kWh)]]="","",expected_production[[#This Row],[Base Expected (kWh)]]*expected_production[[#This Row],[Degradation Factor]])</f>
        <v>6616.0446006599304</v>
      </c>
    </row>
    <row r="1941" spans="1:7" ht="15" hidden="1" customHeight="1" x14ac:dyDescent="0.3">
      <c r="A1941" t="s">
        <v>171</v>
      </c>
      <c r="B1941" s="2">
        <v>46204</v>
      </c>
      <c r="C1941" s="52">
        <v>7274.2449999999999</v>
      </c>
      <c r="D1941" s="48">
        <f>_xlfn.XLOOKUP(expected_production[[#This Row],[Site Name]],Table1[[Site Name ]],Table1[Commisioned Date],"")</f>
        <v>45111</v>
      </c>
      <c r="E1941" s="47">
        <f>IF(ISNUMBER(expected_production[[#This Row],[Commissioned Date]]),MAX(0,(expected_production[[#This Row],[Date]]-expected_production[[#This Row],[Commissioned Date]])/365.25),"")</f>
        <v>2.9924709103353866</v>
      </c>
      <c r="F1941" s="49">
        <f>IF(expected_production[[#This Row],[Age (yrs)]]="",1,(1-DegradationRate)^expected_production[[#This Row],[Age (yrs)]])</f>
        <v>0.97919844441366433</v>
      </c>
      <c r="G1941" s="52">
        <f>IF(expected_production[[#This Row],[Base Expected (kWh)]]="","",expected_production[[#This Row],[Base Expected (kWh)]]*expected_production[[#This Row],[Degradation Factor]])</f>
        <v>7122.9293882838756</v>
      </c>
    </row>
    <row r="1942" spans="1:7" ht="15" hidden="1" customHeight="1" x14ac:dyDescent="0.3">
      <c r="A1942" t="s">
        <v>171</v>
      </c>
      <c r="B1942" s="2">
        <v>46235</v>
      </c>
      <c r="C1942" s="52">
        <v>8568.7150000000001</v>
      </c>
      <c r="D1942" s="48">
        <f>_xlfn.XLOOKUP(expected_production[[#This Row],[Site Name]],Table1[[Site Name ]],Table1[Commisioned Date],"")</f>
        <v>45111</v>
      </c>
      <c r="E1942" s="47">
        <f>IF(ISNUMBER(expected_production[[#This Row],[Commissioned Date]]),MAX(0,(expected_production[[#This Row],[Date]]-expected_production[[#This Row],[Commissioned Date]])/365.25),"")</f>
        <v>3.077344284736482</v>
      </c>
      <c r="F1942" s="49">
        <f>IF(expected_production[[#This Row],[Age (yrs)]]="",1,(1-DegradationRate)^expected_production[[#This Row],[Age (yrs)]])</f>
        <v>0.97861481758248647</v>
      </c>
      <c r="G1942" s="52">
        <f>IF(expected_production[[#This Row],[Base Expected (kWh)]]="","",expected_production[[#This Row],[Base Expected (kWh)]]*expected_production[[#This Row],[Degradation Factor]])</f>
        <v>8385.4714666413165</v>
      </c>
    </row>
    <row r="1943" spans="1:7" ht="15" hidden="1" customHeight="1" x14ac:dyDescent="0.3">
      <c r="A1943" t="s">
        <v>171</v>
      </c>
      <c r="B1943" s="2">
        <v>46266</v>
      </c>
      <c r="C1943" s="52">
        <v>9196</v>
      </c>
      <c r="D1943" s="48">
        <f>_xlfn.XLOOKUP(expected_production[[#This Row],[Site Name]],Table1[[Site Name ]],Table1[Commisioned Date],"")</f>
        <v>45111</v>
      </c>
      <c r="E1943" s="47">
        <f>IF(ISNUMBER(expected_production[[#This Row],[Commissioned Date]]),MAX(0,(expected_production[[#This Row],[Date]]-expected_production[[#This Row],[Commissioned Date]])/365.25),"")</f>
        <v>3.162217659137577</v>
      </c>
      <c r="F1943" s="49">
        <f>IF(expected_production[[#This Row],[Age (yrs)]]="",1,(1-DegradationRate)^expected_production[[#This Row],[Age (yrs)]])</f>
        <v>0.97803153860753744</v>
      </c>
      <c r="G1943" s="52">
        <f>IF(expected_production[[#This Row],[Base Expected (kWh)]]="","",expected_production[[#This Row],[Base Expected (kWh)]]*expected_production[[#This Row],[Degradation Factor]])</f>
        <v>8993.9780290349136</v>
      </c>
    </row>
    <row r="1944" spans="1:7" ht="15" hidden="1" customHeight="1" x14ac:dyDescent="0.3">
      <c r="A1944" t="s">
        <v>171</v>
      </c>
      <c r="B1944" s="2">
        <v>46296</v>
      </c>
      <c r="C1944" s="52">
        <v>10753.525</v>
      </c>
      <c r="D1944" s="48">
        <f>_xlfn.XLOOKUP(expected_production[[#This Row],[Site Name]],Table1[[Site Name ]],Table1[Commisioned Date],"")</f>
        <v>45111</v>
      </c>
      <c r="E1944" s="47">
        <f>IF(ISNUMBER(expected_production[[#This Row],[Commissioned Date]]),MAX(0,(expected_production[[#This Row],[Date]]-expected_production[[#This Row],[Commissioned Date]])/365.25),"")</f>
        <v>3.2443531827515399</v>
      </c>
      <c r="F1944" s="49">
        <f>IF(expected_production[[#This Row],[Age (yrs)]]="",1,(1-DegradationRate)^expected_production[[#This Row],[Age (yrs)]])</f>
        <v>0.97746740609357052</v>
      </c>
      <c r="G1944" s="52">
        <f>IF(expected_production[[#This Row],[Base Expected (kWh)]]="","",expected_production[[#This Row],[Base Expected (kWh)]]*expected_production[[#This Row],[Degradation Factor]])</f>
        <v>10511.220188112362</v>
      </c>
    </row>
    <row r="1945" spans="1:7" ht="15" hidden="1" customHeight="1" x14ac:dyDescent="0.3">
      <c r="A1945" t="s">
        <v>171</v>
      </c>
      <c r="B1945" s="2">
        <v>46327</v>
      </c>
      <c r="C1945" s="52">
        <v>11159.27</v>
      </c>
      <c r="D1945" s="48">
        <f>_xlfn.XLOOKUP(expected_production[[#This Row],[Site Name]],Table1[[Site Name ]],Table1[Commisioned Date],"")</f>
        <v>45111</v>
      </c>
      <c r="E1945" s="47">
        <f>IF(ISNUMBER(expected_production[[#This Row],[Commissioned Date]]),MAX(0,(expected_production[[#This Row],[Date]]-expected_production[[#This Row],[Commissioned Date]])/365.25),"")</f>
        <v>3.3292265571526354</v>
      </c>
      <c r="F1945" s="49">
        <f>IF(expected_production[[#This Row],[Age (yrs)]]="",1,(1-DegradationRate)^expected_production[[#This Row],[Age (yrs)]])</f>
        <v>0.97688481100464597</v>
      </c>
      <c r="G1945" s="52">
        <f>IF(expected_production[[#This Row],[Base Expected (kWh)]]="","",expected_production[[#This Row],[Base Expected (kWh)]]*expected_production[[#This Row],[Degradation Factor]])</f>
        <v>10901.321364899815</v>
      </c>
    </row>
    <row r="1946" spans="1:7" ht="15" hidden="1" customHeight="1" x14ac:dyDescent="0.3">
      <c r="A1946" t="s">
        <v>171</v>
      </c>
      <c r="B1946" s="2">
        <v>46357</v>
      </c>
      <c r="C1946" s="52">
        <v>12687.82</v>
      </c>
      <c r="D1946" s="48">
        <f>_xlfn.XLOOKUP(expected_production[[#This Row],[Site Name]],Table1[[Site Name ]],Table1[Commisioned Date],"")</f>
        <v>45111</v>
      </c>
      <c r="E1946" s="47">
        <f>IF(ISNUMBER(expected_production[[#This Row],[Commissioned Date]]),MAX(0,(expected_production[[#This Row],[Date]]-expected_production[[#This Row],[Commissioned Date]])/365.25),"")</f>
        <v>3.4113620807665983</v>
      </c>
      <c r="F1946" s="49">
        <f>IF(expected_production[[#This Row],[Age (yrs)]]="",1,(1-DegradationRate)^expected_production[[#This Row],[Age (yrs)]])</f>
        <v>0.97632133992775949</v>
      </c>
      <c r="G1946" s="52">
        <f>IF(expected_production[[#This Row],[Base Expected (kWh)]]="","",expected_production[[#This Row],[Base Expected (kWh)]]*expected_production[[#This Row],[Degradation Factor]])</f>
        <v>12387.389423162225</v>
      </c>
    </row>
    <row r="1947" spans="1:7" ht="15" hidden="1" customHeight="1" x14ac:dyDescent="0.3">
      <c r="A1947" t="s">
        <v>172</v>
      </c>
      <c r="B1947" s="2">
        <v>45292</v>
      </c>
      <c r="C1947" s="52">
        <v>13218.014999999999</v>
      </c>
      <c r="D1947" s="48">
        <f>_xlfn.XLOOKUP(expected_production[[#This Row],[Site Name]],Table1[[Site Name ]],Table1[Commisioned Date],"")</f>
        <v>44159</v>
      </c>
      <c r="E1947" s="47">
        <f>IF(ISNUMBER(expected_production[[#This Row],[Commissioned Date]]),MAX(0,(expected_production[[#This Row],[Date]]-expected_production[[#This Row],[Commissioned Date]])/365.25),"")</f>
        <v>3.1019849418206706</v>
      </c>
      <c r="F1947" s="49">
        <f>IF(expected_production[[#This Row],[Age (yrs)]]="",1,(1-DegradationRate)^expected_production[[#This Row],[Age (yrs)]])</f>
        <v>0.97844544269908706</v>
      </c>
      <c r="G1947" s="52">
        <f>IF(expected_production[[#This Row],[Base Expected (kWh)]]="","",expected_production[[#This Row],[Base Expected (kWh)]]*expected_production[[#This Row],[Degradation Factor]])</f>
        <v>12933.106538278173</v>
      </c>
    </row>
    <row r="1948" spans="1:7" ht="15" hidden="1" customHeight="1" x14ac:dyDescent="0.3">
      <c r="A1948" t="s">
        <v>172</v>
      </c>
      <c r="B1948" s="2">
        <v>45323</v>
      </c>
      <c r="C1948" s="52">
        <v>10966.135</v>
      </c>
      <c r="D1948" s="48">
        <f>_xlfn.XLOOKUP(expected_production[[#This Row],[Site Name]],Table1[[Site Name ]],Table1[Commisioned Date],"")</f>
        <v>44159</v>
      </c>
      <c r="E1948" s="47">
        <f>IF(ISNUMBER(expected_production[[#This Row],[Commissioned Date]]),MAX(0,(expected_production[[#This Row],[Date]]-expected_production[[#This Row],[Commissioned Date]])/365.25),"")</f>
        <v>3.1868583162217661</v>
      </c>
      <c r="F1948" s="49">
        <f>IF(expected_production[[#This Row],[Age (yrs)]]="",1,(1-DegradationRate)^expected_production[[#This Row],[Age (yrs)]])</f>
        <v>0.97786226467581649</v>
      </c>
      <c r="G1948" s="52">
        <f>IF(expected_production[[#This Row],[Base Expected (kWh)]]="","",expected_production[[#This Row],[Base Expected (kWh)]]*expected_production[[#This Row],[Degradation Factor]])</f>
        <v>10723.369605840735</v>
      </c>
    </row>
    <row r="1949" spans="1:7" ht="15" hidden="1" customHeight="1" x14ac:dyDescent="0.3">
      <c r="A1949" t="s">
        <v>172</v>
      </c>
      <c r="B1949" s="2">
        <v>45352</v>
      </c>
      <c r="C1949" s="52">
        <v>11441.135</v>
      </c>
      <c r="D1949" s="48">
        <f>_xlfn.XLOOKUP(expected_production[[#This Row],[Site Name]],Table1[[Site Name ]],Table1[Commisioned Date],"")</f>
        <v>44159</v>
      </c>
      <c r="E1949" s="47">
        <f>IF(ISNUMBER(expected_production[[#This Row],[Commissioned Date]]),MAX(0,(expected_production[[#This Row],[Date]]-expected_production[[#This Row],[Commissioned Date]])/365.25),"")</f>
        <v>3.2662559890485969</v>
      </c>
      <c r="F1949" s="49">
        <f>IF(expected_production[[#This Row],[Age (yrs)]]="",1,(1-DegradationRate)^expected_production[[#This Row],[Age (yrs)]])</f>
        <v>0.97731702571967682</v>
      </c>
      <c r="G1949" s="52">
        <f>IF(expected_production[[#This Row],[Base Expected (kWh)]]="","",expected_production[[#This Row],[Base Expected (kWh)]]*expected_production[[#This Row],[Degradation Factor]])</f>
        <v>11181.616029057295</v>
      </c>
    </row>
    <row r="1950" spans="1:7" ht="15" hidden="1" customHeight="1" x14ac:dyDescent="0.3">
      <c r="A1950" t="s">
        <v>172</v>
      </c>
      <c r="B1950" s="2">
        <v>45383</v>
      </c>
      <c r="C1950" s="52">
        <v>10004.07</v>
      </c>
      <c r="D1950" s="48">
        <f>_xlfn.XLOOKUP(expected_production[[#This Row],[Site Name]],Table1[[Site Name ]],Table1[Commisioned Date],"")</f>
        <v>44159</v>
      </c>
      <c r="E1950" s="47">
        <f>IF(ISNUMBER(expected_production[[#This Row],[Commissioned Date]]),MAX(0,(expected_production[[#This Row],[Date]]-expected_production[[#This Row],[Commissioned Date]])/365.25),"")</f>
        <v>3.3511293634496919</v>
      </c>
      <c r="F1950" s="49">
        <f>IF(expected_production[[#This Row],[Age (yrs)]]="",1,(1-DegradationRate)^expected_production[[#This Row],[Age (yrs)]])</f>
        <v>0.97673452026122665</v>
      </c>
      <c r="G1950" s="52">
        <f>IF(expected_production[[#This Row],[Base Expected (kWh)]]="","",expected_production[[#This Row],[Base Expected (kWh)]]*expected_production[[#This Row],[Degradation Factor]])</f>
        <v>9771.320512109729</v>
      </c>
    </row>
    <row r="1951" spans="1:7" ht="15" hidden="1" customHeight="1" x14ac:dyDescent="0.3">
      <c r="A1951" t="s">
        <v>172</v>
      </c>
      <c r="B1951" s="2">
        <v>45413</v>
      </c>
      <c r="C1951" s="52">
        <v>8979.59</v>
      </c>
      <c r="D1951" s="48">
        <f>_xlfn.XLOOKUP(expected_production[[#This Row],[Site Name]],Table1[[Site Name ]],Table1[Commisioned Date],"")</f>
        <v>44159</v>
      </c>
      <c r="E1951" s="47">
        <f>IF(ISNUMBER(expected_production[[#This Row],[Commissioned Date]]),MAX(0,(expected_production[[#This Row],[Date]]-expected_production[[#This Row],[Commissioned Date]])/365.25),"")</f>
        <v>3.4332648870636548</v>
      </c>
      <c r="F1951" s="49">
        <f>IF(expected_production[[#This Row],[Age (yrs)]]="",1,(1-DegradationRate)^expected_production[[#This Row],[Age (yrs)]])</f>
        <v>0.9761711358726437</v>
      </c>
      <c r="G1951" s="52">
        <f>IF(expected_production[[#This Row],[Base Expected (kWh)]]="","",expected_production[[#This Row],[Base Expected (kWh)]]*expected_production[[#This Row],[Degradation Factor]])</f>
        <v>8765.6165699706326</v>
      </c>
    </row>
    <row r="1952" spans="1:7" ht="15" hidden="1" customHeight="1" x14ac:dyDescent="0.3">
      <c r="A1952" t="s">
        <v>172</v>
      </c>
      <c r="B1952" s="2">
        <v>45444</v>
      </c>
      <c r="C1952" s="52">
        <v>7800.26</v>
      </c>
      <c r="D1952" s="48">
        <f>_xlfn.XLOOKUP(expected_production[[#This Row],[Site Name]],Table1[[Site Name ]],Table1[Commisioned Date],"")</f>
        <v>44159</v>
      </c>
      <c r="E1952" s="47">
        <f>IF(ISNUMBER(expected_production[[#This Row],[Commissioned Date]]),MAX(0,(expected_production[[#This Row],[Date]]-expected_production[[#This Row],[Commissioned Date]])/365.25),"")</f>
        <v>3.5181382614647503</v>
      </c>
      <c r="F1952" s="49">
        <f>IF(expected_production[[#This Row],[Age (yrs)]]="",1,(1-DegradationRate)^expected_production[[#This Row],[Age (yrs)]])</f>
        <v>0.97558931339328137</v>
      </c>
      <c r="G1952" s="52">
        <f>IF(expected_production[[#This Row],[Base Expected (kWh)]]="","",expected_production[[#This Row],[Base Expected (kWh)]]*expected_production[[#This Row],[Degradation Factor]])</f>
        <v>7609.8502976890768</v>
      </c>
    </row>
    <row r="1953" spans="1:7" ht="15" hidden="1" customHeight="1" x14ac:dyDescent="0.3">
      <c r="A1953" t="s">
        <v>172</v>
      </c>
      <c r="B1953" s="2">
        <v>45474</v>
      </c>
      <c r="C1953" s="52">
        <v>8635.69</v>
      </c>
      <c r="D1953" s="48">
        <f>_xlfn.XLOOKUP(expected_production[[#This Row],[Site Name]],Table1[[Site Name ]],Table1[Commisioned Date],"")</f>
        <v>44159</v>
      </c>
      <c r="E1953" s="47">
        <f>IF(ISNUMBER(expected_production[[#This Row],[Commissioned Date]]),MAX(0,(expected_production[[#This Row],[Date]]-expected_production[[#This Row],[Commissioned Date]])/365.25),"")</f>
        <v>3.6002737850787132</v>
      </c>
      <c r="F1953" s="49">
        <f>IF(expected_production[[#This Row],[Age (yrs)]]="",1,(1-DegradationRate)^expected_production[[#This Row],[Age (yrs)]])</f>
        <v>0.97502658956461274</v>
      </c>
      <c r="G1953" s="52">
        <f>IF(expected_production[[#This Row],[Base Expected (kWh)]]="","",expected_production[[#This Row],[Base Expected (kWh)]]*expected_production[[#This Row],[Degradation Factor]])</f>
        <v>8420.0273692372302</v>
      </c>
    </row>
    <row r="1954" spans="1:7" ht="15" hidden="1" customHeight="1" x14ac:dyDescent="0.3">
      <c r="A1954" t="s">
        <v>172</v>
      </c>
      <c r="B1954" s="2">
        <v>45505</v>
      </c>
      <c r="C1954" s="52">
        <v>9829.9349999999995</v>
      </c>
      <c r="D1954" s="48">
        <f>_xlfn.XLOOKUP(expected_production[[#This Row],[Site Name]],Table1[[Site Name ]],Table1[Commisioned Date],"")</f>
        <v>44159</v>
      </c>
      <c r="E1954" s="47">
        <f>IF(ISNUMBER(expected_production[[#This Row],[Commissioned Date]]),MAX(0,(expected_production[[#This Row],[Date]]-expected_production[[#This Row],[Commissioned Date]])/365.25),"")</f>
        <v>3.6851471594798082</v>
      </c>
      <c r="F1954" s="49">
        <f>IF(expected_production[[#This Row],[Age (yrs)]]="",1,(1-DegradationRate)^expected_production[[#This Row],[Age (yrs)]])</f>
        <v>0.97444544926355525</v>
      </c>
      <c r="G1954" s="52">
        <f>IF(expected_production[[#This Row],[Base Expected (kWh)]]="","",expected_production[[#This Row],[Base Expected (kWh)]]*expected_production[[#This Row],[Degradation Factor]])</f>
        <v>9578.7354273065448</v>
      </c>
    </row>
    <row r="1955" spans="1:7" ht="15" hidden="1" customHeight="1" x14ac:dyDescent="0.3">
      <c r="A1955" t="s">
        <v>172</v>
      </c>
      <c r="B1955" s="2">
        <v>45536</v>
      </c>
      <c r="C1955" s="52">
        <v>10568.94</v>
      </c>
      <c r="D1955" s="48">
        <f>_xlfn.XLOOKUP(expected_production[[#This Row],[Site Name]],Table1[[Site Name ]],Table1[Commisioned Date],"")</f>
        <v>44159</v>
      </c>
      <c r="E1955" s="47">
        <f>IF(ISNUMBER(expected_production[[#This Row],[Commissioned Date]]),MAX(0,(expected_production[[#This Row],[Date]]-expected_production[[#This Row],[Commissioned Date]])/365.25),"")</f>
        <v>3.7700205338809036</v>
      </c>
      <c r="F1955" s="49">
        <f>IF(expected_production[[#This Row],[Age (yrs)]]="",1,(1-DegradationRate)^expected_production[[#This Row],[Age (yrs)]])</f>
        <v>0.97386465533669209</v>
      </c>
      <c r="G1955" s="52">
        <f>IF(expected_production[[#This Row],[Base Expected (kWh)]]="","",expected_production[[#This Row],[Base Expected (kWh)]]*expected_production[[#This Row],[Degradation Factor]])</f>
        <v>10292.717110374178</v>
      </c>
    </row>
    <row r="1956" spans="1:7" ht="15" hidden="1" customHeight="1" x14ac:dyDescent="0.3">
      <c r="A1956" t="s">
        <v>172</v>
      </c>
      <c r="B1956" s="2">
        <v>45566</v>
      </c>
      <c r="C1956" s="52">
        <v>11606.34</v>
      </c>
      <c r="D1956" s="48">
        <f>_xlfn.XLOOKUP(expected_production[[#This Row],[Site Name]],Table1[[Site Name ]],Table1[Commisioned Date],"")</f>
        <v>44159</v>
      </c>
      <c r="E1956" s="47">
        <f>IF(ISNUMBER(expected_production[[#This Row],[Commissioned Date]]),MAX(0,(expected_production[[#This Row],[Date]]-expected_production[[#This Row],[Commissioned Date]])/365.25),"")</f>
        <v>3.8521560574948666</v>
      </c>
      <c r="F1956" s="49">
        <f>IF(expected_production[[#This Row],[Age (yrs)]]="",1,(1-DegradationRate)^expected_production[[#This Row],[Age (yrs)]])</f>
        <v>0.97330292629770754</v>
      </c>
      <c r="G1956" s="52">
        <f>IF(expected_production[[#This Row],[Base Expected (kWh)]]="","",expected_production[[#This Row],[Base Expected (kWh)]]*expected_production[[#This Row],[Degradation Factor]])</f>
        <v>11296.484685606136</v>
      </c>
    </row>
    <row r="1957" spans="1:7" ht="15" hidden="1" customHeight="1" x14ac:dyDescent="0.3">
      <c r="A1957" t="s">
        <v>172</v>
      </c>
      <c r="B1957" s="2">
        <v>45597</v>
      </c>
      <c r="C1957" s="52">
        <v>12483.285</v>
      </c>
      <c r="D1957" s="48">
        <f>_xlfn.XLOOKUP(expected_production[[#This Row],[Site Name]],Table1[[Site Name ]],Table1[Commisioned Date],"")</f>
        <v>44159</v>
      </c>
      <c r="E1957" s="47">
        <f>IF(ISNUMBER(expected_production[[#This Row],[Commissioned Date]]),MAX(0,(expected_production[[#This Row],[Date]]-expected_production[[#This Row],[Commissioned Date]])/365.25),"")</f>
        <v>3.9370294318959616</v>
      </c>
      <c r="F1957" s="49">
        <f>IF(expected_production[[#This Row],[Age (yrs)]]="",1,(1-DegradationRate)^expected_production[[#This Row],[Age (yrs)]])</f>
        <v>0.97272281334318655</v>
      </c>
      <c r="G1957" s="52">
        <f>IF(expected_production[[#This Row],[Base Expected (kWh)]]="","",expected_production[[#This Row],[Base Expected (kWh)]]*expected_production[[#This Row],[Degradation Factor]])</f>
        <v>12142.7761049648</v>
      </c>
    </row>
    <row r="1958" spans="1:7" ht="15" hidden="1" customHeight="1" x14ac:dyDescent="0.3">
      <c r="A1958" t="s">
        <v>172</v>
      </c>
      <c r="B1958" s="2">
        <v>45627</v>
      </c>
      <c r="C1958" s="52">
        <v>13393.575000000001</v>
      </c>
      <c r="D1958" s="48">
        <f>_xlfn.XLOOKUP(expected_production[[#This Row],[Site Name]],Table1[[Site Name ]],Table1[Commisioned Date],"")</f>
        <v>44159</v>
      </c>
      <c r="E1958" s="47">
        <f>IF(ISNUMBER(expected_production[[#This Row],[Commissioned Date]]),MAX(0,(expected_production[[#This Row],[Date]]-expected_production[[#This Row],[Commissioned Date]])/365.25),"")</f>
        <v>4.0191649555099245</v>
      </c>
      <c r="F1958" s="49">
        <f>IF(expected_production[[#This Row],[Age (yrs)]]="",1,(1-DegradationRate)^expected_production[[#This Row],[Age (yrs)]])</f>
        <v>0.9721617429232432</v>
      </c>
      <c r="G1958" s="52">
        <f>IF(expected_production[[#This Row],[Base Expected (kWh)]]="","",expected_production[[#This Row],[Base Expected (kWh)]]*expected_production[[#This Row],[Degradation Factor]])</f>
        <v>13020.721215973177</v>
      </c>
    </row>
    <row r="1959" spans="1:7" ht="15" hidden="1" customHeight="1" x14ac:dyDescent="0.3">
      <c r="A1959" t="s">
        <v>172</v>
      </c>
      <c r="B1959" s="2">
        <v>45658</v>
      </c>
      <c r="C1959" s="52">
        <v>13218.014999999999</v>
      </c>
      <c r="D1959" s="48">
        <f>_xlfn.XLOOKUP(expected_production[[#This Row],[Site Name]],Table1[[Site Name ]],Table1[Commisioned Date],"")</f>
        <v>44159</v>
      </c>
      <c r="E1959" s="47">
        <f>IF(ISNUMBER(expected_production[[#This Row],[Commissioned Date]]),MAX(0,(expected_production[[#This Row],[Date]]-expected_production[[#This Row],[Commissioned Date]])/365.25),"")</f>
        <v>4.1040383299110195</v>
      </c>
      <c r="F1959" s="49">
        <f>IF(expected_production[[#This Row],[Age (yrs)]]="",1,(1-DegradationRate)^expected_production[[#This Row],[Age (yrs)]])</f>
        <v>0.9715823101426343</v>
      </c>
      <c r="G1959" s="52">
        <f>IF(expected_production[[#This Row],[Base Expected (kWh)]]="","",expected_production[[#This Row],[Base Expected (kWh)]]*expected_production[[#This Row],[Degradation Factor]])</f>
        <v>12842.389549199992</v>
      </c>
    </row>
    <row r="1960" spans="1:7" ht="15" hidden="1" customHeight="1" x14ac:dyDescent="0.3">
      <c r="A1960" t="s">
        <v>172</v>
      </c>
      <c r="B1960" s="2">
        <v>45689</v>
      </c>
      <c r="C1960" s="52">
        <v>10966.135</v>
      </c>
      <c r="D1960" s="48">
        <f>_xlfn.XLOOKUP(expected_production[[#This Row],[Site Name]],Table1[[Site Name ]],Table1[Commisioned Date],"")</f>
        <v>44159</v>
      </c>
      <c r="E1960" s="47">
        <f>IF(ISNUMBER(expected_production[[#This Row],[Commissioned Date]]),MAX(0,(expected_production[[#This Row],[Date]]-expected_production[[#This Row],[Commissioned Date]])/365.25),"")</f>
        <v>4.1889117043121153</v>
      </c>
      <c r="F1960" s="49">
        <f>IF(expected_production[[#This Row],[Age (yrs)]]="",1,(1-DegradationRate)^expected_production[[#This Row],[Age (yrs)]])</f>
        <v>0.97100322271849482</v>
      </c>
      <c r="G1960" s="52">
        <f>IF(expected_production[[#This Row],[Base Expected (kWh)]]="","",expected_production[[#This Row],[Base Expected (kWh)]]*expected_production[[#This Row],[Degradation Factor]])</f>
        <v>10648.152425766082</v>
      </c>
    </row>
    <row r="1961" spans="1:7" ht="15" hidden="1" customHeight="1" x14ac:dyDescent="0.3">
      <c r="A1961" t="s">
        <v>172</v>
      </c>
      <c r="B1961" s="2">
        <v>45717</v>
      </c>
      <c r="C1961" s="52">
        <v>11441.135</v>
      </c>
      <c r="D1961" s="48">
        <f>_xlfn.XLOOKUP(expected_production[[#This Row],[Site Name]],Table1[[Site Name ]],Table1[Commisioned Date],"")</f>
        <v>44159</v>
      </c>
      <c r="E1961" s="47">
        <f>IF(ISNUMBER(expected_production[[#This Row],[Commissioned Date]]),MAX(0,(expected_production[[#This Row],[Date]]-expected_production[[#This Row],[Commissioned Date]])/365.25),"")</f>
        <v>4.2655715263518141</v>
      </c>
      <c r="F1961" s="49">
        <f>IF(expected_production[[#This Row],[Age (yrs)]]="",1,(1-DegradationRate)^expected_production[[#This Row],[Age (yrs)]])</f>
        <v>0.97048047268285298</v>
      </c>
      <c r="G1961" s="52">
        <f>IF(expected_production[[#This Row],[Base Expected (kWh)]]="","",expected_production[[#This Row],[Base Expected (kWh)]]*expected_production[[#This Row],[Degradation Factor]])</f>
        <v>11103.398102828334</v>
      </c>
    </row>
    <row r="1962" spans="1:7" ht="15" hidden="1" customHeight="1" x14ac:dyDescent="0.3">
      <c r="A1962" t="s">
        <v>172</v>
      </c>
      <c r="B1962" s="2">
        <v>45748</v>
      </c>
      <c r="C1962" s="52">
        <v>10004.07</v>
      </c>
      <c r="D1962" s="48">
        <f>_xlfn.XLOOKUP(expected_production[[#This Row],[Site Name]],Table1[[Site Name ]],Table1[Commisioned Date],"")</f>
        <v>44159</v>
      </c>
      <c r="E1962" s="47">
        <f>IF(ISNUMBER(expected_production[[#This Row],[Commissioned Date]]),MAX(0,(expected_production[[#This Row],[Date]]-expected_production[[#This Row],[Commissioned Date]])/365.25),"")</f>
        <v>4.3504449007529091</v>
      </c>
      <c r="F1962" s="49">
        <f>IF(expected_production[[#This Row],[Age (yrs)]]="",1,(1-DegradationRate)^expected_production[[#This Row],[Age (yrs)]])</f>
        <v>0.96990204198147356</v>
      </c>
      <c r="G1962" s="52">
        <f>IF(expected_production[[#This Row],[Base Expected (kWh)]]="","",expected_production[[#This Row],[Base Expected (kWh)]]*expected_production[[#This Row],[Degradation Factor]])</f>
        <v>9702.9679211256007</v>
      </c>
    </row>
    <row r="1963" spans="1:7" ht="15" hidden="1" customHeight="1" x14ac:dyDescent="0.3">
      <c r="A1963" t="s">
        <v>172</v>
      </c>
      <c r="B1963" s="2">
        <v>45778</v>
      </c>
      <c r="C1963" s="52">
        <v>8979.59</v>
      </c>
      <c r="D1963" s="48">
        <f>_xlfn.XLOOKUP(expected_production[[#This Row],[Site Name]],Table1[[Site Name ]],Table1[Commisioned Date],"")</f>
        <v>44159</v>
      </c>
      <c r="E1963" s="47">
        <f>IF(ISNUMBER(expected_production[[#This Row],[Commissioned Date]]),MAX(0,(expected_production[[#This Row],[Date]]-expected_production[[#This Row],[Commissioned Date]])/365.25),"")</f>
        <v>4.4325804243668721</v>
      </c>
      <c r="F1963" s="49">
        <f>IF(expected_production[[#This Row],[Age (yrs)]]="",1,(1-DegradationRate)^expected_production[[#This Row],[Age (yrs)]])</f>
        <v>0.96934259859376481</v>
      </c>
      <c r="G1963" s="52">
        <f>IF(expected_production[[#This Row],[Base Expected (kWh)]]="","",expected_production[[#This Row],[Base Expected (kWh)]]*expected_production[[#This Row],[Degradation Factor]])</f>
        <v>8704.299104906584</v>
      </c>
    </row>
    <row r="1964" spans="1:7" ht="15" hidden="1" customHeight="1" x14ac:dyDescent="0.3">
      <c r="A1964" t="s">
        <v>172</v>
      </c>
      <c r="B1964" s="2">
        <v>45809</v>
      </c>
      <c r="C1964" s="52">
        <v>7800.26</v>
      </c>
      <c r="D1964" s="48">
        <f>_xlfn.XLOOKUP(expected_production[[#This Row],[Site Name]],Table1[[Site Name ]],Table1[Commisioned Date],"")</f>
        <v>44159</v>
      </c>
      <c r="E1964" s="47">
        <f>IF(ISNUMBER(expected_production[[#This Row],[Commissioned Date]]),MAX(0,(expected_production[[#This Row],[Date]]-expected_production[[#This Row],[Commissioned Date]])/365.25),"")</f>
        <v>4.517453798767967</v>
      </c>
      <c r="F1964" s="49">
        <f>IF(expected_production[[#This Row],[Age (yrs)]]="",1,(1-DegradationRate)^expected_production[[#This Row],[Age (yrs)]])</f>
        <v>0.96876484609388036</v>
      </c>
      <c r="G1964" s="52">
        <f>IF(expected_production[[#This Row],[Base Expected (kWh)]]="","",expected_production[[#This Row],[Base Expected (kWh)]]*expected_production[[#This Row],[Degradation Factor]])</f>
        <v>7556.617678392251</v>
      </c>
    </row>
    <row r="1965" spans="1:7" ht="15" hidden="1" customHeight="1" x14ac:dyDescent="0.3">
      <c r="A1965" t="s">
        <v>172</v>
      </c>
      <c r="B1965" s="2">
        <v>45839</v>
      </c>
      <c r="C1965" s="52">
        <v>8635.69</v>
      </c>
      <c r="D1965" s="48">
        <f>_xlfn.XLOOKUP(expected_production[[#This Row],[Site Name]],Table1[[Site Name ]],Table1[Commisioned Date],"")</f>
        <v>44159</v>
      </c>
      <c r="E1965" s="47">
        <f>IF(ISNUMBER(expected_production[[#This Row],[Commissioned Date]]),MAX(0,(expected_production[[#This Row],[Date]]-expected_production[[#This Row],[Commissioned Date]])/365.25),"")</f>
        <v>4.59958932238193</v>
      </c>
      <c r="F1965" s="49">
        <f>IF(expected_production[[#This Row],[Age (yrs)]]="",1,(1-DegradationRate)^expected_production[[#This Row],[Age (yrs)]])</f>
        <v>0.96820605864532039</v>
      </c>
      <c r="G1965" s="52">
        <f>IF(expected_production[[#This Row],[Base Expected (kWh)]]="","",expected_production[[#This Row],[Base Expected (kWh)]]*expected_production[[#This Row],[Degradation Factor]])</f>
        <v>8361.1273785828071</v>
      </c>
    </row>
    <row r="1966" spans="1:7" ht="15" hidden="1" customHeight="1" x14ac:dyDescent="0.3">
      <c r="A1966" t="s">
        <v>172</v>
      </c>
      <c r="B1966" s="2">
        <v>45870</v>
      </c>
      <c r="C1966" s="52">
        <v>9829.9349999999995</v>
      </c>
      <c r="D1966" s="48">
        <f>_xlfn.XLOOKUP(expected_production[[#This Row],[Site Name]],Table1[[Site Name ]],Table1[Commisioned Date],"")</f>
        <v>44159</v>
      </c>
      <c r="E1966" s="47">
        <f>IF(ISNUMBER(expected_production[[#This Row],[Commissioned Date]]),MAX(0,(expected_production[[#This Row],[Date]]-expected_production[[#This Row],[Commissioned Date]])/365.25),"")</f>
        <v>4.684462696783025</v>
      </c>
      <c r="F1966" s="49">
        <f>IF(expected_production[[#This Row],[Age (yrs)]]="",1,(1-DegradationRate)^expected_production[[#This Row],[Age (yrs)]])</f>
        <v>0.96762898355174964</v>
      </c>
      <c r="G1966" s="52">
        <f>IF(expected_production[[#This Row],[Base Expected (kWh)]]="","",expected_production[[#This Row],[Base Expected (kWh)]]*expected_production[[#This Row],[Degradation Factor]])</f>
        <v>9511.7300124297672</v>
      </c>
    </row>
    <row r="1967" spans="1:7" ht="15" hidden="1" customHeight="1" x14ac:dyDescent="0.3">
      <c r="A1967" t="s">
        <v>172</v>
      </c>
      <c r="B1967" s="2">
        <v>45901</v>
      </c>
      <c r="C1967" s="52">
        <v>10568.94</v>
      </c>
      <c r="D1967" s="48">
        <f>_xlfn.XLOOKUP(expected_production[[#This Row],[Site Name]],Table1[[Site Name ]],Table1[Commisioned Date],"")</f>
        <v>44159</v>
      </c>
      <c r="E1967" s="47">
        <f>IF(ISNUMBER(expected_production[[#This Row],[Commissioned Date]]),MAX(0,(expected_production[[#This Row],[Date]]-expected_production[[#This Row],[Commissioned Date]])/365.25),"")</f>
        <v>4.7693360711841208</v>
      </c>
      <c r="F1967" s="49">
        <f>IF(expected_production[[#This Row],[Age (yrs)]]="",1,(1-DegradationRate)^expected_production[[#This Row],[Age (yrs)]])</f>
        <v>0.96705225240940784</v>
      </c>
      <c r="G1967" s="52">
        <f>IF(expected_production[[#This Row],[Base Expected (kWh)]]="","",expected_production[[#This Row],[Base Expected (kWh)]]*expected_production[[#This Row],[Degradation Factor]])</f>
        <v>10220.717232579887</v>
      </c>
    </row>
    <row r="1968" spans="1:7" ht="15" hidden="1" customHeight="1" x14ac:dyDescent="0.3">
      <c r="A1968" t="s">
        <v>172</v>
      </c>
      <c r="B1968" s="2">
        <v>45931</v>
      </c>
      <c r="C1968" s="52">
        <v>11606.34</v>
      </c>
      <c r="D1968" s="48">
        <f>_xlfn.XLOOKUP(expected_production[[#This Row],[Site Name]],Table1[[Site Name ]],Table1[Commisioned Date],"")</f>
        <v>44159</v>
      </c>
      <c r="E1968" s="47">
        <f>IF(ISNUMBER(expected_production[[#This Row],[Commissioned Date]]),MAX(0,(expected_production[[#This Row],[Date]]-expected_production[[#This Row],[Commissioned Date]])/365.25),"")</f>
        <v>4.8514715947980838</v>
      </c>
      <c r="F1968" s="49">
        <f>IF(expected_production[[#This Row],[Age (yrs)]]="",1,(1-DegradationRate)^expected_production[[#This Row],[Age (yrs)]])</f>
        <v>0.9664944527917535</v>
      </c>
      <c r="G1968" s="52">
        <f>IF(expected_production[[#This Row],[Base Expected (kWh)]]="","",expected_production[[#This Row],[Base Expected (kWh)]]*expected_production[[#This Row],[Degradation Factor]])</f>
        <v>11217.463227215041</v>
      </c>
    </row>
    <row r="1969" spans="1:7" ht="15" hidden="1" customHeight="1" x14ac:dyDescent="0.3">
      <c r="A1969" t="s">
        <v>172</v>
      </c>
      <c r="B1969" s="2">
        <v>45962</v>
      </c>
      <c r="C1969" s="52">
        <v>12483.285</v>
      </c>
      <c r="D1969" s="48">
        <f>_xlfn.XLOOKUP(expected_production[[#This Row],[Site Name]],Table1[[Site Name ]],Table1[Commisioned Date],"")</f>
        <v>44159</v>
      </c>
      <c r="E1969" s="47">
        <f>IF(ISNUMBER(expected_production[[#This Row],[Commissioned Date]]),MAX(0,(expected_production[[#This Row],[Date]]-expected_production[[#This Row],[Commissioned Date]])/365.25),"")</f>
        <v>4.9363449691991788</v>
      </c>
      <c r="F1969" s="49">
        <f>IF(expected_production[[#This Row],[Age (yrs)]]="",1,(1-DegradationRate)^expected_production[[#This Row],[Age (yrs)]])</f>
        <v>0.96591839785819866</v>
      </c>
      <c r="G1969" s="52">
        <f>IF(expected_production[[#This Row],[Base Expected (kWh)]]="","",expected_production[[#This Row],[Base Expected (kWh)]]*expected_production[[#This Row],[Degradation Factor]])</f>
        <v>12057.834647207283</v>
      </c>
    </row>
    <row r="1970" spans="1:7" ht="15" hidden="1" customHeight="1" x14ac:dyDescent="0.3">
      <c r="A1970" t="s">
        <v>172</v>
      </c>
      <c r="B1970" s="2">
        <v>45992</v>
      </c>
      <c r="C1970" s="52">
        <v>13393.575000000001</v>
      </c>
      <c r="D1970" s="48">
        <f>_xlfn.XLOOKUP(expected_production[[#This Row],[Site Name]],Table1[[Site Name ]],Table1[Commisioned Date],"")</f>
        <v>44159</v>
      </c>
      <c r="E1970" s="47">
        <f>IF(ISNUMBER(expected_production[[#This Row],[Commissioned Date]]),MAX(0,(expected_production[[#This Row],[Date]]-expected_production[[#This Row],[Commissioned Date]])/365.25),"")</f>
        <v>5.0184804928131417</v>
      </c>
      <c r="F1970" s="49">
        <f>IF(expected_production[[#This Row],[Age (yrs)]]="",1,(1-DegradationRate)^expected_production[[#This Row],[Age (yrs)]])</f>
        <v>0.965361252252397</v>
      </c>
      <c r="G1970" s="52">
        <f>IF(expected_production[[#This Row],[Base Expected (kWh)]]="","",expected_production[[#This Row],[Base Expected (kWh)]]*expected_production[[#This Row],[Degradation Factor]])</f>
        <v>12929.638334136398</v>
      </c>
    </row>
    <row r="1971" spans="1:7" ht="15" hidden="1" customHeight="1" x14ac:dyDescent="0.3">
      <c r="A1971" t="s">
        <v>172</v>
      </c>
      <c r="B1971" s="2">
        <v>46023</v>
      </c>
      <c r="C1971" s="52">
        <v>13218.014999999999</v>
      </c>
      <c r="D1971" s="48">
        <f>_xlfn.XLOOKUP(expected_production[[#This Row],[Site Name]],Table1[[Site Name ]],Table1[Commisioned Date],"")</f>
        <v>44159</v>
      </c>
      <c r="E1971" s="47">
        <f>IF(ISNUMBER(expected_production[[#This Row],[Commissioned Date]]),MAX(0,(expected_production[[#This Row],[Date]]-expected_production[[#This Row],[Commissioned Date]])/365.25),"")</f>
        <v>5.1033538672142367</v>
      </c>
      <c r="F1971" s="49">
        <f>IF(expected_production[[#This Row],[Age (yrs)]]="",1,(1-DegradationRate)^expected_production[[#This Row],[Age (yrs)]])</f>
        <v>0.96478587273478422</v>
      </c>
      <c r="G1971" s="52">
        <f>IF(expected_production[[#This Row],[Base Expected (kWh)]]="","",expected_production[[#This Row],[Base Expected (kWh)]]*expected_production[[#This Row],[Degradation Factor]])</f>
        <v>12752.554137596468</v>
      </c>
    </row>
    <row r="1972" spans="1:7" ht="15" hidden="1" customHeight="1" x14ac:dyDescent="0.3">
      <c r="A1972" t="s">
        <v>172</v>
      </c>
      <c r="B1972" s="2">
        <v>46054</v>
      </c>
      <c r="C1972" s="52">
        <v>10966.135</v>
      </c>
      <c r="D1972" s="48">
        <f>_xlfn.XLOOKUP(expected_production[[#This Row],[Site Name]],Table1[[Site Name ]],Table1[Commisioned Date],"")</f>
        <v>44159</v>
      </c>
      <c r="E1972" s="47">
        <f>IF(ISNUMBER(expected_production[[#This Row],[Commissioned Date]]),MAX(0,(expected_production[[#This Row],[Date]]-expected_production[[#This Row],[Commissioned Date]])/365.25),"")</f>
        <v>5.1882272416153317</v>
      </c>
      <c r="F1972" s="49">
        <f>IF(expected_production[[#This Row],[Age (yrs)]]="",1,(1-DegradationRate)^expected_production[[#This Row],[Age (yrs)]])</f>
        <v>0.96421083615779457</v>
      </c>
      <c r="G1972" s="52">
        <f>IF(expected_production[[#This Row],[Base Expected (kWh)]]="","",expected_production[[#This Row],[Base Expected (kWh)]]*expected_production[[#This Row],[Degradation Factor]])</f>
        <v>10573.666197769257</v>
      </c>
    </row>
    <row r="1973" spans="1:7" ht="15" hidden="1" customHeight="1" x14ac:dyDescent="0.3">
      <c r="A1973" t="s">
        <v>172</v>
      </c>
      <c r="B1973" s="2">
        <v>46082</v>
      </c>
      <c r="C1973" s="52">
        <v>11441.135</v>
      </c>
      <c r="D1973" s="48">
        <f>_xlfn.XLOOKUP(expected_production[[#This Row],[Site Name]],Table1[[Site Name ]],Table1[Commisioned Date],"")</f>
        <v>44159</v>
      </c>
      <c r="E1973" s="47">
        <f>IF(ISNUMBER(expected_production[[#This Row],[Commissioned Date]]),MAX(0,(expected_production[[#This Row],[Date]]-expected_production[[#This Row],[Commissioned Date]])/365.25),"")</f>
        <v>5.2648870636550305</v>
      </c>
      <c r="F1973" s="49">
        <f>IF(expected_production[[#This Row],[Age (yrs)]]="",1,(1-DegradationRate)^expected_production[[#This Row],[Age (yrs)]])</f>
        <v>0.96369174287656267</v>
      </c>
      <c r="G1973" s="52">
        <f>IF(expected_production[[#This Row],[Base Expected (kWh)]]="","",expected_production[[#This Row],[Base Expected (kWh)]]*expected_production[[#This Row],[Degradation Factor]])</f>
        <v>11025.727328636041</v>
      </c>
    </row>
    <row r="1974" spans="1:7" ht="15" hidden="1" customHeight="1" x14ac:dyDescent="0.3">
      <c r="A1974" t="s">
        <v>172</v>
      </c>
      <c r="B1974" s="2">
        <v>46113</v>
      </c>
      <c r="C1974" s="52">
        <v>10004.07</v>
      </c>
      <c r="D1974" s="48">
        <f>_xlfn.XLOOKUP(expected_production[[#This Row],[Site Name]],Table1[[Site Name ]],Table1[Commisioned Date],"")</f>
        <v>44159</v>
      </c>
      <c r="E1974" s="47">
        <f>IF(ISNUMBER(expected_production[[#This Row],[Commissioned Date]]),MAX(0,(expected_production[[#This Row],[Date]]-expected_production[[#This Row],[Commissioned Date]])/365.25),"")</f>
        <v>5.3497604380561263</v>
      </c>
      <c r="F1974" s="49">
        <f>IF(expected_production[[#This Row],[Age (yrs)]]="",1,(1-DegradationRate)^expected_production[[#This Row],[Age (yrs)]])</f>
        <v>0.96311735842840918</v>
      </c>
      <c r="G1974" s="52">
        <f>IF(expected_production[[#This Row],[Base Expected (kWh)]]="","",expected_production[[#This Row],[Base Expected (kWh)]]*expected_production[[#This Row],[Degradation Factor]])</f>
        <v>9635.0934719328943</v>
      </c>
    </row>
    <row r="1975" spans="1:7" ht="15" hidden="1" customHeight="1" x14ac:dyDescent="0.3">
      <c r="A1975" t="s">
        <v>172</v>
      </c>
      <c r="B1975" s="2">
        <v>46143</v>
      </c>
      <c r="C1975" s="52">
        <v>8979.59</v>
      </c>
      <c r="D1975" s="48">
        <f>_xlfn.XLOOKUP(expected_production[[#This Row],[Site Name]],Table1[[Site Name ]],Table1[Commisioned Date],"")</f>
        <v>44159</v>
      </c>
      <c r="E1975" s="47">
        <f>IF(ISNUMBER(expected_production[[#This Row],[Commissioned Date]]),MAX(0,(expected_production[[#This Row],[Date]]-expected_production[[#This Row],[Commissioned Date]])/365.25),"")</f>
        <v>5.4318959616700893</v>
      </c>
      <c r="F1975" s="49">
        <f>IF(expected_production[[#This Row],[Age (yrs)]]="",1,(1-DegradationRate)^expected_production[[#This Row],[Age (yrs)]])</f>
        <v>0.96256182847338445</v>
      </c>
      <c r="G1975" s="52">
        <f>IF(expected_production[[#This Row],[Base Expected (kWh)]]="","",expected_production[[#This Row],[Base Expected (kWh)]]*expected_production[[#This Row],[Degradation Factor]])</f>
        <v>8643.4105693413185</v>
      </c>
    </row>
    <row r="1976" spans="1:7" ht="15" hidden="1" customHeight="1" x14ac:dyDescent="0.3">
      <c r="A1976" t="s">
        <v>172</v>
      </c>
      <c r="B1976" s="2">
        <v>46174</v>
      </c>
      <c r="C1976" s="52">
        <v>7800.26</v>
      </c>
      <c r="D1976" s="48">
        <f>_xlfn.XLOOKUP(expected_production[[#This Row],[Site Name]],Table1[[Site Name ]],Table1[Commisioned Date],"")</f>
        <v>44159</v>
      </c>
      <c r="E1976" s="47">
        <f>IF(ISNUMBER(expected_production[[#This Row],[Commissioned Date]]),MAX(0,(expected_production[[#This Row],[Date]]-expected_production[[#This Row],[Commissioned Date]])/365.25),"")</f>
        <v>5.5167693360711842</v>
      </c>
      <c r="F1976" s="49">
        <f>IF(expected_production[[#This Row],[Age (yrs)]]="",1,(1-DegradationRate)^expected_production[[#This Row],[Age (yrs)]])</f>
        <v>0.96198811748255364</v>
      </c>
      <c r="G1976" s="52">
        <f>IF(expected_production[[#This Row],[Base Expected (kWh)]]="","",expected_production[[#This Row],[Base Expected (kWh)]]*expected_production[[#This Row],[Degradation Factor]])</f>
        <v>7503.7574332744643</v>
      </c>
    </row>
    <row r="1977" spans="1:7" ht="15" hidden="1" customHeight="1" x14ac:dyDescent="0.3">
      <c r="A1977" t="s">
        <v>172</v>
      </c>
      <c r="B1977" s="2">
        <v>46204</v>
      </c>
      <c r="C1977" s="52">
        <v>8635.69</v>
      </c>
      <c r="D1977" s="48">
        <f>_xlfn.XLOOKUP(expected_production[[#This Row],[Site Name]],Table1[[Site Name ]],Table1[Commisioned Date],"")</f>
        <v>44159</v>
      </c>
      <c r="E1977" s="47">
        <f>IF(ISNUMBER(expected_production[[#This Row],[Commissioned Date]]),MAX(0,(expected_production[[#This Row],[Date]]-expected_production[[#This Row],[Commissioned Date]])/365.25),"")</f>
        <v>5.5989048596851472</v>
      </c>
      <c r="F1977" s="49">
        <f>IF(expected_production[[#This Row],[Age (yrs)]]="",1,(1-DegradationRate)^expected_production[[#This Row],[Age (yrs)]])</f>
        <v>0.9614332388782354</v>
      </c>
      <c r="G1977" s="52">
        <f>IF(expected_production[[#This Row],[Base Expected (kWh)]]="","",expected_production[[#This Row],[Base Expected (kWh)]]*expected_production[[#This Row],[Degradation Factor]])</f>
        <v>8302.6394066483899</v>
      </c>
    </row>
    <row r="1978" spans="1:7" ht="15" hidden="1" customHeight="1" x14ac:dyDescent="0.3">
      <c r="A1978" t="s">
        <v>172</v>
      </c>
      <c r="B1978" s="2">
        <v>46235</v>
      </c>
      <c r="C1978" s="52">
        <v>9829.9349999999995</v>
      </c>
      <c r="D1978" s="48">
        <f>_xlfn.XLOOKUP(expected_production[[#This Row],[Site Name]],Table1[[Site Name ]],Table1[Commisioned Date],"")</f>
        <v>44159</v>
      </c>
      <c r="E1978" s="47">
        <f>IF(ISNUMBER(expected_production[[#This Row],[Commissioned Date]]),MAX(0,(expected_production[[#This Row],[Date]]-expected_production[[#This Row],[Commissioned Date]])/365.25),"")</f>
        <v>5.6837782340862422</v>
      </c>
      <c r="F1978" s="49">
        <f>IF(expected_production[[#This Row],[Age (yrs)]]="",1,(1-DegradationRate)^expected_production[[#This Row],[Age (yrs)]])</f>
        <v>0.96086020055510835</v>
      </c>
      <c r="G1978" s="52">
        <f>IF(expected_production[[#This Row],[Base Expected (kWh)]]="","",expected_production[[#This Row],[Base Expected (kWh)]]*expected_production[[#This Row],[Degradation Factor]])</f>
        <v>9445.1933155436782</v>
      </c>
    </row>
    <row r="1979" spans="1:7" ht="15" hidden="1" customHeight="1" x14ac:dyDescent="0.3">
      <c r="A1979" t="s">
        <v>172</v>
      </c>
      <c r="B1979" s="2">
        <v>46266</v>
      </c>
      <c r="C1979" s="52">
        <v>10568.94</v>
      </c>
      <c r="D1979" s="48">
        <f>_xlfn.XLOOKUP(expected_production[[#This Row],[Site Name]],Table1[[Site Name ]],Table1[Commisioned Date],"")</f>
        <v>44159</v>
      </c>
      <c r="E1979" s="47">
        <f>IF(ISNUMBER(expected_production[[#This Row],[Commissioned Date]]),MAX(0,(expected_production[[#This Row],[Date]]-expected_production[[#This Row],[Commissioned Date]])/365.25),"")</f>
        <v>5.7686516084873372</v>
      </c>
      <c r="F1979" s="49">
        <f>IF(expected_production[[#This Row],[Age (yrs)]]="",1,(1-DegradationRate)^expected_production[[#This Row],[Age (yrs)]])</f>
        <v>0.96028750377719352</v>
      </c>
      <c r="G1979" s="52">
        <f>IF(expected_production[[#This Row],[Base Expected (kWh)]]="","",expected_production[[#This Row],[Base Expected (kWh)]]*expected_production[[#This Row],[Degradation Factor]])</f>
        <v>10149.221010170932</v>
      </c>
    </row>
    <row r="1980" spans="1:7" ht="15" hidden="1" customHeight="1" x14ac:dyDescent="0.3">
      <c r="A1980" t="s">
        <v>172</v>
      </c>
      <c r="B1980" s="2">
        <v>46296</v>
      </c>
      <c r="C1980" s="52">
        <v>11606.34</v>
      </c>
      <c r="D1980" s="48">
        <f>_xlfn.XLOOKUP(expected_production[[#This Row],[Site Name]],Table1[[Site Name ]],Table1[Commisioned Date],"")</f>
        <v>44159</v>
      </c>
      <c r="E1980" s="47">
        <f>IF(ISNUMBER(expected_production[[#This Row],[Commissioned Date]]),MAX(0,(expected_production[[#This Row],[Date]]-expected_production[[#This Row],[Commissioned Date]])/365.25),"")</f>
        <v>5.8507871321013001</v>
      </c>
      <c r="F1980" s="49">
        <f>IF(expected_production[[#This Row],[Age (yrs)]]="",1,(1-DegradationRate)^expected_production[[#This Row],[Age (yrs)]])</f>
        <v>0.95973360609368108</v>
      </c>
      <c r="G1980" s="52">
        <f>IF(expected_production[[#This Row],[Base Expected (kWh)]]="","",expected_production[[#This Row],[Base Expected (kWh)]]*expected_production[[#This Row],[Degradation Factor]])</f>
        <v>11138.994541749335</v>
      </c>
    </row>
    <row r="1981" spans="1:7" ht="15" hidden="1" customHeight="1" x14ac:dyDescent="0.3">
      <c r="A1981" t="s">
        <v>172</v>
      </c>
      <c r="B1981" s="2">
        <v>46327</v>
      </c>
      <c r="C1981" s="52">
        <v>12483.285</v>
      </c>
      <c r="D1981" s="48">
        <f>_xlfn.XLOOKUP(expected_production[[#This Row],[Site Name]],Table1[[Site Name ]],Table1[Commisioned Date],"")</f>
        <v>44159</v>
      </c>
      <c r="E1981" s="47">
        <f>IF(ISNUMBER(expected_production[[#This Row],[Commissioned Date]]),MAX(0,(expected_production[[#This Row],[Date]]-expected_production[[#This Row],[Commissioned Date]])/365.25),"")</f>
        <v>5.935660506502396</v>
      </c>
      <c r="F1981" s="49">
        <f>IF(expected_production[[#This Row],[Age (yrs)]]="",1,(1-DegradationRate)^expected_production[[#This Row],[Age (yrs)]])</f>
        <v>0.95916158079432035</v>
      </c>
      <c r="G1981" s="52">
        <f>IF(expected_production[[#This Row],[Base Expected (kWh)]]="","",expected_production[[#This Row],[Base Expected (kWh)]]*expected_production[[#This Row],[Degradation Factor]])</f>
        <v>11973.487374106027</v>
      </c>
    </row>
    <row r="1982" spans="1:7" ht="15" hidden="1" customHeight="1" x14ac:dyDescent="0.3">
      <c r="A1982" t="s">
        <v>172</v>
      </c>
      <c r="B1982" s="2">
        <v>46357</v>
      </c>
      <c r="C1982" s="52">
        <v>13393.575000000001</v>
      </c>
      <c r="D1982" s="48">
        <f>_xlfn.XLOOKUP(expected_production[[#This Row],[Site Name]],Table1[[Site Name ]],Table1[Commisioned Date],"")</f>
        <v>44159</v>
      </c>
      <c r="E1982" s="47">
        <f>IF(ISNUMBER(expected_production[[#This Row],[Commissioned Date]]),MAX(0,(expected_production[[#This Row],[Date]]-expected_production[[#This Row],[Commissioned Date]])/365.25),"")</f>
        <v>6.0177960301163589</v>
      </c>
      <c r="F1982" s="49">
        <f>IF(expected_production[[#This Row],[Age (yrs)]]="",1,(1-DegradationRate)^expected_production[[#This Row],[Age (yrs)]])</f>
        <v>0.95860833254770006</v>
      </c>
      <c r="G1982" s="52">
        <f>IF(expected_production[[#This Row],[Base Expected (kWh)]]="","",expected_production[[#This Row],[Base Expected (kWh)]]*expected_production[[#This Row],[Degradation Factor]])</f>
        <v>12839.192597602563</v>
      </c>
    </row>
    <row r="1983" spans="1:7" ht="15" hidden="1" customHeight="1" x14ac:dyDescent="0.3">
      <c r="A1983" t="s">
        <v>177</v>
      </c>
      <c r="B1983" s="2">
        <v>45292</v>
      </c>
      <c r="C1983" s="52">
        <v>4359.6000000000004</v>
      </c>
      <c r="D1983" s="48">
        <f>_xlfn.XLOOKUP(expected_production[[#This Row],[Site Name]],Table1[[Site Name ]],Table1[Commisioned Date],"")</f>
        <v>44770</v>
      </c>
      <c r="E1983" s="47">
        <f>IF(ISNUMBER(expected_production[[#This Row],[Commissioned Date]]),MAX(0,(expected_production[[#This Row],[Date]]-expected_production[[#This Row],[Commissioned Date]])/365.25),"")</f>
        <v>1.429158110882957</v>
      </c>
      <c r="F1983" s="49">
        <f>IF(expected_production[[#This Row],[Age (yrs)]]="",1,(1-DegradationRate)^expected_production[[#This Row],[Age (yrs)]])</f>
        <v>0.99001093999654977</v>
      </c>
      <c r="G1983" s="52">
        <f>IF(expected_production[[#This Row],[Base Expected (kWh)]]="","",expected_production[[#This Row],[Base Expected (kWh)]]*expected_production[[#This Row],[Degradation Factor]])</f>
        <v>4316.0516940089583</v>
      </c>
    </row>
    <row r="1984" spans="1:7" ht="15" hidden="1" customHeight="1" x14ac:dyDescent="0.3">
      <c r="A1984" t="s">
        <v>177</v>
      </c>
      <c r="B1984" s="2">
        <v>45323</v>
      </c>
      <c r="C1984" s="52">
        <v>3825.9</v>
      </c>
      <c r="D1984" s="48">
        <f>_xlfn.XLOOKUP(expected_production[[#This Row],[Site Name]],Table1[[Site Name ]],Table1[Commisioned Date],"")</f>
        <v>44770</v>
      </c>
      <c r="E1984" s="47">
        <f>IF(ISNUMBER(expected_production[[#This Row],[Commissioned Date]]),MAX(0,(expected_production[[#This Row],[Date]]-expected_production[[#This Row],[Commissioned Date]])/365.25),"")</f>
        <v>1.514031485284052</v>
      </c>
      <c r="F1984" s="49">
        <f>IF(expected_production[[#This Row],[Age (yrs)]]="",1,(1-DegradationRate)^expected_production[[#This Row],[Age (yrs)]])</f>
        <v>0.9894208686468271</v>
      </c>
      <c r="G1984" s="52">
        <f>IF(expected_production[[#This Row],[Base Expected (kWh)]]="","",expected_production[[#This Row],[Base Expected (kWh)]]*expected_production[[#This Row],[Degradation Factor]])</f>
        <v>3785.425301355896</v>
      </c>
    </row>
    <row r="1985" spans="1:7" ht="15" hidden="1" customHeight="1" x14ac:dyDescent="0.3">
      <c r="A1985" t="s">
        <v>177</v>
      </c>
      <c r="B1985" s="2">
        <v>45352</v>
      </c>
      <c r="C1985" s="52">
        <v>4077</v>
      </c>
      <c r="D1985" s="48">
        <f>_xlfn.XLOOKUP(expected_production[[#This Row],[Site Name]],Table1[[Site Name ]],Table1[Commisioned Date],"")</f>
        <v>44770</v>
      </c>
      <c r="E1985" s="47">
        <f>IF(ISNUMBER(expected_production[[#This Row],[Commissioned Date]]),MAX(0,(expected_production[[#This Row],[Date]]-expected_production[[#This Row],[Commissioned Date]])/365.25),"")</f>
        <v>1.593429158110883</v>
      </c>
      <c r="F1985" s="49">
        <f>IF(expected_production[[#This Row],[Age (yrs)]]="",1,(1-DegradationRate)^expected_production[[#This Row],[Age (yrs)]])</f>
        <v>0.98886918481456199</v>
      </c>
      <c r="G1985" s="52">
        <f>IF(expected_production[[#This Row],[Base Expected (kWh)]]="","",expected_production[[#This Row],[Base Expected (kWh)]]*expected_production[[#This Row],[Degradation Factor]])</f>
        <v>4031.6196664889694</v>
      </c>
    </row>
    <row r="1986" spans="1:7" ht="15" hidden="1" customHeight="1" x14ac:dyDescent="0.3">
      <c r="A1986" t="s">
        <v>177</v>
      </c>
      <c r="B1986" s="2">
        <v>45383</v>
      </c>
      <c r="C1986" s="52">
        <v>3573.9</v>
      </c>
      <c r="D1986" s="48">
        <f>_xlfn.XLOOKUP(expected_production[[#This Row],[Site Name]],Table1[[Site Name ]],Table1[Commisioned Date],"")</f>
        <v>44770</v>
      </c>
      <c r="E1986" s="47">
        <f>IF(ISNUMBER(expected_production[[#This Row],[Commissioned Date]]),MAX(0,(expected_production[[#This Row],[Date]]-expected_production[[#This Row],[Commissioned Date]])/365.25),"")</f>
        <v>1.678302532511978</v>
      </c>
      <c r="F1986" s="49">
        <f>IF(expected_production[[#This Row],[Age (yrs)]]="",1,(1-DegradationRate)^expected_production[[#This Row],[Age (yrs)]])</f>
        <v>0.98827979397956311</v>
      </c>
      <c r="G1986" s="52">
        <f>IF(expected_production[[#This Row],[Base Expected (kWh)]]="","",expected_production[[#This Row],[Base Expected (kWh)]]*expected_production[[#This Row],[Degradation Factor]])</f>
        <v>3532.0131557035606</v>
      </c>
    </row>
    <row r="1987" spans="1:7" ht="15" hidden="1" customHeight="1" x14ac:dyDescent="0.3">
      <c r="A1987" t="s">
        <v>177</v>
      </c>
      <c r="B1987" s="2">
        <v>45413</v>
      </c>
      <c r="C1987" s="52">
        <v>3623.4</v>
      </c>
      <c r="D1987" s="48">
        <f>_xlfn.XLOOKUP(expected_production[[#This Row],[Site Name]],Table1[[Site Name ]],Table1[Commisioned Date],"")</f>
        <v>44770</v>
      </c>
      <c r="E1987" s="47">
        <f>IF(ISNUMBER(expected_production[[#This Row],[Commissioned Date]]),MAX(0,(expected_production[[#This Row],[Date]]-expected_production[[#This Row],[Commissioned Date]])/365.25),"")</f>
        <v>1.7604380561259412</v>
      </c>
      <c r="F1987" s="49">
        <f>IF(expected_production[[#This Row],[Age (yrs)]]="",1,(1-DegradationRate)^expected_production[[#This Row],[Age (yrs)]])</f>
        <v>0.98770975023079588</v>
      </c>
      <c r="G1987" s="52">
        <f>IF(expected_production[[#This Row],[Base Expected (kWh)]]="","",expected_production[[#This Row],[Base Expected (kWh)]]*expected_production[[#This Row],[Degradation Factor]])</f>
        <v>3578.8675089862659</v>
      </c>
    </row>
    <row r="1988" spans="1:7" ht="15" hidden="1" customHeight="1" x14ac:dyDescent="0.3">
      <c r="A1988" t="s">
        <v>177</v>
      </c>
      <c r="B1988" s="2">
        <v>45444</v>
      </c>
      <c r="C1988" s="52">
        <v>3360.6</v>
      </c>
      <c r="D1988" s="48">
        <f>_xlfn.XLOOKUP(expected_production[[#This Row],[Site Name]],Table1[[Site Name ]],Table1[Commisioned Date],"")</f>
        <v>44770</v>
      </c>
      <c r="E1988" s="47">
        <f>IF(ISNUMBER(expected_production[[#This Row],[Commissioned Date]]),MAX(0,(expected_production[[#This Row],[Date]]-expected_production[[#This Row],[Commissioned Date]])/365.25),"")</f>
        <v>1.8453114305270362</v>
      </c>
      <c r="F1988" s="49">
        <f>IF(expected_production[[#This Row],[Age (yrs)]]="",1,(1-DegradationRate)^expected_production[[#This Row],[Age (yrs)]])</f>
        <v>0.98712105044788745</v>
      </c>
      <c r="G1988" s="52">
        <f>IF(expected_production[[#This Row],[Base Expected (kWh)]]="","",expected_production[[#This Row],[Base Expected (kWh)]]*expected_production[[#This Row],[Degradation Factor]])</f>
        <v>3317.3190021351706</v>
      </c>
    </row>
    <row r="1989" spans="1:7" ht="15" hidden="1" customHeight="1" x14ac:dyDescent="0.3">
      <c r="A1989" t="s">
        <v>177</v>
      </c>
      <c r="B1989" s="2">
        <v>45474</v>
      </c>
      <c r="C1989" s="52">
        <v>3665.7</v>
      </c>
      <c r="D1989" s="48">
        <f>_xlfn.XLOOKUP(expected_production[[#This Row],[Site Name]],Table1[[Site Name ]],Table1[Commisioned Date],"")</f>
        <v>44770</v>
      </c>
      <c r="E1989" s="47">
        <f>IF(ISNUMBER(expected_production[[#This Row],[Commissioned Date]]),MAX(0,(expected_production[[#This Row],[Date]]-expected_production[[#This Row],[Commissioned Date]])/365.25),"")</f>
        <v>1.9274469541409993</v>
      </c>
      <c r="F1989" s="49">
        <f>IF(expected_production[[#This Row],[Age (yrs)]]="",1,(1-DegradationRate)^expected_production[[#This Row],[Age (yrs)]])</f>
        <v>0.98655167506703656</v>
      </c>
      <c r="G1989" s="52">
        <f>IF(expected_production[[#This Row],[Base Expected (kWh)]]="","",expected_production[[#This Row],[Base Expected (kWh)]]*expected_production[[#This Row],[Degradation Factor]])</f>
        <v>3616.4024752932355</v>
      </c>
    </row>
    <row r="1990" spans="1:7" ht="15" hidden="1" customHeight="1" x14ac:dyDescent="0.3">
      <c r="A1990" t="s">
        <v>177</v>
      </c>
      <c r="B1990" s="2">
        <v>45505</v>
      </c>
      <c r="C1990" s="52">
        <v>4104</v>
      </c>
      <c r="D1990" s="48">
        <f>_xlfn.XLOOKUP(expected_production[[#This Row],[Site Name]],Table1[[Site Name ]],Table1[Commisioned Date],"")</f>
        <v>44770</v>
      </c>
      <c r="E1990" s="47">
        <f>IF(ISNUMBER(expected_production[[#This Row],[Commissioned Date]]),MAX(0,(expected_production[[#This Row],[Date]]-expected_production[[#This Row],[Commissioned Date]])/365.25),"")</f>
        <v>2.0123203285420943</v>
      </c>
      <c r="F1990" s="49">
        <f>IF(expected_production[[#This Row],[Age (yrs)]]="",1,(1-DegradationRate)^expected_production[[#This Row],[Age (yrs)]])</f>
        <v>0.98596366552597026</v>
      </c>
      <c r="G1990" s="52">
        <f>IF(expected_production[[#This Row],[Base Expected (kWh)]]="","",expected_production[[#This Row],[Base Expected (kWh)]]*expected_production[[#This Row],[Degradation Factor]])</f>
        <v>4046.3948833185818</v>
      </c>
    </row>
    <row r="1991" spans="1:7" ht="15" hidden="1" customHeight="1" x14ac:dyDescent="0.3">
      <c r="A1991" t="s">
        <v>177</v>
      </c>
      <c r="B1991" s="2">
        <v>45536</v>
      </c>
      <c r="C1991" s="52">
        <v>4274.1000000000004</v>
      </c>
      <c r="D1991" s="48">
        <f>_xlfn.XLOOKUP(expected_production[[#This Row],[Site Name]],Table1[[Site Name ]],Table1[Commisioned Date],"")</f>
        <v>44770</v>
      </c>
      <c r="E1991" s="47">
        <f>IF(ISNUMBER(expected_production[[#This Row],[Commissioned Date]]),MAX(0,(expected_production[[#This Row],[Date]]-expected_production[[#This Row],[Commissioned Date]])/365.25),"")</f>
        <v>2.0971937029431897</v>
      </c>
      <c r="F1991" s="49">
        <f>IF(expected_production[[#This Row],[Age (yrs)]]="",1,(1-DegradationRate)^expected_production[[#This Row],[Age (yrs)]])</f>
        <v>0.98537600645333778</v>
      </c>
      <c r="G1991" s="52">
        <f>IF(expected_production[[#This Row],[Base Expected (kWh)]]="","",expected_production[[#This Row],[Base Expected (kWh)]]*expected_production[[#This Row],[Degradation Factor]])</f>
        <v>4211.5955891822114</v>
      </c>
    </row>
    <row r="1992" spans="1:7" ht="15" hidden="1" customHeight="1" x14ac:dyDescent="0.3">
      <c r="A1992" t="s">
        <v>177</v>
      </c>
      <c r="B1992" s="2">
        <v>45566</v>
      </c>
      <c r="C1992" s="52">
        <v>4289.3999999999996</v>
      </c>
      <c r="D1992" s="48">
        <f>_xlfn.XLOOKUP(expected_production[[#This Row],[Site Name]],Table1[[Site Name ]],Table1[Commisioned Date],"")</f>
        <v>44770</v>
      </c>
      <c r="E1992" s="47">
        <f>IF(ISNUMBER(expected_production[[#This Row],[Commissioned Date]]),MAX(0,(expected_production[[#This Row],[Date]]-expected_production[[#This Row],[Commissioned Date]])/365.25),"")</f>
        <v>2.1793292265571527</v>
      </c>
      <c r="F1992" s="49">
        <f>IF(expected_production[[#This Row],[Age (yrs)]]="",1,(1-DegradationRate)^expected_production[[#This Row],[Age (yrs)]])</f>
        <v>0.98480763762086165</v>
      </c>
      <c r="G1992" s="52">
        <f>IF(expected_production[[#This Row],[Base Expected (kWh)]]="","",expected_production[[#This Row],[Base Expected (kWh)]]*expected_production[[#This Row],[Degradation Factor]])</f>
        <v>4224.2338808109234</v>
      </c>
    </row>
    <row r="1993" spans="1:7" ht="15" hidden="1" customHeight="1" x14ac:dyDescent="0.3">
      <c r="A1993" t="s">
        <v>177</v>
      </c>
      <c r="B1993" s="2">
        <v>45597</v>
      </c>
      <c r="C1993" s="52">
        <v>4249.8</v>
      </c>
      <c r="D1993" s="48">
        <f>_xlfn.XLOOKUP(expected_production[[#This Row],[Site Name]],Table1[[Site Name ]],Table1[Commisioned Date],"")</f>
        <v>44770</v>
      </c>
      <c r="E1993" s="47">
        <f>IF(ISNUMBER(expected_production[[#This Row],[Commissioned Date]]),MAX(0,(expected_production[[#This Row],[Date]]-expected_production[[#This Row],[Commissioned Date]])/365.25),"")</f>
        <v>2.2642026009582477</v>
      </c>
      <c r="F1993" s="49">
        <f>IF(expected_production[[#This Row],[Age (yrs)]]="",1,(1-DegradationRate)^expected_production[[#This Row],[Age (yrs)]])</f>
        <v>0.98422066756985371</v>
      </c>
      <c r="G1993" s="52">
        <f>IF(expected_production[[#This Row],[Base Expected (kWh)]]="","",expected_production[[#This Row],[Base Expected (kWh)]]*expected_production[[#This Row],[Degradation Factor]])</f>
        <v>4182.7409930383646</v>
      </c>
    </row>
    <row r="1994" spans="1:7" ht="15" hidden="1" customHeight="1" x14ac:dyDescent="0.3">
      <c r="A1994" t="s">
        <v>177</v>
      </c>
      <c r="B1994" s="2">
        <v>45627</v>
      </c>
      <c r="C1994" s="52">
        <v>4446</v>
      </c>
      <c r="D1994" s="48">
        <f>_xlfn.XLOOKUP(expected_production[[#This Row],[Site Name]],Table1[[Site Name ]],Table1[Commisioned Date],"")</f>
        <v>44770</v>
      </c>
      <c r="E1994" s="47">
        <f>IF(ISNUMBER(expected_production[[#This Row],[Commissioned Date]]),MAX(0,(expected_production[[#This Row],[Date]]-expected_production[[#This Row],[Commissioned Date]])/365.25),"")</f>
        <v>2.346338124572211</v>
      </c>
      <c r="F1994" s="49">
        <f>IF(expected_production[[#This Row],[Age (yrs)]]="",1,(1-DegradationRate)^expected_production[[#This Row],[Age (yrs)]])</f>
        <v>0.98365296514147915</v>
      </c>
      <c r="G1994" s="52">
        <f>IF(expected_production[[#This Row],[Base Expected (kWh)]]="","",expected_production[[#This Row],[Base Expected (kWh)]]*expected_production[[#This Row],[Degradation Factor]])</f>
        <v>4373.3210830190164</v>
      </c>
    </row>
    <row r="1995" spans="1:7" ht="15" hidden="1" customHeight="1" x14ac:dyDescent="0.3">
      <c r="A1995" t="s">
        <v>177</v>
      </c>
      <c r="B1995" s="2">
        <v>45658</v>
      </c>
      <c r="C1995" s="52">
        <v>4359.6000000000004</v>
      </c>
      <c r="D1995" s="48">
        <f>_xlfn.XLOOKUP(expected_production[[#This Row],[Site Name]],Table1[[Site Name ]],Table1[Commisioned Date],"")</f>
        <v>44770</v>
      </c>
      <c r="E1995" s="47">
        <f>IF(ISNUMBER(expected_production[[#This Row],[Commissioned Date]]),MAX(0,(expected_production[[#This Row],[Date]]-expected_production[[#This Row],[Commissioned Date]])/365.25),"")</f>
        <v>2.431211498973306</v>
      </c>
      <c r="F1995" s="49">
        <f>IF(expected_production[[#This Row],[Age (yrs)]]="",1,(1-DegradationRate)^expected_production[[#This Row],[Age (yrs)]])</f>
        <v>0.98306668330422819</v>
      </c>
      <c r="G1995" s="52">
        <f>IF(expected_production[[#This Row],[Base Expected (kWh)]]="","",expected_production[[#This Row],[Base Expected (kWh)]]*expected_production[[#This Row],[Degradation Factor]])</f>
        <v>4285.7775125331136</v>
      </c>
    </row>
    <row r="1996" spans="1:7" ht="15" hidden="1" customHeight="1" x14ac:dyDescent="0.3">
      <c r="A1996" t="s">
        <v>177</v>
      </c>
      <c r="B1996" s="2">
        <v>45689</v>
      </c>
      <c r="C1996" s="52">
        <v>3825.9</v>
      </c>
      <c r="D1996" s="48">
        <f>_xlfn.XLOOKUP(expected_production[[#This Row],[Site Name]],Table1[[Site Name ]],Table1[Commisioned Date],"")</f>
        <v>44770</v>
      </c>
      <c r="E1996" s="47">
        <f>IF(ISNUMBER(expected_production[[#This Row],[Commissioned Date]]),MAX(0,(expected_production[[#This Row],[Date]]-expected_production[[#This Row],[Commissioned Date]])/365.25),"")</f>
        <v>2.516084873374401</v>
      </c>
      <c r="F1996" s="49">
        <f>IF(expected_production[[#This Row],[Age (yrs)]]="",1,(1-DegradationRate)^expected_production[[#This Row],[Age (yrs)]])</f>
        <v>0.98248075090565623</v>
      </c>
      <c r="G1996" s="52">
        <f>IF(expected_production[[#This Row],[Base Expected (kWh)]]="","",expected_production[[#This Row],[Base Expected (kWh)]]*expected_production[[#This Row],[Degradation Factor]])</f>
        <v>3758.8731048899504</v>
      </c>
    </row>
    <row r="1997" spans="1:7" ht="15" hidden="1" customHeight="1" x14ac:dyDescent="0.3">
      <c r="A1997" t="s">
        <v>177</v>
      </c>
      <c r="B1997" s="2">
        <v>45717</v>
      </c>
      <c r="C1997" s="52">
        <v>4077</v>
      </c>
      <c r="D1997" s="48">
        <f>_xlfn.XLOOKUP(expected_production[[#This Row],[Site Name]],Table1[[Site Name ]],Table1[Commisioned Date],"")</f>
        <v>44770</v>
      </c>
      <c r="E1997" s="47">
        <f>IF(ISNUMBER(expected_production[[#This Row],[Commissioned Date]]),MAX(0,(expected_production[[#This Row],[Date]]-expected_production[[#This Row],[Commissioned Date]])/365.25),"")</f>
        <v>2.5927446954140998</v>
      </c>
      <c r="F1997" s="49">
        <f>IF(expected_production[[#This Row],[Age (yrs)]]="",1,(1-DegradationRate)^expected_production[[#This Row],[Age (yrs)]])</f>
        <v>0.98195182181918472</v>
      </c>
      <c r="G1997" s="52">
        <f>IF(expected_production[[#This Row],[Base Expected (kWh)]]="","",expected_production[[#This Row],[Base Expected (kWh)]]*expected_production[[#This Row],[Degradation Factor]])</f>
        <v>4003.417577556816</v>
      </c>
    </row>
    <row r="1998" spans="1:7" ht="15" hidden="1" customHeight="1" x14ac:dyDescent="0.3">
      <c r="A1998" t="s">
        <v>177</v>
      </c>
      <c r="B1998" s="2">
        <v>45748</v>
      </c>
      <c r="C1998" s="52">
        <v>3573.9</v>
      </c>
      <c r="D1998" s="48">
        <f>_xlfn.XLOOKUP(expected_production[[#This Row],[Site Name]],Table1[[Site Name ]],Table1[Commisioned Date],"")</f>
        <v>44770</v>
      </c>
      <c r="E1998" s="47">
        <f>IF(ISNUMBER(expected_production[[#This Row],[Commissioned Date]]),MAX(0,(expected_production[[#This Row],[Date]]-expected_production[[#This Row],[Commissioned Date]])/365.25),"")</f>
        <v>2.6776180698151952</v>
      </c>
      <c r="F1998" s="49">
        <f>IF(expected_production[[#This Row],[Age (yrs)]]="",1,(1-DegradationRate)^expected_production[[#This Row],[Age (yrs)]])</f>
        <v>0.98136655390601857</v>
      </c>
      <c r="G1998" s="52">
        <f>IF(expected_production[[#This Row],[Base Expected (kWh)]]="","",expected_production[[#This Row],[Base Expected (kWh)]]*expected_production[[#This Row],[Degradation Factor]])</f>
        <v>3507.3059270047197</v>
      </c>
    </row>
    <row r="1999" spans="1:7" ht="15" hidden="1" customHeight="1" x14ac:dyDescent="0.3">
      <c r="A1999" t="s">
        <v>177</v>
      </c>
      <c r="B1999" s="2">
        <v>45778</v>
      </c>
      <c r="C1999" s="52">
        <v>3623.4</v>
      </c>
      <c r="D1999" s="48">
        <f>_xlfn.XLOOKUP(expected_production[[#This Row],[Site Name]],Table1[[Site Name ]],Table1[Commisioned Date],"")</f>
        <v>44770</v>
      </c>
      <c r="E1999" s="47">
        <f>IF(ISNUMBER(expected_production[[#This Row],[Commissioned Date]]),MAX(0,(expected_production[[#This Row],[Date]]-expected_production[[#This Row],[Commissioned Date]])/365.25),"")</f>
        <v>2.7597535934291582</v>
      </c>
      <c r="F1999" s="49">
        <f>IF(expected_production[[#This Row],[Age (yrs)]]="",1,(1-DegradationRate)^expected_production[[#This Row],[Age (yrs)]])</f>
        <v>0.98080049774185196</v>
      </c>
      <c r="G1999" s="52">
        <f>IF(expected_production[[#This Row],[Base Expected (kWh)]]="","",expected_production[[#This Row],[Base Expected (kWh)]]*expected_production[[#This Row],[Degradation Factor]])</f>
        <v>3553.8325235178263</v>
      </c>
    </row>
    <row r="2000" spans="1:7" ht="15" hidden="1" customHeight="1" x14ac:dyDescent="0.3">
      <c r="A2000" t="s">
        <v>177</v>
      </c>
      <c r="B2000" s="2">
        <v>45809</v>
      </c>
      <c r="C2000" s="52">
        <v>3360.6</v>
      </c>
      <c r="D2000" s="48">
        <f>_xlfn.XLOOKUP(expected_production[[#This Row],[Site Name]],Table1[[Site Name ]],Table1[Commisioned Date],"")</f>
        <v>44770</v>
      </c>
      <c r="E2000" s="47">
        <f>IF(ISNUMBER(expected_production[[#This Row],[Commissioned Date]]),MAX(0,(expected_production[[#This Row],[Date]]-expected_production[[#This Row],[Commissioned Date]])/365.25),"")</f>
        <v>2.8446269678302532</v>
      </c>
      <c r="F2000" s="49">
        <f>IF(expected_production[[#This Row],[Age (yrs)]]="",1,(1-DegradationRate)^expected_production[[#This Row],[Age (yrs)]])</f>
        <v>0.9802159160467111</v>
      </c>
      <c r="G2000" s="52">
        <f>IF(expected_production[[#This Row],[Base Expected (kWh)]]="","",expected_production[[#This Row],[Base Expected (kWh)]]*expected_production[[#This Row],[Degradation Factor]])</f>
        <v>3294.1136074665774</v>
      </c>
    </row>
    <row r="2001" spans="1:7" ht="15" hidden="1" customHeight="1" x14ac:dyDescent="0.3">
      <c r="A2001" t="s">
        <v>177</v>
      </c>
      <c r="B2001" s="2">
        <v>45839</v>
      </c>
      <c r="C2001" s="52">
        <v>3665.7</v>
      </c>
      <c r="D2001" s="48">
        <f>_xlfn.XLOOKUP(expected_production[[#This Row],[Site Name]],Table1[[Site Name ]],Table1[Commisioned Date],"")</f>
        <v>44770</v>
      </c>
      <c r="E2001" s="47">
        <f>IF(ISNUMBER(expected_production[[#This Row],[Commissioned Date]]),MAX(0,(expected_production[[#This Row],[Date]]-expected_production[[#This Row],[Commissioned Date]])/365.25),"")</f>
        <v>2.9267624914442161</v>
      </c>
      <c r="F2001" s="49">
        <f>IF(expected_production[[#This Row],[Age (yrs)]]="",1,(1-DegradationRate)^expected_production[[#This Row],[Age (yrs)]])</f>
        <v>0.97965052357507665</v>
      </c>
      <c r="G2001" s="52">
        <f>IF(expected_production[[#This Row],[Base Expected (kWh)]]="","",expected_production[[#This Row],[Base Expected (kWh)]]*expected_production[[#This Row],[Degradation Factor]])</f>
        <v>3591.1049242691583</v>
      </c>
    </row>
    <row r="2002" spans="1:7" ht="15" hidden="1" customHeight="1" x14ac:dyDescent="0.3">
      <c r="A2002" t="s">
        <v>177</v>
      </c>
      <c r="B2002" s="2">
        <v>45870</v>
      </c>
      <c r="C2002" s="52">
        <v>4104</v>
      </c>
      <c r="D2002" s="48">
        <f>_xlfn.XLOOKUP(expected_production[[#This Row],[Site Name]],Table1[[Site Name ]],Table1[Commisioned Date],"")</f>
        <v>44770</v>
      </c>
      <c r="E2002" s="47">
        <f>IF(ISNUMBER(expected_production[[#This Row],[Commissioned Date]]),MAX(0,(expected_production[[#This Row],[Date]]-expected_production[[#This Row],[Commissioned Date]])/365.25),"")</f>
        <v>3.0116358658453115</v>
      </c>
      <c r="F2002" s="49">
        <f>IF(expected_production[[#This Row],[Age (yrs)]]="",1,(1-DegradationRate)^expected_production[[#This Row],[Age (yrs)]])</f>
        <v>0.97906662729338045</v>
      </c>
      <c r="G2002" s="52">
        <f>IF(expected_production[[#This Row],[Base Expected (kWh)]]="","",expected_production[[#This Row],[Base Expected (kWh)]]*expected_production[[#This Row],[Degradation Factor]])</f>
        <v>4018.0894384120334</v>
      </c>
    </row>
    <row r="2003" spans="1:7" ht="15" hidden="1" customHeight="1" x14ac:dyDescent="0.3">
      <c r="A2003" t="s">
        <v>177</v>
      </c>
      <c r="B2003" s="2">
        <v>45901</v>
      </c>
      <c r="C2003" s="52">
        <v>4274.1000000000004</v>
      </c>
      <c r="D2003" s="48">
        <f>_xlfn.XLOOKUP(expected_production[[#This Row],[Site Name]],Table1[[Site Name ]],Table1[Commisioned Date],"")</f>
        <v>44770</v>
      </c>
      <c r="E2003" s="47">
        <f>IF(ISNUMBER(expected_production[[#This Row],[Commissioned Date]]),MAX(0,(expected_production[[#This Row],[Date]]-expected_production[[#This Row],[Commissioned Date]])/365.25),"")</f>
        <v>3.0965092402464065</v>
      </c>
      <c r="F2003" s="49">
        <f>IF(expected_production[[#This Row],[Age (yrs)]]="",1,(1-DegradationRate)^expected_production[[#This Row],[Age (yrs)]])</f>
        <v>0.97848307902851239</v>
      </c>
      <c r="G2003" s="52">
        <f>IF(expected_production[[#This Row],[Base Expected (kWh)]]="","",expected_production[[#This Row],[Base Expected (kWh)]]*expected_production[[#This Row],[Degradation Factor]])</f>
        <v>4182.134528075765</v>
      </c>
    </row>
    <row r="2004" spans="1:7" ht="15" hidden="1" customHeight="1" x14ac:dyDescent="0.3">
      <c r="A2004" t="s">
        <v>177</v>
      </c>
      <c r="B2004" s="2">
        <v>45931</v>
      </c>
      <c r="C2004" s="52">
        <v>4289.3999999999996</v>
      </c>
      <c r="D2004" s="48">
        <f>_xlfn.XLOOKUP(expected_production[[#This Row],[Site Name]],Table1[[Site Name ]],Table1[Commisioned Date],"")</f>
        <v>44770</v>
      </c>
      <c r="E2004" s="47">
        <f>IF(ISNUMBER(expected_production[[#This Row],[Commissioned Date]]),MAX(0,(expected_production[[#This Row],[Date]]-expected_production[[#This Row],[Commissioned Date]])/365.25),"")</f>
        <v>3.1786447638603694</v>
      </c>
      <c r="F2004" s="49">
        <f>IF(expected_production[[#This Row],[Age (yrs)]]="",1,(1-DegradationRate)^expected_production[[#This Row],[Age (yrs)]])</f>
        <v>0.97791868606421972</v>
      </c>
      <c r="G2004" s="52">
        <f>IF(expected_production[[#This Row],[Base Expected (kWh)]]="","",expected_production[[#This Row],[Base Expected (kWh)]]*expected_production[[#This Row],[Degradation Factor]])</f>
        <v>4194.6844120038641</v>
      </c>
    </row>
    <row r="2005" spans="1:7" ht="15" hidden="1" customHeight="1" x14ac:dyDescent="0.3">
      <c r="A2005" t="s">
        <v>177</v>
      </c>
      <c r="B2005" s="2">
        <v>45962</v>
      </c>
      <c r="C2005" s="52">
        <v>4249.8</v>
      </c>
      <c r="D2005" s="48">
        <f>_xlfn.XLOOKUP(expected_production[[#This Row],[Site Name]],Table1[[Site Name ]],Table1[Commisioned Date],"")</f>
        <v>44770</v>
      </c>
      <c r="E2005" s="47">
        <f>IF(ISNUMBER(expected_production[[#This Row],[Commissioned Date]]),MAX(0,(expected_production[[#This Row],[Date]]-expected_production[[#This Row],[Commissioned Date]])/365.25),"")</f>
        <v>3.2635181382614649</v>
      </c>
      <c r="F2005" s="49">
        <f>IF(expected_production[[#This Row],[Age (yrs)]]="",1,(1-DegradationRate)^expected_production[[#This Row],[Age (yrs)]])</f>
        <v>0.97733582200111457</v>
      </c>
      <c r="G2005" s="52">
        <f>IF(expected_production[[#This Row],[Base Expected (kWh)]]="","",expected_production[[#This Row],[Base Expected (kWh)]]*expected_production[[#This Row],[Degradation Factor]])</f>
        <v>4153.4817763403371</v>
      </c>
    </row>
    <row r="2006" spans="1:7" ht="15" hidden="1" customHeight="1" x14ac:dyDescent="0.3">
      <c r="A2006" t="s">
        <v>177</v>
      </c>
      <c r="B2006" s="2">
        <v>45992</v>
      </c>
      <c r="C2006" s="52">
        <v>4446</v>
      </c>
      <c r="D2006" s="48">
        <f>_xlfn.XLOOKUP(expected_production[[#This Row],[Site Name]],Table1[[Site Name ]],Table1[Commisioned Date],"")</f>
        <v>44770</v>
      </c>
      <c r="E2006" s="47">
        <f>IF(ISNUMBER(expected_production[[#This Row],[Commissioned Date]]),MAX(0,(expected_production[[#This Row],[Date]]-expected_production[[#This Row],[Commissioned Date]])/365.25),"")</f>
        <v>3.3456536618754278</v>
      </c>
      <c r="F2006" s="49">
        <f>IF(expected_production[[#This Row],[Age (yrs)]]="",1,(1-DegradationRate)^expected_production[[#This Row],[Age (yrs)]])</f>
        <v>0.9767720907792764</v>
      </c>
      <c r="G2006" s="52">
        <f>IF(expected_production[[#This Row],[Base Expected (kWh)]]="","",expected_production[[#This Row],[Base Expected (kWh)]]*expected_production[[#This Row],[Degradation Factor]])</f>
        <v>4342.7287156046632</v>
      </c>
    </row>
    <row r="2007" spans="1:7" ht="15" hidden="1" customHeight="1" x14ac:dyDescent="0.3">
      <c r="A2007" t="s">
        <v>177</v>
      </c>
      <c r="B2007" s="2">
        <v>46023</v>
      </c>
      <c r="C2007" s="52">
        <v>4359.6000000000004</v>
      </c>
      <c r="D2007" s="48">
        <f>_xlfn.XLOOKUP(expected_production[[#This Row],[Site Name]],Table1[[Site Name ]],Table1[Commisioned Date],"")</f>
        <v>44770</v>
      </c>
      <c r="E2007" s="47">
        <f>IF(ISNUMBER(expected_production[[#This Row],[Commissioned Date]]),MAX(0,(expected_production[[#This Row],[Date]]-expected_production[[#This Row],[Commissioned Date]])/365.25),"")</f>
        <v>3.4305270362765228</v>
      </c>
      <c r="F2007" s="49">
        <f>IF(expected_production[[#This Row],[Age (yrs)]]="",1,(1-DegradationRate)^expected_production[[#This Row],[Age (yrs)]])</f>
        <v>0.97618991011571776</v>
      </c>
      <c r="G2007" s="52">
        <f>IF(expected_production[[#This Row],[Base Expected (kWh)]]="","",expected_production[[#This Row],[Base Expected (kWh)]]*expected_production[[#This Row],[Degradation Factor]])</f>
        <v>4255.7975321404838</v>
      </c>
    </row>
    <row r="2008" spans="1:7" ht="15" hidden="1" customHeight="1" x14ac:dyDescent="0.3">
      <c r="A2008" t="s">
        <v>177</v>
      </c>
      <c r="B2008" s="2">
        <v>46054</v>
      </c>
      <c r="C2008" s="52">
        <v>3825.9</v>
      </c>
      <c r="D2008" s="48">
        <f>_xlfn.XLOOKUP(expected_production[[#This Row],[Site Name]],Table1[[Site Name ]],Table1[Commisioned Date],"")</f>
        <v>44770</v>
      </c>
      <c r="E2008" s="47">
        <f>IF(ISNUMBER(expected_production[[#This Row],[Commissioned Date]]),MAX(0,(expected_production[[#This Row],[Date]]-expected_production[[#This Row],[Commissioned Date]])/365.25),"")</f>
        <v>3.5154004106776182</v>
      </c>
      <c r="F2008" s="49">
        <f>IF(expected_production[[#This Row],[Age (yrs)]]="",1,(1-DegradationRate)^expected_production[[#This Row],[Age (yrs)]])</f>
        <v>0.97560807644643566</v>
      </c>
      <c r="G2008" s="52">
        <f>IF(expected_production[[#This Row],[Base Expected (kWh)]]="","",expected_production[[#This Row],[Base Expected (kWh)]]*expected_production[[#This Row],[Degradation Factor]])</f>
        <v>3732.5789396764185</v>
      </c>
    </row>
    <row r="2009" spans="1:7" ht="15" hidden="1" customHeight="1" x14ac:dyDescent="0.3">
      <c r="A2009" t="s">
        <v>177</v>
      </c>
      <c r="B2009" s="2">
        <v>46082</v>
      </c>
      <c r="C2009" s="52">
        <v>4077</v>
      </c>
      <c r="D2009" s="48">
        <f>_xlfn.XLOOKUP(expected_production[[#This Row],[Site Name]],Table1[[Site Name ]],Table1[Commisioned Date],"")</f>
        <v>44770</v>
      </c>
      <c r="E2009" s="47">
        <f>IF(ISNUMBER(expected_production[[#This Row],[Commissioned Date]]),MAX(0,(expected_production[[#This Row],[Date]]-expected_production[[#This Row],[Commissioned Date]])/365.25),"")</f>
        <v>3.592060232717317</v>
      </c>
      <c r="F2009" s="49">
        <f>IF(expected_production[[#This Row],[Age (yrs)]]="",1,(1-DegradationRate)^expected_production[[#This Row],[Age (yrs)]])</f>
        <v>0.97508284733822836</v>
      </c>
      <c r="G2009" s="52">
        <f>IF(expected_production[[#This Row],[Base Expected (kWh)]]="","",expected_production[[#This Row],[Base Expected (kWh)]]*expected_production[[#This Row],[Degradation Factor]])</f>
        <v>3975.412768597957</v>
      </c>
    </row>
    <row r="2010" spans="1:7" ht="15" hidden="1" customHeight="1" x14ac:dyDescent="0.3">
      <c r="A2010" t="s">
        <v>177</v>
      </c>
      <c r="B2010" s="2">
        <v>46113</v>
      </c>
      <c r="C2010" s="52">
        <v>3573.9</v>
      </c>
      <c r="D2010" s="48">
        <f>_xlfn.XLOOKUP(expected_production[[#This Row],[Site Name]],Table1[[Site Name ]],Table1[Commisioned Date],"")</f>
        <v>44770</v>
      </c>
      <c r="E2010" s="47">
        <f>IF(ISNUMBER(expected_production[[#This Row],[Commissioned Date]]),MAX(0,(expected_production[[#This Row],[Date]]-expected_production[[#This Row],[Commissioned Date]])/365.25),"")</f>
        <v>3.676933607118412</v>
      </c>
      <c r="F2010" s="49">
        <f>IF(expected_production[[#This Row],[Age (yrs)]]="",1,(1-DegradationRate)^expected_production[[#This Row],[Age (yrs)]])</f>
        <v>0.97450167350612671</v>
      </c>
      <c r="G2010" s="52">
        <f>IF(expected_production[[#This Row],[Base Expected (kWh)]]="","",expected_production[[#This Row],[Base Expected (kWh)]]*expected_production[[#This Row],[Degradation Factor]])</f>
        <v>3482.7715309435462</v>
      </c>
    </row>
    <row r="2011" spans="1:7" ht="15" hidden="1" customHeight="1" x14ac:dyDescent="0.3">
      <c r="A2011" t="s">
        <v>177</v>
      </c>
      <c r="B2011" s="2">
        <v>46143</v>
      </c>
      <c r="C2011" s="52">
        <v>3623.4</v>
      </c>
      <c r="D2011" s="48">
        <f>_xlfn.XLOOKUP(expected_production[[#This Row],[Site Name]],Table1[[Site Name ]],Table1[Commisioned Date],"")</f>
        <v>44770</v>
      </c>
      <c r="E2011" s="47">
        <f>IF(ISNUMBER(expected_production[[#This Row],[Commissioned Date]]),MAX(0,(expected_production[[#This Row],[Date]]-expected_production[[#This Row],[Commissioned Date]])/365.25),"")</f>
        <v>3.7590691307323749</v>
      </c>
      <c r="F2011" s="49">
        <f>IF(expected_production[[#This Row],[Age (yrs)]]="",1,(1-DegradationRate)^expected_production[[#This Row],[Age (yrs)]])</f>
        <v>0.97393957703250722</v>
      </c>
      <c r="G2011" s="52">
        <f>IF(expected_production[[#This Row],[Base Expected (kWh)]]="","",expected_production[[#This Row],[Base Expected (kWh)]]*expected_production[[#This Row],[Degradation Factor]])</f>
        <v>3528.9726634195868</v>
      </c>
    </row>
    <row r="2012" spans="1:7" ht="15" hidden="1" customHeight="1" x14ac:dyDescent="0.3">
      <c r="A2012" t="s">
        <v>177</v>
      </c>
      <c r="B2012" s="2">
        <v>46174</v>
      </c>
      <c r="C2012" s="52">
        <v>3360.6</v>
      </c>
      <c r="D2012" s="48">
        <f>_xlfn.XLOOKUP(expected_production[[#This Row],[Site Name]],Table1[[Site Name ]],Table1[Commisioned Date],"")</f>
        <v>44770</v>
      </c>
      <c r="E2012" s="47">
        <f>IF(ISNUMBER(expected_production[[#This Row],[Commissioned Date]]),MAX(0,(expected_production[[#This Row],[Date]]-expected_production[[#This Row],[Commissioned Date]])/365.25),"")</f>
        <v>3.8439425051334704</v>
      </c>
      <c r="F2012" s="49">
        <f>IF(expected_production[[#This Row],[Age (yrs)]]="",1,(1-DegradationRate)^expected_production[[#This Row],[Age (yrs)]])</f>
        <v>0.97335908461818099</v>
      </c>
      <c r="G2012" s="52">
        <f>IF(expected_production[[#This Row],[Base Expected (kWh)]]="","",expected_production[[#This Row],[Base Expected (kWh)]]*expected_production[[#This Row],[Degradation Factor]])</f>
        <v>3271.0705397678589</v>
      </c>
    </row>
    <row r="2013" spans="1:7" ht="15" hidden="1" customHeight="1" x14ac:dyDescent="0.3">
      <c r="A2013" t="s">
        <v>177</v>
      </c>
      <c r="B2013" s="2">
        <v>46204</v>
      </c>
      <c r="C2013" s="52">
        <v>3665.7</v>
      </c>
      <c r="D2013" s="48">
        <f>_xlfn.XLOOKUP(expected_production[[#This Row],[Site Name]],Table1[[Site Name ]],Table1[Commisioned Date],"")</f>
        <v>44770</v>
      </c>
      <c r="E2013" s="47">
        <f>IF(ISNUMBER(expected_production[[#This Row],[Commissioned Date]]),MAX(0,(expected_production[[#This Row],[Date]]-expected_production[[#This Row],[Commissioned Date]])/365.25),"")</f>
        <v>3.9260780287474333</v>
      </c>
      <c r="F2013" s="49">
        <f>IF(expected_production[[#This Row],[Age (yrs)]]="",1,(1-DegradationRate)^expected_production[[#This Row],[Age (yrs)]])</f>
        <v>0.97279764719441453</v>
      </c>
      <c r="G2013" s="52">
        <f>IF(expected_production[[#This Row],[Base Expected (kWh)]]="","",expected_production[[#This Row],[Base Expected (kWh)]]*expected_production[[#This Row],[Degradation Factor]])</f>
        <v>3565.9843353205652</v>
      </c>
    </row>
    <row r="2014" spans="1:7" ht="15" hidden="1" customHeight="1" x14ac:dyDescent="0.3">
      <c r="A2014" t="s">
        <v>177</v>
      </c>
      <c r="B2014" s="2">
        <v>46235</v>
      </c>
      <c r="C2014" s="52">
        <v>4104</v>
      </c>
      <c r="D2014" s="48">
        <f>_xlfn.XLOOKUP(expected_production[[#This Row],[Site Name]],Table1[[Site Name ]],Table1[Commisioned Date],"")</f>
        <v>44770</v>
      </c>
      <c r="E2014" s="47">
        <f>IF(ISNUMBER(expected_production[[#This Row],[Commissioned Date]]),MAX(0,(expected_production[[#This Row],[Date]]-expected_production[[#This Row],[Commissioned Date]])/365.25),"")</f>
        <v>4.0109514031485283</v>
      </c>
      <c r="F2014" s="49">
        <f>IF(expected_production[[#This Row],[Age (yrs)]]="",1,(1-DegradationRate)^expected_production[[#This Row],[Age (yrs)]])</f>
        <v>0.97221783539891149</v>
      </c>
      <c r="G2014" s="52">
        <f>IF(expected_production[[#This Row],[Base Expected (kWh)]]="","",expected_production[[#This Row],[Base Expected (kWh)]]*expected_production[[#This Row],[Degradation Factor]])</f>
        <v>3989.9819964771327</v>
      </c>
    </row>
    <row r="2015" spans="1:7" ht="15" hidden="1" customHeight="1" x14ac:dyDescent="0.3">
      <c r="A2015" t="s">
        <v>177</v>
      </c>
      <c r="B2015" s="2">
        <v>46266</v>
      </c>
      <c r="C2015" s="52">
        <v>4274.1000000000004</v>
      </c>
      <c r="D2015" s="48">
        <f>_xlfn.XLOOKUP(expected_production[[#This Row],[Site Name]],Table1[[Site Name ]],Table1[Commisioned Date],"")</f>
        <v>44770</v>
      </c>
      <c r="E2015" s="47">
        <f>IF(ISNUMBER(expected_production[[#This Row],[Commissioned Date]]),MAX(0,(expected_production[[#This Row],[Date]]-expected_production[[#This Row],[Commissioned Date]])/365.25),"")</f>
        <v>4.0958247775496233</v>
      </c>
      <c r="F2015" s="49">
        <f>IF(expected_production[[#This Row],[Age (yrs)]]="",1,(1-DegradationRate)^expected_production[[#This Row],[Age (yrs)]])</f>
        <v>0.97163836918578028</v>
      </c>
      <c r="G2015" s="52">
        <f>IF(expected_production[[#This Row],[Base Expected (kWh)]]="","",expected_production[[#This Row],[Base Expected (kWh)]]*expected_production[[#This Row],[Degradation Factor]])</f>
        <v>4152.8795537369442</v>
      </c>
    </row>
    <row r="2016" spans="1:7" ht="15" hidden="1" customHeight="1" x14ac:dyDescent="0.3">
      <c r="A2016" t="s">
        <v>177</v>
      </c>
      <c r="B2016" s="2">
        <v>46296</v>
      </c>
      <c r="C2016" s="52">
        <v>4289.3999999999996</v>
      </c>
      <c r="D2016" s="48">
        <f>_xlfn.XLOOKUP(expected_production[[#This Row],[Site Name]],Table1[[Site Name ]],Table1[Commisioned Date],"")</f>
        <v>44770</v>
      </c>
      <c r="E2016" s="47">
        <f>IF(ISNUMBER(expected_production[[#This Row],[Commissioned Date]]),MAX(0,(expected_production[[#This Row],[Date]]-expected_production[[#This Row],[Commissioned Date]])/365.25),"")</f>
        <v>4.1779603011635862</v>
      </c>
      <c r="F2016" s="49">
        <f>IF(expected_production[[#This Row],[Age (yrs)]]="",1,(1-DegradationRate)^expected_production[[#This Row],[Age (yrs)]])</f>
        <v>0.97107792427757633</v>
      </c>
      <c r="G2016" s="52">
        <f>IF(expected_production[[#This Row],[Base Expected (kWh)]]="","",expected_production[[#This Row],[Base Expected (kWh)]]*expected_production[[#This Row],[Degradation Factor]])</f>
        <v>4165.3416483962355</v>
      </c>
    </row>
    <row r="2017" spans="1:7" ht="15" hidden="1" customHeight="1" x14ac:dyDescent="0.3">
      <c r="A2017" t="s">
        <v>177</v>
      </c>
      <c r="B2017" s="2">
        <v>46327</v>
      </c>
      <c r="C2017" s="52">
        <v>4249.8</v>
      </c>
      <c r="D2017" s="48">
        <f>_xlfn.XLOOKUP(expected_production[[#This Row],[Site Name]],Table1[[Site Name ]],Table1[Commisioned Date],"")</f>
        <v>44770</v>
      </c>
      <c r="E2017" s="47">
        <f>IF(ISNUMBER(expected_production[[#This Row],[Commissioned Date]]),MAX(0,(expected_production[[#This Row],[Date]]-expected_production[[#This Row],[Commissioned Date]])/365.25),"")</f>
        <v>4.2628336755646821</v>
      </c>
      <c r="F2017" s="49">
        <f>IF(expected_production[[#This Row],[Age (yrs)]]="",1,(1-DegradationRate)^expected_production[[#This Row],[Age (yrs)]])</f>
        <v>0.97049913748006233</v>
      </c>
      <c r="G2017" s="52">
        <f>IF(expected_production[[#This Row],[Base Expected (kWh)]]="","",expected_production[[#This Row],[Base Expected (kWh)]]*expected_production[[#This Row],[Degradation Factor]])</f>
        <v>4124.4272344627689</v>
      </c>
    </row>
    <row r="2018" spans="1:7" ht="15" hidden="1" customHeight="1" x14ac:dyDescent="0.3">
      <c r="A2018" t="s">
        <v>177</v>
      </c>
      <c r="B2018" s="2">
        <v>46357</v>
      </c>
      <c r="C2018" s="52">
        <v>4446</v>
      </c>
      <c r="D2018" s="48">
        <f>_xlfn.XLOOKUP(expected_production[[#This Row],[Site Name]],Table1[[Site Name ]],Table1[Commisioned Date],"")</f>
        <v>44770</v>
      </c>
      <c r="E2018" s="47">
        <f>IF(ISNUMBER(expected_production[[#This Row],[Commissioned Date]]),MAX(0,(expected_production[[#This Row],[Date]]-expected_production[[#This Row],[Commissioned Date]])/365.25),"")</f>
        <v>4.344969199178645</v>
      </c>
      <c r="F2018" s="49">
        <f>IF(expected_production[[#This Row],[Age (yrs)]]="",1,(1-DegradationRate)^expected_production[[#This Row],[Age (yrs)]])</f>
        <v>0.96993934968527529</v>
      </c>
      <c r="G2018" s="52">
        <f>IF(expected_production[[#This Row],[Base Expected (kWh)]]="","",expected_production[[#This Row],[Base Expected (kWh)]]*expected_production[[#This Row],[Degradation Factor]])</f>
        <v>4312.3503487007338</v>
      </c>
    </row>
    <row r="2019" spans="1:7" ht="15" hidden="1" customHeight="1" x14ac:dyDescent="0.3">
      <c r="A2019" t="s">
        <v>265</v>
      </c>
      <c r="B2019" s="2">
        <v>45292</v>
      </c>
      <c r="C2019" s="52">
        <v>23065.02</v>
      </c>
      <c r="D2019" s="48">
        <f>_xlfn.XLOOKUP(expected_production[[#This Row],[Site Name]],Table1[[Site Name ]],Table1[Commisioned Date],"")</f>
        <v>44770</v>
      </c>
      <c r="E2019" s="47">
        <f>IF(ISNUMBER(expected_production[[#This Row],[Commissioned Date]]),MAX(0,(expected_production[[#This Row],[Date]]-expected_production[[#This Row],[Commissioned Date]])/365.25),"")</f>
        <v>1.429158110882957</v>
      </c>
      <c r="F2019" s="49">
        <f>IF(expected_production[[#This Row],[Age (yrs)]]="",1,(1-DegradationRate)^expected_production[[#This Row],[Age (yrs)]])</f>
        <v>0.99001093999654977</v>
      </c>
      <c r="G2019" s="52">
        <f>IF(expected_production[[#This Row],[Base Expected (kWh)]]="","",expected_production[[#This Row],[Base Expected (kWh)]]*expected_production[[#This Row],[Degradation Factor]])</f>
        <v>22834.622131239219</v>
      </c>
    </row>
    <row r="2020" spans="1:7" ht="15" hidden="1" customHeight="1" x14ac:dyDescent="0.3">
      <c r="A2020" t="s">
        <v>265</v>
      </c>
      <c r="B2020" s="2">
        <v>45323</v>
      </c>
      <c r="C2020" s="52">
        <v>20354.849999999999</v>
      </c>
      <c r="D2020" s="48">
        <f>_xlfn.XLOOKUP(expected_production[[#This Row],[Site Name]],Table1[[Site Name ]],Table1[Commisioned Date],"")</f>
        <v>44770</v>
      </c>
      <c r="E2020" s="47">
        <f>IF(ISNUMBER(expected_production[[#This Row],[Commissioned Date]]),MAX(0,(expected_production[[#This Row],[Date]]-expected_production[[#This Row],[Commissioned Date]])/365.25),"")</f>
        <v>1.514031485284052</v>
      </c>
      <c r="F2020" s="49">
        <f>IF(expected_production[[#This Row],[Age (yrs)]]="",1,(1-DegradationRate)^expected_production[[#This Row],[Age (yrs)]])</f>
        <v>0.9894208686468271</v>
      </c>
      <c r="G2020" s="52">
        <f>IF(expected_production[[#This Row],[Base Expected (kWh)]]="","",expected_production[[#This Row],[Base Expected (kWh)]]*expected_production[[#This Row],[Degradation Factor]])</f>
        <v>20139.513368175867</v>
      </c>
    </row>
    <row r="2021" spans="1:7" ht="15" hidden="1" customHeight="1" x14ac:dyDescent="0.3">
      <c r="A2021" t="s">
        <v>265</v>
      </c>
      <c r="B2021" s="2">
        <v>45352</v>
      </c>
      <c r="C2021" s="52">
        <v>21716.37</v>
      </c>
      <c r="D2021" s="48">
        <f>_xlfn.XLOOKUP(expected_production[[#This Row],[Site Name]],Table1[[Site Name ]],Table1[Commisioned Date],"")</f>
        <v>44770</v>
      </c>
      <c r="E2021" s="47">
        <f>IF(ISNUMBER(expected_production[[#This Row],[Commissioned Date]]),MAX(0,(expected_production[[#This Row],[Date]]-expected_production[[#This Row],[Commissioned Date]])/365.25),"")</f>
        <v>1.593429158110883</v>
      </c>
      <c r="F2021" s="49">
        <f>IF(expected_production[[#This Row],[Age (yrs)]]="",1,(1-DegradationRate)^expected_production[[#This Row],[Age (yrs)]])</f>
        <v>0.98886918481456199</v>
      </c>
      <c r="G2021" s="52">
        <f>IF(expected_production[[#This Row],[Base Expected (kWh)]]="","",expected_production[[#This Row],[Base Expected (kWh)]]*expected_production[[#This Row],[Degradation Factor]])</f>
        <v>21474.649099031409</v>
      </c>
    </row>
    <row r="2022" spans="1:7" ht="15" hidden="1" customHeight="1" x14ac:dyDescent="0.3">
      <c r="A2022" t="s">
        <v>265</v>
      </c>
      <c r="B2022" s="2">
        <v>45383</v>
      </c>
      <c r="C2022" s="52">
        <v>18847.89</v>
      </c>
      <c r="D2022" s="48">
        <f>_xlfn.XLOOKUP(expected_production[[#This Row],[Site Name]],Table1[[Site Name ]],Table1[Commisioned Date],"")</f>
        <v>44770</v>
      </c>
      <c r="E2022" s="47">
        <f>IF(ISNUMBER(expected_production[[#This Row],[Commissioned Date]]),MAX(0,(expected_production[[#This Row],[Date]]-expected_production[[#This Row],[Commissioned Date]])/365.25),"")</f>
        <v>1.678302532511978</v>
      </c>
      <c r="F2022" s="49">
        <f>IF(expected_production[[#This Row],[Age (yrs)]]="",1,(1-DegradationRate)^expected_production[[#This Row],[Age (yrs)]])</f>
        <v>0.98827979397956311</v>
      </c>
      <c r="G2022" s="52">
        <f>IF(expected_production[[#This Row],[Base Expected (kWh)]]="","",expected_production[[#This Row],[Base Expected (kWh)]]*expected_production[[#This Row],[Degradation Factor]])</f>
        <v>18626.988846149467</v>
      </c>
    </row>
    <row r="2023" spans="1:7" ht="15" hidden="1" customHeight="1" x14ac:dyDescent="0.3">
      <c r="A2023" t="s">
        <v>265</v>
      </c>
      <c r="B2023" s="2">
        <v>45413</v>
      </c>
      <c r="C2023" s="52">
        <v>18700.919999999998</v>
      </c>
      <c r="D2023" s="48">
        <f>_xlfn.XLOOKUP(expected_production[[#This Row],[Site Name]],Table1[[Site Name ]],Table1[Commisioned Date],"")</f>
        <v>44770</v>
      </c>
      <c r="E2023" s="47">
        <f>IF(ISNUMBER(expected_production[[#This Row],[Commissioned Date]]),MAX(0,(expected_production[[#This Row],[Date]]-expected_production[[#This Row],[Commissioned Date]])/365.25),"")</f>
        <v>1.7604380561259412</v>
      </c>
      <c r="F2023" s="49">
        <f>IF(expected_production[[#This Row],[Age (yrs)]]="",1,(1-DegradationRate)^expected_production[[#This Row],[Age (yrs)]])</f>
        <v>0.98770975023079588</v>
      </c>
      <c r="G2023" s="52">
        <f>IF(expected_production[[#This Row],[Base Expected (kWh)]]="","",expected_production[[#This Row],[Base Expected (kWh)]]*expected_production[[#This Row],[Degradation Factor]])</f>
        <v>18471.081022286093</v>
      </c>
    </row>
    <row r="2024" spans="1:7" ht="15" hidden="1" customHeight="1" x14ac:dyDescent="0.3">
      <c r="A2024" t="s">
        <v>265</v>
      </c>
      <c r="B2024" s="2">
        <v>45444</v>
      </c>
      <c r="C2024" s="52">
        <v>17164.439999999999</v>
      </c>
      <c r="D2024" s="48">
        <f>_xlfn.XLOOKUP(expected_production[[#This Row],[Site Name]],Table1[[Site Name ]],Table1[Commisioned Date],"")</f>
        <v>44770</v>
      </c>
      <c r="E2024" s="47">
        <f>IF(ISNUMBER(expected_production[[#This Row],[Commissioned Date]]),MAX(0,(expected_production[[#This Row],[Date]]-expected_production[[#This Row],[Commissioned Date]])/365.25),"")</f>
        <v>1.8453114305270362</v>
      </c>
      <c r="F2024" s="49">
        <f>IF(expected_production[[#This Row],[Age (yrs)]]="",1,(1-DegradationRate)^expected_production[[#This Row],[Age (yrs)]])</f>
        <v>0.98712105044788745</v>
      </c>
      <c r="G2024" s="52">
        <f>IF(expected_production[[#This Row],[Base Expected (kWh)]]="","",expected_production[[#This Row],[Base Expected (kWh)]]*expected_production[[#This Row],[Degradation Factor]])</f>
        <v>16943.380043149737</v>
      </c>
    </row>
    <row r="2025" spans="1:7" ht="15" hidden="1" customHeight="1" x14ac:dyDescent="0.3">
      <c r="A2025" t="s">
        <v>265</v>
      </c>
      <c r="B2025" s="2">
        <v>45474</v>
      </c>
      <c r="C2025" s="52">
        <v>18821.97</v>
      </c>
      <c r="D2025" s="48">
        <f>_xlfn.XLOOKUP(expected_production[[#This Row],[Site Name]],Table1[[Site Name ]],Table1[Commisioned Date],"")</f>
        <v>44770</v>
      </c>
      <c r="E2025" s="47">
        <f>IF(ISNUMBER(expected_production[[#This Row],[Commissioned Date]]),MAX(0,(expected_production[[#This Row],[Date]]-expected_production[[#This Row],[Commissioned Date]])/365.25),"")</f>
        <v>1.9274469541409993</v>
      </c>
      <c r="F2025" s="49">
        <f>IF(expected_production[[#This Row],[Age (yrs)]]="",1,(1-DegradationRate)^expected_production[[#This Row],[Age (yrs)]])</f>
        <v>0.98655167506703656</v>
      </c>
      <c r="G2025" s="52">
        <f>IF(expected_production[[#This Row],[Base Expected (kWh)]]="","",expected_production[[#This Row],[Base Expected (kWh)]]*expected_production[[#This Row],[Degradation Factor]])</f>
        <v>18568.846031561512</v>
      </c>
    </row>
    <row r="2026" spans="1:7" ht="15" hidden="1" customHeight="1" x14ac:dyDescent="0.3">
      <c r="A2026" t="s">
        <v>265</v>
      </c>
      <c r="B2026" s="2">
        <v>45505</v>
      </c>
      <c r="C2026" s="52">
        <v>21497.67</v>
      </c>
      <c r="D2026" s="48">
        <f>_xlfn.XLOOKUP(expected_production[[#This Row],[Site Name]],Table1[[Site Name ]],Table1[Commisioned Date],"")</f>
        <v>44770</v>
      </c>
      <c r="E2026" s="47">
        <f>IF(ISNUMBER(expected_production[[#This Row],[Commissioned Date]]),MAX(0,(expected_production[[#This Row],[Date]]-expected_production[[#This Row],[Commissioned Date]])/365.25),"")</f>
        <v>2.0123203285420943</v>
      </c>
      <c r="F2026" s="49">
        <f>IF(expected_production[[#This Row],[Age (yrs)]]="",1,(1-DegradationRate)^expected_production[[#This Row],[Age (yrs)]])</f>
        <v>0.98596366552597026</v>
      </c>
      <c r="G2026" s="52">
        <f>IF(expected_production[[#This Row],[Base Expected (kWh)]]="","",expected_production[[#This Row],[Base Expected (kWh)]]*expected_production[[#This Row],[Degradation Factor]])</f>
        <v>21195.921513467682</v>
      </c>
    </row>
    <row r="2027" spans="1:7" ht="15" hidden="1" customHeight="1" x14ac:dyDescent="0.3">
      <c r="A2027" t="s">
        <v>265</v>
      </c>
      <c r="B2027" s="2">
        <v>45536</v>
      </c>
      <c r="C2027" s="52">
        <v>22688.37</v>
      </c>
      <c r="D2027" s="48">
        <f>_xlfn.XLOOKUP(expected_production[[#This Row],[Site Name]],Table1[[Site Name ]],Table1[Commisioned Date],"")</f>
        <v>44770</v>
      </c>
      <c r="E2027" s="47">
        <f>IF(ISNUMBER(expected_production[[#This Row],[Commissioned Date]]),MAX(0,(expected_production[[#This Row],[Date]]-expected_production[[#This Row],[Commissioned Date]])/365.25),"")</f>
        <v>2.0971937029431897</v>
      </c>
      <c r="F2027" s="49">
        <f>IF(expected_production[[#This Row],[Age (yrs)]]="",1,(1-DegradationRate)^expected_production[[#This Row],[Age (yrs)]])</f>
        <v>0.98537600645333778</v>
      </c>
      <c r="G2027" s="52">
        <f>IF(expected_production[[#This Row],[Base Expected (kWh)]]="","",expected_production[[#This Row],[Base Expected (kWh)]]*expected_production[[#This Row],[Degradation Factor]])</f>
        <v>22356.575423535713</v>
      </c>
    </row>
    <row r="2028" spans="1:7" ht="15" hidden="1" customHeight="1" x14ac:dyDescent="0.3">
      <c r="A2028" t="s">
        <v>265</v>
      </c>
      <c r="B2028" s="2">
        <v>45566</v>
      </c>
      <c r="C2028" s="52">
        <v>22841.55</v>
      </c>
      <c r="D2028" s="48">
        <f>_xlfn.XLOOKUP(expected_production[[#This Row],[Site Name]],Table1[[Site Name ]],Table1[Commisioned Date],"")</f>
        <v>44770</v>
      </c>
      <c r="E2028" s="47">
        <f>IF(ISNUMBER(expected_production[[#This Row],[Commissioned Date]]),MAX(0,(expected_production[[#This Row],[Date]]-expected_production[[#This Row],[Commissioned Date]])/365.25),"")</f>
        <v>2.1793292265571527</v>
      </c>
      <c r="F2028" s="49">
        <f>IF(expected_production[[#This Row],[Age (yrs)]]="",1,(1-DegradationRate)^expected_production[[#This Row],[Age (yrs)]])</f>
        <v>0.98480763762086165</v>
      </c>
      <c r="G2028" s="52">
        <f>IF(expected_production[[#This Row],[Base Expected (kWh)]]="","",expected_production[[#This Row],[Base Expected (kWh)]]*expected_production[[#This Row],[Degradation Factor]])</f>
        <v>22494.532895098793</v>
      </c>
    </row>
    <row r="2029" spans="1:7" ht="15" hidden="1" customHeight="1" x14ac:dyDescent="0.3">
      <c r="A2029" t="s">
        <v>265</v>
      </c>
      <c r="B2029" s="2">
        <v>45597</v>
      </c>
      <c r="C2029" s="52">
        <v>22507.919999999998</v>
      </c>
      <c r="D2029" s="48">
        <f>_xlfn.XLOOKUP(expected_production[[#This Row],[Site Name]],Table1[[Site Name ]],Table1[Commisioned Date],"")</f>
        <v>44770</v>
      </c>
      <c r="E2029" s="47">
        <f>IF(ISNUMBER(expected_production[[#This Row],[Commissioned Date]]),MAX(0,(expected_production[[#This Row],[Date]]-expected_production[[#This Row],[Commissioned Date]])/365.25),"")</f>
        <v>2.2642026009582477</v>
      </c>
      <c r="F2029" s="49">
        <f>IF(expected_production[[#This Row],[Age (yrs)]]="",1,(1-DegradationRate)^expected_production[[#This Row],[Age (yrs)]])</f>
        <v>0.98422066756985371</v>
      </c>
      <c r="G2029" s="52">
        <f>IF(expected_production[[#This Row],[Base Expected (kWh)]]="","",expected_production[[#This Row],[Base Expected (kWh)]]*expected_production[[#This Row],[Degradation Factor]])</f>
        <v>22152.760048008859</v>
      </c>
    </row>
    <row r="2030" spans="1:7" ht="15" hidden="1" customHeight="1" x14ac:dyDescent="0.3">
      <c r="A2030" t="s">
        <v>265</v>
      </c>
      <c r="B2030" s="2">
        <v>45627</v>
      </c>
      <c r="C2030" s="52">
        <v>23494.59</v>
      </c>
      <c r="D2030" s="48">
        <f>_xlfn.XLOOKUP(expected_production[[#This Row],[Site Name]],Table1[[Site Name ]],Table1[Commisioned Date],"")</f>
        <v>44770</v>
      </c>
      <c r="E2030" s="47">
        <f>IF(ISNUMBER(expected_production[[#This Row],[Commissioned Date]]),MAX(0,(expected_production[[#This Row],[Date]]-expected_production[[#This Row],[Commissioned Date]])/365.25),"")</f>
        <v>2.346338124572211</v>
      </c>
      <c r="F2030" s="49">
        <f>IF(expected_production[[#This Row],[Age (yrs)]]="",1,(1-DegradationRate)^expected_production[[#This Row],[Age (yrs)]])</f>
        <v>0.98365296514147915</v>
      </c>
      <c r="G2030" s="52">
        <f>IF(expected_production[[#This Row],[Base Expected (kWh)]]="","",expected_production[[#This Row],[Base Expected (kWh)]]*expected_production[[#This Row],[Degradation Factor]])</f>
        <v>23110.523118283345</v>
      </c>
    </row>
    <row r="2031" spans="1:7" ht="15" hidden="1" customHeight="1" x14ac:dyDescent="0.3">
      <c r="A2031" t="s">
        <v>265</v>
      </c>
      <c r="B2031" s="2">
        <v>45658</v>
      </c>
      <c r="C2031" s="52">
        <v>23065.02</v>
      </c>
      <c r="D2031" s="48">
        <f>_xlfn.XLOOKUP(expected_production[[#This Row],[Site Name]],Table1[[Site Name ]],Table1[Commisioned Date],"")</f>
        <v>44770</v>
      </c>
      <c r="E2031" s="47">
        <f>IF(ISNUMBER(expected_production[[#This Row],[Commissioned Date]]),MAX(0,(expected_production[[#This Row],[Date]]-expected_production[[#This Row],[Commissioned Date]])/365.25),"")</f>
        <v>2.431211498973306</v>
      </c>
      <c r="F2031" s="49">
        <f>IF(expected_production[[#This Row],[Age (yrs)]]="",1,(1-DegradationRate)^expected_production[[#This Row],[Age (yrs)]])</f>
        <v>0.98306668330422819</v>
      </c>
      <c r="G2031" s="52">
        <f>IF(expected_production[[#This Row],[Base Expected (kWh)]]="","",expected_production[[#This Row],[Base Expected (kWh)]]*expected_production[[#This Row],[Degradation Factor]])</f>
        <v>22674.452711745689</v>
      </c>
    </row>
    <row r="2032" spans="1:7" ht="15" hidden="1" customHeight="1" x14ac:dyDescent="0.3">
      <c r="A2032" t="s">
        <v>265</v>
      </c>
      <c r="B2032" s="2">
        <v>45689</v>
      </c>
      <c r="C2032" s="52">
        <v>20354.849999999999</v>
      </c>
      <c r="D2032" s="48">
        <f>_xlfn.XLOOKUP(expected_production[[#This Row],[Site Name]],Table1[[Site Name ]],Table1[Commisioned Date],"")</f>
        <v>44770</v>
      </c>
      <c r="E2032" s="47">
        <f>IF(ISNUMBER(expected_production[[#This Row],[Commissioned Date]]),MAX(0,(expected_production[[#This Row],[Date]]-expected_production[[#This Row],[Commissioned Date]])/365.25),"")</f>
        <v>2.516084873374401</v>
      </c>
      <c r="F2032" s="49">
        <f>IF(expected_production[[#This Row],[Age (yrs)]]="",1,(1-DegradationRate)^expected_production[[#This Row],[Age (yrs)]])</f>
        <v>0.98248075090565623</v>
      </c>
      <c r="G2032" s="52">
        <f>IF(expected_production[[#This Row],[Base Expected (kWh)]]="","",expected_production[[#This Row],[Base Expected (kWh)]]*expected_production[[#This Row],[Degradation Factor]])</f>
        <v>19998.248312571995</v>
      </c>
    </row>
    <row r="2033" spans="1:7" ht="15" hidden="1" customHeight="1" x14ac:dyDescent="0.3">
      <c r="A2033" t="s">
        <v>265</v>
      </c>
      <c r="B2033" s="2">
        <v>45717</v>
      </c>
      <c r="C2033" s="52">
        <v>21716.37</v>
      </c>
      <c r="D2033" s="48">
        <f>_xlfn.XLOOKUP(expected_production[[#This Row],[Site Name]],Table1[[Site Name ]],Table1[Commisioned Date],"")</f>
        <v>44770</v>
      </c>
      <c r="E2033" s="47">
        <f>IF(ISNUMBER(expected_production[[#This Row],[Commissioned Date]]),MAX(0,(expected_production[[#This Row],[Date]]-expected_production[[#This Row],[Commissioned Date]])/365.25),"")</f>
        <v>2.5927446954140998</v>
      </c>
      <c r="F2033" s="49">
        <f>IF(expected_production[[#This Row],[Age (yrs)]]="",1,(1-DegradationRate)^expected_production[[#This Row],[Age (yrs)]])</f>
        <v>0.98195182181918472</v>
      </c>
      <c r="G2033" s="52">
        <f>IF(expected_production[[#This Row],[Base Expected (kWh)]]="","",expected_production[[#This Row],[Base Expected (kWh)]]*expected_production[[#This Row],[Degradation Factor]])</f>
        <v>21324.429084799489</v>
      </c>
    </row>
    <row r="2034" spans="1:7" ht="15" hidden="1" customHeight="1" x14ac:dyDescent="0.3">
      <c r="A2034" t="s">
        <v>265</v>
      </c>
      <c r="B2034" s="2">
        <v>45748</v>
      </c>
      <c r="C2034" s="52">
        <v>18847.89</v>
      </c>
      <c r="D2034" s="48">
        <f>_xlfn.XLOOKUP(expected_production[[#This Row],[Site Name]],Table1[[Site Name ]],Table1[Commisioned Date],"")</f>
        <v>44770</v>
      </c>
      <c r="E2034" s="47">
        <f>IF(ISNUMBER(expected_production[[#This Row],[Commissioned Date]]),MAX(0,(expected_production[[#This Row],[Date]]-expected_production[[#This Row],[Commissioned Date]])/365.25),"")</f>
        <v>2.6776180698151952</v>
      </c>
      <c r="F2034" s="49">
        <f>IF(expected_production[[#This Row],[Age (yrs)]]="",1,(1-DegradationRate)^expected_production[[#This Row],[Age (yrs)]])</f>
        <v>0.98136655390601857</v>
      </c>
      <c r="G2034" s="52">
        <f>IF(expected_production[[#This Row],[Base Expected (kWh)]]="","",expected_production[[#This Row],[Base Expected (kWh)]]*expected_production[[#This Row],[Degradation Factor]])</f>
        <v>18496.688857699708</v>
      </c>
    </row>
    <row r="2035" spans="1:7" ht="15" hidden="1" customHeight="1" x14ac:dyDescent="0.3">
      <c r="A2035" t="s">
        <v>265</v>
      </c>
      <c r="B2035" s="2">
        <v>45778</v>
      </c>
      <c r="C2035" s="52">
        <v>18700.919999999998</v>
      </c>
      <c r="D2035" s="48">
        <f>_xlfn.XLOOKUP(expected_production[[#This Row],[Site Name]],Table1[[Site Name ]],Table1[Commisioned Date],"")</f>
        <v>44770</v>
      </c>
      <c r="E2035" s="47">
        <f>IF(ISNUMBER(expected_production[[#This Row],[Commissioned Date]]),MAX(0,(expected_production[[#This Row],[Date]]-expected_production[[#This Row],[Commissioned Date]])/365.25),"")</f>
        <v>2.7597535934291582</v>
      </c>
      <c r="F2035" s="49">
        <f>IF(expected_production[[#This Row],[Age (yrs)]]="",1,(1-DegradationRate)^expected_production[[#This Row],[Age (yrs)]])</f>
        <v>0.98080049774185196</v>
      </c>
      <c r="G2035" s="52">
        <f>IF(expected_production[[#This Row],[Base Expected (kWh)]]="","",expected_production[[#This Row],[Base Expected (kWh)]]*expected_production[[#This Row],[Degradation Factor]])</f>
        <v>18341.871644230552</v>
      </c>
    </row>
    <row r="2036" spans="1:7" ht="15" hidden="1" customHeight="1" x14ac:dyDescent="0.3">
      <c r="A2036" t="s">
        <v>265</v>
      </c>
      <c r="B2036" s="2">
        <v>45809</v>
      </c>
      <c r="C2036" s="52">
        <v>17164.439999999999</v>
      </c>
      <c r="D2036" s="48">
        <f>_xlfn.XLOOKUP(expected_production[[#This Row],[Site Name]],Table1[[Site Name ]],Table1[Commisioned Date],"")</f>
        <v>44770</v>
      </c>
      <c r="E2036" s="47">
        <f>IF(ISNUMBER(expected_production[[#This Row],[Commissioned Date]]),MAX(0,(expected_production[[#This Row],[Date]]-expected_production[[#This Row],[Commissioned Date]])/365.25),"")</f>
        <v>2.8446269678302532</v>
      </c>
      <c r="F2036" s="49">
        <f>IF(expected_production[[#This Row],[Age (yrs)]]="",1,(1-DegradationRate)^expected_production[[#This Row],[Age (yrs)]])</f>
        <v>0.9802159160467111</v>
      </c>
      <c r="G2036" s="52">
        <f>IF(expected_production[[#This Row],[Base Expected (kWh)]]="","",expected_production[[#This Row],[Base Expected (kWh)]]*expected_production[[#This Row],[Degradation Factor]])</f>
        <v>16824.857278028809</v>
      </c>
    </row>
    <row r="2037" spans="1:7" ht="15" hidden="1" customHeight="1" x14ac:dyDescent="0.3">
      <c r="A2037" t="s">
        <v>265</v>
      </c>
      <c r="B2037" s="2">
        <v>45839</v>
      </c>
      <c r="C2037" s="52">
        <v>18821.97</v>
      </c>
      <c r="D2037" s="48">
        <f>_xlfn.XLOOKUP(expected_production[[#This Row],[Site Name]],Table1[[Site Name ]],Table1[Commisioned Date],"")</f>
        <v>44770</v>
      </c>
      <c r="E2037" s="47">
        <f>IF(ISNUMBER(expected_production[[#This Row],[Commissioned Date]]),MAX(0,(expected_production[[#This Row],[Date]]-expected_production[[#This Row],[Commissioned Date]])/365.25),"")</f>
        <v>2.9267624914442161</v>
      </c>
      <c r="F2037" s="49">
        <f>IF(expected_production[[#This Row],[Age (yrs)]]="",1,(1-DegradationRate)^expected_production[[#This Row],[Age (yrs)]])</f>
        <v>0.97965052357507665</v>
      </c>
      <c r="G2037" s="52">
        <f>IF(expected_production[[#This Row],[Base Expected (kWh)]]="","",expected_production[[#This Row],[Base Expected (kWh)]]*expected_production[[#This Row],[Degradation Factor]])</f>
        <v>18438.952765214388</v>
      </c>
    </row>
    <row r="2038" spans="1:7" ht="15" hidden="1" customHeight="1" x14ac:dyDescent="0.3">
      <c r="A2038" t="s">
        <v>265</v>
      </c>
      <c r="B2038" s="2">
        <v>45870</v>
      </c>
      <c r="C2038" s="52">
        <v>21497.67</v>
      </c>
      <c r="D2038" s="48">
        <f>_xlfn.XLOOKUP(expected_production[[#This Row],[Site Name]],Table1[[Site Name ]],Table1[Commisioned Date],"")</f>
        <v>44770</v>
      </c>
      <c r="E2038" s="47">
        <f>IF(ISNUMBER(expected_production[[#This Row],[Commissioned Date]]),MAX(0,(expected_production[[#This Row],[Date]]-expected_production[[#This Row],[Commissioned Date]])/365.25),"")</f>
        <v>3.0116358658453115</v>
      </c>
      <c r="F2038" s="49">
        <f>IF(expected_production[[#This Row],[Age (yrs)]]="",1,(1-DegradationRate)^expected_production[[#This Row],[Age (yrs)]])</f>
        <v>0.97906662729338045</v>
      </c>
      <c r="G2038" s="52">
        <f>IF(expected_production[[#This Row],[Base Expected (kWh)]]="","",expected_production[[#This Row],[Base Expected (kWh)]]*expected_production[[#This Row],[Degradation Factor]])</f>
        <v>21047.651261566083</v>
      </c>
    </row>
    <row r="2039" spans="1:7" ht="15" hidden="1" customHeight="1" x14ac:dyDescent="0.3">
      <c r="A2039" t="s">
        <v>265</v>
      </c>
      <c r="B2039" s="2">
        <v>45901</v>
      </c>
      <c r="C2039" s="52">
        <v>22688.37</v>
      </c>
      <c r="D2039" s="48">
        <f>_xlfn.XLOOKUP(expected_production[[#This Row],[Site Name]],Table1[[Site Name ]],Table1[Commisioned Date],"")</f>
        <v>44770</v>
      </c>
      <c r="E2039" s="47">
        <f>IF(ISNUMBER(expected_production[[#This Row],[Commissioned Date]]),MAX(0,(expected_production[[#This Row],[Date]]-expected_production[[#This Row],[Commissioned Date]])/365.25),"")</f>
        <v>3.0965092402464065</v>
      </c>
      <c r="F2039" s="49">
        <f>IF(expected_production[[#This Row],[Age (yrs)]]="",1,(1-DegradationRate)^expected_production[[#This Row],[Age (yrs)]])</f>
        <v>0.97848307902851239</v>
      </c>
      <c r="G2039" s="52">
        <f>IF(expected_production[[#This Row],[Base Expected (kWh)]]="","",expected_production[[#This Row],[Base Expected (kWh)]]*expected_production[[#This Row],[Degradation Factor]])</f>
        <v>22200.186135738128</v>
      </c>
    </row>
    <row r="2040" spans="1:7" ht="15" hidden="1" customHeight="1" x14ac:dyDescent="0.3">
      <c r="A2040" t="s">
        <v>265</v>
      </c>
      <c r="B2040" s="2">
        <v>45931</v>
      </c>
      <c r="C2040" s="52">
        <v>22841.55</v>
      </c>
      <c r="D2040" s="48">
        <f>_xlfn.XLOOKUP(expected_production[[#This Row],[Site Name]],Table1[[Site Name ]],Table1[Commisioned Date],"")</f>
        <v>44770</v>
      </c>
      <c r="E2040" s="47">
        <f>IF(ISNUMBER(expected_production[[#This Row],[Commissioned Date]]),MAX(0,(expected_production[[#This Row],[Date]]-expected_production[[#This Row],[Commissioned Date]])/365.25),"")</f>
        <v>3.1786447638603694</v>
      </c>
      <c r="F2040" s="49">
        <f>IF(expected_production[[#This Row],[Age (yrs)]]="",1,(1-DegradationRate)^expected_production[[#This Row],[Age (yrs)]])</f>
        <v>0.97791868606421972</v>
      </c>
      <c r="G2040" s="52">
        <f>IF(expected_production[[#This Row],[Base Expected (kWh)]]="","",expected_production[[#This Row],[Base Expected (kWh)]]*expected_production[[#This Row],[Degradation Factor]])</f>
        <v>22337.178563670179</v>
      </c>
    </row>
    <row r="2041" spans="1:7" ht="15" hidden="1" customHeight="1" x14ac:dyDescent="0.3">
      <c r="A2041" t="s">
        <v>265</v>
      </c>
      <c r="B2041" s="2">
        <v>45962</v>
      </c>
      <c r="C2041" s="52">
        <v>22507.919999999998</v>
      </c>
      <c r="D2041" s="48">
        <f>_xlfn.XLOOKUP(expected_production[[#This Row],[Site Name]],Table1[[Site Name ]],Table1[Commisioned Date],"")</f>
        <v>44770</v>
      </c>
      <c r="E2041" s="47">
        <f>IF(ISNUMBER(expected_production[[#This Row],[Commissioned Date]]),MAX(0,(expected_production[[#This Row],[Date]]-expected_production[[#This Row],[Commissioned Date]])/365.25),"")</f>
        <v>3.2635181382614649</v>
      </c>
      <c r="F2041" s="49">
        <f>IF(expected_production[[#This Row],[Age (yrs)]]="",1,(1-DegradationRate)^expected_production[[#This Row],[Age (yrs)]])</f>
        <v>0.97733582200111457</v>
      </c>
      <c r="G2041" s="52">
        <f>IF(expected_production[[#This Row],[Base Expected (kWh)]]="","",expected_production[[#This Row],[Base Expected (kWh)]]*expected_production[[#This Row],[Degradation Factor]])</f>
        <v>21997.796494735325</v>
      </c>
    </row>
    <row r="2042" spans="1:7" ht="15" hidden="1" customHeight="1" x14ac:dyDescent="0.3">
      <c r="A2042" t="s">
        <v>265</v>
      </c>
      <c r="B2042" s="2">
        <v>45992</v>
      </c>
      <c r="C2042" s="52">
        <v>23494.59</v>
      </c>
      <c r="D2042" s="48">
        <f>_xlfn.XLOOKUP(expected_production[[#This Row],[Site Name]],Table1[[Site Name ]],Table1[Commisioned Date],"")</f>
        <v>44770</v>
      </c>
      <c r="E2042" s="47">
        <f>IF(ISNUMBER(expected_production[[#This Row],[Commissioned Date]]),MAX(0,(expected_production[[#This Row],[Date]]-expected_production[[#This Row],[Commissioned Date]])/365.25),"")</f>
        <v>3.3456536618754278</v>
      </c>
      <c r="F2042" s="49">
        <f>IF(expected_production[[#This Row],[Age (yrs)]]="",1,(1-DegradationRate)^expected_production[[#This Row],[Age (yrs)]])</f>
        <v>0.9767720907792764</v>
      </c>
      <c r="G2042" s="52">
        <f>IF(expected_production[[#This Row],[Base Expected (kWh)]]="","",expected_production[[#This Row],[Base Expected (kWh)]]*expected_production[[#This Row],[Degradation Factor]])</f>
        <v>22948.85979630188</v>
      </c>
    </row>
    <row r="2043" spans="1:7" ht="15" hidden="1" customHeight="1" x14ac:dyDescent="0.3">
      <c r="A2043" t="s">
        <v>265</v>
      </c>
      <c r="B2043" s="2">
        <v>46023</v>
      </c>
      <c r="C2043" s="52">
        <v>23065.02</v>
      </c>
      <c r="D2043" s="48">
        <f>_xlfn.XLOOKUP(expected_production[[#This Row],[Site Name]],Table1[[Site Name ]],Table1[Commisioned Date],"")</f>
        <v>44770</v>
      </c>
      <c r="E2043" s="47">
        <f>IF(ISNUMBER(expected_production[[#This Row],[Commissioned Date]]),MAX(0,(expected_production[[#This Row],[Date]]-expected_production[[#This Row],[Commissioned Date]])/365.25),"")</f>
        <v>3.4305270362765228</v>
      </c>
      <c r="F2043" s="49">
        <f>IF(expected_production[[#This Row],[Age (yrs)]]="",1,(1-DegradationRate)^expected_production[[#This Row],[Age (yrs)]])</f>
        <v>0.97618991011571776</v>
      </c>
      <c r="G2043" s="52">
        <f>IF(expected_production[[#This Row],[Base Expected (kWh)]]="","",expected_production[[#This Row],[Base Expected (kWh)]]*expected_production[[#This Row],[Degradation Factor]])</f>
        <v>22515.839800617232</v>
      </c>
    </row>
    <row r="2044" spans="1:7" ht="15" hidden="1" customHeight="1" x14ac:dyDescent="0.3">
      <c r="A2044" t="s">
        <v>265</v>
      </c>
      <c r="B2044" s="2">
        <v>46054</v>
      </c>
      <c r="C2044" s="52">
        <v>20354.849999999999</v>
      </c>
      <c r="D2044" s="48">
        <f>_xlfn.XLOOKUP(expected_production[[#This Row],[Site Name]],Table1[[Site Name ]],Table1[Commisioned Date],"")</f>
        <v>44770</v>
      </c>
      <c r="E2044" s="47">
        <f>IF(ISNUMBER(expected_production[[#This Row],[Commissioned Date]]),MAX(0,(expected_production[[#This Row],[Date]]-expected_production[[#This Row],[Commissioned Date]])/365.25),"")</f>
        <v>3.5154004106776182</v>
      </c>
      <c r="F2044" s="49">
        <f>IF(expected_production[[#This Row],[Age (yrs)]]="",1,(1-DegradationRate)^expected_production[[#This Row],[Age (yrs)]])</f>
        <v>0.97560807644643566</v>
      </c>
      <c r="G2044" s="52">
        <f>IF(expected_production[[#This Row],[Base Expected (kWh)]]="","",expected_production[[#This Row],[Base Expected (kWh)]]*expected_production[[#This Row],[Degradation Factor]])</f>
        <v>19858.356054855729</v>
      </c>
    </row>
    <row r="2045" spans="1:7" ht="15" hidden="1" customHeight="1" x14ac:dyDescent="0.3">
      <c r="A2045" t="s">
        <v>265</v>
      </c>
      <c r="B2045" s="2">
        <v>46082</v>
      </c>
      <c r="C2045" s="52">
        <v>21716.37</v>
      </c>
      <c r="D2045" s="48">
        <f>_xlfn.XLOOKUP(expected_production[[#This Row],[Site Name]],Table1[[Site Name ]],Table1[Commisioned Date],"")</f>
        <v>44770</v>
      </c>
      <c r="E2045" s="47">
        <f>IF(ISNUMBER(expected_production[[#This Row],[Commissioned Date]]),MAX(0,(expected_production[[#This Row],[Date]]-expected_production[[#This Row],[Commissioned Date]])/365.25),"")</f>
        <v>3.592060232717317</v>
      </c>
      <c r="F2045" s="49">
        <f>IF(expected_production[[#This Row],[Age (yrs)]]="",1,(1-DegradationRate)^expected_production[[#This Row],[Age (yrs)]])</f>
        <v>0.97508284733822836</v>
      </c>
      <c r="G2045" s="52">
        <f>IF(expected_production[[#This Row],[Base Expected (kWh)]]="","",expected_production[[#This Row],[Base Expected (kWh)]]*expected_production[[#This Row],[Degradation Factor]])</f>
        <v>21175.259893450482</v>
      </c>
    </row>
    <row r="2046" spans="1:7" ht="15" hidden="1" customHeight="1" x14ac:dyDescent="0.3">
      <c r="A2046" t="s">
        <v>265</v>
      </c>
      <c r="B2046" s="2">
        <v>46113</v>
      </c>
      <c r="C2046" s="52">
        <v>18847.89</v>
      </c>
      <c r="D2046" s="48">
        <f>_xlfn.XLOOKUP(expected_production[[#This Row],[Site Name]],Table1[[Site Name ]],Table1[Commisioned Date],"")</f>
        <v>44770</v>
      </c>
      <c r="E2046" s="47">
        <f>IF(ISNUMBER(expected_production[[#This Row],[Commissioned Date]]),MAX(0,(expected_production[[#This Row],[Date]]-expected_production[[#This Row],[Commissioned Date]])/365.25),"")</f>
        <v>3.676933607118412</v>
      </c>
      <c r="F2046" s="49">
        <f>IF(expected_production[[#This Row],[Age (yrs)]]="",1,(1-DegradationRate)^expected_production[[#This Row],[Age (yrs)]])</f>
        <v>0.97450167350612671</v>
      </c>
      <c r="G2046" s="52">
        <f>IF(expected_production[[#This Row],[Base Expected (kWh)]]="","",expected_production[[#This Row],[Base Expected (kWh)]]*expected_production[[#This Row],[Degradation Factor]])</f>
        <v>18367.30034705939</v>
      </c>
    </row>
    <row r="2047" spans="1:7" ht="15" hidden="1" customHeight="1" x14ac:dyDescent="0.3">
      <c r="A2047" t="s">
        <v>265</v>
      </c>
      <c r="B2047" s="2">
        <v>46143</v>
      </c>
      <c r="C2047" s="52">
        <v>18700.919999999998</v>
      </c>
      <c r="D2047" s="48">
        <f>_xlfn.XLOOKUP(expected_production[[#This Row],[Site Name]],Table1[[Site Name ]],Table1[Commisioned Date],"")</f>
        <v>44770</v>
      </c>
      <c r="E2047" s="47">
        <f>IF(ISNUMBER(expected_production[[#This Row],[Commissioned Date]]),MAX(0,(expected_production[[#This Row],[Date]]-expected_production[[#This Row],[Commissioned Date]])/365.25),"")</f>
        <v>3.7590691307323749</v>
      </c>
      <c r="F2047" s="49">
        <f>IF(expected_production[[#This Row],[Age (yrs)]]="",1,(1-DegradationRate)^expected_production[[#This Row],[Age (yrs)]])</f>
        <v>0.97393957703250722</v>
      </c>
      <c r="G2047" s="52">
        <f>IF(expected_production[[#This Row],[Base Expected (kWh)]]="","",expected_production[[#This Row],[Base Expected (kWh)]]*expected_production[[#This Row],[Degradation Factor]])</f>
        <v>18213.566114918754</v>
      </c>
    </row>
    <row r="2048" spans="1:7" ht="15" hidden="1" customHeight="1" x14ac:dyDescent="0.3">
      <c r="A2048" t="s">
        <v>265</v>
      </c>
      <c r="B2048" s="2">
        <v>46174</v>
      </c>
      <c r="C2048" s="52">
        <v>17164.439999999999</v>
      </c>
      <c r="D2048" s="48">
        <f>_xlfn.XLOOKUP(expected_production[[#This Row],[Site Name]],Table1[[Site Name ]],Table1[Commisioned Date],"")</f>
        <v>44770</v>
      </c>
      <c r="E2048" s="47">
        <f>IF(ISNUMBER(expected_production[[#This Row],[Commissioned Date]]),MAX(0,(expected_production[[#This Row],[Date]]-expected_production[[#This Row],[Commissioned Date]])/365.25),"")</f>
        <v>3.8439425051334704</v>
      </c>
      <c r="F2048" s="49">
        <f>IF(expected_production[[#This Row],[Age (yrs)]]="",1,(1-DegradationRate)^expected_production[[#This Row],[Age (yrs)]])</f>
        <v>0.97335908461818099</v>
      </c>
      <c r="G2048" s="52">
        <f>IF(expected_production[[#This Row],[Base Expected (kWh)]]="","",expected_production[[#This Row],[Base Expected (kWh)]]*expected_production[[#This Row],[Degradation Factor]])</f>
        <v>16707.163606383689</v>
      </c>
    </row>
    <row r="2049" spans="1:7" ht="15" hidden="1" customHeight="1" x14ac:dyDescent="0.3">
      <c r="A2049" t="s">
        <v>265</v>
      </c>
      <c r="B2049" s="2">
        <v>46204</v>
      </c>
      <c r="C2049" s="52">
        <v>18821.97</v>
      </c>
      <c r="D2049" s="48">
        <f>_xlfn.XLOOKUP(expected_production[[#This Row],[Site Name]],Table1[[Site Name ]],Table1[Commisioned Date],"")</f>
        <v>44770</v>
      </c>
      <c r="E2049" s="47">
        <f>IF(ISNUMBER(expected_production[[#This Row],[Commissioned Date]]),MAX(0,(expected_production[[#This Row],[Date]]-expected_production[[#This Row],[Commissioned Date]])/365.25),"")</f>
        <v>3.9260780287474333</v>
      </c>
      <c r="F2049" s="49">
        <f>IF(expected_production[[#This Row],[Age (yrs)]]="",1,(1-DegradationRate)^expected_production[[#This Row],[Age (yrs)]])</f>
        <v>0.97279764719441453</v>
      </c>
      <c r="G2049" s="52">
        <f>IF(expected_production[[#This Row],[Base Expected (kWh)]]="","",expected_production[[#This Row],[Base Expected (kWh)]]*expected_production[[#This Row],[Degradation Factor]])</f>
        <v>18309.968131563855</v>
      </c>
    </row>
    <row r="2050" spans="1:7" ht="15" hidden="1" customHeight="1" x14ac:dyDescent="0.3">
      <c r="A2050" t="s">
        <v>265</v>
      </c>
      <c r="B2050" s="2">
        <v>46235</v>
      </c>
      <c r="C2050" s="52">
        <v>21497.67</v>
      </c>
      <c r="D2050" s="48">
        <f>_xlfn.XLOOKUP(expected_production[[#This Row],[Site Name]],Table1[[Site Name ]],Table1[Commisioned Date],"")</f>
        <v>44770</v>
      </c>
      <c r="E2050" s="47">
        <f>IF(ISNUMBER(expected_production[[#This Row],[Commissioned Date]]),MAX(0,(expected_production[[#This Row],[Date]]-expected_production[[#This Row],[Commissioned Date]])/365.25),"")</f>
        <v>4.0109514031485283</v>
      </c>
      <c r="F2050" s="49">
        <f>IF(expected_production[[#This Row],[Age (yrs)]]="",1,(1-DegradationRate)^expected_production[[#This Row],[Age (yrs)]])</f>
        <v>0.97221783539891149</v>
      </c>
      <c r="G2050" s="52">
        <f>IF(expected_production[[#This Row],[Base Expected (kWh)]]="","",expected_production[[#This Row],[Base Expected (kWh)]]*expected_production[[#This Row],[Degradation Factor]])</f>
        <v>20900.418193520116</v>
      </c>
    </row>
    <row r="2051" spans="1:7" ht="15" hidden="1" customHeight="1" x14ac:dyDescent="0.3">
      <c r="A2051" t="s">
        <v>265</v>
      </c>
      <c r="B2051" s="2">
        <v>46266</v>
      </c>
      <c r="C2051" s="52">
        <v>22688.37</v>
      </c>
      <c r="D2051" s="48">
        <f>_xlfn.XLOOKUP(expected_production[[#This Row],[Site Name]],Table1[[Site Name ]],Table1[Commisioned Date],"")</f>
        <v>44770</v>
      </c>
      <c r="E2051" s="47">
        <f>IF(ISNUMBER(expected_production[[#This Row],[Commissioned Date]]),MAX(0,(expected_production[[#This Row],[Date]]-expected_production[[#This Row],[Commissioned Date]])/365.25),"")</f>
        <v>4.0958247775496233</v>
      </c>
      <c r="F2051" s="49">
        <f>IF(expected_production[[#This Row],[Age (yrs)]]="",1,(1-DegradationRate)^expected_production[[#This Row],[Age (yrs)]])</f>
        <v>0.97163836918578028</v>
      </c>
      <c r="G2051" s="52">
        <f>IF(expected_production[[#This Row],[Base Expected (kWh)]]="","",expected_production[[#This Row],[Base Expected (kWh)]]*expected_production[[#This Row],[Degradation Factor]])</f>
        <v>22044.890826283579</v>
      </c>
    </row>
    <row r="2052" spans="1:7" ht="15" hidden="1" customHeight="1" x14ac:dyDescent="0.3">
      <c r="A2052" t="s">
        <v>265</v>
      </c>
      <c r="B2052" s="2">
        <v>46296</v>
      </c>
      <c r="C2052" s="52">
        <v>22841.55</v>
      </c>
      <c r="D2052" s="48">
        <f>_xlfn.XLOOKUP(expected_production[[#This Row],[Site Name]],Table1[[Site Name ]],Table1[Commisioned Date],"")</f>
        <v>44770</v>
      </c>
      <c r="E2052" s="47">
        <f>IF(ISNUMBER(expected_production[[#This Row],[Commissioned Date]]),MAX(0,(expected_production[[#This Row],[Date]]-expected_production[[#This Row],[Commissioned Date]])/365.25),"")</f>
        <v>4.1779603011635862</v>
      </c>
      <c r="F2052" s="49">
        <f>IF(expected_production[[#This Row],[Age (yrs)]]="",1,(1-DegradationRate)^expected_production[[#This Row],[Age (yrs)]])</f>
        <v>0.97107792427757633</v>
      </c>
      <c r="G2052" s="52">
        <f>IF(expected_production[[#This Row],[Base Expected (kWh)]]="","",expected_production[[#This Row],[Base Expected (kWh)]]*expected_production[[#This Row],[Degradation Factor]])</f>
        <v>22180.924961282471</v>
      </c>
    </row>
    <row r="2053" spans="1:7" ht="15" hidden="1" customHeight="1" x14ac:dyDescent="0.3">
      <c r="A2053" t="s">
        <v>265</v>
      </c>
      <c r="B2053" s="2">
        <v>46327</v>
      </c>
      <c r="C2053" s="52">
        <v>22507.919999999998</v>
      </c>
      <c r="D2053" s="48">
        <f>_xlfn.XLOOKUP(expected_production[[#This Row],[Site Name]],Table1[[Site Name ]],Table1[Commisioned Date],"")</f>
        <v>44770</v>
      </c>
      <c r="E2053" s="47">
        <f>IF(ISNUMBER(expected_production[[#This Row],[Commissioned Date]]),MAX(0,(expected_production[[#This Row],[Date]]-expected_production[[#This Row],[Commissioned Date]])/365.25),"")</f>
        <v>4.2628336755646821</v>
      </c>
      <c r="F2053" s="49">
        <f>IF(expected_production[[#This Row],[Age (yrs)]]="",1,(1-DegradationRate)^expected_production[[#This Row],[Age (yrs)]])</f>
        <v>0.97049913748006233</v>
      </c>
      <c r="G2053" s="52">
        <f>IF(expected_production[[#This Row],[Base Expected (kWh)]]="","",expected_production[[#This Row],[Base Expected (kWh)]]*expected_production[[#This Row],[Degradation Factor]])</f>
        <v>21843.916946470243</v>
      </c>
    </row>
    <row r="2054" spans="1:7" ht="15" hidden="1" customHeight="1" x14ac:dyDescent="0.3">
      <c r="A2054" t="s">
        <v>265</v>
      </c>
      <c r="B2054" s="2">
        <v>46357</v>
      </c>
      <c r="C2054" s="52">
        <v>23494.59</v>
      </c>
      <c r="D2054" s="48">
        <f>_xlfn.XLOOKUP(expected_production[[#This Row],[Site Name]],Table1[[Site Name ]],Table1[Commisioned Date],"")</f>
        <v>44770</v>
      </c>
      <c r="E2054" s="47">
        <f>IF(ISNUMBER(expected_production[[#This Row],[Commissioned Date]]),MAX(0,(expected_production[[#This Row],[Date]]-expected_production[[#This Row],[Commissioned Date]])/365.25),"")</f>
        <v>4.344969199178645</v>
      </c>
      <c r="F2054" s="49">
        <f>IF(expected_production[[#This Row],[Age (yrs)]]="",1,(1-DegradationRate)^expected_production[[#This Row],[Age (yrs)]])</f>
        <v>0.96993934968527529</v>
      </c>
      <c r="G2054" s="52">
        <f>IF(expected_production[[#This Row],[Base Expected (kWh)]]="","",expected_production[[#This Row],[Base Expected (kWh)]]*expected_production[[#This Row],[Degradation Factor]])</f>
        <v>22788.327345722173</v>
      </c>
    </row>
    <row r="2055" spans="1:7" ht="15" hidden="1" customHeight="1" x14ac:dyDescent="0.3">
      <c r="A2055" t="s">
        <v>180</v>
      </c>
      <c r="B2055" s="2">
        <v>45292</v>
      </c>
      <c r="C2055" s="52">
        <v>23724</v>
      </c>
      <c r="D2055" s="48">
        <f>_xlfn.XLOOKUP(expected_production[[#This Row],[Site Name]],Table1[[Site Name ]],Table1[Commisioned Date],"")</f>
        <v>45666</v>
      </c>
      <c r="E2055" s="47">
        <f>IF(ISNUMBER(expected_production[[#This Row],[Commissioned Date]]),MAX(0,(expected_production[[#This Row],[Date]]-expected_production[[#This Row],[Commissioned Date]])/365.25),"")</f>
        <v>0</v>
      </c>
      <c r="F2055" s="49">
        <f>IF(expected_production[[#This Row],[Age (yrs)]]="",1,(1-DegradationRate)^expected_production[[#This Row],[Age (yrs)]])</f>
        <v>1</v>
      </c>
      <c r="G2055" s="52">
        <f>IF(expected_production[[#This Row],[Base Expected (kWh)]]="","",expected_production[[#This Row],[Base Expected (kWh)]]*expected_production[[#This Row],[Degradation Factor]])</f>
        <v>23724</v>
      </c>
    </row>
    <row r="2056" spans="1:7" ht="15" hidden="1" customHeight="1" x14ac:dyDescent="0.3">
      <c r="A2056" t="s">
        <v>180</v>
      </c>
      <c r="B2056" s="2">
        <v>45323</v>
      </c>
      <c r="C2056" s="52">
        <v>20448</v>
      </c>
      <c r="D2056" s="48">
        <f>_xlfn.XLOOKUP(expected_production[[#This Row],[Site Name]],Table1[[Site Name ]],Table1[Commisioned Date],"")</f>
        <v>45666</v>
      </c>
      <c r="E2056" s="47">
        <f>IF(ISNUMBER(expected_production[[#This Row],[Commissioned Date]]),MAX(0,(expected_production[[#This Row],[Date]]-expected_production[[#This Row],[Commissioned Date]])/365.25),"")</f>
        <v>0</v>
      </c>
      <c r="F2056" s="49">
        <f>IF(expected_production[[#This Row],[Age (yrs)]]="",1,(1-DegradationRate)^expected_production[[#This Row],[Age (yrs)]])</f>
        <v>1</v>
      </c>
      <c r="G2056" s="52">
        <f>IF(expected_production[[#This Row],[Base Expected (kWh)]]="","",expected_production[[#This Row],[Base Expected (kWh)]]*expected_production[[#This Row],[Degradation Factor]])</f>
        <v>20448</v>
      </c>
    </row>
    <row r="2057" spans="1:7" ht="15" hidden="1" customHeight="1" x14ac:dyDescent="0.3">
      <c r="A2057" t="s">
        <v>180</v>
      </c>
      <c r="B2057" s="2">
        <v>45352</v>
      </c>
      <c r="C2057" s="52">
        <v>19986.3</v>
      </c>
      <c r="D2057" s="48">
        <f>_xlfn.XLOOKUP(expected_production[[#This Row],[Site Name]],Table1[[Site Name ]],Table1[Commisioned Date],"")</f>
        <v>45666</v>
      </c>
      <c r="E2057" s="47">
        <f>IF(ISNUMBER(expected_production[[#This Row],[Commissioned Date]]),MAX(0,(expected_production[[#This Row],[Date]]-expected_production[[#This Row],[Commissioned Date]])/365.25),"")</f>
        <v>0</v>
      </c>
      <c r="F2057" s="49">
        <f>IF(expected_production[[#This Row],[Age (yrs)]]="",1,(1-DegradationRate)^expected_production[[#This Row],[Age (yrs)]])</f>
        <v>1</v>
      </c>
      <c r="G2057" s="52">
        <f>IF(expected_production[[#This Row],[Base Expected (kWh)]]="","",expected_production[[#This Row],[Base Expected (kWh)]]*expected_production[[#This Row],[Degradation Factor]])</f>
        <v>19986.3</v>
      </c>
    </row>
    <row r="2058" spans="1:7" ht="15" hidden="1" customHeight="1" x14ac:dyDescent="0.3">
      <c r="A2058" t="s">
        <v>180</v>
      </c>
      <c r="B2058" s="2">
        <v>45383</v>
      </c>
      <c r="C2058" s="52">
        <v>17181.900000000001</v>
      </c>
      <c r="D2058" s="48">
        <f>_xlfn.XLOOKUP(expected_production[[#This Row],[Site Name]],Table1[[Site Name ]],Table1[Commisioned Date],"")</f>
        <v>45666</v>
      </c>
      <c r="E2058" s="47">
        <f>IF(ISNUMBER(expected_production[[#This Row],[Commissioned Date]]),MAX(0,(expected_production[[#This Row],[Date]]-expected_production[[#This Row],[Commissioned Date]])/365.25),"")</f>
        <v>0</v>
      </c>
      <c r="F2058" s="49">
        <f>IF(expected_production[[#This Row],[Age (yrs)]]="",1,(1-DegradationRate)^expected_production[[#This Row],[Age (yrs)]])</f>
        <v>1</v>
      </c>
      <c r="G2058" s="52">
        <f>IF(expected_production[[#This Row],[Base Expected (kWh)]]="","",expected_production[[#This Row],[Base Expected (kWh)]]*expected_production[[#This Row],[Degradation Factor]])</f>
        <v>17181.900000000001</v>
      </c>
    </row>
    <row r="2059" spans="1:7" ht="15" hidden="1" customHeight="1" x14ac:dyDescent="0.3">
      <c r="A2059" t="s">
        <v>180</v>
      </c>
      <c r="B2059" s="2">
        <v>45413</v>
      </c>
      <c r="C2059" s="52">
        <v>15369.3</v>
      </c>
      <c r="D2059" s="48">
        <f>_xlfn.XLOOKUP(expected_production[[#This Row],[Site Name]],Table1[[Site Name ]],Table1[Commisioned Date],"")</f>
        <v>45666</v>
      </c>
      <c r="E2059" s="47">
        <f>IF(ISNUMBER(expected_production[[#This Row],[Commissioned Date]]),MAX(0,(expected_production[[#This Row],[Date]]-expected_production[[#This Row],[Commissioned Date]])/365.25),"")</f>
        <v>0</v>
      </c>
      <c r="F2059" s="49">
        <f>IF(expected_production[[#This Row],[Age (yrs)]]="",1,(1-DegradationRate)^expected_production[[#This Row],[Age (yrs)]])</f>
        <v>1</v>
      </c>
      <c r="G2059" s="52">
        <f>IF(expected_production[[#This Row],[Base Expected (kWh)]]="","",expected_production[[#This Row],[Base Expected (kWh)]]*expected_production[[#This Row],[Degradation Factor]])</f>
        <v>15369.3</v>
      </c>
    </row>
    <row r="2060" spans="1:7" ht="15" hidden="1" customHeight="1" x14ac:dyDescent="0.3">
      <c r="A2060" t="s">
        <v>180</v>
      </c>
      <c r="B2060" s="2">
        <v>45444</v>
      </c>
      <c r="C2060" s="52">
        <v>13381.2</v>
      </c>
      <c r="D2060" s="48">
        <f>_xlfn.XLOOKUP(expected_production[[#This Row],[Site Name]],Table1[[Site Name ]],Table1[Commisioned Date],"")</f>
        <v>45666</v>
      </c>
      <c r="E2060" s="47">
        <f>IF(ISNUMBER(expected_production[[#This Row],[Commissioned Date]]),MAX(0,(expected_production[[#This Row],[Date]]-expected_production[[#This Row],[Commissioned Date]])/365.25),"")</f>
        <v>0</v>
      </c>
      <c r="F2060" s="49">
        <f>IF(expected_production[[#This Row],[Age (yrs)]]="",1,(1-DegradationRate)^expected_production[[#This Row],[Age (yrs)]])</f>
        <v>1</v>
      </c>
      <c r="G2060" s="52">
        <f>IF(expected_production[[#This Row],[Base Expected (kWh)]]="","",expected_production[[#This Row],[Base Expected (kWh)]]*expected_production[[#This Row],[Degradation Factor]])</f>
        <v>13381.2</v>
      </c>
    </row>
    <row r="2061" spans="1:7" ht="15" hidden="1" customHeight="1" x14ac:dyDescent="0.3">
      <c r="A2061" t="s">
        <v>180</v>
      </c>
      <c r="B2061" s="2">
        <v>45474</v>
      </c>
      <c r="C2061" s="52">
        <v>15023.7</v>
      </c>
      <c r="D2061" s="48">
        <f>_xlfn.XLOOKUP(expected_production[[#This Row],[Site Name]],Table1[[Site Name ]],Table1[Commisioned Date],"")</f>
        <v>45666</v>
      </c>
      <c r="E2061" s="47">
        <f>IF(ISNUMBER(expected_production[[#This Row],[Commissioned Date]]),MAX(0,(expected_production[[#This Row],[Date]]-expected_production[[#This Row],[Commissioned Date]])/365.25),"")</f>
        <v>0</v>
      </c>
      <c r="F2061" s="49">
        <f>IF(expected_production[[#This Row],[Age (yrs)]]="",1,(1-DegradationRate)^expected_production[[#This Row],[Age (yrs)]])</f>
        <v>1</v>
      </c>
      <c r="G2061" s="52">
        <f>IF(expected_production[[#This Row],[Base Expected (kWh)]]="","",expected_production[[#This Row],[Base Expected (kWh)]]*expected_production[[#This Row],[Degradation Factor]])</f>
        <v>15023.7</v>
      </c>
    </row>
    <row r="2062" spans="1:7" ht="15" hidden="1" customHeight="1" x14ac:dyDescent="0.3">
      <c r="A2062" t="s">
        <v>180</v>
      </c>
      <c r="B2062" s="2">
        <v>45505</v>
      </c>
      <c r="C2062" s="52">
        <v>18071.099999999999</v>
      </c>
      <c r="D2062" s="48">
        <f>_xlfn.XLOOKUP(expected_production[[#This Row],[Site Name]],Table1[[Site Name ]],Table1[Commisioned Date],"")</f>
        <v>45666</v>
      </c>
      <c r="E2062" s="47">
        <f>IF(ISNUMBER(expected_production[[#This Row],[Commissioned Date]]),MAX(0,(expected_production[[#This Row],[Date]]-expected_production[[#This Row],[Commissioned Date]])/365.25),"")</f>
        <v>0</v>
      </c>
      <c r="F2062" s="49">
        <f>IF(expected_production[[#This Row],[Age (yrs)]]="",1,(1-DegradationRate)^expected_production[[#This Row],[Age (yrs)]])</f>
        <v>1</v>
      </c>
      <c r="G2062" s="52">
        <f>IF(expected_production[[#This Row],[Base Expected (kWh)]]="","",expected_production[[#This Row],[Base Expected (kWh)]]*expected_production[[#This Row],[Degradation Factor]])</f>
        <v>18071.099999999999</v>
      </c>
    </row>
    <row r="2063" spans="1:7" ht="15" hidden="1" customHeight="1" x14ac:dyDescent="0.3">
      <c r="A2063" t="s">
        <v>180</v>
      </c>
      <c r="B2063" s="2">
        <v>45536</v>
      </c>
      <c r="C2063" s="52">
        <v>20545.2</v>
      </c>
      <c r="D2063" s="48">
        <f>_xlfn.XLOOKUP(expected_production[[#This Row],[Site Name]],Table1[[Site Name ]],Table1[Commisioned Date],"")</f>
        <v>45666</v>
      </c>
      <c r="E2063" s="47">
        <f>IF(ISNUMBER(expected_production[[#This Row],[Commissioned Date]]),MAX(0,(expected_production[[#This Row],[Date]]-expected_production[[#This Row],[Commissioned Date]])/365.25),"")</f>
        <v>0</v>
      </c>
      <c r="F2063" s="49">
        <f>IF(expected_production[[#This Row],[Age (yrs)]]="",1,(1-DegradationRate)^expected_production[[#This Row],[Age (yrs)]])</f>
        <v>1</v>
      </c>
      <c r="G2063" s="52">
        <f>IF(expected_production[[#This Row],[Base Expected (kWh)]]="","",expected_production[[#This Row],[Base Expected (kWh)]]*expected_production[[#This Row],[Degradation Factor]])</f>
        <v>20545.2</v>
      </c>
    </row>
    <row r="2064" spans="1:7" ht="15" hidden="1" customHeight="1" x14ac:dyDescent="0.3">
      <c r="A2064" t="s">
        <v>180</v>
      </c>
      <c r="B2064" s="2">
        <v>45566</v>
      </c>
      <c r="C2064" s="52">
        <v>23411.7</v>
      </c>
      <c r="D2064" s="48">
        <f>_xlfn.XLOOKUP(expected_production[[#This Row],[Site Name]],Table1[[Site Name ]],Table1[Commisioned Date],"")</f>
        <v>45666</v>
      </c>
      <c r="E2064" s="47">
        <f>IF(ISNUMBER(expected_production[[#This Row],[Commissioned Date]]),MAX(0,(expected_production[[#This Row],[Date]]-expected_production[[#This Row],[Commissioned Date]])/365.25),"")</f>
        <v>0</v>
      </c>
      <c r="F2064" s="49">
        <f>IF(expected_production[[#This Row],[Age (yrs)]]="",1,(1-DegradationRate)^expected_production[[#This Row],[Age (yrs)]])</f>
        <v>1</v>
      </c>
      <c r="G2064" s="52">
        <f>IF(expected_production[[#This Row],[Base Expected (kWh)]]="","",expected_production[[#This Row],[Base Expected (kWh)]]*expected_production[[#This Row],[Degradation Factor]])</f>
        <v>23411.7</v>
      </c>
    </row>
    <row r="2065" spans="1:7" ht="15" hidden="1" customHeight="1" x14ac:dyDescent="0.3">
      <c r="A2065" t="s">
        <v>180</v>
      </c>
      <c r="B2065" s="2">
        <v>45597</v>
      </c>
      <c r="C2065" s="52">
        <v>23583.599999999999</v>
      </c>
      <c r="D2065" s="48">
        <f>_xlfn.XLOOKUP(expected_production[[#This Row],[Site Name]],Table1[[Site Name ]],Table1[Commisioned Date],"")</f>
        <v>45666</v>
      </c>
      <c r="E2065" s="47">
        <f>IF(ISNUMBER(expected_production[[#This Row],[Commissioned Date]]),MAX(0,(expected_production[[#This Row],[Date]]-expected_production[[#This Row],[Commissioned Date]])/365.25),"")</f>
        <v>0</v>
      </c>
      <c r="F2065" s="49">
        <f>IF(expected_production[[#This Row],[Age (yrs)]]="",1,(1-DegradationRate)^expected_production[[#This Row],[Age (yrs)]])</f>
        <v>1</v>
      </c>
      <c r="G2065" s="52">
        <f>IF(expected_production[[#This Row],[Base Expected (kWh)]]="","",expected_production[[#This Row],[Base Expected (kWh)]]*expected_production[[#This Row],[Degradation Factor]])</f>
        <v>23583.599999999999</v>
      </c>
    </row>
    <row r="2066" spans="1:7" ht="15" hidden="1" customHeight="1" x14ac:dyDescent="0.3">
      <c r="A2066" t="s">
        <v>180</v>
      </c>
      <c r="B2066" s="2">
        <v>45627</v>
      </c>
      <c r="C2066" s="52">
        <v>24027.3</v>
      </c>
      <c r="D2066" s="48">
        <f>_xlfn.XLOOKUP(expected_production[[#This Row],[Site Name]],Table1[[Site Name ]],Table1[Commisioned Date],"")</f>
        <v>45666</v>
      </c>
      <c r="E2066" s="47">
        <f>IF(ISNUMBER(expected_production[[#This Row],[Commissioned Date]]),MAX(0,(expected_production[[#This Row],[Date]]-expected_production[[#This Row],[Commissioned Date]])/365.25),"")</f>
        <v>0</v>
      </c>
      <c r="F2066" s="49">
        <f>IF(expected_production[[#This Row],[Age (yrs)]]="",1,(1-DegradationRate)^expected_production[[#This Row],[Age (yrs)]])</f>
        <v>1</v>
      </c>
      <c r="G2066" s="52">
        <f>IF(expected_production[[#This Row],[Base Expected (kWh)]]="","",expected_production[[#This Row],[Base Expected (kWh)]]*expected_production[[#This Row],[Degradation Factor]])</f>
        <v>24027.3</v>
      </c>
    </row>
    <row r="2067" spans="1:7" ht="15" hidden="1" customHeight="1" x14ac:dyDescent="0.3">
      <c r="A2067" t="s">
        <v>180</v>
      </c>
      <c r="B2067" s="2">
        <v>45658</v>
      </c>
      <c r="C2067" s="52">
        <v>23724</v>
      </c>
      <c r="D2067" s="48">
        <f>_xlfn.XLOOKUP(expected_production[[#This Row],[Site Name]],Table1[[Site Name ]],Table1[Commisioned Date],"")</f>
        <v>45666</v>
      </c>
      <c r="E2067" s="47">
        <f>IF(ISNUMBER(expected_production[[#This Row],[Commissioned Date]]),MAX(0,(expected_production[[#This Row],[Date]]-expected_production[[#This Row],[Commissioned Date]])/365.25),"")</f>
        <v>0</v>
      </c>
      <c r="F2067" s="49">
        <f>IF(expected_production[[#This Row],[Age (yrs)]]="",1,(1-DegradationRate)^expected_production[[#This Row],[Age (yrs)]])</f>
        <v>1</v>
      </c>
      <c r="G2067" s="52">
        <f>IF(expected_production[[#This Row],[Base Expected (kWh)]]="","",expected_production[[#This Row],[Base Expected (kWh)]]*expected_production[[#This Row],[Degradation Factor]])</f>
        <v>23724</v>
      </c>
    </row>
    <row r="2068" spans="1:7" ht="15" hidden="1" customHeight="1" x14ac:dyDescent="0.3">
      <c r="A2068" t="s">
        <v>180</v>
      </c>
      <c r="B2068" s="2">
        <v>45689</v>
      </c>
      <c r="C2068" s="52">
        <v>20448</v>
      </c>
      <c r="D2068" s="48">
        <f>_xlfn.XLOOKUP(expected_production[[#This Row],[Site Name]],Table1[[Site Name ]],Table1[Commisioned Date],"")</f>
        <v>45666</v>
      </c>
      <c r="E2068" s="47">
        <f>IF(ISNUMBER(expected_production[[#This Row],[Commissioned Date]]),MAX(0,(expected_production[[#This Row],[Date]]-expected_production[[#This Row],[Commissioned Date]])/365.25),"")</f>
        <v>6.2970568104038324E-2</v>
      </c>
      <c r="F2068" s="49">
        <f>IF(expected_production[[#This Row],[Age (yrs)]]="",1,(1-DegradationRate)^expected_production[[#This Row],[Age (yrs)]])</f>
        <v>0.99955775382638756</v>
      </c>
      <c r="G2068" s="52">
        <f>IF(expected_production[[#This Row],[Base Expected (kWh)]]="","",expected_production[[#This Row],[Base Expected (kWh)]]*expected_production[[#This Row],[Degradation Factor]])</f>
        <v>20438.956950241973</v>
      </c>
    </row>
    <row r="2069" spans="1:7" ht="15" hidden="1" customHeight="1" x14ac:dyDescent="0.3">
      <c r="A2069" t="s">
        <v>180</v>
      </c>
      <c r="B2069" s="2">
        <v>45717</v>
      </c>
      <c r="C2069" s="52">
        <v>19986.3</v>
      </c>
      <c r="D2069" s="48">
        <f>_xlfn.XLOOKUP(expected_production[[#This Row],[Site Name]],Table1[[Site Name ]],Table1[Commisioned Date],"")</f>
        <v>45666</v>
      </c>
      <c r="E2069" s="47">
        <f>IF(ISNUMBER(expected_production[[#This Row],[Commissioned Date]]),MAX(0,(expected_production[[#This Row],[Date]]-expected_production[[#This Row],[Commissioned Date]])/365.25),"")</f>
        <v>0.13963039014373715</v>
      </c>
      <c r="F2069" s="49">
        <f>IF(expected_production[[#This Row],[Age (yrs)]]="",1,(1-DegradationRate)^expected_production[[#This Row],[Age (yrs)]])</f>
        <v>0.99901963115159775</v>
      </c>
      <c r="G2069" s="52">
        <f>IF(expected_production[[#This Row],[Base Expected (kWh)]]="","",expected_production[[#This Row],[Base Expected (kWh)]]*expected_production[[#This Row],[Degradation Factor]])</f>
        <v>19966.706054085178</v>
      </c>
    </row>
    <row r="2070" spans="1:7" ht="15" hidden="1" customHeight="1" x14ac:dyDescent="0.3">
      <c r="A2070" t="s">
        <v>180</v>
      </c>
      <c r="B2070" s="2">
        <v>45748</v>
      </c>
      <c r="C2070" s="52">
        <v>17181.900000000001</v>
      </c>
      <c r="D2070" s="48">
        <f>_xlfn.XLOOKUP(expected_production[[#This Row],[Site Name]],Table1[[Site Name ]],Table1[Commisioned Date],"")</f>
        <v>45666</v>
      </c>
      <c r="E2070" s="47">
        <f>IF(ISNUMBER(expected_production[[#This Row],[Commissioned Date]]),MAX(0,(expected_production[[#This Row],[Date]]-expected_production[[#This Row],[Commissioned Date]])/365.25),"")</f>
        <v>0.22450376454483231</v>
      </c>
      <c r="F2070" s="49">
        <f>IF(expected_production[[#This Row],[Age (yrs)]]="",1,(1-DegradationRate)^expected_production[[#This Row],[Age (yrs)]])</f>
        <v>0.9984241903960086</v>
      </c>
      <c r="G2070" s="52">
        <f>IF(expected_production[[#This Row],[Base Expected (kWh)]]="","",expected_production[[#This Row],[Base Expected (kWh)]]*expected_production[[#This Row],[Degradation Factor]])</f>
        <v>17154.824596965183</v>
      </c>
    </row>
    <row r="2071" spans="1:7" ht="15" hidden="1" customHeight="1" x14ac:dyDescent="0.3">
      <c r="A2071" t="s">
        <v>180</v>
      </c>
      <c r="B2071" s="2">
        <v>45778</v>
      </c>
      <c r="C2071" s="52">
        <v>15369.3</v>
      </c>
      <c r="D2071" s="48">
        <f>_xlfn.XLOOKUP(expected_production[[#This Row],[Site Name]],Table1[[Site Name ]],Table1[Commisioned Date],"")</f>
        <v>45666</v>
      </c>
      <c r="E2071" s="47">
        <f>IF(ISNUMBER(expected_production[[#This Row],[Commissioned Date]]),MAX(0,(expected_production[[#This Row],[Date]]-expected_production[[#This Row],[Commissioned Date]])/365.25),"")</f>
        <v>0.30663928815879532</v>
      </c>
      <c r="F2071" s="49">
        <f>IF(expected_production[[#This Row],[Age (yrs)]]="",1,(1-DegradationRate)^expected_production[[#This Row],[Age (yrs)]])</f>
        <v>0.99784829531870323</v>
      </c>
      <c r="G2071" s="52">
        <f>IF(expected_production[[#This Row],[Base Expected (kWh)]]="","",expected_production[[#This Row],[Base Expected (kWh)]]*expected_production[[#This Row],[Degradation Factor]])</f>
        <v>15336.229805241745</v>
      </c>
    </row>
    <row r="2072" spans="1:7" ht="15" hidden="1" customHeight="1" x14ac:dyDescent="0.3">
      <c r="A2072" t="s">
        <v>180</v>
      </c>
      <c r="B2072" s="2">
        <v>45809</v>
      </c>
      <c r="C2072" s="52">
        <v>13381.2</v>
      </c>
      <c r="D2072" s="48">
        <f>_xlfn.XLOOKUP(expected_production[[#This Row],[Site Name]],Table1[[Site Name ]],Table1[Commisioned Date],"")</f>
        <v>45666</v>
      </c>
      <c r="E2072" s="47">
        <f>IF(ISNUMBER(expected_production[[#This Row],[Commissioned Date]]),MAX(0,(expected_production[[#This Row],[Date]]-expected_production[[#This Row],[Commissioned Date]])/365.25),"")</f>
        <v>0.39151266255989048</v>
      </c>
      <c r="F2072" s="49">
        <f>IF(expected_production[[#This Row],[Age (yrs)]]="",1,(1-DegradationRate)^expected_production[[#This Row],[Age (yrs)]])</f>
        <v>0.99725355270864757</v>
      </c>
      <c r="G2072" s="52">
        <f>IF(expected_production[[#This Row],[Base Expected (kWh)]]="","",expected_production[[#This Row],[Base Expected (kWh)]]*expected_production[[#This Row],[Degradation Factor]])</f>
        <v>13344.449239504956</v>
      </c>
    </row>
    <row r="2073" spans="1:7" ht="15" hidden="1" customHeight="1" x14ac:dyDescent="0.3">
      <c r="A2073" t="s">
        <v>180</v>
      </c>
      <c r="B2073" s="2">
        <v>45839</v>
      </c>
      <c r="C2073" s="52">
        <v>15023.7</v>
      </c>
      <c r="D2073" s="48">
        <f>_xlfn.XLOOKUP(expected_production[[#This Row],[Site Name]],Table1[[Site Name ]],Table1[Commisioned Date],"")</f>
        <v>45666</v>
      </c>
      <c r="E2073" s="47">
        <f>IF(ISNUMBER(expected_production[[#This Row],[Commissioned Date]]),MAX(0,(expected_production[[#This Row],[Date]]-expected_production[[#This Row],[Commissioned Date]])/365.25),"")</f>
        <v>0.47364818617385351</v>
      </c>
      <c r="F2073" s="49">
        <f>IF(expected_production[[#This Row],[Age (yrs)]]="",1,(1-DegradationRate)^expected_production[[#This Row],[Age (yrs)]])</f>
        <v>0.99667833285985519</v>
      </c>
      <c r="G2073" s="52">
        <f>IF(expected_production[[#This Row],[Base Expected (kWh)]]="","",expected_production[[#This Row],[Base Expected (kWh)]]*expected_production[[#This Row],[Degradation Factor]])</f>
        <v>14973.796269386607</v>
      </c>
    </row>
    <row r="2074" spans="1:7" ht="15" hidden="1" customHeight="1" x14ac:dyDescent="0.3">
      <c r="A2074" t="s">
        <v>180</v>
      </c>
      <c r="B2074" s="2">
        <v>45870</v>
      </c>
      <c r="C2074" s="52">
        <v>18071.099999999999</v>
      </c>
      <c r="D2074" s="48">
        <f>_xlfn.XLOOKUP(expected_production[[#This Row],[Site Name]],Table1[[Site Name ]],Table1[Commisioned Date],"")</f>
        <v>45666</v>
      </c>
      <c r="E2074" s="47">
        <f>IF(ISNUMBER(expected_production[[#This Row],[Commissioned Date]]),MAX(0,(expected_production[[#This Row],[Date]]-expected_production[[#This Row],[Commissioned Date]])/365.25),"")</f>
        <v>0.55852156057494862</v>
      </c>
      <c r="F2074" s="49">
        <f>IF(expected_production[[#This Row],[Age (yrs)]]="",1,(1-DegradationRate)^expected_production[[#This Row],[Age (yrs)]])</f>
        <v>0.9960842875767677</v>
      </c>
      <c r="G2074" s="52">
        <f>IF(expected_production[[#This Row],[Base Expected (kWh)]]="","",expected_production[[#This Row],[Base Expected (kWh)]]*expected_production[[#This Row],[Degradation Factor]])</f>
        <v>18000.338769228525</v>
      </c>
    </row>
    <row r="2075" spans="1:7" ht="15" hidden="1" customHeight="1" x14ac:dyDescent="0.3">
      <c r="A2075" t="s">
        <v>180</v>
      </c>
      <c r="B2075" s="2">
        <v>45901</v>
      </c>
      <c r="C2075" s="52">
        <v>20545.2</v>
      </c>
      <c r="D2075" s="48">
        <f>_xlfn.XLOOKUP(expected_production[[#This Row],[Site Name]],Table1[[Site Name ]],Table1[Commisioned Date],"")</f>
        <v>45666</v>
      </c>
      <c r="E2075" s="47">
        <f>IF(ISNUMBER(expected_production[[#This Row],[Commissioned Date]]),MAX(0,(expected_production[[#This Row],[Date]]-expected_production[[#This Row],[Commissioned Date]])/365.25),"")</f>
        <v>0.64339493497604383</v>
      </c>
      <c r="F2075" s="49">
        <f>IF(expected_production[[#This Row],[Age (yrs)]]="",1,(1-DegradationRate)^expected_production[[#This Row],[Age (yrs)]])</f>
        <v>0.9954905963595676</v>
      </c>
      <c r="G2075" s="52">
        <f>IF(expected_production[[#This Row],[Base Expected (kWh)]]="","",expected_production[[#This Row],[Base Expected (kWh)]]*expected_production[[#This Row],[Degradation Factor]])</f>
        <v>20452.553400326589</v>
      </c>
    </row>
    <row r="2076" spans="1:7" ht="15" hidden="1" customHeight="1" x14ac:dyDescent="0.3">
      <c r="A2076" t="s">
        <v>180</v>
      </c>
      <c r="B2076" s="2">
        <v>45931</v>
      </c>
      <c r="C2076" s="52">
        <v>23411.7</v>
      </c>
      <c r="D2076" s="48">
        <f>_xlfn.XLOOKUP(expected_production[[#This Row],[Site Name]],Table1[[Site Name ]],Table1[Commisioned Date],"")</f>
        <v>45666</v>
      </c>
      <c r="E2076" s="47">
        <f>IF(ISNUMBER(expected_production[[#This Row],[Commissioned Date]]),MAX(0,(expected_production[[#This Row],[Date]]-expected_production[[#This Row],[Commissioned Date]])/365.25),"")</f>
        <v>0.72553045859000687</v>
      </c>
      <c r="F2076" s="49">
        <f>IF(expected_production[[#This Row],[Age (yrs)]]="",1,(1-DegradationRate)^expected_production[[#This Row],[Age (yrs)]])</f>
        <v>0.99491639339106797</v>
      </c>
      <c r="G2076" s="52">
        <f>IF(expected_production[[#This Row],[Base Expected (kWh)]]="","",expected_production[[#This Row],[Base Expected (kWh)]]*expected_production[[#This Row],[Degradation Factor]])</f>
        <v>23292.684127153665</v>
      </c>
    </row>
    <row r="2077" spans="1:7" ht="15" hidden="1" customHeight="1" x14ac:dyDescent="0.3">
      <c r="A2077" t="s">
        <v>180</v>
      </c>
      <c r="B2077" s="2">
        <v>45962</v>
      </c>
      <c r="C2077" s="52">
        <v>23583.599999999999</v>
      </c>
      <c r="D2077" s="48">
        <f>_xlfn.XLOOKUP(expected_production[[#This Row],[Site Name]],Table1[[Site Name ]],Table1[Commisioned Date],"")</f>
        <v>45666</v>
      </c>
      <c r="E2077" s="47">
        <f>IF(ISNUMBER(expected_production[[#This Row],[Commissioned Date]]),MAX(0,(expected_production[[#This Row],[Date]]-expected_production[[#This Row],[Commissioned Date]])/365.25),"")</f>
        <v>0.81040383299110197</v>
      </c>
      <c r="F2077" s="49">
        <f>IF(expected_production[[#This Row],[Age (yrs)]]="",1,(1-DegradationRate)^expected_production[[#This Row],[Age (yrs)]])</f>
        <v>0.99432339826809335</v>
      </c>
      <c r="G2077" s="52">
        <f>IF(expected_production[[#This Row],[Base Expected (kWh)]]="","",expected_production[[#This Row],[Base Expected (kWh)]]*expected_production[[#This Row],[Degradation Factor]])</f>
        <v>23449.725295395405</v>
      </c>
    </row>
    <row r="2078" spans="1:7" ht="15" hidden="1" customHeight="1" x14ac:dyDescent="0.3">
      <c r="A2078" t="s">
        <v>180</v>
      </c>
      <c r="B2078" s="2">
        <v>45992</v>
      </c>
      <c r="C2078" s="52">
        <v>24027.3</v>
      </c>
      <c r="D2078" s="48">
        <f>_xlfn.XLOOKUP(expected_production[[#This Row],[Site Name]],Table1[[Site Name ]],Table1[Commisioned Date],"")</f>
        <v>45666</v>
      </c>
      <c r="E2078" s="47">
        <f>IF(ISNUMBER(expected_production[[#This Row],[Commissioned Date]]),MAX(0,(expected_production[[#This Row],[Date]]-expected_production[[#This Row],[Commissioned Date]])/365.25),"")</f>
        <v>0.892539356605065</v>
      </c>
      <c r="F2078" s="49">
        <f>IF(expected_production[[#This Row],[Age (yrs)]]="",1,(1-DegradationRate)^expected_production[[#This Row],[Age (yrs)]])</f>
        <v>0.99374986854413405</v>
      </c>
      <c r="G2078" s="52">
        <f>IF(expected_production[[#This Row],[Base Expected (kWh)]]="","",expected_production[[#This Row],[Base Expected (kWh)]]*expected_production[[#This Row],[Degradation Factor]])</f>
        <v>23877.126216470471</v>
      </c>
    </row>
    <row r="2079" spans="1:7" ht="15" hidden="1" customHeight="1" x14ac:dyDescent="0.3">
      <c r="A2079" t="s">
        <v>180</v>
      </c>
      <c r="B2079" s="2">
        <v>46023</v>
      </c>
      <c r="C2079" s="52">
        <v>23724</v>
      </c>
      <c r="D2079" s="48">
        <f>_xlfn.XLOOKUP(expected_production[[#This Row],[Site Name]],Table1[[Site Name ]],Table1[Commisioned Date],"")</f>
        <v>45666</v>
      </c>
      <c r="E2079" s="47">
        <f>IF(ISNUMBER(expected_production[[#This Row],[Commissioned Date]]),MAX(0,(expected_production[[#This Row],[Date]]-expected_production[[#This Row],[Commissioned Date]])/365.25),"")</f>
        <v>0.97741273100616022</v>
      </c>
      <c r="F2079" s="49">
        <f>IF(expected_production[[#This Row],[Age (yrs)]]="",1,(1-DegradationRate)^expected_production[[#This Row],[Age (yrs)]])</f>
        <v>0.99315756869922456</v>
      </c>
      <c r="G2079" s="52">
        <f>IF(expected_production[[#This Row],[Base Expected (kWh)]]="","",expected_production[[#This Row],[Base Expected (kWh)]]*expected_production[[#This Row],[Degradation Factor]])</f>
        <v>23561.670159820402</v>
      </c>
    </row>
    <row r="2080" spans="1:7" ht="15" hidden="1" customHeight="1" x14ac:dyDescent="0.3">
      <c r="A2080" t="s">
        <v>180</v>
      </c>
      <c r="B2080" s="2">
        <v>46054</v>
      </c>
      <c r="C2080" s="52">
        <v>20448</v>
      </c>
      <c r="D2080" s="48">
        <f>_xlfn.XLOOKUP(expected_production[[#This Row],[Site Name]],Table1[[Site Name ]],Table1[Commisioned Date],"")</f>
        <v>45666</v>
      </c>
      <c r="E2080" s="47">
        <f>IF(ISNUMBER(expected_production[[#This Row],[Commissioned Date]]),MAX(0,(expected_production[[#This Row],[Date]]-expected_production[[#This Row],[Commissioned Date]])/365.25),"")</f>
        <v>1.0622861054072552</v>
      </c>
      <c r="F2080" s="49">
        <f>IF(expected_production[[#This Row],[Age (yrs)]]="",1,(1-DegradationRate)^expected_production[[#This Row],[Age (yrs)]])</f>
        <v>0.99256562187987762</v>
      </c>
      <c r="G2080" s="52">
        <f>IF(expected_production[[#This Row],[Base Expected (kWh)]]="","",expected_production[[#This Row],[Base Expected (kWh)]]*expected_production[[#This Row],[Degradation Factor]])</f>
        <v>20295.981836199739</v>
      </c>
    </row>
    <row r="2081" spans="1:7" ht="15" hidden="1" customHeight="1" x14ac:dyDescent="0.3">
      <c r="A2081" t="s">
        <v>180</v>
      </c>
      <c r="B2081" s="2">
        <v>46082</v>
      </c>
      <c r="C2081" s="52">
        <v>19986.3</v>
      </c>
      <c r="D2081" s="48">
        <f>_xlfn.XLOOKUP(expected_production[[#This Row],[Site Name]],Table1[[Site Name ]],Table1[Commisioned Date],"")</f>
        <v>45666</v>
      </c>
      <c r="E2081" s="47">
        <f>IF(ISNUMBER(expected_production[[#This Row],[Commissioned Date]]),MAX(0,(expected_production[[#This Row],[Date]]-expected_production[[#This Row],[Commissioned Date]])/365.25),"")</f>
        <v>1.1389459274469542</v>
      </c>
      <c r="F2081" s="49">
        <f>IF(expected_production[[#This Row],[Age (yrs)]]="",1,(1-DegradationRate)^expected_production[[#This Row],[Age (yrs)]])</f>
        <v>0.99203126349457593</v>
      </c>
      <c r="G2081" s="52">
        <f>IF(expected_production[[#This Row],[Base Expected (kWh)]]="","",expected_production[[#This Row],[Base Expected (kWh)]]*expected_production[[#This Row],[Degradation Factor]])</f>
        <v>19827.034441581643</v>
      </c>
    </row>
    <row r="2082" spans="1:7" ht="15" hidden="1" customHeight="1" x14ac:dyDescent="0.3">
      <c r="A2082" t="s">
        <v>180</v>
      </c>
      <c r="B2082" s="2">
        <v>46113</v>
      </c>
      <c r="C2082" s="52">
        <v>17181.900000000001</v>
      </c>
      <c r="D2082" s="48">
        <f>_xlfn.XLOOKUP(expected_production[[#This Row],[Site Name]],Table1[[Site Name ]],Table1[Commisioned Date],"")</f>
        <v>45666</v>
      </c>
      <c r="E2082" s="47">
        <f>IF(ISNUMBER(expected_production[[#This Row],[Commissioned Date]]),MAX(0,(expected_production[[#This Row],[Date]]-expected_production[[#This Row],[Commissioned Date]])/365.25),"")</f>
        <v>1.2238193018480492</v>
      </c>
      <c r="F2082" s="49">
        <f>IF(expected_production[[#This Row],[Age (yrs)]]="",1,(1-DegradationRate)^expected_production[[#This Row],[Age (yrs)]])</f>
        <v>0.99143998798137878</v>
      </c>
      <c r="G2082" s="52">
        <f>IF(expected_production[[#This Row],[Base Expected (kWh)]]="","",expected_production[[#This Row],[Base Expected (kWh)]]*expected_production[[#This Row],[Degradation Factor]])</f>
        <v>17034.822729497253</v>
      </c>
    </row>
    <row r="2083" spans="1:7" ht="15" hidden="1" customHeight="1" x14ac:dyDescent="0.3">
      <c r="A2083" t="s">
        <v>180</v>
      </c>
      <c r="B2083" s="2">
        <v>46143</v>
      </c>
      <c r="C2083" s="52">
        <v>15369.3</v>
      </c>
      <c r="D2083" s="48">
        <f>_xlfn.XLOOKUP(expected_production[[#This Row],[Site Name]],Table1[[Site Name ]],Table1[Commisioned Date],"")</f>
        <v>45666</v>
      </c>
      <c r="E2083" s="47">
        <f>IF(ISNUMBER(expected_production[[#This Row],[Commissioned Date]]),MAX(0,(expected_production[[#This Row],[Date]]-expected_production[[#This Row],[Commissioned Date]])/365.25),"")</f>
        <v>1.3059548254620124</v>
      </c>
      <c r="F2083" s="49">
        <f>IF(expected_production[[#This Row],[Age (yrs)]]="",1,(1-DegradationRate)^expected_production[[#This Row],[Age (yrs)]])</f>
        <v>0.990868121420037</v>
      </c>
      <c r="G2083" s="52">
        <f>IF(expected_production[[#This Row],[Base Expected (kWh)]]="","",expected_production[[#This Row],[Base Expected (kWh)]]*expected_production[[#This Row],[Degradation Factor]])</f>
        <v>15228.949418540973</v>
      </c>
    </row>
    <row r="2084" spans="1:7" ht="15" hidden="1" customHeight="1" x14ac:dyDescent="0.3">
      <c r="A2084" t="s">
        <v>180</v>
      </c>
      <c r="B2084" s="2">
        <v>46174</v>
      </c>
      <c r="C2084" s="52">
        <v>13381.2</v>
      </c>
      <c r="D2084" s="48">
        <f>_xlfn.XLOOKUP(expected_production[[#This Row],[Site Name]],Table1[[Site Name ]],Table1[Commisioned Date],"")</f>
        <v>45666</v>
      </c>
      <c r="E2084" s="47">
        <f>IF(ISNUMBER(expected_production[[#This Row],[Commissioned Date]]),MAX(0,(expected_production[[#This Row],[Date]]-expected_production[[#This Row],[Commissioned Date]])/365.25),"")</f>
        <v>1.3908281998631074</v>
      </c>
      <c r="F2084" s="49">
        <f>IF(expected_production[[#This Row],[Age (yrs)]]="",1,(1-DegradationRate)^expected_production[[#This Row],[Age (yrs)]])</f>
        <v>0.99027753916868777</v>
      </c>
      <c r="G2084" s="52">
        <f>IF(expected_production[[#This Row],[Base Expected (kWh)]]="","",expected_production[[#This Row],[Base Expected (kWh)]]*expected_production[[#This Row],[Degradation Factor]])</f>
        <v>13251.101807124045</v>
      </c>
    </row>
    <row r="2085" spans="1:7" ht="15" hidden="1" customHeight="1" x14ac:dyDescent="0.3">
      <c r="A2085" t="s">
        <v>180</v>
      </c>
      <c r="B2085" s="2">
        <v>46204</v>
      </c>
      <c r="C2085" s="52">
        <v>15023.7</v>
      </c>
      <c r="D2085" s="48">
        <f>_xlfn.XLOOKUP(expected_production[[#This Row],[Site Name]],Table1[[Site Name ]],Table1[Commisioned Date],"")</f>
        <v>45666</v>
      </c>
      <c r="E2085" s="47">
        <f>IF(ISNUMBER(expected_production[[#This Row],[Commissioned Date]]),MAX(0,(expected_production[[#This Row],[Date]]-expected_production[[#This Row],[Commissioned Date]])/365.25),"")</f>
        <v>1.4729637234770705</v>
      </c>
      <c r="F2085" s="49">
        <f>IF(expected_production[[#This Row],[Age (yrs)]]="",1,(1-DegradationRate)^expected_production[[#This Row],[Age (yrs)]])</f>
        <v>0.9897063431124834</v>
      </c>
      <c r="G2085" s="52">
        <f>IF(expected_production[[#This Row],[Base Expected (kWh)]]="","",expected_production[[#This Row],[Base Expected (kWh)]]*expected_production[[#This Row],[Degradation Factor]])</f>
        <v>14869.051187019018</v>
      </c>
    </row>
    <row r="2086" spans="1:7" ht="15" hidden="1" customHeight="1" x14ac:dyDescent="0.3">
      <c r="A2086" t="s">
        <v>180</v>
      </c>
      <c r="B2086" s="2">
        <v>46235</v>
      </c>
      <c r="C2086" s="52">
        <v>18071.099999999999</v>
      </c>
      <c r="D2086" s="48">
        <f>_xlfn.XLOOKUP(expected_production[[#This Row],[Site Name]],Table1[[Site Name ]],Table1[Commisioned Date],"")</f>
        <v>45666</v>
      </c>
      <c r="E2086" s="47">
        <f>IF(ISNUMBER(expected_production[[#This Row],[Commissioned Date]]),MAX(0,(expected_production[[#This Row],[Date]]-expected_production[[#This Row],[Commissioned Date]])/365.25),"")</f>
        <v>1.5578370978781657</v>
      </c>
      <c r="F2086" s="49">
        <f>IF(expected_production[[#This Row],[Age (yrs)]]="",1,(1-DegradationRate)^expected_production[[#This Row],[Age (yrs)]])</f>
        <v>0.98911645331014286</v>
      </c>
      <c r="G2086" s="52">
        <f>IF(expected_production[[#This Row],[Base Expected (kWh)]]="","",expected_production[[#This Row],[Base Expected (kWh)]]*expected_production[[#This Row],[Degradation Factor]])</f>
        <v>17874.422339412922</v>
      </c>
    </row>
    <row r="2087" spans="1:7" ht="15" hidden="1" customHeight="1" x14ac:dyDescent="0.3">
      <c r="A2087" t="s">
        <v>180</v>
      </c>
      <c r="B2087" s="2">
        <v>46266</v>
      </c>
      <c r="C2087" s="52">
        <v>20545.2</v>
      </c>
      <c r="D2087" s="48">
        <f>_xlfn.XLOOKUP(expected_production[[#This Row],[Site Name]],Table1[[Site Name ]],Table1[Commisioned Date],"")</f>
        <v>45666</v>
      </c>
      <c r="E2087" s="47">
        <f>IF(ISNUMBER(expected_production[[#This Row],[Commissioned Date]]),MAX(0,(expected_production[[#This Row],[Date]]-expected_production[[#This Row],[Commissioned Date]])/365.25),"")</f>
        <v>1.6427104722792607</v>
      </c>
      <c r="F2087" s="49">
        <f>IF(expected_production[[#This Row],[Age (yrs)]]="",1,(1-DegradationRate)^expected_production[[#This Row],[Age (yrs)]])</f>
        <v>0.98852691509691903</v>
      </c>
      <c r="G2087" s="52">
        <f>IF(expected_production[[#This Row],[Base Expected (kWh)]]="","",expected_production[[#This Row],[Base Expected (kWh)]]*expected_production[[#This Row],[Degradation Factor]])</f>
        <v>20309.483176049223</v>
      </c>
    </row>
    <row r="2088" spans="1:7" ht="15" hidden="1" customHeight="1" x14ac:dyDescent="0.3">
      <c r="A2088" t="s">
        <v>180</v>
      </c>
      <c r="B2088" s="2">
        <v>46296</v>
      </c>
      <c r="C2088" s="52">
        <v>23411.7</v>
      </c>
      <c r="D2088" s="48">
        <f>_xlfn.XLOOKUP(expected_production[[#This Row],[Site Name]],Table1[[Site Name ]],Table1[Commisioned Date],"")</f>
        <v>45666</v>
      </c>
      <c r="E2088" s="47">
        <f>IF(ISNUMBER(expected_production[[#This Row],[Commissioned Date]]),MAX(0,(expected_production[[#This Row],[Date]]-expected_production[[#This Row],[Commissioned Date]])/365.25),"")</f>
        <v>1.7248459958932238</v>
      </c>
      <c r="F2088" s="49">
        <f>IF(expected_production[[#This Row],[Age (yrs)]]="",1,(1-DegradationRate)^expected_production[[#This Row],[Age (yrs)]])</f>
        <v>0.98795672880770025</v>
      </c>
      <c r="G2088" s="52">
        <f>IF(expected_production[[#This Row],[Base Expected (kWh)]]="","",expected_production[[#This Row],[Base Expected (kWh)]]*expected_production[[#This Row],[Degradation Factor]])</f>
        <v>23129.746547827235</v>
      </c>
    </row>
    <row r="2089" spans="1:7" ht="15" hidden="1" customHeight="1" x14ac:dyDescent="0.3">
      <c r="A2089" t="s">
        <v>180</v>
      </c>
      <c r="B2089" s="2">
        <v>46327</v>
      </c>
      <c r="C2089" s="52">
        <v>23583.599999999999</v>
      </c>
      <c r="D2089" s="48">
        <f>_xlfn.XLOOKUP(expected_production[[#This Row],[Site Name]],Table1[[Site Name ]],Table1[Commisioned Date],"")</f>
        <v>45666</v>
      </c>
      <c r="E2089" s="47">
        <f>IF(ISNUMBER(expected_production[[#This Row],[Commissioned Date]]),MAX(0,(expected_production[[#This Row],[Date]]-expected_production[[#This Row],[Commissioned Date]])/365.25),"")</f>
        <v>1.8097193702943191</v>
      </c>
      <c r="F2089" s="49">
        <f>IF(expected_production[[#This Row],[Age (yrs)]]="",1,(1-DegradationRate)^expected_production[[#This Row],[Age (yrs)]])</f>
        <v>0.98736788181936574</v>
      </c>
      <c r="G2089" s="52">
        <f>IF(expected_production[[#This Row],[Base Expected (kWh)]]="","",expected_production[[#This Row],[Base Expected (kWh)]]*expected_production[[#This Row],[Degradation Factor]])</f>
        <v>23285.689177675191</v>
      </c>
    </row>
    <row r="2090" spans="1:7" ht="15" hidden="1" customHeight="1" x14ac:dyDescent="0.3">
      <c r="A2090" t="s">
        <v>180</v>
      </c>
      <c r="B2090" s="2">
        <v>46357</v>
      </c>
      <c r="C2090" s="52">
        <v>24027.3</v>
      </c>
      <c r="D2090" s="48">
        <f>_xlfn.XLOOKUP(expected_production[[#This Row],[Site Name]],Table1[[Site Name ]],Table1[Commisioned Date],"")</f>
        <v>45666</v>
      </c>
      <c r="E2090" s="47">
        <f>IF(ISNUMBER(expected_production[[#This Row],[Commissioned Date]]),MAX(0,(expected_production[[#This Row],[Date]]-expected_production[[#This Row],[Commissioned Date]])/365.25),"")</f>
        <v>1.891854893908282</v>
      </c>
      <c r="F2090" s="49">
        <f>IF(expected_production[[#This Row],[Age (yrs)]]="",1,(1-DegradationRate)^expected_production[[#This Row],[Age (yrs)]])</f>
        <v>0.98679836406518984</v>
      </c>
      <c r="G2090" s="52">
        <f>IF(expected_production[[#This Row],[Base Expected (kWh)]]="","",expected_production[[#This Row],[Base Expected (kWh)]]*expected_production[[#This Row],[Degradation Factor]])</f>
        <v>23710.100332903534</v>
      </c>
    </row>
    <row r="2091" spans="1:7" ht="15" hidden="1" customHeight="1" x14ac:dyDescent="0.3">
      <c r="A2091" t="s">
        <v>241</v>
      </c>
      <c r="B2091" s="2">
        <v>45292</v>
      </c>
      <c r="C2091" s="52">
        <v>28380.6</v>
      </c>
      <c r="D2091" s="48">
        <f>_xlfn.XLOOKUP(expected_production[[#This Row],[Site Name]],Table1[[Site Name ]],Table1[Commisioned Date],"")</f>
        <v>46068</v>
      </c>
      <c r="E2091" s="47">
        <f>IF(ISNUMBER(expected_production[[#This Row],[Commissioned Date]]),MAX(0,(expected_production[[#This Row],[Date]]-expected_production[[#This Row],[Commissioned Date]])/365.25),"")</f>
        <v>0</v>
      </c>
      <c r="F2091" s="49">
        <f>IF(expected_production[[#This Row],[Age (yrs)]]="",1,(1-DegradationRate)^expected_production[[#This Row],[Age (yrs)]])</f>
        <v>1</v>
      </c>
      <c r="G2091" s="52">
        <f>IF(expected_production[[#This Row],[Base Expected (kWh)]]="","",expected_production[[#This Row],[Base Expected (kWh)]]*expected_production[[#This Row],[Degradation Factor]])</f>
        <v>28380.6</v>
      </c>
    </row>
    <row r="2092" spans="1:7" ht="15" hidden="1" customHeight="1" x14ac:dyDescent="0.3">
      <c r="A2092" t="s">
        <v>241</v>
      </c>
      <c r="B2092" s="2">
        <v>45323</v>
      </c>
      <c r="C2092" s="52">
        <v>24379.200000000001</v>
      </c>
      <c r="D2092" s="48">
        <f>_xlfn.XLOOKUP(expected_production[[#This Row],[Site Name]],Table1[[Site Name ]],Table1[Commisioned Date],"")</f>
        <v>46068</v>
      </c>
      <c r="E2092" s="47">
        <f>IF(ISNUMBER(expected_production[[#This Row],[Commissioned Date]]),MAX(0,(expected_production[[#This Row],[Date]]-expected_production[[#This Row],[Commissioned Date]])/365.25),"")</f>
        <v>0</v>
      </c>
      <c r="F2092" s="49">
        <f>IF(expected_production[[#This Row],[Age (yrs)]]="",1,(1-DegradationRate)^expected_production[[#This Row],[Age (yrs)]])</f>
        <v>1</v>
      </c>
      <c r="G2092" s="52">
        <f>IF(expected_production[[#This Row],[Base Expected (kWh)]]="","",expected_production[[#This Row],[Base Expected (kWh)]]*expected_production[[#This Row],[Degradation Factor]])</f>
        <v>24379.200000000001</v>
      </c>
    </row>
    <row r="2093" spans="1:7" ht="15" hidden="1" customHeight="1" x14ac:dyDescent="0.3">
      <c r="A2093" t="s">
        <v>241</v>
      </c>
      <c r="B2093" s="2">
        <v>45352</v>
      </c>
      <c r="C2093" s="52">
        <v>23351.4</v>
      </c>
      <c r="D2093" s="48">
        <f>_xlfn.XLOOKUP(expected_production[[#This Row],[Site Name]],Table1[[Site Name ]],Table1[Commisioned Date],"")</f>
        <v>46068</v>
      </c>
      <c r="E2093" s="47">
        <f>IF(ISNUMBER(expected_production[[#This Row],[Commissioned Date]]),MAX(0,(expected_production[[#This Row],[Date]]-expected_production[[#This Row],[Commissioned Date]])/365.25),"")</f>
        <v>0</v>
      </c>
      <c r="F2093" s="49">
        <f>IF(expected_production[[#This Row],[Age (yrs)]]="",1,(1-DegradationRate)^expected_production[[#This Row],[Age (yrs)]])</f>
        <v>1</v>
      </c>
      <c r="G2093" s="52">
        <f>IF(expected_production[[#This Row],[Base Expected (kWh)]]="","",expected_production[[#This Row],[Base Expected (kWh)]]*expected_production[[#This Row],[Degradation Factor]])</f>
        <v>23351.4</v>
      </c>
    </row>
    <row r="2094" spans="1:7" ht="15" hidden="1" customHeight="1" x14ac:dyDescent="0.3">
      <c r="A2094" t="s">
        <v>241</v>
      </c>
      <c r="B2094" s="2">
        <v>45383</v>
      </c>
      <c r="C2094" s="52">
        <v>19887.3</v>
      </c>
      <c r="D2094" s="48">
        <f>_xlfn.XLOOKUP(expected_production[[#This Row],[Site Name]],Table1[[Site Name ]],Table1[Commisioned Date],"")</f>
        <v>46068</v>
      </c>
      <c r="E2094" s="47">
        <f>IF(ISNUMBER(expected_production[[#This Row],[Commissioned Date]]),MAX(0,(expected_production[[#This Row],[Date]]-expected_production[[#This Row],[Commissioned Date]])/365.25),"")</f>
        <v>0</v>
      </c>
      <c r="F2094" s="49">
        <f>IF(expected_production[[#This Row],[Age (yrs)]]="",1,(1-DegradationRate)^expected_production[[#This Row],[Age (yrs)]])</f>
        <v>1</v>
      </c>
      <c r="G2094" s="52">
        <f>IF(expected_production[[#This Row],[Base Expected (kWh)]]="","",expected_production[[#This Row],[Base Expected (kWh)]]*expected_production[[#This Row],[Degradation Factor]])</f>
        <v>19887.3</v>
      </c>
    </row>
    <row r="2095" spans="1:7" ht="15" hidden="1" customHeight="1" x14ac:dyDescent="0.3">
      <c r="A2095" t="s">
        <v>241</v>
      </c>
      <c r="B2095" s="2">
        <v>45413</v>
      </c>
      <c r="C2095" s="52">
        <v>17745.3</v>
      </c>
      <c r="D2095" s="48">
        <f>_xlfn.XLOOKUP(expected_production[[#This Row],[Site Name]],Table1[[Site Name ]],Table1[Commisioned Date],"")</f>
        <v>46068</v>
      </c>
      <c r="E2095" s="47">
        <f>IF(ISNUMBER(expected_production[[#This Row],[Commissioned Date]]),MAX(0,(expected_production[[#This Row],[Date]]-expected_production[[#This Row],[Commissioned Date]])/365.25),"")</f>
        <v>0</v>
      </c>
      <c r="F2095" s="49">
        <f>IF(expected_production[[#This Row],[Age (yrs)]]="",1,(1-DegradationRate)^expected_production[[#This Row],[Age (yrs)]])</f>
        <v>1</v>
      </c>
      <c r="G2095" s="52">
        <f>IF(expected_production[[#This Row],[Base Expected (kWh)]]="","",expected_production[[#This Row],[Base Expected (kWh)]]*expected_production[[#This Row],[Degradation Factor]])</f>
        <v>17745.3</v>
      </c>
    </row>
    <row r="2096" spans="1:7" ht="15" hidden="1" customHeight="1" x14ac:dyDescent="0.3">
      <c r="A2096" t="s">
        <v>241</v>
      </c>
      <c r="B2096" s="2">
        <v>45444</v>
      </c>
      <c r="C2096" s="52">
        <v>15502.5</v>
      </c>
      <c r="D2096" s="48">
        <f>_xlfn.XLOOKUP(expected_production[[#This Row],[Site Name]],Table1[[Site Name ]],Table1[Commisioned Date],"")</f>
        <v>46068</v>
      </c>
      <c r="E2096" s="47">
        <f>IF(ISNUMBER(expected_production[[#This Row],[Commissioned Date]]),MAX(0,(expected_production[[#This Row],[Date]]-expected_production[[#This Row],[Commissioned Date]])/365.25),"")</f>
        <v>0</v>
      </c>
      <c r="F2096" s="49">
        <f>IF(expected_production[[#This Row],[Age (yrs)]]="",1,(1-DegradationRate)^expected_production[[#This Row],[Age (yrs)]])</f>
        <v>1</v>
      </c>
      <c r="G2096" s="52">
        <f>IF(expected_production[[#This Row],[Base Expected (kWh)]]="","",expected_production[[#This Row],[Base Expected (kWh)]]*expected_production[[#This Row],[Degradation Factor]])</f>
        <v>15502.5</v>
      </c>
    </row>
    <row r="2097" spans="1:7" ht="15" hidden="1" customHeight="1" x14ac:dyDescent="0.3">
      <c r="A2097" t="s">
        <v>241</v>
      </c>
      <c r="B2097" s="2">
        <v>45474</v>
      </c>
      <c r="C2097" s="52">
        <v>17358.3</v>
      </c>
      <c r="D2097" s="48">
        <f>_xlfn.XLOOKUP(expected_production[[#This Row],[Site Name]],Table1[[Site Name ]],Table1[Commisioned Date],"")</f>
        <v>46068</v>
      </c>
      <c r="E2097" s="47">
        <f>IF(ISNUMBER(expected_production[[#This Row],[Commissioned Date]]),MAX(0,(expected_production[[#This Row],[Date]]-expected_production[[#This Row],[Commissioned Date]])/365.25),"")</f>
        <v>0</v>
      </c>
      <c r="F2097" s="49">
        <f>IF(expected_production[[#This Row],[Age (yrs)]]="",1,(1-DegradationRate)^expected_production[[#This Row],[Age (yrs)]])</f>
        <v>1</v>
      </c>
      <c r="G2097" s="52">
        <f>IF(expected_production[[#This Row],[Base Expected (kWh)]]="","",expected_production[[#This Row],[Base Expected (kWh)]]*expected_production[[#This Row],[Degradation Factor]])</f>
        <v>17358.3</v>
      </c>
    </row>
    <row r="2098" spans="1:7" ht="15" hidden="1" customHeight="1" x14ac:dyDescent="0.3">
      <c r="A2098" t="s">
        <v>241</v>
      </c>
      <c r="B2098" s="2">
        <v>45505</v>
      </c>
      <c r="C2098" s="52">
        <v>20842.2</v>
      </c>
      <c r="D2098" s="48">
        <f>_xlfn.XLOOKUP(expected_production[[#This Row],[Site Name]],Table1[[Site Name ]],Table1[Commisioned Date],"")</f>
        <v>46068</v>
      </c>
      <c r="E2098" s="47">
        <f>IF(ISNUMBER(expected_production[[#This Row],[Commissioned Date]]),MAX(0,(expected_production[[#This Row],[Date]]-expected_production[[#This Row],[Commissioned Date]])/365.25),"")</f>
        <v>0</v>
      </c>
      <c r="F2098" s="49">
        <f>IF(expected_production[[#This Row],[Age (yrs)]]="",1,(1-DegradationRate)^expected_production[[#This Row],[Age (yrs)]])</f>
        <v>1</v>
      </c>
      <c r="G2098" s="52">
        <f>IF(expected_production[[#This Row],[Base Expected (kWh)]]="","",expected_production[[#This Row],[Base Expected (kWh)]]*expected_production[[#This Row],[Degradation Factor]])</f>
        <v>20842.2</v>
      </c>
    </row>
    <row r="2099" spans="1:7" ht="15" hidden="1" customHeight="1" x14ac:dyDescent="0.3">
      <c r="A2099" t="s">
        <v>241</v>
      </c>
      <c r="B2099" s="2">
        <v>45536</v>
      </c>
      <c r="C2099" s="52">
        <v>23841</v>
      </c>
      <c r="D2099" s="48">
        <f>_xlfn.XLOOKUP(expected_production[[#This Row],[Site Name]],Table1[[Site Name ]],Table1[Commisioned Date],"")</f>
        <v>46068</v>
      </c>
      <c r="E2099" s="47">
        <f>IF(ISNUMBER(expected_production[[#This Row],[Commissioned Date]]),MAX(0,(expected_production[[#This Row],[Date]]-expected_production[[#This Row],[Commissioned Date]])/365.25),"")</f>
        <v>0</v>
      </c>
      <c r="F2099" s="49">
        <f>IF(expected_production[[#This Row],[Age (yrs)]]="",1,(1-DegradationRate)^expected_production[[#This Row],[Age (yrs)]])</f>
        <v>1</v>
      </c>
      <c r="G2099" s="52">
        <f>IF(expected_production[[#This Row],[Base Expected (kWh)]]="","",expected_production[[#This Row],[Base Expected (kWh)]]*expected_production[[#This Row],[Degradation Factor]])</f>
        <v>23841</v>
      </c>
    </row>
    <row r="2100" spans="1:7" ht="15" hidden="1" customHeight="1" x14ac:dyDescent="0.3">
      <c r="A2100" t="s">
        <v>241</v>
      </c>
      <c r="B2100" s="2">
        <v>45566</v>
      </c>
      <c r="C2100" s="52">
        <v>27285.3</v>
      </c>
      <c r="D2100" s="48">
        <f>_xlfn.XLOOKUP(expected_production[[#This Row],[Site Name]],Table1[[Site Name ]],Table1[Commisioned Date],"")</f>
        <v>46068</v>
      </c>
      <c r="E2100" s="47">
        <f>IF(ISNUMBER(expected_production[[#This Row],[Commissioned Date]]),MAX(0,(expected_production[[#This Row],[Date]]-expected_production[[#This Row],[Commissioned Date]])/365.25),"")</f>
        <v>0</v>
      </c>
      <c r="F2100" s="49">
        <f>IF(expected_production[[#This Row],[Age (yrs)]]="",1,(1-DegradationRate)^expected_production[[#This Row],[Age (yrs)]])</f>
        <v>1</v>
      </c>
      <c r="G2100" s="52">
        <f>IF(expected_production[[#This Row],[Base Expected (kWh)]]="","",expected_production[[#This Row],[Base Expected (kWh)]]*expected_production[[#This Row],[Degradation Factor]])</f>
        <v>27285.3</v>
      </c>
    </row>
    <row r="2101" spans="1:7" ht="15" hidden="1" customHeight="1" x14ac:dyDescent="0.3">
      <c r="A2101" t="s">
        <v>241</v>
      </c>
      <c r="B2101" s="2">
        <v>45597</v>
      </c>
      <c r="C2101" s="52">
        <v>27841.5</v>
      </c>
      <c r="D2101" s="48">
        <f>_xlfn.XLOOKUP(expected_production[[#This Row],[Site Name]],Table1[[Site Name ]],Table1[Commisioned Date],"")</f>
        <v>46068</v>
      </c>
      <c r="E2101" s="47">
        <f>IF(ISNUMBER(expected_production[[#This Row],[Commissioned Date]]),MAX(0,(expected_production[[#This Row],[Date]]-expected_production[[#This Row],[Commissioned Date]])/365.25),"")</f>
        <v>0</v>
      </c>
      <c r="F2101" s="49">
        <f>IF(expected_production[[#This Row],[Age (yrs)]]="",1,(1-DegradationRate)^expected_production[[#This Row],[Age (yrs)]])</f>
        <v>1</v>
      </c>
      <c r="G2101" s="52">
        <f>IF(expected_production[[#This Row],[Base Expected (kWh)]]="","",expected_production[[#This Row],[Base Expected (kWh)]]*expected_production[[#This Row],[Degradation Factor]])</f>
        <v>27841.5</v>
      </c>
    </row>
    <row r="2102" spans="1:7" ht="15" hidden="1" customHeight="1" x14ac:dyDescent="0.3">
      <c r="A2102" t="s">
        <v>241</v>
      </c>
      <c r="B2102" s="2">
        <v>45627</v>
      </c>
      <c r="C2102" s="52">
        <v>28779.3</v>
      </c>
      <c r="D2102" s="48">
        <f>_xlfn.XLOOKUP(expected_production[[#This Row],[Site Name]],Table1[[Site Name ]],Table1[Commisioned Date],"")</f>
        <v>46068</v>
      </c>
      <c r="E2102" s="47">
        <f>IF(ISNUMBER(expected_production[[#This Row],[Commissioned Date]]),MAX(0,(expected_production[[#This Row],[Date]]-expected_production[[#This Row],[Commissioned Date]])/365.25),"")</f>
        <v>0</v>
      </c>
      <c r="F2102" s="49">
        <f>IF(expected_production[[#This Row],[Age (yrs)]]="",1,(1-DegradationRate)^expected_production[[#This Row],[Age (yrs)]])</f>
        <v>1</v>
      </c>
      <c r="G2102" s="52">
        <f>IF(expected_production[[#This Row],[Base Expected (kWh)]]="","",expected_production[[#This Row],[Base Expected (kWh)]]*expected_production[[#This Row],[Degradation Factor]])</f>
        <v>28779.3</v>
      </c>
    </row>
    <row r="2103" spans="1:7" ht="15" hidden="1" customHeight="1" x14ac:dyDescent="0.3">
      <c r="A2103" t="s">
        <v>241</v>
      </c>
      <c r="B2103" s="2">
        <v>45658</v>
      </c>
      <c r="C2103" s="52">
        <v>28380.6</v>
      </c>
      <c r="D2103" s="48">
        <f>_xlfn.XLOOKUP(expected_production[[#This Row],[Site Name]],Table1[[Site Name ]],Table1[Commisioned Date],"")</f>
        <v>46068</v>
      </c>
      <c r="E2103" s="47">
        <f>IF(ISNUMBER(expected_production[[#This Row],[Commissioned Date]]),MAX(0,(expected_production[[#This Row],[Date]]-expected_production[[#This Row],[Commissioned Date]])/365.25),"")</f>
        <v>0</v>
      </c>
      <c r="F2103" s="49">
        <f>IF(expected_production[[#This Row],[Age (yrs)]]="",1,(1-DegradationRate)^expected_production[[#This Row],[Age (yrs)]])</f>
        <v>1</v>
      </c>
      <c r="G2103" s="52">
        <f>IF(expected_production[[#This Row],[Base Expected (kWh)]]="","",expected_production[[#This Row],[Base Expected (kWh)]]*expected_production[[#This Row],[Degradation Factor]])</f>
        <v>28380.6</v>
      </c>
    </row>
    <row r="2104" spans="1:7" ht="15" hidden="1" customHeight="1" x14ac:dyDescent="0.3">
      <c r="A2104" t="s">
        <v>241</v>
      </c>
      <c r="B2104" s="2">
        <v>45689</v>
      </c>
      <c r="C2104" s="52">
        <v>24379.200000000001</v>
      </c>
      <c r="D2104" s="48">
        <f>_xlfn.XLOOKUP(expected_production[[#This Row],[Site Name]],Table1[[Site Name ]],Table1[Commisioned Date],"")</f>
        <v>46068</v>
      </c>
      <c r="E2104" s="47">
        <f>IF(ISNUMBER(expected_production[[#This Row],[Commissioned Date]]),MAX(0,(expected_production[[#This Row],[Date]]-expected_production[[#This Row],[Commissioned Date]])/365.25),"")</f>
        <v>0</v>
      </c>
      <c r="F2104" s="49">
        <f>IF(expected_production[[#This Row],[Age (yrs)]]="",1,(1-DegradationRate)^expected_production[[#This Row],[Age (yrs)]])</f>
        <v>1</v>
      </c>
      <c r="G2104" s="52">
        <f>IF(expected_production[[#This Row],[Base Expected (kWh)]]="","",expected_production[[#This Row],[Base Expected (kWh)]]*expected_production[[#This Row],[Degradation Factor]])</f>
        <v>24379.200000000001</v>
      </c>
    </row>
    <row r="2105" spans="1:7" ht="15" hidden="1" customHeight="1" x14ac:dyDescent="0.3">
      <c r="A2105" t="s">
        <v>241</v>
      </c>
      <c r="B2105" s="2">
        <v>45717</v>
      </c>
      <c r="C2105" s="52">
        <v>23351.4</v>
      </c>
      <c r="D2105" s="48">
        <f>_xlfn.XLOOKUP(expected_production[[#This Row],[Site Name]],Table1[[Site Name ]],Table1[Commisioned Date],"")</f>
        <v>46068</v>
      </c>
      <c r="E2105" s="47">
        <f>IF(ISNUMBER(expected_production[[#This Row],[Commissioned Date]]),MAX(0,(expected_production[[#This Row],[Date]]-expected_production[[#This Row],[Commissioned Date]])/365.25),"")</f>
        <v>0</v>
      </c>
      <c r="F2105" s="49">
        <f>IF(expected_production[[#This Row],[Age (yrs)]]="",1,(1-DegradationRate)^expected_production[[#This Row],[Age (yrs)]])</f>
        <v>1</v>
      </c>
      <c r="G2105" s="52">
        <f>IF(expected_production[[#This Row],[Base Expected (kWh)]]="","",expected_production[[#This Row],[Base Expected (kWh)]]*expected_production[[#This Row],[Degradation Factor]])</f>
        <v>23351.4</v>
      </c>
    </row>
    <row r="2106" spans="1:7" ht="15" hidden="1" customHeight="1" x14ac:dyDescent="0.3">
      <c r="A2106" t="s">
        <v>241</v>
      </c>
      <c r="B2106" s="2">
        <v>45748</v>
      </c>
      <c r="C2106" s="52">
        <v>19887.3</v>
      </c>
      <c r="D2106" s="48">
        <f>_xlfn.XLOOKUP(expected_production[[#This Row],[Site Name]],Table1[[Site Name ]],Table1[Commisioned Date],"")</f>
        <v>46068</v>
      </c>
      <c r="E2106" s="47">
        <f>IF(ISNUMBER(expected_production[[#This Row],[Commissioned Date]]),MAX(0,(expected_production[[#This Row],[Date]]-expected_production[[#This Row],[Commissioned Date]])/365.25),"")</f>
        <v>0</v>
      </c>
      <c r="F2106" s="49">
        <f>IF(expected_production[[#This Row],[Age (yrs)]]="",1,(1-DegradationRate)^expected_production[[#This Row],[Age (yrs)]])</f>
        <v>1</v>
      </c>
      <c r="G2106" s="52">
        <f>IF(expected_production[[#This Row],[Base Expected (kWh)]]="","",expected_production[[#This Row],[Base Expected (kWh)]]*expected_production[[#This Row],[Degradation Factor]])</f>
        <v>19887.3</v>
      </c>
    </row>
    <row r="2107" spans="1:7" ht="15" hidden="1" customHeight="1" x14ac:dyDescent="0.3">
      <c r="A2107" t="s">
        <v>241</v>
      </c>
      <c r="B2107" s="2">
        <v>45778</v>
      </c>
      <c r="C2107" s="52">
        <v>17745.3</v>
      </c>
      <c r="D2107" s="48">
        <f>_xlfn.XLOOKUP(expected_production[[#This Row],[Site Name]],Table1[[Site Name ]],Table1[Commisioned Date],"")</f>
        <v>46068</v>
      </c>
      <c r="E2107" s="47">
        <f>IF(ISNUMBER(expected_production[[#This Row],[Commissioned Date]]),MAX(0,(expected_production[[#This Row],[Date]]-expected_production[[#This Row],[Commissioned Date]])/365.25),"")</f>
        <v>0</v>
      </c>
      <c r="F2107" s="49">
        <f>IF(expected_production[[#This Row],[Age (yrs)]]="",1,(1-DegradationRate)^expected_production[[#This Row],[Age (yrs)]])</f>
        <v>1</v>
      </c>
      <c r="G2107" s="52">
        <f>IF(expected_production[[#This Row],[Base Expected (kWh)]]="","",expected_production[[#This Row],[Base Expected (kWh)]]*expected_production[[#This Row],[Degradation Factor]])</f>
        <v>17745.3</v>
      </c>
    </row>
    <row r="2108" spans="1:7" ht="15" hidden="1" customHeight="1" x14ac:dyDescent="0.3">
      <c r="A2108" t="s">
        <v>241</v>
      </c>
      <c r="B2108" s="2">
        <v>45809</v>
      </c>
      <c r="C2108" s="52">
        <v>15502.5</v>
      </c>
      <c r="D2108" s="48">
        <f>_xlfn.XLOOKUP(expected_production[[#This Row],[Site Name]],Table1[[Site Name ]],Table1[Commisioned Date],"")</f>
        <v>46068</v>
      </c>
      <c r="E2108" s="47">
        <f>IF(ISNUMBER(expected_production[[#This Row],[Commissioned Date]]),MAX(0,(expected_production[[#This Row],[Date]]-expected_production[[#This Row],[Commissioned Date]])/365.25),"")</f>
        <v>0</v>
      </c>
      <c r="F2108" s="49">
        <f>IF(expected_production[[#This Row],[Age (yrs)]]="",1,(1-DegradationRate)^expected_production[[#This Row],[Age (yrs)]])</f>
        <v>1</v>
      </c>
      <c r="G2108" s="52">
        <f>IF(expected_production[[#This Row],[Base Expected (kWh)]]="","",expected_production[[#This Row],[Base Expected (kWh)]]*expected_production[[#This Row],[Degradation Factor]])</f>
        <v>15502.5</v>
      </c>
    </row>
    <row r="2109" spans="1:7" ht="15" hidden="1" customHeight="1" x14ac:dyDescent="0.3">
      <c r="A2109" t="s">
        <v>241</v>
      </c>
      <c r="B2109" s="2">
        <v>45839</v>
      </c>
      <c r="C2109" s="52">
        <v>17358.3</v>
      </c>
      <c r="D2109" s="48">
        <f>_xlfn.XLOOKUP(expected_production[[#This Row],[Site Name]],Table1[[Site Name ]],Table1[Commisioned Date],"")</f>
        <v>46068</v>
      </c>
      <c r="E2109" s="47">
        <f>IF(ISNUMBER(expected_production[[#This Row],[Commissioned Date]]),MAX(0,(expected_production[[#This Row],[Date]]-expected_production[[#This Row],[Commissioned Date]])/365.25),"")</f>
        <v>0</v>
      </c>
      <c r="F2109" s="49">
        <f>IF(expected_production[[#This Row],[Age (yrs)]]="",1,(1-DegradationRate)^expected_production[[#This Row],[Age (yrs)]])</f>
        <v>1</v>
      </c>
      <c r="G2109" s="52">
        <f>IF(expected_production[[#This Row],[Base Expected (kWh)]]="","",expected_production[[#This Row],[Base Expected (kWh)]]*expected_production[[#This Row],[Degradation Factor]])</f>
        <v>17358.3</v>
      </c>
    </row>
    <row r="2110" spans="1:7" ht="15" hidden="1" customHeight="1" x14ac:dyDescent="0.3">
      <c r="A2110" t="s">
        <v>241</v>
      </c>
      <c r="B2110" s="2">
        <v>45870</v>
      </c>
      <c r="C2110" s="52">
        <v>20842.2</v>
      </c>
      <c r="D2110" s="48">
        <f>_xlfn.XLOOKUP(expected_production[[#This Row],[Site Name]],Table1[[Site Name ]],Table1[Commisioned Date],"")</f>
        <v>46068</v>
      </c>
      <c r="E2110" s="47">
        <f>IF(ISNUMBER(expected_production[[#This Row],[Commissioned Date]]),MAX(0,(expected_production[[#This Row],[Date]]-expected_production[[#This Row],[Commissioned Date]])/365.25),"")</f>
        <v>0</v>
      </c>
      <c r="F2110" s="49">
        <f>IF(expected_production[[#This Row],[Age (yrs)]]="",1,(1-DegradationRate)^expected_production[[#This Row],[Age (yrs)]])</f>
        <v>1</v>
      </c>
      <c r="G2110" s="52">
        <f>IF(expected_production[[#This Row],[Base Expected (kWh)]]="","",expected_production[[#This Row],[Base Expected (kWh)]]*expected_production[[#This Row],[Degradation Factor]])</f>
        <v>20842.2</v>
      </c>
    </row>
    <row r="2111" spans="1:7" ht="15" hidden="1" customHeight="1" x14ac:dyDescent="0.3">
      <c r="A2111" t="s">
        <v>241</v>
      </c>
      <c r="B2111" s="2">
        <v>45901</v>
      </c>
      <c r="C2111" s="52">
        <v>23841</v>
      </c>
      <c r="D2111" s="48">
        <f>_xlfn.XLOOKUP(expected_production[[#This Row],[Site Name]],Table1[[Site Name ]],Table1[Commisioned Date],"")</f>
        <v>46068</v>
      </c>
      <c r="E2111" s="47">
        <f>IF(ISNUMBER(expected_production[[#This Row],[Commissioned Date]]),MAX(0,(expected_production[[#This Row],[Date]]-expected_production[[#This Row],[Commissioned Date]])/365.25),"")</f>
        <v>0</v>
      </c>
      <c r="F2111" s="49">
        <f>IF(expected_production[[#This Row],[Age (yrs)]]="",1,(1-DegradationRate)^expected_production[[#This Row],[Age (yrs)]])</f>
        <v>1</v>
      </c>
      <c r="G2111" s="52">
        <f>IF(expected_production[[#This Row],[Base Expected (kWh)]]="","",expected_production[[#This Row],[Base Expected (kWh)]]*expected_production[[#This Row],[Degradation Factor]])</f>
        <v>23841</v>
      </c>
    </row>
    <row r="2112" spans="1:7" ht="15" hidden="1" customHeight="1" x14ac:dyDescent="0.3">
      <c r="A2112" t="s">
        <v>241</v>
      </c>
      <c r="B2112" s="2">
        <v>45931</v>
      </c>
      <c r="C2112" s="52">
        <v>27285.3</v>
      </c>
      <c r="D2112" s="48">
        <f>_xlfn.XLOOKUP(expected_production[[#This Row],[Site Name]],Table1[[Site Name ]],Table1[Commisioned Date],"")</f>
        <v>46068</v>
      </c>
      <c r="E2112" s="47">
        <f>IF(ISNUMBER(expected_production[[#This Row],[Commissioned Date]]),MAX(0,(expected_production[[#This Row],[Date]]-expected_production[[#This Row],[Commissioned Date]])/365.25),"")</f>
        <v>0</v>
      </c>
      <c r="F2112" s="49">
        <f>IF(expected_production[[#This Row],[Age (yrs)]]="",1,(1-DegradationRate)^expected_production[[#This Row],[Age (yrs)]])</f>
        <v>1</v>
      </c>
      <c r="G2112" s="52">
        <f>IF(expected_production[[#This Row],[Base Expected (kWh)]]="","",expected_production[[#This Row],[Base Expected (kWh)]]*expected_production[[#This Row],[Degradation Factor]])</f>
        <v>27285.3</v>
      </c>
    </row>
    <row r="2113" spans="1:7" ht="15" hidden="1" customHeight="1" x14ac:dyDescent="0.3">
      <c r="A2113" t="s">
        <v>241</v>
      </c>
      <c r="B2113" s="2">
        <v>45962</v>
      </c>
      <c r="C2113" s="52">
        <v>27841.5</v>
      </c>
      <c r="D2113" s="48">
        <f>_xlfn.XLOOKUP(expected_production[[#This Row],[Site Name]],Table1[[Site Name ]],Table1[Commisioned Date],"")</f>
        <v>46068</v>
      </c>
      <c r="E2113" s="47">
        <f>IF(ISNUMBER(expected_production[[#This Row],[Commissioned Date]]),MAX(0,(expected_production[[#This Row],[Date]]-expected_production[[#This Row],[Commissioned Date]])/365.25),"")</f>
        <v>0</v>
      </c>
      <c r="F2113" s="49">
        <f>IF(expected_production[[#This Row],[Age (yrs)]]="",1,(1-DegradationRate)^expected_production[[#This Row],[Age (yrs)]])</f>
        <v>1</v>
      </c>
      <c r="G2113" s="52">
        <f>IF(expected_production[[#This Row],[Base Expected (kWh)]]="","",expected_production[[#This Row],[Base Expected (kWh)]]*expected_production[[#This Row],[Degradation Factor]])</f>
        <v>27841.5</v>
      </c>
    </row>
    <row r="2114" spans="1:7" ht="15" hidden="1" customHeight="1" x14ac:dyDescent="0.3">
      <c r="A2114" t="s">
        <v>241</v>
      </c>
      <c r="B2114" s="2">
        <v>45992</v>
      </c>
      <c r="C2114" s="52">
        <v>28779.3</v>
      </c>
      <c r="D2114" s="48">
        <f>_xlfn.XLOOKUP(expected_production[[#This Row],[Site Name]],Table1[[Site Name ]],Table1[Commisioned Date],"")</f>
        <v>46068</v>
      </c>
      <c r="E2114" s="47">
        <f>IF(ISNUMBER(expected_production[[#This Row],[Commissioned Date]]),MAX(0,(expected_production[[#This Row],[Date]]-expected_production[[#This Row],[Commissioned Date]])/365.25),"")</f>
        <v>0</v>
      </c>
      <c r="F2114" s="49">
        <f>IF(expected_production[[#This Row],[Age (yrs)]]="",1,(1-DegradationRate)^expected_production[[#This Row],[Age (yrs)]])</f>
        <v>1</v>
      </c>
      <c r="G2114" s="52">
        <f>IF(expected_production[[#This Row],[Base Expected (kWh)]]="","",expected_production[[#This Row],[Base Expected (kWh)]]*expected_production[[#This Row],[Degradation Factor]])</f>
        <v>28779.3</v>
      </c>
    </row>
    <row r="2115" spans="1:7" ht="15" hidden="1" customHeight="1" x14ac:dyDescent="0.3">
      <c r="A2115" t="s">
        <v>241</v>
      </c>
      <c r="B2115" s="2">
        <v>46023</v>
      </c>
      <c r="C2115" s="52">
        <v>28380.6</v>
      </c>
      <c r="D2115" s="48">
        <f>_xlfn.XLOOKUP(expected_production[[#This Row],[Site Name]],Table1[[Site Name ]],Table1[Commisioned Date],"")</f>
        <v>46068</v>
      </c>
      <c r="E2115" s="47">
        <f>IF(ISNUMBER(expected_production[[#This Row],[Commissioned Date]]),MAX(0,(expected_production[[#This Row],[Date]]-expected_production[[#This Row],[Commissioned Date]])/365.25),"")</f>
        <v>0</v>
      </c>
      <c r="F2115" s="49">
        <f>IF(expected_production[[#This Row],[Age (yrs)]]="",1,(1-DegradationRate)^expected_production[[#This Row],[Age (yrs)]])</f>
        <v>1</v>
      </c>
      <c r="G2115" s="52">
        <f>IF(expected_production[[#This Row],[Base Expected (kWh)]]="","",expected_production[[#This Row],[Base Expected (kWh)]]*expected_production[[#This Row],[Degradation Factor]])</f>
        <v>28380.6</v>
      </c>
    </row>
    <row r="2116" spans="1:7" ht="15" hidden="1" customHeight="1" x14ac:dyDescent="0.3">
      <c r="A2116" t="s">
        <v>241</v>
      </c>
      <c r="B2116" s="2">
        <v>46054</v>
      </c>
      <c r="C2116" s="52">
        <v>24379.200000000001</v>
      </c>
      <c r="D2116" s="48">
        <f>_xlfn.XLOOKUP(expected_production[[#This Row],[Site Name]],Table1[[Site Name ]],Table1[Commisioned Date],"")</f>
        <v>46068</v>
      </c>
      <c r="E2116" s="47">
        <f>IF(ISNUMBER(expected_production[[#This Row],[Commissioned Date]]),MAX(0,(expected_production[[#This Row],[Date]]-expected_production[[#This Row],[Commissioned Date]])/365.25),"")</f>
        <v>0</v>
      </c>
      <c r="F2116" s="49">
        <f>IF(expected_production[[#This Row],[Age (yrs)]]="",1,(1-DegradationRate)^expected_production[[#This Row],[Age (yrs)]])</f>
        <v>1</v>
      </c>
      <c r="G2116" s="52">
        <f>IF(expected_production[[#This Row],[Base Expected (kWh)]]="","",expected_production[[#This Row],[Base Expected (kWh)]]*expected_production[[#This Row],[Degradation Factor]])</f>
        <v>24379.200000000001</v>
      </c>
    </row>
    <row r="2117" spans="1:7" ht="15" hidden="1" customHeight="1" x14ac:dyDescent="0.3">
      <c r="A2117" t="s">
        <v>241</v>
      </c>
      <c r="B2117" s="2">
        <v>46082</v>
      </c>
      <c r="C2117" s="52">
        <v>23351.4</v>
      </c>
      <c r="D2117" s="48">
        <f>_xlfn.XLOOKUP(expected_production[[#This Row],[Site Name]],Table1[[Site Name ]],Table1[Commisioned Date],"")</f>
        <v>46068</v>
      </c>
      <c r="E2117" s="47">
        <f>IF(ISNUMBER(expected_production[[#This Row],[Commissioned Date]]),MAX(0,(expected_production[[#This Row],[Date]]-expected_production[[#This Row],[Commissioned Date]])/365.25),"")</f>
        <v>3.8329911019849415E-2</v>
      </c>
      <c r="F2117" s="49">
        <f>IF(expected_production[[#This Row],[Age (yrs)]]="",1,(1-DegradationRate)^expected_production[[#This Row],[Age (yrs)]])</f>
        <v>0.99973078337981713</v>
      </c>
      <c r="G2117" s="52">
        <f>IF(expected_production[[#This Row],[Base Expected (kWh)]]="","",expected_production[[#This Row],[Base Expected (kWh)]]*expected_production[[#This Row],[Degradation Factor]])</f>
        <v>23345.113415015465</v>
      </c>
    </row>
    <row r="2118" spans="1:7" ht="15" hidden="1" customHeight="1" x14ac:dyDescent="0.3">
      <c r="A2118" t="s">
        <v>241</v>
      </c>
      <c r="B2118" s="2">
        <v>46113</v>
      </c>
      <c r="C2118" s="52">
        <v>19887.3</v>
      </c>
      <c r="D2118" s="48">
        <f>_xlfn.XLOOKUP(expected_production[[#This Row],[Site Name]],Table1[[Site Name ]],Table1[Commisioned Date],"")</f>
        <v>46068</v>
      </c>
      <c r="E2118" s="47">
        <f>IF(ISNUMBER(expected_production[[#This Row],[Commissioned Date]]),MAX(0,(expected_production[[#This Row],[Date]]-expected_production[[#This Row],[Commissioned Date]])/365.25),"")</f>
        <v>0.12320328542094455</v>
      </c>
      <c r="F2118" s="49">
        <f>IF(expected_production[[#This Row],[Age (yrs)]]="",1,(1-DegradationRate)^expected_production[[#This Row],[Age (yrs)]])</f>
        <v>0.9991349187596642</v>
      </c>
      <c r="G2118" s="52">
        <f>IF(expected_production[[#This Row],[Base Expected (kWh)]]="","",expected_production[[#This Row],[Base Expected (kWh)]]*expected_production[[#This Row],[Degradation Factor]])</f>
        <v>19870.095869849069</v>
      </c>
    </row>
    <row r="2119" spans="1:7" ht="15" hidden="1" customHeight="1" x14ac:dyDescent="0.3">
      <c r="A2119" t="s">
        <v>241</v>
      </c>
      <c r="B2119" s="2">
        <v>46143</v>
      </c>
      <c r="C2119" s="52">
        <v>17745.3</v>
      </c>
      <c r="D2119" s="48">
        <f>_xlfn.XLOOKUP(expected_production[[#This Row],[Site Name]],Table1[[Site Name ]],Table1[Commisioned Date],"")</f>
        <v>46068</v>
      </c>
      <c r="E2119" s="47">
        <f>IF(ISNUMBER(expected_production[[#This Row],[Commissioned Date]]),MAX(0,(expected_production[[#This Row],[Date]]-expected_production[[#This Row],[Commissioned Date]])/365.25),"")</f>
        <v>0.20533880903490759</v>
      </c>
      <c r="F2119" s="49">
        <f>IF(expected_production[[#This Row],[Age (yrs)]]="",1,(1-DegradationRate)^expected_production[[#This Row],[Age (yrs)]])</f>
        <v>0.99855861373138821</v>
      </c>
      <c r="G2119" s="52">
        <f>IF(expected_production[[#This Row],[Base Expected (kWh)]]="","",expected_production[[#This Row],[Base Expected (kWh)]]*expected_production[[#This Row],[Degradation Factor]])</f>
        <v>17719.722168247601</v>
      </c>
    </row>
    <row r="2120" spans="1:7" ht="15" hidden="1" customHeight="1" x14ac:dyDescent="0.3">
      <c r="A2120" t="s">
        <v>241</v>
      </c>
      <c r="B2120" s="2">
        <v>46174</v>
      </c>
      <c r="C2120" s="52">
        <v>15502.5</v>
      </c>
      <c r="D2120" s="48">
        <f>_xlfn.XLOOKUP(expected_production[[#This Row],[Site Name]],Table1[[Site Name ]],Table1[Commisioned Date],"")</f>
        <v>46068</v>
      </c>
      <c r="E2120" s="47">
        <f>IF(ISNUMBER(expected_production[[#This Row],[Commissioned Date]]),MAX(0,(expected_production[[#This Row],[Date]]-expected_production[[#This Row],[Commissioned Date]])/365.25),"")</f>
        <v>0.29021218343600275</v>
      </c>
      <c r="F2120" s="49">
        <f>IF(expected_production[[#This Row],[Age (yrs)]]="",1,(1-DegradationRate)^expected_production[[#This Row],[Age (yrs)]])</f>
        <v>0.9979634477537439</v>
      </c>
      <c r="G2120" s="52">
        <f>IF(expected_production[[#This Row],[Base Expected (kWh)]]="","",expected_production[[#This Row],[Base Expected (kWh)]]*expected_production[[#This Row],[Degradation Factor]])</f>
        <v>15470.928348802416</v>
      </c>
    </row>
    <row r="2121" spans="1:7" ht="15" hidden="1" customHeight="1" x14ac:dyDescent="0.3">
      <c r="A2121" t="s">
        <v>241</v>
      </c>
      <c r="B2121" s="2">
        <v>46204</v>
      </c>
      <c r="C2121" s="52">
        <v>17358.3</v>
      </c>
      <c r="D2121" s="48">
        <f>_xlfn.XLOOKUP(expected_production[[#This Row],[Site Name]],Table1[[Site Name ]],Table1[Commisioned Date],"")</f>
        <v>46068</v>
      </c>
      <c r="E2121" s="47">
        <f>IF(ISNUMBER(expected_production[[#This Row],[Commissioned Date]]),MAX(0,(expected_production[[#This Row],[Date]]-expected_production[[#This Row],[Commissioned Date]])/365.25),"")</f>
        <v>0.37234770704996578</v>
      </c>
      <c r="F2121" s="49">
        <f>IF(expected_production[[#This Row],[Age (yrs)]]="",1,(1-DegradationRate)^expected_production[[#This Row],[Age (yrs)]])</f>
        <v>0.99738781843464241</v>
      </c>
      <c r="G2121" s="52">
        <f>IF(expected_production[[#This Row],[Base Expected (kWh)]]="","",expected_production[[#This Row],[Base Expected (kWh)]]*expected_production[[#This Row],[Degradation Factor]])</f>
        <v>17312.956968734052</v>
      </c>
    </row>
    <row r="2122" spans="1:7" ht="15" hidden="1" customHeight="1" x14ac:dyDescent="0.3">
      <c r="A2122" t="s">
        <v>241</v>
      </c>
      <c r="B2122" s="2">
        <v>46235</v>
      </c>
      <c r="C2122" s="52">
        <v>20842.2</v>
      </c>
      <c r="D2122" s="48">
        <f>_xlfn.XLOOKUP(expected_production[[#This Row],[Site Name]],Table1[[Site Name ]],Table1[Commisioned Date],"")</f>
        <v>46068</v>
      </c>
      <c r="E2122" s="47">
        <f>IF(ISNUMBER(expected_production[[#This Row],[Commissioned Date]]),MAX(0,(expected_production[[#This Row],[Date]]-expected_production[[#This Row],[Commissioned Date]])/365.25),"")</f>
        <v>0.45722108145106094</v>
      </c>
      <c r="F2122" s="49">
        <f>IF(expected_production[[#This Row],[Age (yrs)]]="",1,(1-DegradationRate)^expected_production[[#This Row],[Age (yrs)]])</f>
        <v>0.99679335028035843</v>
      </c>
      <c r="G2122" s="52">
        <f>IF(expected_production[[#This Row],[Base Expected (kWh)]]="","",expected_production[[#This Row],[Base Expected (kWh)]]*expected_production[[#This Row],[Degradation Factor]])</f>
        <v>20775.366365213285</v>
      </c>
    </row>
    <row r="2123" spans="1:7" ht="15" hidden="1" customHeight="1" x14ac:dyDescent="0.3">
      <c r="A2123" t="s">
        <v>241</v>
      </c>
      <c r="B2123" s="2">
        <v>46266</v>
      </c>
      <c r="C2123" s="52">
        <v>23841</v>
      </c>
      <c r="D2123" s="48">
        <f>_xlfn.XLOOKUP(expected_production[[#This Row],[Site Name]],Table1[[Site Name ]],Table1[Commisioned Date],"")</f>
        <v>46068</v>
      </c>
      <c r="E2123" s="47">
        <f>IF(ISNUMBER(expected_production[[#This Row],[Commissioned Date]]),MAX(0,(expected_production[[#This Row],[Date]]-expected_production[[#This Row],[Commissioned Date]])/365.25),"")</f>
        <v>0.5420944558521561</v>
      </c>
      <c r="F2123" s="49">
        <f>IF(expected_production[[#This Row],[Age (yrs)]]="",1,(1-DegradationRate)^expected_production[[#This Row],[Age (yrs)]])</f>
        <v>0.99619923644400366</v>
      </c>
      <c r="G2123" s="52">
        <f>IF(expected_production[[#This Row],[Base Expected (kWh)]]="","",expected_production[[#This Row],[Base Expected (kWh)]]*expected_production[[#This Row],[Degradation Factor]])</f>
        <v>23750.38599606149</v>
      </c>
    </row>
    <row r="2124" spans="1:7" ht="15" hidden="1" customHeight="1" x14ac:dyDescent="0.3">
      <c r="A2124" t="s">
        <v>241</v>
      </c>
      <c r="B2124" s="2">
        <v>46296</v>
      </c>
      <c r="C2124" s="52">
        <v>27285.3</v>
      </c>
      <c r="D2124" s="48">
        <f>_xlfn.XLOOKUP(expected_production[[#This Row],[Site Name]],Table1[[Site Name ]],Table1[Commisioned Date],"")</f>
        <v>46068</v>
      </c>
      <c r="E2124" s="47">
        <f>IF(ISNUMBER(expected_production[[#This Row],[Commissioned Date]]),MAX(0,(expected_production[[#This Row],[Date]]-expected_production[[#This Row],[Commissioned Date]])/365.25),"")</f>
        <v>0.62422997946611913</v>
      </c>
      <c r="F2124" s="49">
        <f>IF(expected_production[[#This Row],[Age (yrs)]]="",1,(1-DegradationRate)^expected_production[[#This Row],[Age (yrs)]])</f>
        <v>0.99562462472906121</v>
      </c>
      <c r="G2124" s="52">
        <f>IF(expected_production[[#This Row],[Base Expected (kWh)]]="","",expected_production[[#This Row],[Base Expected (kWh)]]*expected_production[[#This Row],[Degradation Factor]])</f>
        <v>27165.916573119852</v>
      </c>
    </row>
    <row r="2125" spans="1:7" ht="15" hidden="1" customHeight="1" x14ac:dyDescent="0.3">
      <c r="A2125" t="s">
        <v>241</v>
      </c>
      <c r="B2125" s="2">
        <v>46327</v>
      </c>
      <c r="C2125" s="52">
        <v>27841.5</v>
      </c>
      <c r="D2125" s="48">
        <f>_xlfn.XLOOKUP(expected_production[[#This Row],[Site Name]],Table1[[Site Name ]],Table1[Commisioned Date],"")</f>
        <v>46068</v>
      </c>
      <c r="E2125" s="47">
        <f>IF(ISNUMBER(expected_production[[#This Row],[Commissioned Date]]),MAX(0,(expected_production[[#This Row],[Date]]-expected_production[[#This Row],[Commissioned Date]])/365.25),"")</f>
        <v>0.70910335386721424</v>
      </c>
      <c r="F2125" s="49">
        <f>IF(expected_production[[#This Row],[Age (yrs)]]="",1,(1-DegradationRate)^expected_production[[#This Row],[Age (yrs)]])</f>
        <v>0.99503120748244667</v>
      </c>
      <c r="G2125" s="52">
        <f>IF(expected_production[[#This Row],[Base Expected (kWh)]]="","",expected_production[[#This Row],[Base Expected (kWh)]]*expected_production[[#This Row],[Degradation Factor]])</f>
        <v>27703.161363122537</v>
      </c>
    </row>
    <row r="2126" spans="1:7" ht="15" hidden="1" customHeight="1" x14ac:dyDescent="0.3">
      <c r="A2126" t="s">
        <v>241</v>
      </c>
      <c r="B2126" s="2">
        <v>46357</v>
      </c>
      <c r="C2126" s="52">
        <v>28779.3</v>
      </c>
      <c r="D2126" s="48">
        <f>_xlfn.XLOOKUP(expected_production[[#This Row],[Site Name]],Table1[[Site Name ]],Table1[Commisioned Date],"")</f>
        <v>46068</v>
      </c>
      <c r="E2126" s="47">
        <f>IF(ISNUMBER(expected_production[[#This Row],[Commissioned Date]]),MAX(0,(expected_production[[#This Row],[Date]]-expected_production[[#This Row],[Commissioned Date]])/365.25),"")</f>
        <v>0.79123887748117727</v>
      </c>
      <c r="F2126" s="49">
        <f>IF(expected_production[[#This Row],[Age (yrs)]]="",1,(1-DegradationRate)^expected_production[[#This Row],[Age (yrs)]])</f>
        <v>0.99445726949129376</v>
      </c>
      <c r="G2126" s="52">
        <f>IF(expected_production[[#This Row],[Base Expected (kWh)]]="","",expected_production[[#This Row],[Base Expected (kWh)]]*expected_production[[#This Row],[Degradation Factor]])</f>
        <v>28619.784095870789</v>
      </c>
    </row>
    <row r="2127" spans="1:7" ht="15" hidden="1" customHeight="1" x14ac:dyDescent="0.3">
      <c r="A2127" t="s">
        <v>182</v>
      </c>
      <c r="B2127" s="2">
        <v>45292</v>
      </c>
      <c r="C2127" s="52">
        <v>20564.650000000001</v>
      </c>
      <c r="D2127" s="48">
        <f>_xlfn.XLOOKUP(expected_production[[#This Row],[Site Name]],Table1[[Site Name ]],Table1[Commisioned Date],"")</f>
        <v>45590</v>
      </c>
      <c r="E2127" s="47">
        <f>IF(ISNUMBER(expected_production[[#This Row],[Commissioned Date]]),MAX(0,(expected_production[[#This Row],[Date]]-expected_production[[#This Row],[Commissioned Date]])/365.25),"")</f>
        <v>0</v>
      </c>
      <c r="F2127" s="49">
        <f>IF(expected_production[[#This Row],[Age (yrs)]]="",1,(1-DegradationRate)^expected_production[[#This Row],[Age (yrs)]])</f>
        <v>1</v>
      </c>
      <c r="G2127" s="52">
        <f>IF(expected_production[[#This Row],[Base Expected (kWh)]]="","",expected_production[[#This Row],[Base Expected (kWh)]]*expected_production[[#This Row],[Degradation Factor]])</f>
        <v>20564.650000000001</v>
      </c>
    </row>
    <row r="2128" spans="1:7" ht="15" hidden="1" customHeight="1" x14ac:dyDescent="0.3">
      <c r="A2128" t="s">
        <v>182</v>
      </c>
      <c r="B2128" s="2">
        <v>45323</v>
      </c>
      <c r="C2128" s="52">
        <v>17491.400000000001</v>
      </c>
      <c r="D2128" s="48">
        <f>_xlfn.XLOOKUP(expected_production[[#This Row],[Site Name]],Table1[[Site Name ]],Table1[Commisioned Date],"")</f>
        <v>45590</v>
      </c>
      <c r="E2128" s="47">
        <f>IF(ISNUMBER(expected_production[[#This Row],[Commissioned Date]]),MAX(0,(expected_production[[#This Row],[Date]]-expected_production[[#This Row],[Commissioned Date]])/365.25),"")</f>
        <v>0</v>
      </c>
      <c r="F2128" s="49">
        <f>IF(expected_production[[#This Row],[Age (yrs)]]="",1,(1-DegradationRate)^expected_production[[#This Row],[Age (yrs)]])</f>
        <v>1</v>
      </c>
      <c r="G2128" s="52">
        <f>IF(expected_production[[#This Row],[Base Expected (kWh)]]="","",expected_production[[#This Row],[Base Expected (kWh)]]*expected_production[[#This Row],[Degradation Factor]])</f>
        <v>17491.400000000001</v>
      </c>
    </row>
    <row r="2129" spans="1:7" ht="15" hidden="1" customHeight="1" x14ac:dyDescent="0.3">
      <c r="A2129" t="s">
        <v>182</v>
      </c>
      <c r="B2129" s="2">
        <v>45352</v>
      </c>
      <c r="C2129" s="52">
        <v>18246.650000000001</v>
      </c>
      <c r="D2129" s="48">
        <f>_xlfn.XLOOKUP(expected_production[[#This Row],[Site Name]],Table1[[Site Name ]],Table1[Commisioned Date],"")</f>
        <v>45590</v>
      </c>
      <c r="E2129" s="47">
        <f>IF(ISNUMBER(expected_production[[#This Row],[Commissioned Date]]),MAX(0,(expected_production[[#This Row],[Date]]-expected_production[[#This Row],[Commissioned Date]])/365.25),"")</f>
        <v>0</v>
      </c>
      <c r="F2129" s="49">
        <f>IF(expected_production[[#This Row],[Age (yrs)]]="",1,(1-DegradationRate)^expected_production[[#This Row],[Age (yrs)]])</f>
        <v>1</v>
      </c>
      <c r="G2129" s="52">
        <f>IF(expected_production[[#This Row],[Base Expected (kWh)]]="","",expected_production[[#This Row],[Base Expected (kWh)]]*expected_production[[#This Row],[Degradation Factor]])</f>
        <v>18246.650000000001</v>
      </c>
    </row>
    <row r="2130" spans="1:7" ht="15" hidden="1" customHeight="1" x14ac:dyDescent="0.3">
      <c r="A2130" t="s">
        <v>182</v>
      </c>
      <c r="B2130" s="2">
        <v>45383</v>
      </c>
      <c r="C2130" s="52">
        <v>15297.85</v>
      </c>
      <c r="D2130" s="48">
        <f>_xlfn.XLOOKUP(expected_production[[#This Row],[Site Name]],Table1[[Site Name ]],Table1[Commisioned Date],"")</f>
        <v>45590</v>
      </c>
      <c r="E2130" s="47">
        <f>IF(ISNUMBER(expected_production[[#This Row],[Commissioned Date]]),MAX(0,(expected_production[[#This Row],[Date]]-expected_production[[#This Row],[Commissioned Date]])/365.25),"")</f>
        <v>0</v>
      </c>
      <c r="F2130" s="49">
        <f>IF(expected_production[[#This Row],[Age (yrs)]]="",1,(1-DegradationRate)^expected_production[[#This Row],[Age (yrs)]])</f>
        <v>1</v>
      </c>
      <c r="G2130" s="52">
        <f>IF(expected_production[[#This Row],[Base Expected (kWh)]]="","",expected_production[[#This Row],[Base Expected (kWh)]]*expected_production[[#This Row],[Degradation Factor]])</f>
        <v>15297.85</v>
      </c>
    </row>
    <row r="2131" spans="1:7" ht="15" hidden="1" customHeight="1" x14ac:dyDescent="0.3">
      <c r="A2131" t="s">
        <v>182</v>
      </c>
      <c r="B2131" s="2">
        <v>45413</v>
      </c>
      <c r="C2131" s="52">
        <v>14953</v>
      </c>
      <c r="D2131" s="48">
        <f>_xlfn.XLOOKUP(expected_production[[#This Row],[Site Name]],Table1[[Site Name ]],Table1[Commisioned Date],"")</f>
        <v>45590</v>
      </c>
      <c r="E2131" s="47">
        <f>IF(ISNUMBER(expected_production[[#This Row],[Commissioned Date]]),MAX(0,(expected_production[[#This Row],[Date]]-expected_production[[#This Row],[Commissioned Date]])/365.25),"")</f>
        <v>0</v>
      </c>
      <c r="F2131" s="49">
        <f>IF(expected_production[[#This Row],[Age (yrs)]]="",1,(1-DegradationRate)^expected_production[[#This Row],[Age (yrs)]])</f>
        <v>1</v>
      </c>
      <c r="G2131" s="52">
        <f>IF(expected_production[[#This Row],[Base Expected (kWh)]]="","",expected_production[[#This Row],[Base Expected (kWh)]]*expected_production[[#This Row],[Degradation Factor]])</f>
        <v>14953</v>
      </c>
    </row>
    <row r="2132" spans="1:7" ht="15" hidden="1" customHeight="1" x14ac:dyDescent="0.3">
      <c r="A2132" t="s">
        <v>182</v>
      </c>
      <c r="B2132" s="2">
        <v>45444</v>
      </c>
      <c r="C2132" s="52">
        <v>13275.3</v>
      </c>
      <c r="D2132" s="48">
        <f>_xlfn.XLOOKUP(expected_production[[#This Row],[Site Name]],Table1[[Site Name ]],Table1[Commisioned Date],"")</f>
        <v>45590</v>
      </c>
      <c r="E2132" s="47">
        <f>IF(ISNUMBER(expected_production[[#This Row],[Commissioned Date]]),MAX(0,(expected_production[[#This Row],[Date]]-expected_production[[#This Row],[Commissioned Date]])/365.25),"")</f>
        <v>0</v>
      </c>
      <c r="F2132" s="49">
        <f>IF(expected_production[[#This Row],[Age (yrs)]]="",1,(1-DegradationRate)^expected_production[[#This Row],[Age (yrs)]])</f>
        <v>1</v>
      </c>
      <c r="G2132" s="52">
        <f>IF(expected_production[[#This Row],[Base Expected (kWh)]]="","",expected_production[[#This Row],[Base Expected (kWh)]]*expected_production[[#This Row],[Degradation Factor]])</f>
        <v>13275.3</v>
      </c>
    </row>
    <row r="2133" spans="1:7" ht="15" hidden="1" customHeight="1" x14ac:dyDescent="0.3">
      <c r="A2133" t="s">
        <v>182</v>
      </c>
      <c r="B2133" s="2">
        <v>45474</v>
      </c>
      <c r="C2133" s="52">
        <v>14678.45</v>
      </c>
      <c r="D2133" s="48">
        <f>_xlfn.XLOOKUP(expected_production[[#This Row],[Site Name]],Table1[[Site Name ]],Table1[Commisioned Date],"")</f>
        <v>45590</v>
      </c>
      <c r="E2133" s="47">
        <f>IF(ISNUMBER(expected_production[[#This Row],[Commissioned Date]]),MAX(0,(expected_production[[#This Row],[Date]]-expected_production[[#This Row],[Commissioned Date]])/365.25),"")</f>
        <v>0</v>
      </c>
      <c r="F2133" s="49">
        <f>IF(expected_production[[#This Row],[Age (yrs)]]="",1,(1-DegradationRate)^expected_production[[#This Row],[Age (yrs)]])</f>
        <v>1</v>
      </c>
      <c r="G2133" s="52">
        <f>IF(expected_production[[#This Row],[Base Expected (kWh)]]="","",expected_production[[#This Row],[Base Expected (kWh)]]*expected_production[[#This Row],[Degradation Factor]])</f>
        <v>14678.45</v>
      </c>
    </row>
    <row r="2134" spans="1:7" ht="15" hidden="1" customHeight="1" x14ac:dyDescent="0.3">
      <c r="A2134" t="s">
        <v>182</v>
      </c>
      <c r="B2134" s="2">
        <v>45505</v>
      </c>
      <c r="C2134" s="52">
        <v>17062.95</v>
      </c>
      <c r="D2134" s="48">
        <f>_xlfn.XLOOKUP(expected_production[[#This Row],[Site Name]],Table1[[Site Name ]],Table1[Commisioned Date],"")</f>
        <v>45590</v>
      </c>
      <c r="E2134" s="47">
        <f>IF(ISNUMBER(expected_production[[#This Row],[Commissioned Date]]),MAX(0,(expected_production[[#This Row],[Date]]-expected_production[[#This Row],[Commissioned Date]])/365.25),"")</f>
        <v>0</v>
      </c>
      <c r="F2134" s="49">
        <f>IF(expected_production[[#This Row],[Age (yrs)]]="",1,(1-DegradationRate)^expected_production[[#This Row],[Age (yrs)]])</f>
        <v>1</v>
      </c>
      <c r="G2134" s="52">
        <f>IF(expected_production[[#This Row],[Base Expected (kWh)]]="","",expected_production[[#This Row],[Base Expected (kWh)]]*expected_production[[#This Row],[Degradation Factor]])</f>
        <v>17062.95</v>
      </c>
    </row>
    <row r="2135" spans="1:7" ht="15" hidden="1" customHeight="1" x14ac:dyDescent="0.3">
      <c r="A2135" t="s">
        <v>182</v>
      </c>
      <c r="B2135" s="2">
        <v>45536</v>
      </c>
      <c r="C2135" s="52">
        <v>18937.3</v>
      </c>
      <c r="D2135" s="48">
        <f>_xlfn.XLOOKUP(expected_production[[#This Row],[Site Name]],Table1[[Site Name ]],Table1[Commisioned Date],"")</f>
        <v>45590</v>
      </c>
      <c r="E2135" s="47">
        <f>IF(ISNUMBER(expected_production[[#This Row],[Commissioned Date]]),MAX(0,(expected_production[[#This Row],[Date]]-expected_production[[#This Row],[Commissioned Date]])/365.25),"")</f>
        <v>0</v>
      </c>
      <c r="F2135" s="49">
        <f>IF(expected_production[[#This Row],[Age (yrs)]]="",1,(1-DegradationRate)^expected_production[[#This Row],[Age (yrs)]])</f>
        <v>1</v>
      </c>
      <c r="G2135" s="52">
        <f>IF(expected_production[[#This Row],[Base Expected (kWh)]]="","",expected_production[[#This Row],[Base Expected (kWh)]]*expected_production[[#This Row],[Degradation Factor]])</f>
        <v>18937.3</v>
      </c>
    </row>
    <row r="2136" spans="1:7" ht="15" hidden="1" customHeight="1" x14ac:dyDescent="0.3">
      <c r="A2136" t="s">
        <v>182</v>
      </c>
      <c r="B2136" s="2">
        <v>45566</v>
      </c>
      <c r="C2136" s="52">
        <v>20481.05</v>
      </c>
      <c r="D2136" s="48">
        <f>_xlfn.XLOOKUP(expected_production[[#This Row],[Site Name]],Table1[[Site Name ]],Table1[Commisioned Date],"")</f>
        <v>45590</v>
      </c>
      <c r="E2136" s="47">
        <f>IF(ISNUMBER(expected_production[[#This Row],[Commissioned Date]]),MAX(0,(expected_production[[#This Row],[Date]]-expected_production[[#This Row],[Commissioned Date]])/365.25),"")</f>
        <v>0</v>
      </c>
      <c r="F2136" s="49">
        <f>IF(expected_production[[#This Row],[Age (yrs)]]="",1,(1-DegradationRate)^expected_production[[#This Row],[Age (yrs)]])</f>
        <v>1</v>
      </c>
      <c r="G2136" s="52">
        <f>IF(expected_production[[#This Row],[Base Expected (kWh)]]="","",expected_production[[#This Row],[Base Expected (kWh)]]*expected_production[[#This Row],[Degradation Factor]])</f>
        <v>20481.05</v>
      </c>
    </row>
    <row r="2137" spans="1:7" ht="15" hidden="1" customHeight="1" x14ac:dyDescent="0.3">
      <c r="A2137" t="s">
        <v>182</v>
      </c>
      <c r="B2137" s="2">
        <v>45597</v>
      </c>
      <c r="C2137" s="52">
        <v>20366.099999999999</v>
      </c>
      <c r="D2137" s="48">
        <f>_xlfn.XLOOKUP(expected_production[[#This Row],[Site Name]],Table1[[Site Name ]],Table1[Commisioned Date],"")</f>
        <v>45590</v>
      </c>
      <c r="E2137" s="47">
        <f>IF(ISNUMBER(expected_production[[#This Row],[Commissioned Date]]),MAX(0,(expected_production[[#This Row],[Date]]-expected_production[[#This Row],[Commissioned Date]])/365.25),"")</f>
        <v>1.9164955509924708E-2</v>
      </c>
      <c r="F2137" s="49">
        <f>IF(expected_production[[#This Row],[Age (yrs)]]="",1,(1-DegradationRate)^expected_production[[#This Row],[Age (yrs)]])</f>
        <v>0.99986538262899027</v>
      </c>
      <c r="G2137" s="52">
        <f>IF(expected_production[[#This Row],[Base Expected (kWh)]]="","",expected_production[[#This Row],[Base Expected (kWh)]]*expected_production[[#This Row],[Degradation Factor]])</f>
        <v>20363.358369160276</v>
      </c>
    </row>
    <row r="2138" spans="1:7" ht="15" hidden="1" customHeight="1" x14ac:dyDescent="0.3">
      <c r="A2138" t="s">
        <v>182</v>
      </c>
      <c r="B2138" s="2">
        <v>45627</v>
      </c>
      <c r="C2138" s="52">
        <v>21890.85</v>
      </c>
      <c r="D2138" s="48">
        <f>_xlfn.XLOOKUP(expected_production[[#This Row],[Site Name]],Table1[[Site Name ]],Table1[Commisioned Date],"")</f>
        <v>45590</v>
      </c>
      <c r="E2138" s="47">
        <f>IF(ISNUMBER(expected_production[[#This Row],[Commissioned Date]]),MAX(0,(expected_production[[#This Row],[Date]]-expected_production[[#This Row],[Commissioned Date]])/365.25),"")</f>
        <v>0.10130047912388775</v>
      </c>
      <c r="F2138" s="49">
        <f>IF(expected_production[[#This Row],[Age (yrs)]]="",1,(1-DegradationRate)^expected_production[[#This Row],[Age (yrs)]])</f>
        <v>0.99928865626622487</v>
      </c>
      <c r="G2138" s="52">
        <f>IF(expected_production[[#This Row],[Base Expected (kWh)]]="","",expected_production[[#This Row],[Base Expected (kWh)]]*expected_production[[#This Row],[Degradation Factor]])</f>
        <v>21875.278081025488</v>
      </c>
    </row>
    <row r="2139" spans="1:7" ht="15" hidden="1" customHeight="1" x14ac:dyDescent="0.3">
      <c r="A2139" t="s">
        <v>182</v>
      </c>
      <c r="B2139" s="2">
        <v>45658</v>
      </c>
      <c r="C2139" s="52">
        <v>20564.650000000001</v>
      </c>
      <c r="D2139" s="48">
        <f>_xlfn.XLOOKUP(expected_production[[#This Row],[Site Name]],Table1[[Site Name ]],Table1[Commisioned Date],"")</f>
        <v>45590</v>
      </c>
      <c r="E2139" s="47">
        <f>IF(ISNUMBER(expected_production[[#This Row],[Commissioned Date]]),MAX(0,(expected_production[[#This Row],[Date]]-expected_production[[#This Row],[Commissioned Date]])/365.25),"")</f>
        <v>0.18617385352498289</v>
      </c>
      <c r="F2139" s="49">
        <f>IF(expected_production[[#This Row],[Age (yrs)]]="",1,(1-DegradationRate)^expected_production[[#This Row],[Age (yrs)]])</f>
        <v>0.99869305516492024</v>
      </c>
      <c r="G2139" s="52">
        <f>IF(expected_production[[#This Row],[Base Expected (kWh)]]="","",expected_production[[#This Row],[Base Expected (kWh)]]*expected_production[[#This Row],[Degradation Factor]])</f>
        <v>20537.773136897278</v>
      </c>
    </row>
    <row r="2140" spans="1:7" ht="15" hidden="1" customHeight="1" x14ac:dyDescent="0.3">
      <c r="A2140" t="s">
        <v>182</v>
      </c>
      <c r="B2140" s="2">
        <v>45689</v>
      </c>
      <c r="C2140" s="52">
        <v>17491.400000000001</v>
      </c>
      <c r="D2140" s="48">
        <f>_xlfn.XLOOKUP(expected_production[[#This Row],[Site Name]],Table1[[Site Name ]],Table1[Commisioned Date],"")</f>
        <v>45590</v>
      </c>
      <c r="E2140" s="47">
        <f>IF(ISNUMBER(expected_production[[#This Row],[Commissioned Date]]),MAX(0,(expected_production[[#This Row],[Date]]-expected_production[[#This Row],[Commissioned Date]])/365.25),"")</f>
        <v>0.27104722792607805</v>
      </c>
      <c r="F2140" s="49">
        <f>IF(expected_production[[#This Row],[Age (yrs)]]="",1,(1-DegradationRate)^expected_production[[#This Row],[Age (yrs)]])</f>
        <v>0.99809780905680967</v>
      </c>
      <c r="G2140" s="52">
        <f>IF(expected_production[[#This Row],[Base Expected (kWh)]]="","",expected_production[[#This Row],[Base Expected (kWh)]]*expected_production[[#This Row],[Degradation Factor]])</f>
        <v>17458.128017336283</v>
      </c>
    </row>
    <row r="2141" spans="1:7" ht="15" hidden="1" customHeight="1" x14ac:dyDescent="0.3">
      <c r="A2141" t="s">
        <v>182</v>
      </c>
      <c r="B2141" s="2">
        <v>45717</v>
      </c>
      <c r="C2141" s="52">
        <v>18246.650000000001</v>
      </c>
      <c r="D2141" s="48">
        <f>_xlfn.XLOOKUP(expected_production[[#This Row],[Site Name]],Table1[[Site Name ]],Table1[Commisioned Date],"")</f>
        <v>45590</v>
      </c>
      <c r="E2141" s="47">
        <f>IF(ISNUMBER(expected_production[[#This Row],[Commissioned Date]]),MAX(0,(expected_production[[#This Row],[Date]]-expected_production[[#This Row],[Commissioned Date]])/365.25),"")</f>
        <v>0.34770704996577684</v>
      </c>
      <c r="F2141" s="49">
        <f>IF(expected_production[[#This Row],[Age (yrs)]]="",1,(1-DegradationRate)^expected_production[[#This Row],[Age (yrs)]])</f>
        <v>0.99756047235899958</v>
      </c>
      <c r="G2141" s="52">
        <f>IF(expected_production[[#This Row],[Base Expected (kWh)]]="","",expected_production[[#This Row],[Base Expected (kWh)]]*expected_production[[#This Row],[Degradation Factor]])</f>
        <v>18202.136792969341</v>
      </c>
    </row>
    <row r="2142" spans="1:7" ht="15" hidden="1" customHeight="1" x14ac:dyDescent="0.3">
      <c r="A2142" t="s">
        <v>182</v>
      </c>
      <c r="B2142" s="2">
        <v>45748</v>
      </c>
      <c r="C2142" s="52">
        <v>15297.85</v>
      </c>
      <c r="D2142" s="48">
        <f>_xlfn.XLOOKUP(expected_production[[#This Row],[Site Name]],Table1[[Site Name ]],Table1[Commisioned Date],"")</f>
        <v>45590</v>
      </c>
      <c r="E2142" s="47">
        <f>IF(ISNUMBER(expected_production[[#This Row],[Commissioned Date]]),MAX(0,(expected_production[[#This Row],[Date]]-expected_production[[#This Row],[Commissioned Date]])/365.25),"")</f>
        <v>0.432580424366872</v>
      </c>
      <c r="F2142" s="49">
        <f>IF(expected_production[[#This Row],[Age (yrs)]]="",1,(1-DegradationRate)^expected_production[[#This Row],[Age (yrs)]])</f>
        <v>0.9969659012986466</v>
      </c>
      <c r="G2142" s="52">
        <f>IF(expected_production[[#This Row],[Base Expected (kWh)]]="","",expected_production[[#This Row],[Base Expected (kWh)]]*expected_production[[#This Row],[Degradation Factor]])</f>
        <v>15251.4348131815</v>
      </c>
    </row>
    <row r="2143" spans="1:7" ht="15" hidden="1" customHeight="1" x14ac:dyDescent="0.3">
      <c r="A2143" t="s">
        <v>182</v>
      </c>
      <c r="B2143" s="2">
        <v>45778</v>
      </c>
      <c r="C2143" s="52">
        <v>14953</v>
      </c>
      <c r="D2143" s="48">
        <f>_xlfn.XLOOKUP(expected_production[[#This Row],[Site Name]],Table1[[Site Name ]],Table1[Commisioned Date],"")</f>
        <v>45590</v>
      </c>
      <c r="E2143" s="47">
        <f>IF(ISNUMBER(expected_production[[#This Row],[Commissioned Date]]),MAX(0,(expected_production[[#This Row],[Date]]-expected_production[[#This Row],[Commissioned Date]])/365.25),"")</f>
        <v>0.51471594798083509</v>
      </c>
      <c r="F2143" s="49">
        <f>IF(expected_production[[#This Row],[Age (yrs)]]="",1,(1-DegradationRate)^expected_production[[#This Row],[Age (yrs)]])</f>
        <v>0.99639084736834116</v>
      </c>
      <c r="G2143" s="52">
        <f>IF(expected_production[[#This Row],[Base Expected (kWh)]]="","",expected_production[[#This Row],[Base Expected (kWh)]]*expected_production[[#This Row],[Degradation Factor]])</f>
        <v>14899.032340698805</v>
      </c>
    </row>
    <row r="2144" spans="1:7" ht="15" hidden="1" customHeight="1" x14ac:dyDescent="0.3">
      <c r="A2144" t="s">
        <v>182</v>
      </c>
      <c r="B2144" s="2">
        <v>45809</v>
      </c>
      <c r="C2144" s="52">
        <v>13275.3</v>
      </c>
      <c r="D2144" s="48">
        <f>_xlfn.XLOOKUP(expected_production[[#This Row],[Site Name]],Table1[[Site Name ]],Table1[Commisioned Date],"")</f>
        <v>45590</v>
      </c>
      <c r="E2144" s="47">
        <f>IF(ISNUMBER(expected_production[[#This Row],[Commissioned Date]]),MAX(0,(expected_production[[#This Row],[Date]]-expected_production[[#This Row],[Commissioned Date]])/365.25),"")</f>
        <v>0.59958932238193019</v>
      </c>
      <c r="F2144" s="49">
        <f>IF(expected_production[[#This Row],[Age (yrs)]]="",1,(1-DegradationRate)^expected_production[[#This Row],[Age (yrs)]])</f>
        <v>0.99579697343381679</v>
      </c>
      <c r="G2144" s="52">
        <f>IF(expected_production[[#This Row],[Base Expected (kWh)]]="","",expected_production[[#This Row],[Base Expected (kWh)]]*expected_production[[#This Row],[Degradation Factor]])</f>
        <v>13219.503561425947</v>
      </c>
    </row>
    <row r="2145" spans="1:7" ht="15" hidden="1" customHeight="1" x14ac:dyDescent="0.3">
      <c r="A2145" t="s">
        <v>182</v>
      </c>
      <c r="B2145" s="2">
        <v>45839</v>
      </c>
      <c r="C2145" s="52">
        <v>14678.45</v>
      </c>
      <c r="D2145" s="48">
        <f>_xlfn.XLOOKUP(expected_production[[#This Row],[Site Name]],Table1[[Site Name ]],Table1[Commisioned Date],"")</f>
        <v>45590</v>
      </c>
      <c r="E2145" s="47">
        <f>IF(ISNUMBER(expected_production[[#This Row],[Commissioned Date]]),MAX(0,(expected_production[[#This Row],[Date]]-expected_production[[#This Row],[Commissioned Date]])/365.25),"")</f>
        <v>0.68172484599589322</v>
      </c>
      <c r="F2145" s="49">
        <f>IF(expected_production[[#This Row],[Age (yrs)]]="",1,(1-DegradationRate)^expected_production[[#This Row],[Age (yrs)]])</f>
        <v>0.99522259374579192</v>
      </c>
      <c r="G2145" s="52">
        <f>IF(expected_production[[#This Row],[Base Expected (kWh)]]="","",expected_production[[#This Row],[Base Expected (kWh)]]*expected_production[[#This Row],[Degradation Factor]])</f>
        <v>14608.325081167921</v>
      </c>
    </row>
    <row r="2146" spans="1:7" ht="15" hidden="1" customHeight="1" x14ac:dyDescent="0.3">
      <c r="A2146" t="s">
        <v>182</v>
      </c>
      <c r="B2146" s="2">
        <v>45870</v>
      </c>
      <c r="C2146" s="52">
        <v>17062.95</v>
      </c>
      <c r="D2146" s="48">
        <f>_xlfn.XLOOKUP(expected_production[[#This Row],[Site Name]],Table1[[Site Name ]],Table1[Commisioned Date],"")</f>
        <v>45590</v>
      </c>
      <c r="E2146" s="47">
        <f>IF(ISNUMBER(expected_production[[#This Row],[Commissioned Date]]),MAX(0,(expected_production[[#This Row],[Date]]-expected_production[[#This Row],[Commissioned Date]])/365.25),"")</f>
        <v>0.76659822039698833</v>
      </c>
      <c r="F2146" s="49">
        <f>IF(expected_production[[#This Row],[Age (yrs)]]="",1,(1-DegradationRate)^expected_production[[#This Row],[Age (yrs)]])</f>
        <v>0.99462941611972633</v>
      </c>
      <c r="G2146" s="52">
        <f>IF(expected_production[[#This Row],[Base Expected (kWh)]]="","",expected_production[[#This Row],[Base Expected (kWh)]]*expected_production[[#This Row],[Degradation Factor]])</f>
        <v>16971.311995780085</v>
      </c>
    </row>
    <row r="2147" spans="1:7" ht="15" hidden="1" customHeight="1" x14ac:dyDescent="0.3">
      <c r="A2147" t="s">
        <v>182</v>
      </c>
      <c r="B2147" s="2">
        <v>45901</v>
      </c>
      <c r="C2147" s="52">
        <v>18937.3</v>
      </c>
      <c r="D2147" s="48">
        <f>_xlfn.XLOOKUP(expected_production[[#This Row],[Site Name]],Table1[[Site Name ]],Table1[Commisioned Date],"")</f>
        <v>45590</v>
      </c>
      <c r="E2147" s="47">
        <f>IF(ISNUMBER(expected_production[[#This Row],[Commissioned Date]]),MAX(0,(expected_production[[#This Row],[Date]]-expected_production[[#This Row],[Commissioned Date]])/365.25),"")</f>
        <v>0.85147159479808354</v>
      </c>
      <c r="F2147" s="49">
        <f>IF(expected_production[[#This Row],[Age (yrs)]]="",1,(1-DegradationRate)^expected_production[[#This Row],[Age (yrs)]])</f>
        <v>0.9940365920424028</v>
      </c>
      <c r="G2147" s="52">
        <f>IF(expected_production[[#This Row],[Base Expected (kWh)]]="","",expected_production[[#This Row],[Base Expected (kWh)]]*expected_production[[#This Row],[Degradation Factor]])</f>
        <v>18824.369154484593</v>
      </c>
    </row>
    <row r="2148" spans="1:7" ht="15" hidden="1" customHeight="1" x14ac:dyDescent="0.3">
      <c r="A2148" t="s">
        <v>182</v>
      </c>
      <c r="B2148" s="2">
        <v>45931</v>
      </c>
      <c r="C2148" s="52">
        <v>20481.05</v>
      </c>
      <c r="D2148" s="48">
        <f>_xlfn.XLOOKUP(expected_production[[#This Row],[Site Name]],Table1[[Site Name ]],Table1[Commisioned Date],"")</f>
        <v>45590</v>
      </c>
      <c r="E2148" s="47">
        <f>IF(ISNUMBER(expected_production[[#This Row],[Commissioned Date]]),MAX(0,(expected_production[[#This Row],[Date]]-expected_production[[#This Row],[Commissioned Date]])/365.25),"")</f>
        <v>0.93360711841204658</v>
      </c>
      <c r="F2148" s="49">
        <f>IF(expected_production[[#This Row],[Age (yrs)]]="",1,(1-DegradationRate)^expected_production[[#This Row],[Age (yrs)]])</f>
        <v>0.99346322774942475</v>
      </c>
      <c r="G2148" s="52">
        <f>IF(expected_production[[#This Row],[Base Expected (kWh)]]="","",expected_production[[#This Row],[Base Expected (kWh)]]*expected_production[[#This Row],[Degradation Factor]])</f>
        <v>20347.170040697354</v>
      </c>
    </row>
    <row r="2149" spans="1:7" ht="15" hidden="1" customHeight="1" x14ac:dyDescent="0.3">
      <c r="A2149" t="s">
        <v>182</v>
      </c>
      <c r="B2149" s="2">
        <v>45962</v>
      </c>
      <c r="C2149" s="52">
        <v>20366.099999999999</v>
      </c>
      <c r="D2149" s="48">
        <f>_xlfn.XLOOKUP(expected_production[[#This Row],[Site Name]],Table1[[Site Name ]],Table1[Commisioned Date],"")</f>
        <v>45590</v>
      </c>
      <c r="E2149" s="47">
        <f>IF(ISNUMBER(expected_production[[#This Row],[Commissioned Date]]),MAX(0,(expected_production[[#This Row],[Date]]-expected_production[[#This Row],[Commissioned Date]])/365.25),"")</f>
        <v>1.0184804928131417</v>
      </c>
      <c r="F2149" s="49">
        <f>IF(expected_production[[#This Row],[Age (yrs)]]="",1,(1-DegradationRate)^expected_production[[#This Row],[Age (yrs)]])</f>
        <v>0.99287109874961788</v>
      </c>
      <c r="G2149" s="52">
        <f>IF(expected_production[[#This Row],[Base Expected (kWh)]]="","",expected_production[[#This Row],[Base Expected (kWh)]]*expected_production[[#This Row],[Degradation Factor]])</f>
        <v>20220.912084244592</v>
      </c>
    </row>
    <row r="2150" spans="1:7" ht="15" hidden="1" customHeight="1" x14ac:dyDescent="0.3">
      <c r="A2150" t="s">
        <v>182</v>
      </c>
      <c r="B2150" s="2">
        <v>45992</v>
      </c>
      <c r="C2150" s="52">
        <v>21890.85</v>
      </c>
      <c r="D2150" s="48">
        <f>_xlfn.XLOOKUP(expected_production[[#This Row],[Site Name]],Table1[[Site Name ]],Table1[Commisioned Date],"")</f>
        <v>45590</v>
      </c>
      <c r="E2150" s="47">
        <f>IF(ISNUMBER(expected_production[[#This Row],[Commissioned Date]]),MAX(0,(expected_production[[#This Row],[Date]]-expected_production[[#This Row],[Commissioned Date]])/365.25),"")</f>
        <v>1.1006160164271048</v>
      </c>
      <c r="F2150" s="49">
        <f>IF(expected_production[[#This Row],[Age (yrs)]]="",1,(1-DegradationRate)^expected_production[[#This Row],[Age (yrs)]])</f>
        <v>0.99229840671784542</v>
      </c>
      <c r="G2150" s="52">
        <f>IF(expected_production[[#This Row],[Base Expected (kWh)]]="","",expected_production[[#This Row],[Base Expected (kWh)]]*expected_production[[#This Row],[Degradation Factor]])</f>
        <v>21722.255576699346</v>
      </c>
    </row>
    <row r="2151" spans="1:7" ht="15" hidden="1" customHeight="1" x14ac:dyDescent="0.3">
      <c r="A2151" t="s">
        <v>182</v>
      </c>
      <c r="B2151" s="2">
        <v>46023</v>
      </c>
      <c r="C2151" s="52">
        <v>20564.650000000001</v>
      </c>
      <c r="D2151" s="48">
        <f>_xlfn.XLOOKUP(expected_production[[#This Row],[Site Name]],Table1[[Site Name ]],Table1[Commisioned Date],"")</f>
        <v>45590</v>
      </c>
      <c r="E2151" s="47">
        <f>IF(ISNUMBER(expected_production[[#This Row],[Commissioned Date]]),MAX(0,(expected_production[[#This Row],[Date]]-expected_production[[#This Row],[Commissioned Date]])/365.25),"")</f>
        <v>1.1854893908281998</v>
      </c>
      <c r="F2151" s="49">
        <f>IF(expected_production[[#This Row],[Age (yrs)]]="",1,(1-DegradationRate)^expected_production[[#This Row],[Age (yrs)]])</f>
        <v>0.99170697198058722</v>
      </c>
      <c r="G2151" s="52">
        <f>IF(expected_production[[#This Row],[Base Expected (kWh)]]="","",expected_production[[#This Row],[Base Expected (kWh)]]*expected_production[[#This Row],[Degradation Factor]])</f>
        <v>20394.106781340583</v>
      </c>
    </row>
    <row r="2152" spans="1:7" ht="15" hidden="1" customHeight="1" x14ac:dyDescent="0.3">
      <c r="A2152" t="s">
        <v>182</v>
      </c>
      <c r="B2152" s="2">
        <v>46054</v>
      </c>
      <c r="C2152" s="52">
        <v>17491.400000000001</v>
      </c>
      <c r="D2152" s="48">
        <f>_xlfn.XLOOKUP(expected_production[[#This Row],[Site Name]],Table1[[Site Name ]],Table1[Commisioned Date],"")</f>
        <v>45590</v>
      </c>
      <c r="E2152" s="47">
        <f>IF(ISNUMBER(expected_production[[#This Row],[Commissioned Date]]),MAX(0,(expected_production[[#This Row],[Date]]-expected_production[[#This Row],[Commissioned Date]])/365.25),"")</f>
        <v>1.270362765229295</v>
      </c>
      <c r="F2152" s="49">
        <f>IF(expected_production[[#This Row],[Age (yrs)]]="",1,(1-DegradationRate)^expected_production[[#This Row],[Age (yrs)]])</f>
        <v>0.99111588975326548</v>
      </c>
      <c r="G2152" s="52">
        <f>IF(expected_production[[#This Row],[Base Expected (kWh)]]="","",expected_production[[#This Row],[Base Expected (kWh)]]*expected_production[[#This Row],[Degradation Factor]])</f>
        <v>17336.004474030269</v>
      </c>
    </row>
    <row r="2153" spans="1:7" ht="15" hidden="1" customHeight="1" x14ac:dyDescent="0.3">
      <c r="A2153" t="s">
        <v>182</v>
      </c>
      <c r="B2153" s="2">
        <v>46082</v>
      </c>
      <c r="C2153" s="52">
        <v>18246.650000000001</v>
      </c>
      <c r="D2153" s="48">
        <f>_xlfn.XLOOKUP(expected_production[[#This Row],[Site Name]],Table1[[Site Name ]],Table1[Commisioned Date],"")</f>
        <v>45590</v>
      </c>
      <c r="E2153" s="47">
        <f>IF(ISNUMBER(expected_production[[#This Row],[Commissioned Date]]),MAX(0,(expected_production[[#This Row],[Date]]-expected_production[[#This Row],[Commissioned Date]])/365.25),"")</f>
        <v>1.3470225872689938</v>
      </c>
      <c r="F2153" s="49">
        <f>IF(expected_production[[#This Row],[Age (yrs)]]="",1,(1-DegradationRate)^expected_production[[#This Row],[Age (yrs)]])</f>
        <v>0.9905823118468573</v>
      </c>
      <c r="G2153" s="52">
        <f>IF(expected_production[[#This Row],[Base Expected (kWh)]]="","",expected_production[[#This Row],[Base Expected (kWh)]]*expected_production[[#This Row],[Degradation Factor]])</f>
        <v>18074.808740460459</v>
      </c>
    </row>
    <row r="2154" spans="1:7" ht="15" hidden="1" customHeight="1" x14ac:dyDescent="0.3">
      <c r="A2154" t="s">
        <v>182</v>
      </c>
      <c r="B2154" s="2">
        <v>46113</v>
      </c>
      <c r="C2154" s="52">
        <v>15297.85</v>
      </c>
      <c r="D2154" s="48">
        <f>_xlfn.XLOOKUP(expected_production[[#This Row],[Site Name]],Table1[[Site Name ]],Table1[Commisioned Date],"")</f>
        <v>45590</v>
      </c>
      <c r="E2154" s="47">
        <f>IF(ISNUMBER(expected_production[[#This Row],[Commissioned Date]]),MAX(0,(expected_production[[#This Row],[Date]]-expected_production[[#This Row],[Commissioned Date]])/365.25),"")</f>
        <v>1.431895961670089</v>
      </c>
      <c r="F2154" s="49">
        <f>IF(expected_production[[#This Row],[Age (yrs)]]="",1,(1-DegradationRate)^expected_production[[#This Row],[Age (yrs)]])</f>
        <v>0.98999189994518189</v>
      </c>
      <c r="G2154" s="52">
        <f>IF(expected_production[[#This Row],[Base Expected (kWh)]]="","",expected_production[[#This Row],[Base Expected (kWh)]]*expected_production[[#This Row],[Degradation Factor]])</f>
        <v>15144.747586576401</v>
      </c>
    </row>
    <row r="2155" spans="1:7" ht="15" hidden="1" customHeight="1" x14ac:dyDescent="0.3">
      <c r="A2155" t="s">
        <v>182</v>
      </c>
      <c r="B2155" s="2">
        <v>46143</v>
      </c>
      <c r="C2155" s="52">
        <v>14953</v>
      </c>
      <c r="D2155" s="48">
        <f>_xlfn.XLOOKUP(expected_production[[#This Row],[Site Name]],Table1[[Site Name ]],Table1[Commisioned Date],"")</f>
        <v>45590</v>
      </c>
      <c r="E2155" s="47">
        <f>IF(ISNUMBER(expected_production[[#This Row],[Commissioned Date]]),MAX(0,(expected_production[[#This Row],[Date]]-expected_production[[#This Row],[Commissioned Date]])/365.25),"")</f>
        <v>1.514031485284052</v>
      </c>
      <c r="F2155" s="49">
        <f>IF(expected_production[[#This Row],[Age (yrs)]]="",1,(1-DegradationRate)^expected_production[[#This Row],[Age (yrs)]])</f>
        <v>0.9894208686468271</v>
      </c>
      <c r="G2155" s="52">
        <f>IF(expected_production[[#This Row],[Base Expected (kWh)]]="","",expected_production[[#This Row],[Base Expected (kWh)]]*expected_production[[#This Row],[Degradation Factor]])</f>
        <v>14794.810248876005</v>
      </c>
    </row>
    <row r="2156" spans="1:7" ht="15" hidden="1" customHeight="1" x14ac:dyDescent="0.3">
      <c r="A2156" t="s">
        <v>182</v>
      </c>
      <c r="B2156" s="2">
        <v>46174</v>
      </c>
      <c r="C2156" s="52">
        <v>13275.3</v>
      </c>
      <c r="D2156" s="48">
        <f>_xlfn.XLOOKUP(expected_production[[#This Row],[Site Name]],Table1[[Site Name ]],Table1[Commisioned Date],"")</f>
        <v>45590</v>
      </c>
      <c r="E2156" s="47">
        <f>IF(ISNUMBER(expected_production[[#This Row],[Commissioned Date]]),MAX(0,(expected_production[[#This Row],[Date]]-expected_production[[#This Row],[Commissioned Date]])/365.25),"")</f>
        <v>1.5989048596851472</v>
      </c>
      <c r="F2156" s="49">
        <f>IF(expected_production[[#This Row],[Age (yrs)]]="",1,(1-DegradationRate)^expected_production[[#This Row],[Age (yrs)]])</f>
        <v>0.98883114899442792</v>
      </c>
      <c r="G2156" s="52">
        <f>IF(expected_production[[#This Row],[Base Expected (kWh)]]="","",expected_production[[#This Row],[Base Expected (kWh)]]*expected_production[[#This Row],[Degradation Factor]])</f>
        <v>13127.030152245728</v>
      </c>
    </row>
    <row r="2157" spans="1:7" ht="15" hidden="1" customHeight="1" x14ac:dyDescent="0.3">
      <c r="A2157" t="s">
        <v>182</v>
      </c>
      <c r="B2157" s="2">
        <v>46204</v>
      </c>
      <c r="C2157" s="52">
        <v>14678.45</v>
      </c>
      <c r="D2157" s="48">
        <f>_xlfn.XLOOKUP(expected_production[[#This Row],[Site Name]],Table1[[Site Name ]],Table1[Commisioned Date],"")</f>
        <v>45590</v>
      </c>
      <c r="E2157" s="47">
        <f>IF(ISNUMBER(expected_production[[#This Row],[Commissioned Date]]),MAX(0,(expected_production[[#This Row],[Date]]-expected_production[[#This Row],[Commissioned Date]])/365.25),"")</f>
        <v>1.6810403832991101</v>
      </c>
      <c r="F2157" s="49">
        <f>IF(expected_production[[#This Row],[Age (yrs)]]="",1,(1-DegradationRate)^expected_production[[#This Row],[Age (yrs)]])</f>
        <v>0.98826078722187682</v>
      </c>
      <c r="G2157" s="52">
        <f>IF(expected_production[[#This Row],[Base Expected (kWh)]]="","",expected_production[[#This Row],[Base Expected (kWh)]]*expected_production[[#This Row],[Degradation Factor]])</f>
        <v>14506.136552196958</v>
      </c>
    </row>
    <row r="2158" spans="1:7" ht="15" hidden="1" customHeight="1" x14ac:dyDescent="0.3">
      <c r="A2158" t="s">
        <v>182</v>
      </c>
      <c r="B2158" s="2">
        <v>46235</v>
      </c>
      <c r="C2158" s="52">
        <v>17062.95</v>
      </c>
      <c r="D2158" s="48">
        <f>_xlfn.XLOOKUP(expected_production[[#This Row],[Site Name]],Table1[[Site Name ]],Table1[Commisioned Date],"")</f>
        <v>45590</v>
      </c>
      <c r="E2158" s="47">
        <f>IF(ISNUMBER(expected_production[[#This Row],[Commissioned Date]]),MAX(0,(expected_production[[#This Row],[Date]]-expected_production[[#This Row],[Commissioned Date]])/365.25),"")</f>
        <v>1.7659137577002053</v>
      </c>
      <c r="F2158" s="49">
        <f>IF(expected_production[[#This Row],[Age (yrs)]]="",1,(1-DegradationRate)^expected_production[[#This Row],[Age (yrs)]])</f>
        <v>0.98767175900710169</v>
      </c>
      <c r="G2158" s="52">
        <f>IF(expected_production[[#This Row],[Base Expected (kWh)]]="","",expected_production[[#This Row],[Base Expected (kWh)]]*expected_production[[#This Row],[Degradation Factor]])</f>
        <v>16852.593840350226</v>
      </c>
    </row>
    <row r="2159" spans="1:7" ht="15" hidden="1" customHeight="1" x14ac:dyDescent="0.3">
      <c r="A2159" t="s">
        <v>182</v>
      </c>
      <c r="B2159" s="2">
        <v>46266</v>
      </c>
      <c r="C2159" s="52">
        <v>18937.3</v>
      </c>
      <c r="D2159" s="48">
        <f>_xlfn.XLOOKUP(expected_production[[#This Row],[Site Name]],Table1[[Site Name ]],Table1[Commisioned Date],"")</f>
        <v>45590</v>
      </c>
      <c r="E2159" s="47">
        <f>IF(ISNUMBER(expected_production[[#This Row],[Commissioned Date]]),MAX(0,(expected_production[[#This Row],[Date]]-expected_production[[#This Row],[Commissioned Date]])/365.25),"")</f>
        <v>1.8507871321013005</v>
      </c>
      <c r="F2159" s="49">
        <f>IF(expected_production[[#This Row],[Age (yrs)]]="",1,(1-DegradationRate)^expected_production[[#This Row],[Age (yrs)]])</f>
        <v>0.98708308186791538</v>
      </c>
      <c r="G2159" s="52">
        <f>IF(expected_production[[#This Row],[Base Expected (kWh)]]="","",expected_production[[#This Row],[Base Expected (kWh)]]*expected_production[[#This Row],[Degradation Factor]])</f>
        <v>18692.688446257274</v>
      </c>
    </row>
    <row r="2160" spans="1:7" ht="15" hidden="1" customHeight="1" x14ac:dyDescent="0.3">
      <c r="A2160" t="s">
        <v>182</v>
      </c>
      <c r="B2160" s="2">
        <v>46296</v>
      </c>
      <c r="C2160" s="52">
        <v>20481.05</v>
      </c>
      <c r="D2160" s="48">
        <f>_xlfn.XLOOKUP(expected_production[[#This Row],[Site Name]],Table1[[Site Name ]],Table1[Commisioned Date],"")</f>
        <v>45590</v>
      </c>
      <c r="E2160" s="47">
        <f>IF(ISNUMBER(expected_production[[#This Row],[Commissioned Date]]),MAX(0,(expected_production[[#This Row],[Date]]-expected_production[[#This Row],[Commissioned Date]])/365.25),"")</f>
        <v>1.9329226557152634</v>
      </c>
      <c r="F2160" s="49">
        <f>IF(expected_production[[#This Row],[Age (yrs)]]="",1,(1-DegradationRate)^expected_production[[#This Row],[Age (yrs)]])</f>
        <v>0.98651372838749374</v>
      </c>
      <c r="G2160" s="52">
        <f>IF(expected_production[[#This Row],[Base Expected (kWh)]]="","",expected_production[[#This Row],[Base Expected (kWh)]]*expected_production[[#This Row],[Degradation Factor]])</f>
        <v>20204.836996790676</v>
      </c>
    </row>
    <row r="2161" spans="1:7" ht="15" hidden="1" customHeight="1" x14ac:dyDescent="0.3">
      <c r="A2161" t="s">
        <v>182</v>
      </c>
      <c r="B2161" s="2">
        <v>46327</v>
      </c>
      <c r="C2161" s="52">
        <v>20366.099999999999</v>
      </c>
      <c r="D2161" s="48">
        <f>_xlfn.XLOOKUP(expected_production[[#This Row],[Site Name]],Table1[[Site Name ]],Table1[Commisioned Date],"")</f>
        <v>45590</v>
      </c>
      <c r="E2161" s="47">
        <f>IF(ISNUMBER(expected_production[[#This Row],[Commissioned Date]]),MAX(0,(expected_production[[#This Row],[Date]]-expected_production[[#This Row],[Commissioned Date]])/365.25),"")</f>
        <v>2.0177960301163584</v>
      </c>
      <c r="F2161" s="49">
        <f>IF(expected_production[[#This Row],[Age (yrs)]]="",1,(1-DegradationRate)^expected_production[[#This Row],[Age (yrs)]])</f>
        <v>0.98592574146360024</v>
      </c>
      <c r="G2161" s="52">
        <f>IF(expected_production[[#This Row],[Base Expected (kWh)]]="","",expected_production[[#This Row],[Base Expected (kWh)]]*expected_production[[#This Row],[Degradation Factor]])</f>
        <v>20079.462243221828</v>
      </c>
    </row>
    <row r="2162" spans="1:7" ht="15" hidden="1" customHeight="1" x14ac:dyDescent="0.3">
      <c r="A2162" t="s">
        <v>182</v>
      </c>
      <c r="B2162" s="2">
        <v>46357</v>
      </c>
      <c r="C2162" s="52">
        <v>21890.85</v>
      </c>
      <c r="D2162" s="48">
        <f>_xlfn.XLOOKUP(expected_production[[#This Row],[Site Name]],Table1[[Site Name ]],Table1[Commisioned Date],"")</f>
        <v>45590</v>
      </c>
      <c r="E2162" s="47">
        <f>IF(ISNUMBER(expected_production[[#This Row],[Commissioned Date]]),MAX(0,(expected_production[[#This Row],[Date]]-expected_production[[#This Row],[Commissioned Date]])/365.25),"")</f>
        <v>2.0999315537303218</v>
      </c>
      <c r="F2162" s="49">
        <f>IF(expected_production[[#This Row],[Age (yrs)]]="",1,(1-DegradationRate)^expected_production[[#This Row],[Age (yrs)]])</f>
        <v>0.98535705554176534</v>
      </c>
      <c r="G2162" s="52">
        <f>IF(expected_production[[#This Row],[Base Expected (kWh)]]="","",expected_production[[#This Row],[Base Expected (kWh)]]*expected_production[[#This Row],[Degradation Factor]])</f>
        <v>21570.303499306454</v>
      </c>
    </row>
    <row r="2163" spans="1:7" ht="15" hidden="1" customHeight="1" x14ac:dyDescent="0.3">
      <c r="A2163" t="s">
        <v>184</v>
      </c>
      <c r="B2163" s="2">
        <v>45292</v>
      </c>
      <c r="C2163" s="52">
        <v>37513.599999999999</v>
      </c>
      <c r="D2163" s="48">
        <f>_xlfn.XLOOKUP(expected_production[[#This Row],[Site Name]],Table1[[Site Name ]],Table1[Commisioned Date],"")</f>
        <v>45558</v>
      </c>
      <c r="E2163" s="47">
        <f>IF(ISNUMBER(expected_production[[#This Row],[Commissioned Date]]),MAX(0,(expected_production[[#This Row],[Date]]-expected_production[[#This Row],[Commissioned Date]])/365.25),"")</f>
        <v>0</v>
      </c>
      <c r="F2163" s="49">
        <f>IF(expected_production[[#This Row],[Age (yrs)]]="",1,(1-DegradationRate)^expected_production[[#This Row],[Age (yrs)]])</f>
        <v>1</v>
      </c>
      <c r="G2163" s="52">
        <f>IF(expected_production[[#This Row],[Base Expected (kWh)]]="","",expected_production[[#This Row],[Base Expected (kWh)]]*expected_production[[#This Row],[Degradation Factor]])</f>
        <v>37513.599999999999</v>
      </c>
    </row>
    <row r="2164" spans="1:7" ht="15" hidden="1" customHeight="1" x14ac:dyDescent="0.3">
      <c r="A2164" t="s">
        <v>184</v>
      </c>
      <c r="B2164" s="2">
        <v>45323</v>
      </c>
      <c r="C2164" s="52">
        <v>31212.25</v>
      </c>
      <c r="D2164" s="48">
        <f>_xlfn.XLOOKUP(expected_production[[#This Row],[Site Name]],Table1[[Site Name ]],Table1[Commisioned Date],"")</f>
        <v>45558</v>
      </c>
      <c r="E2164" s="47">
        <f>IF(ISNUMBER(expected_production[[#This Row],[Commissioned Date]]),MAX(0,(expected_production[[#This Row],[Date]]-expected_production[[#This Row],[Commissioned Date]])/365.25),"")</f>
        <v>0</v>
      </c>
      <c r="F2164" s="49">
        <f>IF(expected_production[[#This Row],[Age (yrs)]]="",1,(1-DegradationRate)^expected_production[[#This Row],[Age (yrs)]])</f>
        <v>1</v>
      </c>
      <c r="G2164" s="52">
        <f>IF(expected_production[[#This Row],[Base Expected (kWh)]]="","",expected_production[[#This Row],[Base Expected (kWh)]]*expected_production[[#This Row],[Degradation Factor]])</f>
        <v>31212.25</v>
      </c>
    </row>
    <row r="2165" spans="1:7" ht="15" hidden="1" customHeight="1" x14ac:dyDescent="0.3">
      <c r="A2165" t="s">
        <v>184</v>
      </c>
      <c r="B2165" s="2">
        <v>45352</v>
      </c>
      <c r="C2165" s="52">
        <v>29700.134999999998</v>
      </c>
      <c r="D2165" s="48">
        <f>_xlfn.XLOOKUP(expected_production[[#This Row],[Site Name]],Table1[[Site Name ]],Table1[Commisioned Date],"")</f>
        <v>45558</v>
      </c>
      <c r="E2165" s="47">
        <f>IF(ISNUMBER(expected_production[[#This Row],[Commissioned Date]]),MAX(0,(expected_production[[#This Row],[Date]]-expected_production[[#This Row],[Commissioned Date]])/365.25),"")</f>
        <v>0</v>
      </c>
      <c r="F2165" s="49">
        <f>IF(expected_production[[#This Row],[Age (yrs)]]="",1,(1-DegradationRate)^expected_production[[#This Row],[Age (yrs)]])</f>
        <v>1</v>
      </c>
      <c r="G2165" s="52">
        <f>IF(expected_production[[#This Row],[Base Expected (kWh)]]="","",expected_production[[#This Row],[Base Expected (kWh)]]*expected_production[[#This Row],[Degradation Factor]])</f>
        <v>29700.134999999998</v>
      </c>
    </row>
    <row r="2166" spans="1:7" ht="15" hidden="1" customHeight="1" x14ac:dyDescent="0.3">
      <c r="A2166" t="s">
        <v>184</v>
      </c>
      <c r="B2166" s="2">
        <v>45383</v>
      </c>
      <c r="C2166" s="52">
        <v>24898.55</v>
      </c>
      <c r="D2166" s="48">
        <f>_xlfn.XLOOKUP(expected_production[[#This Row],[Site Name]],Table1[[Site Name ]],Table1[Commisioned Date],"")</f>
        <v>45558</v>
      </c>
      <c r="E2166" s="47">
        <f>IF(ISNUMBER(expected_production[[#This Row],[Commissioned Date]]),MAX(0,(expected_production[[#This Row],[Date]]-expected_production[[#This Row],[Commissioned Date]])/365.25),"")</f>
        <v>0</v>
      </c>
      <c r="F2166" s="49">
        <f>IF(expected_production[[#This Row],[Age (yrs)]]="",1,(1-DegradationRate)^expected_production[[#This Row],[Age (yrs)]])</f>
        <v>1</v>
      </c>
      <c r="G2166" s="52">
        <f>IF(expected_production[[#This Row],[Base Expected (kWh)]]="","",expected_production[[#This Row],[Base Expected (kWh)]]*expected_production[[#This Row],[Degradation Factor]])</f>
        <v>24898.55</v>
      </c>
    </row>
    <row r="2167" spans="1:7" ht="15" hidden="1" customHeight="1" x14ac:dyDescent="0.3">
      <c r="A2167" t="s">
        <v>184</v>
      </c>
      <c r="B2167" s="2">
        <v>45413</v>
      </c>
      <c r="C2167" s="52">
        <v>21981.1</v>
      </c>
      <c r="D2167" s="48">
        <f>_xlfn.XLOOKUP(expected_production[[#This Row],[Site Name]],Table1[[Site Name ]],Table1[Commisioned Date],"")</f>
        <v>45558</v>
      </c>
      <c r="E2167" s="47">
        <f>IF(ISNUMBER(expected_production[[#This Row],[Commissioned Date]]),MAX(0,(expected_production[[#This Row],[Date]]-expected_production[[#This Row],[Commissioned Date]])/365.25),"")</f>
        <v>0</v>
      </c>
      <c r="F2167" s="49">
        <f>IF(expected_production[[#This Row],[Age (yrs)]]="",1,(1-DegradationRate)^expected_production[[#This Row],[Age (yrs)]])</f>
        <v>1</v>
      </c>
      <c r="G2167" s="52">
        <f>IF(expected_production[[#This Row],[Base Expected (kWh)]]="","",expected_production[[#This Row],[Base Expected (kWh)]]*expected_production[[#This Row],[Degradation Factor]])</f>
        <v>21981.1</v>
      </c>
    </row>
    <row r="2168" spans="1:7" ht="15" hidden="1" customHeight="1" x14ac:dyDescent="0.3">
      <c r="A2168" t="s">
        <v>184</v>
      </c>
      <c r="B2168" s="2">
        <v>45444</v>
      </c>
      <c r="C2168" s="52">
        <v>18982.900000000001</v>
      </c>
      <c r="D2168" s="48">
        <f>_xlfn.XLOOKUP(expected_production[[#This Row],[Site Name]],Table1[[Site Name ]],Table1[Commisioned Date],"")</f>
        <v>45558</v>
      </c>
      <c r="E2168" s="47">
        <f>IF(ISNUMBER(expected_production[[#This Row],[Commissioned Date]]),MAX(0,(expected_production[[#This Row],[Date]]-expected_production[[#This Row],[Commissioned Date]])/365.25),"")</f>
        <v>0</v>
      </c>
      <c r="F2168" s="49">
        <f>IF(expected_production[[#This Row],[Age (yrs)]]="",1,(1-DegradationRate)^expected_production[[#This Row],[Age (yrs)]])</f>
        <v>1</v>
      </c>
      <c r="G2168" s="52">
        <f>IF(expected_production[[#This Row],[Base Expected (kWh)]]="","",expected_production[[#This Row],[Base Expected (kWh)]]*expected_production[[#This Row],[Degradation Factor]])</f>
        <v>18982.900000000001</v>
      </c>
    </row>
    <row r="2169" spans="1:7" ht="15" hidden="1" customHeight="1" x14ac:dyDescent="0.3">
      <c r="A2169" t="s">
        <v>184</v>
      </c>
      <c r="B2169" s="2">
        <v>45474</v>
      </c>
      <c r="C2169" s="52">
        <v>21551.7</v>
      </c>
      <c r="D2169" s="48">
        <f>_xlfn.XLOOKUP(expected_production[[#This Row],[Site Name]],Table1[[Site Name ]],Table1[Commisioned Date],"")</f>
        <v>45558</v>
      </c>
      <c r="E2169" s="47">
        <f>IF(ISNUMBER(expected_production[[#This Row],[Commissioned Date]]),MAX(0,(expected_production[[#This Row],[Date]]-expected_production[[#This Row],[Commissioned Date]])/365.25),"")</f>
        <v>0</v>
      </c>
      <c r="F2169" s="49">
        <f>IF(expected_production[[#This Row],[Age (yrs)]]="",1,(1-DegradationRate)^expected_production[[#This Row],[Age (yrs)]])</f>
        <v>1</v>
      </c>
      <c r="G2169" s="52">
        <f>IF(expected_production[[#This Row],[Base Expected (kWh)]]="","",expected_production[[#This Row],[Base Expected (kWh)]]*expected_production[[#This Row],[Degradation Factor]])</f>
        <v>21551.7</v>
      </c>
    </row>
    <row r="2170" spans="1:7" ht="15" hidden="1" customHeight="1" x14ac:dyDescent="0.3">
      <c r="A2170" t="s">
        <v>184</v>
      </c>
      <c r="B2170" s="2">
        <v>45505</v>
      </c>
      <c r="C2170" s="52">
        <v>26041.4</v>
      </c>
      <c r="D2170" s="48">
        <f>_xlfn.XLOOKUP(expected_production[[#This Row],[Site Name]],Table1[[Site Name ]],Table1[Commisioned Date],"")</f>
        <v>45558</v>
      </c>
      <c r="E2170" s="47">
        <f>IF(ISNUMBER(expected_production[[#This Row],[Commissioned Date]]),MAX(0,(expected_production[[#This Row],[Date]]-expected_production[[#This Row],[Commissioned Date]])/365.25),"")</f>
        <v>0</v>
      </c>
      <c r="F2170" s="49">
        <f>IF(expected_production[[#This Row],[Age (yrs)]]="",1,(1-DegradationRate)^expected_production[[#This Row],[Age (yrs)]])</f>
        <v>1</v>
      </c>
      <c r="G2170" s="52">
        <f>IF(expected_production[[#This Row],[Base Expected (kWh)]]="","",expected_production[[#This Row],[Base Expected (kWh)]]*expected_production[[#This Row],[Degradation Factor]])</f>
        <v>26041.4</v>
      </c>
    </row>
    <row r="2171" spans="1:7" ht="15" hidden="1" customHeight="1" x14ac:dyDescent="0.3">
      <c r="A2171" t="s">
        <v>184</v>
      </c>
      <c r="B2171" s="2">
        <v>45536</v>
      </c>
      <c r="C2171" s="52">
        <v>29888.9</v>
      </c>
      <c r="D2171" s="48">
        <f>_xlfn.XLOOKUP(expected_production[[#This Row],[Site Name]],Table1[[Site Name ]],Table1[Commisioned Date],"")</f>
        <v>45558</v>
      </c>
      <c r="E2171" s="47">
        <f>IF(ISNUMBER(expected_production[[#This Row],[Commissioned Date]]),MAX(0,(expected_production[[#This Row],[Date]]-expected_production[[#This Row],[Commissioned Date]])/365.25),"")</f>
        <v>0</v>
      </c>
      <c r="F2171" s="49">
        <f>IF(expected_production[[#This Row],[Age (yrs)]]="",1,(1-DegradationRate)^expected_production[[#This Row],[Age (yrs)]])</f>
        <v>1</v>
      </c>
      <c r="G2171" s="52">
        <f>IF(expected_production[[#This Row],[Base Expected (kWh)]]="","",expected_production[[#This Row],[Base Expected (kWh)]]*expected_production[[#This Row],[Degradation Factor]])</f>
        <v>29888.9</v>
      </c>
    </row>
    <row r="2172" spans="1:7" ht="15" hidden="1" customHeight="1" x14ac:dyDescent="0.3">
      <c r="A2172" t="s">
        <v>184</v>
      </c>
      <c r="B2172" s="2">
        <v>45566</v>
      </c>
      <c r="C2172" s="52">
        <v>34705.4</v>
      </c>
      <c r="D2172" s="48">
        <f>_xlfn.XLOOKUP(expected_production[[#This Row],[Site Name]],Table1[[Site Name ]],Table1[Commisioned Date],"")</f>
        <v>45558</v>
      </c>
      <c r="E2172" s="47">
        <f>IF(ISNUMBER(expected_production[[#This Row],[Commissioned Date]]),MAX(0,(expected_production[[#This Row],[Date]]-expected_production[[#This Row],[Commissioned Date]])/365.25),"")</f>
        <v>2.190280629705681E-2</v>
      </c>
      <c r="F2172" s="49">
        <f>IF(expected_production[[#This Row],[Age (yrs)]]="",1,(1-DegradationRate)^expected_production[[#This Row],[Age (yrs)]])</f>
        <v>0.99984615305537938</v>
      </c>
      <c r="G2172" s="52">
        <f>IF(expected_production[[#This Row],[Base Expected (kWh)]]="","",expected_production[[#This Row],[Base Expected (kWh)]]*expected_production[[#This Row],[Degradation Factor]])</f>
        <v>34700.060680248163</v>
      </c>
    </row>
    <row r="2173" spans="1:7" ht="15" hidden="1" customHeight="1" x14ac:dyDescent="0.3">
      <c r="A2173" t="s">
        <v>184</v>
      </c>
      <c r="B2173" s="2">
        <v>45597</v>
      </c>
      <c r="C2173" s="52">
        <v>36881.85</v>
      </c>
      <c r="D2173" s="48">
        <f>_xlfn.XLOOKUP(expected_production[[#This Row],[Site Name]],Table1[[Site Name ]],Table1[Commisioned Date],"")</f>
        <v>45558</v>
      </c>
      <c r="E2173" s="47">
        <f>IF(ISNUMBER(expected_production[[#This Row],[Commissioned Date]]),MAX(0,(expected_production[[#This Row],[Date]]-expected_production[[#This Row],[Commissioned Date]])/365.25),"")</f>
        <v>0.10677618069815195</v>
      </c>
      <c r="F2173" s="49">
        <f>IF(expected_production[[#This Row],[Age (yrs)]]="",1,(1-DegradationRate)^expected_production[[#This Row],[Age (yrs)]])</f>
        <v>0.99925021967200645</v>
      </c>
      <c r="G2173" s="52">
        <f>IF(expected_production[[#This Row],[Base Expected (kWh)]]="","",expected_production[[#This Row],[Base Expected (kWh)]]*expected_production[[#This Row],[Degradation Factor]])</f>
        <v>36854.196714409991</v>
      </c>
    </row>
    <row r="2174" spans="1:7" ht="15" hidden="1" customHeight="1" x14ac:dyDescent="0.3">
      <c r="A2174" t="s">
        <v>184</v>
      </c>
      <c r="B2174" s="2">
        <v>45627</v>
      </c>
      <c r="C2174" s="52">
        <v>40110.9</v>
      </c>
      <c r="D2174" s="48">
        <f>_xlfn.XLOOKUP(expected_production[[#This Row],[Site Name]],Table1[[Site Name ]],Table1[Commisioned Date],"")</f>
        <v>45558</v>
      </c>
      <c r="E2174" s="47">
        <f>IF(ISNUMBER(expected_production[[#This Row],[Commissioned Date]]),MAX(0,(expected_production[[#This Row],[Date]]-expected_production[[#This Row],[Commissioned Date]])/365.25),"")</f>
        <v>0.18891170431211499</v>
      </c>
      <c r="F2174" s="49">
        <f>IF(expected_production[[#This Row],[Age (yrs)]]="",1,(1-DegradationRate)^expected_production[[#This Row],[Age (yrs)]])</f>
        <v>0.99867384813770177</v>
      </c>
      <c r="G2174" s="52">
        <f>IF(expected_production[[#This Row],[Base Expected (kWh)]]="","",expected_production[[#This Row],[Base Expected (kWh)]]*expected_production[[#This Row],[Degradation Factor]])</f>
        <v>40057.706855266544</v>
      </c>
    </row>
    <row r="2175" spans="1:7" ht="15" hidden="1" customHeight="1" x14ac:dyDescent="0.3">
      <c r="A2175" t="s">
        <v>184</v>
      </c>
      <c r="B2175" s="2">
        <v>45658</v>
      </c>
      <c r="C2175" s="52">
        <v>37513.599999999999</v>
      </c>
      <c r="D2175" s="48">
        <f>_xlfn.XLOOKUP(expected_production[[#This Row],[Site Name]],Table1[[Site Name ]],Table1[Commisioned Date],"")</f>
        <v>45558</v>
      </c>
      <c r="E2175" s="47">
        <f>IF(ISNUMBER(expected_production[[#This Row],[Commissioned Date]]),MAX(0,(expected_production[[#This Row],[Date]]-expected_production[[#This Row],[Commissioned Date]])/365.25),"")</f>
        <v>0.27378507871321012</v>
      </c>
      <c r="F2175" s="49">
        <f>IF(expected_production[[#This Row],[Age (yrs)]]="",1,(1-DegradationRate)^expected_production[[#This Row],[Age (yrs)]])</f>
        <v>0.99807861347746107</v>
      </c>
      <c r="G2175" s="52">
        <f>IF(expected_production[[#This Row],[Base Expected (kWh)]]="","",expected_production[[#This Row],[Base Expected (kWh)]]*expected_production[[#This Row],[Degradation Factor]])</f>
        <v>37441.521874548082</v>
      </c>
    </row>
    <row r="2176" spans="1:7" ht="15" hidden="1" customHeight="1" x14ac:dyDescent="0.3">
      <c r="A2176" t="s">
        <v>184</v>
      </c>
      <c r="B2176" s="2">
        <v>45689</v>
      </c>
      <c r="C2176" s="52">
        <v>31212.25</v>
      </c>
      <c r="D2176" s="48">
        <f>_xlfn.XLOOKUP(expected_production[[#This Row],[Site Name]],Table1[[Site Name ]],Table1[Commisioned Date],"")</f>
        <v>45558</v>
      </c>
      <c r="E2176" s="47">
        <f>IF(ISNUMBER(expected_production[[#This Row],[Commissioned Date]]),MAX(0,(expected_production[[#This Row],[Date]]-expected_production[[#This Row],[Commissioned Date]])/365.25),"")</f>
        <v>0.35865845311430528</v>
      </c>
      <c r="F2176" s="49">
        <f>IF(expected_production[[#This Row],[Age (yrs)]]="",1,(1-DegradationRate)^expected_production[[#This Row],[Age (yrs)]])</f>
        <v>0.99748373359200648</v>
      </c>
      <c r="G2176" s="52">
        <f>IF(expected_production[[#This Row],[Base Expected (kWh)]]="","",expected_production[[#This Row],[Base Expected (kWh)]]*expected_production[[#This Row],[Degradation Factor]])</f>
        <v>31133.711663807106</v>
      </c>
    </row>
    <row r="2177" spans="1:7" ht="15" hidden="1" customHeight="1" x14ac:dyDescent="0.3">
      <c r="A2177" t="s">
        <v>184</v>
      </c>
      <c r="B2177" s="2">
        <v>45717</v>
      </c>
      <c r="C2177" s="52">
        <v>29700.134999999998</v>
      </c>
      <c r="D2177" s="48">
        <f>_xlfn.XLOOKUP(expected_production[[#This Row],[Site Name]],Table1[[Site Name ]],Table1[Commisioned Date],"")</f>
        <v>45558</v>
      </c>
      <c r="E2177" s="47">
        <f>IF(ISNUMBER(expected_production[[#This Row],[Commissioned Date]]),MAX(0,(expected_production[[#This Row],[Date]]-expected_production[[#This Row],[Commissioned Date]])/365.25),"")</f>
        <v>0.43531827515400412</v>
      </c>
      <c r="F2177" s="49">
        <f>IF(expected_production[[#This Row],[Age (yrs)]]="",1,(1-DegradationRate)^expected_production[[#This Row],[Age (yrs)]])</f>
        <v>0.99694672748833202</v>
      </c>
      <c r="G2177" s="52">
        <f>IF(expected_production[[#This Row],[Base Expected (kWh)]]="","",expected_production[[#This Row],[Base Expected (kWh)]]*expected_production[[#This Row],[Degradation Factor]])</f>
        <v>29609.452394211672</v>
      </c>
    </row>
    <row r="2178" spans="1:7" ht="15" hidden="1" customHeight="1" x14ac:dyDescent="0.3">
      <c r="A2178" t="s">
        <v>184</v>
      </c>
      <c r="B2178" s="2">
        <v>45748</v>
      </c>
      <c r="C2178" s="52">
        <v>24898.55</v>
      </c>
      <c r="D2178" s="48">
        <f>_xlfn.XLOOKUP(expected_production[[#This Row],[Site Name]],Table1[[Site Name ]],Table1[Commisioned Date],"")</f>
        <v>45558</v>
      </c>
      <c r="E2178" s="47">
        <f>IF(ISNUMBER(expected_production[[#This Row],[Commissioned Date]]),MAX(0,(expected_production[[#This Row],[Date]]-expected_production[[#This Row],[Commissioned Date]])/365.25),"")</f>
        <v>0.52019164955509922</v>
      </c>
      <c r="F2178" s="49">
        <f>IF(expected_production[[#This Row],[Age (yrs)]]="",1,(1-DegradationRate)^expected_production[[#This Row],[Age (yrs)]])</f>
        <v>0.99635252223531467</v>
      </c>
      <c r="G2178" s="52">
        <f>IF(expected_production[[#This Row],[Base Expected (kWh)]]="","",expected_production[[#This Row],[Base Expected (kWh)]]*expected_production[[#This Row],[Degradation Factor]])</f>
        <v>24807.733092502094</v>
      </c>
    </row>
    <row r="2179" spans="1:7" ht="15" hidden="1" customHeight="1" x14ac:dyDescent="0.3">
      <c r="A2179" t="s">
        <v>184</v>
      </c>
      <c r="B2179" s="2">
        <v>45778</v>
      </c>
      <c r="C2179" s="52">
        <v>21981.1</v>
      </c>
      <c r="D2179" s="48">
        <f>_xlfn.XLOOKUP(expected_production[[#This Row],[Site Name]],Table1[[Site Name ]],Table1[Commisioned Date],"")</f>
        <v>45558</v>
      </c>
      <c r="E2179" s="47">
        <f>IF(ISNUMBER(expected_production[[#This Row],[Commissioned Date]]),MAX(0,(expected_production[[#This Row],[Date]]-expected_production[[#This Row],[Commissioned Date]])/365.25),"")</f>
        <v>0.60232717316906226</v>
      </c>
      <c r="F2179" s="49">
        <f>IF(expected_production[[#This Row],[Age (yrs)]]="",1,(1-DegradationRate)^expected_production[[#This Row],[Age (yrs)]])</f>
        <v>0.99577782210451304</v>
      </c>
      <c r="G2179" s="52">
        <f>IF(expected_production[[#This Row],[Base Expected (kWh)]]="","",expected_production[[#This Row],[Base Expected (kWh)]]*expected_production[[#This Row],[Degradation Factor]])</f>
        <v>21888.291885461509</v>
      </c>
    </row>
    <row r="2180" spans="1:7" ht="15" hidden="1" customHeight="1" x14ac:dyDescent="0.3">
      <c r="A2180" t="s">
        <v>184</v>
      </c>
      <c r="B2180" s="2">
        <v>45809</v>
      </c>
      <c r="C2180" s="52">
        <v>18982.900000000001</v>
      </c>
      <c r="D2180" s="48">
        <f>_xlfn.XLOOKUP(expected_production[[#This Row],[Site Name]],Table1[[Site Name ]],Table1[Commisioned Date],"")</f>
        <v>45558</v>
      </c>
      <c r="E2180" s="47">
        <f>IF(ISNUMBER(expected_production[[#This Row],[Commissioned Date]]),MAX(0,(expected_production[[#This Row],[Date]]-expected_production[[#This Row],[Commissioned Date]])/365.25),"")</f>
        <v>0.68720054757015747</v>
      </c>
      <c r="F2180" s="49">
        <f>IF(expected_production[[#This Row],[Age (yrs)]]="",1,(1-DegradationRate)^expected_production[[#This Row],[Age (yrs)]])</f>
        <v>0.99518431354842052</v>
      </c>
      <c r="G2180" s="52">
        <f>IF(expected_production[[#This Row],[Base Expected (kWh)]]="","",expected_production[[#This Row],[Base Expected (kWh)]]*expected_production[[#This Row],[Degradation Factor]])</f>
        <v>18891.484305658312</v>
      </c>
    </row>
    <row r="2181" spans="1:7" ht="15" hidden="1" customHeight="1" x14ac:dyDescent="0.3">
      <c r="A2181" t="s">
        <v>184</v>
      </c>
      <c r="B2181" s="2">
        <v>45839</v>
      </c>
      <c r="C2181" s="52">
        <v>21551.7</v>
      </c>
      <c r="D2181" s="48">
        <f>_xlfn.XLOOKUP(expected_production[[#This Row],[Site Name]],Table1[[Site Name ]],Table1[Commisioned Date],"")</f>
        <v>45558</v>
      </c>
      <c r="E2181" s="47">
        <f>IF(ISNUMBER(expected_production[[#This Row],[Commissioned Date]]),MAX(0,(expected_production[[#This Row],[Date]]-expected_production[[#This Row],[Commissioned Date]])/365.25),"")</f>
        <v>0.76933607118412051</v>
      </c>
      <c r="F2181" s="49">
        <f>IF(expected_production[[#This Row],[Age (yrs)]]="",1,(1-DegradationRate)^expected_production[[#This Row],[Age (yrs)]])</f>
        <v>0.99461028724507472</v>
      </c>
      <c r="G2181" s="52">
        <f>IF(expected_production[[#This Row],[Base Expected (kWh)]]="","",expected_production[[#This Row],[Base Expected (kWh)]]*expected_production[[#This Row],[Degradation Factor]])</f>
        <v>21435.542527619677</v>
      </c>
    </row>
    <row r="2182" spans="1:7" ht="15" hidden="1" customHeight="1" x14ac:dyDescent="0.3">
      <c r="A2182" t="s">
        <v>184</v>
      </c>
      <c r="B2182" s="2">
        <v>45870</v>
      </c>
      <c r="C2182" s="52">
        <v>26041.4</v>
      </c>
      <c r="D2182" s="48">
        <f>_xlfn.XLOOKUP(expected_production[[#This Row],[Site Name]],Table1[[Site Name ]],Table1[Commisioned Date],"")</f>
        <v>45558</v>
      </c>
      <c r="E2182" s="47">
        <f>IF(ISNUMBER(expected_production[[#This Row],[Commissioned Date]]),MAX(0,(expected_production[[#This Row],[Date]]-expected_production[[#This Row],[Commissioned Date]])/365.25),"")</f>
        <v>0.85420944558521561</v>
      </c>
      <c r="F2182" s="49">
        <f>IF(expected_production[[#This Row],[Age (yrs)]]="",1,(1-DegradationRate)^expected_production[[#This Row],[Age (yrs)]])</f>
        <v>0.99401747456904022</v>
      </c>
      <c r="G2182" s="52">
        <f>IF(expected_production[[#This Row],[Base Expected (kWh)]]="","",expected_production[[#This Row],[Base Expected (kWh)]]*expected_production[[#This Row],[Degradation Factor]])</f>
        <v>25885.606662242204</v>
      </c>
    </row>
    <row r="2183" spans="1:7" ht="15" hidden="1" customHeight="1" x14ac:dyDescent="0.3">
      <c r="A2183" t="s">
        <v>184</v>
      </c>
      <c r="B2183" s="2">
        <v>45901</v>
      </c>
      <c r="C2183" s="52">
        <v>29888.9</v>
      </c>
      <c r="D2183" s="48">
        <f>_xlfn.XLOOKUP(expected_production[[#This Row],[Site Name]],Table1[[Site Name ]],Table1[Commisioned Date],"")</f>
        <v>45558</v>
      </c>
      <c r="E2183" s="47">
        <f>IF(ISNUMBER(expected_production[[#This Row],[Commissioned Date]]),MAX(0,(expected_production[[#This Row],[Date]]-expected_production[[#This Row],[Commissioned Date]])/365.25),"")</f>
        <v>0.93908281998631071</v>
      </c>
      <c r="F2183" s="49">
        <f>IF(expected_production[[#This Row],[Age (yrs)]]="",1,(1-DegradationRate)^expected_production[[#This Row],[Age (yrs)]])</f>
        <v>0.99342501522422844</v>
      </c>
      <c r="G2183" s="52">
        <f>IF(expected_production[[#This Row],[Base Expected (kWh)]]="","",expected_production[[#This Row],[Base Expected (kWh)]]*expected_production[[#This Row],[Degradation Factor]])</f>
        <v>29692.380937535443</v>
      </c>
    </row>
    <row r="2184" spans="1:7" ht="15" hidden="1" customHeight="1" x14ac:dyDescent="0.3">
      <c r="A2184" t="s">
        <v>184</v>
      </c>
      <c r="B2184" s="2">
        <v>45931</v>
      </c>
      <c r="C2184" s="52">
        <v>34705.4</v>
      </c>
      <c r="D2184" s="48">
        <f>_xlfn.XLOOKUP(expected_production[[#This Row],[Site Name]],Table1[[Site Name ]],Table1[Commisioned Date],"")</f>
        <v>45558</v>
      </c>
      <c r="E2184" s="47">
        <f>IF(ISNUMBER(expected_production[[#This Row],[Commissioned Date]]),MAX(0,(expected_production[[#This Row],[Date]]-expected_production[[#This Row],[Commissioned Date]])/365.25),"")</f>
        <v>1.0212183436002737</v>
      </c>
      <c r="F2184" s="49">
        <f>IF(expected_production[[#This Row],[Age (yrs)]]="",1,(1-DegradationRate)^expected_production[[#This Row],[Age (yrs)]])</f>
        <v>0.99285200369121185</v>
      </c>
      <c r="G2184" s="52">
        <f>IF(expected_production[[#This Row],[Base Expected (kWh)]]="","",expected_production[[#This Row],[Base Expected (kWh)]]*expected_production[[#This Row],[Degradation Factor]])</f>
        <v>34457.325928904982</v>
      </c>
    </row>
    <row r="2185" spans="1:7" ht="15" hidden="1" customHeight="1" x14ac:dyDescent="0.3">
      <c r="A2185" t="s">
        <v>184</v>
      </c>
      <c r="B2185" s="2">
        <v>45962</v>
      </c>
      <c r="C2185" s="52">
        <v>36881.85</v>
      </c>
      <c r="D2185" s="48">
        <f>_xlfn.XLOOKUP(expected_production[[#This Row],[Site Name]],Table1[[Site Name ]],Table1[Commisioned Date],"")</f>
        <v>45558</v>
      </c>
      <c r="E2185" s="47">
        <f>IF(ISNUMBER(expected_production[[#This Row],[Commissioned Date]]),MAX(0,(expected_production[[#This Row],[Date]]-expected_production[[#This Row],[Commissioned Date]])/365.25),"")</f>
        <v>1.106091718001369</v>
      </c>
      <c r="F2185" s="49">
        <f>IF(expected_production[[#This Row],[Age (yrs)]]="",1,(1-DegradationRate)^expected_production[[#This Row],[Age (yrs)]])</f>
        <v>0.99226023899627325</v>
      </c>
      <c r="G2185" s="52">
        <f>IF(expected_production[[#This Row],[Base Expected (kWh)]]="","",expected_production[[#This Row],[Base Expected (kWh)]]*expected_production[[#This Row],[Degradation Factor]])</f>
        <v>36596.393295624701</v>
      </c>
    </row>
    <row r="2186" spans="1:7" ht="15" hidden="1" customHeight="1" x14ac:dyDescent="0.3">
      <c r="A2186" t="s">
        <v>184</v>
      </c>
      <c r="B2186" s="2">
        <v>45992</v>
      </c>
      <c r="C2186" s="52">
        <v>40110.9</v>
      </c>
      <c r="D2186" s="48">
        <f>_xlfn.XLOOKUP(expected_production[[#This Row],[Site Name]],Table1[[Site Name ]],Table1[Commisioned Date],"")</f>
        <v>45558</v>
      </c>
      <c r="E2186" s="47">
        <f>IF(ISNUMBER(expected_production[[#This Row],[Commissioned Date]]),MAX(0,(expected_production[[#This Row],[Date]]-expected_production[[#This Row],[Commissioned Date]])/365.25),"")</f>
        <v>1.1882272416153319</v>
      </c>
      <c r="F2186" s="49">
        <f>IF(expected_production[[#This Row],[Age (yrs)]]="",1,(1-DegradationRate)^expected_production[[#This Row],[Age (yrs)]])</f>
        <v>0.99168789931085644</v>
      </c>
      <c r="G2186" s="52">
        <f>IF(expected_production[[#This Row],[Base Expected (kWh)]]="","",expected_production[[#This Row],[Base Expected (kWh)]]*expected_production[[#This Row],[Degradation Factor]])</f>
        <v>39777.494160467832</v>
      </c>
    </row>
    <row r="2187" spans="1:7" ht="15" hidden="1" customHeight="1" x14ac:dyDescent="0.3">
      <c r="A2187" t="s">
        <v>184</v>
      </c>
      <c r="B2187" s="2">
        <v>46023</v>
      </c>
      <c r="C2187" s="52">
        <v>37513.599999999999</v>
      </c>
      <c r="D2187" s="48">
        <f>_xlfn.XLOOKUP(expected_production[[#This Row],[Site Name]],Table1[[Site Name ]],Table1[Commisioned Date],"")</f>
        <v>45558</v>
      </c>
      <c r="E2187" s="47">
        <f>IF(ISNUMBER(expected_production[[#This Row],[Commissioned Date]]),MAX(0,(expected_production[[#This Row],[Date]]-expected_production[[#This Row],[Commissioned Date]])/365.25),"")</f>
        <v>1.2731006160164271</v>
      </c>
      <c r="F2187" s="49">
        <f>IF(expected_production[[#This Row],[Age (yrs)]]="",1,(1-DegradationRate)^expected_production[[#This Row],[Age (yrs)]])</f>
        <v>0.99109682845132419</v>
      </c>
      <c r="G2187" s="52">
        <f>IF(expected_production[[#This Row],[Base Expected (kWh)]]="","",expected_production[[#This Row],[Base Expected (kWh)]]*expected_production[[#This Row],[Degradation Factor]])</f>
        <v>37179.60998379159</v>
      </c>
    </row>
    <row r="2188" spans="1:7" ht="15" hidden="1" customHeight="1" x14ac:dyDescent="0.3">
      <c r="A2188" t="s">
        <v>184</v>
      </c>
      <c r="B2188" s="2">
        <v>46054</v>
      </c>
      <c r="C2188" s="52">
        <v>31212.25</v>
      </c>
      <c r="D2188" s="48">
        <f>_xlfn.XLOOKUP(expected_production[[#This Row],[Site Name]],Table1[[Site Name ]],Table1[Commisioned Date],"")</f>
        <v>45558</v>
      </c>
      <c r="E2188" s="47">
        <f>IF(ISNUMBER(expected_production[[#This Row],[Commissioned Date]]),MAX(0,(expected_production[[#This Row],[Date]]-expected_production[[#This Row],[Commissioned Date]])/365.25),"")</f>
        <v>1.3579739904175223</v>
      </c>
      <c r="F2188" s="49">
        <f>IF(expected_production[[#This Row],[Age (yrs)]]="",1,(1-DegradationRate)^expected_production[[#This Row],[Age (yrs)]])</f>
        <v>0.99050610988484844</v>
      </c>
      <c r="G2188" s="52">
        <f>IF(expected_production[[#This Row],[Base Expected (kWh)]]="","",expected_production[[#This Row],[Base Expected (kWh)]]*expected_production[[#This Row],[Degradation Factor]])</f>
        <v>30915.924328253361</v>
      </c>
    </row>
    <row r="2189" spans="1:7" ht="15" hidden="1" customHeight="1" x14ac:dyDescent="0.3">
      <c r="A2189" t="s">
        <v>184</v>
      </c>
      <c r="B2189" s="2">
        <v>46082</v>
      </c>
      <c r="C2189" s="52">
        <v>29700.134999999998</v>
      </c>
      <c r="D2189" s="48">
        <f>_xlfn.XLOOKUP(expected_production[[#This Row],[Site Name]],Table1[[Site Name ]],Table1[Commisioned Date],"")</f>
        <v>45558</v>
      </c>
      <c r="E2189" s="47">
        <f>IF(ISNUMBER(expected_production[[#This Row],[Commissioned Date]]),MAX(0,(expected_production[[#This Row],[Date]]-expected_production[[#This Row],[Commissioned Date]])/365.25),"")</f>
        <v>1.4346338124572211</v>
      </c>
      <c r="F2189" s="49">
        <f>IF(expected_production[[#This Row],[Age (yrs)]]="",1,(1-DegradationRate)^expected_production[[#This Row],[Age (yrs)]])</f>
        <v>0.98997286025999531</v>
      </c>
      <c r="G2189" s="52">
        <f>IF(expected_production[[#This Row],[Base Expected (kWh)]]="","",expected_production[[#This Row],[Base Expected (kWh)]]*expected_production[[#This Row],[Degradation Factor]])</f>
        <v>29402.327596057996</v>
      </c>
    </row>
    <row r="2190" spans="1:7" ht="15" hidden="1" customHeight="1" x14ac:dyDescent="0.3">
      <c r="A2190" t="s">
        <v>184</v>
      </c>
      <c r="B2190" s="2">
        <v>46113</v>
      </c>
      <c r="C2190" s="52">
        <v>24898.55</v>
      </c>
      <c r="D2190" s="48">
        <f>_xlfn.XLOOKUP(expected_production[[#This Row],[Site Name]],Table1[[Site Name ]],Table1[Commisioned Date],"")</f>
        <v>45558</v>
      </c>
      <c r="E2190" s="47">
        <f>IF(ISNUMBER(expected_production[[#This Row],[Commissioned Date]]),MAX(0,(expected_production[[#This Row],[Date]]-expected_production[[#This Row],[Commissioned Date]])/365.25),"")</f>
        <v>1.5195071868583163</v>
      </c>
      <c r="F2190" s="49">
        <f>IF(expected_production[[#This Row],[Age (yrs)]]="",1,(1-DegradationRate)^expected_production[[#This Row],[Age (yrs)]])</f>
        <v>0.98938281160675068</v>
      </c>
      <c r="G2190" s="52">
        <f>IF(expected_production[[#This Row],[Base Expected (kWh)]]="","",expected_production[[#This Row],[Base Expected (kWh)]]*expected_production[[#This Row],[Degradation Factor]])</f>
        <v>24634.197403931263</v>
      </c>
    </row>
    <row r="2191" spans="1:7" ht="15" hidden="1" customHeight="1" x14ac:dyDescent="0.3">
      <c r="A2191" t="s">
        <v>184</v>
      </c>
      <c r="B2191" s="2">
        <v>46143</v>
      </c>
      <c r="C2191" s="52">
        <v>21981.1</v>
      </c>
      <c r="D2191" s="48">
        <f>_xlfn.XLOOKUP(expected_production[[#This Row],[Site Name]],Table1[[Site Name ]],Table1[Commisioned Date],"")</f>
        <v>45558</v>
      </c>
      <c r="E2191" s="47">
        <f>IF(ISNUMBER(expected_production[[#This Row],[Commissioned Date]]),MAX(0,(expected_production[[#This Row],[Date]]-expected_production[[#This Row],[Commissioned Date]])/365.25),"")</f>
        <v>1.6016427104722792</v>
      </c>
      <c r="F2191" s="49">
        <f>IF(expected_production[[#This Row],[Age (yrs)]]="",1,(1-DegradationRate)^expected_production[[#This Row],[Age (yrs)]])</f>
        <v>0.98881213163299231</v>
      </c>
      <c r="G2191" s="52">
        <f>IF(expected_production[[#This Row],[Base Expected (kWh)]]="","",expected_production[[#This Row],[Base Expected (kWh)]]*expected_production[[#This Row],[Degradation Factor]])</f>
        <v>21735.178346637967</v>
      </c>
    </row>
    <row r="2192" spans="1:7" ht="15" hidden="1" customHeight="1" x14ac:dyDescent="0.3">
      <c r="A2192" t="s">
        <v>184</v>
      </c>
      <c r="B2192" s="2">
        <v>46174</v>
      </c>
      <c r="C2192" s="52">
        <v>18982.900000000001</v>
      </c>
      <c r="D2192" s="48">
        <f>_xlfn.XLOOKUP(expected_production[[#This Row],[Site Name]],Table1[[Site Name ]],Table1[Commisioned Date],"")</f>
        <v>45558</v>
      </c>
      <c r="E2192" s="47">
        <f>IF(ISNUMBER(expected_production[[#This Row],[Commissioned Date]]),MAX(0,(expected_production[[#This Row],[Date]]-expected_production[[#This Row],[Commissioned Date]])/365.25),"")</f>
        <v>1.6865160848733745</v>
      </c>
      <c r="F2192" s="49">
        <f>IF(expected_production[[#This Row],[Age (yrs)]]="",1,(1-DegradationRate)^expected_production[[#This Row],[Age (yrs)]])</f>
        <v>0.98822277480312049</v>
      </c>
      <c r="G2192" s="52">
        <f>IF(expected_production[[#This Row],[Base Expected (kWh)]]="","",expected_production[[#This Row],[Base Expected (kWh)]]*expected_production[[#This Row],[Degradation Factor]])</f>
        <v>18759.334111810156</v>
      </c>
    </row>
    <row r="2193" spans="1:7" ht="15" hidden="1" customHeight="1" x14ac:dyDescent="0.3">
      <c r="A2193" t="s">
        <v>184</v>
      </c>
      <c r="B2193" s="2">
        <v>46204</v>
      </c>
      <c r="C2193" s="52">
        <v>21551.7</v>
      </c>
      <c r="D2193" s="48">
        <f>_xlfn.XLOOKUP(expected_production[[#This Row],[Site Name]],Table1[[Site Name ]],Table1[Commisioned Date],"")</f>
        <v>45558</v>
      </c>
      <c r="E2193" s="47">
        <f>IF(ISNUMBER(expected_production[[#This Row],[Commissioned Date]]),MAX(0,(expected_production[[#This Row],[Date]]-expected_production[[#This Row],[Commissioned Date]])/365.25),"")</f>
        <v>1.7686516084873374</v>
      </c>
      <c r="F2193" s="49">
        <f>IF(expected_production[[#This Row],[Age (yrs)]]="",1,(1-DegradationRate)^expected_production[[#This Row],[Age (yrs)]])</f>
        <v>0.98765276394324297</v>
      </c>
      <c r="G2193" s="52">
        <f>IF(expected_production[[#This Row],[Base Expected (kWh)]]="","",expected_production[[#This Row],[Base Expected (kWh)]]*expected_production[[#This Row],[Degradation Factor]])</f>
        <v>21285.596072675591</v>
      </c>
    </row>
    <row r="2194" spans="1:7" ht="15" hidden="1" customHeight="1" x14ac:dyDescent="0.3">
      <c r="A2194" t="s">
        <v>184</v>
      </c>
      <c r="B2194" s="2">
        <v>46235</v>
      </c>
      <c r="C2194" s="52">
        <v>26041.4</v>
      </c>
      <c r="D2194" s="48">
        <f>_xlfn.XLOOKUP(expected_production[[#This Row],[Site Name]],Table1[[Site Name ]],Table1[Commisioned Date],"")</f>
        <v>45558</v>
      </c>
      <c r="E2194" s="47">
        <f>IF(ISNUMBER(expected_production[[#This Row],[Commissioned Date]]),MAX(0,(expected_production[[#This Row],[Date]]-expected_production[[#This Row],[Commissioned Date]])/365.25),"")</f>
        <v>1.8535249828884326</v>
      </c>
      <c r="F2194" s="49">
        <f>IF(expected_production[[#This Row],[Age (yrs)]]="",1,(1-DegradationRate)^expected_production[[#This Row],[Age (yrs)]])</f>
        <v>0.98706409812559115</v>
      </c>
      <c r="G2194" s="52">
        <f>IF(expected_production[[#This Row],[Base Expected (kWh)]]="","",expected_production[[#This Row],[Base Expected (kWh)]]*expected_production[[#This Row],[Degradation Factor]])</f>
        <v>25704.531004927772</v>
      </c>
    </row>
    <row r="2195" spans="1:7" ht="15" hidden="1" customHeight="1" x14ac:dyDescent="0.3">
      <c r="A2195" t="s">
        <v>184</v>
      </c>
      <c r="B2195" s="2">
        <v>46266</v>
      </c>
      <c r="C2195" s="52">
        <v>29888.9</v>
      </c>
      <c r="D2195" s="48">
        <f>_xlfn.XLOOKUP(expected_production[[#This Row],[Site Name]],Table1[[Site Name ]],Table1[Commisioned Date],"")</f>
        <v>45558</v>
      </c>
      <c r="E2195" s="47">
        <f>IF(ISNUMBER(expected_production[[#This Row],[Commissioned Date]]),MAX(0,(expected_production[[#This Row],[Date]]-expected_production[[#This Row],[Commissioned Date]])/365.25),"")</f>
        <v>1.9383983572895278</v>
      </c>
      <c r="F2195" s="49">
        <f>IF(expected_production[[#This Row],[Age (yrs)]]="",1,(1-DegradationRate)^expected_production[[#This Row],[Age (yrs)]])</f>
        <v>0.98647578316753037</v>
      </c>
      <c r="G2195" s="52">
        <f>IF(expected_production[[#This Row],[Base Expected (kWh)]]="","",expected_production[[#This Row],[Base Expected (kWh)]]*expected_production[[#This Row],[Degradation Factor]])</f>
        <v>29484.676035516</v>
      </c>
    </row>
    <row r="2196" spans="1:7" ht="15" hidden="1" customHeight="1" x14ac:dyDescent="0.3">
      <c r="A2196" t="s">
        <v>184</v>
      </c>
      <c r="B2196" s="2">
        <v>46296</v>
      </c>
      <c r="C2196" s="52">
        <v>34705.4</v>
      </c>
      <c r="D2196" s="48">
        <f>_xlfn.XLOOKUP(expected_production[[#This Row],[Site Name]],Table1[[Site Name ]],Table1[Commisioned Date],"")</f>
        <v>45558</v>
      </c>
      <c r="E2196" s="47">
        <f>IF(ISNUMBER(expected_production[[#This Row],[Commissioned Date]]),MAX(0,(expected_production[[#This Row],[Date]]-expected_production[[#This Row],[Commissioned Date]])/365.25),"")</f>
        <v>2.020533880903491</v>
      </c>
      <c r="F2196" s="49">
        <f>IF(expected_production[[#This Row],[Age (yrs)]]="",1,(1-DegradationRate)^expected_production[[#This Row],[Age (yrs)]])</f>
        <v>0.98590677997943466</v>
      </c>
      <c r="G2196" s="52">
        <f>IF(expected_production[[#This Row],[Base Expected (kWh)]]="","",expected_production[[#This Row],[Base Expected (kWh)]]*expected_production[[#This Row],[Degradation Factor]])</f>
        <v>34216.289161898276</v>
      </c>
    </row>
    <row r="2197" spans="1:7" ht="15" hidden="1" customHeight="1" x14ac:dyDescent="0.3">
      <c r="A2197" t="s">
        <v>184</v>
      </c>
      <c r="B2197" s="2">
        <v>46327</v>
      </c>
      <c r="C2197" s="52">
        <v>36881.85</v>
      </c>
      <c r="D2197" s="48">
        <f>_xlfn.XLOOKUP(expected_production[[#This Row],[Site Name]],Table1[[Site Name ]],Table1[Commisioned Date],"")</f>
        <v>45558</v>
      </c>
      <c r="E2197" s="47">
        <f>IF(ISNUMBER(expected_production[[#This Row],[Commissioned Date]]),MAX(0,(expected_production[[#This Row],[Date]]-expected_production[[#This Row],[Commissioned Date]])/365.25),"")</f>
        <v>2.1054072553045859</v>
      </c>
      <c r="F2197" s="49">
        <f>IF(expected_production[[#This Row],[Age (yrs)]]="",1,(1-DegradationRate)^expected_production[[#This Row],[Age (yrs)]])</f>
        <v>0.9853191548120146</v>
      </c>
      <c r="G2197" s="52">
        <f>IF(expected_production[[#This Row],[Base Expected (kWh)]]="","",expected_production[[#This Row],[Base Expected (kWh)]]*expected_production[[#This Row],[Degradation Factor]])</f>
        <v>36340.393269903499</v>
      </c>
    </row>
    <row r="2198" spans="1:7" ht="15" hidden="1" customHeight="1" x14ac:dyDescent="0.3">
      <c r="A2198" t="s">
        <v>184</v>
      </c>
      <c r="B2198" s="2">
        <v>46357</v>
      </c>
      <c r="C2198" s="52">
        <v>40110.9</v>
      </c>
      <c r="D2198" s="48">
        <f>_xlfn.XLOOKUP(expected_production[[#This Row],[Site Name]],Table1[[Site Name ]],Table1[Commisioned Date],"")</f>
        <v>45558</v>
      </c>
      <c r="E2198" s="47">
        <f>IF(ISNUMBER(expected_production[[#This Row],[Commissioned Date]]),MAX(0,(expected_production[[#This Row],[Date]]-expected_production[[#This Row],[Commissioned Date]])/365.25),"")</f>
        <v>2.1875427789185489</v>
      </c>
      <c r="F2198" s="49">
        <f>IF(expected_production[[#This Row],[Age (yrs)]]="",1,(1-DegradationRate)^expected_production[[#This Row],[Age (yrs)]])</f>
        <v>0.98475081877179316</v>
      </c>
      <c r="G2198" s="52">
        <f>IF(expected_production[[#This Row],[Base Expected (kWh)]]="","",expected_production[[#This Row],[Base Expected (kWh)]]*expected_production[[#This Row],[Degradation Factor]])</f>
        <v>39499.24161667352</v>
      </c>
    </row>
    <row r="2199" spans="1:7" ht="15" hidden="1" customHeight="1" x14ac:dyDescent="0.3">
      <c r="A2199" t="s">
        <v>186</v>
      </c>
      <c r="B2199" s="2">
        <v>45292</v>
      </c>
      <c r="C2199" s="52">
        <v>34074.9</v>
      </c>
      <c r="D2199" s="48">
        <f>_xlfn.XLOOKUP(expected_production[[#This Row],[Site Name]],Table1[[Site Name ]],Table1[Commisioned Date],"")</f>
        <v>45531</v>
      </c>
      <c r="E2199" s="47">
        <f>IF(ISNUMBER(expected_production[[#This Row],[Commissioned Date]]),MAX(0,(expected_production[[#This Row],[Date]]-expected_production[[#This Row],[Commissioned Date]])/365.25),"")</f>
        <v>0</v>
      </c>
      <c r="F2199" s="49">
        <f>IF(expected_production[[#This Row],[Age (yrs)]]="",1,(1-DegradationRate)^expected_production[[#This Row],[Age (yrs)]])</f>
        <v>1</v>
      </c>
      <c r="G2199" s="52">
        <f>IF(expected_production[[#This Row],[Base Expected (kWh)]]="","",expected_production[[#This Row],[Base Expected (kWh)]]*expected_production[[#This Row],[Degradation Factor]])</f>
        <v>34074.9</v>
      </c>
    </row>
    <row r="2200" spans="1:7" ht="15" hidden="1" customHeight="1" x14ac:dyDescent="0.3">
      <c r="A2200" t="s">
        <v>186</v>
      </c>
      <c r="B2200" s="2">
        <v>45323</v>
      </c>
      <c r="C2200" s="52">
        <v>28396.799999999999</v>
      </c>
      <c r="D2200" s="48">
        <f>_xlfn.XLOOKUP(expected_production[[#This Row],[Site Name]],Table1[[Site Name ]],Table1[Commisioned Date],"")</f>
        <v>45531</v>
      </c>
      <c r="E2200" s="47">
        <f>IF(ISNUMBER(expected_production[[#This Row],[Commissioned Date]]),MAX(0,(expected_production[[#This Row],[Date]]-expected_production[[#This Row],[Commissioned Date]])/365.25),"")</f>
        <v>0</v>
      </c>
      <c r="F2200" s="49">
        <f>IF(expected_production[[#This Row],[Age (yrs)]]="",1,(1-DegradationRate)^expected_production[[#This Row],[Age (yrs)]])</f>
        <v>1</v>
      </c>
      <c r="G2200" s="52">
        <f>IF(expected_production[[#This Row],[Base Expected (kWh)]]="","",expected_production[[#This Row],[Base Expected (kWh)]]*expected_production[[#This Row],[Degradation Factor]])</f>
        <v>28396.799999999999</v>
      </c>
    </row>
    <row r="2201" spans="1:7" ht="15" hidden="1" customHeight="1" x14ac:dyDescent="0.3">
      <c r="A2201" t="s">
        <v>186</v>
      </c>
      <c r="B2201" s="2">
        <v>45352</v>
      </c>
      <c r="C2201" s="52">
        <v>28665.9</v>
      </c>
      <c r="D2201" s="48">
        <f>_xlfn.XLOOKUP(expected_production[[#This Row],[Site Name]],Table1[[Site Name ]],Table1[Commisioned Date],"")</f>
        <v>45531</v>
      </c>
      <c r="E2201" s="47">
        <f>IF(ISNUMBER(expected_production[[#This Row],[Commissioned Date]]),MAX(0,(expected_production[[#This Row],[Date]]-expected_production[[#This Row],[Commissioned Date]])/365.25),"")</f>
        <v>0</v>
      </c>
      <c r="F2201" s="49">
        <f>IF(expected_production[[#This Row],[Age (yrs)]]="",1,(1-DegradationRate)^expected_production[[#This Row],[Age (yrs)]])</f>
        <v>1</v>
      </c>
      <c r="G2201" s="52">
        <f>IF(expected_production[[#This Row],[Base Expected (kWh)]]="","",expected_production[[#This Row],[Base Expected (kWh)]]*expected_production[[#This Row],[Degradation Factor]])</f>
        <v>28665.9</v>
      </c>
    </row>
    <row r="2202" spans="1:7" ht="15" hidden="1" customHeight="1" x14ac:dyDescent="0.3">
      <c r="A2202" t="s">
        <v>186</v>
      </c>
      <c r="B2202" s="2">
        <v>45383</v>
      </c>
      <c r="C2202" s="52">
        <v>24411.599999999999</v>
      </c>
      <c r="D2202" s="48">
        <f>_xlfn.XLOOKUP(expected_production[[#This Row],[Site Name]],Table1[[Site Name ]],Table1[Commisioned Date],"")</f>
        <v>45531</v>
      </c>
      <c r="E2202" s="47">
        <f>IF(ISNUMBER(expected_production[[#This Row],[Commissioned Date]]),MAX(0,(expected_production[[#This Row],[Date]]-expected_production[[#This Row],[Commissioned Date]])/365.25),"")</f>
        <v>0</v>
      </c>
      <c r="F2202" s="49">
        <f>IF(expected_production[[#This Row],[Age (yrs)]]="",1,(1-DegradationRate)^expected_production[[#This Row],[Age (yrs)]])</f>
        <v>1</v>
      </c>
      <c r="G2202" s="52">
        <f>IF(expected_production[[#This Row],[Base Expected (kWh)]]="","",expected_production[[#This Row],[Base Expected (kWh)]]*expected_production[[#This Row],[Degradation Factor]])</f>
        <v>24411.599999999999</v>
      </c>
    </row>
    <row r="2203" spans="1:7" ht="15" hidden="1" customHeight="1" x14ac:dyDescent="0.3">
      <c r="A2203" t="s">
        <v>186</v>
      </c>
      <c r="B2203" s="2">
        <v>45413</v>
      </c>
      <c r="C2203" s="52">
        <v>22266.9</v>
      </c>
      <c r="D2203" s="48">
        <f>_xlfn.XLOOKUP(expected_production[[#This Row],[Site Name]],Table1[[Site Name ]],Table1[Commisioned Date],"")</f>
        <v>45531</v>
      </c>
      <c r="E2203" s="47">
        <f>IF(ISNUMBER(expected_production[[#This Row],[Commissioned Date]]),MAX(0,(expected_production[[#This Row],[Date]]-expected_production[[#This Row],[Commissioned Date]])/365.25),"")</f>
        <v>0</v>
      </c>
      <c r="F2203" s="49">
        <f>IF(expected_production[[#This Row],[Age (yrs)]]="",1,(1-DegradationRate)^expected_production[[#This Row],[Age (yrs)]])</f>
        <v>1</v>
      </c>
      <c r="G2203" s="52">
        <f>IF(expected_production[[#This Row],[Base Expected (kWh)]]="","",expected_production[[#This Row],[Base Expected (kWh)]]*expected_production[[#This Row],[Degradation Factor]])</f>
        <v>22266.9</v>
      </c>
    </row>
    <row r="2204" spans="1:7" ht="15" hidden="1" customHeight="1" x14ac:dyDescent="0.3">
      <c r="A2204" t="s">
        <v>186</v>
      </c>
      <c r="B2204" s="2">
        <v>45444</v>
      </c>
      <c r="C2204" s="52">
        <v>19791.900000000001</v>
      </c>
      <c r="D2204" s="48">
        <f>_xlfn.XLOOKUP(expected_production[[#This Row],[Site Name]],Table1[[Site Name ]],Table1[Commisioned Date],"")</f>
        <v>45531</v>
      </c>
      <c r="E2204" s="47">
        <f>IF(ISNUMBER(expected_production[[#This Row],[Commissioned Date]]),MAX(0,(expected_production[[#This Row],[Date]]-expected_production[[#This Row],[Commissioned Date]])/365.25),"")</f>
        <v>0</v>
      </c>
      <c r="F2204" s="49">
        <f>IF(expected_production[[#This Row],[Age (yrs)]]="",1,(1-DegradationRate)^expected_production[[#This Row],[Age (yrs)]])</f>
        <v>1</v>
      </c>
      <c r="G2204" s="52">
        <f>IF(expected_production[[#This Row],[Base Expected (kWh)]]="","",expected_production[[#This Row],[Base Expected (kWh)]]*expected_production[[#This Row],[Degradation Factor]])</f>
        <v>19791.900000000001</v>
      </c>
    </row>
    <row r="2205" spans="1:7" ht="15" hidden="1" customHeight="1" x14ac:dyDescent="0.3">
      <c r="A2205" t="s">
        <v>186</v>
      </c>
      <c r="B2205" s="2">
        <v>45474</v>
      </c>
      <c r="C2205" s="52">
        <v>21774.6</v>
      </c>
      <c r="D2205" s="48">
        <f>_xlfn.XLOOKUP(expected_production[[#This Row],[Site Name]],Table1[[Site Name ]],Table1[Commisioned Date],"")</f>
        <v>45531</v>
      </c>
      <c r="E2205" s="47">
        <f>IF(ISNUMBER(expected_production[[#This Row],[Commissioned Date]]),MAX(0,(expected_production[[#This Row],[Date]]-expected_production[[#This Row],[Commissioned Date]])/365.25),"")</f>
        <v>0</v>
      </c>
      <c r="F2205" s="49">
        <f>IF(expected_production[[#This Row],[Age (yrs)]]="",1,(1-DegradationRate)^expected_production[[#This Row],[Age (yrs)]])</f>
        <v>1</v>
      </c>
      <c r="G2205" s="52">
        <f>IF(expected_production[[#This Row],[Base Expected (kWh)]]="","",expected_production[[#This Row],[Base Expected (kWh)]]*expected_production[[#This Row],[Degradation Factor]])</f>
        <v>21774.6</v>
      </c>
    </row>
    <row r="2206" spans="1:7" ht="15" hidden="1" customHeight="1" x14ac:dyDescent="0.3">
      <c r="A2206" t="s">
        <v>186</v>
      </c>
      <c r="B2206" s="2">
        <v>45505</v>
      </c>
      <c r="C2206" s="52">
        <v>25973.1</v>
      </c>
      <c r="D2206" s="48">
        <f>_xlfn.XLOOKUP(expected_production[[#This Row],[Site Name]],Table1[[Site Name ]],Table1[Commisioned Date],"")</f>
        <v>45531</v>
      </c>
      <c r="E2206" s="47">
        <f>IF(ISNUMBER(expected_production[[#This Row],[Commissioned Date]]),MAX(0,(expected_production[[#This Row],[Date]]-expected_production[[#This Row],[Commissioned Date]])/365.25),"")</f>
        <v>0</v>
      </c>
      <c r="F2206" s="49">
        <f>IF(expected_production[[#This Row],[Age (yrs)]]="",1,(1-DegradationRate)^expected_production[[#This Row],[Age (yrs)]])</f>
        <v>1</v>
      </c>
      <c r="G2206" s="52">
        <f>IF(expected_production[[#This Row],[Base Expected (kWh)]]="","",expected_production[[#This Row],[Base Expected (kWh)]]*expected_production[[#This Row],[Degradation Factor]])</f>
        <v>25973.1</v>
      </c>
    </row>
    <row r="2207" spans="1:7" ht="15" hidden="1" customHeight="1" x14ac:dyDescent="0.3">
      <c r="A2207" t="s">
        <v>186</v>
      </c>
      <c r="B2207" s="2">
        <v>45536</v>
      </c>
      <c r="C2207" s="52">
        <v>28984.5</v>
      </c>
      <c r="D2207" s="48">
        <f>_xlfn.XLOOKUP(expected_production[[#This Row],[Site Name]],Table1[[Site Name ]],Table1[Commisioned Date],"")</f>
        <v>45531</v>
      </c>
      <c r="E2207" s="47">
        <f>IF(ISNUMBER(expected_production[[#This Row],[Commissioned Date]]),MAX(0,(expected_production[[#This Row],[Date]]-expected_production[[#This Row],[Commissioned Date]])/365.25),"")</f>
        <v>1.3689253935660506E-2</v>
      </c>
      <c r="F2207" s="49">
        <f>IF(expected_production[[#This Row],[Age (yrs)]]="",1,(1-DegradationRate)^expected_production[[#This Row],[Age (yrs)]])</f>
        <v>0.99990384288571932</v>
      </c>
      <c r="G2207" s="52">
        <f>IF(expected_production[[#This Row],[Base Expected (kWh)]]="","",expected_production[[#This Row],[Base Expected (kWh)]]*expected_production[[#This Row],[Degradation Factor]])</f>
        <v>28981.712934121133</v>
      </c>
    </row>
    <row r="2208" spans="1:7" ht="15" hidden="1" customHeight="1" x14ac:dyDescent="0.3">
      <c r="A2208" t="s">
        <v>186</v>
      </c>
      <c r="B2208" s="2">
        <v>45566</v>
      </c>
      <c r="C2208" s="52">
        <v>33058.800000000003</v>
      </c>
      <c r="D2208" s="48">
        <f>_xlfn.XLOOKUP(expected_production[[#This Row],[Site Name]],Table1[[Site Name ]],Table1[Commisioned Date],"")</f>
        <v>45531</v>
      </c>
      <c r="E2208" s="47">
        <f>IF(ISNUMBER(expected_production[[#This Row],[Commissioned Date]]),MAX(0,(expected_production[[#This Row],[Date]]-expected_production[[#This Row],[Commissioned Date]])/365.25),"")</f>
        <v>9.5824777549623541E-2</v>
      </c>
      <c r="F2208" s="49">
        <f>IF(expected_production[[#This Row],[Age (yrs)]]="",1,(1-DegradationRate)^expected_production[[#This Row],[Age (yrs)]])</f>
        <v>0.99932709433892364</v>
      </c>
      <c r="G2208" s="52">
        <f>IF(expected_production[[#This Row],[Base Expected (kWh)]]="","",expected_production[[#This Row],[Base Expected (kWh)]]*expected_production[[#This Row],[Degradation Factor]])</f>
        <v>33036.554546331608</v>
      </c>
    </row>
    <row r="2209" spans="1:7" ht="15" hidden="1" customHeight="1" x14ac:dyDescent="0.3">
      <c r="A2209" t="s">
        <v>186</v>
      </c>
      <c r="B2209" s="2">
        <v>45597</v>
      </c>
      <c r="C2209" s="52">
        <v>34366.5</v>
      </c>
      <c r="D2209" s="48">
        <f>_xlfn.XLOOKUP(expected_production[[#This Row],[Site Name]],Table1[[Site Name ]],Table1[Commisioned Date],"")</f>
        <v>45531</v>
      </c>
      <c r="E2209" s="47">
        <f>IF(ISNUMBER(expected_production[[#This Row],[Commissioned Date]]),MAX(0,(expected_production[[#This Row],[Date]]-expected_production[[#This Row],[Commissioned Date]])/365.25),"")</f>
        <v>0.1806981519507187</v>
      </c>
      <c r="F2209" s="49">
        <f>IF(expected_production[[#This Row],[Age (yrs)]]="",1,(1-DegradationRate)^expected_production[[#This Row],[Age (yrs)]])</f>
        <v>0.9987314703275636</v>
      </c>
      <c r="G2209" s="52">
        <f>IF(expected_production[[#This Row],[Base Expected (kWh)]]="","",expected_production[[#This Row],[Base Expected (kWh)]]*expected_production[[#This Row],[Degradation Factor]])</f>
        <v>34322.905075012211</v>
      </c>
    </row>
    <row r="2210" spans="1:7" ht="15" hidden="1" customHeight="1" x14ac:dyDescent="0.3">
      <c r="A2210" t="s">
        <v>186</v>
      </c>
      <c r="B2210" s="2">
        <v>45627</v>
      </c>
      <c r="C2210" s="52">
        <v>36320.400000000001</v>
      </c>
      <c r="D2210" s="48">
        <f>_xlfn.XLOOKUP(expected_production[[#This Row],[Site Name]],Table1[[Site Name ]],Table1[Commisioned Date],"")</f>
        <v>45531</v>
      </c>
      <c r="E2210" s="47">
        <f>IF(ISNUMBER(expected_production[[#This Row],[Commissioned Date]]),MAX(0,(expected_production[[#This Row],[Date]]-expected_production[[#This Row],[Commissioned Date]])/365.25),"")</f>
        <v>0.26283367556468173</v>
      </c>
      <c r="F2210" s="49">
        <f>IF(expected_production[[#This Row],[Age (yrs)]]="",1,(1-DegradationRate)^expected_production[[#This Row],[Age (yrs)]])</f>
        <v>0.99815539800996134</v>
      </c>
      <c r="G2210" s="52">
        <f>IF(expected_production[[#This Row],[Base Expected (kWh)]]="","",expected_production[[#This Row],[Base Expected (kWh)]]*expected_production[[#This Row],[Degradation Factor]])</f>
        <v>36253.403317880999</v>
      </c>
    </row>
    <row r="2211" spans="1:7" ht="15" hidden="1" customHeight="1" x14ac:dyDescent="0.3">
      <c r="A2211" t="s">
        <v>186</v>
      </c>
      <c r="B2211" s="2">
        <v>45658</v>
      </c>
      <c r="C2211" s="52">
        <v>34074.9</v>
      </c>
      <c r="D2211" s="48">
        <f>_xlfn.XLOOKUP(expected_production[[#This Row],[Site Name]],Table1[[Site Name ]],Table1[Commisioned Date],"")</f>
        <v>45531</v>
      </c>
      <c r="E2211" s="47">
        <f>IF(ISNUMBER(expected_production[[#This Row],[Commissioned Date]]),MAX(0,(expected_production[[#This Row],[Date]]-expected_production[[#This Row],[Commissioned Date]])/365.25),"")</f>
        <v>0.34770704996577684</v>
      </c>
      <c r="F2211" s="49">
        <f>IF(expected_production[[#This Row],[Age (yrs)]]="",1,(1-DegradationRate)^expected_production[[#This Row],[Age (yrs)]])</f>
        <v>0.99756047235899958</v>
      </c>
      <c r="G2211" s="52">
        <f>IF(expected_production[[#This Row],[Base Expected (kWh)]]="","",expected_production[[#This Row],[Base Expected (kWh)]]*expected_production[[#This Row],[Degradation Factor]])</f>
        <v>33991.773339585678</v>
      </c>
    </row>
    <row r="2212" spans="1:7" ht="15" hidden="1" customHeight="1" x14ac:dyDescent="0.3">
      <c r="A2212" t="s">
        <v>186</v>
      </c>
      <c r="B2212" s="2">
        <v>45689</v>
      </c>
      <c r="C2212" s="52">
        <v>28396.799999999999</v>
      </c>
      <c r="D2212" s="48">
        <f>_xlfn.XLOOKUP(expected_production[[#This Row],[Site Name]],Table1[[Site Name ]],Table1[Commisioned Date],"")</f>
        <v>45531</v>
      </c>
      <c r="E2212" s="47">
        <f>IF(ISNUMBER(expected_production[[#This Row],[Commissioned Date]]),MAX(0,(expected_production[[#This Row],[Date]]-expected_production[[#This Row],[Commissioned Date]])/365.25),"")</f>
        <v>0.432580424366872</v>
      </c>
      <c r="F2212" s="49">
        <f>IF(expected_production[[#This Row],[Age (yrs)]]="",1,(1-DegradationRate)^expected_production[[#This Row],[Age (yrs)]])</f>
        <v>0.9969659012986466</v>
      </c>
      <c r="G2212" s="52">
        <f>IF(expected_production[[#This Row],[Base Expected (kWh)]]="","",expected_production[[#This Row],[Base Expected (kWh)]]*expected_production[[#This Row],[Degradation Factor]])</f>
        <v>28310.641305997407</v>
      </c>
    </row>
    <row r="2213" spans="1:7" ht="15" hidden="1" customHeight="1" x14ac:dyDescent="0.3">
      <c r="A2213" t="s">
        <v>186</v>
      </c>
      <c r="B2213" s="2">
        <v>45717</v>
      </c>
      <c r="C2213" s="52">
        <v>28665.9</v>
      </c>
      <c r="D2213" s="48">
        <f>_xlfn.XLOOKUP(expected_production[[#This Row],[Site Name]],Table1[[Site Name ]],Table1[Commisioned Date],"")</f>
        <v>45531</v>
      </c>
      <c r="E2213" s="47">
        <f>IF(ISNUMBER(expected_production[[#This Row],[Commissioned Date]]),MAX(0,(expected_production[[#This Row],[Date]]-expected_production[[#This Row],[Commissioned Date]])/365.25),"")</f>
        <v>0.50924024640657084</v>
      </c>
      <c r="F2213" s="49">
        <f>IF(expected_production[[#This Row],[Age (yrs)]]="",1,(1-DegradationRate)^expected_production[[#This Row],[Age (yrs)]])</f>
        <v>0.99642917397556052</v>
      </c>
      <c r="G2213" s="52">
        <f>IF(expected_production[[#This Row],[Base Expected (kWh)]]="","",expected_production[[#This Row],[Base Expected (kWh)]]*expected_production[[#This Row],[Degradation Factor]])</f>
        <v>28563.539058266022</v>
      </c>
    </row>
    <row r="2214" spans="1:7" ht="15" hidden="1" customHeight="1" x14ac:dyDescent="0.3">
      <c r="A2214" t="s">
        <v>186</v>
      </c>
      <c r="B2214" s="2">
        <v>45748</v>
      </c>
      <c r="C2214" s="52">
        <v>24411.599999999999</v>
      </c>
      <c r="D2214" s="48">
        <f>_xlfn.XLOOKUP(expected_production[[#This Row],[Site Name]],Table1[[Site Name ]],Table1[Commisioned Date],"")</f>
        <v>45531</v>
      </c>
      <c r="E2214" s="47">
        <f>IF(ISNUMBER(expected_production[[#This Row],[Commissioned Date]]),MAX(0,(expected_production[[#This Row],[Date]]-expected_production[[#This Row],[Commissioned Date]])/365.25),"")</f>
        <v>0.59411362080766594</v>
      </c>
      <c r="F2214" s="49">
        <f>IF(expected_production[[#This Row],[Age (yrs)]]="",1,(1-DegradationRate)^expected_production[[#This Row],[Age (yrs)]])</f>
        <v>0.99583527719741705</v>
      </c>
      <c r="G2214" s="52">
        <f>IF(expected_production[[#This Row],[Base Expected (kWh)]]="","",expected_production[[#This Row],[Base Expected (kWh)]]*expected_production[[#This Row],[Degradation Factor]])</f>
        <v>24309.932452832465</v>
      </c>
    </row>
    <row r="2215" spans="1:7" ht="15" hidden="1" customHeight="1" x14ac:dyDescent="0.3">
      <c r="A2215" t="s">
        <v>186</v>
      </c>
      <c r="B2215" s="2">
        <v>45778</v>
      </c>
      <c r="C2215" s="52">
        <v>22266.9</v>
      </c>
      <c r="D2215" s="48">
        <f>_xlfn.XLOOKUP(expected_production[[#This Row],[Site Name]],Table1[[Site Name ]],Table1[Commisioned Date],"")</f>
        <v>45531</v>
      </c>
      <c r="E2215" s="47">
        <f>IF(ISNUMBER(expected_production[[#This Row],[Commissioned Date]]),MAX(0,(expected_production[[#This Row],[Date]]-expected_production[[#This Row],[Commissioned Date]])/365.25),"")</f>
        <v>0.67624914442162898</v>
      </c>
      <c r="F2215" s="49">
        <f>IF(expected_production[[#This Row],[Age (yrs)]]="",1,(1-DegradationRate)^expected_production[[#This Row],[Age (yrs)]])</f>
        <v>0.99526087541562769</v>
      </c>
      <c r="G2215" s="52">
        <f>IF(expected_production[[#This Row],[Base Expected (kWh)]]="","",expected_production[[#This Row],[Base Expected (kWh)]]*expected_production[[#This Row],[Degradation Factor]])</f>
        <v>22161.374386792242</v>
      </c>
    </row>
    <row r="2216" spans="1:7" ht="15" hidden="1" customHeight="1" x14ac:dyDescent="0.3">
      <c r="A2216" t="s">
        <v>186</v>
      </c>
      <c r="B2216" s="2">
        <v>45809</v>
      </c>
      <c r="C2216" s="52">
        <v>19791.900000000001</v>
      </c>
      <c r="D2216" s="48">
        <f>_xlfn.XLOOKUP(expected_production[[#This Row],[Site Name]],Table1[[Site Name ]],Table1[Commisioned Date],"")</f>
        <v>45531</v>
      </c>
      <c r="E2216" s="47">
        <f>IF(ISNUMBER(expected_production[[#This Row],[Commissioned Date]]),MAX(0,(expected_production[[#This Row],[Date]]-expected_production[[#This Row],[Commissioned Date]])/365.25),"")</f>
        <v>0.76112251882272419</v>
      </c>
      <c r="F2216" s="49">
        <f>IF(expected_production[[#This Row],[Age (yrs)]]="",1,(1-DegradationRate)^expected_production[[#This Row],[Age (yrs)]])</f>
        <v>0.99466767497272679</v>
      </c>
      <c r="G2216" s="52">
        <f>IF(expected_production[[#This Row],[Base Expected (kWh)]]="","",expected_production[[#This Row],[Base Expected (kWh)]]*expected_production[[#This Row],[Degradation Factor]])</f>
        <v>19686.363156292711</v>
      </c>
    </row>
    <row r="2217" spans="1:7" ht="15" hidden="1" customHeight="1" x14ac:dyDescent="0.3">
      <c r="A2217" t="s">
        <v>186</v>
      </c>
      <c r="B2217" s="2">
        <v>45839</v>
      </c>
      <c r="C2217" s="52">
        <v>21774.6</v>
      </c>
      <c r="D2217" s="48">
        <f>_xlfn.XLOOKUP(expected_production[[#This Row],[Site Name]],Table1[[Site Name ]],Table1[Commisioned Date],"")</f>
        <v>45531</v>
      </c>
      <c r="E2217" s="47">
        <f>IF(ISNUMBER(expected_production[[#This Row],[Commissioned Date]]),MAX(0,(expected_production[[#This Row],[Date]]-expected_production[[#This Row],[Commissioned Date]])/365.25),"")</f>
        <v>0.84325804243668723</v>
      </c>
      <c r="F2217" s="49">
        <f>IF(expected_production[[#This Row],[Age (yrs)]]="",1,(1-DegradationRate)^expected_production[[#This Row],[Age (yrs)]])</f>
        <v>0.99409394666858353</v>
      </c>
      <c r="G2217" s="52">
        <f>IF(expected_production[[#This Row],[Base Expected (kWh)]]="","",expected_production[[#This Row],[Base Expected (kWh)]]*expected_production[[#This Row],[Degradation Factor]])</f>
        <v>21645.998051129736</v>
      </c>
    </row>
    <row r="2218" spans="1:7" ht="15" hidden="1" customHeight="1" x14ac:dyDescent="0.3">
      <c r="A2218" t="s">
        <v>186</v>
      </c>
      <c r="B2218" s="2">
        <v>45870</v>
      </c>
      <c r="C2218" s="52">
        <v>25973.1</v>
      </c>
      <c r="D2218" s="48">
        <f>_xlfn.XLOOKUP(expected_production[[#This Row],[Site Name]],Table1[[Site Name ]],Table1[Commisioned Date],"")</f>
        <v>45531</v>
      </c>
      <c r="E2218" s="47">
        <f>IF(ISNUMBER(expected_production[[#This Row],[Commissioned Date]]),MAX(0,(expected_production[[#This Row],[Date]]-expected_production[[#This Row],[Commissioned Date]])/365.25),"")</f>
        <v>0.92813141683778233</v>
      </c>
      <c r="F2218" s="49">
        <f>IF(expected_production[[#This Row],[Age (yrs)]]="",1,(1-DegradationRate)^expected_production[[#This Row],[Age (yrs)]])</f>
        <v>0.99350144174448241</v>
      </c>
      <c r="G2218" s="52">
        <f>IF(expected_production[[#This Row],[Base Expected (kWh)]]="","",expected_production[[#This Row],[Base Expected (kWh)]]*expected_production[[#This Row],[Degradation Factor]])</f>
        <v>25804.312296573615</v>
      </c>
    </row>
    <row r="2219" spans="1:7" ht="15" hidden="1" customHeight="1" x14ac:dyDescent="0.3">
      <c r="A2219" t="s">
        <v>186</v>
      </c>
      <c r="B2219" s="2">
        <v>45901</v>
      </c>
      <c r="C2219" s="52">
        <v>28984.5</v>
      </c>
      <c r="D2219" s="48">
        <f>_xlfn.XLOOKUP(expected_production[[#This Row],[Site Name]],Table1[[Site Name ]],Table1[Commisioned Date],"")</f>
        <v>45531</v>
      </c>
      <c r="E2219" s="47">
        <f>IF(ISNUMBER(expected_production[[#This Row],[Commissioned Date]]),MAX(0,(expected_production[[#This Row],[Date]]-expected_production[[#This Row],[Commissioned Date]])/365.25),"")</f>
        <v>1.0130047912388775</v>
      </c>
      <c r="F2219" s="49">
        <f>IF(expected_production[[#This Row],[Age (yrs)]]="",1,(1-DegradationRate)^expected_production[[#This Row],[Age (yrs)]])</f>
        <v>0.99290928996817618</v>
      </c>
      <c r="G2219" s="52">
        <f>IF(expected_production[[#This Row],[Base Expected (kWh)]]="","",expected_production[[#This Row],[Base Expected (kWh)]]*expected_production[[#This Row],[Degradation Factor]])</f>
        <v>28778.979315082601</v>
      </c>
    </row>
    <row r="2220" spans="1:7" ht="15" hidden="1" customHeight="1" x14ac:dyDescent="0.3">
      <c r="A2220" t="s">
        <v>186</v>
      </c>
      <c r="B2220" s="2">
        <v>45931</v>
      </c>
      <c r="C2220" s="52">
        <v>33058.800000000003</v>
      </c>
      <c r="D2220" s="48">
        <f>_xlfn.XLOOKUP(expected_production[[#This Row],[Site Name]],Table1[[Site Name ]],Table1[Commisioned Date],"")</f>
        <v>45531</v>
      </c>
      <c r="E2220" s="47">
        <f>IF(ISNUMBER(expected_production[[#This Row],[Commissioned Date]]),MAX(0,(expected_production[[#This Row],[Date]]-expected_production[[#This Row],[Commissioned Date]])/365.25),"")</f>
        <v>1.0951403148528405</v>
      </c>
      <c r="F2220" s="49">
        <f>IF(expected_production[[#This Row],[Age (yrs)]]="",1,(1-DegradationRate)^expected_production[[#This Row],[Age (yrs)]])</f>
        <v>0.99233657590755564</v>
      </c>
      <c r="G2220" s="52">
        <f>IF(expected_production[[#This Row],[Base Expected (kWh)]]="","",expected_production[[#This Row],[Base Expected (kWh)]]*expected_production[[#This Row],[Degradation Factor]])</f>
        <v>32805.456395612702</v>
      </c>
    </row>
    <row r="2221" spans="1:7" ht="15" hidden="1" customHeight="1" x14ac:dyDescent="0.3">
      <c r="A2221" t="s">
        <v>186</v>
      </c>
      <c r="B2221" s="2">
        <v>45962</v>
      </c>
      <c r="C2221" s="52">
        <v>34366.5</v>
      </c>
      <c r="D2221" s="48">
        <f>_xlfn.XLOOKUP(expected_production[[#This Row],[Site Name]],Table1[[Site Name ]],Table1[Commisioned Date],"")</f>
        <v>45531</v>
      </c>
      <c r="E2221" s="47">
        <f>IF(ISNUMBER(expected_production[[#This Row],[Commissioned Date]]),MAX(0,(expected_production[[#This Row],[Date]]-expected_production[[#This Row],[Commissioned Date]])/365.25),"")</f>
        <v>1.1800136892539357</v>
      </c>
      <c r="F2221" s="49">
        <f>IF(expected_production[[#This Row],[Age (yrs)]]="",1,(1-DegradationRate)^expected_production[[#This Row],[Age (yrs)]])</f>
        <v>0.99174511842050306</v>
      </c>
      <c r="G2221" s="52">
        <f>IF(expected_production[[#This Row],[Base Expected (kWh)]]="","",expected_production[[#This Row],[Base Expected (kWh)]]*expected_production[[#This Row],[Degradation Factor]])</f>
        <v>34082.80861219822</v>
      </c>
    </row>
    <row r="2222" spans="1:7" ht="15" hidden="1" customHeight="1" x14ac:dyDescent="0.3">
      <c r="A2222" t="s">
        <v>186</v>
      </c>
      <c r="B2222" s="2">
        <v>45992</v>
      </c>
      <c r="C2222" s="52">
        <v>36320.400000000001</v>
      </c>
      <c r="D2222" s="48">
        <f>_xlfn.XLOOKUP(expected_production[[#This Row],[Site Name]],Table1[[Site Name ]],Table1[Commisioned Date],"")</f>
        <v>45531</v>
      </c>
      <c r="E2222" s="47">
        <f>IF(ISNUMBER(expected_production[[#This Row],[Commissioned Date]]),MAX(0,(expected_production[[#This Row],[Date]]-expected_production[[#This Row],[Commissioned Date]])/365.25),"")</f>
        <v>1.2621492128678986</v>
      </c>
      <c r="F2222" s="49">
        <f>IF(expected_production[[#This Row],[Age (yrs)]]="",1,(1-DegradationRate)^expected_production[[#This Row],[Age (yrs)]])</f>
        <v>0.99117307585870029</v>
      </c>
      <c r="G2222" s="52">
        <f>IF(expected_production[[#This Row],[Base Expected (kWh)]]="","",expected_production[[#This Row],[Base Expected (kWh)]]*expected_production[[#This Row],[Degradation Factor]])</f>
        <v>35999.802584418343</v>
      </c>
    </row>
    <row r="2223" spans="1:7" ht="15" hidden="1" customHeight="1" x14ac:dyDescent="0.3">
      <c r="A2223" t="s">
        <v>186</v>
      </c>
      <c r="B2223" s="2">
        <v>46023</v>
      </c>
      <c r="C2223" s="52">
        <v>34074.9</v>
      </c>
      <c r="D2223" s="48">
        <f>_xlfn.XLOOKUP(expected_production[[#This Row],[Site Name]],Table1[[Site Name ]],Table1[Commisioned Date],"")</f>
        <v>45531</v>
      </c>
      <c r="E2223" s="47">
        <f>IF(ISNUMBER(expected_production[[#This Row],[Commissioned Date]]),MAX(0,(expected_production[[#This Row],[Date]]-expected_production[[#This Row],[Commissioned Date]])/365.25),"")</f>
        <v>1.3470225872689938</v>
      </c>
      <c r="F2223" s="49">
        <f>IF(expected_production[[#This Row],[Age (yrs)]]="",1,(1-DegradationRate)^expected_production[[#This Row],[Age (yrs)]])</f>
        <v>0.9905823118468573</v>
      </c>
      <c r="G2223" s="52">
        <f>IF(expected_production[[#This Row],[Base Expected (kWh)]]="","",expected_production[[#This Row],[Base Expected (kWh)]]*expected_production[[#This Row],[Degradation Factor]])</f>
        <v>33753.993217950476</v>
      </c>
    </row>
    <row r="2224" spans="1:7" ht="15" hidden="1" customHeight="1" x14ac:dyDescent="0.3">
      <c r="A2224" t="s">
        <v>186</v>
      </c>
      <c r="B2224" s="2">
        <v>46054</v>
      </c>
      <c r="C2224" s="52">
        <v>28396.799999999999</v>
      </c>
      <c r="D2224" s="48">
        <f>_xlfn.XLOOKUP(expected_production[[#This Row],[Site Name]],Table1[[Site Name ]],Table1[Commisioned Date],"")</f>
        <v>45531</v>
      </c>
      <c r="E2224" s="47">
        <f>IF(ISNUMBER(expected_production[[#This Row],[Commissioned Date]]),MAX(0,(expected_production[[#This Row],[Date]]-expected_production[[#This Row],[Commissioned Date]])/365.25),"")</f>
        <v>1.431895961670089</v>
      </c>
      <c r="F2224" s="49">
        <f>IF(expected_production[[#This Row],[Age (yrs)]]="",1,(1-DegradationRate)^expected_production[[#This Row],[Age (yrs)]])</f>
        <v>0.98999189994518189</v>
      </c>
      <c r="G2224" s="52">
        <f>IF(expected_production[[#This Row],[Base Expected (kWh)]]="","",expected_production[[#This Row],[Base Expected (kWh)]]*expected_production[[#This Row],[Degradation Factor]])</f>
        <v>28112.60198436334</v>
      </c>
    </row>
    <row r="2225" spans="1:7" ht="15" hidden="1" customHeight="1" x14ac:dyDescent="0.3">
      <c r="A2225" t="s">
        <v>186</v>
      </c>
      <c r="B2225" s="2">
        <v>46082</v>
      </c>
      <c r="C2225" s="52">
        <v>28665.9</v>
      </c>
      <c r="D2225" s="48">
        <f>_xlfn.XLOOKUP(expected_production[[#This Row],[Site Name]],Table1[[Site Name ]],Table1[Commisioned Date],"")</f>
        <v>45531</v>
      </c>
      <c r="E2225" s="47">
        <f>IF(ISNUMBER(expected_production[[#This Row],[Commissioned Date]]),MAX(0,(expected_production[[#This Row],[Date]]-expected_production[[#This Row],[Commissioned Date]])/365.25),"")</f>
        <v>1.5085557837097878</v>
      </c>
      <c r="F2225" s="49">
        <f>IF(expected_production[[#This Row],[Age (yrs)]]="",1,(1-DegradationRate)^expected_production[[#This Row],[Age (yrs)]])</f>
        <v>0.9894589271507841</v>
      </c>
      <c r="G2225" s="52">
        <f>IF(expected_production[[#This Row],[Base Expected (kWh)]]="","",expected_production[[#This Row],[Base Expected (kWh)]]*expected_production[[#This Row],[Degradation Factor]])</f>
        <v>28363.730659811663</v>
      </c>
    </row>
    <row r="2226" spans="1:7" ht="15" hidden="1" customHeight="1" x14ac:dyDescent="0.3">
      <c r="A2226" t="s">
        <v>186</v>
      </c>
      <c r="B2226" s="2">
        <v>46113</v>
      </c>
      <c r="C2226" s="52">
        <v>24411.599999999999</v>
      </c>
      <c r="D2226" s="48">
        <f>_xlfn.XLOOKUP(expected_production[[#This Row],[Site Name]],Table1[[Site Name ]],Table1[Commisioned Date],"")</f>
        <v>45531</v>
      </c>
      <c r="E2226" s="47">
        <f>IF(ISNUMBER(expected_production[[#This Row],[Commissioned Date]]),MAX(0,(expected_production[[#This Row],[Date]]-expected_production[[#This Row],[Commissioned Date]])/365.25),"")</f>
        <v>1.593429158110883</v>
      </c>
      <c r="F2226" s="49">
        <f>IF(expected_production[[#This Row],[Age (yrs)]]="",1,(1-DegradationRate)^expected_production[[#This Row],[Age (yrs)]])</f>
        <v>0.98886918481456199</v>
      </c>
      <c r="G2226" s="52">
        <f>IF(expected_production[[#This Row],[Base Expected (kWh)]]="","",expected_production[[#This Row],[Base Expected (kWh)]]*expected_production[[#This Row],[Degradation Factor]])</f>
        <v>24139.878992019159</v>
      </c>
    </row>
    <row r="2227" spans="1:7" ht="15" hidden="1" customHeight="1" x14ac:dyDescent="0.3">
      <c r="A2227" t="s">
        <v>186</v>
      </c>
      <c r="B2227" s="2">
        <v>46143</v>
      </c>
      <c r="C2227" s="52">
        <v>22266.9</v>
      </c>
      <c r="D2227" s="48">
        <f>_xlfn.XLOOKUP(expected_production[[#This Row],[Site Name]],Table1[[Site Name ]],Table1[Commisioned Date],"")</f>
        <v>45531</v>
      </c>
      <c r="E2227" s="47">
        <f>IF(ISNUMBER(expected_production[[#This Row],[Commissioned Date]]),MAX(0,(expected_production[[#This Row],[Date]]-expected_production[[#This Row],[Commissioned Date]])/365.25),"")</f>
        <v>1.675564681724846</v>
      </c>
      <c r="F2227" s="49">
        <f>IF(expected_production[[#This Row],[Age (yrs)]]="",1,(1-DegradationRate)^expected_production[[#This Row],[Age (yrs)]])</f>
        <v>0.98829880110279733</v>
      </c>
      <c r="G2227" s="52">
        <f>IF(expected_production[[#This Row],[Base Expected (kWh)]]="","",expected_production[[#This Row],[Base Expected (kWh)]]*expected_production[[#This Row],[Degradation Factor]])</f>
        <v>22006.350574275879</v>
      </c>
    </row>
    <row r="2228" spans="1:7" ht="15" hidden="1" customHeight="1" x14ac:dyDescent="0.3">
      <c r="A2228" t="s">
        <v>186</v>
      </c>
      <c r="B2228" s="2">
        <v>46174</v>
      </c>
      <c r="C2228" s="52">
        <v>19791.900000000001</v>
      </c>
      <c r="D2228" s="48">
        <f>_xlfn.XLOOKUP(expected_production[[#This Row],[Site Name]],Table1[[Site Name ]],Table1[Commisioned Date],"")</f>
        <v>45531</v>
      </c>
      <c r="E2228" s="47">
        <f>IF(ISNUMBER(expected_production[[#This Row],[Commissioned Date]]),MAX(0,(expected_production[[#This Row],[Date]]-expected_production[[#This Row],[Commissioned Date]])/365.25),"")</f>
        <v>1.7604380561259412</v>
      </c>
      <c r="F2228" s="49">
        <f>IF(expected_production[[#This Row],[Age (yrs)]]="",1,(1-DegradationRate)^expected_production[[#This Row],[Age (yrs)]])</f>
        <v>0.98770975023079588</v>
      </c>
      <c r="G2228" s="52">
        <f>IF(expected_production[[#This Row],[Base Expected (kWh)]]="","",expected_production[[#This Row],[Base Expected (kWh)]]*expected_production[[#This Row],[Degradation Factor]])</f>
        <v>19548.652605592892</v>
      </c>
    </row>
    <row r="2229" spans="1:7" ht="15" hidden="1" customHeight="1" x14ac:dyDescent="0.3">
      <c r="A2229" t="s">
        <v>186</v>
      </c>
      <c r="B2229" s="2">
        <v>46204</v>
      </c>
      <c r="C2229" s="52">
        <v>21774.6</v>
      </c>
      <c r="D2229" s="48">
        <f>_xlfn.XLOOKUP(expected_production[[#This Row],[Site Name]],Table1[[Site Name ]],Table1[Commisioned Date],"")</f>
        <v>45531</v>
      </c>
      <c r="E2229" s="47">
        <f>IF(ISNUMBER(expected_production[[#This Row],[Commissioned Date]]),MAX(0,(expected_production[[#This Row],[Date]]-expected_production[[#This Row],[Commissioned Date]])/365.25),"")</f>
        <v>1.8425735797399041</v>
      </c>
      <c r="F2229" s="49">
        <f>IF(expected_production[[#This Row],[Age (yrs)]]="",1,(1-DegradationRate)^expected_production[[#This Row],[Age (yrs)]])</f>
        <v>0.98714003528554917</v>
      </c>
      <c r="G2229" s="52">
        <f>IF(expected_production[[#This Row],[Base Expected (kWh)]]="","",expected_production[[#This Row],[Base Expected (kWh)]]*expected_production[[#This Row],[Degradation Factor]])</f>
        <v>21494.579412328716</v>
      </c>
    </row>
    <row r="2230" spans="1:7" ht="15" hidden="1" customHeight="1" x14ac:dyDescent="0.3">
      <c r="A2230" t="s">
        <v>186</v>
      </c>
      <c r="B2230" s="2">
        <v>46235</v>
      </c>
      <c r="C2230" s="52">
        <v>25973.1</v>
      </c>
      <c r="D2230" s="48">
        <f>_xlfn.XLOOKUP(expected_production[[#This Row],[Site Name]],Table1[[Site Name ]],Table1[Commisioned Date],"")</f>
        <v>45531</v>
      </c>
      <c r="E2230" s="47">
        <f>IF(ISNUMBER(expected_production[[#This Row],[Commissioned Date]]),MAX(0,(expected_production[[#This Row],[Date]]-expected_production[[#This Row],[Commissioned Date]])/365.25),"")</f>
        <v>1.9274469541409993</v>
      </c>
      <c r="F2230" s="49">
        <f>IF(expected_production[[#This Row],[Age (yrs)]]="",1,(1-DegradationRate)^expected_production[[#This Row],[Age (yrs)]])</f>
        <v>0.98655167506703656</v>
      </c>
      <c r="G2230" s="52">
        <f>IF(expected_production[[#This Row],[Base Expected (kWh)]]="","",expected_production[[#This Row],[Base Expected (kWh)]]*expected_production[[#This Row],[Degradation Factor]])</f>
        <v>25623.805311683645</v>
      </c>
    </row>
    <row r="2231" spans="1:7" ht="15" hidden="1" customHeight="1" x14ac:dyDescent="0.3">
      <c r="A2231" t="s">
        <v>186</v>
      </c>
      <c r="B2231" s="2">
        <v>46266</v>
      </c>
      <c r="C2231" s="52">
        <v>28984.5</v>
      </c>
      <c r="D2231" s="48">
        <f>_xlfn.XLOOKUP(expected_production[[#This Row],[Site Name]],Table1[[Site Name ]],Table1[Commisioned Date],"")</f>
        <v>45531</v>
      </c>
      <c r="E2231" s="47">
        <f>IF(ISNUMBER(expected_production[[#This Row],[Commissioned Date]]),MAX(0,(expected_production[[#This Row],[Date]]-expected_production[[#This Row],[Commissioned Date]])/365.25),"")</f>
        <v>2.0123203285420943</v>
      </c>
      <c r="F2231" s="49">
        <f>IF(expected_production[[#This Row],[Age (yrs)]]="",1,(1-DegradationRate)^expected_production[[#This Row],[Age (yrs)]])</f>
        <v>0.98596366552597026</v>
      </c>
      <c r="G2231" s="52">
        <f>IF(expected_production[[#This Row],[Base Expected (kWh)]]="","",expected_production[[#This Row],[Base Expected (kWh)]]*expected_production[[#This Row],[Degradation Factor]])</f>
        <v>28577.663863437483</v>
      </c>
    </row>
    <row r="2232" spans="1:7" ht="15" hidden="1" customHeight="1" x14ac:dyDescent="0.3">
      <c r="A2232" t="s">
        <v>186</v>
      </c>
      <c r="B2232" s="2">
        <v>46296</v>
      </c>
      <c r="C2232" s="52">
        <v>33058.800000000003</v>
      </c>
      <c r="D2232" s="48">
        <f>_xlfn.XLOOKUP(expected_production[[#This Row],[Site Name]],Table1[[Site Name ]],Table1[Commisioned Date],"")</f>
        <v>45531</v>
      </c>
      <c r="E2232" s="47">
        <f>IF(ISNUMBER(expected_production[[#This Row],[Commissioned Date]]),MAX(0,(expected_production[[#This Row],[Date]]-expected_production[[#This Row],[Commissioned Date]])/365.25),"")</f>
        <v>2.0944558521560577</v>
      </c>
      <c r="F2232" s="49">
        <f>IF(expected_production[[#This Row],[Age (yrs)]]="",1,(1-DegradationRate)^expected_production[[#This Row],[Age (yrs)]])</f>
        <v>0.98539495772938412</v>
      </c>
      <c r="G2232" s="52">
        <f>IF(expected_production[[#This Row],[Base Expected (kWh)]]="","",expected_production[[#This Row],[Base Expected (kWh)]]*expected_production[[#This Row],[Degradation Factor]])</f>
        <v>32575.974828584167</v>
      </c>
    </row>
    <row r="2233" spans="1:7" ht="15" hidden="1" customHeight="1" x14ac:dyDescent="0.3">
      <c r="A2233" t="s">
        <v>186</v>
      </c>
      <c r="B2233" s="2">
        <v>46327</v>
      </c>
      <c r="C2233" s="52">
        <v>34366.5</v>
      </c>
      <c r="D2233" s="48">
        <f>_xlfn.XLOOKUP(expected_production[[#This Row],[Site Name]],Table1[[Site Name ]],Table1[Commisioned Date],"")</f>
        <v>45531</v>
      </c>
      <c r="E2233" s="47">
        <f>IF(ISNUMBER(expected_production[[#This Row],[Commissioned Date]]),MAX(0,(expected_production[[#This Row],[Date]]-expected_production[[#This Row],[Commissioned Date]])/365.25),"")</f>
        <v>2.1793292265571527</v>
      </c>
      <c r="F2233" s="49">
        <f>IF(expected_production[[#This Row],[Age (yrs)]]="",1,(1-DegradationRate)^expected_production[[#This Row],[Age (yrs)]])</f>
        <v>0.98480763762086165</v>
      </c>
      <c r="G2233" s="52">
        <f>IF(expected_production[[#This Row],[Base Expected (kWh)]]="","",expected_production[[#This Row],[Base Expected (kWh)]]*expected_production[[#This Row],[Degradation Factor]])</f>
        <v>33844.391678297339</v>
      </c>
    </row>
    <row r="2234" spans="1:7" ht="15" hidden="1" customHeight="1" x14ac:dyDescent="0.3">
      <c r="A2234" t="s">
        <v>186</v>
      </c>
      <c r="B2234" s="2">
        <v>46357</v>
      </c>
      <c r="C2234" s="52">
        <v>36320.400000000001</v>
      </c>
      <c r="D2234" s="48">
        <f>_xlfn.XLOOKUP(expected_production[[#This Row],[Site Name]],Table1[[Site Name ]],Table1[Commisioned Date],"")</f>
        <v>45531</v>
      </c>
      <c r="E2234" s="47">
        <f>IF(ISNUMBER(expected_production[[#This Row],[Commissioned Date]]),MAX(0,(expected_production[[#This Row],[Date]]-expected_production[[#This Row],[Commissioned Date]])/365.25),"")</f>
        <v>2.2614647501711156</v>
      </c>
      <c r="F2234" s="49">
        <f>IF(expected_production[[#This Row],[Age (yrs)]]="",1,(1-DegradationRate)^expected_production[[#This Row],[Age (yrs)]])</f>
        <v>0.98423959662580751</v>
      </c>
      <c r="G2234" s="52">
        <f>IF(expected_production[[#This Row],[Base Expected (kWh)]]="","",expected_production[[#This Row],[Base Expected (kWh)]]*expected_production[[#This Row],[Degradation Factor]])</f>
        <v>35747.975845287983</v>
      </c>
    </row>
    <row r="2235" spans="1:7" ht="15" hidden="1" customHeight="1" x14ac:dyDescent="0.3">
      <c r="A2235" t="s">
        <v>188</v>
      </c>
      <c r="B2235" s="2">
        <v>45292</v>
      </c>
      <c r="C2235" s="52">
        <v>20588.400000000001</v>
      </c>
      <c r="D2235" s="48">
        <f>_xlfn.XLOOKUP(expected_production[[#This Row],[Site Name]],Table1[[Site Name ]],Table1[Commisioned Date],"")</f>
        <v>45540</v>
      </c>
      <c r="E2235" s="47">
        <f>IF(ISNUMBER(expected_production[[#This Row],[Commissioned Date]]),MAX(0,(expected_production[[#This Row],[Date]]-expected_production[[#This Row],[Commissioned Date]])/365.25),"")</f>
        <v>0</v>
      </c>
      <c r="F2235" s="49">
        <f>IF(expected_production[[#This Row],[Age (yrs)]]="",1,(1-DegradationRate)^expected_production[[#This Row],[Age (yrs)]])</f>
        <v>1</v>
      </c>
      <c r="G2235" s="52">
        <f>IF(expected_production[[#This Row],[Base Expected (kWh)]]="","",expected_production[[#This Row],[Base Expected (kWh)]]*expected_production[[#This Row],[Degradation Factor]])</f>
        <v>20588.400000000001</v>
      </c>
    </row>
    <row r="2236" spans="1:7" ht="15" hidden="1" customHeight="1" x14ac:dyDescent="0.3">
      <c r="A2236" t="s">
        <v>188</v>
      </c>
      <c r="B2236" s="2">
        <v>45323</v>
      </c>
      <c r="C2236" s="52">
        <v>17538.3</v>
      </c>
      <c r="D2236" s="48">
        <f>_xlfn.XLOOKUP(expected_production[[#This Row],[Site Name]],Table1[[Site Name ]],Table1[Commisioned Date],"")</f>
        <v>45540</v>
      </c>
      <c r="E2236" s="47">
        <f>IF(ISNUMBER(expected_production[[#This Row],[Commissioned Date]]),MAX(0,(expected_production[[#This Row],[Date]]-expected_production[[#This Row],[Commissioned Date]])/365.25),"")</f>
        <v>0</v>
      </c>
      <c r="F2236" s="49">
        <f>IF(expected_production[[#This Row],[Age (yrs)]]="",1,(1-DegradationRate)^expected_production[[#This Row],[Age (yrs)]])</f>
        <v>1</v>
      </c>
      <c r="G2236" s="52">
        <f>IF(expected_production[[#This Row],[Base Expected (kWh)]]="","",expected_production[[#This Row],[Base Expected (kWh)]]*expected_production[[#This Row],[Degradation Factor]])</f>
        <v>17538.3</v>
      </c>
    </row>
    <row r="2237" spans="1:7" ht="15" hidden="1" customHeight="1" x14ac:dyDescent="0.3">
      <c r="A2237" t="s">
        <v>188</v>
      </c>
      <c r="B2237" s="2">
        <v>45352</v>
      </c>
      <c r="C2237" s="52">
        <v>17897.400000000001</v>
      </c>
      <c r="D2237" s="48">
        <f>_xlfn.XLOOKUP(expected_production[[#This Row],[Site Name]],Table1[[Site Name ]],Table1[Commisioned Date],"")</f>
        <v>45540</v>
      </c>
      <c r="E2237" s="47">
        <f>IF(ISNUMBER(expected_production[[#This Row],[Commissioned Date]]),MAX(0,(expected_production[[#This Row],[Date]]-expected_production[[#This Row],[Commissioned Date]])/365.25),"")</f>
        <v>0</v>
      </c>
      <c r="F2237" s="49">
        <f>IF(expected_production[[#This Row],[Age (yrs)]]="",1,(1-DegradationRate)^expected_production[[#This Row],[Age (yrs)]])</f>
        <v>1</v>
      </c>
      <c r="G2237" s="52">
        <f>IF(expected_production[[#This Row],[Base Expected (kWh)]]="","",expected_production[[#This Row],[Base Expected (kWh)]]*expected_production[[#This Row],[Degradation Factor]])</f>
        <v>17897.400000000001</v>
      </c>
    </row>
    <row r="2238" spans="1:7" ht="15" hidden="1" customHeight="1" x14ac:dyDescent="0.3">
      <c r="A2238" t="s">
        <v>188</v>
      </c>
      <c r="B2238" s="2">
        <v>45383</v>
      </c>
      <c r="C2238" s="52">
        <v>14674.5</v>
      </c>
      <c r="D2238" s="48">
        <f>_xlfn.XLOOKUP(expected_production[[#This Row],[Site Name]],Table1[[Site Name ]],Table1[Commisioned Date],"")</f>
        <v>45540</v>
      </c>
      <c r="E2238" s="47">
        <f>IF(ISNUMBER(expected_production[[#This Row],[Commissioned Date]]),MAX(0,(expected_production[[#This Row],[Date]]-expected_production[[#This Row],[Commissioned Date]])/365.25),"")</f>
        <v>0</v>
      </c>
      <c r="F2238" s="49">
        <f>IF(expected_production[[#This Row],[Age (yrs)]]="",1,(1-DegradationRate)^expected_production[[#This Row],[Age (yrs)]])</f>
        <v>1</v>
      </c>
      <c r="G2238" s="52">
        <f>IF(expected_production[[#This Row],[Base Expected (kWh)]]="","",expected_production[[#This Row],[Base Expected (kWh)]]*expected_production[[#This Row],[Degradation Factor]])</f>
        <v>14674.5</v>
      </c>
    </row>
    <row r="2239" spans="1:7" ht="15" hidden="1" customHeight="1" x14ac:dyDescent="0.3">
      <c r="A2239" t="s">
        <v>188</v>
      </c>
      <c r="B2239" s="2">
        <v>45413</v>
      </c>
      <c r="C2239" s="52">
        <v>13272.3</v>
      </c>
      <c r="D2239" s="48">
        <f>_xlfn.XLOOKUP(expected_production[[#This Row],[Site Name]],Table1[[Site Name ]],Table1[Commisioned Date],"")</f>
        <v>45540</v>
      </c>
      <c r="E2239" s="47">
        <f>IF(ISNUMBER(expected_production[[#This Row],[Commissioned Date]]),MAX(0,(expected_production[[#This Row],[Date]]-expected_production[[#This Row],[Commissioned Date]])/365.25),"")</f>
        <v>0</v>
      </c>
      <c r="F2239" s="49">
        <f>IF(expected_production[[#This Row],[Age (yrs)]]="",1,(1-DegradationRate)^expected_production[[#This Row],[Age (yrs)]])</f>
        <v>1</v>
      </c>
      <c r="G2239" s="52">
        <f>IF(expected_production[[#This Row],[Base Expected (kWh)]]="","",expected_production[[#This Row],[Base Expected (kWh)]]*expected_production[[#This Row],[Degradation Factor]])</f>
        <v>13272.3</v>
      </c>
    </row>
    <row r="2240" spans="1:7" ht="15" hidden="1" customHeight="1" x14ac:dyDescent="0.3">
      <c r="A2240" t="s">
        <v>188</v>
      </c>
      <c r="B2240" s="2">
        <v>45444</v>
      </c>
      <c r="C2240" s="52">
        <v>11571.3</v>
      </c>
      <c r="D2240" s="48">
        <f>_xlfn.XLOOKUP(expected_production[[#This Row],[Site Name]],Table1[[Site Name ]],Table1[Commisioned Date],"")</f>
        <v>45540</v>
      </c>
      <c r="E2240" s="47">
        <f>IF(ISNUMBER(expected_production[[#This Row],[Commissioned Date]]),MAX(0,(expected_production[[#This Row],[Date]]-expected_production[[#This Row],[Commissioned Date]])/365.25),"")</f>
        <v>0</v>
      </c>
      <c r="F2240" s="49">
        <f>IF(expected_production[[#This Row],[Age (yrs)]]="",1,(1-DegradationRate)^expected_production[[#This Row],[Age (yrs)]])</f>
        <v>1</v>
      </c>
      <c r="G2240" s="52">
        <f>IF(expected_production[[#This Row],[Base Expected (kWh)]]="","",expected_production[[#This Row],[Base Expected (kWh)]]*expected_production[[#This Row],[Degradation Factor]])</f>
        <v>11571.3</v>
      </c>
    </row>
    <row r="2241" spans="1:7" ht="15" hidden="1" customHeight="1" x14ac:dyDescent="0.3">
      <c r="A2241" t="s">
        <v>188</v>
      </c>
      <c r="B2241" s="2">
        <v>45474</v>
      </c>
      <c r="C2241" s="52">
        <v>12990.6</v>
      </c>
      <c r="D2241" s="48">
        <f>_xlfn.XLOOKUP(expected_production[[#This Row],[Site Name]],Table1[[Site Name ]],Table1[Commisioned Date],"")</f>
        <v>45540</v>
      </c>
      <c r="E2241" s="47">
        <f>IF(ISNUMBER(expected_production[[#This Row],[Commissioned Date]]),MAX(0,(expected_production[[#This Row],[Date]]-expected_production[[#This Row],[Commissioned Date]])/365.25),"")</f>
        <v>0</v>
      </c>
      <c r="F2241" s="49">
        <f>IF(expected_production[[#This Row],[Age (yrs)]]="",1,(1-DegradationRate)^expected_production[[#This Row],[Age (yrs)]])</f>
        <v>1</v>
      </c>
      <c r="G2241" s="52">
        <f>IF(expected_production[[#This Row],[Base Expected (kWh)]]="","",expected_production[[#This Row],[Base Expected (kWh)]]*expected_production[[#This Row],[Degradation Factor]])</f>
        <v>12990.6</v>
      </c>
    </row>
    <row r="2242" spans="1:7" ht="15" hidden="1" customHeight="1" x14ac:dyDescent="0.3">
      <c r="A2242" t="s">
        <v>188</v>
      </c>
      <c r="B2242" s="2">
        <v>45505</v>
      </c>
      <c r="C2242" s="52">
        <v>15871.5</v>
      </c>
      <c r="D2242" s="48">
        <f>_xlfn.XLOOKUP(expected_production[[#This Row],[Site Name]],Table1[[Site Name ]],Table1[Commisioned Date],"")</f>
        <v>45540</v>
      </c>
      <c r="E2242" s="47">
        <f>IF(ISNUMBER(expected_production[[#This Row],[Commissioned Date]]),MAX(0,(expected_production[[#This Row],[Date]]-expected_production[[#This Row],[Commissioned Date]])/365.25),"")</f>
        <v>0</v>
      </c>
      <c r="F2242" s="49">
        <f>IF(expected_production[[#This Row],[Age (yrs)]]="",1,(1-DegradationRate)^expected_production[[#This Row],[Age (yrs)]])</f>
        <v>1</v>
      </c>
      <c r="G2242" s="52">
        <f>IF(expected_production[[#This Row],[Base Expected (kWh)]]="","",expected_production[[#This Row],[Base Expected (kWh)]]*expected_production[[#This Row],[Degradation Factor]])</f>
        <v>15871.5</v>
      </c>
    </row>
    <row r="2243" spans="1:7" ht="15" hidden="1" customHeight="1" x14ac:dyDescent="0.3">
      <c r="A2243" t="s">
        <v>188</v>
      </c>
      <c r="B2243" s="2">
        <v>45536</v>
      </c>
      <c r="C2243" s="52">
        <v>18317.7</v>
      </c>
      <c r="D2243" s="48">
        <f>_xlfn.XLOOKUP(expected_production[[#This Row],[Site Name]],Table1[[Site Name ]],Table1[Commisioned Date],"")</f>
        <v>45540</v>
      </c>
      <c r="E2243" s="47">
        <f>IF(ISNUMBER(expected_production[[#This Row],[Commissioned Date]]),MAX(0,(expected_production[[#This Row],[Date]]-expected_production[[#This Row],[Commissioned Date]])/365.25),"")</f>
        <v>0</v>
      </c>
      <c r="F2243" s="49">
        <f>IF(expected_production[[#This Row],[Age (yrs)]]="",1,(1-DegradationRate)^expected_production[[#This Row],[Age (yrs)]])</f>
        <v>1</v>
      </c>
      <c r="G2243" s="52">
        <f>IF(expected_production[[#This Row],[Base Expected (kWh)]]="","",expected_production[[#This Row],[Base Expected (kWh)]]*expected_production[[#This Row],[Degradation Factor]])</f>
        <v>18317.7</v>
      </c>
    </row>
    <row r="2244" spans="1:7" ht="15" hidden="1" customHeight="1" x14ac:dyDescent="0.3">
      <c r="A2244" t="s">
        <v>188</v>
      </c>
      <c r="B2244" s="2">
        <v>45566</v>
      </c>
      <c r="C2244" s="52">
        <v>20121.3</v>
      </c>
      <c r="D2244" s="48">
        <f>_xlfn.XLOOKUP(expected_production[[#This Row],[Site Name]],Table1[[Site Name ]],Table1[Commisioned Date],"")</f>
        <v>45540</v>
      </c>
      <c r="E2244" s="47">
        <f>IF(ISNUMBER(expected_production[[#This Row],[Commissioned Date]]),MAX(0,(expected_production[[#This Row],[Date]]-expected_production[[#This Row],[Commissioned Date]])/365.25),"")</f>
        <v>7.1184120465434639E-2</v>
      </c>
      <c r="F2244" s="49">
        <f>IF(expected_production[[#This Row],[Age (yrs)]]="",1,(1-DegradationRate)^expected_production[[#This Row],[Age (yrs)]])</f>
        <v>0.99950008396378676</v>
      </c>
      <c r="G2244" s="52">
        <f>IF(expected_production[[#This Row],[Base Expected (kWh)]]="","",expected_production[[#This Row],[Base Expected (kWh)]]*expected_production[[#This Row],[Degradation Factor]])</f>
        <v>20111.241039460543</v>
      </c>
    </row>
    <row r="2245" spans="1:7" ht="15" hidden="1" customHeight="1" x14ac:dyDescent="0.3">
      <c r="A2245" t="s">
        <v>188</v>
      </c>
      <c r="B2245" s="2">
        <v>45597</v>
      </c>
      <c r="C2245" s="52">
        <v>20573.099999999999</v>
      </c>
      <c r="D2245" s="48">
        <f>_xlfn.XLOOKUP(expected_production[[#This Row],[Site Name]],Table1[[Site Name ]],Table1[Commisioned Date],"")</f>
        <v>45540</v>
      </c>
      <c r="E2245" s="47">
        <f>IF(ISNUMBER(expected_production[[#This Row],[Commissioned Date]]),MAX(0,(expected_production[[#This Row],[Date]]-expected_production[[#This Row],[Commissioned Date]])/365.25),"")</f>
        <v>0.15605749486652978</v>
      </c>
      <c r="F2245" s="49">
        <f>IF(expected_production[[#This Row],[Age (yrs)]]="",1,(1-DegradationRate)^expected_production[[#This Row],[Age (yrs)]])</f>
        <v>0.99890435684627177</v>
      </c>
      <c r="G2245" s="52">
        <f>IF(expected_production[[#This Row],[Base Expected (kWh)]]="","",expected_production[[#This Row],[Base Expected (kWh)]]*expected_production[[#This Row],[Degradation Factor]])</f>
        <v>20550.559223834032</v>
      </c>
    </row>
    <row r="2246" spans="1:7" ht="15" hidden="1" customHeight="1" x14ac:dyDescent="0.3">
      <c r="A2246" t="s">
        <v>188</v>
      </c>
      <c r="B2246" s="2">
        <v>45627</v>
      </c>
      <c r="C2246" s="52">
        <v>21930.3</v>
      </c>
      <c r="D2246" s="48">
        <f>_xlfn.XLOOKUP(expected_production[[#This Row],[Site Name]],Table1[[Site Name ]],Table1[Commisioned Date],"")</f>
        <v>45540</v>
      </c>
      <c r="E2246" s="47">
        <f>IF(ISNUMBER(expected_production[[#This Row],[Commissioned Date]]),MAX(0,(expected_production[[#This Row],[Date]]-expected_production[[#This Row],[Commissioned Date]])/365.25),"")</f>
        <v>0.23819301848049282</v>
      </c>
      <c r="F2246" s="49">
        <f>IF(expected_production[[#This Row],[Age (yrs)]]="",1,(1-DegradationRate)^expected_production[[#This Row],[Age (yrs)]])</f>
        <v>0.99832818480703212</v>
      </c>
      <c r="G2246" s="52">
        <f>IF(expected_production[[#This Row],[Base Expected (kWh)]]="","",expected_production[[#This Row],[Base Expected (kWh)]]*expected_production[[#This Row],[Degradation Factor]])</f>
        <v>21893.636591273655</v>
      </c>
    </row>
    <row r="2247" spans="1:7" ht="15" hidden="1" customHeight="1" x14ac:dyDescent="0.3">
      <c r="A2247" t="s">
        <v>188</v>
      </c>
      <c r="B2247" s="2">
        <v>45658</v>
      </c>
      <c r="C2247" s="52">
        <v>20588.400000000001</v>
      </c>
      <c r="D2247" s="48">
        <f>_xlfn.XLOOKUP(expected_production[[#This Row],[Site Name]],Table1[[Site Name ]],Table1[Commisioned Date],"")</f>
        <v>45540</v>
      </c>
      <c r="E2247" s="47">
        <f>IF(ISNUMBER(expected_production[[#This Row],[Commissioned Date]]),MAX(0,(expected_production[[#This Row],[Date]]-expected_production[[#This Row],[Commissioned Date]])/365.25),"")</f>
        <v>0.32306639288158795</v>
      </c>
      <c r="F2247" s="49">
        <f>IF(expected_production[[#This Row],[Age (yrs)]]="",1,(1-DegradationRate)^expected_production[[#This Row],[Age (yrs)]])</f>
        <v>0.99773315617080582</v>
      </c>
      <c r="G2247" s="52">
        <f>IF(expected_production[[#This Row],[Base Expected (kWh)]]="","",expected_production[[#This Row],[Base Expected (kWh)]]*expected_production[[#This Row],[Degradation Factor]])</f>
        <v>20541.729312507021</v>
      </c>
    </row>
    <row r="2248" spans="1:7" ht="15" hidden="1" customHeight="1" x14ac:dyDescent="0.3">
      <c r="A2248" t="s">
        <v>188</v>
      </c>
      <c r="B2248" s="2">
        <v>45689</v>
      </c>
      <c r="C2248" s="52">
        <v>17538.3</v>
      </c>
      <c r="D2248" s="48">
        <f>_xlfn.XLOOKUP(expected_production[[#This Row],[Site Name]],Table1[[Site Name ]],Table1[Commisioned Date],"")</f>
        <v>45540</v>
      </c>
      <c r="E2248" s="47">
        <f>IF(ISNUMBER(expected_production[[#This Row],[Commissioned Date]]),MAX(0,(expected_production[[#This Row],[Date]]-expected_production[[#This Row],[Commissioned Date]])/365.25),"")</f>
        <v>0.40793976728268311</v>
      </c>
      <c r="F2248" s="49">
        <f>IF(expected_production[[#This Row],[Age (yrs)]]="",1,(1-DegradationRate)^expected_production[[#This Row],[Age (yrs)]])</f>
        <v>0.99713848218657009</v>
      </c>
      <c r="G2248" s="52">
        <f>IF(expected_production[[#This Row],[Base Expected (kWh)]]="","",expected_production[[#This Row],[Base Expected (kWh)]]*expected_production[[#This Row],[Degradation Factor]])</f>
        <v>17488.113842132723</v>
      </c>
    </row>
    <row r="2249" spans="1:7" ht="15" hidden="1" customHeight="1" x14ac:dyDescent="0.3">
      <c r="A2249" t="s">
        <v>188</v>
      </c>
      <c r="B2249" s="2">
        <v>45717</v>
      </c>
      <c r="C2249" s="52">
        <v>17897.400000000001</v>
      </c>
      <c r="D2249" s="48">
        <f>_xlfn.XLOOKUP(expected_production[[#This Row],[Site Name]],Table1[[Site Name ]],Table1[Commisioned Date],"")</f>
        <v>45540</v>
      </c>
      <c r="E2249" s="47">
        <f>IF(ISNUMBER(expected_production[[#This Row],[Commissioned Date]]),MAX(0,(expected_production[[#This Row],[Date]]-expected_production[[#This Row],[Commissioned Date]])/365.25),"")</f>
        <v>0.48459958932238195</v>
      </c>
      <c r="F2249" s="49">
        <f>IF(expected_production[[#This Row],[Age (yrs)]]="",1,(1-DegradationRate)^expected_production[[#This Row],[Age (yrs)]])</f>
        <v>0.99660166195270561</v>
      </c>
      <c r="G2249" s="52">
        <f>IF(expected_production[[#This Row],[Base Expected (kWh)]]="","",expected_production[[#This Row],[Base Expected (kWh)]]*expected_production[[#This Row],[Degradation Factor]])</f>
        <v>17836.578584632356</v>
      </c>
    </row>
    <row r="2250" spans="1:7" ht="15" hidden="1" customHeight="1" x14ac:dyDescent="0.3">
      <c r="A2250" t="s">
        <v>188</v>
      </c>
      <c r="B2250" s="2">
        <v>45748</v>
      </c>
      <c r="C2250" s="52">
        <v>14674.5</v>
      </c>
      <c r="D2250" s="48">
        <f>_xlfn.XLOOKUP(expected_production[[#This Row],[Site Name]],Table1[[Site Name ]],Table1[Commisioned Date],"")</f>
        <v>45540</v>
      </c>
      <c r="E2250" s="47">
        <f>IF(ISNUMBER(expected_production[[#This Row],[Commissioned Date]]),MAX(0,(expected_production[[#This Row],[Date]]-expected_production[[#This Row],[Commissioned Date]])/365.25),"")</f>
        <v>0.56947296372347711</v>
      </c>
      <c r="F2250" s="49">
        <f>IF(expected_production[[#This Row],[Age (yrs)]]="",1,(1-DegradationRate)^expected_production[[#This Row],[Age (yrs)]])</f>
        <v>0.99600766236740168</v>
      </c>
      <c r="G2250" s="52">
        <f>IF(expected_production[[#This Row],[Base Expected (kWh)]]="","",expected_production[[#This Row],[Base Expected (kWh)]]*expected_production[[#This Row],[Degradation Factor]])</f>
        <v>14615.914441410436</v>
      </c>
    </row>
    <row r="2251" spans="1:7" ht="15" hidden="1" customHeight="1" x14ac:dyDescent="0.3">
      <c r="A2251" t="s">
        <v>188</v>
      </c>
      <c r="B2251" s="2">
        <v>45778</v>
      </c>
      <c r="C2251" s="52">
        <v>13272.3</v>
      </c>
      <c r="D2251" s="48">
        <f>_xlfn.XLOOKUP(expected_production[[#This Row],[Site Name]],Table1[[Site Name ]],Table1[Commisioned Date],"")</f>
        <v>45540</v>
      </c>
      <c r="E2251" s="47">
        <f>IF(ISNUMBER(expected_production[[#This Row],[Commissioned Date]]),MAX(0,(expected_production[[#This Row],[Date]]-expected_production[[#This Row],[Commissioned Date]])/365.25),"")</f>
        <v>0.65160848733744015</v>
      </c>
      <c r="F2251" s="49">
        <f>IF(expected_production[[#This Row],[Age (yrs)]]="",1,(1-DegradationRate)^expected_production[[#This Row],[Age (yrs)]])</f>
        <v>0.99543316115315494</v>
      </c>
      <c r="G2251" s="52">
        <f>IF(expected_production[[#This Row],[Base Expected (kWh)]]="","",expected_production[[#This Row],[Base Expected (kWh)]]*expected_production[[#This Row],[Degradation Factor]])</f>
        <v>13211.687544773018</v>
      </c>
    </row>
    <row r="2252" spans="1:7" ht="15" hidden="1" customHeight="1" x14ac:dyDescent="0.3">
      <c r="A2252" t="s">
        <v>188</v>
      </c>
      <c r="B2252" s="2">
        <v>45809</v>
      </c>
      <c r="C2252" s="52">
        <v>11571.3</v>
      </c>
      <c r="D2252" s="48">
        <f>_xlfn.XLOOKUP(expected_production[[#This Row],[Site Name]],Table1[[Site Name ]],Table1[Commisioned Date],"")</f>
        <v>45540</v>
      </c>
      <c r="E2252" s="47">
        <f>IF(ISNUMBER(expected_production[[#This Row],[Commissioned Date]]),MAX(0,(expected_production[[#This Row],[Date]]-expected_production[[#This Row],[Commissioned Date]])/365.25),"")</f>
        <v>0.73648186173853525</v>
      </c>
      <c r="F2252" s="49">
        <f>IF(expected_production[[#This Row],[Age (yrs)]]="",1,(1-DegradationRate)^expected_production[[#This Row],[Age (yrs)]])</f>
        <v>0.99483985802363351</v>
      </c>
      <c r="G2252" s="52">
        <f>IF(expected_production[[#This Row],[Base Expected (kWh)]]="","",expected_production[[#This Row],[Base Expected (kWh)]]*expected_production[[#This Row],[Degradation Factor]])</f>
        <v>11511.590449148869</v>
      </c>
    </row>
    <row r="2253" spans="1:7" ht="15" hidden="1" customHeight="1" x14ac:dyDescent="0.3">
      <c r="A2253" t="s">
        <v>188</v>
      </c>
      <c r="B2253" s="2">
        <v>45839</v>
      </c>
      <c r="C2253" s="52">
        <v>12990.6</v>
      </c>
      <c r="D2253" s="48">
        <f>_xlfn.XLOOKUP(expected_production[[#This Row],[Site Name]],Table1[[Site Name ]],Table1[Commisioned Date],"")</f>
        <v>45540</v>
      </c>
      <c r="E2253" s="47">
        <f>IF(ISNUMBER(expected_production[[#This Row],[Commissioned Date]]),MAX(0,(expected_production[[#This Row],[Date]]-expected_production[[#This Row],[Commissioned Date]])/365.25),"")</f>
        <v>0.81861738535249828</v>
      </c>
      <c r="F2253" s="49">
        <f>IF(expected_production[[#This Row],[Age (yrs)]]="",1,(1-DegradationRate)^expected_production[[#This Row],[Age (yrs)]])</f>
        <v>0.99426603040361594</v>
      </c>
      <c r="G2253" s="52">
        <f>IF(expected_production[[#This Row],[Base Expected (kWh)]]="","",expected_production[[#This Row],[Base Expected (kWh)]]*expected_production[[#This Row],[Degradation Factor]])</f>
        <v>12916.112294561213</v>
      </c>
    </row>
    <row r="2254" spans="1:7" ht="15" hidden="1" customHeight="1" x14ac:dyDescent="0.3">
      <c r="A2254" t="s">
        <v>188</v>
      </c>
      <c r="B2254" s="2">
        <v>45870</v>
      </c>
      <c r="C2254" s="52">
        <v>15871.5</v>
      </c>
      <c r="D2254" s="48">
        <f>_xlfn.XLOOKUP(expected_production[[#This Row],[Site Name]],Table1[[Site Name ]],Table1[Commisioned Date],"")</f>
        <v>45540</v>
      </c>
      <c r="E2254" s="47">
        <f>IF(ISNUMBER(expected_production[[#This Row],[Commissioned Date]]),MAX(0,(expected_production[[#This Row],[Date]]-expected_production[[#This Row],[Commissioned Date]])/365.25),"")</f>
        <v>0.90349075975359339</v>
      </c>
      <c r="F2254" s="49">
        <f>IF(expected_production[[#This Row],[Age (yrs)]]="",1,(1-DegradationRate)^expected_production[[#This Row],[Age (yrs)]])</f>
        <v>0.99367342291329286</v>
      </c>
      <c r="G2254" s="52">
        <f>IF(expected_production[[#This Row],[Base Expected (kWh)]]="","",expected_production[[#This Row],[Base Expected (kWh)]]*expected_production[[#This Row],[Degradation Factor]])</f>
        <v>15771.087731768328</v>
      </c>
    </row>
    <row r="2255" spans="1:7" ht="15" hidden="1" customHeight="1" x14ac:dyDescent="0.3">
      <c r="A2255" t="s">
        <v>188</v>
      </c>
      <c r="B2255" s="2">
        <v>45901</v>
      </c>
      <c r="C2255" s="52">
        <v>18317.7</v>
      </c>
      <c r="D2255" s="48">
        <f>_xlfn.XLOOKUP(expected_production[[#This Row],[Site Name]],Table1[[Site Name ]],Table1[Commisioned Date],"")</f>
        <v>45540</v>
      </c>
      <c r="E2255" s="47">
        <f>IF(ISNUMBER(expected_production[[#This Row],[Commissioned Date]]),MAX(0,(expected_production[[#This Row],[Date]]-expected_production[[#This Row],[Commissioned Date]])/365.25),"")</f>
        <v>0.9883641341546886</v>
      </c>
      <c r="F2255" s="49">
        <f>IF(expected_production[[#This Row],[Age (yrs)]]="",1,(1-DegradationRate)^expected_production[[#This Row],[Age (yrs)]])</f>
        <v>0.99308116863189677</v>
      </c>
      <c r="G2255" s="52">
        <f>IF(expected_production[[#This Row],[Base Expected (kWh)]]="","",expected_production[[#This Row],[Base Expected (kWh)]]*expected_production[[#This Row],[Degradation Factor]])</f>
        <v>18190.962922648498</v>
      </c>
    </row>
    <row r="2256" spans="1:7" ht="15" hidden="1" customHeight="1" x14ac:dyDescent="0.3">
      <c r="A2256" t="s">
        <v>188</v>
      </c>
      <c r="B2256" s="2">
        <v>45931</v>
      </c>
      <c r="C2256" s="52">
        <v>20121.3</v>
      </c>
      <c r="D2256" s="48">
        <f>_xlfn.XLOOKUP(expected_production[[#This Row],[Site Name]],Table1[[Site Name ]],Table1[Commisioned Date],"")</f>
        <v>45540</v>
      </c>
      <c r="E2256" s="47">
        <f>IF(ISNUMBER(expected_production[[#This Row],[Commissioned Date]]),MAX(0,(expected_production[[#This Row],[Date]]-expected_production[[#This Row],[Commissioned Date]])/365.25),"")</f>
        <v>1.0704996577686516</v>
      </c>
      <c r="F2256" s="49">
        <f>IF(expected_production[[#This Row],[Age (yrs)]]="",1,(1-DegradationRate)^expected_production[[#This Row],[Age (yrs)]])</f>
        <v>0.9925083554309736</v>
      </c>
      <c r="G2256" s="52">
        <f>IF(expected_production[[#This Row],[Base Expected (kWh)]]="","",expected_production[[#This Row],[Base Expected (kWh)]]*expected_production[[#This Row],[Degradation Factor]])</f>
        <v>19970.558372133248</v>
      </c>
    </row>
    <row r="2257" spans="1:7" ht="15" hidden="1" customHeight="1" x14ac:dyDescent="0.3">
      <c r="A2257" t="s">
        <v>188</v>
      </c>
      <c r="B2257" s="2">
        <v>45962</v>
      </c>
      <c r="C2257" s="52">
        <v>20573.099999999999</v>
      </c>
      <c r="D2257" s="48">
        <f>_xlfn.XLOOKUP(expected_production[[#This Row],[Site Name]],Table1[[Site Name ]],Table1[Commisioned Date],"")</f>
        <v>45540</v>
      </c>
      <c r="E2257" s="47">
        <f>IF(ISNUMBER(expected_production[[#This Row],[Commissioned Date]]),MAX(0,(expected_production[[#This Row],[Date]]-expected_production[[#This Row],[Commissioned Date]])/365.25),"")</f>
        <v>1.1553730321697468</v>
      </c>
      <c r="F2257" s="49">
        <f>IF(expected_production[[#This Row],[Age (yrs)]]="",1,(1-DegradationRate)^expected_production[[#This Row],[Age (yrs)]])</f>
        <v>0.9919167955590168</v>
      </c>
      <c r="G2257" s="52">
        <f>IF(expected_production[[#This Row],[Base Expected (kWh)]]="","",expected_production[[#This Row],[Base Expected (kWh)]]*expected_production[[#This Row],[Degradation Factor]])</f>
        <v>20406.803426715207</v>
      </c>
    </row>
    <row r="2258" spans="1:7" ht="15" hidden="1" customHeight="1" x14ac:dyDescent="0.3">
      <c r="A2258" t="s">
        <v>188</v>
      </c>
      <c r="B2258" s="2">
        <v>45992</v>
      </c>
      <c r="C2258" s="52">
        <v>21930.3</v>
      </c>
      <c r="D2258" s="48">
        <f>_xlfn.XLOOKUP(expected_production[[#This Row],[Site Name]],Table1[[Site Name ]],Table1[Commisioned Date],"")</f>
        <v>45540</v>
      </c>
      <c r="E2258" s="47">
        <f>IF(ISNUMBER(expected_production[[#This Row],[Commissioned Date]]),MAX(0,(expected_production[[#This Row],[Date]]-expected_production[[#This Row],[Commissioned Date]])/365.25),"")</f>
        <v>1.2375085557837098</v>
      </c>
      <c r="F2258" s="49">
        <f>IF(expected_production[[#This Row],[Age (yrs)]]="",1,(1-DegradationRate)^expected_production[[#This Row],[Age (yrs)]])</f>
        <v>0.99134465397315208</v>
      </c>
      <c r="G2258" s="52">
        <f>IF(expected_production[[#This Row],[Base Expected (kWh)]]="","",expected_production[[#This Row],[Base Expected (kWh)]]*expected_production[[#This Row],[Degradation Factor]])</f>
        <v>21740.485665027416</v>
      </c>
    </row>
    <row r="2259" spans="1:7" ht="15" hidden="1" customHeight="1" x14ac:dyDescent="0.3">
      <c r="A2259" t="s">
        <v>188</v>
      </c>
      <c r="B2259" s="2">
        <v>46023</v>
      </c>
      <c r="C2259" s="52">
        <v>20588.400000000001</v>
      </c>
      <c r="D2259" s="48">
        <f>_xlfn.XLOOKUP(expected_production[[#This Row],[Site Name]],Table1[[Site Name ]],Table1[Commisioned Date],"")</f>
        <v>45540</v>
      </c>
      <c r="E2259" s="47">
        <f>IF(ISNUMBER(expected_production[[#This Row],[Commissioned Date]]),MAX(0,(expected_production[[#This Row],[Date]]-expected_production[[#This Row],[Commissioned Date]])/365.25),"")</f>
        <v>1.322381930184805</v>
      </c>
      <c r="F2259" s="49">
        <f>IF(expected_production[[#This Row],[Age (yrs)]]="",1,(1-DegradationRate)^expected_production[[#This Row],[Age (yrs)]])</f>
        <v>0.99075378769644973</v>
      </c>
      <c r="G2259" s="52">
        <f>IF(expected_production[[#This Row],[Base Expected (kWh)]]="","",expected_production[[#This Row],[Base Expected (kWh)]]*expected_production[[#This Row],[Degradation Factor]])</f>
        <v>20398.035282609588</v>
      </c>
    </row>
    <row r="2260" spans="1:7" ht="15" hidden="1" customHeight="1" x14ac:dyDescent="0.3">
      <c r="A2260" t="s">
        <v>188</v>
      </c>
      <c r="B2260" s="2">
        <v>46054</v>
      </c>
      <c r="C2260" s="52">
        <v>17538.3</v>
      </c>
      <c r="D2260" s="48">
        <f>_xlfn.XLOOKUP(expected_production[[#This Row],[Site Name]],Table1[[Site Name ]],Table1[Commisioned Date],"")</f>
        <v>45540</v>
      </c>
      <c r="E2260" s="47">
        <f>IF(ISNUMBER(expected_production[[#This Row],[Commissioned Date]]),MAX(0,(expected_production[[#This Row],[Date]]-expected_production[[#This Row],[Commissioned Date]])/365.25),"")</f>
        <v>1.4072553045859</v>
      </c>
      <c r="F2260" s="49">
        <f>IF(expected_production[[#This Row],[Age (yrs)]]="",1,(1-DegradationRate)^expected_production[[#This Row],[Age (yrs)]])</f>
        <v>0.99016327359086731</v>
      </c>
      <c r="G2260" s="52">
        <f>IF(expected_production[[#This Row],[Base Expected (kWh)]]="","",expected_production[[#This Row],[Base Expected (kWh)]]*expected_production[[#This Row],[Degradation Factor]])</f>
        <v>17365.780541218708</v>
      </c>
    </row>
    <row r="2261" spans="1:7" ht="15" hidden="1" customHeight="1" x14ac:dyDescent="0.3">
      <c r="A2261" t="s">
        <v>188</v>
      </c>
      <c r="B2261" s="2">
        <v>46082</v>
      </c>
      <c r="C2261" s="52">
        <v>17897.400000000001</v>
      </c>
      <c r="D2261" s="48">
        <f>_xlfn.XLOOKUP(expected_production[[#This Row],[Site Name]],Table1[[Site Name ]],Table1[Commisioned Date],"")</f>
        <v>45540</v>
      </c>
      <c r="E2261" s="47">
        <f>IF(ISNUMBER(expected_production[[#This Row],[Commissioned Date]]),MAX(0,(expected_production[[#This Row],[Date]]-expected_production[[#This Row],[Commissioned Date]])/365.25),"")</f>
        <v>1.483915126625599</v>
      </c>
      <c r="F2261" s="49">
        <f>IF(expected_production[[#This Row],[Age (yrs)]]="",1,(1-DegradationRate)^expected_production[[#This Row],[Age (yrs)]])</f>
        <v>0.989630208535623</v>
      </c>
      <c r="G2261" s="52">
        <f>IF(expected_production[[#This Row],[Base Expected (kWh)]]="","",expected_production[[#This Row],[Base Expected (kWh)]]*expected_production[[#This Row],[Degradation Factor]])</f>
        <v>17711.807694245461</v>
      </c>
    </row>
    <row r="2262" spans="1:7" ht="15" hidden="1" customHeight="1" x14ac:dyDescent="0.3">
      <c r="A2262" t="s">
        <v>188</v>
      </c>
      <c r="B2262" s="2">
        <v>46113</v>
      </c>
      <c r="C2262" s="52">
        <v>14674.5</v>
      </c>
      <c r="D2262" s="48">
        <f>_xlfn.XLOOKUP(expected_production[[#This Row],[Site Name]],Table1[[Site Name ]],Table1[Commisioned Date],"")</f>
        <v>45540</v>
      </c>
      <c r="E2262" s="47">
        <f>IF(ISNUMBER(expected_production[[#This Row],[Commissioned Date]]),MAX(0,(expected_production[[#This Row],[Date]]-expected_production[[#This Row],[Commissioned Date]])/365.25),"")</f>
        <v>1.568788501026694</v>
      </c>
      <c r="F2262" s="49">
        <f>IF(expected_production[[#This Row],[Age (yrs)]]="",1,(1-DegradationRate)^expected_production[[#This Row],[Age (yrs)]])</f>
        <v>0.98904036411139973</v>
      </c>
      <c r="G2262" s="52">
        <f>IF(expected_production[[#This Row],[Base Expected (kWh)]]="","",expected_production[[#This Row],[Base Expected (kWh)]]*expected_production[[#This Row],[Degradation Factor]])</f>
        <v>14513.672823152736</v>
      </c>
    </row>
    <row r="2263" spans="1:7" ht="15" hidden="1" customHeight="1" x14ac:dyDescent="0.3">
      <c r="A2263" t="s">
        <v>188</v>
      </c>
      <c r="B2263" s="2">
        <v>46143</v>
      </c>
      <c r="C2263" s="52">
        <v>13272.3</v>
      </c>
      <c r="D2263" s="48">
        <f>_xlfn.XLOOKUP(expected_production[[#This Row],[Site Name]],Table1[[Site Name ]],Table1[Commisioned Date],"")</f>
        <v>45540</v>
      </c>
      <c r="E2263" s="47">
        <f>IF(ISNUMBER(expected_production[[#This Row],[Commissioned Date]]),MAX(0,(expected_production[[#This Row],[Date]]-expected_production[[#This Row],[Commissioned Date]])/365.25),"")</f>
        <v>1.6509240246406571</v>
      </c>
      <c r="F2263" s="49">
        <f>IF(expected_production[[#This Row],[Age (yrs)]]="",1,(1-DegradationRate)^expected_production[[#This Row],[Age (yrs)]])</f>
        <v>0.98846988166273009</v>
      </c>
      <c r="G2263" s="52">
        <f>IF(expected_production[[#This Row],[Base Expected (kWh)]]="","",expected_production[[#This Row],[Base Expected (kWh)]]*expected_production[[#This Row],[Degradation Factor]])</f>
        <v>13119.268810392252</v>
      </c>
    </row>
    <row r="2264" spans="1:7" ht="15" hidden="1" customHeight="1" x14ac:dyDescent="0.3">
      <c r="A2264" t="s">
        <v>188</v>
      </c>
      <c r="B2264" s="2">
        <v>46174</v>
      </c>
      <c r="C2264" s="52">
        <v>11571.3</v>
      </c>
      <c r="D2264" s="48">
        <f>_xlfn.XLOOKUP(expected_production[[#This Row],[Site Name]],Table1[[Site Name ]],Table1[Commisioned Date],"")</f>
        <v>45540</v>
      </c>
      <c r="E2264" s="47">
        <f>IF(ISNUMBER(expected_production[[#This Row],[Commissioned Date]]),MAX(0,(expected_production[[#This Row],[Date]]-expected_production[[#This Row],[Commissioned Date]])/365.25),"")</f>
        <v>1.7357973990417521</v>
      </c>
      <c r="F2264" s="49">
        <f>IF(expected_production[[#This Row],[Age (yrs)]]="",1,(1-DegradationRate)^expected_production[[#This Row],[Age (yrs)]])</f>
        <v>0.98788072882242417</v>
      </c>
      <c r="G2264" s="52">
        <f>IF(expected_production[[#This Row],[Base Expected (kWh)]]="","",expected_production[[#This Row],[Base Expected (kWh)]]*expected_production[[#This Row],[Degradation Factor]])</f>
        <v>11431.064277422916</v>
      </c>
    </row>
    <row r="2265" spans="1:7" ht="15" hidden="1" customHeight="1" x14ac:dyDescent="0.3">
      <c r="A2265" t="s">
        <v>188</v>
      </c>
      <c r="B2265" s="2">
        <v>46204</v>
      </c>
      <c r="C2265" s="52">
        <v>12990.6</v>
      </c>
      <c r="D2265" s="48">
        <f>_xlfn.XLOOKUP(expected_production[[#This Row],[Site Name]],Table1[[Site Name ]],Table1[Commisioned Date],"")</f>
        <v>45540</v>
      </c>
      <c r="E2265" s="47">
        <f>IF(ISNUMBER(expected_production[[#This Row],[Commissioned Date]]),MAX(0,(expected_production[[#This Row],[Date]]-expected_production[[#This Row],[Commissioned Date]])/365.25),"")</f>
        <v>1.8179329226557153</v>
      </c>
      <c r="F2265" s="49">
        <f>IF(expected_production[[#This Row],[Age (yrs)]]="",1,(1-DegradationRate)^expected_production[[#This Row],[Age (yrs)]])</f>
        <v>0.98731091525604009</v>
      </c>
      <c r="G2265" s="52">
        <f>IF(expected_production[[#This Row],[Base Expected (kWh)]]="","",expected_production[[#This Row],[Base Expected (kWh)]]*expected_production[[#This Row],[Degradation Factor]])</f>
        <v>12825.761175725114</v>
      </c>
    </row>
    <row r="2266" spans="1:7" ht="15" hidden="1" customHeight="1" x14ac:dyDescent="0.3">
      <c r="A2266" t="s">
        <v>188</v>
      </c>
      <c r="B2266" s="2">
        <v>46235</v>
      </c>
      <c r="C2266" s="52">
        <v>15871.5</v>
      </c>
      <c r="D2266" s="48">
        <f>_xlfn.XLOOKUP(expected_production[[#This Row],[Site Name]],Table1[[Site Name ]],Table1[Commisioned Date],"")</f>
        <v>45540</v>
      </c>
      <c r="E2266" s="47">
        <f>IF(ISNUMBER(expected_production[[#This Row],[Commissioned Date]]),MAX(0,(expected_production[[#This Row],[Date]]-expected_production[[#This Row],[Commissioned Date]])/365.25),"")</f>
        <v>1.9028062970568105</v>
      </c>
      <c r="F2266" s="49">
        <f>IF(expected_production[[#This Row],[Age (yrs)]]="",1,(1-DegradationRate)^expected_production[[#This Row],[Age (yrs)]])</f>
        <v>0.98672245318877938</v>
      </c>
      <c r="G2266" s="52">
        <f>IF(expected_production[[#This Row],[Base Expected (kWh)]]="","",expected_production[[#This Row],[Base Expected (kWh)]]*expected_production[[#This Row],[Degradation Factor]])</f>
        <v>15660.765415785712</v>
      </c>
    </row>
    <row r="2267" spans="1:7" ht="15" hidden="1" customHeight="1" x14ac:dyDescent="0.3">
      <c r="A2267" t="s">
        <v>188</v>
      </c>
      <c r="B2267" s="2">
        <v>46266</v>
      </c>
      <c r="C2267" s="52">
        <v>18317.7</v>
      </c>
      <c r="D2267" s="48">
        <f>_xlfn.XLOOKUP(expected_production[[#This Row],[Site Name]],Table1[[Site Name ]],Table1[Commisioned Date],"")</f>
        <v>45540</v>
      </c>
      <c r="E2267" s="47">
        <f>IF(ISNUMBER(expected_production[[#This Row],[Commissioned Date]]),MAX(0,(expected_production[[#This Row],[Date]]-expected_production[[#This Row],[Commissioned Date]])/365.25),"")</f>
        <v>1.9876796714579055</v>
      </c>
      <c r="F2267" s="49">
        <f>IF(expected_production[[#This Row],[Age (yrs)]]="",1,(1-DegradationRate)^expected_production[[#This Row],[Age (yrs)]])</f>
        <v>0.98613434185966942</v>
      </c>
      <c r="G2267" s="52">
        <f>IF(expected_production[[#This Row],[Base Expected (kWh)]]="","",expected_production[[#This Row],[Base Expected (kWh)]]*expected_production[[#This Row],[Degradation Factor]])</f>
        <v>18063.713033882868</v>
      </c>
    </row>
    <row r="2268" spans="1:7" ht="15" hidden="1" customHeight="1" x14ac:dyDescent="0.3">
      <c r="A2268" t="s">
        <v>188</v>
      </c>
      <c r="B2268" s="2">
        <v>46296</v>
      </c>
      <c r="C2268" s="52">
        <v>20121.3</v>
      </c>
      <c r="D2268" s="48">
        <f>_xlfn.XLOOKUP(expected_production[[#This Row],[Site Name]],Table1[[Site Name ]],Table1[Commisioned Date],"")</f>
        <v>45540</v>
      </c>
      <c r="E2268" s="47">
        <f>IF(ISNUMBER(expected_production[[#This Row],[Commissioned Date]]),MAX(0,(expected_production[[#This Row],[Date]]-expected_production[[#This Row],[Commissioned Date]])/365.25),"")</f>
        <v>2.0698151950718686</v>
      </c>
      <c r="F2268" s="49">
        <f>IF(expected_production[[#This Row],[Age (yrs)]]="",1,(1-DegradationRate)^expected_production[[#This Row],[Age (yrs)]])</f>
        <v>0.98556553561628957</v>
      </c>
      <c r="G2268" s="52">
        <f>IF(expected_production[[#This Row],[Base Expected (kWh)]]="","",expected_production[[#This Row],[Base Expected (kWh)]]*expected_production[[#This Row],[Degradation Factor]])</f>
        <v>19830.859811796046</v>
      </c>
    </row>
    <row r="2269" spans="1:7" ht="15" hidden="1" customHeight="1" x14ac:dyDescent="0.3">
      <c r="A2269" t="s">
        <v>188</v>
      </c>
      <c r="B2269" s="2">
        <v>46327</v>
      </c>
      <c r="C2269" s="52">
        <v>20573.099999999999</v>
      </c>
      <c r="D2269" s="48">
        <f>_xlfn.XLOOKUP(expected_production[[#This Row],[Site Name]],Table1[[Site Name ]],Table1[Commisioned Date],"")</f>
        <v>45540</v>
      </c>
      <c r="E2269" s="47">
        <f>IF(ISNUMBER(expected_production[[#This Row],[Commissioned Date]]),MAX(0,(expected_production[[#This Row],[Date]]-expected_production[[#This Row],[Commissioned Date]])/365.25),"")</f>
        <v>2.1546885694729636</v>
      </c>
      <c r="F2269" s="49">
        <f>IF(expected_production[[#This Row],[Age (yrs)]]="",1,(1-DegradationRate)^expected_production[[#This Row],[Age (yrs)]])</f>
        <v>0.9849781138390683</v>
      </c>
      <c r="G2269" s="52">
        <f>IF(expected_production[[#This Row],[Base Expected (kWh)]]="","",expected_production[[#This Row],[Base Expected (kWh)]]*expected_production[[#This Row],[Degradation Factor]])</f>
        <v>20264.053233822535</v>
      </c>
    </row>
    <row r="2270" spans="1:7" ht="15" hidden="1" customHeight="1" x14ac:dyDescent="0.3">
      <c r="A2270" t="s">
        <v>188</v>
      </c>
      <c r="B2270" s="2">
        <v>46357</v>
      </c>
      <c r="C2270" s="52">
        <v>21930.3</v>
      </c>
      <c r="D2270" s="48">
        <f>_xlfn.XLOOKUP(expected_production[[#This Row],[Site Name]],Table1[[Site Name ]],Table1[Commisioned Date],"")</f>
        <v>45540</v>
      </c>
      <c r="E2270" s="47">
        <f>IF(ISNUMBER(expected_production[[#This Row],[Commissioned Date]]),MAX(0,(expected_production[[#This Row],[Date]]-expected_production[[#This Row],[Commissioned Date]])/365.25),"")</f>
        <v>2.236824093086927</v>
      </c>
      <c r="F2270" s="49">
        <f>IF(expected_production[[#This Row],[Age (yrs)]]="",1,(1-DegradationRate)^expected_production[[#This Row],[Age (yrs)]])</f>
        <v>0.98440997451264789</v>
      </c>
      <c r="G2270" s="52">
        <f>IF(expected_production[[#This Row],[Base Expected (kWh)]]="","",expected_production[[#This Row],[Base Expected (kWh)]]*expected_production[[#This Row],[Degradation Factor]])</f>
        <v>21588.406064054721</v>
      </c>
    </row>
    <row r="2271" spans="1:7" ht="15" hidden="1" customHeight="1" x14ac:dyDescent="0.3">
      <c r="A2271" t="s">
        <v>226</v>
      </c>
      <c r="B2271" s="2">
        <v>45292</v>
      </c>
      <c r="C2271" s="52">
        <v>30721.5</v>
      </c>
      <c r="D2271" s="48">
        <f>_xlfn.XLOOKUP(expected_production[[#This Row],[Site Name]],Table1[[Site Name ]],Table1[Commisioned Date],"")</f>
        <v>45992</v>
      </c>
      <c r="E2271" s="47">
        <f>IF(ISNUMBER(expected_production[[#This Row],[Commissioned Date]]),MAX(0,(expected_production[[#This Row],[Date]]-expected_production[[#This Row],[Commissioned Date]])/365.25),"")</f>
        <v>0</v>
      </c>
      <c r="F2271" s="49">
        <f>IF(expected_production[[#This Row],[Age (yrs)]]="",1,(1-DegradationRate)^expected_production[[#This Row],[Age (yrs)]])</f>
        <v>1</v>
      </c>
      <c r="G2271" s="52">
        <f>IF(expected_production[[#This Row],[Base Expected (kWh)]]="","",expected_production[[#This Row],[Base Expected (kWh)]]*expected_production[[#This Row],[Degradation Factor]])</f>
        <v>30721.5</v>
      </c>
    </row>
    <row r="2272" spans="1:7" ht="15" hidden="1" customHeight="1" x14ac:dyDescent="0.3">
      <c r="A2272" t="s">
        <v>226</v>
      </c>
      <c r="B2272" s="2">
        <v>45323</v>
      </c>
      <c r="C2272" s="52">
        <v>24282.9</v>
      </c>
      <c r="D2272" s="48">
        <f>_xlfn.XLOOKUP(expected_production[[#This Row],[Site Name]],Table1[[Site Name ]],Table1[Commisioned Date],"")</f>
        <v>45992</v>
      </c>
      <c r="E2272" s="47">
        <f>IF(ISNUMBER(expected_production[[#This Row],[Commissioned Date]]),MAX(0,(expected_production[[#This Row],[Date]]-expected_production[[#This Row],[Commissioned Date]])/365.25),"")</f>
        <v>0</v>
      </c>
      <c r="F2272" s="49">
        <f>IF(expected_production[[#This Row],[Age (yrs)]]="",1,(1-DegradationRate)^expected_production[[#This Row],[Age (yrs)]])</f>
        <v>1</v>
      </c>
      <c r="G2272" s="52">
        <f>IF(expected_production[[#This Row],[Base Expected (kWh)]]="","",expected_production[[#This Row],[Base Expected (kWh)]]*expected_production[[#This Row],[Degradation Factor]])</f>
        <v>24282.9</v>
      </c>
    </row>
    <row r="2273" spans="1:7" ht="15" hidden="1" customHeight="1" x14ac:dyDescent="0.3">
      <c r="A2273" t="s">
        <v>226</v>
      </c>
      <c r="B2273" s="2">
        <v>45352</v>
      </c>
      <c r="C2273" s="52">
        <v>24146.1</v>
      </c>
      <c r="D2273" s="48">
        <f>_xlfn.XLOOKUP(expected_production[[#This Row],[Site Name]],Table1[[Site Name ]],Table1[Commisioned Date],"")</f>
        <v>45992</v>
      </c>
      <c r="E2273" s="47">
        <f>IF(ISNUMBER(expected_production[[#This Row],[Commissioned Date]]),MAX(0,(expected_production[[#This Row],[Date]]-expected_production[[#This Row],[Commissioned Date]])/365.25),"")</f>
        <v>0</v>
      </c>
      <c r="F2273" s="49">
        <f>IF(expected_production[[#This Row],[Age (yrs)]]="",1,(1-DegradationRate)^expected_production[[#This Row],[Age (yrs)]])</f>
        <v>1</v>
      </c>
      <c r="G2273" s="52">
        <f>IF(expected_production[[#This Row],[Base Expected (kWh)]]="","",expected_production[[#This Row],[Base Expected (kWh)]]*expected_production[[#This Row],[Degradation Factor]])</f>
        <v>24146.1</v>
      </c>
    </row>
    <row r="2274" spans="1:7" ht="15" hidden="1" customHeight="1" x14ac:dyDescent="0.3">
      <c r="A2274" t="s">
        <v>226</v>
      </c>
      <c r="B2274" s="2">
        <v>45383</v>
      </c>
      <c r="C2274" s="52">
        <v>18389.7</v>
      </c>
      <c r="D2274" s="48">
        <f>_xlfn.XLOOKUP(expected_production[[#This Row],[Site Name]],Table1[[Site Name ]],Table1[Commisioned Date],"")</f>
        <v>45992</v>
      </c>
      <c r="E2274" s="47">
        <f>IF(ISNUMBER(expected_production[[#This Row],[Commissioned Date]]),MAX(0,(expected_production[[#This Row],[Date]]-expected_production[[#This Row],[Commissioned Date]])/365.25),"")</f>
        <v>0</v>
      </c>
      <c r="F2274" s="49">
        <f>IF(expected_production[[#This Row],[Age (yrs)]]="",1,(1-DegradationRate)^expected_production[[#This Row],[Age (yrs)]])</f>
        <v>1</v>
      </c>
      <c r="G2274" s="52">
        <f>IF(expected_production[[#This Row],[Base Expected (kWh)]]="","",expected_production[[#This Row],[Base Expected (kWh)]]*expected_production[[#This Row],[Degradation Factor]])</f>
        <v>18389.7</v>
      </c>
    </row>
    <row r="2275" spans="1:7" ht="15" hidden="1" customHeight="1" x14ac:dyDescent="0.3">
      <c r="A2275" t="s">
        <v>226</v>
      </c>
      <c r="B2275" s="2">
        <v>45413</v>
      </c>
      <c r="C2275" s="52">
        <v>18961.2</v>
      </c>
      <c r="D2275" s="48">
        <f>_xlfn.XLOOKUP(expected_production[[#This Row],[Site Name]],Table1[[Site Name ]],Table1[Commisioned Date],"")</f>
        <v>45992</v>
      </c>
      <c r="E2275" s="47">
        <f>IF(ISNUMBER(expected_production[[#This Row],[Commissioned Date]]),MAX(0,(expected_production[[#This Row],[Date]]-expected_production[[#This Row],[Commissioned Date]])/365.25),"")</f>
        <v>0</v>
      </c>
      <c r="F2275" s="49">
        <f>IF(expected_production[[#This Row],[Age (yrs)]]="",1,(1-DegradationRate)^expected_production[[#This Row],[Age (yrs)]])</f>
        <v>1</v>
      </c>
      <c r="G2275" s="52">
        <f>IF(expected_production[[#This Row],[Base Expected (kWh)]]="","",expected_production[[#This Row],[Base Expected (kWh)]]*expected_production[[#This Row],[Degradation Factor]])</f>
        <v>18961.2</v>
      </c>
    </row>
    <row r="2276" spans="1:7" ht="15" hidden="1" customHeight="1" x14ac:dyDescent="0.3">
      <c r="A2276" t="s">
        <v>226</v>
      </c>
      <c r="B2276" s="2">
        <v>45444</v>
      </c>
      <c r="C2276" s="52">
        <v>15280.2</v>
      </c>
      <c r="D2276" s="48">
        <f>_xlfn.XLOOKUP(expected_production[[#This Row],[Site Name]],Table1[[Site Name ]],Table1[Commisioned Date],"")</f>
        <v>45992</v>
      </c>
      <c r="E2276" s="47">
        <f>IF(ISNUMBER(expected_production[[#This Row],[Commissioned Date]]),MAX(0,(expected_production[[#This Row],[Date]]-expected_production[[#This Row],[Commissioned Date]])/365.25),"")</f>
        <v>0</v>
      </c>
      <c r="F2276" s="49">
        <f>IF(expected_production[[#This Row],[Age (yrs)]]="",1,(1-DegradationRate)^expected_production[[#This Row],[Age (yrs)]])</f>
        <v>1</v>
      </c>
      <c r="G2276" s="52">
        <f>IF(expected_production[[#This Row],[Base Expected (kWh)]]="","",expected_production[[#This Row],[Base Expected (kWh)]]*expected_production[[#This Row],[Degradation Factor]])</f>
        <v>15280.2</v>
      </c>
    </row>
    <row r="2277" spans="1:7" ht="15" hidden="1" customHeight="1" x14ac:dyDescent="0.3">
      <c r="A2277" t="s">
        <v>226</v>
      </c>
      <c r="B2277" s="2">
        <v>45474</v>
      </c>
      <c r="C2277" s="52">
        <v>17361.900000000001</v>
      </c>
      <c r="D2277" s="48">
        <f>_xlfn.XLOOKUP(expected_production[[#This Row],[Site Name]],Table1[[Site Name ]],Table1[Commisioned Date],"")</f>
        <v>45992</v>
      </c>
      <c r="E2277" s="47">
        <f>IF(ISNUMBER(expected_production[[#This Row],[Commissioned Date]]),MAX(0,(expected_production[[#This Row],[Date]]-expected_production[[#This Row],[Commissioned Date]])/365.25),"")</f>
        <v>0</v>
      </c>
      <c r="F2277" s="49">
        <f>IF(expected_production[[#This Row],[Age (yrs)]]="",1,(1-DegradationRate)^expected_production[[#This Row],[Age (yrs)]])</f>
        <v>1</v>
      </c>
      <c r="G2277" s="52">
        <f>IF(expected_production[[#This Row],[Base Expected (kWh)]]="","",expected_production[[#This Row],[Base Expected (kWh)]]*expected_production[[#This Row],[Degradation Factor]])</f>
        <v>17361.900000000001</v>
      </c>
    </row>
    <row r="2278" spans="1:7" ht="15" hidden="1" customHeight="1" x14ac:dyDescent="0.3">
      <c r="A2278" t="s">
        <v>226</v>
      </c>
      <c r="B2278" s="2">
        <v>45505</v>
      </c>
      <c r="C2278" s="52">
        <v>19303.2</v>
      </c>
      <c r="D2278" s="48">
        <f>_xlfn.XLOOKUP(expected_production[[#This Row],[Site Name]],Table1[[Site Name ]],Table1[Commisioned Date],"")</f>
        <v>45992</v>
      </c>
      <c r="E2278" s="47">
        <f>IF(ISNUMBER(expected_production[[#This Row],[Commissioned Date]]),MAX(0,(expected_production[[#This Row],[Date]]-expected_production[[#This Row],[Commissioned Date]])/365.25),"")</f>
        <v>0</v>
      </c>
      <c r="F2278" s="49">
        <f>IF(expected_production[[#This Row],[Age (yrs)]]="",1,(1-DegradationRate)^expected_production[[#This Row],[Age (yrs)]])</f>
        <v>1</v>
      </c>
      <c r="G2278" s="52">
        <f>IF(expected_production[[#This Row],[Base Expected (kWh)]]="","",expected_production[[#This Row],[Base Expected (kWh)]]*expected_production[[#This Row],[Degradation Factor]])</f>
        <v>19303.2</v>
      </c>
    </row>
    <row r="2279" spans="1:7" ht="15" hidden="1" customHeight="1" x14ac:dyDescent="0.3">
      <c r="A2279" t="s">
        <v>226</v>
      </c>
      <c r="B2279" s="2">
        <v>45536</v>
      </c>
      <c r="C2279" s="52">
        <v>18141.3</v>
      </c>
      <c r="D2279" s="48">
        <f>_xlfn.XLOOKUP(expected_production[[#This Row],[Site Name]],Table1[[Site Name ]],Table1[Commisioned Date],"")</f>
        <v>45992</v>
      </c>
      <c r="E2279" s="47">
        <f>IF(ISNUMBER(expected_production[[#This Row],[Commissioned Date]]),MAX(0,(expected_production[[#This Row],[Date]]-expected_production[[#This Row],[Commissioned Date]])/365.25),"")</f>
        <v>0</v>
      </c>
      <c r="F2279" s="49">
        <f>IF(expected_production[[#This Row],[Age (yrs)]]="",1,(1-DegradationRate)^expected_production[[#This Row],[Age (yrs)]])</f>
        <v>1</v>
      </c>
      <c r="G2279" s="52">
        <f>IF(expected_production[[#This Row],[Base Expected (kWh)]]="","",expected_production[[#This Row],[Base Expected (kWh)]]*expected_production[[#This Row],[Degradation Factor]])</f>
        <v>18141.3</v>
      </c>
    </row>
    <row r="2280" spans="1:7" ht="15" hidden="1" customHeight="1" x14ac:dyDescent="0.3">
      <c r="A2280" t="s">
        <v>226</v>
      </c>
      <c r="B2280" s="2">
        <v>45566</v>
      </c>
      <c r="C2280" s="52">
        <v>22548.6</v>
      </c>
      <c r="D2280" s="48">
        <f>_xlfn.XLOOKUP(expected_production[[#This Row],[Site Name]],Table1[[Site Name ]],Table1[Commisioned Date],"")</f>
        <v>45992</v>
      </c>
      <c r="E2280" s="47">
        <f>IF(ISNUMBER(expected_production[[#This Row],[Commissioned Date]]),MAX(0,(expected_production[[#This Row],[Date]]-expected_production[[#This Row],[Commissioned Date]])/365.25),"")</f>
        <v>0</v>
      </c>
      <c r="F2280" s="49">
        <f>IF(expected_production[[#This Row],[Age (yrs)]]="",1,(1-DegradationRate)^expected_production[[#This Row],[Age (yrs)]])</f>
        <v>1</v>
      </c>
      <c r="G2280" s="52">
        <f>IF(expected_production[[#This Row],[Base Expected (kWh)]]="","",expected_production[[#This Row],[Base Expected (kWh)]]*expected_production[[#This Row],[Degradation Factor]])</f>
        <v>22548.6</v>
      </c>
    </row>
    <row r="2281" spans="1:7" ht="15" hidden="1" customHeight="1" x14ac:dyDescent="0.3">
      <c r="A2281" t="s">
        <v>226</v>
      </c>
      <c r="B2281" s="2">
        <v>45597</v>
      </c>
      <c r="C2281" s="52">
        <v>22923.9</v>
      </c>
      <c r="D2281" s="48">
        <f>_xlfn.XLOOKUP(expected_production[[#This Row],[Site Name]],Table1[[Site Name ]],Table1[Commisioned Date],"")</f>
        <v>45992</v>
      </c>
      <c r="E2281" s="47">
        <f>IF(ISNUMBER(expected_production[[#This Row],[Commissioned Date]]),MAX(0,(expected_production[[#This Row],[Date]]-expected_production[[#This Row],[Commissioned Date]])/365.25),"")</f>
        <v>0</v>
      </c>
      <c r="F2281" s="49">
        <f>IF(expected_production[[#This Row],[Age (yrs)]]="",1,(1-DegradationRate)^expected_production[[#This Row],[Age (yrs)]])</f>
        <v>1</v>
      </c>
      <c r="G2281" s="52">
        <f>IF(expected_production[[#This Row],[Base Expected (kWh)]]="","",expected_production[[#This Row],[Base Expected (kWh)]]*expected_production[[#This Row],[Degradation Factor]])</f>
        <v>22923.9</v>
      </c>
    </row>
    <row r="2282" spans="1:7" ht="15" hidden="1" customHeight="1" x14ac:dyDescent="0.3">
      <c r="A2282" t="s">
        <v>226</v>
      </c>
      <c r="B2282" s="2">
        <v>45627</v>
      </c>
      <c r="C2282" s="52">
        <v>28392.3</v>
      </c>
      <c r="D2282" s="48">
        <f>_xlfn.XLOOKUP(expected_production[[#This Row],[Site Name]],Table1[[Site Name ]],Table1[Commisioned Date],"")</f>
        <v>45992</v>
      </c>
      <c r="E2282" s="47">
        <f>IF(ISNUMBER(expected_production[[#This Row],[Commissioned Date]]),MAX(0,(expected_production[[#This Row],[Date]]-expected_production[[#This Row],[Commissioned Date]])/365.25),"")</f>
        <v>0</v>
      </c>
      <c r="F2282" s="49">
        <f>IF(expected_production[[#This Row],[Age (yrs)]]="",1,(1-DegradationRate)^expected_production[[#This Row],[Age (yrs)]])</f>
        <v>1</v>
      </c>
      <c r="G2282" s="52">
        <f>IF(expected_production[[#This Row],[Base Expected (kWh)]]="","",expected_production[[#This Row],[Base Expected (kWh)]]*expected_production[[#This Row],[Degradation Factor]])</f>
        <v>28392.3</v>
      </c>
    </row>
    <row r="2283" spans="1:7" ht="15" hidden="1" customHeight="1" x14ac:dyDescent="0.3">
      <c r="A2283" t="s">
        <v>226</v>
      </c>
      <c r="B2283" s="2">
        <v>45658</v>
      </c>
      <c r="C2283" s="52">
        <v>30721.5</v>
      </c>
      <c r="D2283" s="48">
        <f>_xlfn.XLOOKUP(expected_production[[#This Row],[Site Name]],Table1[[Site Name ]],Table1[Commisioned Date],"")</f>
        <v>45992</v>
      </c>
      <c r="E2283" s="47">
        <f>IF(ISNUMBER(expected_production[[#This Row],[Commissioned Date]]),MAX(0,(expected_production[[#This Row],[Date]]-expected_production[[#This Row],[Commissioned Date]])/365.25),"")</f>
        <v>0</v>
      </c>
      <c r="F2283" s="49">
        <f>IF(expected_production[[#This Row],[Age (yrs)]]="",1,(1-DegradationRate)^expected_production[[#This Row],[Age (yrs)]])</f>
        <v>1</v>
      </c>
      <c r="G2283" s="52">
        <f>IF(expected_production[[#This Row],[Base Expected (kWh)]]="","",expected_production[[#This Row],[Base Expected (kWh)]]*expected_production[[#This Row],[Degradation Factor]])</f>
        <v>30721.5</v>
      </c>
    </row>
    <row r="2284" spans="1:7" ht="15" hidden="1" customHeight="1" x14ac:dyDescent="0.3">
      <c r="A2284" t="s">
        <v>226</v>
      </c>
      <c r="B2284" s="2">
        <v>45689</v>
      </c>
      <c r="C2284" s="52">
        <v>24282.9</v>
      </c>
      <c r="D2284" s="48">
        <f>_xlfn.XLOOKUP(expected_production[[#This Row],[Site Name]],Table1[[Site Name ]],Table1[Commisioned Date],"")</f>
        <v>45992</v>
      </c>
      <c r="E2284" s="47">
        <f>IF(ISNUMBER(expected_production[[#This Row],[Commissioned Date]]),MAX(0,(expected_production[[#This Row],[Date]]-expected_production[[#This Row],[Commissioned Date]])/365.25),"")</f>
        <v>0</v>
      </c>
      <c r="F2284" s="49">
        <f>IF(expected_production[[#This Row],[Age (yrs)]]="",1,(1-DegradationRate)^expected_production[[#This Row],[Age (yrs)]])</f>
        <v>1</v>
      </c>
      <c r="G2284" s="52">
        <f>IF(expected_production[[#This Row],[Base Expected (kWh)]]="","",expected_production[[#This Row],[Base Expected (kWh)]]*expected_production[[#This Row],[Degradation Factor]])</f>
        <v>24282.9</v>
      </c>
    </row>
    <row r="2285" spans="1:7" ht="15" hidden="1" customHeight="1" x14ac:dyDescent="0.3">
      <c r="A2285" t="s">
        <v>226</v>
      </c>
      <c r="B2285" s="2">
        <v>45717</v>
      </c>
      <c r="C2285" s="52">
        <v>24146.1</v>
      </c>
      <c r="D2285" s="48">
        <f>_xlfn.XLOOKUP(expected_production[[#This Row],[Site Name]],Table1[[Site Name ]],Table1[Commisioned Date],"")</f>
        <v>45992</v>
      </c>
      <c r="E2285" s="47">
        <f>IF(ISNUMBER(expected_production[[#This Row],[Commissioned Date]]),MAX(0,(expected_production[[#This Row],[Date]]-expected_production[[#This Row],[Commissioned Date]])/365.25),"")</f>
        <v>0</v>
      </c>
      <c r="F2285" s="49">
        <f>IF(expected_production[[#This Row],[Age (yrs)]]="",1,(1-DegradationRate)^expected_production[[#This Row],[Age (yrs)]])</f>
        <v>1</v>
      </c>
      <c r="G2285" s="52">
        <f>IF(expected_production[[#This Row],[Base Expected (kWh)]]="","",expected_production[[#This Row],[Base Expected (kWh)]]*expected_production[[#This Row],[Degradation Factor]])</f>
        <v>24146.1</v>
      </c>
    </row>
    <row r="2286" spans="1:7" ht="15" hidden="1" customHeight="1" x14ac:dyDescent="0.3">
      <c r="A2286" t="s">
        <v>226</v>
      </c>
      <c r="B2286" s="2">
        <v>45748</v>
      </c>
      <c r="C2286" s="52">
        <v>18389.7</v>
      </c>
      <c r="D2286" s="48">
        <f>_xlfn.XLOOKUP(expected_production[[#This Row],[Site Name]],Table1[[Site Name ]],Table1[Commisioned Date],"")</f>
        <v>45992</v>
      </c>
      <c r="E2286" s="47">
        <f>IF(ISNUMBER(expected_production[[#This Row],[Commissioned Date]]),MAX(0,(expected_production[[#This Row],[Date]]-expected_production[[#This Row],[Commissioned Date]])/365.25),"")</f>
        <v>0</v>
      </c>
      <c r="F2286" s="49">
        <f>IF(expected_production[[#This Row],[Age (yrs)]]="",1,(1-DegradationRate)^expected_production[[#This Row],[Age (yrs)]])</f>
        <v>1</v>
      </c>
      <c r="G2286" s="52">
        <f>IF(expected_production[[#This Row],[Base Expected (kWh)]]="","",expected_production[[#This Row],[Base Expected (kWh)]]*expected_production[[#This Row],[Degradation Factor]])</f>
        <v>18389.7</v>
      </c>
    </row>
    <row r="2287" spans="1:7" ht="15" hidden="1" customHeight="1" x14ac:dyDescent="0.3">
      <c r="A2287" t="s">
        <v>226</v>
      </c>
      <c r="B2287" s="2">
        <v>45778</v>
      </c>
      <c r="C2287" s="52">
        <v>18961.2</v>
      </c>
      <c r="D2287" s="48">
        <f>_xlfn.XLOOKUP(expected_production[[#This Row],[Site Name]],Table1[[Site Name ]],Table1[Commisioned Date],"")</f>
        <v>45992</v>
      </c>
      <c r="E2287" s="47">
        <f>IF(ISNUMBER(expected_production[[#This Row],[Commissioned Date]]),MAX(0,(expected_production[[#This Row],[Date]]-expected_production[[#This Row],[Commissioned Date]])/365.25),"")</f>
        <v>0</v>
      </c>
      <c r="F2287" s="49">
        <f>IF(expected_production[[#This Row],[Age (yrs)]]="",1,(1-DegradationRate)^expected_production[[#This Row],[Age (yrs)]])</f>
        <v>1</v>
      </c>
      <c r="G2287" s="52">
        <f>IF(expected_production[[#This Row],[Base Expected (kWh)]]="","",expected_production[[#This Row],[Base Expected (kWh)]]*expected_production[[#This Row],[Degradation Factor]])</f>
        <v>18961.2</v>
      </c>
    </row>
    <row r="2288" spans="1:7" ht="15" hidden="1" customHeight="1" x14ac:dyDescent="0.3">
      <c r="A2288" t="s">
        <v>226</v>
      </c>
      <c r="B2288" s="2">
        <v>45809</v>
      </c>
      <c r="C2288" s="52">
        <v>15280.2</v>
      </c>
      <c r="D2288" s="48">
        <f>_xlfn.XLOOKUP(expected_production[[#This Row],[Site Name]],Table1[[Site Name ]],Table1[Commisioned Date],"")</f>
        <v>45992</v>
      </c>
      <c r="E2288" s="47">
        <f>IF(ISNUMBER(expected_production[[#This Row],[Commissioned Date]]),MAX(0,(expected_production[[#This Row],[Date]]-expected_production[[#This Row],[Commissioned Date]])/365.25),"")</f>
        <v>0</v>
      </c>
      <c r="F2288" s="49">
        <f>IF(expected_production[[#This Row],[Age (yrs)]]="",1,(1-DegradationRate)^expected_production[[#This Row],[Age (yrs)]])</f>
        <v>1</v>
      </c>
      <c r="G2288" s="52">
        <f>IF(expected_production[[#This Row],[Base Expected (kWh)]]="","",expected_production[[#This Row],[Base Expected (kWh)]]*expected_production[[#This Row],[Degradation Factor]])</f>
        <v>15280.2</v>
      </c>
    </row>
    <row r="2289" spans="1:7" ht="15" hidden="1" customHeight="1" x14ac:dyDescent="0.3">
      <c r="A2289" t="s">
        <v>226</v>
      </c>
      <c r="B2289" s="2">
        <v>45839</v>
      </c>
      <c r="C2289" s="52">
        <v>17361.900000000001</v>
      </c>
      <c r="D2289" s="48">
        <f>_xlfn.XLOOKUP(expected_production[[#This Row],[Site Name]],Table1[[Site Name ]],Table1[Commisioned Date],"")</f>
        <v>45992</v>
      </c>
      <c r="E2289" s="47">
        <f>IF(ISNUMBER(expected_production[[#This Row],[Commissioned Date]]),MAX(0,(expected_production[[#This Row],[Date]]-expected_production[[#This Row],[Commissioned Date]])/365.25),"")</f>
        <v>0</v>
      </c>
      <c r="F2289" s="49">
        <f>IF(expected_production[[#This Row],[Age (yrs)]]="",1,(1-DegradationRate)^expected_production[[#This Row],[Age (yrs)]])</f>
        <v>1</v>
      </c>
      <c r="G2289" s="52">
        <f>IF(expected_production[[#This Row],[Base Expected (kWh)]]="","",expected_production[[#This Row],[Base Expected (kWh)]]*expected_production[[#This Row],[Degradation Factor]])</f>
        <v>17361.900000000001</v>
      </c>
    </row>
    <row r="2290" spans="1:7" ht="15" hidden="1" customHeight="1" x14ac:dyDescent="0.3">
      <c r="A2290" t="s">
        <v>226</v>
      </c>
      <c r="B2290" s="2">
        <v>45870</v>
      </c>
      <c r="C2290" s="52">
        <v>19303.2</v>
      </c>
      <c r="D2290" s="48">
        <f>_xlfn.XLOOKUP(expected_production[[#This Row],[Site Name]],Table1[[Site Name ]],Table1[Commisioned Date],"")</f>
        <v>45992</v>
      </c>
      <c r="E2290" s="47">
        <f>IF(ISNUMBER(expected_production[[#This Row],[Commissioned Date]]),MAX(0,(expected_production[[#This Row],[Date]]-expected_production[[#This Row],[Commissioned Date]])/365.25),"")</f>
        <v>0</v>
      </c>
      <c r="F2290" s="49">
        <f>IF(expected_production[[#This Row],[Age (yrs)]]="",1,(1-DegradationRate)^expected_production[[#This Row],[Age (yrs)]])</f>
        <v>1</v>
      </c>
      <c r="G2290" s="52">
        <f>IF(expected_production[[#This Row],[Base Expected (kWh)]]="","",expected_production[[#This Row],[Base Expected (kWh)]]*expected_production[[#This Row],[Degradation Factor]])</f>
        <v>19303.2</v>
      </c>
    </row>
    <row r="2291" spans="1:7" ht="15" hidden="1" customHeight="1" x14ac:dyDescent="0.3">
      <c r="A2291" t="s">
        <v>226</v>
      </c>
      <c r="B2291" s="2">
        <v>45901</v>
      </c>
      <c r="C2291" s="52">
        <v>18141.3</v>
      </c>
      <c r="D2291" s="48">
        <f>_xlfn.XLOOKUP(expected_production[[#This Row],[Site Name]],Table1[[Site Name ]],Table1[Commisioned Date],"")</f>
        <v>45992</v>
      </c>
      <c r="E2291" s="47">
        <f>IF(ISNUMBER(expected_production[[#This Row],[Commissioned Date]]),MAX(0,(expected_production[[#This Row],[Date]]-expected_production[[#This Row],[Commissioned Date]])/365.25),"")</f>
        <v>0</v>
      </c>
      <c r="F2291" s="49">
        <f>IF(expected_production[[#This Row],[Age (yrs)]]="",1,(1-DegradationRate)^expected_production[[#This Row],[Age (yrs)]])</f>
        <v>1</v>
      </c>
      <c r="G2291" s="52">
        <f>IF(expected_production[[#This Row],[Base Expected (kWh)]]="","",expected_production[[#This Row],[Base Expected (kWh)]]*expected_production[[#This Row],[Degradation Factor]])</f>
        <v>18141.3</v>
      </c>
    </row>
    <row r="2292" spans="1:7" ht="15" hidden="1" customHeight="1" x14ac:dyDescent="0.3">
      <c r="A2292" t="s">
        <v>226</v>
      </c>
      <c r="B2292" s="2">
        <v>45931</v>
      </c>
      <c r="C2292" s="52">
        <v>22548.6</v>
      </c>
      <c r="D2292" s="48">
        <f>_xlfn.XLOOKUP(expected_production[[#This Row],[Site Name]],Table1[[Site Name ]],Table1[Commisioned Date],"")</f>
        <v>45992</v>
      </c>
      <c r="E2292" s="47">
        <f>IF(ISNUMBER(expected_production[[#This Row],[Commissioned Date]]),MAX(0,(expected_production[[#This Row],[Date]]-expected_production[[#This Row],[Commissioned Date]])/365.25),"")</f>
        <v>0</v>
      </c>
      <c r="F2292" s="49">
        <f>IF(expected_production[[#This Row],[Age (yrs)]]="",1,(1-DegradationRate)^expected_production[[#This Row],[Age (yrs)]])</f>
        <v>1</v>
      </c>
      <c r="G2292" s="52">
        <f>IF(expected_production[[#This Row],[Base Expected (kWh)]]="","",expected_production[[#This Row],[Base Expected (kWh)]]*expected_production[[#This Row],[Degradation Factor]])</f>
        <v>22548.6</v>
      </c>
    </row>
    <row r="2293" spans="1:7" ht="15" hidden="1" customHeight="1" x14ac:dyDescent="0.3">
      <c r="A2293" t="s">
        <v>226</v>
      </c>
      <c r="B2293" s="2">
        <v>45962</v>
      </c>
      <c r="C2293" s="52">
        <v>22923.9</v>
      </c>
      <c r="D2293" s="48">
        <f>_xlfn.XLOOKUP(expected_production[[#This Row],[Site Name]],Table1[[Site Name ]],Table1[Commisioned Date],"")</f>
        <v>45992</v>
      </c>
      <c r="E2293" s="47">
        <f>IF(ISNUMBER(expected_production[[#This Row],[Commissioned Date]]),MAX(0,(expected_production[[#This Row],[Date]]-expected_production[[#This Row],[Commissioned Date]])/365.25),"")</f>
        <v>0</v>
      </c>
      <c r="F2293" s="49">
        <f>IF(expected_production[[#This Row],[Age (yrs)]]="",1,(1-DegradationRate)^expected_production[[#This Row],[Age (yrs)]])</f>
        <v>1</v>
      </c>
      <c r="G2293" s="52">
        <f>IF(expected_production[[#This Row],[Base Expected (kWh)]]="","",expected_production[[#This Row],[Base Expected (kWh)]]*expected_production[[#This Row],[Degradation Factor]])</f>
        <v>22923.9</v>
      </c>
    </row>
    <row r="2294" spans="1:7" ht="15" hidden="1" customHeight="1" x14ac:dyDescent="0.3">
      <c r="A2294" t="s">
        <v>226</v>
      </c>
      <c r="B2294" s="2">
        <v>45992</v>
      </c>
      <c r="C2294" s="52">
        <v>28392.3</v>
      </c>
      <c r="D2294" s="48">
        <f>_xlfn.XLOOKUP(expected_production[[#This Row],[Site Name]],Table1[[Site Name ]],Table1[Commisioned Date],"")</f>
        <v>45992</v>
      </c>
      <c r="E2294" s="47">
        <f>IF(ISNUMBER(expected_production[[#This Row],[Commissioned Date]]),MAX(0,(expected_production[[#This Row],[Date]]-expected_production[[#This Row],[Commissioned Date]])/365.25),"")</f>
        <v>0</v>
      </c>
      <c r="F2294" s="49">
        <f>IF(expected_production[[#This Row],[Age (yrs)]]="",1,(1-DegradationRate)^expected_production[[#This Row],[Age (yrs)]])</f>
        <v>1</v>
      </c>
      <c r="G2294" s="52">
        <f>IF(expected_production[[#This Row],[Base Expected (kWh)]]="","",expected_production[[#This Row],[Base Expected (kWh)]]*expected_production[[#This Row],[Degradation Factor]])</f>
        <v>28392.3</v>
      </c>
    </row>
    <row r="2295" spans="1:7" ht="15" hidden="1" customHeight="1" x14ac:dyDescent="0.3">
      <c r="A2295" t="s">
        <v>226</v>
      </c>
      <c r="B2295" s="2">
        <v>46023</v>
      </c>
      <c r="C2295" s="52">
        <v>30721.5</v>
      </c>
      <c r="D2295" s="48">
        <f>_xlfn.XLOOKUP(expected_production[[#This Row],[Site Name]],Table1[[Site Name ]],Table1[Commisioned Date],"")</f>
        <v>45992</v>
      </c>
      <c r="E2295" s="47">
        <f>IF(ISNUMBER(expected_production[[#This Row],[Commissioned Date]]),MAX(0,(expected_production[[#This Row],[Date]]-expected_production[[#This Row],[Commissioned Date]])/365.25),"")</f>
        <v>8.4873374401095145E-2</v>
      </c>
      <c r="F2295" s="49">
        <f>IF(expected_production[[#This Row],[Age (yrs)]]="",1,(1-DegradationRate)^expected_production[[#This Row],[Age (yrs)]])</f>
        <v>0.99940397491998956</v>
      </c>
      <c r="G2295" s="52">
        <f>IF(expected_production[[#This Row],[Base Expected (kWh)]]="","",expected_production[[#This Row],[Base Expected (kWh)]]*expected_production[[#This Row],[Degradation Factor]])</f>
        <v>30703.189215504459</v>
      </c>
    </row>
    <row r="2296" spans="1:7" ht="15" hidden="1" customHeight="1" x14ac:dyDescent="0.3">
      <c r="A2296" t="s">
        <v>226</v>
      </c>
      <c r="B2296" s="2">
        <v>46054</v>
      </c>
      <c r="C2296" s="52">
        <v>24282.9</v>
      </c>
      <c r="D2296" s="48">
        <f>_xlfn.XLOOKUP(expected_production[[#This Row],[Site Name]],Table1[[Site Name ]],Table1[Commisioned Date],"")</f>
        <v>45992</v>
      </c>
      <c r="E2296" s="47">
        <f>IF(ISNUMBER(expected_production[[#This Row],[Commissioned Date]]),MAX(0,(expected_production[[#This Row],[Date]]-expected_production[[#This Row],[Commissioned Date]])/365.25),"")</f>
        <v>0.16974674880219029</v>
      </c>
      <c r="F2296" s="49">
        <f>IF(expected_production[[#This Row],[Age (yrs)]]="",1,(1-DegradationRate)^expected_production[[#This Row],[Age (yrs)]])</f>
        <v>0.99880830508587504</v>
      </c>
      <c r="G2296" s="52">
        <f>IF(expected_production[[#This Row],[Base Expected (kWh)]]="","",expected_production[[#This Row],[Base Expected (kWh)]]*expected_production[[#This Row],[Degradation Factor]])</f>
        <v>24253.962191569797</v>
      </c>
    </row>
    <row r="2297" spans="1:7" ht="15" hidden="1" customHeight="1" x14ac:dyDescent="0.3">
      <c r="A2297" t="s">
        <v>226</v>
      </c>
      <c r="B2297" s="2">
        <v>46082</v>
      </c>
      <c r="C2297" s="52">
        <v>24146.1</v>
      </c>
      <c r="D2297" s="48">
        <f>_xlfn.XLOOKUP(expected_production[[#This Row],[Site Name]],Table1[[Site Name ]],Table1[Commisioned Date],"")</f>
        <v>45992</v>
      </c>
      <c r="E2297" s="47">
        <f>IF(ISNUMBER(expected_production[[#This Row],[Commissioned Date]]),MAX(0,(expected_production[[#This Row],[Date]]-expected_production[[#This Row],[Commissioned Date]])/365.25),"")</f>
        <v>0.24640657084188911</v>
      </c>
      <c r="F2297" s="49">
        <f>IF(expected_production[[#This Row],[Age (yrs)]]="",1,(1-DegradationRate)^expected_production[[#This Row],[Age (yrs)]])</f>
        <v>0.99827058588488082</v>
      </c>
      <c r="G2297" s="52">
        <f>IF(expected_production[[#This Row],[Base Expected (kWh)]]="","",expected_production[[#This Row],[Base Expected (kWh)]]*expected_production[[#This Row],[Degradation Factor]])</f>
        <v>24104.341393834919</v>
      </c>
    </row>
    <row r="2298" spans="1:7" ht="15" hidden="1" customHeight="1" x14ac:dyDescent="0.3">
      <c r="A2298" t="s">
        <v>226</v>
      </c>
      <c r="B2298" s="2">
        <v>46113</v>
      </c>
      <c r="C2298" s="52">
        <v>18389.7</v>
      </c>
      <c r="D2298" s="48">
        <f>_xlfn.XLOOKUP(expected_production[[#This Row],[Site Name]],Table1[[Site Name ]],Table1[Commisioned Date],"")</f>
        <v>45992</v>
      </c>
      <c r="E2298" s="47">
        <f>IF(ISNUMBER(expected_production[[#This Row],[Commissioned Date]]),MAX(0,(expected_production[[#This Row],[Date]]-expected_production[[#This Row],[Commissioned Date]])/365.25),"")</f>
        <v>0.33127994524298426</v>
      </c>
      <c r="F2298" s="49">
        <f>IF(expected_production[[#This Row],[Age (yrs)]]="",1,(1-DegradationRate)^expected_production[[#This Row],[Age (yrs)]])</f>
        <v>0.99767559157905672</v>
      </c>
      <c r="G2298" s="52">
        <f>IF(expected_production[[#This Row],[Base Expected (kWh)]]="","",expected_production[[#This Row],[Base Expected (kWh)]]*expected_production[[#This Row],[Degradation Factor]])</f>
        <v>18346.95482646138</v>
      </c>
    </row>
    <row r="2299" spans="1:7" ht="15" hidden="1" customHeight="1" x14ac:dyDescent="0.3">
      <c r="A2299" t="s">
        <v>226</v>
      </c>
      <c r="B2299" s="2">
        <v>46143</v>
      </c>
      <c r="C2299" s="52">
        <v>18961.2</v>
      </c>
      <c r="D2299" s="48">
        <f>_xlfn.XLOOKUP(expected_production[[#This Row],[Site Name]],Table1[[Site Name ]],Table1[Commisioned Date],"")</f>
        <v>45992</v>
      </c>
      <c r="E2299" s="47">
        <f>IF(ISNUMBER(expected_production[[#This Row],[Commissioned Date]]),MAX(0,(expected_production[[#This Row],[Date]]-expected_production[[#This Row],[Commissioned Date]])/365.25),"")</f>
        <v>0.4134154688569473</v>
      </c>
      <c r="F2299" s="49">
        <f>IF(expected_production[[#This Row],[Age (yrs)]]="",1,(1-DegradationRate)^expected_production[[#This Row],[Age (yrs)]])</f>
        <v>0.99710012829655126</v>
      </c>
      <c r="G2299" s="52">
        <f>IF(expected_production[[#This Row],[Base Expected (kWh)]]="","",expected_production[[#This Row],[Base Expected (kWh)]]*expected_production[[#This Row],[Degradation Factor]])</f>
        <v>18906.21495265657</v>
      </c>
    </row>
    <row r="2300" spans="1:7" ht="15" hidden="1" customHeight="1" x14ac:dyDescent="0.3">
      <c r="A2300" t="s">
        <v>226</v>
      </c>
      <c r="B2300" s="2">
        <v>46174</v>
      </c>
      <c r="C2300" s="52">
        <v>15280.2</v>
      </c>
      <c r="D2300" s="48">
        <f>_xlfn.XLOOKUP(expected_production[[#This Row],[Site Name]],Table1[[Site Name ]],Table1[Commisioned Date],"")</f>
        <v>45992</v>
      </c>
      <c r="E2300" s="47">
        <f>IF(ISNUMBER(expected_production[[#This Row],[Commissioned Date]]),MAX(0,(expected_production[[#This Row],[Date]]-expected_production[[#This Row],[Commissioned Date]])/365.25),"")</f>
        <v>0.49828884325804246</v>
      </c>
      <c r="F2300" s="49">
        <f>IF(expected_production[[#This Row],[Age (yrs)]]="",1,(1-DegradationRate)^expected_production[[#This Row],[Age (yrs)]])</f>
        <v>0.99650583161280493</v>
      </c>
      <c r="G2300" s="52">
        <f>IF(expected_production[[#This Row],[Base Expected (kWh)]]="","",expected_production[[#This Row],[Base Expected (kWh)]]*expected_production[[#This Row],[Degradation Factor]])</f>
        <v>15226.808408209983</v>
      </c>
    </row>
    <row r="2301" spans="1:7" ht="15" hidden="1" customHeight="1" x14ac:dyDescent="0.3">
      <c r="A2301" t="s">
        <v>226</v>
      </c>
      <c r="B2301" s="2">
        <v>46204</v>
      </c>
      <c r="C2301" s="52">
        <v>17361.900000000001</v>
      </c>
      <c r="D2301" s="48">
        <f>_xlfn.XLOOKUP(expected_production[[#This Row],[Site Name]],Table1[[Site Name ]],Table1[Commisioned Date],"")</f>
        <v>45992</v>
      </c>
      <c r="E2301" s="47">
        <f>IF(ISNUMBER(expected_production[[#This Row],[Commissioned Date]]),MAX(0,(expected_production[[#This Row],[Date]]-expected_production[[#This Row],[Commissioned Date]])/365.25),"")</f>
        <v>0.58042436687200549</v>
      </c>
      <c r="F2301" s="49">
        <f>IF(expected_production[[#This Row],[Age (yrs)]]="",1,(1-DegradationRate)^expected_production[[#This Row],[Age (yrs)]])</f>
        <v>0.99593104305253943</v>
      </c>
      <c r="G2301" s="52">
        <f>IF(expected_production[[#This Row],[Base Expected (kWh)]]="","",expected_production[[#This Row],[Base Expected (kWh)]]*expected_production[[#This Row],[Degradation Factor]])</f>
        <v>17291.255176373885</v>
      </c>
    </row>
    <row r="2302" spans="1:7" ht="15" hidden="1" customHeight="1" x14ac:dyDescent="0.3">
      <c r="A2302" t="s">
        <v>226</v>
      </c>
      <c r="B2302" s="2">
        <v>46235</v>
      </c>
      <c r="C2302" s="52">
        <v>19303.2</v>
      </c>
      <c r="D2302" s="48">
        <f>_xlfn.XLOOKUP(expected_production[[#This Row],[Site Name]],Table1[[Site Name ]],Table1[Commisioned Date],"")</f>
        <v>45992</v>
      </c>
      <c r="E2302" s="47">
        <f>IF(ISNUMBER(expected_production[[#This Row],[Commissioned Date]]),MAX(0,(expected_production[[#This Row],[Date]]-expected_production[[#This Row],[Commissioned Date]])/365.25),"")</f>
        <v>0.6652977412731006</v>
      </c>
      <c r="F2302" s="49">
        <f>IF(expected_production[[#This Row],[Age (yrs)]]="",1,(1-DegradationRate)^expected_production[[#This Row],[Age (yrs)]])</f>
        <v>0.99533744317291917</v>
      </c>
      <c r="G2302" s="52">
        <f>IF(expected_production[[#This Row],[Base Expected (kWh)]]="","",expected_production[[#This Row],[Base Expected (kWh)]]*expected_production[[#This Row],[Degradation Factor]])</f>
        <v>19213.197733055495</v>
      </c>
    </row>
    <row r="2303" spans="1:7" ht="15" hidden="1" customHeight="1" x14ac:dyDescent="0.3">
      <c r="A2303" t="s">
        <v>226</v>
      </c>
      <c r="B2303" s="2">
        <v>46266</v>
      </c>
      <c r="C2303" s="52">
        <v>18141.3</v>
      </c>
      <c r="D2303" s="48">
        <f>_xlfn.XLOOKUP(expected_production[[#This Row],[Site Name]],Table1[[Site Name ]],Table1[Commisioned Date],"")</f>
        <v>45992</v>
      </c>
      <c r="E2303" s="47">
        <f>IF(ISNUMBER(expected_production[[#This Row],[Commissioned Date]]),MAX(0,(expected_production[[#This Row],[Date]]-expected_production[[#This Row],[Commissioned Date]])/365.25),"")</f>
        <v>0.75017111567419581</v>
      </c>
      <c r="F2303" s="49">
        <f>IF(expected_production[[#This Row],[Age (yrs)]]="",1,(1-DegradationRate)^expected_production[[#This Row],[Age (yrs)]])</f>
        <v>0.99474419709371464</v>
      </c>
      <c r="G2303" s="52">
        <f>IF(expected_production[[#This Row],[Base Expected (kWh)]]="","",expected_production[[#This Row],[Base Expected (kWh)]]*expected_production[[#This Row],[Degradation Factor]])</f>
        <v>18045.952902736204</v>
      </c>
    </row>
    <row r="2304" spans="1:7" ht="15" hidden="1" customHeight="1" x14ac:dyDescent="0.3">
      <c r="A2304" t="s">
        <v>226</v>
      </c>
      <c r="B2304" s="2">
        <v>46296</v>
      </c>
      <c r="C2304" s="52">
        <v>22548.6</v>
      </c>
      <c r="D2304" s="48">
        <f>_xlfn.XLOOKUP(expected_production[[#This Row],[Site Name]],Table1[[Site Name ]],Table1[Commisioned Date],"")</f>
        <v>45992</v>
      </c>
      <c r="E2304" s="47">
        <f>IF(ISNUMBER(expected_production[[#This Row],[Commissioned Date]]),MAX(0,(expected_production[[#This Row],[Date]]-expected_production[[#This Row],[Commissioned Date]])/365.25),"")</f>
        <v>0.83230663928815884</v>
      </c>
      <c r="F2304" s="49">
        <f>IF(expected_production[[#This Row],[Age (yrs)]]="",1,(1-DegradationRate)^expected_production[[#This Row],[Age (yrs)]])</f>
        <v>0.99417042465130501</v>
      </c>
      <c r="G2304" s="52">
        <f>IF(expected_production[[#This Row],[Base Expected (kWh)]]="","",expected_production[[#This Row],[Base Expected (kWh)]]*expected_production[[#This Row],[Degradation Factor]])</f>
        <v>22417.151237292415</v>
      </c>
    </row>
    <row r="2305" spans="1:7" ht="15" hidden="1" customHeight="1" x14ac:dyDescent="0.3">
      <c r="A2305" t="s">
        <v>226</v>
      </c>
      <c r="B2305" s="2">
        <v>46327</v>
      </c>
      <c r="C2305" s="52">
        <v>22923.9</v>
      </c>
      <c r="D2305" s="48">
        <f>_xlfn.XLOOKUP(expected_production[[#This Row],[Site Name]],Table1[[Site Name ]],Table1[Commisioned Date],"")</f>
        <v>45992</v>
      </c>
      <c r="E2305" s="47">
        <f>IF(ISNUMBER(expected_production[[#This Row],[Commissioned Date]]),MAX(0,(expected_production[[#This Row],[Date]]-expected_production[[#This Row],[Commissioned Date]])/365.25),"")</f>
        <v>0.91718001368925395</v>
      </c>
      <c r="F2305" s="49">
        <f>IF(expected_production[[#This Row],[Age (yrs)]]="",1,(1-DegradationRate)^expected_production[[#This Row],[Age (yrs)]])</f>
        <v>0.99357787414440824</v>
      </c>
      <c r="G2305" s="52">
        <f>IF(expected_production[[#This Row],[Base Expected (kWh)]]="","",expected_production[[#This Row],[Base Expected (kWh)]]*expected_production[[#This Row],[Degradation Factor]])</f>
        <v>22776.679829099001</v>
      </c>
    </row>
    <row r="2306" spans="1:7" ht="15" hidden="1" customHeight="1" x14ac:dyDescent="0.3">
      <c r="A2306" t="s">
        <v>226</v>
      </c>
      <c r="B2306" s="2">
        <v>46357</v>
      </c>
      <c r="C2306" s="52">
        <v>28392.3</v>
      </c>
      <c r="D2306" s="48">
        <f>_xlfn.XLOOKUP(expected_production[[#This Row],[Site Name]],Table1[[Site Name ]],Table1[Commisioned Date],"")</f>
        <v>45992</v>
      </c>
      <c r="E2306" s="47">
        <f>IF(ISNUMBER(expected_production[[#This Row],[Commissioned Date]]),MAX(0,(expected_production[[#This Row],[Date]]-expected_production[[#This Row],[Commissioned Date]])/365.25),"")</f>
        <v>0.99931553730321698</v>
      </c>
      <c r="F2306" s="49">
        <f>IF(expected_production[[#This Row],[Age (yrs)]]="",1,(1-DegradationRate)^expected_production[[#This Row],[Age (yrs)]])</f>
        <v>0.99300477444175339</v>
      </c>
      <c r="G2306" s="52">
        <f>IF(expected_production[[#This Row],[Base Expected (kWh)]]="","",expected_production[[#This Row],[Base Expected (kWh)]]*expected_production[[#This Row],[Degradation Factor]])</f>
        <v>28193.689457382596</v>
      </c>
    </row>
    <row r="2307" spans="1:7" ht="15" hidden="1" customHeight="1" x14ac:dyDescent="0.3">
      <c r="A2307" t="s">
        <v>208</v>
      </c>
      <c r="B2307" s="2">
        <v>45292</v>
      </c>
      <c r="C2307" s="52">
        <v>18584.099999999999</v>
      </c>
      <c r="D2307" s="48">
        <f>_xlfn.XLOOKUP(expected_production[[#This Row],[Site Name]],Table1[[Site Name ]],Table1[Commisioned Date],"")</f>
        <v>45748</v>
      </c>
      <c r="E2307" s="47">
        <f>IF(ISNUMBER(expected_production[[#This Row],[Commissioned Date]]),MAX(0,(expected_production[[#This Row],[Date]]-expected_production[[#This Row],[Commissioned Date]])/365.25),"")</f>
        <v>0</v>
      </c>
      <c r="F2307" s="49">
        <f>IF(expected_production[[#This Row],[Age (yrs)]]="",1,(1-DegradationRate)^expected_production[[#This Row],[Age (yrs)]])</f>
        <v>1</v>
      </c>
      <c r="G2307" s="52">
        <f>IF(expected_production[[#This Row],[Base Expected (kWh)]]="","",expected_production[[#This Row],[Base Expected (kWh)]]*expected_production[[#This Row],[Degradation Factor]])</f>
        <v>18584.099999999999</v>
      </c>
    </row>
    <row r="2308" spans="1:7" ht="15" hidden="1" customHeight="1" x14ac:dyDescent="0.3">
      <c r="A2308" t="s">
        <v>208</v>
      </c>
      <c r="B2308" s="2">
        <v>45323</v>
      </c>
      <c r="C2308" s="52">
        <v>16101.9</v>
      </c>
      <c r="D2308" s="48">
        <f>_xlfn.XLOOKUP(expected_production[[#This Row],[Site Name]],Table1[[Site Name ]],Table1[Commisioned Date],"")</f>
        <v>45748</v>
      </c>
      <c r="E2308" s="47">
        <f>IF(ISNUMBER(expected_production[[#This Row],[Commissioned Date]]),MAX(0,(expected_production[[#This Row],[Date]]-expected_production[[#This Row],[Commissioned Date]])/365.25),"")</f>
        <v>0</v>
      </c>
      <c r="F2308" s="49">
        <f>IF(expected_production[[#This Row],[Age (yrs)]]="",1,(1-DegradationRate)^expected_production[[#This Row],[Age (yrs)]])</f>
        <v>1</v>
      </c>
      <c r="G2308" s="52">
        <f>IF(expected_production[[#This Row],[Base Expected (kWh)]]="","",expected_production[[#This Row],[Base Expected (kWh)]]*expected_production[[#This Row],[Degradation Factor]])</f>
        <v>16101.9</v>
      </c>
    </row>
    <row r="2309" spans="1:7" ht="15" hidden="1" customHeight="1" x14ac:dyDescent="0.3">
      <c r="A2309" t="s">
        <v>208</v>
      </c>
      <c r="B2309" s="2">
        <v>45352</v>
      </c>
      <c r="C2309" s="52">
        <v>15901.2</v>
      </c>
      <c r="D2309" s="48">
        <f>_xlfn.XLOOKUP(expected_production[[#This Row],[Site Name]],Table1[[Site Name ]],Table1[Commisioned Date],"")</f>
        <v>45748</v>
      </c>
      <c r="E2309" s="47">
        <f>IF(ISNUMBER(expected_production[[#This Row],[Commissioned Date]]),MAX(0,(expected_production[[#This Row],[Date]]-expected_production[[#This Row],[Commissioned Date]])/365.25),"")</f>
        <v>0</v>
      </c>
      <c r="F2309" s="49">
        <f>IF(expected_production[[#This Row],[Age (yrs)]]="",1,(1-DegradationRate)^expected_production[[#This Row],[Age (yrs)]])</f>
        <v>1</v>
      </c>
      <c r="G2309" s="52">
        <f>IF(expected_production[[#This Row],[Base Expected (kWh)]]="","",expected_production[[#This Row],[Base Expected (kWh)]]*expected_production[[#This Row],[Degradation Factor]])</f>
        <v>15901.2</v>
      </c>
    </row>
    <row r="2310" spans="1:7" ht="15" hidden="1" customHeight="1" x14ac:dyDescent="0.3">
      <c r="A2310" t="s">
        <v>208</v>
      </c>
      <c r="B2310" s="2">
        <v>45383</v>
      </c>
      <c r="C2310" s="52">
        <v>13660.2</v>
      </c>
      <c r="D2310" s="48">
        <f>_xlfn.XLOOKUP(expected_production[[#This Row],[Site Name]],Table1[[Site Name ]],Table1[Commisioned Date],"")</f>
        <v>45748</v>
      </c>
      <c r="E2310" s="47">
        <f>IF(ISNUMBER(expected_production[[#This Row],[Commissioned Date]]),MAX(0,(expected_production[[#This Row],[Date]]-expected_production[[#This Row],[Commissioned Date]])/365.25),"")</f>
        <v>0</v>
      </c>
      <c r="F2310" s="49">
        <f>IF(expected_production[[#This Row],[Age (yrs)]]="",1,(1-DegradationRate)^expected_production[[#This Row],[Age (yrs)]])</f>
        <v>1</v>
      </c>
      <c r="G2310" s="52">
        <f>IF(expected_production[[#This Row],[Base Expected (kWh)]]="","",expected_production[[#This Row],[Base Expected (kWh)]]*expected_production[[#This Row],[Degradation Factor]])</f>
        <v>13660.2</v>
      </c>
    </row>
    <row r="2311" spans="1:7" ht="15" hidden="1" customHeight="1" x14ac:dyDescent="0.3">
      <c r="A2311" t="s">
        <v>208</v>
      </c>
      <c r="B2311" s="2">
        <v>45413</v>
      </c>
      <c r="C2311" s="52">
        <v>12620.7</v>
      </c>
      <c r="D2311" s="48">
        <f>_xlfn.XLOOKUP(expected_production[[#This Row],[Site Name]],Table1[[Site Name ]],Table1[Commisioned Date],"")</f>
        <v>45748</v>
      </c>
      <c r="E2311" s="47">
        <f>IF(ISNUMBER(expected_production[[#This Row],[Commissioned Date]]),MAX(0,(expected_production[[#This Row],[Date]]-expected_production[[#This Row],[Commissioned Date]])/365.25),"")</f>
        <v>0</v>
      </c>
      <c r="F2311" s="49">
        <f>IF(expected_production[[#This Row],[Age (yrs)]]="",1,(1-DegradationRate)^expected_production[[#This Row],[Age (yrs)]])</f>
        <v>1</v>
      </c>
      <c r="G2311" s="52">
        <f>IF(expected_production[[#This Row],[Base Expected (kWh)]]="","",expected_production[[#This Row],[Base Expected (kWh)]]*expected_production[[#This Row],[Degradation Factor]])</f>
        <v>12620.7</v>
      </c>
    </row>
    <row r="2312" spans="1:7" ht="15" hidden="1" customHeight="1" x14ac:dyDescent="0.3">
      <c r="A2312" t="s">
        <v>208</v>
      </c>
      <c r="B2312" s="2">
        <v>45444</v>
      </c>
      <c r="C2312" s="52">
        <v>11094.3</v>
      </c>
      <c r="D2312" s="48">
        <f>_xlfn.XLOOKUP(expected_production[[#This Row],[Site Name]],Table1[[Site Name ]],Table1[Commisioned Date],"")</f>
        <v>45748</v>
      </c>
      <c r="E2312" s="47">
        <f>IF(ISNUMBER(expected_production[[#This Row],[Commissioned Date]]),MAX(0,(expected_production[[#This Row],[Date]]-expected_production[[#This Row],[Commissioned Date]])/365.25),"")</f>
        <v>0</v>
      </c>
      <c r="F2312" s="49">
        <f>IF(expected_production[[#This Row],[Age (yrs)]]="",1,(1-DegradationRate)^expected_production[[#This Row],[Age (yrs)]])</f>
        <v>1</v>
      </c>
      <c r="G2312" s="52">
        <f>IF(expected_production[[#This Row],[Base Expected (kWh)]]="","",expected_production[[#This Row],[Base Expected (kWh)]]*expected_production[[#This Row],[Degradation Factor]])</f>
        <v>11094.3</v>
      </c>
    </row>
    <row r="2313" spans="1:7" ht="15" hidden="1" customHeight="1" x14ac:dyDescent="0.3">
      <c r="A2313" t="s">
        <v>208</v>
      </c>
      <c r="B2313" s="2">
        <v>45474</v>
      </c>
      <c r="C2313" s="52">
        <v>12367.8</v>
      </c>
      <c r="D2313" s="48">
        <f>_xlfn.XLOOKUP(expected_production[[#This Row],[Site Name]],Table1[[Site Name ]],Table1[Commisioned Date],"")</f>
        <v>45748</v>
      </c>
      <c r="E2313" s="47">
        <f>IF(ISNUMBER(expected_production[[#This Row],[Commissioned Date]]),MAX(0,(expected_production[[#This Row],[Date]]-expected_production[[#This Row],[Commissioned Date]])/365.25),"")</f>
        <v>0</v>
      </c>
      <c r="F2313" s="49">
        <f>IF(expected_production[[#This Row],[Age (yrs)]]="",1,(1-DegradationRate)^expected_production[[#This Row],[Age (yrs)]])</f>
        <v>1</v>
      </c>
      <c r="G2313" s="52">
        <f>IF(expected_production[[#This Row],[Base Expected (kWh)]]="","",expected_production[[#This Row],[Base Expected (kWh)]]*expected_production[[#This Row],[Degradation Factor]])</f>
        <v>12367.8</v>
      </c>
    </row>
    <row r="2314" spans="1:7" ht="15" hidden="1" customHeight="1" x14ac:dyDescent="0.3">
      <c r="A2314" t="s">
        <v>208</v>
      </c>
      <c r="B2314" s="2">
        <v>45505</v>
      </c>
      <c r="C2314" s="52">
        <v>14484.6</v>
      </c>
      <c r="D2314" s="48">
        <f>_xlfn.XLOOKUP(expected_production[[#This Row],[Site Name]],Table1[[Site Name ]],Table1[Commisioned Date],"")</f>
        <v>45748</v>
      </c>
      <c r="E2314" s="47">
        <f>IF(ISNUMBER(expected_production[[#This Row],[Commissioned Date]]),MAX(0,(expected_production[[#This Row],[Date]]-expected_production[[#This Row],[Commissioned Date]])/365.25),"")</f>
        <v>0</v>
      </c>
      <c r="F2314" s="49">
        <f>IF(expected_production[[#This Row],[Age (yrs)]]="",1,(1-DegradationRate)^expected_production[[#This Row],[Age (yrs)]])</f>
        <v>1</v>
      </c>
      <c r="G2314" s="52">
        <f>IF(expected_production[[#This Row],[Base Expected (kWh)]]="","",expected_production[[#This Row],[Base Expected (kWh)]]*expected_production[[#This Row],[Degradation Factor]])</f>
        <v>14484.6</v>
      </c>
    </row>
    <row r="2315" spans="1:7" ht="15" hidden="1" customHeight="1" x14ac:dyDescent="0.3">
      <c r="A2315" t="s">
        <v>208</v>
      </c>
      <c r="B2315" s="2">
        <v>45536</v>
      </c>
      <c r="C2315" s="52">
        <v>16189.2</v>
      </c>
      <c r="D2315" s="48">
        <f>_xlfn.XLOOKUP(expected_production[[#This Row],[Site Name]],Table1[[Site Name ]],Table1[Commisioned Date],"")</f>
        <v>45748</v>
      </c>
      <c r="E2315" s="47">
        <f>IF(ISNUMBER(expected_production[[#This Row],[Commissioned Date]]),MAX(0,(expected_production[[#This Row],[Date]]-expected_production[[#This Row],[Commissioned Date]])/365.25),"")</f>
        <v>0</v>
      </c>
      <c r="F2315" s="49">
        <f>IF(expected_production[[#This Row],[Age (yrs)]]="",1,(1-DegradationRate)^expected_production[[#This Row],[Age (yrs)]])</f>
        <v>1</v>
      </c>
      <c r="G2315" s="52">
        <f>IF(expected_production[[#This Row],[Base Expected (kWh)]]="","",expected_production[[#This Row],[Base Expected (kWh)]]*expected_production[[#This Row],[Degradation Factor]])</f>
        <v>16189.2</v>
      </c>
    </row>
    <row r="2316" spans="1:7" ht="15" hidden="1" customHeight="1" x14ac:dyDescent="0.3">
      <c r="A2316" t="s">
        <v>208</v>
      </c>
      <c r="B2316" s="2">
        <v>45566</v>
      </c>
      <c r="C2316" s="52">
        <v>18663.3</v>
      </c>
      <c r="D2316" s="48">
        <f>_xlfn.XLOOKUP(expected_production[[#This Row],[Site Name]],Table1[[Site Name ]],Table1[Commisioned Date],"")</f>
        <v>45748</v>
      </c>
      <c r="E2316" s="47">
        <f>IF(ISNUMBER(expected_production[[#This Row],[Commissioned Date]]),MAX(0,(expected_production[[#This Row],[Date]]-expected_production[[#This Row],[Commissioned Date]])/365.25),"")</f>
        <v>0</v>
      </c>
      <c r="F2316" s="49">
        <f>IF(expected_production[[#This Row],[Age (yrs)]]="",1,(1-DegradationRate)^expected_production[[#This Row],[Age (yrs)]])</f>
        <v>1</v>
      </c>
      <c r="G2316" s="52">
        <f>IF(expected_production[[#This Row],[Base Expected (kWh)]]="","",expected_production[[#This Row],[Base Expected (kWh)]]*expected_production[[#This Row],[Degradation Factor]])</f>
        <v>18663.3</v>
      </c>
    </row>
    <row r="2317" spans="1:7" ht="15" hidden="1" customHeight="1" x14ac:dyDescent="0.3">
      <c r="A2317" t="s">
        <v>208</v>
      </c>
      <c r="B2317" s="2">
        <v>45597</v>
      </c>
      <c r="C2317" s="52">
        <v>18589.5</v>
      </c>
      <c r="D2317" s="48">
        <f>_xlfn.XLOOKUP(expected_production[[#This Row],[Site Name]],Table1[[Site Name ]],Table1[Commisioned Date],"")</f>
        <v>45748</v>
      </c>
      <c r="E2317" s="47">
        <f>IF(ISNUMBER(expected_production[[#This Row],[Commissioned Date]]),MAX(0,(expected_production[[#This Row],[Date]]-expected_production[[#This Row],[Commissioned Date]])/365.25),"")</f>
        <v>0</v>
      </c>
      <c r="F2317" s="49">
        <f>IF(expected_production[[#This Row],[Age (yrs)]]="",1,(1-DegradationRate)^expected_production[[#This Row],[Age (yrs)]])</f>
        <v>1</v>
      </c>
      <c r="G2317" s="52">
        <f>IF(expected_production[[#This Row],[Base Expected (kWh)]]="","",expected_production[[#This Row],[Base Expected (kWh)]]*expected_production[[#This Row],[Degradation Factor]])</f>
        <v>18589.5</v>
      </c>
    </row>
    <row r="2318" spans="1:7" ht="15" hidden="1" customHeight="1" x14ac:dyDescent="0.3">
      <c r="A2318" t="s">
        <v>208</v>
      </c>
      <c r="B2318" s="2">
        <v>45627</v>
      </c>
      <c r="C2318" s="52">
        <v>19022.400000000001</v>
      </c>
      <c r="D2318" s="48">
        <f>_xlfn.XLOOKUP(expected_production[[#This Row],[Site Name]],Table1[[Site Name ]],Table1[Commisioned Date],"")</f>
        <v>45748</v>
      </c>
      <c r="E2318" s="47">
        <f>IF(ISNUMBER(expected_production[[#This Row],[Commissioned Date]]),MAX(0,(expected_production[[#This Row],[Date]]-expected_production[[#This Row],[Commissioned Date]])/365.25),"")</f>
        <v>0</v>
      </c>
      <c r="F2318" s="49">
        <f>IF(expected_production[[#This Row],[Age (yrs)]]="",1,(1-DegradationRate)^expected_production[[#This Row],[Age (yrs)]])</f>
        <v>1</v>
      </c>
      <c r="G2318" s="52">
        <f>IF(expected_production[[#This Row],[Base Expected (kWh)]]="","",expected_production[[#This Row],[Base Expected (kWh)]]*expected_production[[#This Row],[Degradation Factor]])</f>
        <v>19022.400000000001</v>
      </c>
    </row>
    <row r="2319" spans="1:7" ht="15" hidden="1" customHeight="1" x14ac:dyDescent="0.3">
      <c r="A2319" t="s">
        <v>208</v>
      </c>
      <c r="B2319" s="2">
        <v>45658</v>
      </c>
      <c r="C2319" s="52">
        <v>18584.099999999999</v>
      </c>
      <c r="D2319" s="48">
        <f>_xlfn.XLOOKUP(expected_production[[#This Row],[Site Name]],Table1[[Site Name ]],Table1[Commisioned Date],"")</f>
        <v>45748</v>
      </c>
      <c r="E2319" s="47">
        <f>IF(ISNUMBER(expected_production[[#This Row],[Commissioned Date]]),MAX(0,(expected_production[[#This Row],[Date]]-expected_production[[#This Row],[Commissioned Date]])/365.25),"")</f>
        <v>0</v>
      </c>
      <c r="F2319" s="49">
        <f>IF(expected_production[[#This Row],[Age (yrs)]]="",1,(1-DegradationRate)^expected_production[[#This Row],[Age (yrs)]])</f>
        <v>1</v>
      </c>
      <c r="G2319" s="52">
        <f>IF(expected_production[[#This Row],[Base Expected (kWh)]]="","",expected_production[[#This Row],[Base Expected (kWh)]]*expected_production[[#This Row],[Degradation Factor]])</f>
        <v>18584.099999999999</v>
      </c>
    </row>
    <row r="2320" spans="1:7" ht="15" hidden="1" customHeight="1" x14ac:dyDescent="0.3">
      <c r="A2320" t="s">
        <v>208</v>
      </c>
      <c r="B2320" s="2">
        <v>45689</v>
      </c>
      <c r="C2320" s="52">
        <v>16101.9</v>
      </c>
      <c r="D2320" s="48">
        <f>_xlfn.XLOOKUP(expected_production[[#This Row],[Site Name]],Table1[[Site Name ]],Table1[Commisioned Date],"")</f>
        <v>45748</v>
      </c>
      <c r="E2320" s="47">
        <f>IF(ISNUMBER(expected_production[[#This Row],[Commissioned Date]]),MAX(0,(expected_production[[#This Row],[Date]]-expected_production[[#This Row],[Commissioned Date]])/365.25),"")</f>
        <v>0</v>
      </c>
      <c r="F2320" s="49">
        <f>IF(expected_production[[#This Row],[Age (yrs)]]="",1,(1-DegradationRate)^expected_production[[#This Row],[Age (yrs)]])</f>
        <v>1</v>
      </c>
      <c r="G2320" s="52">
        <f>IF(expected_production[[#This Row],[Base Expected (kWh)]]="","",expected_production[[#This Row],[Base Expected (kWh)]]*expected_production[[#This Row],[Degradation Factor]])</f>
        <v>16101.9</v>
      </c>
    </row>
    <row r="2321" spans="1:7" ht="15" hidden="1" customHeight="1" x14ac:dyDescent="0.3">
      <c r="A2321" t="s">
        <v>208</v>
      </c>
      <c r="B2321" s="2">
        <v>45717</v>
      </c>
      <c r="C2321" s="52">
        <v>15901.2</v>
      </c>
      <c r="D2321" s="48">
        <f>_xlfn.XLOOKUP(expected_production[[#This Row],[Site Name]],Table1[[Site Name ]],Table1[Commisioned Date],"")</f>
        <v>45748</v>
      </c>
      <c r="E2321" s="47">
        <f>IF(ISNUMBER(expected_production[[#This Row],[Commissioned Date]]),MAX(0,(expected_production[[#This Row],[Date]]-expected_production[[#This Row],[Commissioned Date]])/365.25),"")</f>
        <v>0</v>
      </c>
      <c r="F2321" s="49">
        <f>IF(expected_production[[#This Row],[Age (yrs)]]="",1,(1-DegradationRate)^expected_production[[#This Row],[Age (yrs)]])</f>
        <v>1</v>
      </c>
      <c r="G2321" s="52">
        <f>IF(expected_production[[#This Row],[Base Expected (kWh)]]="","",expected_production[[#This Row],[Base Expected (kWh)]]*expected_production[[#This Row],[Degradation Factor]])</f>
        <v>15901.2</v>
      </c>
    </row>
    <row r="2322" spans="1:7" ht="15" hidden="1" customHeight="1" x14ac:dyDescent="0.3">
      <c r="A2322" t="s">
        <v>208</v>
      </c>
      <c r="B2322" s="2">
        <v>45748</v>
      </c>
      <c r="C2322" s="52">
        <v>13660.2</v>
      </c>
      <c r="D2322" s="48">
        <f>_xlfn.XLOOKUP(expected_production[[#This Row],[Site Name]],Table1[[Site Name ]],Table1[Commisioned Date],"")</f>
        <v>45748</v>
      </c>
      <c r="E2322" s="47">
        <f>IF(ISNUMBER(expected_production[[#This Row],[Commissioned Date]]),MAX(0,(expected_production[[#This Row],[Date]]-expected_production[[#This Row],[Commissioned Date]])/365.25),"")</f>
        <v>0</v>
      </c>
      <c r="F2322" s="49">
        <f>IF(expected_production[[#This Row],[Age (yrs)]]="",1,(1-DegradationRate)^expected_production[[#This Row],[Age (yrs)]])</f>
        <v>1</v>
      </c>
      <c r="G2322" s="52">
        <f>IF(expected_production[[#This Row],[Base Expected (kWh)]]="","",expected_production[[#This Row],[Base Expected (kWh)]]*expected_production[[#This Row],[Degradation Factor]])</f>
        <v>13660.2</v>
      </c>
    </row>
    <row r="2323" spans="1:7" ht="15" hidden="1" customHeight="1" x14ac:dyDescent="0.3">
      <c r="A2323" t="s">
        <v>208</v>
      </c>
      <c r="B2323" s="2">
        <v>45778</v>
      </c>
      <c r="C2323" s="52">
        <v>12620.7</v>
      </c>
      <c r="D2323" s="48">
        <f>_xlfn.XLOOKUP(expected_production[[#This Row],[Site Name]],Table1[[Site Name ]],Table1[Commisioned Date],"")</f>
        <v>45748</v>
      </c>
      <c r="E2323" s="47">
        <f>IF(ISNUMBER(expected_production[[#This Row],[Commissioned Date]]),MAX(0,(expected_production[[#This Row],[Date]]-expected_production[[#This Row],[Commissioned Date]])/365.25),"")</f>
        <v>8.2135523613963035E-2</v>
      </c>
      <c r="F2323" s="49">
        <f>IF(expected_production[[#This Row],[Age (yrs)]]="",1,(1-DegradationRate)^expected_production[[#This Row],[Age (yrs)]])</f>
        <v>0.99942319598939511</v>
      </c>
      <c r="G2323" s="52">
        <f>IF(expected_production[[#This Row],[Base Expected (kWh)]]="","",expected_production[[#This Row],[Base Expected (kWh)]]*expected_production[[#This Row],[Degradation Factor]])</f>
        <v>12613.420329623359</v>
      </c>
    </row>
    <row r="2324" spans="1:7" ht="15" hidden="1" customHeight="1" x14ac:dyDescent="0.3">
      <c r="A2324" t="s">
        <v>208</v>
      </c>
      <c r="B2324" s="2">
        <v>45809</v>
      </c>
      <c r="C2324" s="52">
        <v>11094.3</v>
      </c>
      <c r="D2324" s="48">
        <f>_xlfn.XLOOKUP(expected_production[[#This Row],[Site Name]],Table1[[Site Name ]],Table1[Commisioned Date],"")</f>
        <v>45748</v>
      </c>
      <c r="E2324" s="47">
        <f>IF(ISNUMBER(expected_production[[#This Row],[Commissioned Date]]),MAX(0,(expected_production[[#This Row],[Date]]-expected_production[[#This Row],[Commissioned Date]])/365.25),"")</f>
        <v>0.16700889801505817</v>
      </c>
      <c r="F2324" s="49">
        <f>IF(expected_production[[#This Row],[Age (yrs)]]="",1,(1-DegradationRate)^expected_production[[#This Row],[Age (yrs)]])</f>
        <v>0.99882751469904119</v>
      </c>
      <c r="G2324" s="52">
        <f>IF(expected_production[[#This Row],[Base Expected (kWh)]]="","",expected_production[[#This Row],[Base Expected (kWh)]]*expected_production[[#This Row],[Degradation Factor]])</f>
        <v>11081.292096325571</v>
      </c>
    </row>
    <row r="2325" spans="1:7" ht="15" hidden="1" customHeight="1" x14ac:dyDescent="0.3">
      <c r="A2325" t="s">
        <v>208</v>
      </c>
      <c r="B2325" s="2">
        <v>45839</v>
      </c>
      <c r="C2325" s="52">
        <v>12367.8</v>
      </c>
      <c r="D2325" s="48">
        <f>_xlfn.XLOOKUP(expected_production[[#This Row],[Site Name]],Table1[[Site Name ]],Table1[Commisioned Date],"")</f>
        <v>45748</v>
      </c>
      <c r="E2325" s="47">
        <f>IF(ISNUMBER(expected_production[[#This Row],[Commissioned Date]]),MAX(0,(expected_production[[#This Row],[Date]]-expected_production[[#This Row],[Commissioned Date]])/365.25),"")</f>
        <v>0.24914442162902123</v>
      </c>
      <c r="F2325" s="49">
        <f>IF(expected_production[[#This Row],[Age (yrs)]]="",1,(1-DegradationRate)^expected_production[[#This Row],[Age (yrs)]])</f>
        <v>0.99825138698266025</v>
      </c>
      <c r="G2325" s="52">
        <f>IF(expected_production[[#This Row],[Base Expected (kWh)]]="","",expected_production[[#This Row],[Base Expected (kWh)]]*expected_production[[#This Row],[Degradation Factor]])</f>
        <v>12346.173503924145</v>
      </c>
    </row>
    <row r="2326" spans="1:7" ht="15" hidden="1" customHeight="1" x14ac:dyDescent="0.3">
      <c r="A2326" t="s">
        <v>208</v>
      </c>
      <c r="B2326" s="2">
        <v>45870</v>
      </c>
      <c r="C2326" s="52">
        <v>14484.6</v>
      </c>
      <c r="D2326" s="48">
        <f>_xlfn.XLOOKUP(expected_production[[#This Row],[Site Name]],Table1[[Site Name ]],Table1[Commisioned Date],"")</f>
        <v>45748</v>
      </c>
      <c r="E2326" s="47">
        <f>IF(ISNUMBER(expected_production[[#This Row],[Commissioned Date]]),MAX(0,(expected_production[[#This Row],[Date]]-expected_production[[#This Row],[Commissioned Date]])/365.25),"")</f>
        <v>0.33401779603011633</v>
      </c>
      <c r="F2326" s="49">
        <f>IF(expected_production[[#This Row],[Age (yrs)]]="",1,(1-DegradationRate)^expected_production[[#This Row],[Age (yrs)]])</f>
        <v>0.99765640411986334</v>
      </c>
      <c r="G2326" s="52">
        <f>IF(expected_production[[#This Row],[Base Expected (kWh)]]="","",expected_production[[#This Row],[Base Expected (kWh)]]*expected_production[[#This Row],[Degradation Factor]])</f>
        <v>14450.653951114573</v>
      </c>
    </row>
    <row r="2327" spans="1:7" ht="15" hidden="1" customHeight="1" x14ac:dyDescent="0.3">
      <c r="A2327" t="s">
        <v>208</v>
      </c>
      <c r="B2327" s="2">
        <v>45901</v>
      </c>
      <c r="C2327" s="52">
        <v>16189.2</v>
      </c>
      <c r="D2327" s="48">
        <f>_xlfn.XLOOKUP(expected_production[[#This Row],[Site Name]],Table1[[Site Name ]],Table1[Commisioned Date],"")</f>
        <v>45748</v>
      </c>
      <c r="E2327" s="47">
        <f>IF(ISNUMBER(expected_production[[#This Row],[Commissioned Date]]),MAX(0,(expected_production[[#This Row],[Date]]-expected_production[[#This Row],[Commissioned Date]])/365.25),"")</f>
        <v>0.41889117043121149</v>
      </c>
      <c r="F2327" s="49">
        <f>IF(expected_production[[#This Row],[Age (yrs)]]="",1,(1-DegradationRate)^expected_production[[#This Row],[Age (yrs)]])</f>
        <v>0.99706177588177491</v>
      </c>
      <c r="G2327" s="52">
        <f>IF(expected_production[[#This Row],[Base Expected (kWh)]]="","",expected_production[[#This Row],[Base Expected (kWh)]]*expected_production[[#This Row],[Degradation Factor]])</f>
        <v>16141.632502105231</v>
      </c>
    </row>
    <row r="2328" spans="1:7" ht="15" hidden="1" customHeight="1" x14ac:dyDescent="0.3">
      <c r="A2328" t="s">
        <v>208</v>
      </c>
      <c r="B2328" s="2">
        <v>45931</v>
      </c>
      <c r="C2328" s="52">
        <v>18663.3</v>
      </c>
      <c r="D2328" s="48">
        <f>_xlfn.XLOOKUP(expected_production[[#This Row],[Site Name]],Table1[[Site Name ]],Table1[Commisioned Date],"")</f>
        <v>45748</v>
      </c>
      <c r="E2328" s="47">
        <f>IF(ISNUMBER(expected_production[[#This Row],[Commissioned Date]]),MAX(0,(expected_production[[#This Row],[Date]]-expected_production[[#This Row],[Commissioned Date]])/365.25),"")</f>
        <v>0.50102669404517453</v>
      </c>
      <c r="F2328" s="49">
        <f>IF(expected_production[[#This Row],[Age (yrs)]]="",1,(1-DegradationRate)^expected_production[[#This Row],[Age (yrs)]])</f>
        <v>0.99648666665062535</v>
      </c>
      <c r="G2328" s="52">
        <f>IF(expected_production[[#This Row],[Base Expected (kWh)]]="","",expected_production[[#This Row],[Base Expected (kWh)]]*expected_production[[#This Row],[Degradation Factor]])</f>
        <v>18597.729605700617</v>
      </c>
    </row>
    <row r="2329" spans="1:7" ht="15" hidden="1" customHeight="1" x14ac:dyDescent="0.3">
      <c r="A2329" t="s">
        <v>208</v>
      </c>
      <c r="B2329" s="2">
        <v>45962</v>
      </c>
      <c r="C2329" s="52">
        <v>18589.5</v>
      </c>
      <c r="D2329" s="48">
        <f>_xlfn.XLOOKUP(expected_production[[#This Row],[Site Name]],Table1[[Site Name ]],Table1[Commisioned Date],"")</f>
        <v>45748</v>
      </c>
      <c r="E2329" s="47">
        <f>IF(ISNUMBER(expected_production[[#This Row],[Commissioned Date]]),MAX(0,(expected_production[[#This Row],[Date]]-expected_production[[#This Row],[Commissioned Date]])/365.25),"")</f>
        <v>0.58590006844626963</v>
      </c>
      <c r="F2329" s="49">
        <f>IF(expected_production[[#This Row],[Age (yrs)]]="",1,(1-DegradationRate)^expected_production[[#This Row],[Age (yrs)]])</f>
        <v>0.99589273560540559</v>
      </c>
      <c r="G2329" s="52">
        <f>IF(expected_production[[#This Row],[Base Expected (kWh)]]="","",expected_production[[#This Row],[Base Expected (kWh)]]*expected_production[[#This Row],[Degradation Factor]])</f>
        <v>18513.148008536686</v>
      </c>
    </row>
    <row r="2330" spans="1:7" ht="15" hidden="1" customHeight="1" x14ac:dyDescent="0.3">
      <c r="A2330" t="s">
        <v>208</v>
      </c>
      <c r="B2330" s="2">
        <v>45992</v>
      </c>
      <c r="C2330" s="52">
        <v>19022.400000000001</v>
      </c>
      <c r="D2330" s="48">
        <f>_xlfn.XLOOKUP(expected_production[[#This Row],[Site Name]],Table1[[Site Name ]],Table1[Commisioned Date],"")</f>
        <v>45748</v>
      </c>
      <c r="E2330" s="47">
        <f>IF(ISNUMBER(expected_production[[#This Row],[Commissioned Date]]),MAX(0,(expected_production[[#This Row],[Date]]-expected_production[[#This Row],[Commissioned Date]])/365.25),"")</f>
        <v>0.66803559206023266</v>
      </c>
      <c r="F2330" s="49">
        <f>IF(expected_production[[#This Row],[Age (yrs)]]="",1,(1-DegradationRate)^expected_production[[#This Row],[Age (yrs)]])</f>
        <v>0.99531830068137617</v>
      </c>
      <c r="G2330" s="52">
        <f>IF(expected_production[[#This Row],[Base Expected (kWh)]]="","",expected_production[[#This Row],[Base Expected (kWh)]]*expected_production[[#This Row],[Degradation Factor]])</f>
        <v>18933.342842881411</v>
      </c>
    </row>
    <row r="2331" spans="1:7" ht="15" hidden="1" customHeight="1" x14ac:dyDescent="0.3">
      <c r="A2331" t="s">
        <v>208</v>
      </c>
      <c r="B2331" s="2">
        <v>46023</v>
      </c>
      <c r="C2331" s="52">
        <v>18584.099999999999</v>
      </c>
      <c r="D2331" s="48">
        <f>_xlfn.XLOOKUP(expected_production[[#This Row],[Site Name]],Table1[[Site Name ]],Table1[Commisioned Date],"")</f>
        <v>45748</v>
      </c>
      <c r="E2331" s="47">
        <f>IF(ISNUMBER(expected_production[[#This Row],[Commissioned Date]]),MAX(0,(expected_production[[#This Row],[Date]]-expected_production[[#This Row],[Commissioned Date]])/365.25),"")</f>
        <v>0.75290896646132788</v>
      </c>
      <c r="F2331" s="49">
        <f>IF(expected_production[[#This Row],[Age (yrs)]]="",1,(1-DegradationRate)^expected_production[[#This Row],[Age (yrs)]])</f>
        <v>0.99472506601157662</v>
      </c>
      <c r="G2331" s="52">
        <f>IF(expected_production[[#This Row],[Base Expected (kWh)]]="","",expected_production[[#This Row],[Base Expected (kWh)]]*expected_production[[#This Row],[Degradation Factor]])</f>
        <v>18486.07009926574</v>
      </c>
    </row>
    <row r="2332" spans="1:7" ht="15" hidden="1" customHeight="1" x14ac:dyDescent="0.3">
      <c r="A2332" t="s">
        <v>208</v>
      </c>
      <c r="B2332" s="2">
        <v>46054</v>
      </c>
      <c r="C2332" s="52">
        <v>16101.9</v>
      </c>
      <c r="D2332" s="48">
        <f>_xlfn.XLOOKUP(expected_production[[#This Row],[Site Name]],Table1[[Site Name ]],Table1[Commisioned Date],"")</f>
        <v>45748</v>
      </c>
      <c r="E2332" s="47">
        <f>IF(ISNUMBER(expected_production[[#This Row],[Commissioned Date]]),MAX(0,(expected_production[[#This Row],[Date]]-expected_production[[#This Row],[Commissioned Date]])/365.25),"")</f>
        <v>0.83778234086242298</v>
      </c>
      <c r="F2332" s="49">
        <f>IF(expected_production[[#This Row],[Age (yrs)]]="",1,(1-DegradationRate)^expected_production[[#This Row],[Age (yrs)]])</f>
        <v>0.99413218492451871</v>
      </c>
      <c r="G2332" s="52">
        <f>IF(expected_production[[#This Row],[Base Expected (kWh)]]="","",expected_production[[#This Row],[Base Expected (kWh)]]*expected_production[[#This Row],[Degradation Factor]])</f>
        <v>16007.417028436108</v>
      </c>
    </row>
    <row r="2333" spans="1:7" ht="15" hidden="1" customHeight="1" x14ac:dyDescent="0.3">
      <c r="A2333" t="s">
        <v>208</v>
      </c>
      <c r="B2333" s="2">
        <v>46082</v>
      </c>
      <c r="C2333" s="52">
        <v>15901.2</v>
      </c>
      <c r="D2333" s="48">
        <f>_xlfn.XLOOKUP(expected_production[[#This Row],[Site Name]],Table1[[Site Name ]],Table1[Commisioned Date],"")</f>
        <v>45748</v>
      </c>
      <c r="E2333" s="47">
        <f>IF(ISNUMBER(expected_production[[#This Row],[Commissioned Date]]),MAX(0,(expected_production[[#This Row],[Date]]-expected_production[[#This Row],[Commissioned Date]])/365.25),"")</f>
        <v>0.91444216290212188</v>
      </c>
      <c r="F2333" s="49">
        <f>IF(expected_production[[#This Row],[Age (yrs)]]="",1,(1-DegradationRate)^expected_production[[#This Row],[Age (yrs)]])</f>
        <v>0.99359698316314138</v>
      </c>
      <c r="G2333" s="52">
        <f>IF(expected_production[[#This Row],[Base Expected (kWh)]]="","",expected_production[[#This Row],[Base Expected (kWh)]]*expected_production[[#This Row],[Degradation Factor]])</f>
        <v>15799.384348673744</v>
      </c>
    </row>
    <row r="2334" spans="1:7" ht="15" hidden="1" customHeight="1" x14ac:dyDescent="0.3">
      <c r="A2334" t="s">
        <v>208</v>
      </c>
      <c r="B2334" s="2">
        <v>46113</v>
      </c>
      <c r="C2334" s="52">
        <v>13660.2</v>
      </c>
      <c r="D2334" s="48">
        <f>_xlfn.XLOOKUP(expected_production[[#This Row],[Site Name]],Table1[[Site Name ]],Table1[Commisioned Date],"")</f>
        <v>45748</v>
      </c>
      <c r="E2334" s="47">
        <f>IF(ISNUMBER(expected_production[[#This Row],[Commissioned Date]]),MAX(0,(expected_production[[#This Row],[Date]]-expected_production[[#This Row],[Commissioned Date]])/365.25),"")</f>
        <v>0.99931553730321698</v>
      </c>
      <c r="F2334" s="49">
        <f>IF(expected_production[[#This Row],[Age (yrs)]]="",1,(1-DegradationRate)^expected_production[[#This Row],[Age (yrs)]])</f>
        <v>0.99300477444175339</v>
      </c>
      <c r="G2334" s="52">
        <f>IF(expected_production[[#This Row],[Base Expected (kWh)]]="","",expected_production[[#This Row],[Base Expected (kWh)]]*expected_production[[#This Row],[Degradation Factor]])</f>
        <v>13564.64381982924</v>
      </c>
    </row>
    <row r="2335" spans="1:7" ht="15" hidden="1" customHeight="1" x14ac:dyDescent="0.3">
      <c r="A2335" t="s">
        <v>208</v>
      </c>
      <c r="B2335" s="2">
        <v>46143</v>
      </c>
      <c r="C2335" s="52">
        <v>12620.7</v>
      </c>
      <c r="D2335" s="48">
        <f>_xlfn.XLOOKUP(expected_production[[#This Row],[Site Name]],Table1[[Site Name ]],Table1[Commisioned Date],"")</f>
        <v>45748</v>
      </c>
      <c r="E2335" s="47">
        <f>IF(ISNUMBER(expected_production[[#This Row],[Commissioned Date]]),MAX(0,(expected_production[[#This Row],[Date]]-expected_production[[#This Row],[Commissioned Date]])/365.25),"")</f>
        <v>1.0814510609171799</v>
      </c>
      <c r="F2335" s="49">
        <f>IF(expected_production[[#This Row],[Age (yrs)]]="",1,(1-DegradationRate)^expected_production[[#This Row],[Age (yrs)]])</f>
        <v>0.99243200530530551</v>
      </c>
      <c r="G2335" s="52">
        <f>IF(expected_production[[#This Row],[Base Expected (kWh)]]="","",expected_production[[#This Row],[Base Expected (kWh)]]*expected_production[[#This Row],[Degradation Factor]])</f>
        <v>12525.18660935667</v>
      </c>
    </row>
    <row r="2336" spans="1:7" ht="15" hidden="1" customHeight="1" x14ac:dyDescent="0.3">
      <c r="A2336" t="s">
        <v>208</v>
      </c>
      <c r="B2336" s="2">
        <v>46174</v>
      </c>
      <c r="C2336" s="52">
        <v>11094.3</v>
      </c>
      <c r="D2336" s="48">
        <f>_xlfn.XLOOKUP(expected_production[[#This Row],[Site Name]],Table1[[Site Name ]],Table1[Commisioned Date],"")</f>
        <v>45748</v>
      </c>
      <c r="E2336" s="47">
        <f>IF(ISNUMBER(expected_production[[#This Row],[Commissioned Date]]),MAX(0,(expected_production[[#This Row],[Date]]-expected_production[[#This Row],[Commissioned Date]])/365.25),"")</f>
        <v>1.1663244353182751</v>
      </c>
      <c r="F2336" s="49">
        <f>IF(expected_production[[#This Row],[Age (yrs)]]="",1,(1-DegradationRate)^expected_production[[#This Row],[Age (yrs)]])</f>
        <v>0.99184049093993853</v>
      </c>
      <c r="G2336" s="52">
        <f>IF(expected_production[[#This Row],[Base Expected (kWh)]]="","",expected_production[[#This Row],[Base Expected (kWh)]]*expected_production[[#This Row],[Degradation Factor]])</f>
        <v>11003.77595863496</v>
      </c>
    </row>
    <row r="2337" spans="1:7" ht="15" hidden="1" customHeight="1" x14ac:dyDescent="0.3">
      <c r="A2337" t="s">
        <v>208</v>
      </c>
      <c r="B2337" s="2">
        <v>46204</v>
      </c>
      <c r="C2337" s="52">
        <v>12367.8</v>
      </c>
      <c r="D2337" s="48">
        <f>_xlfn.XLOOKUP(expected_production[[#This Row],[Site Name]],Table1[[Site Name ]],Table1[Commisioned Date],"")</f>
        <v>45748</v>
      </c>
      <c r="E2337" s="47">
        <f>IF(ISNUMBER(expected_production[[#This Row],[Commissioned Date]]),MAX(0,(expected_production[[#This Row],[Date]]-expected_production[[#This Row],[Commissioned Date]])/365.25),"")</f>
        <v>1.2484599589322383</v>
      </c>
      <c r="F2337" s="49">
        <f>IF(expected_production[[#This Row],[Age (yrs)]]="",1,(1-DegradationRate)^expected_production[[#This Row],[Age (yrs)]])</f>
        <v>0.99126839336688399</v>
      </c>
      <c r="G2337" s="52">
        <f>IF(expected_production[[#This Row],[Base Expected (kWh)]]="","",expected_production[[#This Row],[Base Expected (kWh)]]*expected_production[[#This Row],[Degradation Factor]])</f>
        <v>12259.809235482948</v>
      </c>
    </row>
    <row r="2338" spans="1:7" ht="15" hidden="1" customHeight="1" x14ac:dyDescent="0.3">
      <c r="A2338" t="s">
        <v>208</v>
      </c>
      <c r="B2338" s="2">
        <v>46235</v>
      </c>
      <c r="C2338" s="52">
        <v>14484.6</v>
      </c>
      <c r="D2338" s="48">
        <f>_xlfn.XLOOKUP(expected_production[[#This Row],[Site Name]],Table1[[Site Name ]],Table1[Commisioned Date],"")</f>
        <v>45748</v>
      </c>
      <c r="E2338" s="47">
        <f>IF(ISNUMBER(expected_production[[#This Row],[Commissioned Date]]),MAX(0,(expected_production[[#This Row],[Date]]-expected_production[[#This Row],[Commissioned Date]])/365.25),"")</f>
        <v>1.3333333333333333</v>
      </c>
      <c r="F2338" s="49">
        <f>IF(expected_production[[#This Row],[Age (yrs)]]="",1,(1-DegradationRate)^expected_production[[#This Row],[Age (yrs)]])</f>
        <v>0.99067757254341571</v>
      </c>
      <c r="G2338" s="52">
        <f>IF(expected_production[[#This Row],[Base Expected (kWh)]]="","",expected_production[[#This Row],[Base Expected (kWh)]]*expected_production[[#This Row],[Degradation Factor]])</f>
        <v>14349.56836726236</v>
      </c>
    </row>
    <row r="2339" spans="1:7" ht="15" hidden="1" customHeight="1" x14ac:dyDescent="0.3">
      <c r="A2339" t="s">
        <v>208</v>
      </c>
      <c r="B2339" s="2">
        <v>46266</v>
      </c>
      <c r="C2339" s="52">
        <v>16189.2</v>
      </c>
      <c r="D2339" s="48">
        <f>_xlfn.XLOOKUP(expected_production[[#This Row],[Site Name]],Table1[[Site Name ]],Table1[Commisioned Date],"")</f>
        <v>45748</v>
      </c>
      <c r="E2339" s="47">
        <f>IF(ISNUMBER(expected_production[[#This Row],[Commissioned Date]]),MAX(0,(expected_production[[#This Row],[Date]]-expected_production[[#This Row],[Commissioned Date]])/365.25),"")</f>
        <v>1.4182067077344285</v>
      </c>
      <c r="F2339" s="49">
        <f>IF(expected_production[[#This Row],[Age (yrs)]]="",1,(1-DegradationRate)^expected_production[[#This Row],[Age (yrs)]])</f>
        <v>0.99008710386397591</v>
      </c>
      <c r="G2339" s="52">
        <f>IF(expected_production[[#This Row],[Base Expected (kWh)]]="","",expected_production[[#This Row],[Base Expected (kWh)]]*expected_production[[#This Row],[Degradation Factor]])</f>
        <v>16028.71814187468</v>
      </c>
    </row>
    <row r="2340" spans="1:7" ht="15" hidden="1" customHeight="1" x14ac:dyDescent="0.3">
      <c r="A2340" t="s">
        <v>208</v>
      </c>
      <c r="B2340" s="2">
        <v>46296</v>
      </c>
      <c r="C2340" s="52">
        <v>18663.3</v>
      </c>
      <c r="D2340" s="48">
        <f>_xlfn.XLOOKUP(expected_production[[#This Row],[Site Name]],Table1[[Site Name ]],Table1[Commisioned Date],"")</f>
        <v>45748</v>
      </c>
      <c r="E2340" s="47">
        <f>IF(ISNUMBER(expected_production[[#This Row],[Commissioned Date]]),MAX(0,(expected_production[[#This Row],[Date]]-expected_production[[#This Row],[Commissioned Date]])/365.25),"")</f>
        <v>1.5003422313483916</v>
      </c>
      <c r="F2340" s="49">
        <f>IF(expected_production[[#This Row],[Age (yrs)]]="",1,(1-DegradationRate)^expected_production[[#This Row],[Age (yrs)]])</f>
        <v>0.98951601765161901</v>
      </c>
      <c r="G2340" s="52">
        <f>IF(expected_production[[#This Row],[Base Expected (kWh)]]="","",expected_production[[#This Row],[Base Expected (kWh)]]*expected_production[[#This Row],[Degradation Factor]])</f>
        <v>18467.634292237461</v>
      </c>
    </row>
    <row r="2341" spans="1:7" ht="15" hidden="1" customHeight="1" x14ac:dyDescent="0.3">
      <c r="A2341" t="s">
        <v>208</v>
      </c>
      <c r="B2341" s="2">
        <v>46327</v>
      </c>
      <c r="C2341" s="52">
        <v>18589.5</v>
      </c>
      <c r="D2341" s="48">
        <f>_xlfn.XLOOKUP(expected_production[[#This Row],[Site Name]],Table1[[Site Name ]],Table1[Commisioned Date],"")</f>
        <v>45748</v>
      </c>
      <c r="E2341" s="47">
        <f>IF(ISNUMBER(expected_production[[#This Row],[Commissioned Date]]),MAX(0,(expected_production[[#This Row],[Date]]-expected_production[[#This Row],[Commissioned Date]])/365.25),"")</f>
        <v>1.5852156057494866</v>
      </c>
      <c r="F2341" s="49">
        <f>IF(expected_production[[#This Row],[Age (yrs)]]="",1,(1-DegradationRate)^expected_production[[#This Row],[Age (yrs)]])</f>
        <v>0.98892624128802653</v>
      </c>
      <c r="G2341" s="52">
        <f>IF(expected_production[[#This Row],[Base Expected (kWh)]]="","",expected_production[[#This Row],[Base Expected (kWh)]]*expected_production[[#This Row],[Degradation Factor]])</f>
        <v>18383.644362423769</v>
      </c>
    </row>
    <row r="2342" spans="1:7" ht="15" hidden="1" customHeight="1" x14ac:dyDescent="0.3">
      <c r="A2342" t="s">
        <v>208</v>
      </c>
      <c r="B2342" s="2">
        <v>46357</v>
      </c>
      <c r="C2342" s="52">
        <v>19022.400000000001</v>
      </c>
      <c r="D2342" s="48">
        <f>_xlfn.XLOOKUP(expected_production[[#This Row],[Site Name]],Table1[[Site Name ]],Table1[Commisioned Date],"")</f>
        <v>45748</v>
      </c>
      <c r="E2342" s="47">
        <f>IF(ISNUMBER(expected_production[[#This Row],[Commissioned Date]]),MAX(0,(expected_production[[#This Row],[Date]]-expected_production[[#This Row],[Commissioned Date]])/365.25),"")</f>
        <v>1.6673511293634498</v>
      </c>
      <c r="F2342" s="49">
        <f>IF(expected_production[[#This Row],[Age (yrs)]]="",1,(1-DegradationRate)^expected_production[[#This Row],[Age (yrs)]])</f>
        <v>0.98835582466585914</v>
      </c>
      <c r="G2342" s="52">
        <f>IF(expected_production[[#This Row],[Base Expected (kWh)]]="","",expected_production[[#This Row],[Base Expected (kWh)]]*expected_production[[#This Row],[Degradation Factor]])</f>
        <v>18800.899839123842</v>
      </c>
    </row>
    <row r="2343" spans="1:7" ht="15" hidden="1" customHeight="1" x14ac:dyDescent="0.3">
      <c r="A2343" t="s">
        <v>190</v>
      </c>
      <c r="B2343" s="2">
        <v>45292</v>
      </c>
      <c r="C2343" s="52">
        <v>16638.665000000001</v>
      </c>
      <c r="D2343" s="48">
        <f>_xlfn.XLOOKUP(expected_production[[#This Row],[Site Name]],Table1[[Site Name ]],Table1[Commisioned Date],"")</f>
        <v>44532</v>
      </c>
      <c r="E2343" s="47">
        <f>IF(ISNUMBER(expected_production[[#This Row],[Commissioned Date]]),MAX(0,(expected_production[[#This Row],[Date]]-expected_production[[#This Row],[Commissioned Date]])/365.25),"")</f>
        <v>2.0807665982203969</v>
      </c>
      <c r="F2343" s="49">
        <f>IF(expected_production[[#This Row],[Age (yrs)]]="",1,(1-DegradationRate)^expected_production[[#This Row],[Age (yrs)]])</f>
        <v>0.98548971957697196</v>
      </c>
      <c r="G2343" s="52">
        <f>IF(expected_production[[#This Row],[Base Expected (kWh)]]="","",expected_production[[#This Row],[Base Expected (kWh)]]*expected_production[[#This Row],[Degradation Factor]])</f>
        <v>16397.23330498518</v>
      </c>
    </row>
    <row r="2344" spans="1:7" ht="15" hidden="1" customHeight="1" x14ac:dyDescent="0.3">
      <c r="A2344" t="s">
        <v>190</v>
      </c>
      <c r="B2344" s="2">
        <v>45323</v>
      </c>
      <c r="C2344" s="52">
        <v>14215.06</v>
      </c>
      <c r="D2344" s="48">
        <f>_xlfn.XLOOKUP(expected_production[[#This Row],[Site Name]],Table1[[Site Name ]],Table1[Commisioned Date],"")</f>
        <v>44532</v>
      </c>
      <c r="E2344" s="47">
        <f>IF(ISNUMBER(expected_production[[#This Row],[Commissioned Date]]),MAX(0,(expected_production[[#This Row],[Date]]-expected_production[[#This Row],[Commissioned Date]])/365.25),"")</f>
        <v>2.1656399726214923</v>
      </c>
      <c r="F2344" s="49">
        <f>IF(expected_production[[#This Row],[Age (yrs)]]="",1,(1-DegradationRate)^expected_production[[#This Row],[Age (yrs)]])</f>
        <v>0.9849023429880116</v>
      </c>
      <c r="G2344" s="52">
        <f>IF(expected_production[[#This Row],[Base Expected (kWh)]]="","",expected_production[[#This Row],[Base Expected (kWh)]]*expected_production[[#This Row],[Degradation Factor]])</f>
        <v>14000.445899715163</v>
      </c>
    </row>
    <row r="2345" spans="1:7" ht="15" hidden="1" customHeight="1" x14ac:dyDescent="0.3">
      <c r="A2345" t="s">
        <v>190</v>
      </c>
      <c r="B2345" s="2">
        <v>45352</v>
      </c>
      <c r="C2345" s="52">
        <v>15137.31</v>
      </c>
      <c r="D2345" s="48">
        <f>_xlfn.XLOOKUP(expected_production[[#This Row],[Site Name]],Table1[[Site Name ]],Table1[Commisioned Date],"")</f>
        <v>44532</v>
      </c>
      <c r="E2345" s="47">
        <f>IF(ISNUMBER(expected_production[[#This Row],[Commissioned Date]]),MAX(0,(expected_production[[#This Row],[Date]]-expected_production[[#This Row],[Commissioned Date]])/365.25),"")</f>
        <v>2.2450376454483232</v>
      </c>
      <c r="F2345" s="49">
        <f>IF(expected_production[[#This Row],[Age (yrs)]]="",1,(1-DegradationRate)^expected_production[[#This Row],[Age (yrs)]])</f>
        <v>0.98435317860690286</v>
      </c>
      <c r="G2345" s="52">
        <f>IF(expected_production[[#This Row],[Base Expected (kWh)]]="","",expected_production[[#This Row],[Base Expected (kWh)]]*expected_production[[#This Row],[Degradation Factor]])</f>
        <v>14900.459214058055</v>
      </c>
    </row>
    <row r="2346" spans="1:7" ht="15" hidden="1" customHeight="1" x14ac:dyDescent="0.3">
      <c r="A2346" t="s">
        <v>190</v>
      </c>
      <c r="B2346" s="2">
        <v>45383</v>
      </c>
      <c r="C2346" s="52">
        <v>13176.87</v>
      </c>
      <c r="D2346" s="48">
        <f>_xlfn.XLOOKUP(expected_production[[#This Row],[Site Name]],Table1[[Site Name ]],Table1[Commisioned Date],"")</f>
        <v>44532</v>
      </c>
      <c r="E2346" s="47">
        <f>IF(ISNUMBER(expected_production[[#This Row],[Commissioned Date]]),MAX(0,(expected_production[[#This Row],[Date]]-expected_production[[#This Row],[Commissioned Date]])/365.25),"")</f>
        <v>2.3299110198494182</v>
      </c>
      <c r="F2346" s="49">
        <f>IF(expected_production[[#This Row],[Age (yrs)]]="",1,(1-DegradationRate)^expected_production[[#This Row],[Age (yrs)]])</f>
        <v>0.98376647942486517</v>
      </c>
      <c r="G2346" s="52">
        <f>IF(expected_production[[#This Row],[Base Expected (kWh)]]="","",expected_production[[#This Row],[Base Expected (kWh)]]*expected_production[[#This Row],[Degradation Factor]])</f>
        <v>12962.963009739124</v>
      </c>
    </row>
    <row r="2347" spans="1:7" ht="15" hidden="1" customHeight="1" x14ac:dyDescent="0.3">
      <c r="A2347" t="s">
        <v>190</v>
      </c>
      <c r="B2347" s="2">
        <v>45413</v>
      </c>
      <c r="C2347" s="52">
        <v>12813.75</v>
      </c>
      <c r="D2347" s="48">
        <f>_xlfn.XLOOKUP(expected_production[[#This Row],[Site Name]],Table1[[Site Name ]],Table1[Commisioned Date],"")</f>
        <v>44532</v>
      </c>
      <c r="E2347" s="47">
        <f>IF(ISNUMBER(expected_production[[#This Row],[Commissioned Date]]),MAX(0,(expected_production[[#This Row],[Date]]-expected_production[[#This Row],[Commissioned Date]])/365.25),"")</f>
        <v>2.4120465434633811</v>
      </c>
      <c r="F2347" s="49">
        <f>IF(expected_production[[#This Row],[Age (yrs)]]="",1,(1-DegradationRate)^expected_production[[#This Row],[Age (yrs)]])</f>
        <v>0.98319903897403416</v>
      </c>
      <c r="G2347" s="52">
        <f>IF(expected_production[[#This Row],[Base Expected (kWh)]]="","",expected_production[[#This Row],[Base Expected (kWh)]]*expected_production[[#This Row],[Degradation Factor]])</f>
        <v>12598.46668565353</v>
      </c>
    </row>
    <row r="2348" spans="1:7" ht="15" hidden="1" customHeight="1" x14ac:dyDescent="0.3">
      <c r="A2348" t="s">
        <v>190</v>
      </c>
      <c r="B2348" s="2">
        <v>45444</v>
      </c>
      <c r="C2348" s="52">
        <v>11578.87</v>
      </c>
      <c r="D2348" s="48">
        <f>_xlfn.XLOOKUP(expected_production[[#This Row],[Site Name]],Table1[[Site Name ]],Table1[Commisioned Date],"")</f>
        <v>44532</v>
      </c>
      <c r="E2348" s="47">
        <f>IF(ISNUMBER(expected_production[[#This Row],[Commissioned Date]]),MAX(0,(expected_production[[#This Row],[Date]]-expected_production[[#This Row],[Commissioned Date]])/365.25),"")</f>
        <v>2.4969199178644765</v>
      </c>
      <c r="F2348" s="49">
        <f>IF(expected_production[[#This Row],[Age (yrs)]]="",1,(1-DegradationRate)^expected_production[[#This Row],[Age (yrs)]])</f>
        <v>0.9826130276881635</v>
      </c>
      <c r="G2348" s="52">
        <f>IF(expected_production[[#This Row],[Base Expected (kWh)]]="","",expected_production[[#This Row],[Base Expected (kWh)]]*expected_production[[#This Row],[Degradation Factor]])</f>
        <v>11377.548507907646</v>
      </c>
    </row>
    <row r="2349" spans="1:7" ht="15" hidden="1" customHeight="1" x14ac:dyDescent="0.3">
      <c r="A2349" t="s">
        <v>190</v>
      </c>
      <c r="B2349" s="2">
        <v>45474</v>
      </c>
      <c r="C2349" s="52">
        <v>12892.545</v>
      </c>
      <c r="D2349" s="48">
        <f>_xlfn.XLOOKUP(expected_production[[#This Row],[Site Name]],Table1[[Site Name ]],Table1[Commisioned Date],"")</f>
        <v>44532</v>
      </c>
      <c r="E2349" s="47">
        <f>IF(ISNUMBER(expected_production[[#This Row],[Commissioned Date]]),MAX(0,(expected_production[[#This Row],[Date]]-expected_production[[#This Row],[Commissioned Date]])/365.25),"")</f>
        <v>2.5790554414784395</v>
      </c>
      <c r="F2349" s="49">
        <f>IF(expected_production[[#This Row],[Age (yrs)]]="",1,(1-DegradationRate)^expected_production[[#This Row],[Age (yrs)]])</f>
        <v>0.98204625255292033</v>
      </c>
      <c r="G2349" s="52">
        <f>IF(expected_production[[#This Row],[Base Expected (kWh)]]="","",expected_production[[#This Row],[Base Expected (kWh)]]*expected_production[[#This Row],[Degradation Factor]])</f>
        <v>12661.07550311989</v>
      </c>
    </row>
    <row r="2350" spans="1:7" ht="15" hidden="1" customHeight="1" x14ac:dyDescent="0.3">
      <c r="A2350" t="s">
        <v>190</v>
      </c>
      <c r="B2350" s="2">
        <v>45505</v>
      </c>
      <c r="C2350" s="52">
        <v>14836.92</v>
      </c>
      <c r="D2350" s="48">
        <f>_xlfn.XLOOKUP(expected_production[[#This Row],[Site Name]],Table1[[Site Name ]],Table1[Commisioned Date],"")</f>
        <v>44532</v>
      </c>
      <c r="E2350" s="47">
        <f>IF(ISNUMBER(expected_production[[#This Row],[Commissioned Date]]),MAX(0,(expected_production[[#This Row],[Date]]-expected_production[[#This Row],[Commissioned Date]])/365.25),"")</f>
        <v>2.6639288158795345</v>
      </c>
      <c r="F2350" s="49">
        <f>IF(expected_production[[#This Row],[Age (yrs)]]="",1,(1-DegradationRate)^expected_production[[#This Row],[Age (yrs)]])</f>
        <v>0.98146092835666854</v>
      </c>
      <c r="G2350" s="52">
        <f>IF(expected_production[[#This Row],[Base Expected (kWh)]]="","",expected_production[[#This Row],[Base Expected (kWh)]]*expected_production[[#This Row],[Degradation Factor]])</f>
        <v>14561.857277153622</v>
      </c>
    </row>
    <row r="2351" spans="1:7" ht="15" hidden="1" customHeight="1" x14ac:dyDescent="0.3">
      <c r="A2351" t="s">
        <v>190</v>
      </c>
      <c r="B2351" s="2">
        <v>45536</v>
      </c>
      <c r="C2351" s="52">
        <v>15996.15</v>
      </c>
      <c r="D2351" s="48">
        <f>_xlfn.XLOOKUP(expected_production[[#This Row],[Site Name]],Table1[[Site Name ]],Table1[Commisioned Date],"")</f>
        <v>44532</v>
      </c>
      <c r="E2351" s="47">
        <f>IF(ISNUMBER(expected_production[[#This Row],[Commissioned Date]]),MAX(0,(expected_production[[#This Row],[Date]]-expected_production[[#This Row],[Commissioned Date]])/365.25),"")</f>
        <v>2.7488021902806299</v>
      </c>
      <c r="F2351" s="49">
        <f>IF(expected_production[[#This Row],[Age (yrs)]]="",1,(1-DegradationRate)^expected_production[[#This Row],[Age (yrs)]])</f>
        <v>0.98087595302831754</v>
      </c>
      <c r="G2351" s="52">
        <f>IF(expected_production[[#This Row],[Base Expected (kWh)]]="","",expected_production[[#This Row],[Base Expected (kWh)]]*expected_production[[#This Row],[Degradation Factor]])</f>
        <v>15690.238876033922</v>
      </c>
    </row>
    <row r="2352" spans="1:7" ht="15" hidden="1" customHeight="1" x14ac:dyDescent="0.3">
      <c r="A2352" t="s">
        <v>190</v>
      </c>
      <c r="B2352" s="2">
        <v>45566</v>
      </c>
      <c r="C2352" s="52">
        <v>16796.169999999998</v>
      </c>
      <c r="D2352" s="48">
        <f>_xlfn.XLOOKUP(expected_production[[#This Row],[Site Name]],Table1[[Site Name ]],Table1[Commisioned Date],"")</f>
        <v>44532</v>
      </c>
      <c r="E2352" s="47">
        <f>IF(ISNUMBER(expected_production[[#This Row],[Commissioned Date]]),MAX(0,(expected_production[[#This Row],[Date]]-expected_production[[#This Row],[Commissioned Date]])/365.25),"")</f>
        <v>2.8309377138945928</v>
      </c>
      <c r="F2352" s="49">
        <f>IF(expected_production[[#This Row],[Age (yrs)]]="",1,(1-DegradationRate)^expected_production[[#This Row],[Age (yrs)]])</f>
        <v>0.98031017984470492</v>
      </c>
      <c r="G2352" s="52">
        <f>IF(expected_production[[#This Row],[Base Expected (kWh)]]="","",expected_production[[#This Row],[Base Expected (kWh)]]*expected_production[[#This Row],[Degradation Factor]])</f>
        <v>16465.456433402236</v>
      </c>
    </row>
    <row r="2353" spans="1:7" ht="15" hidden="1" customHeight="1" x14ac:dyDescent="0.3">
      <c r="A2353" t="s">
        <v>190</v>
      </c>
      <c r="B2353" s="2">
        <v>45597</v>
      </c>
      <c r="C2353" s="52">
        <v>16463.224999999999</v>
      </c>
      <c r="D2353" s="48">
        <f>_xlfn.XLOOKUP(expected_production[[#This Row],[Site Name]],Table1[[Site Name ]],Table1[Commisioned Date],"")</f>
        <v>44532</v>
      </c>
      <c r="E2353" s="47">
        <f>IF(ISNUMBER(expected_production[[#This Row],[Commissioned Date]]),MAX(0,(expected_production[[#This Row],[Date]]-expected_production[[#This Row],[Commissioned Date]])/365.25),"")</f>
        <v>2.9158110882956878</v>
      </c>
      <c r="F2353" s="49">
        <f>IF(expected_production[[#This Row],[Age (yrs)]]="",1,(1-DegradationRate)^expected_production[[#This Row],[Age (yrs)]])</f>
        <v>0.97972589039132796</v>
      </c>
      <c r="G2353" s="52">
        <f>IF(expected_production[[#This Row],[Base Expected (kWh)]]="","",expected_production[[#This Row],[Base Expected (kWh)]]*expected_production[[#This Row],[Degradation Factor]])</f>
        <v>16129.447771837769</v>
      </c>
    </row>
    <row r="2354" spans="1:7" ht="15" hidden="1" customHeight="1" x14ac:dyDescent="0.3">
      <c r="A2354" t="s">
        <v>190</v>
      </c>
      <c r="B2354" s="2">
        <v>45627</v>
      </c>
      <c r="C2354" s="52">
        <v>17398.904999999999</v>
      </c>
      <c r="D2354" s="48">
        <f>_xlfn.XLOOKUP(expected_production[[#This Row],[Site Name]],Table1[[Site Name ]],Table1[Commisioned Date],"")</f>
        <v>44532</v>
      </c>
      <c r="E2354" s="47">
        <f>IF(ISNUMBER(expected_production[[#This Row],[Commissioned Date]]),MAX(0,(expected_production[[#This Row],[Date]]-expected_production[[#This Row],[Commissioned Date]])/365.25),"")</f>
        <v>2.9979466119096507</v>
      </c>
      <c r="F2354" s="49">
        <f>IF(expected_production[[#This Row],[Age (yrs)]]="",1,(1-DegradationRate)^expected_production[[#This Row],[Age (yrs)]])</f>
        <v>0.97916078056845668</v>
      </c>
      <c r="G2354" s="52">
        <f>IF(expected_production[[#This Row],[Base Expected (kWh)]]="","",expected_production[[#This Row],[Base Expected (kWh)]]*expected_production[[#This Row],[Degradation Factor]])</f>
        <v>17036.325400836424</v>
      </c>
    </row>
    <row r="2355" spans="1:7" ht="15" hidden="1" customHeight="1" x14ac:dyDescent="0.3">
      <c r="A2355" t="s">
        <v>190</v>
      </c>
      <c r="B2355" s="2">
        <v>45658</v>
      </c>
      <c r="C2355" s="52">
        <v>16638.665000000001</v>
      </c>
      <c r="D2355" s="48">
        <f>_xlfn.XLOOKUP(expected_production[[#This Row],[Site Name]],Table1[[Site Name ]],Table1[Commisioned Date],"")</f>
        <v>44532</v>
      </c>
      <c r="E2355" s="47">
        <f>IF(ISNUMBER(expected_production[[#This Row],[Commissioned Date]]),MAX(0,(expected_production[[#This Row],[Date]]-expected_production[[#This Row],[Commissioned Date]])/365.25),"")</f>
        <v>3.0828199863107462</v>
      </c>
      <c r="F2355" s="49">
        <f>IF(expected_production[[#This Row],[Age (yrs)]]="",1,(1-DegradationRate)^expected_production[[#This Row],[Age (yrs)]])</f>
        <v>0.97857717618587536</v>
      </c>
      <c r="G2355" s="52">
        <f>IF(expected_production[[#This Row],[Base Expected (kWh)]]="","",expected_production[[#This Row],[Base Expected (kWh)]]*expected_production[[#This Row],[Degradation Factor]])</f>
        <v>16282.21781120276</v>
      </c>
    </row>
    <row r="2356" spans="1:7" ht="15" hidden="1" customHeight="1" x14ac:dyDescent="0.3">
      <c r="A2356" t="s">
        <v>190</v>
      </c>
      <c r="B2356" s="2">
        <v>45689</v>
      </c>
      <c r="C2356" s="52">
        <v>14215.06</v>
      </c>
      <c r="D2356" s="48">
        <f>_xlfn.XLOOKUP(expected_production[[#This Row],[Site Name]],Table1[[Site Name ]],Table1[Commisioned Date],"")</f>
        <v>44532</v>
      </c>
      <c r="E2356" s="47">
        <f>IF(ISNUMBER(expected_production[[#This Row],[Commissioned Date]]),MAX(0,(expected_production[[#This Row],[Date]]-expected_production[[#This Row],[Commissioned Date]])/365.25),"")</f>
        <v>3.1676933607118412</v>
      </c>
      <c r="F2356" s="49">
        <f>IF(expected_production[[#This Row],[Age (yrs)]]="",1,(1-DegradationRate)^expected_production[[#This Row],[Age (yrs)]])</f>
        <v>0.97799391964614268</v>
      </c>
      <c r="G2356" s="52">
        <f>IF(expected_production[[#This Row],[Base Expected (kWh)]]="","",expected_production[[#This Row],[Base Expected (kWh)]]*expected_production[[#This Row],[Degradation Factor]])</f>
        <v>13902.242247405096</v>
      </c>
    </row>
    <row r="2357" spans="1:7" ht="15" hidden="1" customHeight="1" x14ac:dyDescent="0.3">
      <c r="A2357" t="s">
        <v>190</v>
      </c>
      <c r="B2357" s="2">
        <v>45717</v>
      </c>
      <c r="C2357" s="52">
        <v>15137.31</v>
      </c>
      <c r="D2357" s="48">
        <f>_xlfn.XLOOKUP(expected_production[[#This Row],[Site Name]],Table1[[Site Name ]],Table1[Commisioned Date],"")</f>
        <v>44532</v>
      </c>
      <c r="E2357" s="47">
        <f>IF(ISNUMBER(expected_production[[#This Row],[Commissioned Date]]),MAX(0,(expected_production[[#This Row],[Date]]-expected_production[[#This Row],[Commissioned Date]])/365.25),"")</f>
        <v>3.2443531827515399</v>
      </c>
      <c r="F2357" s="49">
        <f>IF(expected_production[[#This Row],[Age (yrs)]]="",1,(1-DegradationRate)^expected_production[[#This Row],[Age (yrs)]])</f>
        <v>0.97746740609357052</v>
      </c>
      <c r="G2357" s="52">
        <f>IF(expected_production[[#This Row],[Base Expected (kWh)]]="","",expected_production[[#This Row],[Base Expected (kWh)]]*expected_production[[#This Row],[Degradation Factor]])</f>
        <v>14796.227140934265</v>
      </c>
    </row>
    <row r="2358" spans="1:7" ht="15" hidden="1" customHeight="1" x14ac:dyDescent="0.3">
      <c r="A2358" t="s">
        <v>190</v>
      </c>
      <c r="B2358" s="2">
        <v>45748</v>
      </c>
      <c r="C2358" s="52">
        <v>13176.87</v>
      </c>
      <c r="D2358" s="48">
        <f>_xlfn.XLOOKUP(expected_production[[#This Row],[Site Name]],Table1[[Site Name ]],Table1[Commisioned Date],"")</f>
        <v>44532</v>
      </c>
      <c r="E2358" s="47">
        <f>IF(ISNUMBER(expected_production[[#This Row],[Commissioned Date]]),MAX(0,(expected_production[[#This Row],[Date]]-expected_production[[#This Row],[Commissioned Date]])/365.25),"")</f>
        <v>3.3292265571526354</v>
      </c>
      <c r="F2358" s="49">
        <f>IF(expected_production[[#This Row],[Age (yrs)]]="",1,(1-DegradationRate)^expected_production[[#This Row],[Age (yrs)]])</f>
        <v>0.97688481100464597</v>
      </c>
      <c r="G2358" s="52">
        <f>IF(expected_production[[#This Row],[Base Expected (kWh)]]="","",expected_production[[#This Row],[Base Expected (kWh)]]*expected_production[[#This Row],[Degradation Factor]])</f>
        <v>12872.28415958279</v>
      </c>
    </row>
    <row r="2359" spans="1:7" ht="15" hidden="1" customHeight="1" x14ac:dyDescent="0.3">
      <c r="A2359" t="s">
        <v>190</v>
      </c>
      <c r="B2359" s="2">
        <v>45778</v>
      </c>
      <c r="C2359" s="52">
        <v>12813.75</v>
      </c>
      <c r="D2359" s="48">
        <f>_xlfn.XLOOKUP(expected_production[[#This Row],[Site Name]],Table1[[Site Name ]],Table1[Commisioned Date],"")</f>
        <v>44532</v>
      </c>
      <c r="E2359" s="47">
        <f>IF(ISNUMBER(expected_production[[#This Row],[Commissioned Date]]),MAX(0,(expected_production[[#This Row],[Date]]-expected_production[[#This Row],[Commissioned Date]])/365.25),"")</f>
        <v>3.4113620807665983</v>
      </c>
      <c r="F2359" s="49">
        <f>IF(expected_production[[#This Row],[Age (yrs)]]="",1,(1-DegradationRate)^expected_production[[#This Row],[Age (yrs)]])</f>
        <v>0.97632133992775949</v>
      </c>
      <c r="G2359" s="52">
        <f>IF(expected_production[[#This Row],[Base Expected (kWh)]]="","",expected_production[[#This Row],[Base Expected (kWh)]]*expected_production[[#This Row],[Degradation Factor]])</f>
        <v>12510.337569499328</v>
      </c>
    </row>
    <row r="2360" spans="1:7" ht="15" hidden="1" customHeight="1" x14ac:dyDescent="0.3">
      <c r="A2360" t="s">
        <v>190</v>
      </c>
      <c r="B2360" s="2">
        <v>45809</v>
      </c>
      <c r="C2360" s="52">
        <v>11578.87</v>
      </c>
      <c r="D2360" s="48">
        <f>_xlfn.XLOOKUP(expected_production[[#This Row],[Site Name]],Table1[[Site Name ]],Table1[Commisioned Date],"")</f>
        <v>44532</v>
      </c>
      <c r="E2360" s="47">
        <f>IF(ISNUMBER(expected_production[[#This Row],[Commissioned Date]]),MAX(0,(expected_production[[#This Row],[Date]]-expected_production[[#This Row],[Commissioned Date]])/365.25),"")</f>
        <v>3.4962354551676933</v>
      </c>
      <c r="F2360" s="49">
        <f>IF(expected_production[[#This Row],[Age (yrs)]]="",1,(1-DegradationRate)^expected_production[[#This Row],[Age (yrs)]])</f>
        <v>0.97573942792301316</v>
      </c>
      <c r="G2360" s="52">
        <f>IF(expected_production[[#This Row],[Base Expected (kWh)]]="","",expected_production[[#This Row],[Base Expected (kWh)]]*expected_production[[#This Row],[Degradation Factor]])</f>
        <v>11297.959989794939</v>
      </c>
    </row>
    <row r="2361" spans="1:7" ht="15" hidden="1" customHeight="1" x14ac:dyDescent="0.3">
      <c r="A2361" t="s">
        <v>190</v>
      </c>
      <c r="B2361" s="2">
        <v>45839</v>
      </c>
      <c r="C2361" s="52">
        <v>12892.545</v>
      </c>
      <c r="D2361" s="48">
        <f>_xlfn.XLOOKUP(expected_production[[#This Row],[Site Name]],Table1[[Site Name ]],Table1[Commisioned Date],"")</f>
        <v>44532</v>
      </c>
      <c r="E2361" s="47">
        <f>IF(ISNUMBER(expected_production[[#This Row],[Commissioned Date]]),MAX(0,(expected_production[[#This Row],[Date]]-expected_production[[#This Row],[Commissioned Date]])/365.25),"")</f>
        <v>3.5783709787816562</v>
      </c>
      <c r="F2361" s="49">
        <f>IF(expected_production[[#This Row],[Age (yrs)]]="",1,(1-DegradationRate)^expected_production[[#This Row],[Age (yrs)]])</f>
        <v>0.97517661750768181</v>
      </c>
      <c r="G2361" s="52">
        <f>IF(expected_production[[#This Row],[Base Expected (kWh)]]="","",expected_production[[#This Row],[Base Expected (kWh)]]*expected_production[[#This Row],[Degradation Factor]])</f>
        <v>12572.508424165575</v>
      </c>
    </row>
    <row r="2362" spans="1:7" ht="15" hidden="1" customHeight="1" x14ac:dyDescent="0.3">
      <c r="A2362" t="s">
        <v>190</v>
      </c>
      <c r="B2362" s="2">
        <v>45870</v>
      </c>
      <c r="C2362" s="52">
        <v>14836.92</v>
      </c>
      <c r="D2362" s="48">
        <f>_xlfn.XLOOKUP(expected_production[[#This Row],[Site Name]],Table1[[Site Name ]],Table1[Commisioned Date],"")</f>
        <v>44532</v>
      </c>
      <c r="E2362" s="47">
        <f>IF(ISNUMBER(expected_production[[#This Row],[Commissioned Date]]),MAX(0,(expected_production[[#This Row],[Date]]-expected_production[[#This Row],[Commissioned Date]])/365.25),"")</f>
        <v>3.6632443531827517</v>
      </c>
      <c r="F2362" s="49">
        <f>IF(expected_production[[#This Row],[Age (yrs)]]="",1,(1-DegradationRate)^expected_production[[#This Row],[Age (yrs)]])</f>
        <v>0.97459538778620747</v>
      </c>
      <c r="G2362" s="52">
        <f>IF(expected_production[[#This Row],[Base Expected (kWh)]]="","",expected_production[[#This Row],[Base Expected (kWh)]]*expected_production[[#This Row],[Degradation Factor]])</f>
        <v>14459.993800952938</v>
      </c>
    </row>
    <row r="2363" spans="1:7" ht="15" hidden="1" customHeight="1" x14ac:dyDescent="0.3">
      <c r="A2363" t="s">
        <v>190</v>
      </c>
      <c r="B2363" s="2">
        <v>45901</v>
      </c>
      <c r="C2363" s="52">
        <v>15996.15</v>
      </c>
      <c r="D2363" s="48">
        <f>_xlfn.XLOOKUP(expected_production[[#This Row],[Site Name]],Table1[[Site Name ]],Table1[Commisioned Date],"")</f>
        <v>44532</v>
      </c>
      <c r="E2363" s="47">
        <f>IF(ISNUMBER(expected_production[[#This Row],[Commissioned Date]]),MAX(0,(expected_production[[#This Row],[Date]]-expected_production[[#This Row],[Commissioned Date]])/365.25),"")</f>
        <v>3.7481177275838466</v>
      </c>
      <c r="F2363" s="49">
        <f>IF(expected_production[[#This Row],[Age (yrs)]]="",1,(1-DegradationRate)^expected_production[[#This Row],[Age (yrs)]])</f>
        <v>0.97401450449222438</v>
      </c>
      <c r="G2363" s="52">
        <f>IF(expected_production[[#This Row],[Base Expected (kWh)]]="","",expected_production[[#This Row],[Base Expected (kWh)]]*expected_production[[#This Row],[Degradation Factor]])</f>
        <v>15580.482116033294</v>
      </c>
    </row>
    <row r="2364" spans="1:7" ht="15" hidden="1" customHeight="1" x14ac:dyDescent="0.3">
      <c r="A2364" t="s">
        <v>190</v>
      </c>
      <c r="B2364" s="2">
        <v>45931</v>
      </c>
      <c r="C2364" s="52">
        <v>16796.169999999998</v>
      </c>
      <c r="D2364" s="48">
        <f>_xlfn.XLOOKUP(expected_production[[#This Row],[Site Name]],Table1[[Site Name ]],Table1[Commisioned Date],"")</f>
        <v>44532</v>
      </c>
      <c r="E2364" s="47">
        <f>IF(ISNUMBER(expected_production[[#This Row],[Commissioned Date]]),MAX(0,(expected_production[[#This Row],[Date]]-expected_production[[#This Row],[Commissioned Date]])/365.25),"")</f>
        <v>3.8302532511978096</v>
      </c>
      <c r="F2364" s="49">
        <f>IF(expected_production[[#This Row],[Age (yrs)]]="",1,(1-DegradationRate)^expected_production[[#This Row],[Age (yrs)]])</f>
        <v>0.97345268901964588</v>
      </c>
      <c r="G2364" s="52">
        <f>IF(expected_production[[#This Row],[Base Expected (kWh)]]="","",expected_production[[#This Row],[Base Expected (kWh)]]*expected_production[[#This Row],[Degradation Factor]])</f>
        <v>16350.276851731103</v>
      </c>
    </row>
    <row r="2365" spans="1:7" ht="15" hidden="1" customHeight="1" x14ac:dyDescent="0.3">
      <c r="A2365" t="s">
        <v>190</v>
      </c>
      <c r="B2365" s="2">
        <v>45962</v>
      </c>
      <c r="C2365" s="52">
        <v>16463.224999999999</v>
      </c>
      <c r="D2365" s="48">
        <f>_xlfn.XLOOKUP(expected_production[[#This Row],[Site Name]],Table1[[Site Name ]],Table1[Commisioned Date],"")</f>
        <v>44532</v>
      </c>
      <c r="E2365" s="47">
        <f>IF(ISNUMBER(expected_production[[#This Row],[Commissioned Date]]),MAX(0,(expected_production[[#This Row],[Date]]-expected_production[[#This Row],[Commissioned Date]])/365.25),"")</f>
        <v>3.915126625598905</v>
      </c>
      <c r="F2365" s="49">
        <f>IF(expected_production[[#This Row],[Age (yrs)]]="",1,(1-DegradationRate)^expected_production[[#This Row],[Age (yrs)]])</f>
        <v>0.9728724868027866</v>
      </c>
      <c r="G2365" s="52">
        <f>IF(expected_production[[#This Row],[Base Expected (kWh)]]="","",expected_production[[#This Row],[Base Expected (kWh)]]*expected_production[[#This Row],[Degradation Factor]])</f>
        <v>16016.618646543804</v>
      </c>
    </row>
    <row r="2366" spans="1:7" ht="15" hidden="1" customHeight="1" x14ac:dyDescent="0.3">
      <c r="A2366" t="s">
        <v>190</v>
      </c>
      <c r="B2366" s="2">
        <v>45992</v>
      </c>
      <c r="C2366" s="52">
        <v>17398.904999999999</v>
      </c>
      <c r="D2366" s="48">
        <f>_xlfn.XLOOKUP(expected_production[[#This Row],[Site Name]],Table1[[Site Name ]],Table1[Commisioned Date],"")</f>
        <v>44532</v>
      </c>
      <c r="E2366" s="47">
        <f>IF(ISNUMBER(expected_production[[#This Row],[Commissioned Date]]),MAX(0,(expected_production[[#This Row],[Date]]-expected_production[[#This Row],[Commissioned Date]])/365.25),"")</f>
        <v>3.9972621492128679</v>
      </c>
      <c r="F2366" s="49">
        <f>IF(expected_production[[#This Row],[Age (yrs)]]="",1,(1-DegradationRate)^expected_production[[#This Row],[Age (yrs)]])</f>
        <v>0.97231133005059156</v>
      </c>
      <c r="G2366" s="52">
        <f>IF(expected_production[[#This Row],[Base Expected (kWh)]]="","",expected_production[[#This Row],[Base Expected (kWh)]]*expected_production[[#This Row],[Degradation Factor]])</f>
        <v>16917.152461973888</v>
      </c>
    </row>
    <row r="2367" spans="1:7" ht="15" hidden="1" customHeight="1" x14ac:dyDescent="0.3">
      <c r="A2367" t="s">
        <v>190</v>
      </c>
      <c r="B2367" s="2">
        <v>46023</v>
      </c>
      <c r="C2367" s="52">
        <v>16638.665000000001</v>
      </c>
      <c r="D2367" s="48">
        <f>_xlfn.XLOOKUP(expected_production[[#This Row],[Site Name]],Table1[[Site Name ]],Table1[Commisioned Date],"")</f>
        <v>44532</v>
      </c>
      <c r="E2367" s="47">
        <f>IF(ISNUMBER(expected_production[[#This Row],[Commissioned Date]]),MAX(0,(expected_production[[#This Row],[Date]]-expected_production[[#This Row],[Commissioned Date]])/365.25),"")</f>
        <v>4.0821355236139629</v>
      </c>
      <c r="F2367" s="49">
        <f>IF(expected_production[[#This Row],[Age (yrs)]]="",1,(1-DegradationRate)^expected_production[[#This Row],[Age (yrs)]])</f>
        <v>0.97173180811230309</v>
      </c>
      <c r="G2367" s="52">
        <f>IF(expected_production[[#This Row],[Base Expected (kWh)]]="","",expected_production[[#This Row],[Base Expected (kWh)]]*expected_production[[#This Row],[Degradation Factor]])</f>
        <v>16168.320025024894</v>
      </c>
    </row>
    <row r="2368" spans="1:7" ht="15" hidden="1" customHeight="1" x14ac:dyDescent="0.3">
      <c r="A2368" t="s">
        <v>190</v>
      </c>
      <c r="B2368" s="2">
        <v>46054</v>
      </c>
      <c r="C2368" s="52">
        <v>14215.06</v>
      </c>
      <c r="D2368" s="48">
        <f>_xlfn.XLOOKUP(expected_production[[#This Row],[Site Name]],Table1[[Site Name ]],Table1[Commisioned Date],"")</f>
        <v>44532</v>
      </c>
      <c r="E2368" s="47">
        <f>IF(ISNUMBER(expected_production[[#This Row],[Commissioned Date]]),MAX(0,(expected_production[[#This Row],[Date]]-expected_production[[#This Row],[Commissioned Date]])/365.25),"")</f>
        <v>4.1670088980150579</v>
      </c>
      <c r="F2368" s="49">
        <f>IF(expected_production[[#This Row],[Age (yrs)]]="",1,(1-DegradationRate)^expected_production[[#This Row],[Age (yrs)]])</f>
        <v>0.97115263158362419</v>
      </c>
      <c r="G2368" s="52">
        <f>IF(expected_production[[#This Row],[Base Expected (kWh)]]="","",expected_production[[#This Row],[Base Expected (kWh)]]*expected_production[[#This Row],[Degradation Factor]])</f>
        <v>13804.992927119112</v>
      </c>
    </row>
    <row r="2369" spans="1:7" ht="15" hidden="1" customHeight="1" x14ac:dyDescent="0.3">
      <c r="A2369" t="s">
        <v>190</v>
      </c>
      <c r="B2369" s="2">
        <v>46082</v>
      </c>
      <c r="C2369" s="52">
        <v>15137.31</v>
      </c>
      <c r="D2369" s="48">
        <f>_xlfn.XLOOKUP(expected_production[[#This Row],[Site Name]],Table1[[Site Name ]],Table1[Commisioned Date],"")</f>
        <v>44532</v>
      </c>
      <c r="E2369" s="47">
        <f>IF(ISNUMBER(expected_production[[#This Row],[Commissioned Date]]),MAX(0,(expected_production[[#This Row],[Date]]-expected_production[[#This Row],[Commissioned Date]])/365.25),"")</f>
        <v>4.2436687200547567</v>
      </c>
      <c r="F2369" s="49">
        <f>IF(expected_production[[#This Row],[Age (yrs)]]="",1,(1-DegradationRate)^expected_production[[#This Row],[Age (yrs)]])</f>
        <v>0.97062980111211183</v>
      </c>
      <c r="G2369" s="52">
        <f>IF(expected_production[[#This Row],[Base Expected (kWh)]]="","",expected_production[[#This Row],[Base Expected (kWh)]]*expected_production[[#This Row],[Degradation Factor]])</f>
        <v>14692.724194672381</v>
      </c>
    </row>
    <row r="2370" spans="1:7" ht="15" hidden="1" customHeight="1" x14ac:dyDescent="0.3">
      <c r="A2370" t="s">
        <v>190</v>
      </c>
      <c r="B2370" s="2">
        <v>46113</v>
      </c>
      <c r="C2370" s="52">
        <v>13176.87</v>
      </c>
      <c r="D2370" s="48">
        <f>_xlfn.XLOOKUP(expected_production[[#This Row],[Site Name]],Table1[[Site Name ]],Table1[Commisioned Date],"")</f>
        <v>44532</v>
      </c>
      <c r="E2370" s="47">
        <f>IF(ISNUMBER(expected_production[[#This Row],[Commissioned Date]]),MAX(0,(expected_production[[#This Row],[Date]]-expected_production[[#This Row],[Commissioned Date]])/365.25),"")</f>
        <v>4.3285420944558526</v>
      </c>
      <c r="F2370" s="49">
        <f>IF(expected_production[[#This Row],[Age (yrs)]]="",1,(1-DegradationRate)^expected_production[[#This Row],[Age (yrs)]])</f>
        <v>0.97005128140724339</v>
      </c>
      <c r="G2370" s="52">
        <f>IF(expected_production[[#This Row],[Base Expected (kWh)]]="","",expected_production[[#This Row],[Base Expected (kWh)]]*expected_production[[#This Row],[Degradation Factor]])</f>
        <v>12782.239628436664</v>
      </c>
    </row>
    <row r="2371" spans="1:7" ht="15" hidden="1" customHeight="1" x14ac:dyDescent="0.3">
      <c r="A2371" t="s">
        <v>190</v>
      </c>
      <c r="B2371" s="2">
        <v>46143</v>
      </c>
      <c r="C2371" s="52">
        <v>12813.75</v>
      </c>
      <c r="D2371" s="48">
        <f>_xlfn.XLOOKUP(expected_production[[#This Row],[Site Name]],Table1[[Site Name ]],Table1[Commisioned Date],"")</f>
        <v>44532</v>
      </c>
      <c r="E2371" s="47">
        <f>IF(ISNUMBER(expected_production[[#This Row],[Commissioned Date]]),MAX(0,(expected_production[[#This Row],[Date]]-expected_production[[#This Row],[Commissioned Date]])/365.25),"")</f>
        <v>4.4106776180698155</v>
      </c>
      <c r="F2371" s="49">
        <f>IF(expected_production[[#This Row],[Age (yrs)]]="",1,(1-DegradationRate)^expected_production[[#This Row],[Age (yrs)]])</f>
        <v>0.96949175193763526</v>
      </c>
      <c r="G2371" s="52">
        <f>IF(expected_production[[#This Row],[Base Expected (kWh)]]="","",expected_production[[#This Row],[Base Expected (kWh)]]*expected_production[[#This Row],[Degradation Factor]])</f>
        <v>12422.824936390874</v>
      </c>
    </row>
    <row r="2372" spans="1:7" ht="15" hidden="1" customHeight="1" x14ac:dyDescent="0.3">
      <c r="A2372" t="s">
        <v>190</v>
      </c>
      <c r="B2372" s="2">
        <v>46174</v>
      </c>
      <c r="C2372" s="52">
        <v>11578.87</v>
      </c>
      <c r="D2372" s="48">
        <f>_xlfn.XLOOKUP(expected_production[[#This Row],[Site Name]],Table1[[Site Name ]],Table1[Commisioned Date],"")</f>
        <v>44532</v>
      </c>
      <c r="E2372" s="47">
        <f>IF(ISNUMBER(expected_production[[#This Row],[Commissioned Date]]),MAX(0,(expected_production[[#This Row],[Date]]-expected_production[[#This Row],[Commissioned Date]])/365.25),"")</f>
        <v>4.4955509924709105</v>
      </c>
      <c r="F2372" s="49">
        <f>IF(expected_production[[#This Row],[Age (yrs)]]="",1,(1-DegradationRate)^expected_production[[#This Row],[Age (yrs)]])</f>
        <v>0.9689139105386172</v>
      </c>
      <c r="G2372" s="52">
        <f>IF(expected_production[[#This Row],[Base Expected (kWh)]]="","",expected_production[[#This Row],[Base Expected (kWh)]]*expected_production[[#This Row],[Degradation Factor]])</f>
        <v>11218.92821131828</v>
      </c>
    </row>
    <row r="2373" spans="1:7" ht="15" hidden="1" customHeight="1" x14ac:dyDescent="0.3">
      <c r="A2373" t="s">
        <v>190</v>
      </c>
      <c r="B2373" s="2">
        <v>46204</v>
      </c>
      <c r="C2373" s="52">
        <v>12892.545</v>
      </c>
      <c r="D2373" s="48">
        <f>_xlfn.XLOOKUP(expected_production[[#This Row],[Site Name]],Table1[[Site Name ]],Table1[Commisioned Date],"")</f>
        <v>44532</v>
      </c>
      <c r="E2373" s="47">
        <f>IF(ISNUMBER(expected_production[[#This Row],[Commissioned Date]]),MAX(0,(expected_production[[#This Row],[Date]]-expected_production[[#This Row],[Commissioned Date]])/365.25),"")</f>
        <v>4.5776865160848734</v>
      </c>
      <c r="F2373" s="49">
        <f>IF(expected_production[[#This Row],[Age (yrs)]]="",1,(1-DegradationRate)^expected_production[[#This Row],[Age (yrs)]])</f>
        <v>0.96835503710908755</v>
      </c>
      <c r="G2373" s="52">
        <f>IF(expected_production[[#This Row],[Base Expected (kWh)]]="","",expected_production[[#This Row],[Base Expected (kWh)]]*expected_production[[#This Row],[Degradation Factor]])</f>
        <v>12484.560891905581</v>
      </c>
    </row>
    <row r="2374" spans="1:7" ht="15" hidden="1" customHeight="1" x14ac:dyDescent="0.3">
      <c r="A2374" t="s">
        <v>190</v>
      </c>
      <c r="B2374" s="2">
        <v>46235</v>
      </c>
      <c r="C2374" s="52">
        <v>14836.92</v>
      </c>
      <c r="D2374" s="48">
        <f>_xlfn.XLOOKUP(expected_production[[#This Row],[Site Name]],Table1[[Site Name ]],Table1[Commisioned Date],"")</f>
        <v>44532</v>
      </c>
      <c r="E2374" s="47">
        <f>IF(ISNUMBER(expected_production[[#This Row],[Commissioned Date]]),MAX(0,(expected_production[[#This Row],[Date]]-expected_production[[#This Row],[Commissioned Date]])/365.25),"")</f>
        <v>4.6625598904859684</v>
      </c>
      <c r="F2374" s="49">
        <f>IF(expected_production[[#This Row],[Age (yrs)]]="",1,(1-DegradationRate)^expected_production[[#This Row],[Age (yrs)]])</f>
        <v>0.96777787322061615</v>
      </c>
      <c r="G2374" s="52">
        <f>IF(expected_production[[#This Row],[Base Expected (kWh)]]="","",expected_production[[#This Row],[Base Expected (kWh)]]*expected_production[[#This Row],[Degradation Factor]])</f>
        <v>14358.842882744424</v>
      </c>
    </row>
    <row r="2375" spans="1:7" ht="15" hidden="1" customHeight="1" x14ac:dyDescent="0.3">
      <c r="A2375" t="s">
        <v>190</v>
      </c>
      <c r="B2375" s="2">
        <v>46266</v>
      </c>
      <c r="C2375" s="52">
        <v>15996.15</v>
      </c>
      <c r="D2375" s="48">
        <f>_xlfn.XLOOKUP(expected_production[[#This Row],[Site Name]],Table1[[Site Name ]],Table1[Commisioned Date],"")</f>
        <v>44532</v>
      </c>
      <c r="E2375" s="47">
        <f>IF(ISNUMBER(expected_production[[#This Row],[Commissioned Date]]),MAX(0,(expected_production[[#This Row],[Date]]-expected_production[[#This Row],[Commissioned Date]])/365.25),"")</f>
        <v>4.7474332648870634</v>
      </c>
      <c r="F2375" s="49">
        <f>IF(expected_production[[#This Row],[Age (yrs)]]="",1,(1-DegradationRate)^expected_production[[#This Row],[Age (yrs)]])</f>
        <v>0.96720105333629747</v>
      </c>
      <c r="G2375" s="52">
        <f>IF(expected_production[[#This Row],[Base Expected (kWh)]]="","",expected_production[[#This Row],[Base Expected (kWh)]]*expected_production[[#This Row],[Degradation Factor]])</f>
        <v>15471.493129325414</v>
      </c>
    </row>
    <row r="2376" spans="1:7" ht="15" hidden="1" customHeight="1" x14ac:dyDescent="0.3">
      <c r="A2376" t="s">
        <v>190</v>
      </c>
      <c r="B2376" s="2">
        <v>46296</v>
      </c>
      <c r="C2376" s="52">
        <v>16796.169999999998</v>
      </c>
      <c r="D2376" s="48">
        <f>_xlfn.XLOOKUP(expected_production[[#This Row],[Site Name]],Table1[[Site Name ]],Table1[Commisioned Date],"")</f>
        <v>44532</v>
      </c>
      <c r="E2376" s="47">
        <f>IF(ISNUMBER(expected_production[[#This Row],[Commissioned Date]]),MAX(0,(expected_production[[#This Row],[Date]]-expected_production[[#This Row],[Commissioned Date]])/365.25),"")</f>
        <v>4.8295687885010263</v>
      </c>
      <c r="F2376" s="49">
        <f>IF(expected_production[[#This Row],[Age (yrs)]]="",1,(1-DegradationRate)^expected_production[[#This Row],[Age (yrs)]])</f>
        <v>0.96664316788967175</v>
      </c>
      <c r="G2376" s="52">
        <f>IF(expected_production[[#This Row],[Base Expected (kWh)]]="","",expected_production[[#This Row],[Base Expected (kWh)]]*expected_production[[#This Row],[Degradation Factor]])</f>
        <v>16235.902977213465</v>
      </c>
    </row>
    <row r="2377" spans="1:7" ht="15" hidden="1" customHeight="1" x14ac:dyDescent="0.3">
      <c r="A2377" t="s">
        <v>190</v>
      </c>
      <c r="B2377" s="2">
        <v>46327</v>
      </c>
      <c r="C2377" s="52">
        <v>16463.224999999999</v>
      </c>
      <c r="D2377" s="48">
        <f>_xlfn.XLOOKUP(expected_production[[#This Row],[Site Name]],Table1[[Site Name ]],Table1[Commisioned Date],"")</f>
        <v>44532</v>
      </c>
      <c r="E2377" s="47">
        <f>IF(ISNUMBER(expected_production[[#This Row],[Commissioned Date]]),MAX(0,(expected_production[[#This Row],[Date]]-expected_production[[#This Row],[Commissioned Date]])/365.25),"")</f>
        <v>4.9144421629021222</v>
      </c>
      <c r="F2377" s="49">
        <f>IF(expected_production[[#This Row],[Age (yrs)]]="",1,(1-DegradationRate)^expected_production[[#This Row],[Age (yrs)]])</f>
        <v>0.96606702431818881</v>
      </c>
      <c r="G2377" s="52">
        <f>IF(expected_production[[#This Row],[Base Expected (kWh)]]="","",expected_production[[#This Row],[Base Expected (kWh)]]*expected_production[[#This Row],[Degradation Factor]])</f>
        <v>15904.578786430813</v>
      </c>
    </row>
    <row r="2378" spans="1:7" ht="15" hidden="1" customHeight="1" x14ac:dyDescent="0.3">
      <c r="A2378" t="s">
        <v>190</v>
      </c>
      <c r="B2378" s="2">
        <v>46357</v>
      </c>
      <c r="C2378" s="52">
        <v>17398.904999999999</v>
      </c>
      <c r="D2378" s="48">
        <f>_xlfn.XLOOKUP(expected_production[[#This Row],[Site Name]],Table1[[Site Name ]],Table1[Commisioned Date],"")</f>
        <v>44532</v>
      </c>
      <c r="E2378" s="47">
        <f>IF(ISNUMBER(expected_production[[#This Row],[Commissioned Date]]),MAX(0,(expected_production[[#This Row],[Date]]-expected_production[[#This Row],[Commissioned Date]])/365.25),"")</f>
        <v>4.9965776865160851</v>
      </c>
      <c r="F2378" s="49">
        <f>IF(expected_production[[#This Row],[Age (yrs)]]="",1,(1-DegradationRate)^expected_production[[#This Row],[Age (yrs)]])</f>
        <v>0.96550979298404893</v>
      </c>
      <c r="G2378" s="52">
        <f>IF(expected_production[[#This Row],[Base Expected (kWh)]]="","",expected_production[[#This Row],[Base Expected (kWh)]]*expected_production[[#This Row],[Degradation Factor]])</f>
        <v>16798.813164699131</v>
      </c>
    </row>
    <row r="2379" spans="1:7" ht="15" hidden="1" customHeight="1" x14ac:dyDescent="0.3">
      <c r="A2379" t="s">
        <v>199</v>
      </c>
      <c r="B2379" s="2">
        <v>45292</v>
      </c>
      <c r="C2379" s="52">
        <v>3784.4250000000002</v>
      </c>
      <c r="D2379" s="48">
        <f>_xlfn.XLOOKUP(expected_production[[#This Row],[Site Name]],Table1[[Site Name ]],Table1[Commisioned Date],"")</f>
        <v>44351</v>
      </c>
      <c r="E2379" s="47">
        <f>IF(ISNUMBER(expected_production[[#This Row],[Commissioned Date]]),MAX(0,(expected_production[[#This Row],[Date]]-expected_production[[#This Row],[Commissioned Date]])/365.25),"")</f>
        <v>2.5763175906913074</v>
      </c>
      <c r="F2379" s="49">
        <f>IF(expected_production[[#This Row],[Age (yrs)]]="",1,(1-DegradationRate)^expected_production[[#This Row],[Age (yrs)]])</f>
        <v>0.98206513978936671</v>
      </c>
      <c r="G2379" s="52">
        <f>IF(expected_production[[#This Row],[Base Expected (kWh)]]="","",expected_production[[#This Row],[Base Expected (kWh)]]*expected_production[[#This Row],[Degradation Factor]])</f>
        <v>3716.5518666473745</v>
      </c>
    </row>
    <row r="2380" spans="1:7" ht="15" hidden="1" customHeight="1" x14ac:dyDescent="0.3">
      <c r="A2380" t="s">
        <v>199</v>
      </c>
      <c r="B2380" s="2">
        <v>45323</v>
      </c>
      <c r="C2380" s="52">
        <v>3270.15</v>
      </c>
      <c r="D2380" s="48">
        <f>_xlfn.XLOOKUP(expected_production[[#This Row],[Site Name]],Table1[[Site Name ]],Table1[Commisioned Date],"")</f>
        <v>44351</v>
      </c>
      <c r="E2380" s="47">
        <f>IF(ISNUMBER(expected_production[[#This Row],[Commissioned Date]]),MAX(0,(expected_production[[#This Row],[Date]]-expected_production[[#This Row],[Commissioned Date]])/365.25),"")</f>
        <v>2.6611909650924024</v>
      </c>
      <c r="F2380" s="49">
        <f>IF(expected_production[[#This Row],[Age (yrs)]]="",1,(1-DegradationRate)^expected_production[[#This Row],[Age (yrs)]])</f>
        <v>0.98147980433584825</v>
      </c>
      <c r="G2380" s="52">
        <f>IF(expected_production[[#This Row],[Base Expected (kWh)]]="","",expected_production[[#This Row],[Base Expected (kWh)]]*expected_production[[#This Row],[Degradation Factor]])</f>
        <v>3209.5861821488743</v>
      </c>
    </row>
    <row r="2381" spans="1:7" ht="15" hidden="1" customHeight="1" x14ac:dyDescent="0.3">
      <c r="A2381" t="s">
        <v>199</v>
      </c>
      <c r="B2381" s="2">
        <v>45352</v>
      </c>
      <c r="C2381" s="52">
        <v>3533.3249999999998</v>
      </c>
      <c r="D2381" s="48">
        <f>_xlfn.XLOOKUP(expected_production[[#This Row],[Site Name]],Table1[[Site Name ]],Table1[Commisioned Date],"")</f>
        <v>44351</v>
      </c>
      <c r="E2381" s="47">
        <f>IF(ISNUMBER(expected_production[[#This Row],[Commissioned Date]]),MAX(0,(expected_production[[#This Row],[Date]]-expected_production[[#This Row],[Commissioned Date]])/365.25),"")</f>
        <v>2.7405886379192332</v>
      </c>
      <c r="F2381" s="49">
        <f>IF(expected_production[[#This Row],[Age (yrs)]]="",1,(1-DegradationRate)^expected_production[[#This Row],[Age (yrs)]])</f>
        <v>0.98093254830264243</v>
      </c>
      <c r="G2381" s="52">
        <f>IF(expected_production[[#This Row],[Base Expected (kWh)]]="","",expected_production[[#This Row],[Base Expected (kWh)]]*expected_production[[#This Row],[Degradation Factor]])</f>
        <v>3465.9534962314337</v>
      </c>
    </row>
    <row r="2382" spans="1:7" ht="15" hidden="1" customHeight="1" x14ac:dyDescent="0.3">
      <c r="A2382" t="s">
        <v>199</v>
      </c>
      <c r="B2382" s="2">
        <v>45383</v>
      </c>
      <c r="C2382" s="52">
        <v>3063.0749999999998</v>
      </c>
      <c r="D2382" s="48">
        <f>_xlfn.XLOOKUP(expected_production[[#This Row],[Site Name]],Table1[[Site Name ]],Table1[Commisioned Date],"")</f>
        <v>44351</v>
      </c>
      <c r="E2382" s="47">
        <f>IF(ISNUMBER(expected_production[[#This Row],[Commissioned Date]]),MAX(0,(expected_production[[#This Row],[Date]]-expected_production[[#This Row],[Commissioned Date]])/365.25),"")</f>
        <v>2.8254620123203287</v>
      </c>
      <c r="F2382" s="49">
        <f>IF(expected_production[[#This Row],[Age (yrs)]]="",1,(1-DegradationRate)^expected_production[[#This Row],[Age (yrs)]])</f>
        <v>0.9803478879020554</v>
      </c>
      <c r="G2382" s="52">
        <f>IF(expected_production[[#This Row],[Base Expected (kWh)]]="","",expected_production[[#This Row],[Base Expected (kWh)]]*expected_production[[#This Row],[Degradation Factor]])</f>
        <v>3002.8791067355883</v>
      </c>
    </row>
    <row r="2383" spans="1:7" ht="15" hidden="1" customHeight="1" x14ac:dyDescent="0.3">
      <c r="A2383" t="s">
        <v>199</v>
      </c>
      <c r="B2383" s="2">
        <v>45413</v>
      </c>
      <c r="C2383" s="52">
        <v>3093.8249999999998</v>
      </c>
      <c r="D2383" s="48">
        <f>_xlfn.XLOOKUP(expected_production[[#This Row],[Site Name]],Table1[[Site Name ]],Table1[Commisioned Date],"")</f>
        <v>44351</v>
      </c>
      <c r="E2383" s="47">
        <f>IF(ISNUMBER(expected_production[[#This Row],[Commissioned Date]]),MAX(0,(expected_production[[#This Row],[Date]]-expected_production[[#This Row],[Commissioned Date]])/365.25),"")</f>
        <v>2.9075975359342916</v>
      </c>
      <c r="F2383" s="49">
        <f>IF(expected_production[[#This Row],[Age (yrs)]]="",1,(1-DegradationRate)^expected_production[[#This Row],[Age (yrs)]])</f>
        <v>0.9797824193085255</v>
      </c>
      <c r="G2383" s="52">
        <f>IF(expected_production[[#This Row],[Base Expected (kWh)]]="","",expected_production[[#This Row],[Base Expected (kWh)]]*expected_production[[#This Row],[Degradation Factor]])</f>
        <v>3031.2753434171987</v>
      </c>
    </row>
    <row r="2384" spans="1:7" ht="15" hidden="1" customHeight="1" x14ac:dyDescent="0.3">
      <c r="A2384" t="s">
        <v>199</v>
      </c>
      <c r="B2384" s="2">
        <v>45444</v>
      </c>
      <c r="C2384" s="52">
        <v>2834.0250000000001</v>
      </c>
      <c r="D2384" s="48">
        <f>_xlfn.XLOOKUP(expected_production[[#This Row],[Site Name]],Table1[[Site Name ]],Table1[Commisioned Date],"")</f>
        <v>44351</v>
      </c>
      <c r="E2384" s="47">
        <f>IF(ISNUMBER(expected_production[[#This Row],[Commissioned Date]]),MAX(0,(expected_production[[#This Row],[Date]]-expected_production[[#This Row],[Commissioned Date]])/365.25),"")</f>
        <v>2.9924709103353866</v>
      </c>
      <c r="F2384" s="49">
        <f>IF(expected_production[[#This Row],[Age (yrs)]]="",1,(1-DegradationRate)^expected_production[[#This Row],[Age (yrs)]])</f>
        <v>0.97919844441366433</v>
      </c>
      <c r="G2384" s="52">
        <f>IF(expected_production[[#This Row],[Base Expected (kWh)]]="","",expected_production[[#This Row],[Base Expected (kWh)]]*expected_production[[#This Row],[Degradation Factor]])</f>
        <v>2775.0728714294351</v>
      </c>
    </row>
    <row r="2385" spans="1:7" ht="15" hidden="1" customHeight="1" x14ac:dyDescent="0.3">
      <c r="A2385" t="s">
        <v>199</v>
      </c>
      <c r="B2385" s="2">
        <v>45474</v>
      </c>
      <c r="C2385" s="52">
        <v>3103.35</v>
      </c>
      <c r="D2385" s="48">
        <f>_xlfn.XLOOKUP(expected_production[[#This Row],[Site Name]],Table1[[Site Name ]],Table1[Commisioned Date],"")</f>
        <v>44351</v>
      </c>
      <c r="E2385" s="47">
        <f>IF(ISNUMBER(expected_production[[#This Row],[Commissioned Date]]),MAX(0,(expected_production[[#This Row],[Date]]-expected_production[[#This Row],[Commissioned Date]])/365.25),"")</f>
        <v>3.07460643394935</v>
      </c>
      <c r="F2385" s="49">
        <f>IF(expected_production[[#This Row],[Age (yrs)]]="",1,(1-DegradationRate)^expected_production[[#This Row],[Age (yrs)]])</f>
        <v>0.97863363882374843</v>
      </c>
      <c r="G2385" s="52">
        <f>IF(expected_production[[#This Row],[Base Expected (kWh)]]="","",expected_production[[#This Row],[Base Expected (kWh)]]*expected_production[[#This Row],[Degradation Factor]])</f>
        <v>3037.0427030436795</v>
      </c>
    </row>
    <row r="2386" spans="1:7" ht="15" hidden="1" customHeight="1" x14ac:dyDescent="0.3">
      <c r="A2386" t="s">
        <v>199</v>
      </c>
      <c r="B2386" s="2">
        <v>45505</v>
      </c>
      <c r="C2386" s="52">
        <v>3491.55</v>
      </c>
      <c r="D2386" s="48">
        <f>_xlfn.XLOOKUP(expected_production[[#This Row],[Site Name]],Table1[[Site Name ]],Table1[Commisioned Date],"")</f>
        <v>44351</v>
      </c>
      <c r="E2386" s="47">
        <f>IF(ISNUMBER(expected_production[[#This Row],[Commissioned Date]]),MAX(0,(expected_production[[#This Row],[Date]]-expected_production[[#This Row],[Commissioned Date]])/365.25),"")</f>
        <v>3.159479808350445</v>
      </c>
      <c r="F2386" s="49">
        <f>IF(expected_production[[#This Row],[Age (yrs)]]="",1,(1-DegradationRate)^expected_production[[#This Row],[Age (yrs)]])</f>
        <v>0.97805034863086748</v>
      </c>
      <c r="G2386" s="52">
        <f>IF(expected_production[[#This Row],[Base Expected (kWh)]]="","",expected_production[[#This Row],[Base Expected (kWh)]]*expected_production[[#This Row],[Degradation Factor]])</f>
        <v>3414.9116947621055</v>
      </c>
    </row>
    <row r="2387" spans="1:7" ht="15" hidden="1" customHeight="1" x14ac:dyDescent="0.3">
      <c r="A2387" t="s">
        <v>199</v>
      </c>
      <c r="B2387" s="2">
        <v>45536</v>
      </c>
      <c r="C2387" s="52">
        <v>3723.45</v>
      </c>
      <c r="D2387" s="48">
        <f>_xlfn.XLOOKUP(expected_production[[#This Row],[Site Name]],Table1[[Site Name ]],Table1[Commisioned Date],"")</f>
        <v>44351</v>
      </c>
      <c r="E2387" s="47">
        <f>IF(ISNUMBER(expected_production[[#This Row],[Commissioned Date]]),MAX(0,(expected_production[[#This Row],[Date]]-expected_production[[#This Row],[Commissioned Date]])/365.25),"")</f>
        <v>3.2443531827515399</v>
      </c>
      <c r="F2387" s="49">
        <f>IF(expected_production[[#This Row],[Age (yrs)]]="",1,(1-DegradationRate)^expected_production[[#This Row],[Age (yrs)]])</f>
        <v>0.97746740609357052</v>
      </c>
      <c r="G2387" s="52">
        <f>IF(expected_production[[#This Row],[Base Expected (kWh)]]="","",expected_production[[#This Row],[Base Expected (kWh)]]*expected_production[[#This Row],[Degradation Factor]])</f>
        <v>3639.5510132191048</v>
      </c>
    </row>
    <row r="2388" spans="1:7" ht="15" hidden="1" customHeight="1" x14ac:dyDescent="0.3">
      <c r="A2388" t="s">
        <v>199</v>
      </c>
      <c r="B2388" s="2">
        <v>45566</v>
      </c>
      <c r="C2388" s="52">
        <v>3899.4</v>
      </c>
      <c r="D2388" s="48">
        <f>_xlfn.XLOOKUP(expected_production[[#This Row],[Site Name]],Table1[[Site Name ]],Table1[Commisioned Date],"")</f>
        <v>44351</v>
      </c>
      <c r="E2388" s="47">
        <f>IF(ISNUMBER(expected_production[[#This Row],[Commissioned Date]]),MAX(0,(expected_production[[#This Row],[Date]]-expected_production[[#This Row],[Commissioned Date]])/365.25),"")</f>
        <v>3.3264887063655029</v>
      </c>
      <c r="F2388" s="49">
        <f>IF(expected_production[[#This Row],[Age (yrs)]]="",1,(1-DegradationRate)^expected_production[[#This Row],[Age (yrs)]])</f>
        <v>0.97690359897350021</v>
      </c>
      <c r="G2388" s="52">
        <f>IF(expected_production[[#This Row],[Base Expected (kWh)]]="","",expected_production[[#This Row],[Base Expected (kWh)]]*expected_production[[#This Row],[Degradation Factor]])</f>
        <v>3809.3378938372666</v>
      </c>
    </row>
    <row r="2389" spans="1:7" ht="15" hidden="1" customHeight="1" x14ac:dyDescent="0.3">
      <c r="A2389" t="s">
        <v>199</v>
      </c>
      <c r="B2389" s="2">
        <v>45597</v>
      </c>
      <c r="C2389" s="52">
        <v>3732.75</v>
      </c>
      <c r="D2389" s="48">
        <f>_xlfn.XLOOKUP(expected_production[[#This Row],[Site Name]],Table1[[Site Name ]],Table1[Commisioned Date],"")</f>
        <v>44351</v>
      </c>
      <c r="E2389" s="47">
        <f>IF(ISNUMBER(expected_production[[#This Row],[Commissioned Date]]),MAX(0,(expected_production[[#This Row],[Date]]-expected_production[[#This Row],[Commissioned Date]])/365.25),"")</f>
        <v>3.4113620807665983</v>
      </c>
      <c r="F2389" s="49">
        <f>IF(expected_production[[#This Row],[Age (yrs)]]="",1,(1-DegradationRate)^expected_production[[#This Row],[Age (yrs)]])</f>
        <v>0.97632133992775949</v>
      </c>
      <c r="G2389" s="52">
        <f>IF(expected_production[[#This Row],[Base Expected (kWh)]]="","",expected_production[[#This Row],[Base Expected (kWh)]]*expected_production[[#This Row],[Degradation Factor]])</f>
        <v>3644.3634816153444</v>
      </c>
    </row>
    <row r="2390" spans="1:7" ht="15" hidden="1" customHeight="1" x14ac:dyDescent="0.3">
      <c r="A2390" t="s">
        <v>199</v>
      </c>
      <c r="B2390" s="2">
        <v>45627</v>
      </c>
      <c r="C2390" s="52">
        <v>4016.1750000000002</v>
      </c>
      <c r="D2390" s="48">
        <f>_xlfn.XLOOKUP(expected_production[[#This Row],[Site Name]],Table1[[Site Name ]],Table1[Commisioned Date],"")</f>
        <v>44351</v>
      </c>
      <c r="E2390" s="47">
        <f>IF(ISNUMBER(expected_production[[#This Row],[Commissioned Date]]),MAX(0,(expected_production[[#This Row],[Date]]-expected_production[[#This Row],[Commissioned Date]])/365.25),"")</f>
        <v>3.4934976043805612</v>
      </c>
      <c r="F2390" s="49">
        <f>IF(expected_production[[#This Row],[Age (yrs)]]="",1,(1-DegradationRate)^expected_production[[#This Row],[Age (yrs)]])</f>
        <v>0.97575819386325002</v>
      </c>
      <c r="G2390" s="52">
        <f>IF(expected_production[[#This Row],[Base Expected (kWh)]]="","",expected_production[[#This Row],[Base Expected (kWh)]]*expected_production[[#This Row],[Degradation Factor]])</f>
        <v>3918.8156642387385</v>
      </c>
    </row>
    <row r="2391" spans="1:7" ht="15" hidden="1" customHeight="1" x14ac:dyDescent="0.3">
      <c r="A2391" t="s">
        <v>199</v>
      </c>
      <c r="B2391" s="2">
        <v>45658</v>
      </c>
      <c r="C2391" s="52">
        <v>3784.4250000000002</v>
      </c>
      <c r="D2391" s="48">
        <f>_xlfn.XLOOKUP(expected_production[[#This Row],[Site Name]],Table1[[Site Name ]],Table1[Commisioned Date],"")</f>
        <v>44351</v>
      </c>
      <c r="E2391" s="47">
        <f>IF(ISNUMBER(expected_production[[#This Row],[Commissioned Date]]),MAX(0,(expected_production[[#This Row],[Date]]-expected_production[[#This Row],[Commissioned Date]])/365.25),"")</f>
        <v>3.5783709787816562</v>
      </c>
      <c r="F2391" s="49">
        <f>IF(expected_production[[#This Row],[Age (yrs)]]="",1,(1-DegradationRate)^expected_production[[#This Row],[Age (yrs)]])</f>
        <v>0.97517661750768181</v>
      </c>
      <c r="G2391" s="52">
        <f>IF(expected_production[[#This Row],[Base Expected (kWh)]]="","",expected_production[[#This Row],[Base Expected (kWh)]]*expected_production[[#This Row],[Degradation Factor]])</f>
        <v>3690.4827707115087</v>
      </c>
    </row>
    <row r="2392" spans="1:7" ht="15" hidden="1" customHeight="1" x14ac:dyDescent="0.3">
      <c r="A2392" t="s">
        <v>199</v>
      </c>
      <c r="B2392" s="2">
        <v>45689</v>
      </c>
      <c r="C2392" s="52">
        <v>3270.15</v>
      </c>
      <c r="D2392" s="48">
        <f>_xlfn.XLOOKUP(expected_production[[#This Row],[Site Name]],Table1[[Site Name ]],Table1[Commisioned Date],"")</f>
        <v>44351</v>
      </c>
      <c r="E2392" s="47">
        <f>IF(ISNUMBER(expected_production[[#This Row],[Commissioned Date]]),MAX(0,(expected_production[[#This Row],[Date]]-expected_production[[#This Row],[Commissioned Date]])/365.25),"")</f>
        <v>3.6632443531827517</v>
      </c>
      <c r="F2392" s="49">
        <f>IF(expected_production[[#This Row],[Age (yrs)]]="",1,(1-DegradationRate)^expected_production[[#This Row],[Age (yrs)]])</f>
        <v>0.97459538778620747</v>
      </c>
      <c r="G2392" s="52">
        <f>IF(expected_production[[#This Row],[Base Expected (kWh)]]="","",expected_production[[#This Row],[Base Expected (kWh)]]*expected_production[[#This Row],[Degradation Factor]])</f>
        <v>3187.0731073690663</v>
      </c>
    </row>
    <row r="2393" spans="1:7" ht="15" hidden="1" customHeight="1" x14ac:dyDescent="0.3">
      <c r="A2393" t="s">
        <v>199</v>
      </c>
      <c r="B2393" s="2">
        <v>45717</v>
      </c>
      <c r="C2393" s="52">
        <v>3533.3249999999998</v>
      </c>
      <c r="D2393" s="48">
        <f>_xlfn.XLOOKUP(expected_production[[#This Row],[Site Name]],Table1[[Site Name ]],Table1[Commisioned Date],"")</f>
        <v>44351</v>
      </c>
      <c r="E2393" s="47">
        <f>IF(ISNUMBER(expected_production[[#This Row],[Commissioned Date]]),MAX(0,(expected_production[[#This Row],[Date]]-expected_production[[#This Row],[Commissioned Date]])/365.25),"")</f>
        <v>3.7399041752224504</v>
      </c>
      <c r="F2393" s="49">
        <f>IF(expected_production[[#This Row],[Age (yrs)]]="",1,(1-DegradationRate)^expected_production[[#This Row],[Age (yrs)]])</f>
        <v>0.97407070386983974</v>
      </c>
      <c r="G2393" s="52">
        <f>IF(expected_production[[#This Row],[Base Expected (kWh)]]="","",expected_production[[#This Row],[Base Expected (kWh)]]*expected_production[[#This Row],[Degradation Factor]])</f>
        <v>3441.7083697509015</v>
      </c>
    </row>
    <row r="2394" spans="1:7" ht="15" hidden="1" customHeight="1" x14ac:dyDescent="0.3">
      <c r="A2394" t="s">
        <v>199</v>
      </c>
      <c r="B2394" s="2">
        <v>45748</v>
      </c>
      <c r="C2394" s="52">
        <v>3063.0749999999998</v>
      </c>
      <c r="D2394" s="48">
        <f>_xlfn.XLOOKUP(expected_production[[#This Row],[Site Name]],Table1[[Site Name ]],Table1[Commisioned Date],"")</f>
        <v>44351</v>
      </c>
      <c r="E2394" s="47">
        <f>IF(ISNUMBER(expected_production[[#This Row],[Commissioned Date]]),MAX(0,(expected_production[[#This Row],[Date]]-expected_production[[#This Row],[Commissioned Date]])/365.25),"")</f>
        <v>3.8247775496235454</v>
      </c>
      <c r="F2394" s="49">
        <f>IF(expected_production[[#This Row],[Age (yrs)]]="",1,(1-DegradationRate)^expected_production[[#This Row],[Age (yrs)]])</f>
        <v>0.97349013330062995</v>
      </c>
      <c r="G2394" s="52">
        <f>IF(expected_production[[#This Row],[Base Expected (kWh)]]="","",expected_production[[#This Row],[Base Expected (kWh)]]*expected_production[[#This Row],[Degradation Factor]])</f>
        <v>2981.873290059827</v>
      </c>
    </row>
    <row r="2395" spans="1:7" ht="15" hidden="1" customHeight="1" x14ac:dyDescent="0.3">
      <c r="A2395" t="s">
        <v>199</v>
      </c>
      <c r="B2395" s="2">
        <v>45778</v>
      </c>
      <c r="C2395" s="52">
        <v>3093.8249999999998</v>
      </c>
      <c r="D2395" s="48">
        <f>_xlfn.XLOOKUP(expected_production[[#This Row],[Site Name]],Table1[[Site Name ]],Table1[Commisioned Date],"")</f>
        <v>44351</v>
      </c>
      <c r="E2395" s="47">
        <f>IF(ISNUMBER(expected_production[[#This Row],[Commissioned Date]]),MAX(0,(expected_production[[#This Row],[Date]]-expected_production[[#This Row],[Commissioned Date]])/365.25),"")</f>
        <v>3.9069130732375084</v>
      </c>
      <c r="F2395" s="49">
        <f>IF(expected_production[[#This Row],[Age (yrs)]]="",1,(1-DegradationRate)^expected_production[[#This Row],[Age (yrs)]])</f>
        <v>0.97292862028745775</v>
      </c>
      <c r="G2395" s="52">
        <f>IF(expected_production[[#This Row],[Base Expected (kWh)]]="","",expected_production[[#This Row],[Base Expected (kWh)]]*expected_production[[#This Row],[Degradation Factor]])</f>
        <v>3010.0708886608436</v>
      </c>
    </row>
    <row r="2396" spans="1:7" ht="15" hidden="1" customHeight="1" x14ac:dyDescent="0.3">
      <c r="A2396" t="s">
        <v>199</v>
      </c>
      <c r="B2396" s="2">
        <v>45809</v>
      </c>
      <c r="C2396" s="52">
        <v>2834.0250000000001</v>
      </c>
      <c r="D2396" s="48">
        <f>_xlfn.XLOOKUP(expected_production[[#This Row],[Site Name]],Table1[[Site Name ]],Table1[Commisioned Date],"")</f>
        <v>44351</v>
      </c>
      <c r="E2396" s="47">
        <f>IF(ISNUMBER(expected_production[[#This Row],[Commissioned Date]]),MAX(0,(expected_production[[#This Row],[Date]]-expected_production[[#This Row],[Commissioned Date]])/365.25),"")</f>
        <v>3.9917864476386038</v>
      </c>
      <c r="F2396" s="49">
        <f>IF(expected_production[[#This Row],[Age (yrs)]]="",1,(1-DegradationRate)^expected_production[[#This Row],[Age (yrs)]])</f>
        <v>0.97234873042870651</v>
      </c>
      <c r="G2396" s="52">
        <f>IF(expected_production[[#This Row],[Base Expected (kWh)]]="","",expected_production[[#This Row],[Base Expected (kWh)]]*expected_production[[#This Row],[Degradation Factor]])</f>
        <v>2755.6606107532152</v>
      </c>
    </row>
    <row r="2397" spans="1:7" ht="15" hidden="1" customHeight="1" x14ac:dyDescent="0.3">
      <c r="A2397" t="s">
        <v>199</v>
      </c>
      <c r="B2397" s="2">
        <v>45839</v>
      </c>
      <c r="C2397" s="52">
        <v>3103.35</v>
      </c>
      <c r="D2397" s="48">
        <f>_xlfn.XLOOKUP(expected_production[[#This Row],[Site Name]],Table1[[Site Name ]],Table1[Commisioned Date],"")</f>
        <v>44351</v>
      </c>
      <c r="E2397" s="47">
        <f>IF(ISNUMBER(expected_production[[#This Row],[Commissioned Date]]),MAX(0,(expected_production[[#This Row],[Date]]-expected_production[[#This Row],[Commissioned Date]])/365.25),"")</f>
        <v>4.0739219712525667</v>
      </c>
      <c r="F2397" s="49">
        <f>IF(expected_production[[#This Row],[Age (yrs)]]="",1,(1-DegradationRate)^expected_production[[#This Row],[Age (yrs)]])</f>
        <v>0.97178787578128856</v>
      </c>
      <c r="G2397" s="52">
        <f>IF(expected_production[[#This Row],[Base Expected (kWh)]]="","",expected_production[[#This Row],[Base Expected (kWh)]]*expected_production[[#This Row],[Degradation Factor]])</f>
        <v>3015.7979043058617</v>
      </c>
    </row>
    <row r="2398" spans="1:7" ht="15" hidden="1" customHeight="1" x14ac:dyDescent="0.3">
      <c r="A2398" t="s">
        <v>199</v>
      </c>
      <c r="B2398" s="2">
        <v>45870</v>
      </c>
      <c r="C2398" s="52">
        <v>3491.55</v>
      </c>
      <c r="D2398" s="48">
        <f>_xlfn.XLOOKUP(expected_production[[#This Row],[Site Name]],Table1[[Site Name ]],Table1[Commisioned Date],"")</f>
        <v>44351</v>
      </c>
      <c r="E2398" s="47">
        <f>IF(ISNUMBER(expected_production[[#This Row],[Commissioned Date]]),MAX(0,(expected_production[[#This Row],[Date]]-expected_production[[#This Row],[Commissioned Date]])/365.25),"")</f>
        <v>4.1587953456536617</v>
      </c>
      <c r="F2398" s="49">
        <f>IF(expected_production[[#This Row],[Age (yrs)]]="",1,(1-DegradationRate)^expected_production[[#This Row],[Age (yrs)]])</f>
        <v>0.97120866583487286</v>
      </c>
      <c r="G2398" s="52">
        <f>IF(expected_production[[#This Row],[Base Expected (kWh)]]="","",expected_production[[#This Row],[Base Expected (kWh)]]*expected_production[[#This Row],[Degradation Factor]])</f>
        <v>3391.0236171957504</v>
      </c>
    </row>
    <row r="2399" spans="1:7" ht="15" hidden="1" customHeight="1" x14ac:dyDescent="0.3">
      <c r="A2399" t="s">
        <v>199</v>
      </c>
      <c r="B2399" s="2">
        <v>45901</v>
      </c>
      <c r="C2399" s="52">
        <v>3723.45</v>
      </c>
      <c r="D2399" s="48">
        <f>_xlfn.XLOOKUP(expected_production[[#This Row],[Site Name]],Table1[[Site Name ]],Table1[Commisioned Date],"")</f>
        <v>44351</v>
      </c>
      <c r="E2399" s="47">
        <f>IF(ISNUMBER(expected_production[[#This Row],[Commissioned Date]]),MAX(0,(expected_production[[#This Row],[Date]]-expected_production[[#This Row],[Commissioned Date]])/365.25),"")</f>
        <v>4.2436687200547567</v>
      </c>
      <c r="F2399" s="49">
        <f>IF(expected_production[[#This Row],[Age (yrs)]]="",1,(1-DegradationRate)^expected_production[[#This Row],[Age (yrs)]])</f>
        <v>0.97062980111211183</v>
      </c>
      <c r="G2399" s="52">
        <f>IF(expected_production[[#This Row],[Base Expected (kWh)]]="","",expected_production[[#This Row],[Base Expected (kWh)]]*expected_production[[#This Row],[Degradation Factor]])</f>
        <v>3614.0915329508925</v>
      </c>
    </row>
    <row r="2400" spans="1:7" ht="15" hidden="1" customHeight="1" x14ac:dyDescent="0.3">
      <c r="A2400" t="s">
        <v>199</v>
      </c>
      <c r="B2400" s="2">
        <v>45931</v>
      </c>
      <c r="C2400" s="52">
        <v>3899.4</v>
      </c>
      <c r="D2400" s="48">
        <f>_xlfn.XLOOKUP(expected_production[[#This Row],[Site Name]],Table1[[Site Name ]],Table1[Commisioned Date],"")</f>
        <v>44351</v>
      </c>
      <c r="E2400" s="47">
        <f>IF(ISNUMBER(expected_production[[#This Row],[Commissioned Date]]),MAX(0,(expected_production[[#This Row],[Date]]-expected_production[[#This Row],[Commissioned Date]])/365.25),"")</f>
        <v>4.3258042436687196</v>
      </c>
      <c r="F2400" s="49">
        <f>IF(expected_production[[#This Row],[Age (yrs)]]="",1,(1-DegradationRate)^expected_production[[#This Row],[Age (yrs)]])</f>
        <v>0.97006993795001772</v>
      </c>
      <c r="G2400" s="52">
        <f>IF(expected_production[[#This Row],[Base Expected (kWh)]]="","",expected_production[[#This Row],[Base Expected (kWh)]]*expected_production[[#This Row],[Degradation Factor]])</f>
        <v>3782.6907160422993</v>
      </c>
    </row>
    <row r="2401" spans="1:7" ht="15" hidden="1" customHeight="1" x14ac:dyDescent="0.3">
      <c r="A2401" t="s">
        <v>199</v>
      </c>
      <c r="B2401" s="2">
        <v>45962</v>
      </c>
      <c r="C2401" s="52">
        <v>3732.75</v>
      </c>
      <c r="D2401" s="48">
        <f>_xlfn.XLOOKUP(expected_production[[#This Row],[Site Name]],Table1[[Site Name ]],Table1[Commisioned Date],"")</f>
        <v>44351</v>
      </c>
      <c r="E2401" s="47">
        <f>IF(ISNUMBER(expected_production[[#This Row],[Commissioned Date]]),MAX(0,(expected_production[[#This Row],[Date]]-expected_production[[#This Row],[Commissioned Date]])/365.25),"")</f>
        <v>4.4106776180698155</v>
      </c>
      <c r="F2401" s="49">
        <f>IF(expected_production[[#This Row],[Age (yrs)]]="",1,(1-DegradationRate)^expected_production[[#This Row],[Age (yrs)]])</f>
        <v>0.96949175193763526</v>
      </c>
      <c r="G2401" s="52">
        <f>IF(expected_production[[#This Row],[Base Expected (kWh)]]="","",expected_production[[#This Row],[Base Expected (kWh)]]*expected_production[[#This Row],[Degradation Factor]])</f>
        <v>3618.8703370452081</v>
      </c>
    </row>
    <row r="2402" spans="1:7" ht="15" hidden="1" customHeight="1" x14ac:dyDescent="0.3">
      <c r="A2402" t="s">
        <v>199</v>
      </c>
      <c r="B2402" s="2">
        <v>45992</v>
      </c>
      <c r="C2402" s="52">
        <v>4016.1750000000002</v>
      </c>
      <c r="D2402" s="48">
        <f>_xlfn.XLOOKUP(expected_production[[#This Row],[Site Name]],Table1[[Site Name ]],Table1[Commisioned Date],"")</f>
        <v>44351</v>
      </c>
      <c r="E2402" s="47">
        <f>IF(ISNUMBER(expected_production[[#This Row],[Commissioned Date]]),MAX(0,(expected_production[[#This Row],[Date]]-expected_production[[#This Row],[Commissioned Date]])/365.25),"")</f>
        <v>4.4928131416837784</v>
      </c>
      <c r="F2402" s="49">
        <f>IF(expected_production[[#This Row],[Age (yrs)]]="",1,(1-DegradationRate)^expected_production[[#This Row],[Age (yrs)]])</f>
        <v>0.96893254520686922</v>
      </c>
      <c r="G2402" s="52">
        <f>IF(expected_production[[#This Row],[Base Expected (kWh)]]="","",expected_production[[#This Row],[Base Expected (kWh)]]*expected_production[[#This Row],[Degradation Factor]])</f>
        <v>3891.4026647461983</v>
      </c>
    </row>
    <row r="2403" spans="1:7" ht="15" hidden="1" customHeight="1" x14ac:dyDescent="0.3">
      <c r="A2403" t="s">
        <v>199</v>
      </c>
      <c r="B2403" s="2">
        <v>46023</v>
      </c>
      <c r="C2403" s="52">
        <v>3784.4250000000002</v>
      </c>
      <c r="D2403" s="48">
        <f>_xlfn.XLOOKUP(expected_production[[#This Row],[Site Name]],Table1[[Site Name ]],Table1[Commisioned Date],"")</f>
        <v>44351</v>
      </c>
      <c r="E2403" s="47">
        <f>IF(ISNUMBER(expected_production[[#This Row],[Commissioned Date]]),MAX(0,(expected_production[[#This Row],[Date]]-expected_production[[#This Row],[Commissioned Date]])/365.25),"")</f>
        <v>4.5776865160848734</v>
      </c>
      <c r="F2403" s="49">
        <f>IF(expected_production[[#This Row],[Age (yrs)]]="",1,(1-DegradationRate)^expected_production[[#This Row],[Age (yrs)]])</f>
        <v>0.96835503710908755</v>
      </c>
      <c r="G2403" s="52">
        <f>IF(expected_production[[#This Row],[Base Expected (kWh)]]="","",expected_production[[#This Row],[Base Expected (kWh)]]*expected_production[[#This Row],[Degradation Factor]])</f>
        <v>3664.6670113115588</v>
      </c>
    </row>
    <row r="2404" spans="1:7" ht="15" hidden="1" customHeight="1" x14ac:dyDescent="0.3">
      <c r="A2404" t="s">
        <v>199</v>
      </c>
      <c r="B2404" s="2">
        <v>46054</v>
      </c>
      <c r="C2404" s="52">
        <v>3270.15</v>
      </c>
      <c r="D2404" s="48">
        <f>_xlfn.XLOOKUP(expected_production[[#This Row],[Site Name]],Table1[[Site Name ]],Table1[Commisioned Date],"")</f>
        <v>44351</v>
      </c>
      <c r="E2404" s="47">
        <f>IF(ISNUMBER(expected_production[[#This Row],[Commissioned Date]]),MAX(0,(expected_production[[#This Row],[Date]]-expected_production[[#This Row],[Commissioned Date]])/365.25),"")</f>
        <v>4.6625598904859684</v>
      </c>
      <c r="F2404" s="49">
        <f>IF(expected_production[[#This Row],[Age (yrs)]]="",1,(1-DegradationRate)^expected_production[[#This Row],[Age (yrs)]])</f>
        <v>0.96777787322061615</v>
      </c>
      <c r="G2404" s="52">
        <f>IF(expected_production[[#This Row],[Base Expected (kWh)]]="","",expected_production[[#This Row],[Base Expected (kWh)]]*expected_production[[#This Row],[Degradation Factor]])</f>
        <v>3164.7788121123981</v>
      </c>
    </row>
    <row r="2405" spans="1:7" ht="15" hidden="1" customHeight="1" x14ac:dyDescent="0.3">
      <c r="A2405" t="s">
        <v>199</v>
      </c>
      <c r="B2405" s="2">
        <v>46082</v>
      </c>
      <c r="C2405" s="52">
        <v>3533.3249999999998</v>
      </c>
      <c r="D2405" s="48">
        <f>_xlfn.XLOOKUP(expected_production[[#This Row],[Site Name]],Table1[[Site Name ]],Table1[Commisioned Date],"")</f>
        <v>44351</v>
      </c>
      <c r="E2405" s="47">
        <f>IF(ISNUMBER(expected_production[[#This Row],[Commissioned Date]]),MAX(0,(expected_production[[#This Row],[Date]]-expected_production[[#This Row],[Commissioned Date]])/365.25),"")</f>
        <v>4.7392197125256672</v>
      </c>
      <c r="F2405" s="49">
        <f>IF(expected_production[[#This Row],[Age (yrs)]]="",1,(1-DegradationRate)^expected_production[[#This Row],[Age (yrs)]])</f>
        <v>0.96725685958659013</v>
      </c>
      <c r="G2405" s="52">
        <f>IF(expected_production[[#This Row],[Base Expected (kWh)]]="","",expected_production[[#This Row],[Base Expected (kWh)]]*expected_production[[#This Row],[Degradation Factor]])</f>
        <v>3417.6328433987883</v>
      </c>
    </row>
    <row r="2406" spans="1:7" ht="15" hidden="1" customHeight="1" x14ac:dyDescent="0.3">
      <c r="A2406" t="s">
        <v>199</v>
      </c>
      <c r="B2406" s="2">
        <v>46113</v>
      </c>
      <c r="C2406" s="52">
        <v>3063.0749999999998</v>
      </c>
      <c r="D2406" s="48">
        <f>_xlfn.XLOOKUP(expected_production[[#This Row],[Site Name]],Table1[[Site Name ]],Table1[Commisioned Date],"")</f>
        <v>44351</v>
      </c>
      <c r="E2406" s="47">
        <f>IF(ISNUMBER(expected_production[[#This Row],[Commissioned Date]]),MAX(0,(expected_production[[#This Row],[Date]]-expected_production[[#This Row],[Commissioned Date]])/365.25),"")</f>
        <v>4.8240930869267622</v>
      </c>
      <c r="F2406" s="49">
        <f>IF(expected_production[[#This Row],[Age (yrs)]]="",1,(1-DegradationRate)^expected_production[[#This Row],[Age (yrs)]])</f>
        <v>0.96668035023946441</v>
      </c>
      <c r="G2406" s="52">
        <f>IF(expected_production[[#This Row],[Base Expected (kWh)]]="","",expected_production[[#This Row],[Base Expected (kWh)]]*expected_production[[#This Row],[Degradation Factor]])</f>
        <v>2961.0144138097471</v>
      </c>
    </row>
    <row r="2407" spans="1:7" ht="15" hidden="1" customHeight="1" x14ac:dyDescent="0.3">
      <c r="A2407" t="s">
        <v>199</v>
      </c>
      <c r="B2407" s="2">
        <v>46143</v>
      </c>
      <c r="C2407" s="52">
        <v>3093.8249999999998</v>
      </c>
      <c r="D2407" s="48">
        <f>_xlfn.XLOOKUP(expected_production[[#This Row],[Site Name]],Table1[[Site Name ]],Table1[Commisioned Date],"")</f>
        <v>44351</v>
      </c>
      <c r="E2407" s="47">
        <f>IF(ISNUMBER(expected_production[[#This Row],[Commissioned Date]]),MAX(0,(expected_production[[#This Row],[Date]]-expected_production[[#This Row],[Commissioned Date]])/365.25),"")</f>
        <v>4.9062286105407251</v>
      </c>
      <c r="F2407" s="49">
        <f>IF(expected_production[[#This Row],[Age (yrs)]]="",1,(1-DegradationRate)^expected_production[[#This Row],[Age (yrs)]])</f>
        <v>0.96612276513647333</v>
      </c>
      <c r="G2407" s="52">
        <f>IF(expected_production[[#This Row],[Base Expected (kWh)]]="","",expected_production[[#This Row],[Base Expected (kWh)]]*expected_production[[#This Row],[Degradation Factor]])</f>
        <v>2989.0147638483495</v>
      </c>
    </row>
    <row r="2408" spans="1:7" ht="15" hidden="1" customHeight="1" x14ac:dyDescent="0.3">
      <c r="A2408" t="s">
        <v>199</v>
      </c>
      <c r="B2408" s="2">
        <v>46174</v>
      </c>
      <c r="C2408" s="52">
        <v>2834.0250000000001</v>
      </c>
      <c r="D2408" s="48">
        <f>_xlfn.XLOOKUP(expected_production[[#This Row],[Site Name]],Table1[[Site Name ]],Table1[Commisioned Date],"")</f>
        <v>44351</v>
      </c>
      <c r="E2408" s="47">
        <f>IF(ISNUMBER(expected_production[[#This Row],[Commissioned Date]]),MAX(0,(expected_production[[#This Row],[Date]]-expected_production[[#This Row],[Commissioned Date]])/365.25),"")</f>
        <v>4.991101984941821</v>
      </c>
      <c r="F2408" s="49">
        <f>IF(expected_production[[#This Row],[Age (yrs)]]="",1,(1-DegradationRate)^expected_production[[#This Row],[Age (yrs)]])</f>
        <v>0.96554693173808293</v>
      </c>
      <c r="G2408" s="52">
        <f>IF(expected_production[[#This Row],[Base Expected (kWh)]]="","",expected_production[[#This Row],[Base Expected (kWh)]]*expected_production[[#This Row],[Degradation Factor]])</f>
        <v>2736.3841432190206</v>
      </c>
    </row>
    <row r="2409" spans="1:7" ht="15" hidden="1" customHeight="1" x14ac:dyDescent="0.3">
      <c r="A2409" t="s">
        <v>199</v>
      </c>
      <c r="B2409" s="2">
        <v>46204</v>
      </c>
      <c r="C2409" s="52">
        <v>3103.35</v>
      </c>
      <c r="D2409" s="48">
        <f>_xlfn.XLOOKUP(expected_production[[#This Row],[Site Name]],Table1[[Site Name ]],Table1[Commisioned Date],"")</f>
        <v>44351</v>
      </c>
      <c r="E2409" s="47">
        <f>IF(ISNUMBER(expected_production[[#This Row],[Commissioned Date]]),MAX(0,(expected_production[[#This Row],[Date]]-expected_production[[#This Row],[Commissioned Date]])/365.25),"")</f>
        <v>5.0732375085557839</v>
      </c>
      <c r="F2409" s="49">
        <f>IF(expected_production[[#This Row],[Age (yrs)]]="",1,(1-DegradationRate)^expected_production[[#This Row],[Age (yrs)]])</f>
        <v>0.96499000039542915</v>
      </c>
      <c r="G2409" s="52">
        <f>IF(expected_production[[#This Row],[Base Expected (kWh)]]="","",expected_production[[#This Row],[Base Expected (kWh)]]*expected_production[[#This Row],[Degradation Factor]])</f>
        <v>2994.701717727155</v>
      </c>
    </row>
    <row r="2410" spans="1:7" ht="15" hidden="1" customHeight="1" x14ac:dyDescent="0.3">
      <c r="A2410" t="s">
        <v>199</v>
      </c>
      <c r="B2410" s="2">
        <v>46235</v>
      </c>
      <c r="C2410" s="52">
        <v>3491.55</v>
      </c>
      <c r="D2410" s="48">
        <f>_xlfn.XLOOKUP(expected_production[[#This Row],[Site Name]],Table1[[Site Name ]],Table1[Commisioned Date],"")</f>
        <v>44351</v>
      </c>
      <c r="E2410" s="47">
        <f>IF(ISNUMBER(expected_production[[#This Row],[Commissioned Date]]),MAX(0,(expected_production[[#This Row],[Date]]-expected_production[[#This Row],[Commissioned Date]])/365.25),"")</f>
        <v>5.1581108829568789</v>
      </c>
      <c r="F2410" s="49">
        <f>IF(expected_production[[#This Row],[Age (yrs)]]="",1,(1-DegradationRate)^expected_production[[#This Row],[Age (yrs)]])</f>
        <v>0.96441484215323414</v>
      </c>
      <c r="G2410" s="52">
        <f>IF(expected_production[[#This Row],[Base Expected (kWh)]]="","",expected_production[[#This Row],[Base Expected (kWh)]]*expected_production[[#This Row],[Degradation Factor]])</f>
        <v>3367.3026421201248</v>
      </c>
    </row>
    <row r="2411" spans="1:7" ht="15" hidden="1" customHeight="1" x14ac:dyDescent="0.3">
      <c r="A2411" t="s">
        <v>199</v>
      </c>
      <c r="B2411" s="2">
        <v>46266</v>
      </c>
      <c r="C2411" s="52">
        <v>3723.45</v>
      </c>
      <c r="D2411" s="48">
        <f>_xlfn.XLOOKUP(expected_production[[#This Row],[Site Name]],Table1[[Site Name ]],Table1[Commisioned Date],"")</f>
        <v>44351</v>
      </c>
      <c r="E2411" s="47">
        <f>IF(ISNUMBER(expected_production[[#This Row],[Commissioned Date]]),MAX(0,(expected_production[[#This Row],[Date]]-expected_production[[#This Row],[Commissioned Date]])/365.25),"")</f>
        <v>5.2429842573579739</v>
      </c>
      <c r="F2411" s="49">
        <f>IF(expected_production[[#This Row],[Age (yrs)]]="",1,(1-DegradationRate)^expected_production[[#This Row],[Age (yrs)]])</f>
        <v>0.96384002671977653</v>
      </c>
      <c r="G2411" s="52">
        <f>IF(expected_production[[#This Row],[Base Expected (kWh)]]="","",expected_production[[#This Row],[Base Expected (kWh)]]*expected_production[[#This Row],[Degradation Factor]])</f>
        <v>3588.8101474897517</v>
      </c>
    </row>
    <row r="2412" spans="1:7" ht="15" hidden="1" customHeight="1" x14ac:dyDescent="0.3">
      <c r="A2412" t="s">
        <v>199</v>
      </c>
      <c r="B2412" s="2">
        <v>46296</v>
      </c>
      <c r="C2412" s="52">
        <v>3899.4</v>
      </c>
      <c r="D2412" s="48">
        <f>_xlfn.XLOOKUP(expected_production[[#This Row],[Site Name]],Table1[[Site Name ]],Table1[Commisioned Date],"")</f>
        <v>44351</v>
      </c>
      <c r="E2412" s="47">
        <f>IF(ISNUMBER(expected_production[[#This Row],[Commissioned Date]]),MAX(0,(expected_production[[#This Row],[Date]]-expected_production[[#This Row],[Commissioned Date]])/365.25),"")</f>
        <v>5.3251197809719368</v>
      </c>
      <c r="F2412" s="49">
        <f>IF(expected_production[[#This Row],[Age (yrs)]]="",1,(1-DegradationRate)^expected_production[[#This Row],[Age (yrs)]])</f>
        <v>0.963284079926783</v>
      </c>
      <c r="G2412" s="52">
        <f>IF(expected_production[[#This Row],[Base Expected (kWh)]]="","",expected_production[[#This Row],[Base Expected (kWh)]]*expected_production[[#This Row],[Degradation Factor]])</f>
        <v>3756.2299412664979</v>
      </c>
    </row>
    <row r="2413" spans="1:7" ht="15" hidden="1" customHeight="1" x14ac:dyDescent="0.3">
      <c r="A2413" t="s">
        <v>199</v>
      </c>
      <c r="B2413" s="2">
        <v>46327</v>
      </c>
      <c r="C2413" s="52">
        <v>3732.75</v>
      </c>
      <c r="D2413" s="48">
        <f>_xlfn.XLOOKUP(expected_production[[#This Row],[Site Name]],Table1[[Site Name ]],Table1[Commisioned Date],"")</f>
        <v>44351</v>
      </c>
      <c r="E2413" s="47">
        <f>IF(ISNUMBER(expected_production[[#This Row],[Commissioned Date]]),MAX(0,(expected_production[[#This Row],[Date]]-expected_production[[#This Row],[Commissioned Date]])/365.25),"")</f>
        <v>5.4099931553730318</v>
      </c>
      <c r="F2413" s="49">
        <f>IF(expected_production[[#This Row],[Age (yrs)]]="",1,(1-DegradationRate)^expected_production[[#This Row],[Age (yrs)]])</f>
        <v>0.96270993845597186</v>
      </c>
      <c r="G2413" s="52">
        <f>IF(expected_production[[#This Row],[Base Expected (kWh)]]="","",expected_production[[#This Row],[Base Expected (kWh)]]*expected_production[[#This Row],[Degradation Factor]])</f>
        <v>3593.555522771529</v>
      </c>
    </row>
    <row r="2414" spans="1:7" ht="15" hidden="1" customHeight="1" x14ac:dyDescent="0.3">
      <c r="A2414" t="s">
        <v>199</v>
      </c>
      <c r="B2414" s="2">
        <v>46357</v>
      </c>
      <c r="C2414" s="52">
        <v>4016.1750000000002</v>
      </c>
      <c r="D2414" s="48">
        <f>_xlfn.XLOOKUP(expected_production[[#This Row],[Site Name]],Table1[[Site Name ]],Table1[Commisioned Date],"")</f>
        <v>44351</v>
      </c>
      <c r="E2414" s="47">
        <f>IF(ISNUMBER(expected_production[[#This Row],[Commissioned Date]]),MAX(0,(expected_production[[#This Row],[Date]]-expected_production[[#This Row],[Commissioned Date]])/365.25),"")</f>
        <v>5.4921286789869956</v>
      </c>
      <c r="F2414" s="49">
        <f>IF(expected_production[[#This Row],[Age (yrs)]]="",1,(1-DegradationRate)^expected_production[[#This Row],[Age (yrs)]])</f>
        <v>0.96215464350242119</v>
      </c>
      <c r="G2414" s="52">
        <f>IF(expected_production[[#This Row],[Base Expected (kWh)]]="","",expected_production[[#This Row],[Base Expected (kWh)]]*expected_production[[#This Row],[Degradation Factor]])</f>
        <v>3864.1814253683365</v>
      </c>
    </row>
    <row r="2415" spans="1:7" ht="15" hidden="1" customHeight="1" x14ac:dyDescent="0.3">
      <c r="A2415" t="s">
        <v>192</v>
      </c>
      <c r="B2415" s="2">
        <v>45292</v>
      </c>
      <c r="C2415" s="52">
        <v>0</v>
      </c>
      <c r="D2415" s="48">
        <f>_xlfn.XLOOKUP(expected_production[[#This Row],[Site Name]],Table1[[Site Name ]],Table1[Commisioned Date],"")</f>
        <v>45247</v>
      </c>
      <c r="E2415" s="47">
        <f>IF(ISNUMBER(expected_production[[#This Row],[Commissioned Date]]),MAX(0,(expected_production[[#This Row],[Date]]-expected_production[[#This Row],[Commissioned Date]])/365.25),"")</f>
        <v>0.12320328542094455</v>
      </c>
      <c r="F2415" s="49">
        <f>IF(expected_production[[#This Row],[Age (yrs)]]="",1,(1-DegradationRate)^expected_production[[#This Row],[Age (yrs)]])</f>
        <v>0.9991349187596642</v>
      </c>
      <c r="G2415" s="52">
        <f>IF(expected_production[[#This Row],[Base Expected (kWh)]]="","",expected_production[[#This Row],[Base Expected (kWh)]]*expected_production[[#This Row],[Degradation Factor]])</f>
        <v>0</v>
      </c>
    </row>
    <row r="2416" spans="1:7" ht="15" hidden="1" customHeight="1" x14ac:dyDescent="0.3">
      <c r="A2416" t="s">
        <v>192</v>
      </c>
      <c r="B2416" s="2">
        <v>45323</v>
      </c>
      <c r="C2416" s="52">
        <v>0</v>
      </c>
      <c r="D2416" s="48">
        <f>_xlfn.XLOOKUP(expected_production[[#This Row],[Site Name]],Table1[[Site Name ]],Table1[Commisioned Date],"")</f>
        <v>45247</v>
      </c>
      <c r="E2416" s="47">
        <f>IF(ISNUMBER(expected_production[[#This Row],[Commissioned Date]]),MAX(0,(expected_production[[#This Row],[Date]]-expected_production[[#This Row],[Commissioned Date]])/365.25),"")</f>
        <v>0.20807665982203971</v>
      </c>
      <c r="F2416" s="49">
        <f>IF(expected_production[[#This Row],[Age (yrs)]]="",1,(1-DegradationRate)^expected_production[[#This Row],[Age (yrs)]])</f>
        <v>0.99853940928976925</v>
      </c>
      <c r="G2416" s="52">
        <f>IF(expected_production[[#This Row],[Base Expected (kWh)]]="","",expected_production[[#This Row],[Base Expected (kWh)]]*expected_production[[#This Row],[Degradation Factor]])</f>
        <v>0</v>
      </c>
    </row>
    <row r="2417" spans="1:7" ht="15" hidden="1" customHeight="1" x14ac:dyDescent="0.3">
      <c r="A2417" t="s">
        <v>192</v>
      </c>
      <c r="B2417" s="2">
        <v>45352</v>
      </c>
      <c r="C2417" s="52">
        <v>0</v>
      </c>
      <c r="D2417" s="48">
        <f>_xlfn.XLOOKUP(expected_production[[#This Row],[Site Name]],Table1[[Site Name ]],Table1[Commisioned Date],"")</f>
        <v>45247</v>
      </c>
      <c r="E2417" s="47">
        <f>IF(ISNUMBER(expected_production[[#This Row],[Commissioned Date]]),MAX(0,(expected_production[[#This Row],[Date]]-expected_production[[#This Row],[Commissioned Date]])/365.25),"")</f>
        <v>0.28747433264887062</v>
      </c>
      <c r="F2417" s="49">
        <f>IF(expected_production[[#This Row],[Age (yrs)]]="",1,(1-DegradationRate)^expected_production[[#This Row],[Age (yrs)]])</f>
        <v>0.99798264111816393</v>
      </c>
      <c r="G2417" s="52">
        <f>IF(expected_production[[#This Row],[Base Expected (kWh)]]="","",expected_production[[#This Row],[Base Expected (kWh)]]*expected_production[[#This Row],[Degradation Factor]])</f>
        <v>0</v>
      </c>
    </row>
    <row r="2418" spans="1:7" ht="15" hidden="1" customHeight="1" x14ac:dyDescent="0.3">
      <c r="A2418" t="s">
        <v>192</v>
      </c>
      <c r="B2418" s="2">
        <v>45383</v>
      </c>
      <c r="C2418" s="52">
        <v>0</v>
      </c>
      <c r="D2418" s="48">
        <f>_xlfn.XLOOKUP(expected_production[[#This Row],[Site Name]],Table1[[Site Name ]],Table1[Commisioned Date],"")</f>
        <v>45247</v>
      </c>
      <c r="E2418" s="47">
        <f>IF(ISNUMBER(expected_production[[#This Row],[Commissioned Date]]),MAX(0,(expected_production[[#This Row],[Date]]-expected_production[[#This Row],[Commissioned Date]])/365.25),"")</f>
        <v>0.37234770704996578</v>
      </c>
      <c r="F2418" s="49">
        <f>IF(expected_production[[#This Row],[Age (yrs)]]="",1,(1-DegradationRate)^expected_production[[#This Row],[Age (yrs)]])</f>
        <v>0.99738781843464241</v>
      </c>
      <c r="G2418" s="52">
        <f>IF(expected_production[[#This Row],[Base Expected (kWh)]]="","",expected_production[[#This Row],[Base Expected (kWh)]]*expected_production[[#This Row],[Degradation Factor]])</f>
        <v>0</v>
      </c>
    </row>
    <row r="2419" spans="1:7" ht="15" hidden="1" customHeight="1" x14ac:dyDescent="0.3">
      <c r="A2419" t="s">
        <v>192</v>
      </c>
      <c r="B2419" s="2">
        <v>45413</v>
      </c>
      <c r="C2419" s="52">
        <v>0</v>
      </c>
      <c r="D2419" s="48">
        <f>_xlfn.XLOOKUP(expected_production[[#This Row],[Site Name]],Table1[[Site Name ]],Table1[Commisioned Date],"")</f>
        <v>45247</v>
      </c>
      <c r="E2419" s="47">
        <f>IF(ISNUMBER(expected_production[[#This Row],[Commissioned Date]]),MAX(0,(expected_production[[#This Row],[Date]]-expected_production[[#This Row],[Commissioned Date]])/365.25),"")</f>
        <v>0.45448323066392882</v>
      </c>
      <c r="F2419" s="49">
        <f>IF(expected_production[[#This Row],[Age (yrs)]]="",1,(1-DegradationRate)^expected_production[[#This Row],[Age (yrs)]])</f>
        <v>0.99681252114084085</v>
      </c>
      <c r="G2419" s="52">
        <f>IF(expected_production[[#This Row],[Base Expected (kWh)]]="","",expected_production[[#This Row],[Base Expected (kWh)]]*expected_production[[#This Row],[Degradation Factor]])</f>
        <v>0</v>
      </c>
    </row>
    <row r="2420" spans="1:7" ht="15" hidden="1" customHeight="1" x14ac:dyDescent="0.3">
      <c r="A2420" t="s">
        <v>192</v>
      </c>
      <c r="B2420" s="2">
        <v>45444</v>
      </c>
      <c r="C2420" s="52">
        <v>0</v>
      </c>
      <c r="D2420" s="48">
        <f>_xlfn.XLOOKUP(expected_production[[#This Row],[Site Name]],Table1[[Site Name ]],Table1[Commisioned Date],"")</f>
        <v>45247</v>
      </c>
      <c r="E2420" s="47">
        <f>IF(ISNUMBER(expected_production[[#This Row],[Commissioned Date]]),MAX(0,(expected_production[[#This Row],[Date]]-expected_production[[#This Row],[Commissioned Date]])/365.25),"")</f>
        <v>0.53935660506502392</v>
      </c>
      <c r="F2420" s="49">
        <f>IF(expected_production[[#This Row],[Age (yrs)]]="",1,(1-DegradationRate)^expected_production[[#This Row],[Age (yrs)]])</f>
        <v>0.9962183958781724</v>
      </c>
      <c r="G2420" s="52">
        <f>IF(expected_production[[#This Row],[Base Expected (kWh)]]="","",expected_production[[#This Row],[Base Expected (kWh)]]*expected_production[[#This Row],[Degradation Factor]])</f>
        <v>0</v>
      </c>
    </row>
    <row r="2421" spans="1:7" ht="15" hidden="1" customHeight="1" x14ac:dyDescent="0.3">
      <c r="A2421" t="s">
        <v>192</v>
      </c>
      <c r="B2421" s="2">
        <v>45474</v>
      </c>
      <c r="C2421" s="52">
        <v>0</v>
      </c>
      <c r="D2421" s="48">
        <f>_xlfn.XLOOKUP(expected_production[[#This Row],[Site Name]],Table1[[Site Name ]],Table1[Commisioned Date],"")</f>
        <v>45247</v>
      </c>
      <c r="E2421" s="47">
        <f>IF(ISNUMBER(expected_production[[#This Row],[Commissioned Date]]),MAX(0,(expected_production[[#This Row],[Date]]-expected_production[[#This Row],[Commissioned Date]])/365.25),"")</f>
        <v>0.62149212867898695</v>
      </c>
      <c r="F2421" s="49">
        <f>IF(expected_production[[#This Row],[Age (yrs)]]="",1,(1-DegradationRate)^expected_production[[#This Row],[Age (yrs)]])</f>
        <v>0.99564377311199148</v>
      </c>
      <c r="G2421" s="52">
        <f>IF(expected_production[[#This Row],[Base Expected (kWh)]]="","",expected_production[[#This Row],[Base Expected (kWh)]]*expected_production[[#This Row],[Degradation Factor]])</f>
        <v>0</v>
      </c>
    </row>
    <row r="2422" spans="1:7" ht="15" hidden="1" customHeight="1" x14ac:dyDescent="0.3">
      <c r="A2422" t="s">
        <v>192</v>
      </c>
      <c r="B2422" s="2">
        <v>45505</v>
      </c>
      <c r="C2422" s="52">
        <v>0</v>
      </c>
      <c r="D2422" s="48">
        <f>_xlfn.XLOOKUP(expected_production[[#This Row],[Site Name]],Table1[[Site Name ]],Table1[Commisioned Date],"")</f>
        <v>45247</v>
      </c>
      <c r="E2422" s="47">
        <f>IF(ISNUMBER(expected_production[[#This Row],[Commissioned Date]]),MAX(0,(expected_production[[#This Row],[Date]]-expected_production[[#This Row],[Commissioned Date]])/365.25),"")</f>
        <v>0.70636550308008217</v>
      </c>
      <c r="F2422" s="49">
        <f>IF(expected_production[[#This Row],[Age (yrs)]]="",1,(1-DegradationRate)^expected_production[[#This Row],[Age (yrs)]])</f>
        <v>0.99505034445246054</v>
      </c>
      <c r="G2422" s="52">
        <f>IF(expected_production[[#This Row],[Base Expected (kWh)]]="","",expected_production[[#This Row],[Base Expected (kWh)]]*expected_production[[#This Row],[Degradation Factor]])</f>
        <v>0</v>
      </c>
    </row>
    <row r="2423" spans="1:7" ht="15" hidden="1" customHeight="1" x14ac:dyDescent="0.3">
      <c r="A2423" t="s">
        <v>192</v>
      </c>
      <c r="B2423" s="2">
        <v>45536</v>
      </c>
      <c r="C2423" s="52">
        <v>0</v>
      </c>
      <c r="D2423" s="48">
        <f>_xlfn.XLOOKUP(expected_production[[#This Row],[Site Name]],Table1[[Site Name ]],Table1[Commisioned Date],"")</f>
        <v>45247</v>
      </c>
      <c r="E2423" s="47">
        <f>IF(ISNUMBER(expected_production[[#This Row],[Commissioned Date]]),MAX(0,(expected_production[[#This Row],[Date]]-expected_production[[#This Row],[Commissioned Date]])/365.25),"")</f>
        <v>0.79123887748117727</v>
      </c>
      <c r="F2423" s="49">
        <f>IF(expected_production[[#This Row],[Age (yrs)]]="",1,(1-DegradationRate)^expected_production[[#This Row],[Age (yrs)]])</f>
        <v>0.99445726949129376</v>
      </c>
      <c r="G2423" s="52">
        <f>IF(expected_production[[#This Row],[Base Expected (kWh)]]="","",expected_production[[#This Row],[Base Expected (kWh)]]*expected_production[[#This Row],[Degradation Factor]])</f>
        <v>0</v>
      </c>
    </row>
    <row r="2424" spans="1:7" ht="15" hidden="1" customHeight="1" x14ac:dyDescent="0.3">
      <c r="A2424" t="s">
        <v>192</v>
      </c>
      <c r="B2424" s="2">
        <v>45566</v>
      </c>
      <c r="C2424" s="52">
        <v>0</v>
      </c>
      <c r="D2424" s="48">
        <f>_xlfn.XLOOKUP(expected_production[[#This Row],[Site Name]],Table1[[Site Name ]],Table1[Commisioned Date],"")</f>
        <v>45247</v>
      </c>
      <c r="E2424" s="47">
        <f>IF(ISNUMBER(expected_production[[#This Row],[Commissioned Date]]),MAX(0,(expected_production[[#This Row],[Date]]-expected_production[[#This Row],[Commissioned Date]])/365.25),"")</f>
        <v>0.87337440109514031</v>
      </c>
      <c r="F2424" s="49">
        <f>IF(expected_production[[#This Row],[Age (yrs)]]="",1,(1-DegradationRate)^expected_production[[#This Row],[Age (yrs)]])</f>
        <v>0.99388366254987603</v>
      </c>
      <c r="G2424" s="52">
        <f>IF(expected_production[[#This Row],[Base Expected (kWh)]]="","",expected_production[[#This Row],[Base Expected (kWh)]]*expected_production[[#This Row],[Degradation Factor]])</f>
        <v>0</v>
      </c>
    </row>
    <row r="2425" spans="1:7" ht="15" hidden="1" customHeight="1" x14ac:dyDescent="0.3">
      <c r="A2425" t="s">
        <v>192</v>
      </c>
      <c r="B2425" s="2">
        <v>45597</v>
      </c>
      <c r="C2425" s="52">
        <v>0</v>
      </c>
      <c r="D2425" s="48">
        <f>_xlfn.XLOOKUP(expected_production[[#This Row],[Site Name]],Table1[[Site Name ]],Table1[Commisioned Date],"")</f>
        <v>45247</v>
      </c>
      <c r="E2425" s="47">
        <f>IF(ISNUMBER(expected_production[[#This Row],[Commissioned Date]]),MAX(0,(expected_production[[#This Row],[Date]]-expected_production[[#This Row],[Commissioned Date]])/365.25),"")</f>
        <v>0.95824777549623541</v>
      </c>
      <c r="F2425" s="49">
        <f>IF(expected_production[[#This Row],[Age (yrs)]]="",1,(1-DegradationRate)^expected_production[[#This Row],[Age (yrs)]])</f>
        <v>0.9932912829603836</v>
      </c>
      <c r="G2425" s="52">
        <f>IF(expected_production[[#This Row],[Base Expected (kWh)]]="","",expected_production[[#This Row],[Base Expected (kWh)]]*expected_production[[#This Row],[Degradation Factor]])</f>
        <v>0</v>
      </c>
    </row>
    <row r="2426" spans="1:7" ht="15" hidden="1" customHeight="1" x14ac:dyDescent="0.3">
      <c r="A2426" t="s">
        <v>192</v>
      </c>
      <c r="B2426" s="2">
        <v>45627</v>
      </c>
      <c r="C2426" s="52">
        <v>0</v>
      </c>
      <c r="D2426" s="48">
        <f>_xlfn.XLOOKUP(expected_production[[#This Row],[Site Name]],Table1[[Site Name ]],Table1[Commisioned Date],"")</f>
        <v>45247</v>
      </c>
      <c r="E2426" s="47">
        <f>IF(ISNUMBER(expected_production[[#This Row],[Commissioned Date]]),MAX(0,(expected_production[[#This Row],[Date]]-expected_production[[#This Row],[Commissioned Date]])/365.25),"")</f>
        <v>1.0403832991101984</v>
      </c>
      <c r="F2426" s="49">
        <f>IF(expected_production[[#This Row],[Age (yrs)]]="",1,(1-DegradationRate)^expected_production[[#This Row],[Age (yrs)]])</f>
        <v>0.99271834856467311</v>
      </c>
      <c r="G2426" s="52">
        <f>IF(expected_production[[#This Row],[Base Expected (kWh)]]="","",expected_production[[#This Row],[Base Expected (kWh)]]*expected_production[[#This Row],[Degradation Factor]])</f>
        <v>0</v>
      </c>
    </row>
    <row r="2427" spans="1:7" ht="15" hidden="1" customHeight="1" x14ac:dyDescent="0.3">
      <c r="A2427" t="s">
        <v>192</v>
      </c>
      <c r="B2427" s="2">
        <v>45658</v>
      </c>
      <c r="C2427" s="52">
        <v>0</v>
      </c>
      <c r="D2427" s="48">
        <f>_xlfn.XLOOKUP(expected_production[[#This Row],[Site Name]],Table1[[Site Name ]],Table1[Commisioned Date],"")</f>
        <v>45247</v>
      </c>
      <c r="E2427" s="47">
        <f>IF(ISNUMBER(expected_production[[#This Row],[Commissioned Date]]),MAX(0,(expected_production[[#This Row],[Date]]-expected_production[[#This Row],[Commissioned Date]])/365.25),"")</f>
        <v>1.1252566735112937</v>
      </c>
      <c r="F2427" s="49">
        <f>IF(expected_production[[#This Row],[Age (yrs)]]="",1,(1-DegradationRate)^expected_production[[#This Row],[Age (yrs)]])</f>
        <v>0.99212666353154211</v>
      </c>
      <c r="G2427" s="52">
        <f>IF(expected_production[[#This Row],[Base Expected (kWh)]]="","",expected_production[[#This Row],[Base Expected (kWh)]]*expected_production[[#This Row],[Degradation Factor]])</f>
        <v>0</v>
      </c>
    </row>
    <row r="2428" spans="1:7" ht="15" hidden="1" customHeight="1" x14ac:dyDescent="0.3">
      <c r="A2428" t="s">
        <v>192</v>
      </c>
      <c r="B2428" s="2">
        <v>45689</v>
      </c>
      <c r="C2428" s="52">
        <v>0</v>
      </c>
      <c r="D2428" s="48">
        <f>_xlfn.XLOOKUP(expected_production[[#This Row],[Site Name]],Table1[[Site Name ]],Table1[Commisioned Date],"")</f>
        <v>45247</v>
      </c>
      <c r="E2428" s="47">
        <f>IF(ISNUMBER(expected_production[[#This Row],[Commissioned Date]]),MAX(0,(expected_production[[#This Row],[Date]]-expected_production[[#This Row],[Commissioned Date]])/365.25),"")</f>
        <v>1.2101300479123889</v>
      </c>
      <c r="F2428" s="49">
        <f>IF(expected_production[[#This Row],[Age (yrs)]]="",1,(1-DegradationRate)^expected_production[[#This Row],[Age (yrs)]])</f>
        <v>0.99153533115753012</v>
      </c>
      <c r="G2428" s="52">
        <f>IF(expected_production[[#This Row],[Base Expected (kWh)]]="","",expected_production[[#This Row],[Base Expected (kWh)]]*expected_production[[#This Row],[Degradation Factor]])</f>
        <v>0</v>
      </c>
    </row>
    <row r="2429" spans="1:7" ht="15" hidden="1" customHeight="1" x14ac:dyDescent="0.3">
      <c r="A2429" t="s">
        <v>192</v>
      </c>
      <c r="B2429" s="2">
        <v>45717</v>
      </c>
      <c r="C2429" s="52">
        <v>0</v>
      </c>
      <c r="D2429" s="48">
        <f>_xlfn.XLOOKUP(expected_production[[#This Row],[Site Name]],Table1[[Site Name ]],Table1[Commisioned Date],"")</f>
        <v>45247</v>
      </c>
      <c r="E2429" s="47">
        <f>IF(ISNUMBER(expected_production[[#This Row],[Commissioned Date]]),MAX(0,(expected_production[[#This Row],[Date]]-expected_production[[#This Row],[Commissioned Date]])/365.25),"")</f>
        <v>1.2867898699520877</v>
      </c>
      <c r="F2429" s="49">
        <f>IF(expected_production[[#This Row],[Age (yrs)]]="",1,(1-DegradationRate)^expected_production[[#This Row],[Age (yrs)]])</f>
        <v>0.99100152744032766</v>
      </c>
      <c r="G2429" s="52">
        <f>IF(expected_production[[#This Row],[Base Expected (kWh)]]="","",expected_production[[#This Row],[Base Expected (kWh)]]*expected_production[[#This Row],[Degradation Factor]])</f>
        <v>0</v>
      </c>
    </row>
    <row r="2430" spans="1:7" ht="15" hidden="1" customHeight="1" x14ac:dyDescent="0.3">
      <c r="A2430" t="s">
        <v>192</v>
      </c>
      <c r="B2430" s="2">
        <v>45748</v>
      </c>
      <c r="C2430" s="52">
        <v>0</v>
      </c>
      <c r="D2430" s="48">
        <f>_xlfn.XLOOKUP(expected_production[[#This Row],[Site Name]],Table1[[Site Name ]],Table1[Commisioned Date],"")</f>
        <v>45247</v>
      </c>
      <c r="E2430" s="47">
        <f>IF(ISNUMBER(expected_production[[#This Row],[Commissioned Date]]),MAX(0,(expected_production[[#This Row],[Date]]-expected_production[[#This Row],[Commissioned Date]])/365.25),"")</f>
        <v>1.3716632443531827</v>
      </c>
      <c r="F2430" s="49">
        <f>IF(expected_production[[#This Row],[Age (yrs)]]="",1,(1-DegradationRate)^expected_production[[#This Row],[Age (yrs)]])</f>
        <v>0.99041086567564451</v>
      </c>
      <c r="G2430" s="52">
        <f>IF(expected_production[[#This Row],[Base Expected (kWh)]]="","",expected_production[[#This Row],[Base Expected (kWh)]]*expected_production[[#This Row],[Degradation Factor]])</f>
        <v>0</v>
      </c>
    </row>
    <row r="2431" spans="1:7" ht="15" hidden="1" customHeight="1" x14ac:dyDescent="0.3">
      <c r="A2431" t="s">
        <v>192</v>
      </c>
      <c r="B2431" s="2">
        <v>45778</v>
      </c>
      <c r="C2431" s="52">
        <v>0</v>
      </c>
      <c r="D2431" s="48">
        <f>_xlfn.XLOOKUP(expected_production[[#This Row],[Site Name]],Table1[[Site Name ]],Table1[Commisioned Date],"")</f>
        <v>45247</v>
      </c>
      <c r="E2431" s="47">
        <f>IF(ISNUMBER(expected_production[[#This Row],[Commissioned Date]]),MAX(0,(expected_production[[#This Row],[Date]]-expected_production[[#This Row],[Commissioned Date]])/365.25),"")</f>
        <v>1.4537987679671458</v>
      </c>
      <c r="F2431" s="49">
        <f>IF(expected_production[[#This Row],[Age (yrs)]]="",1,(1-DegradationRate)^expected_production[[#This Row],[Age (yrs)]])</f>
        <v>0.98983959271617616</v>
      </c>
      <c r="G2431" s="52">
        <f>IF(expected_production[[#This Row],[Base Expected (kWh)]]="","",expected_production[[#This Row],[Base Expected (kWh)]]*expected_production[[#This Row],[Degradation Factor]])</f>
        <v>0</v>
      </c>
    </row>
    <row r="2432" spans="1:7" ht="15" hidden="1" customHeight="1" x14ac:dyDescent="0.3">
      <c r="A2432" t="s">
        <v>192</v>
      </c>
      <c r="B2432" s="2">
        <v>45809</v>
      </c>
      <c r="C2432" s="52">
        <v>0</v>
      </c>
      <c r="D2432" s="48">
        <f>_xlfn.XLOOKUP(expected_production[[#This Row],[Site Name]],Table1[[Site Name ]],Table1[Commisioned Date],"")</f>
        <v>45247</v>
      </c>
      <c r="E2432" s="47">
        <f>IF(ISNUMBER(expected_production[[#This Row],[Commissioned Date]]),MAX(0,(expected_production[[#This Row],[Date]]-expected_production[[#This Row],[Commissioned Date]])/365.25),"")</f>
        <v>1.538672142368241</v>
      </c>
      <c r="F2432" s="49">
        <f>IF(expected_production[[#This Row],[Age (yrs)]]="",1,(1-DegradationRate)^expected_production[[#This Row],[Age (yrs)]])</f>
        <v>0.98924962349373002</v>
      </c>
      <c r="G2432" s="52">
        <f>IF(expected_production[[#This Row],[Base Expected (kWh)]]="","",expected_production[[#This Row],[Base Expected (kWh)]]*expected_production[[#This Row],[Degradation Factor]])</f>
        <v>0</v>
      </c>
    </row>
    <row r="2433" spans="1:7" ht="15" hidden="1" customHeight="1" x14ac:dyDescent="0.3">
      <c r="A2433" t="s">
        <v>192</v>
      </c>
      <c r="B2433" s="2">
        <v>45839</v>
      </c>
      <c r="C2433" s="52">
        <v>0</v>
      </c>
      <c r="D2433" s="48">
        <f>_xlfn.XLOOKUP(expected_production[[#This Row],[Site Name]],Table1[[Site Name ]],Table1[Commisioned Date],"")</f>
        <v>45247</v>
      </c>
      <c r="E2433" s="47">
        <f>IF(ISNUMBER(expected_production[[#This Row],[Commissioned Date]]),MAX(0,(expected_production[[#This Row],[Date]]-expected_production[[#This Row],[Commissioned Date]])/365.25),"")</f>
        <v>1.6208076659822039</v>
      </c>
      <c r="F2433" s="49">
        <f>IF(expected_production[[#This Row],[Age (yrs)]]="",1,(1-DegradationRate)^expected_production[[#This Row],[Age (yrs)]])</f>
        <v>0.98867902034340938</v>
      </c>
      <c r="G2433" s="52">
        <f>IF(expected_production[[#This Row],[Base Expected (kWh)]]="","",expected_production[[#This Row],[Base Expected (kWh)]]*expected_production[[#This Row],[Degradation Factor]])</f>
        <v>0</v>
      </c>
    </row>
    <row r="2434" spans="1:7" ht="15" hidden="1" customHeight="1" x14ac:dyDescent="0.3">
      <c r="A2434" t="s">
        <v>192</v>
      </c>
      <c r="B2434" s="2">
        <v>45870</v>
      </c>
      <c r="C2434" s="52">
        <v>0</v>
      </c>
      <c r="D2434" s="48">
        <f>_xlfn.XLOOKUP(expected_production[[#This Row],[Site Name]],Table1[[Site Name ]],Table1[Commisioned Date],"")</f>
        <v>45247</v>
      </c>
      <c r="E2434" s="47">
        <f>IF(ISNUMBER(expected_production[[#This Row],[Commissioned Date]]),MAX(0,(expected_production[[#This Row],[Date]]-expected_production[[#This Row],[Commissioned Date]])/365.25),"")</f>
        <v>1.7056810403832992</v>
      </c>
      <c r="F2434" s="49">
        <f>IF(expected_production[[#This Row],[Age (yrs)]]="",1,(1-DegradationRate)^expected_production[[#This Row],[Age (yrs)]])</f>
        <v>0.98808974285120454</v>
      </c>
      <c r="G2434" s="52">
        <f>IF(expected_production[[#This Row],[Base Expected (kWh)]]="","",expected_production[[#This Row],[Base Expected (kWh)]]*expected_production[[#This Row],[Degradation Factor]])</f>
        <v>0</v>
      </c>
    </row>
    <row r="2435" spans="1:7" ht="15" hidden="1" customHeight="1" x14ac:dyDescent="0.3">
      <c r="A2435" t="s">
        <v>192</v>
      </c>
      <c r="B2435" s="2">
        <v>45901</v>
      </c>
      <c r="C2435" s="52">
        <v>0</v>
      </c>
      <c r="D2435" s="48">
        <f>_xlfn.XLOOKUP(expected_production[[#This Row],[Site Name]],Table1[[Site Name ]],Table1[Commisioned Date],"")</f>
        <v>45247</v>
      </c>
      <c r="E2435" s="47">
        <f>IF(ISNUMBER(expected_production[[#This Row],[Commissioned Date]]),MAX(0,(expected_production[[#This Row],[Date]]-expected_production[[#This Row],[Commissioned Date]])/365.25),"")</f>
        <v>1.7905544147843941</v>
      </c>
      <c r="F2435" s="49">
        <f>IF(expected_production[[#This Row],[Age (yrs)]]="",1,(1-DegradationRate)^expected_production[[#This Row],[Age (yrs)]])</f>
        <v>0.98750081658316413</v>
      </c>
      <c r="G2435" s="52">
        <f>IF(expected_production[[#This Row],[Base Expected (kWh)]]="","",expected_production[[#This Row],[Base Expected (kWh)]]*expected_production[[#This Row],[Degradation Factor]])</f>
        <v>0</v>
      </c>
    </row>
    <row r="2436" spans="1:7" ht="15" hidden="1" customHeight="1" x14ac:dyDescent="0.3">
      <c r="A2436" t="s">
        <v>192</v>
      </c>
      <c r="B2436" s="2">
        <v>45931</v>
      </c>
      <c r="C2436" s="52">
        <v>0</v>
      </c>
      <c r="D2436" s="48">
        <f>_xlfn.XLOOKUP(expected_production[[#This Row],[Site Name]],Table1[[Site Name ]],Table1[Commisioned Date],"")</f>
        <v>45247</v>
      </c>
      <c r="E2436" s="47">
        <f>IF(ISNUMBER(expected_production[[#This Row],[Commissioned Date]]),MAX(0,(expected_production[[#This Row],[Date]]-expected_production[[#This Row],[Commissioned Date]])/365.25),"")</f>
        <v>1.8726899383983573</v>
      </c>
      <c r="F2436" s="49">
        <f>IF(expected_production[[#This Row],[Age (yrs)]]="",1,(1-DegradationRate)^expected_production[[#This Row],[Age (yrs)]])</f>
        <v>0.98693122215168338</v>
      </c>
      <c r="G2436" s="52">
        <f>IF(expected_production[[#This Row],[Base Expected (kWh)]]="","",expected_production[[#This Row],[Base Expected (kWh)]]*expected_production[[#This Row],[Degradation Factor]])</f>
        <v>0</v>
      </c>
    </row>
    <row r="2437" spans="1:7" ht="15" hidden="1" customHeight="1" x14ac:dyDescent="0.3">
      <c r="A2437" t="s">
        <v>192</v>
      </c>
      <c r="B2437" s="2">
        <v>45962</v>
      </c>
      <c r="C2437" s="52">
        <v>0</v>
      </c>
      <c r="D2437" s="48">
        <f>_xlfn.XLOOKUP(expected_production[[#This Row],[Site Name]],Table1[[Site Name ]],Table1[Commisioned Date],"")</f>
        <v>45247</v>
      </c>
      <c r="E2437" s="47">
        <f>IF(ISNUMBER(expected_production[[#This Row],[Commissioned Date]]),MAX(0,(expected_production[[#This Row],[Date]]-expected_production[[#This Row],[Commissioned Date]])/365.25),"")</f>
        <v>1.9575633127994525</v>
      </c>
      <c r="F2437" s="49">
        <f>IF(expected_production[[#This Row],[Age (yrs)]]="",1,(1-DegradationRate)^expected_production[[#This Row],[Age (yrs)]])</f>
        <v>0.98634298639103557</v>
      </c>
      <c r="G2437" s="52">
        <f>IF(expected_production[[#This Row],[Base Expected (kWh)]]="","",expected_production[[#This Row],[Base Expected (kWh)]]*expected_production[[#This Row],[Degradation Factor]])</f>
        <v>0</v>
      </c>
    </row>
    <row r="2438" spans="1:7" ht="15" hidden="1" customHeight="1" x14ac:dyDescent="0.3">
      <c r="A2438" t="s">
        <v>192</v>
      </c>
      <c r="B2438" s="2">
        <v>45992</v>
      </c>
      <c r="C2438" s="52">
        <v>0</v>
      </c>
      <c r="D2438" s="48">
        <f>_xlfn.XLOOKUP(expected_production[[#This Row],[Site Name]],Table1[[Site Name ]],Table1[Commisioned Date],"")</f>
        <v>45247</v>
      </c>
      <c r="E2438" s="47">
        <f>IF(ISNUMBER(expected_production[[#This Row],[Commissioned Date]]),MAX(0,(expected_production[[#This Row],[Date]]-expected_production[[#This Row],[Commissioned Date]])/365.25),"")</f>
        <v>2.0396988364134154</v>
      </c>
      <c r="F2438" s="49">
        <f>IF(expected_production[[#This Row],[Age (yrs)]]="",1,(1-DegradationRate)^expected_production[[#This Row],[Age (yrs)]])</f>
        <v>0.98577405980065314</v>
      </c>
      <c r="G2438" s="52">
        <f>IF(expected_production[[#This Row],[Base Expected (kWh)]]="","",expected_production[[#This Row],[Base Expected (kWh)]]*expected_production[[#This Row],[Degradation Factor]])</f>
        <v>0</v>
      </c>
    </row>
    <row r="2439" spans="1:7" ht="15" hidden="1" customHeight="1" x14ac:dyDescent="0.3">
      <c r="A2439" t="s">
        <v>192</v>
      </c>
      <c r="B2439" s="2">
        <v>46023</v>
      </c>
      <c r="C2439" s="52">
        <v>0</v>
      </c>
      <c r="D2439" s="48">
        <f>_xlfn.XLOOKUP(expected_production[[#This Row],[Site Name]],Table1[[Site Name ]],Table1[Commisioned Date],"")</f>
        <v>45247</v>
      </c>
      <c r="E2439" s="47">
        <f>IF(ISNUMBER(expected_production[[#This Row],[Commissioned Date]]),MAX(0,(expected_production[[#This Row],[Date]]-expected_production[[#This Row],[Commissioned Date]])/365.25),"")</f>
        <v>2.1245722108145104</v>
      </c>
      <c r="F2439" s="49">
        <f>IF(expected_production[[#This Row],[Age (yrs)]]="",1,(1-DegradationRate)^expected_production[[#This Row],[Age (yrs)]])</f>
        <v>0.98518651373778832</v>
      </c>
      <c r="G2439" s="52">
        <f>IF(expected_production[[#This Row],[Base Expected (kWh)]]="","",expected_production[[#This Row],[Base Expected (kWh)]]*expected_production[[#This Row],[Degradation Factor]])</f>
        <v>0</v>
      </c>
    </row>
    <row r="2440" spans="1:7" ht="15" hidden="1" customHeight="1" x14ac:dyDescent="0.3">
      <c r="A2440" t="s">
        <v>192</v>
      </c>
      <c r="B2440" s="2">
        <v>46054</v>
      </c>
      <c r="C2440" s="52">
        <v>0</v>
      </c>
      <c r="D2440" s="48">
        <f>_xlfn.XLOOKUP(expected_production[[#This Row],[Site Name]],Table1[[Site Name ]],Table1[Commisioned Date],"")</f>
        <v>45247</v>
      </c>
      <c r="E2440" s="47">
        <f>IF(ISNUMBER(expected_production[[#This Row],[Commissioned Date]]),MAX(0,(expected_production[[#This Row],[Date]]-expected_production[[#This Row],[Commissioned Date]])/365.25),"")</f>
        <v>2.2094455852156059</v>
      </c>
      <c r="F2440" s="49">
        <f>IF(expected_production[[#This Row],[Age (yrs)]]="",1,(1-DegradationRate)^expected_production[[#This Row],[Age (yrs)]])</f>
        <v>0.98459931786711252</v>
      </c>
      <c r="G2440" s="52">
        <f>IF(expected_production[[#This Row],[Base Expected (kWh)]]="","",expected_production[[#This Row],[Base Expected (kWh)]]*expected_production[[#This Row],[Degradation Factor]])</f>
        <v>0</v>
      </c>
    </row>
    <row r="2441" spans="1:7" ht="15" hidden="1" customHeight="1" x14ac:dyDescent="0.3">
      <c r="A2441" t="s">
        <v>192</v>
      </c>
      <c r="B2441" s="2">
        <v>46082</v>
      </c>
      <c r="C2441" s="52">
        <v>0</v>
      </c>
      <c r="D2441" s="48">
        <f>_xlfn.XLOOKUP(expected_production[[#This Row],[Site Name]],Table1[[Site Name ]],Table1[Commisioned Date],"")</f>
        <v>45247</v>
      </c>
      <c r="E2441" s="47">
        <f>IF(ISNUMBER(expected_production[[#This Row],[Commissioned Date]]),MAX(0,(expected_production[[#This Row],[Date]]-expected_production[[#This Row],[Commissioned Date]])/365.25),"")</f>
        <v>2.2861054072553046</v>
      </c>
      <c r="F2441" s="49">
        <f>IF(expected_production[[#This Row],[Age (yrs)]]="",1,(1-DegradationRate)^expected_production[[#This Row],[Age (yrs)]])</f>
        <v>0.98406924822731567</v>
      </c>
      <c r="G2441" s="52">
        <f>IF(expected_production[[#This Row],[Base Expected (kWh)]]="","",expected_production[[#This Row],[Base Expected (kWh)]]*expected_production[[#This Row],[Degradation Factor]])</f>
        <v>0</v>
      </c>
    </row>
    <row r="2442" spans="1:7" ht="15" hidden="1" customHeight="1" x14ac:dyDescent="0.3">
      <c r="A2442" t="s">
        <v>192</v>
      </c>
      <c r="B2442" s="2">
        <v>46113</v>
      </c>
      <c r="C2442" s="52">
        <v>0</v>
      </c>
      <c r="D2442" s="48">
        <f>_xlfn.XLOOKUP(expected_production[[#This Row],[Site Name]],Table1[[Site Name ]],Table1[Commisioned Date],"")</f>
        <v>45247</v>
      </c>
      <c r="E2442" s="47">
        <f>IF(ISNUMBER(expected_production[[#This Row],[Commissioned Date]]),MAX(0,(expected_production[[#This Row],[Date]]-expected_production[[#This Row],[Commissioned Date]])/365.25),"")</f>
        <v>2.3709787816563996</v>
      </c>
      <c r="F2442" s="49">
        <f>IF(expected_production[[#This Row],[Age (yrs)]]="",1,(1-DegradationRate)^expected_production[[#This Row],[Age (yrs)]])</f>
        <v>0.98348271827490508</v>
      </c>
      <c r="G2442" s="52">
        <f>IF(expected_production[[#This Row],[Base Expected (kWh)]]="","",expected_production[[#This Row],[Base Expected (kWh)]]*expected_production[[#This Row],[Degradation Factor]])</f>
        <v>0</v>
      </c>
    </row>
    <row r="2443" spans="1:7" ht="15" hidden="1" customHeight="1" x14ac:dyDescent="0.3">
      <c r="A2443" t="s">
        <v>192</v>
      </c>
      <c r="B2443" s="2">
        <v>46143</v>
      </c>
      <c r="C2443" s="52">
        <v>0</v>
      </c>
      <c r="D2443" s="48">
        <f>_xlfn.XLOOKUP(expected_production[[#This Row],[Site Name]],Table1[[Site Name ]],Table1[Commisioned Date],"")</f>
        <v>45247</v>
      </c>
      <c r="E2443" s="47">
        <f>IF(ISNUMBER(expected_production[[#This Row],[Commissioned Date]]),MAX(0,(expected_production[[#This Row],[Date]]-expected_production[[#This Row],[Commissioned Date]])/365.25),"")</f>
        <v>2.4531143052703626</v>
      </c>
      <c r="F2443" s="49">
        <f>IF(expected_production[[#This Row],[Age (yrs)]]="",1,(1-DegradationRate)^expected_production[[#This Row],[Age (yrs)]])</f>
        <v>0.98291544149864352</v>
      </c>
      <c r="G2443" s="52">
        <f>IF(expected_production[[#This Row],[Base Expected (kWh)]]="","",expected_production[[#This Row],[Base Expected (kWh)]]*expected_production[[#This Row],[Degradation Factor]])</f>
        <v>0</v>
      </c>
    </row>
    <row r="2444" spans="1:7" ht="15" hidden="1" customHeight="1" x14ac:dyDescent="0.3">
      <c r="A2444" t="s">
        <v>192</v>
      </c>
      <c r="B2444" s="2">
        <v>46174</v>
      </c>
      <c r="C2444" s="52">
        <v>0</v>
      </c>
      <c r="D2444" s="48">
        <f>_xlfn.XLOOKUP(expected_production[[#This Row],[Site Name]],Table1[[Site Name ]],Table1[Commisioned Date],"")</f>
        <v>45247</v>
      </c>
      <c r="E2444" s="47">
        <f>IF(ISNUMBER(expected_production[[#This Row],[Commissioned Date]]),MAX(0,(expected_production[[#This Row],[Date]]-expected_production[[#This Row],[Commissioned Date]])/365.25),"")</f>
        <v>2.537987679671458</v>
      </c>
      <c r="F2444" s="49">
        <f>IF(expected_production[[#This Row],[Age (yrs)]]="",1,(1-DegradationRate)^expected_production[[#This Row],[Age (yrs)]])</f>
        <v>0.98232959924398078</v>
      </c>
      <c r="G2444" s="52">
        <f>IF(expected_production[[#This Row],[Base Expected (kWh)]]="","",expected_production[[#This Row],[Base Expected (kWh)]]*expected_production[[#This Row],[Degradation Factor]])</f>
        <v>0</v>
      </c>
    </row>
    <row r="2445" spans="1:7" ht="15" hidden="1" customHeight="1" x14ac:dyDescent="0.3">
      <c r="A2445" t="s">
        <v>192</v>
      </c>
      <c r="B2445" s="2">
        <v>46204</v>
      </c>
      <c r="C2445" s="52">
        <v>0</v>
      </c>
      <c r="D2445" s="48">
        <f>_xlfn.XLOOKUP(expected_production[[#This Row],[Site Name]],Table1[[Site Name ]],Table1[Commisioned Date],"")</f>
        <v>45247</v>
      </c>
      <c r="E2445" s="47">
        <f>IF(ISNUMBER(expected_production[[#This Row],[Commissioned Date]]),MAX(0,(expected_production[[#This Row],[Date]]-expected_production[[#This Row],[Commissioned Date]])/365.25),"")</f>
        <v>2.6201232032854209</v>
      </c>
      <c r="F2445" s="49">
        <f>IF(expected_production[[#This Row],[Age (yrs)]]="",1,(1-DegradationRate)^expected_production[[#This Row],[Age (yrs)]])</f>
        <v>0.9817629875914009</v>
      </c>
      <c r="G2445" s="52">
        <f>IF(expected_production[[#This Row],[Base Expected (kWh)]]="","",expected_production[[#This Row],[Base Expected (kWh)]]*expected_production[[#This Row],[Degradation Factor]])</f>
        <v>0</v>
      </c>
    </row>
    <row r="2446" spans="1:7" ht="15" hidden="1" customHeight="1" x14ac:dyDescent="0.3">
      <c r="A2446" t="s">
        <v>192</v>
      </c>
      <c r="B2446" s="2">
        <v>46235</v>
      </c>
      <c r="C2446" s="52">
        <v>0</v>
      </c>
      <c r="D2446" s="48">
        <f>_xlfn.XLOOKUP(expected_production[[#This Row],[Site Name]],Table1[[Site Name ]],Table1[Commisioned Date],"")</f>
        <v>45247</v>
      </c>
      <c r="E2446" s="47">
        <f>IF(ISNUMBER(expected_production[[#This Row],[Commissioned Date]]),MAX(0,(expected_production[[#This Row],[Date]]-expected_production[[#This Row],[Commissioned Date]])/365.25),"")</f>
        <v>2.7049965776865159</v>
      </c>
      <c r="F2446" s="49">
        <f>IF(expected_production[[#This Row],[Age (yrs)]]="",1,(1-DegradationRate)^expected_production[[#This Row],[Age (yrs)]])</f>
        <v>0.98117783222817045</v>
      </c>
      <c r="G2446" s="52">
        <f>IF(expected_production[[#This Row],[Base Expected (kWh)]]="","",expected_production[[#This Row],[Base Expected (kWh)]]*expected_production[[#This Row],[Degradation Factor]])</f>
        <v>0</v>
      </c>
    </row>
    <row r="2447" spans="1:7" ht="15" hidden="1" customHeight="1" x14ac:dyDescent="0.3">
      <c r="A2447" t="s">
        <v>192</v>
      </c>
      <c r="B2447" s="2">
        <v>46266</v>
      </c>
      <c r="C2447" s="52">
        <v>0</v>
      </c>
      <c r="D2447" s="48">
        <f>_xlfn.XLOOKUP(expected_production[[#This Row],[Site Name]],Table1[[Site Name ]],Table1[Commisioned Date],"")</f>
        <v>45247</v>
      </c>
      <c r="E2447" s="47">
        <f>IF(ISNUMBER(expected_production[[#This Row],[Commissioned Date]]),MAX(0,(expected_production[[#This Row],[Date]]-expected_production[[#This Row],[Commissioned Date]])/365.25),"")</f>
        <v>2.7898699520876113</v>
      </c>
      <c r="F2447" s="49">
        <f>IF(expected_production[[#This Row],[Age (yrs)]]="",1,(1-DegradationRate)^expected_production[[#This Row],[Age (yrs)]])</f>
        <v>0.98059302563221218</v>
      </c>
      <c r="G2447" s="52">
        <f>IF(expected_production[[#This Row],[Base Expected (kWh)]]="","",expected_production[[#This Row],[Base Expected (kWh)]]*expected_production[[#This Row],[Degradation Factor]])</f>
        <v>0</v>
      </c>
    </row>
    <row r="2448" spans="1:7" ht="15" hidden="1" customHeight="1" x14ac:dyDescent="0.3">
      <c r="A2448" t="s">
        <v>192</v>
      </c>
      <c r="B2448" s="2">
        <v>46296</v>
      </c>
      <c r="C2448" s="52">
        <v>0</v>
      </c>
      <c r="D2448" s="48">
        <f>_xlfn.XLOOKUP(expected_production[[#This Row],[Site Name]],Table1[[Site Name ]],Table1[Commisioned Date],"")</f>
        <v>45247</v>
      </c>
      <c r="E2448" s="47">
        <f>IF(ISNUMBER(expected_production[[#This Row],[Commissioned Date]]),MAX(0,(expected_production[[#This Row],[Date]]-expected_production[[#This Row],[Commissioned Date]])/365.25),"")</f>
        <v>2.8720054757015743</v>
      </c>
      <c r="F2448" s="49">
        <f>IF(expected_production[[#This Row],[Age (yrs)]]="",1,(1-DegradationRate)^expected_production[[#This Row],[Age (yrs)]])</f>
        <v>0.98002741564225626</v>
      </c>
      <c r="G2448" s="52">
        <f>IF(expected_production[[#This Row],[Base Expected (kWh)]]="","",expected_production[[#This Row],[Base Expected (kWh)]]*expected_production[[#This Row],[Degradation Factor]])</f>
        <v>0</v>
      </c>
    </row>
    <row r="2449" spans="1:7" ht="15" hidden="1" customHeight="1" x14ac:dyDescent="0.3">
      <c r="A2449" t="s">
        <v>192</v>
      </c>
      <c r="B2449" s="2">
        <v>46327</v>
      </c>
      <c r="C2449" s="52">
        <v>0</v>
      </c>
      <c r="D2449" s="48">
        <f>_xlfn.XLOOKUP(expected_production[[#This Row],[Site Name]],Table1[[Site Name ]],Table1[Commisioned Date],"")</f>
        <v>45247</v>
      </c>
      <c r="E2449" s="47">
        <f>IF(ISNUMBER(expected_production[[#This Row],[Commissioned Date]]),MAX(0,(expected_production[[#This Row],[Date]]-expected_production[[#This Row],[Commissioned Date]])/365.25),"")</f>
        <v>2.9568788501026693</v>
      </c>
      <c r="F2449" s="49">
        <f>IF(expected_production[[#This Row],[Age (yrs)]]="",1,(1-DegradationRate)^expected_production[[#This Row],[Age (yrs)]])</f>
        <v>0.97944329472343572</v>
      </c>
      <c r="G2449" s="52">
        <f>IF(expected_production[[#This Row],[Base Expected (kWh)]]="","",expected_production[[#This Row],[Base Expected (kWh)]]*expected_production[[#This Row],[Degradation Factor]])</f>
        <v>0</v>
      </c>
    </row>
    <row r="2450" spans="1:7" ht="15" hidden="1" customHeight="1" x14ac:dyDescent="0.3">
      <c r="A2450" t="s">
        <v>192</v>
      </c>
      <c r="B2450" s="2">
        <v>46357</v>
      </c>
      <c r="C2450" s="52">
        <v>0</v>
      </c>
      <c r="D2450" s="48">
        <f>_xlfn.XLOOKUP(expected_production[[#This Row],[Site Name]],Table1[[Site Name ]],Table1[Commisioned Date],"")</f>
        <v>45247</v>
      </c>
      <c r="E2450" s="47">
        <f>IF(ISNUMBER(expected_production[[#This Row],[Commissioned Date]]),MAX(0,(expected_production[[#This Row],[Date]]-expected_production[[#This Row],[Commissioned Date]])/365.25),"")</f>
        <v>3.0390143737166326</v>
      </c>
      <c r="F2450" s="49">
        <f>IF(expected_production[[#This Row],[Age (yrs)]]="",1,(1-DegradationRate)^expected_production[[#This Row],[Age (yrs)]])</f>
        <v>0.97887834790287909</v>
      </c>
      <c r="G2450" s="52">
        <f>IF(expected_production[[#This Row],[Base Expected (kWh)]]="","",expected_production[[#This Row],[Base Expected (kWh)]]*expected_production[[#This Row],[Degradation Factor]])</f>
        <v>0</v>
      </c>
    </row>
    <row r="2451" spans="1:7" ht="15" hidden="1" customHeight="1" x14ac:dyDescent="0.3">
      <c r="A2451" t="s">
        <v>194</v>
      </c>
      <c r="B2451" s="2">
        <v>45292</v>
      </c>
      <c r="C2451" s="52">
        <v>7399.8</v>
      </c>
      <c r="D2451" s="48">
        <f>_xlfn.XLOOKUP(expected_production[[#This Row],[Site Name]],Table1[[Site Name ]],Table1[Commisioned Date],"")</f>
        <v>45068</v>
      </c>
      <c r="E2451" s="47">
        <f>IF(ISNUMBER(expected_production[[#This Row],[Commissioned Date]]),MAX(0,(expected_production[[#This Row],[Date]]-expected_production[[#This Row],[Commissioned Date]])/365.25),"")</f>
        <v>0.61327857631759064</v>
      </c>
      <c r="F2451" s="49">
        <f>IF(expected_production[[#This Row],[Age (yrs)]]="",1,(1-DegradationRate)^expected_production[[#This Row],[Age (yrs)]])</f>
        <v>0.99570122047044196</v>
      </c>
      <c r="G2451" s="52">
        <f>IF(expected_production[[#This Row],[Base Expected (kWh)]]="","",expected_production[[#This Row],[Base Expected (kWh)]]*expected_production[[#This Row],[Degradation Factor]])</f>
        <v>7367.9898912371764</v>
      </c>
    </row>
    <row r="2452" spans="1:7" ht="15" hidden="1" customHeight="1" x14ac:dyDescent="0.3">
      <c r="A2452" t="s">
        <v>194</v>
      </c>
      <c r="B2452" s="2">
        <v>45323</v>
      </c>
      <c r="C2452" s="52">
        <v>6298.2</v>
      </c>
      <c r="D2452" s="48">
        <f>_xlfn.XLOOKUP(expected_production[[#This Row],[Site Name]],Table1[[Site Name ]],Table1[Commisioned Date],"")</f>
        <v>45068</v>
      </c>
      <c r="E2452" s="47">
        <f>IF(ISNUMBER(expected_production[[#This Row],[Commissioned Date]]),MAX(0,(expected_production[[#This Row],[Date]]-expected_production[[#This Row],[Commissioned Date]])/365.25),"")</f>
        <v>0.69815195071868585</v>
      </c>
      <c r="F2452" s="49">
        <f>IF(expected_production[[#This Row],[Age (yrs)]]="",1,(1-DegradationRate)^expected_production[[#This Row],[Age (yrs)]])</f>
        <v>0.99510775757084458</v>
      </c>
      <c r="G2452" s="52">
        <f>IF(expected_production[[#This Row],[Base Expected (kWh)]]="","",expected_production[[#This Row],[Base Expected (kWh)]]*expected_production[[#This Row],[Degradation Factor]])</f>
        <v>6267.3876787326935</v>
      </c>
    </row>
    <row r="2453" spans="1:7" ht="15" hidden="1" customHeight="1" x14ac:dyDescent="0.3">
      <c r="A2453" t="s">
        <v>194</v>
      </c>
      <c r="B2453" s="2">
        <v>45352</v>
      </c>
      <c r="C2453" s="52">
        <v>6353.1</v>
      </c>
      <c r="D2453" s="48">
        <f>_xlfn.XLOOKUP(expected_production[[#This Row],[Site Name]],Table1[[Site Name ]],Table1[Commisioned Date],"")</f>
        <v>45068</v>
      </c>
      <c r="E2453" s="47">
        <f>IF(ISNUMBER(expected_production[[#This Row],[Commissioned Date]]),MAX(0,(expected_production[[#This Row],[Date]]-expected_production[[#This Row],[Commissioned Date]])/365.25),"")</f>
        <v>0.77754962354551682</v>
      </c>
      <c r="F2453" s="49">
        <f>IF(expected_production[[#This Row],[Age (yrs)]]="",1,(1-DegradationRate)^expected_production[[#This Row],[Age (yrs)]])</f>
        <v>0.99455290282842923</v>
      </c>
      <c r="G2453" s="52">
        <f>IF(expected_production[[#This Row],[Base Expected (kWh)]]="","",expected_production[[#This Row],[Base Expected (kWh)]]*expected_production[[#This Row],[Degradation Factor]])</f>
        <v>6318.4940469592939</v>
      </c>
    </row>
    <row r="2454" spans="1:7" ht="15" hidden="1" customHeight="1" x14ac:dyDescent="0.3">
      <c r="A2454" t="s">
        <v>194</v>
      </c>
      <c r="B2454" s="2">
        <v>45383</v>
      </c>
      <c r="C2454" s="52">
        <v>5016.6000000000004</v>
      </c>
      <c r="D2454" s="48">
        <f>_xlfn.XLOOKUP(expected_production[[#This Row],[Site Name]],Table1[[Site Name ]],Table1[Commisioned Date],"")</f>
        <v>45068</v>
      </c>
      <c r="E2454" s="47">
        <f>IF(ISNUMBER(expected_production[[#This Row],[Commissioned Date]]),MAX(0,(expected_production[[#This Row],[Date]]-expected_production[[#This Row],[Commissioned Date]])/365.25),"")</f>
        <v>0.86242299794661192</v>
      </c>
      <c r="F2454" s="49">
        <f>IF(expected_production[[#This Row],[Age (yrs)]]="",1,(1-DegradationRate)^expected_production[[#This Row],[Age (yrs)]])</f>
        <v>0.99396012435494629</v>
      </c>
      <c r="G2454" s="52">
        <f>IF(expected_production[[#This Row],[Base Expected (kWh)]]="","",expected_production[[#This Row],[Base Expected (kWh)]]*expected_production[[#This Row],[Degradation Factor]])</f>
        <v>4986.3003598390242</v>
      </c>
    </row>
    <row r="2455" spans="1:7" ht="15" hidden="1" customHeight="1" x14ac:dyDescent="0.3">
      <c r="A2455" t="s">
        <v>194</v>
      </c>
      <c r="B2455" s="2">
        <v>45413</v>
      </c>
      <c r="C2455" s="52">
        <v>4753.8</v>
      </c>
      <c r="D2455" s="48">
        <f>_xlfn.XLOOKUP(expected_production[[#This Row],[Site Name]],Table1[[Site Name ]],Table1[Commisioned Date],"")</f>
        <v>45068</v>
      </c>
      <c r="E2455" s="47">
        <f>IF(ISNUMBER(expected_production[[#This Row],[Commissioned Date]]),MAX(0,(expected_production[[#This Row],[Date]]-expected_production[[#This Row],[Commissioned Date]])/365.25),"")</f>
        <v>0.94455852156057496</v>
      </c>
      <c r="F2455" s="49">
        <f>IF(expected_production[[#This Row],[Age (yrs)]]="",1,(1-DegradationRate)^expected_production[[#This Row],[Age (yrs)]])</f>
        <v>0.99338680416883696</v>
      </c>
      <c r="G2455" s="52">
        <f>IF(expected_production[[#This Row],[Base Expected (kWh)]]="","",expected_production[[#This Row],[Base Expected (kWh)]]*expected_production[[#This Row],[Degradation Factor]])</f>
        <v>4722.362189657817</v>
      </c>
    </row>
    <row r="2456" spans="1:7" ht="15" hidden="1" customHeight="1" x14ac:dyDescent="0.3">
      <c r="A2456" t="s">
        <v>194</v>
      </c>
      <c r="B2456" s="2">
        <v>45444</v>
      </c>
      <c r="C2456" s="52">
        <v>4257</v>
      </c>
      <c r="D2456" s="48">
        <f>_xlfn.XLOOKUP(expected_production[[#This Row],[Site Name]],Table1[[Site Name ]],Table1[Commisioned Date],"")</f>
        <v>45068</v>
      </c>
      <c r="E2456" s="47">
        <f>IF(ISNUMBER(expected_production[[#This Row],[Commissioned Date]]),MAX(0,(expected_production[[#This Row],[Date]]-expected_production[[#This Row],[Commissioned Date]])/365.25),"")</f>
        <v>1.0294318959616702</v>
      </c>
      <c r="F2456" s="49">
        <f>IF(expected_production[[#This Row],[Age (yrs)]]="",1,(1-DegradationRate)^expected_production[[#This Row],[Age (yrs)]])</f>
        <v>0.99279472071940089</v>
      </c>
      <c r="G2456" s="52">
        <f>IF(expected_production[[#This Row],[Base Expected (kWh)]]="","",expected_production[[#This Row],[Base Expected (kWh)]]*expected_production[[#This Row],[Degradation Factor]])</f>
        <v>4226.3271261024893</v>
      </c>
    </row>
    <row r="2457" spans="1:7" ht="15" hidden="1" customHeight="1" x14ac:dyDescent="0.3">
      <c r="A2457" t="s">
        <v>194</v>
      </c>
      <c r="B2457" s="2">
        <v>45474</v>
      </c>
      <c r="C2457" s="52">
        <v>4730.3999999999996</v>
      </c>
      <c r="D2457" s="48">
        <f>_xlfn.XLOOKUP(expected_production[[#This Row],[Site Name]],Table1[[Site Name ]],Table1[Commisioned Date],"")</f>
        <v>45068</v>
      </c>
      <c r="E2457" s="47">
        <f>IF(ISNUMBER(expected_production[[#This Row],[Commissioned Date]]),MAX(0,(expected_production[[#This Row],[Date]]-expected_production[[#This Row],[Commissioned Date]])/365.25),"")</f>
        <v>1.1115674195756331</v>
      </c>
      <c r="F2457" s="49">
        <f>IF(expected_production[[#This Row],[Age (yrs)]]="",1,(1-DegradationRate)^expected_production[[#This Row],[Age (yrs)]])</f>
        <v>0.99222207274278251</v>
      </c>
      <c r="G2457" s="52">
        <f>IF(expected_production[[#This Row],[Base Expected (kWh)]]="","",expected_production[[#This Row],[Base Expected (kWh)]]*expected_production[[#This Row],[Degradation Factor]])</f>
        <v>4693.6072929024576</v>
      </c>
    </row>
    <row r="2458" spans="1:7" ht="15" hidden="1" customHeight="1" x14ac:dyDescent="0.3">
      <c r="A2458" t="s">
        <v>194</v>
      </c>
      <c r="B2458" s="2">
        <v>45505</v>
      </c>
      <c r="C2458" s="52">
        <v>5440.5</v>
      </c>
      <c r="D2458" s="48">
        <f>_xlfn.XLOOKUP(expected_production[[#This Row],[Site Name]],Table1[[Site Name ]],Table1[Commisioned Date],"")</f>
        <v>45068</v>
      </c>
      <c r="E2458" s="47">
        <f>IF(ISNUMBER(expected_production[[#This Row],[Commissioned Date]]),MAX(0,(expected_production[[#This Row],[Date]]-expected_production[[#This Row],[Commissioned Date]])/365.25),"")</f>
        <v>1.1964407939767283</v>
      </c>
      <c r="F2458" s="49">
        <f>IF(expected_production[[#This Row],[Age (yrs)]]="",1,(1-DegradationRate)^expected_production[[#This Row],[Age (yrs)]])</f>
        <v>0.99163068350248795</v>
      </c>
      <c r="G2458" s="52">
        <f>IF(expected_production[[#This Row],[Base Expected (kWh)]]="","",expected_production[[#This Row],[Base Expected (kWh)]]*expected_production[[#This Row],[Degradation Factor]])</f>
        <v>5394.9667335952854</v>
      </c>
    </row>
    <row r="2459" spans="1:7" ht="15" hidden="1" customHeight="1" x14ac:dyDescent="0.3">
      <c r="A2459" t="s">
        <v>194</v>
      </c>
      <c r="B2459" s="2">
        <v>45536</v>
      </c>
      <c r="C2459" s="52">
        <v>6345.9</v>
      </c>
      <c r="D2459" s="48">
        <f>_xlfn.XLOOKUP(expected_production[[#This Row],[Site Name]],Table1[[Site Name ]],Table1[Commisioned Date],"")</f>
        <v>45068</v>
      </c>
      <c r="E2459" s="47">
        <f>IF(ISNUMBER(expected_production[[#This Row],[Commissioned Date]]),MAX(0,(expected_production[[#This Row],[Date]]-expected_production[[#This Row],[Commissioned Date]])/365.25),"")</f>
        <v>1.2813141683778233</v>
      </c>
      <c r="F2459" s="49">
        <f>IF(expected_production[[#This Row],[Age (yrs)]]="",1,(1-DegradationRate)^expected_production[[#This Row],[Age (yrs)]])</f>
        <v>0.99103964674501255</v>
      </c>
      <c r="G2459" s="52">
        <f>IF(expected_production[[#This Row],[Base Expected (kWh)]]="","",expected_production[[#This Row],[Base Expected (kWh)]]*expected_production[[#This Row],[Degradation Factor]])</f>
        <v>6289.0384942791752</v>
      </c>
    </row>
    <row r="2460" spans="1:7" ht="15" hidden="1" customHeight="1" x14ac:dyDescent="0.3">
      <c r="A2460" t="s">
        <v>194</v>
      </c>
      <c r="B2460" s="2">
        <v>45566</v>
      </c>
      <c r="C2460" s="52">
        <v>7250.4</v>
      </c>
      <c r="D2460" s="48">
        <f>_xlfn.XLOOKUP(expected_production[[#This Row],[Site Name]],Table1[[Site Name ]],Table1[Commisioned Date],"")</f>
        <v>45068</v>
      </c>
      <c r="E2460" s="47">
        <f>IF(ISNUMBER(expected_production[[#This Row],[Commissioned Date]]),MAX(0,(expected_production[[#This Row],[Date]]-expected_production[[#This Row],[Commissioned Date]])/365.25),"")</f>
        <v>1.3634496919917864</v>
      </c>
      <c r="F2460" s="49">
        <f>IF(expected_production[[#This Row],[Age (yrs)]]="",1,(1-DegradationRate)^expected_production[[#This Row],[Age (yrs)]])</f>
        <v>0.99046801110210148</v>
      </c>
      <c r="G2460" s="52">
        <f>IF(expected_production[[#This Row],[Base Expected (kWh)]]="","",expected_production[[#This Row],[Base Expected (kWh)]]*expected_production[[#This Row],[Degradation Factor]])</f>
        <v>7181.2892676946758</v>
      </c>
    </row>
    <row r="2461" spans="1:7" ht="15" hidden="1" customHeight="1" x14ac:dyDescent="0.3">
      <c r="A2461" t="s">
        <v>194</v>
      </c>
      <c r="B2461" s="2">
        <v>45597</v>
      </c>
      <c r="C2461" s="52">
        <v>7330.5</v>
      </c>
      <c r="D2461" s="48">
        <f>_xlfn.XLOOKUP(expected_production[[#This Row],[Site Name]],Table1[[Site Name ]],Table1[Commisioned Date],"")</f>
        <v>45068</v>
      </c>
      <c r="E2461" s="47">
        <f>IF(ISNUMBER(expected_production[[#This Row],[Commissioned Date]]),MAX(0,(expected_production[[#This Row],[Date]]-expected_production[[#This Row],[Commissioned Date]])/365.25),"")</f>
        <v>1.4483230663928817</v>
      </c>
      <c r="F2461" s="49">
        <f>IF(expected_production[[#This Row],[Age (yrs)]]="",1,(1-DegradationRate)^expected_production[[#This Row],[Age (yrs)]])</f>
        <v>0.98987766732653659</v>
      </c>
      <c r="G2461" s="52">
        <f>IF(expected_production[[#This Row],[Base Expected (kWh)]]="","",expected_production[[#This Row],[Base Expected (kWh)]]*expected_production[[#This Row],[Degradation Factor]])</f>
        <v>7256.2982403371761</v>
      </c>
    </row>
    <row r="2462" spans="1:7" ht="15" hidden="1" customHeight="1" x14ac:dyDescent="0.3">
      <c r="A2462" t="s">
        <v>194</v>
      </c>
      <c r="B2462" s="2">
        <v>45627</v>
      </c>
      <c r="C2462" s="52">
        <v>7866</v>
      </c>
      <c r="D2462" s="48">
        <f>_xlfn.XLOOKUP(expected_production[[#This Row],[Site Name]],Table1[[Site Name ]],Table1[Commisioned Date],"")</f>
        <v>45068</v>
      </c>
      <c r="E2462" s="47">
        <f>IF(ISNUMBER(expected_production[[#This Row],[Commissioned Date]]),MAX(0,(expected_production[[#This Row],[Date]]-expected_production[[#This Row],[Commissioned Date]])/365.25),"")</f>
        <v>1.5304585900068446</v>
      </c>
      <c r="F2462" s="49">
        <f>IF(expected_production[[#This Row],[Age (yrs)]]="",1,(1-DegradationRate)^expected_production[[#This Row],[Age (yrs)]])</f>
        <v>0.9893067019180144</v>
      </c>
      <c r="G2462" s="52">
        <f>IF(expected_production[[#This Row],[Base Expected (kWh)]]="","",expected_production[[#This Row],[Base Expected (kWh)]]*expected_production[[#This Row],[Degradation Factor]])</f>
        <v>7781.886517287101</v>
      </c>
    </row>
    <row r="2463" spans="1:7" ht="15" hidden="1" customHeight="1" x14ac:dyDescent="0.3">
      <c r="A2463" t="s">
        <v>194</v>
      </c>
      <c r="B2463" s="2">
        <v>45658</v>
      </c>
      <c r="C2463" s="52">
        <v>7399.8</v>
      </c>
      <c r="D2463" s="48">
        <f>_xlfn.XLOOKUP(expected_production[[#This Row],[Site Name]],Table1[[Site Name ]],Table1[Commisioned Date],"")</f>
        <v>45068</v>
      </c>
      <c r="E2463" s="47">
        <f>IF(ISNUMBER(expected_production[[#This Row],[Commissioned Date]]),MAX(0,(expected_production[[#This Row],[Date]]-expected_production[[#This Row],[Commissioned Date]])/365.25),"")</f>
        <v>1.6153319644079398</v>
      </c>
      <c r="F2463" s="49">
        <f>IF(expected_production[[#This Row],[Age (yrs)]]="",1,(1-DegradationRate)^expected_production[[#This Row],[Age (yrs)]])</f>
        <v>0.98871705031184887</v>
      </c>
      <c r="G2463" s="52">
        <f>IF(expected_production[[#This Row],[Base Expected (kWh)]]="","",expected_production[[#This Row],[Base Expected (kWh)]]*expected_production[[#This Row],[Degradation Factor]])</f>
        <v>7316.3084288976197</v>
      </c>
    </row>
    <row r="2464" spans="1:7" ht="15" hidden="1" customHeight="1" x14ac:dyDescent="0.3">
      <c r="A2464" t="s">
        <v>194</v>
      </c>
      <c r="B2464" s="2">
        <v>45689</v>
      </c>
      <c r="C2464" s="52">
        <v>6298.2</v>
      </c>
      <c r="D2464" s="48">
        <f>_xlfn.XLOOKUP(expected_production[[#This Row],[Site Name]],Table1[[Site Name ]],Table1[Commisioned Date],"")</f>
        <v>45068</v>
      </c>
      <c r="E2464" s="47">
        <f>IF(ISNUMBER(expected_production[[#This Row],[Commissioned Date]]),MAX(0,(expected_production[[#This Row],[Date]]-expected_production[[#This Row],[Commissioned Date]])/365.25),"")</f>
        <v>1.700205338809035</v>
      </c>
      <c r="F2464" s="49">
        <f>IF(expected_production[[#This Row],[Age (yrs)]]="",1,(1-DegradationRate)^expected_production[[#This Row],[Age (yrs)]])</f>
        <v>0.98812775015282905</v>
      </c>
      <c r="G2464" s="52">
        <f>IF(expected_production[[#This Row],[Base Expected (kWh)]]="","",expected_production[[#This Row],[Base Expected (kWh)]]*expected_production[[#This Row],[Degradation Factor]])</f>
        <v>6223.4261960125477</v>
      </c>
    </row>
    <row r="2465" spans="1:7" ht="15" hidden="1" customHeight="1" x14ac:dyDescent="0.3">
      <c r="A2465" t="s">
        <v>194</v>
      </c>
      <c r="B2465" s="2">
        <v>45717</v>
      </c>
      <c r="C2465" s="52">
        <v>6353.1</v>
      </c>
      <c r="D2465" s="48">
        <f>_xlfn.XLOOKUP(expected_production[[#This Row],[Site Name]],Table1[[Site Name ]],Table1[Commisioned Date],"")</f>
        <v>45068</v>
      </c>
      <c r="E2465" s="47">
        <f>IF(ISNUMBER(expected_production[[#This Row],[Commissioned Date]]),MAX(0,(expected_production[[#This Row],[Date]]-expected_production[[#This Row],[Commissioned Date]])/365.25),"")</f>
        <v>1.7768651608487338</v>
      </c>
      <c r="F2465" s="49">
        <f>IF(expected_production[[#This Row],[Age (yrs)]]="",1,(1-DegradationRate)^expected_production[[#This Row],[Age (yrs)]])</f>
        <v>0.9875957809435354</v>
      </c>
      <c r="G2465" s="52">
        <f>IF(expected_production[[#This Row],[Base Expected (kWh)]]="","",expected_production[[#This Row],[Base Expected (kWh)]]*expected_production[[#This Row],[Degradation Factor]])</f>
        <v>6274.294755912375</v>
      </c>
    </row>
    <row r="2466" spans="1:7" ht="15" hidden="1" customHeight="1" x14ac:dyDescent="0.3">
      <c r="A2466" t="s">
        <v>194</v>
      </c>
      <c r="B2466" s="2">
        <v>45748</v>
      </c>
      <c r="C2466" s="52">
        <v>5016.6000000000004</v>
      </c>
      <c r="D2466" s="48">
        <f>_xlfn.XLOOKUP(expected_production[[#This Row],[Site Name]],Table1[[Site Name ]],Table1[Commisioned Date],"")</f>
        <v>45068</v>
      </c>
      <c r="E2466" s="47">
        <f>IF(ISNUMBER(expected_production[[#This Row],[Commissioned Date]]),MAX(0,(expected_production[[#This Row],[Date]]-expected_production[[#This Row],[Commissioned Date]])/365.25),"")</f>
        <v>1.8617385352498288</v>
      </c>
      <c r="F2466" s="49">
        <f>IF(expected_production[[#This Row],[Age (yrs)]]="",1,(1-DegradationRate)^expected_production[[#This Row],[Age (yrs)]])</f>
        <v>0.98700714908918052</v>
      </c>
      <c r="G2466" s="52">
        <f>IF(expected_production[[#This Row],[Base Expected (kWh)]]="","",expected_production[[#This Row],[Base Expected (kWh)]]*expected_production[[#This Row],[Degradation Factor]])</f>
        <v>4951.4200641207835</v>
      </c>
    </row>
    <row r="2467" spans="1:7" ht="15" hidden="1" customHeight="1" x14ac:dyDescent="0.3">
      <c r="A2467" t="s">
        <v>194</v>
      </c>
      <c r="B2467" s="2">
        <v>45778</v>
      </c>
      <c r="C2467" s="52">
        <v>4753.8</v>
      </c>
      <c r="D2467" s="48">
        <f>_xlfn.XLOOKUP(expected_production[[#This Row],[Site Name]],Table1[[Site Name ]],Table1[Commisioned Date],"")</f>
        <v>45068</v>
      </c>
      <c r="E2467" s="47">
        <f>IF(ISNUMBER(expected_production[[#This Row],[Commissioned Date]]),MAX(0,(expected_production[[#This Row],[Date]]-expected_production[[#This Row],[Commissioned Date]])/365.25),"")</f>
        <v>1.9438740588637919</v>
      </c>
      <c r="F2467" s="49">
        <f>IF(expected_production[[#This Row],[Age (yrs)]]="",1,(1-DegradationRate)^expected_production[[#This Row],[Age (yrs)]])</f>
        <v>0.98643783940709018</v>
      </c>
      <c r="G2467" s="52">
        <f>IF(expected_production[[#This Row],[Base Expected (kWh)]]="","",expected_production[[#This Row],[Base Expected (kWh)]]*expected_production[[#This Row],[Degradation Factor]])</f>
        <v>4689.3282009734257</v>
      </c>
    </row>
    <row r="2468" spans="1:7" ht="15" hidden="1" customHeight="1" x14ac:dyDescent="0.3">
      <c r="A2468" t="s">
        <v>194</v>
      </c>
      <c r="B2468" s="2">
        <v>45809</v>
      </c>
      <c r="C2468" s="52">
        <v>4257</v>
      </c>
      <c r="D2468" s="48">
        <f>_xlfn.XLOOKUP(expected_production[[#This Row],[Site Name]],Table1[[Site Name ]],Table1[Commisioned Date],"")</f>
        <v>45068</v>
      </c>
      <c r="E2468" s="47">
        <f>IF(ISNUMBER(expected_production[[#This Row],[Commissioned Date]]),MAX(0,(expected_production[[#This Row],[Date]]-expected_production[[#This Row],[Commissioned Date]])/365.25),"")</f>
        <v>2.0287474332648872</v>
      </c>
      <c r="F2468" s="49">
        <f>IF(expected_production[[#This Row],[Age (yrs)]]="",1,(1-DegradationRate)^expected_production[[#This Row],[Age (yrs)]])</f>
        <v>0.98584989771493226</v>
      </c>
      <c r="G2468" s="52">
        <f>IF(expected_production[[#This Row],[Base Expected (kWh)]]="","",expected_production[[#This Row],[Base Expected (kWh)]]*expected_production[[#This Row],[Degradation Factor]])</f>
        <v>4196.763014572467</v>
      </c>
    </row>
    <row r="2469" spans="1:7" ht="15" hidden="1" customHeight="1" x14ac:dyDescent="0.3">
      <c r="A2469" t="s">
        <v>194</v>
      </c>
      <c r="B2469" s="2">
        <v>45839</v>
      </c>
      <c r="C2469" s="52">
        <v>4730.3999999999996</v>
      </c>
      <c r="D2469" s="48">
        <f>_xlfn.XLOOKUP(expected_production[[#This Row],[Site Name]],Table1[[Site Name ]],Table1[Commisioned Date],"")</f>
        <v>45068</v>
      </c>
      <c r="E2469" s="47">
        <f>IF(ISNUMBER(expected_production[[#This Row],[Commissioned Date]]),MAX(0,(expected_production[[#This Row],[Date]]-expected_production[[#This Row],[Commissioned Date]])/365.25),"")</f>
        <v>2.1108829568788501</v>
      </c>
      <c r="F2469" s="49">
        <f>IF(expected_production[[#This Row],[Age (yrs)]]="",1,(1-DegradationRate)^expected_production[[#This Row],[Age (yrs)]])</f>
        <v>0.98528125554007584</v>
      </c>
      <c r="G2469" s="52">
        <f>IF(expected_production[[#This Row],[Base Expected (kWh)]]="","",expected_production[[#This Row],[Base Expected (kWh)]]*expected_production[[#This Row],[Degradation Factor]])</f>
        <v>4660.7744512067748</v>
      </c>
    </row>
    <row r="2470" spans="1:7" ht="15" hidden="1" customHeight="1" x14ac:dyDescent="0.3">
      <c r="A2470" t="s">
        <v>194</v>
      </c>
      <c r="B2470" s="2">
        <v>45870</v>
      </c>
      <c r="C2470" s="52">
        <v>5440.5</v>
      </c>
      <c r="D2470" s="48">
        <f>_xlfn.XLOOKUP(expected_production[[#This Row],[Site Name]],Table1[[Site Name ]],Table1[Commisioned Date],"")</f>
        <v>45068</v>
      </c>
      <c r="E2470" s="47">
        <f>IF(ISNUMBER(expected_production[[#This Row],[Commissioned Date]]),MAX(0,(expected_production[[#This Row],[Date]]-expected_production[[#This Row],[Commissioned Date]])/365.25),"")</f>
        <v>2.1957563312799451</v>
      </c>
      <c r="F2470" s="49">
        <f>IF(expected_production[[#This Row],[Age (yrs)]]="",1,(1-DegradationRate)^expected_production[[#This Row],[Age (yrs)]])</f>
        <v>0.98469400320090972</v>
      </c>
      <c r="G2470" s="52">
        <f>IF(expected_production[[#This Row],[Base Expected (kWh)]]="","",expected_production[[#This Row],[Base Expected (kWh)]]*expected_production[[#This Row],[Degradation Factor]])</f>
        <v>5357.2277244145489</v>
      </c>
    </row>
    <row r="2471" spans="1:7" ht="15" hidden="1" customHeight="1" x14ac:dyDescent="0.3">
      <c r="A2471" t="s">
        <v>194</v>
      </c>
      <c r="B2471" s="2">
        <v>45901</v>
      </c>
      <c r="C2471" s="52">
        <v>6345.9</v>
      </c>
      <c r="D2471" s="48">
        <f>_xlfn.XLOOKUP(expected_production[[#This Row],[Site Name]],Table1[[Site Name ]],Table1[Commisioned Date],"")</f>
        <v>45068</v>
      </c>
      <c r="E2471" s="47">
        <f>IF(ISNUMBER(expected_production[[#This Row],[Commissioned Date]]),MAX(0,(expected_production[[#This Row],[Date]]-expected_production[[#This Row],[Commissioned Date]])/365.25),"")</f>
        <v>2.2806297056810405</v>
      </c>
      <c r="F2471" s="49">
        <f>IF(expected_production[[#This Row],[Age (yrs)]]="",1,(1-DegradationRate)^expected_production[[#This Row],[Age (yrs)]])</f>
        <v>0.9841071008788661</v>
      </c>
      <c r="G2471" s="52">
        <f>IF(expected_production[[#This Row],[Base Expected (kWh)]]="","",expected_production[[#This Row],[Base Expected (kWh)]]*expected_production[[#This Row],[Degradation Factor]])</f>
        <v>6245.0452514671961</v>
      </c>
    </row>
    <row r="2472" spans="1:7" ht="15" hidden="1" customHeight="1" x14ac:dyDescent="0.3">
      <c r="A2472" t="s">
        <v>194</v>
      </c>
      <c r="B2472" s="2">
        <v>45931</v>
      </c>
      <c r="C2472" s="52">
        <v>7250.4</v>
      </c>
      <c r="D2472" s="48">
        <f>_xlfn.XLOOKUP(expected_production[[#This Row],[Site Name]],Table1[[Site Name ]],Table1[Commisioned Date],"")</f>
        <v>45068</v>
      </c>
      <c r="E2472" s="47">
        <f>IF(ISNUMBER(expected_production[[#This Row],[Commissioned Date]]),MAX(0,(expected_production[[#This Row],[Date]]-expected_production[[#This Row],[Commissioned Date]])/365.25),"")</f>
        <v>2.3627652292950034</v>
      </c>
      <c r="F2472" s="49">
        <f>IF(expected_production[[#This Row],[Age (yrs)]]="",1,(1-DegradationRate)^expected_production[[#This Row],[Age (yrs)]])</f>
        <v>0.98353946395621439</v>
      </c>
      <c r="G2472" s="52">
        <f>IF(expected_production[[#This Row],[Base Expected (kWh)]]="","",expected_production[[#This Row],[Base Expected (kWh)]]*expected_production[[#This Row],[Degradation Factor]])</f>
        <v>7131.054529468136</v>
      </c>
    </row>
    <row r="2473" spans="1:7" ht="15" hidden="1" customHeight="1" x14ac:dyDescent="0.3">
      <c r="A2473" t="s">
        <v>194</v>
      </c>
      <c r="B2473" s="2">
        <v>45962</v>
      </c>
      <c r="C2473" s="52">
        <v>7330.5</v>
      </c>
      <c r="D2473" s="48">
        <f>_xlfn.XLOOKUP(expected_production[[#This Row],[Site Name]],Table1[[Site Name ]],Table1[Commisioned Date],"")</f>
        <v>45068</v>
      </c>
      <c r="E2473" s="47">
        <f>IF(ISNUMBER(expected_production[[#This Row],[Commissioned Date]]),MAX(0,(expected_production[[#This Row],[Date]]-expected_production[[#This Row],[Commissioned Date]])/365.25),"")</f>
        <v>2.4476386036960984</v>
      </c>
      <c r="F2473" s="49">
        <f>IF(expected_production[[#This Row],[Age (yrs)]]="",1,(1-DegradationRate)^expected_production[[#This Row],[Age (yrs)]])</f>
        <v>0.9829532497685165</v>
      </c>
      <c r="G2473" s="52">
        <f>IF(expected_production[[#This Row],[Base Expected (kWh)]]="","",expected_production[[#This Row],[Base Expected (kWh)]]*expected_production[[#This Row],[Degradation Factor]])</f>
        <v>7205.5387974281102</v>
      </c>
    </row>
    <row r="2474" spans="1:7" ht="15" hidden="1" customHeight="1" x14ac:dyDescent="0.3">
      <c r="A2474" t="s">
        <v>194</v>
      </c>
      <c r="B2474" s="2">
        <v>45992</v>
      </c>
      <c r="C2474" s="52">
        <v>7866</v>
      </c>
      <c r="D2474" s="48">
        <f>_xlfn.XLOOKUP(expected_production[[#This Row],[Site Name]],Table1[[Site Name ]],Table1[Commisioned Date],"")</f>
        <v>45068</v>
      </c>
      <c r="E2474" s="47">
        <f>IF(ISNUMBER(expected_production[[#This Row],[Commissioned Date]]),MAX(0,(expected_production[[#This Row],[Date]]-expected_production[[#This Row],[Commissioned Date]])/365.25),"")</f>
        <v>2.5297741273100618</v>
      </c>
      <c r="F2474" s="49">
        <f>IF(expected_production[[#This Row],[Age (yrs)]]="",1,(1-DegradationRate)^expected_production[[#This Row],[Age (yrs)]])</f>
        <v>0.98238627839181281</v>
      </c>
      <c r="G2474" s="52">
        <f>IF(expected_production[[#This Row],[Base Expected (kWh)]]="","",expected_production[[#This Row],[Base Expected (kWh)]]*expected_production[[#This Row],[Degradation Factor]])</f>
        <v>7727.4504658299993</v>
      </c>
    </row>
    <row r="2475" spans="1:7" ht="15" hidden="1" customHeight="1" x14ac:dyDescent="0.3">
      <c r="A2475" t="s">
        <v>194</v>
      </c>
      <c r="B2475" s="2">
        <v>46023</v>
      </c>
      <c r="C2475" s="52">
        <v>7399.8</v>
      </c>
      <c r="D2475" s="48">
        <f>_xlfn.XLOOKUP(expected_production[[#This Row],[Site Name]],Table1[[Site Name ]],Table1[Commisioned Date],"")</f>
        <v>45068</v>
      </c>
      <c r="E2475" s="47">
        <f>IF(ISNUMBER(expected_production[[#This Row],[Commissioned Date]]),MAX(0,(expected_production[[#This Row],[Date]]-expected_production[[#This Row],[Commissioned Date]])/365.25),"")</f>
        <v>2.6146475017111568</v>
      </c>
      <c r="F2475" s="49">
        <f>IF(expected_production[[#This Row],[Age (yrs)]]="",1,(1-DegradationRate)^expected_production[[#This Row],[Age (yrs)]])</f>
        <v>0.98180075153163315</v>
      </c>
      <c r="G2475" s="52">
        <f>IF(expected_production[[#This Row],[Base Expected (kWh)]]="","",expected_production[[#This Row],[Base Expected (kWh)]]*expected_production[[#This Row],[Degradation Factor]])</f>
        <v>7265.1292011837795</v>
      </c>
    </row>
    <row r="2476" spans="1:7" ht="15" hidden="1" customHeight="1" x14ac:dyDescent="0.3">
      <c r="A2476" t="s">
        <v>194</v>
      </c>
      <c r="B2476" s="2">
        <v>46054</v>
      </c>
      <c r="C2476" s="52">
        <v>6298.2</v>
      </c>
      <c r="D2476" s="48">
        <f>_xlfn.XLOOKUP(expected_production[[#This Row],[Site Name]],Table1[[Site Name ]],Table1[Commisioned Date],"")</f>
        <v>45068</v>
      </c>
      <c r="E2476" s="47">
        <f>IF(ISNUMBER(expected_production[[#This Row],[Commissioned Date]]),MAX(0,(expected_production[[#This Row],[Date]]-expected_production[[#This Row],[Commissioned Date]])/365.25),"")</f>
        <v>2.6995208761122518</v>
      </c>
      <c r="F2476" s="49">
        <f>IF(expected_production[[#This Row],[Age (yrs)]]="",1,(1-DegradationRate)^expected_production[[#This Row],[Age (yrs)]])</f>
        <v>0.98121557366014722</v>
      </c>
      <c r="G2476" s="52">
        <f>IF(expected_production[[#This Row],[Base Expected (kWh)]]="","",expected_production[[#This Row],[Base Expected (kWh)]]*expected_production[[#This Row],[Degradation Factor]])</f>
        <v>6179.8919260263392</v>
      </c>
    </row>
    <row r="2477" spans="1:7" ht="15" hidden="1" customHeight="1" x14ac:dyDescent="0.3">
      <c r="A2477" t="s">
        <v>194</v>
      </c>
      <c r="B2477" s="2">
        <v>46082</v>
      </c>
      <c r="C2477" s="52">
        <v>6353.1</v>
      </c>
      <c r="D2477" s="48">
        <f>_xlfn.XLOOKUP(expected_production[[#This Row],[Site Name]],Table1[[Site Name ]],Table1[Commisioned Date],"")</f>
        <v>45068</v>
      </c>
      <c r="E2477" s="47">
        <f>IF(ISNUMBER(expected_production[[#This Row],[Commissioned Date]]),MAX(0,(expected_production[[#This Row],[Date]]-expected_production[[#This Row],[Commissioned Date]])/365.25),"")</f>
        <v>2.7761806981519506</v>
      </c>
      <c r="F2477" s="49">
        <f>IF(expected_production[[#This Row],[Age (yrs)]]="",1,(1-DegradationRate)^expected_production[[#This Row],[Age (yrs)]])</f>
        <v>0.98068732569546269</v>
      </c>
      <c r="G2477" s="52">
        <f>IF(expected_production[[#This Row],[Base Expected (kWh)]]="","",expected_production[[#This Row],[Base Expected (kWh)]]*expected_production[[#This Row],[Degradation Factor]])</f>
        <v>6230.404648875844</v>
      </c>
    </row>
    <row r="2478" spans="1:7" ht="15" hidden="1" customHeight="1" x14ac:dyDescent="0.3">
      <c r="A2478" t="s">
        <v>194</v>
      </c>
      <c r="B2478" s="2">
        <v>46113</v>
      </c>
      <c r="C2478" s="52">
        <v>5016.6000000000004</v>
      </c>
      <c r="D2478" s="48">
        <f>_xlfn.XLOOKUP(expected_production[[#This Row],[Site Name]],Table1[[Site Name ]],Table1[Commisioned Date],"")</f>
        <v>45068</v>
      </c>
      <c r="E2478" s="47">
        <f>IF(ISNUMBER(expected_production[[#This Row],[Commissioned Date]]),MAX(0,(expected_production[[#This Row],[Date]]-expected_production[[#This Row],[Commissioned Date]])/365.25),"")</f>
        <v>2.861054072553046</v>
      </c>
      <c r="F2478" s="49">
        <f>IF(expected_production[[#This Row],[Age (yrs)]]="",1,(1-DegradationRate)^expected_production[[#This Row],[Age (yrs)]])</f>
        <v>0.98010281145369982</v>
      </c>
      <c r="G2478" s="52">
        <f>IF(expected_production[[#This Row],[Base Expected (kWh)]]="","",expected_production[[#This Row],[Base Expected (kWh)]]*expected_production[[#This Row],[Degradation Factor]])</f>
        <v>4916.7837639386307</v>
      </c>
    </row>
    <row r="2479" spans="1:7" ht="15" hidden="1" customHeight="1" x14ac:dyDescent="0.3">
      <c r="A2479" t="s">
        <v>194</v>
      </c>
      <c r="B2479" s="2">
        <v>46143</v>
      </c>
      <c r="C2479" s="52">
        <v>4753.8</v>
      </c>
      <c r="D2479" s="48">
        <f>_xlfn.XLOOKUP(expected_production[[#This Row],[Site Name]],Table1[[Site Name ]],Table1[Commisioned Date],"")</f>
        <v>45068</v>
      </c>
      <c r="E2479" s="47">
        <f>IF(ISNUMBER(expected_production[[#This Row],[Commissioned Date]]),MAX(0,(expected_production[[#This Row],[Date]]-expected_production[[#This Row],[Commissioned Date]])/365.25),"")</f>
        <v>2.9431895961670089</v>
      </c>
      <c r="F2479" s="49">
        <f>IF(expected_production[[#This Row],[Age (yrs)]]="",1,(1-DegradationRate)^expected_production[[#This Row],[Age (yrs)]])</f>
        <v>0.97953748422124809</v>
      </c>
      <c r="G2479" s="52">
        <f>IF(expected_production[[#This Row],[Base Expected (kWh)]]="","",expected_production[[#This Row],[Base Expected (kWh)]]*expected_production[[#This Row],[Degradation Factor]])</f>
        <v>4656.5252924909692</v>
      </c>
    </row>
    <row r="2480" spans="1:7" ht="15" hidden="1" customHeight="1" x14ac:dyDescent="0.3">
      <c r="A2480" t="s">
        <v>194</v>
      </c>
      <c r="B2480" s="2">
        <v>46174</v>
      </c>
      <c r="C2480" s="52">
        <v>4257</v>
      </c>
      <c r="D2480" s="48">
        <f>_xlfn.XLOOKUP(expected_production[[#This Row],[Site Name]],Table1[[Site Name ]],Table1[Commisioned Date],"")</f>
        <v>45068</v>
      </c>
      <c r="E2480" s="47">
        <f>IF(ISNUMBER(expected_production[[#This Row],[Commissioned Date]]),MAX(0,(expected_production[[#This Row],[Date]]-expected_production[[#This Row],[Commissioned Date]])/365.25),"")</f>
        <v>3.0280629705681039</v>
      </c>
      <c r="F2480" s="49">
        <f>IF(expected_production[[#This Row],[Age (yrs)]]="",1,(1-DegradationRate)^expected_production[[#This Row],[Age (yrs)]])</f>
        <v>0.97895365531384193</v>
      </c>
      <c r="G2480" s="52">
        <f>IF(expected_production[[#This Row],[Base Expected (kWh)]]="","",expected_production[[#This Row],[Base Expected (kWh)]]*expected_production[[#This Row],[Degradation Factor]])</f>
        <v>4167.4057106710252</v>
      </c>
    </row>
    <row r="2481" spans="1:7" ht="15" hidden="1" customHeight="1" x14ac:dyDescent="0.3">
      <c r="A2481" t="s">
        <v>194</v>
      </c>
      <c r="B2481" s="2">
        <v>46204</v>
      </c>
      <c r="C2481" s="52">
        <v>4730.3999999999996</v>
      </c>
      <c r="D2481" s="48">
        <f>_xlfn.XLOOKUP(expected_production[[#This Row],[Site Name]],Table1[[Site Name ]],Table1[Commisioned Date],"")</f>
        <v>45068</v>
      </c>
      <c r="E2481" s="47">
        <f>IF(ISNUMBER(expected_production[[#This Row],[Commissioned Date]]),MAX(0,(expected_production[[#This Row],[Date]]-expected_production[[#This Row],[Commissioned Date]])/365.25),"")</f>
        <v>3.1101984941820673</v>
      </c>
      <c r="F2481" s="49">
        <f>IF(expected_production[[#This Row],[Age (yrs)]]="",1,(1-DegradationRate)^expected_production[[#This Row],[Age (yrs)]])</f>
        <v>0.97838899091926057</v>
      </c>
      <c r="G2481" s="52">
        <f>IF(expected_production[[#This Row],[Base Expected (kWh)]]="","",expected_production[[#This Row],[Base Expected (kWh)]]*expected_production[[#This Row],[Degradation Factor]])</f>
        <v>4628.17128264447</v>
      </c>
    </row>
    <row r="2482" spans="1:7" ht="15" hidden="1" customHeight="1" x14ac:dyDescent="0.3">
      <c r="A2482" t="s">
        <v>194</v>
      </c>
      <c r="B2482" s="2">
        <v>46235</v>
      </c>
      <c r="C2482" s="52">
        <v>5440.5</v>
      </c>
      <c r="D2482" s="48">
        <f>_xlfn.XLOOKUP(expected_production[[#This Row],[Site Name]],Table1[[Site Name ]],Table1[Commisioned Date],"")</f>
        <v>45068</v>
      </c>
      <c r="E2482" s="47">
        <f>IF(ISNUMBER(expected_production[[#This Row],[Commissioned Date]]),MAX(0,(expected_production[[#This Row],[Date]]-expected_production[[#This Row],[Commissioned Date]])/365.25),"")</f>
        <v>3.1950718685831623</v>
      </c>
      <c r="F2482" s="49">
        <f>IF(expected_production[[#This Row],[Age (yrs)]]="",1,(1-DegradationRate)^expected_production[[#This Row],[Age (yrs)]])</f>
        <v>0.97780584654266656</v>
      </c>
      <c r="G2482" s="52">
        <f>IF(expected_production[[#This Row],[Base Expected (kWh)]]="","",expected_production[[#This Row],[Base Expected (kWh)]]*expected_production[[#This Row],[Degradation Factor]])</f>
        <v>5319.7527081153776</v>
      </c>
    </row>
    <row r="2483" spans="1:7" ht="15" hidden="1" customHeight="1" x14ac:dyDescent="0.3">
      <c r="A2483" t="s">
        <v>194</v>
      </c>
      <c r="B2483" s="2">
        <v>46266</v>
      </c>
      <c r="C2483" s="52">
        <v>6345.9</v>
      </c>
      <c r="D2483" s="48">
        <f>_xlfn.XLOOKUP(expected_production[[#This Row],[Site Name]],Table1[[Site Name ]],Table1[Commisioned Date],"")</f>
        <v>45068</v>
      </c>
      <c r="E2483" s="47">
        <f>IF(ISNUMBER(expected_production[[#This Row],[Commissioned Date]]),MAX(0,(expected_production[[#This Row],[Date]]-expected_production[[#This Row],[Commissioned Date]])/365.25),"")</f>
        <v>3.2799452429842573</v>
      </c>
      <c r="F2483" s="49">
        <f>IF(expected_production[[#This Row],[Age (yrs)]]="",1,(1-DegradationRate)^expected_production[[#This Row],[Age (yrs)]])</f>
        <v>0.97722304973474627</v>
      </c>
      <c r="G2483" s="52">
        <f>IF(expected_production[[#This Row],[Base Expected (kWh)]]="","",expected_production[[#This Row],[Base Expected (kWh)]]*expected_production[[#This Row],[Degradation Factor]])</f>
        <v>6201.3597513117256</v>
      </c>
    </row>
    <row r="2484" spans="1:7" ht="15" hidden="1" customHeight="1" x14ac:dyDescent="0.3">
      <c r="A2484" t="s">
        <v>194</v>
      </c>
      <c r="B2484" s="2">
        <v>46296</v>
      </c>
      <c r="C2484" s="52">
        <v>7250.4</v>
      </c>
      <c r="D2484" s="48">
        <f>_xlfn.XLOOKUP(expected_production[[#This Row],[Site Name]],Table1[[Site Name ]],Table1[Commisioned Date],"")</f>
        <v>45068</v>
      </c>
      <c r="E2484" s="47">
        <f>IF(ISNUMBER(expected_production[[#This Row],[Commissioned Date]]),MAX(0,(expected_production[[#This Row],[Date]]-expected_production[[#This Row],[Commissioned Date]])/365.25),"")</f>
        <v>3.3620807665982202</v>
      </c>
      <c r="F2484" s="49">
        <f>IF(expected_production[[#This Row],[Age (yrs)]]="",1,(1-DegradationRate)^expected_production[[#This Row],[Age (yrs)]])</f>
        <v>0.97665938356040372</v>
      </c>
      <c r="G2484" s="52">
        <f>IF(expected_production[[#This Row],[Base Expected (kWh)]]="","",expected_production[[#This Row],[Base Expected (kWh)]]*expected_production[[#This Row],[Degradation Factor]])</f>
        <v>7081.171194566351</v>
      </c>
    </row>
    <row r="2485" spans="1:7" ht="15" hidden="1" customHeight="1" x14ac:dyDescent="0.3">
      <c r="A2485" t="s">
        <v>194</v>
      </c>
      <c r="B2485" s="2">
        <v>46327</v>
      </c>
      <c r="C2485" s="52">
        <v>7330.5</v>
      </c>
      <c r="D2485" s="48">
        <f>_xlfn.XLOOKUP(expected_production[[#This Row],[Site Name]],Table1[[Site Name ]],Table1[Commisioned Date],"")</f>
        <v>45068</v>
      </c>
      <c r="E2485" s="47">
        <f>IF(ISNUMBER(expected_production[[#This Row],[Commissioned Date]]),MAX(0,(expected_production[[#This Row],[Date]]-expected_production[[#This Row],[Commissioned Date]])/365.25),"")</f>
        <v>3.4469541409993156</v>
      </c>
      <c r="F2485" s="49">
        <f>IF(expected_production[[#This Row],[Age (yrs)]]="",1,(1-DegradationRate)^expected_production[[#This Row],[Age (yrs)]])</f>
        <v>0.97607727007317413</v>
      </c>
      <c r="G2485" s="52">
        <f>IF(expected_production[[#This Row],[Base Expected (kWh)]]="","",expected_production[[#This Row],[Base Expected (kWh)]]*expected_production[[#This Row],[Degradation Factor]])</f>
        <v>7155.1344282714026</v>
      </c>
    </row>
    <row r="2486" spans="1:7" ht="15" hidden="1" customHeight="1" x14ac:dyDescent="0.3">
      <c r="A2486" t="s">
        <v>194</v>
      </c>
      <c r="B2486" s="2">
        <v>46357</v>
      </c>
      <c r="C2486" s="52">
        <v>7866</v>
      </c>
      <c r="D2486" s="48">
        <f>_xlfn.XLOOKUP(expected_production[[#This Row],[Site Name]],Table1[[Site Name ]],Table1[Commisioned Date],"")</f>
        <v>45068</v>
      </c>
      <c r="E2486" s="47">
        <f>IF(ISNUMBER(expected_production[[#This Row],[Commissioned Date]]),MAX(0,(expected_production[[#This Row],[Date]]-expected_production[[#This Row],[Commissioned Date]])/365.25),"")</f>
        <v>3.5290896646132786</v>
      </c>
      <c r="F2486" s="49">
        <f>IF(expected_production[[#This Row],[Age (yrs)]]="",1,(1-DegradationRate)^expected_production[[#This Row],[Age (yrs)]])</f>
        <v>0.97551426478913561</v>
      </c>
      <c r="G2486" s="52">
        <f>IF(expected_production[[#This Row],[Base Expected (kWh)]]="","",expected_production[[#This Row],[Base Expected (kWh)]]*expected_production[[#This Row],[Degradation Factor]])</f>
        <v>7673.3952068313411</v>
      </c>
    </row>
    <row r="2487" spans="1:7" ht="15" hidden="1" customHeight="1" x14ac:dyDescent="0.3">
      <c r="A2487" t="s">
        <v>196</v>
      </c>
      <c r="B2487" s="2">
        <v>45292</v>
      </c>
      <c r="C2487" s="52">
        <v>4274.1000000000004</v>
      </c>
      <c r="D2487" s="48">
        <f>_xlfn.XLOOKUP(expected_production[[#This Row],[Site Name]],Table1[[Site Name ]],Table1[Commisioned Date],"")</f>
        <v>44617</v>
      </c>
      <c r="E2487" s="47">
        <f>IF(ISNUMBER(expected_production[[#This Row],[Commissioned Date]]),MAX(0,(expected_production[[#This Row],[Date]]-expected_production[[#This Row],[Commissioned Date]])/365.25),"")</f>
        <v>1.8480492813141685</v>
      </c>
      <c r="F2487" s="49">
        <f>IF(expected_production[[#This Row],[Age (yrs)]]="",1,(1-DegradationRate)^expected_production[[#This Row],[Age (yrs)]])</f>
        <v>0.98710206597534522</v>
      </c>
      <c r="G2487" s="52">
        <f>IF(expected_production[[#This Row],[Base Expected (kWh)]]="","",expected_production[[#This Row],[Base Expected (kWh)]]*expected_production[[#This Row],[Degradation Factor]])</f>
        <v>4218.9729401852237</v>
      </c>
    </row>
    <row r="2488" spans="1:7" ht="15" hidden="1" customHeight="1" x14ac:dyDescent="0.3">
      <c r="A2488" t="s">
        <v>196</v>
      </c>
      <c r="B2488" s="2">
        <v>45323</v>
      </c>
      <c r="C2488" s="52">
        <v>3810.6</v>
      </c>
      <c r="D2488" s="48">
        <f>_xlfn.XLOOKUP(expected_production[[#This Row],[Site Name]],Table1[[Site Name ]],Table1[Commisioned Date],"")</f>
        <v>44617</v>
      </c>
      <c r="E2488" s="47">
        <f>IF(ISNUMBER(expected_production[[#This Row],[Commissioned Date]]),MAX(0,(expected_production[[#This Row],[Date]]-expected_production[[#This Row],[Commissioned Date]])/365.25),"")</f>
        <v>1.9329226557152634</v>
      </c>
      <c r="F2488" s="49">
        <f>IF(expected_production[[#This Row],[Age (yrs)]]="",1,(1-DegradationRate)^expected_production[[#This Row],[Age (yrs)]])</f>
        <v>0.98651372838749374</v>
      </c>
      <c r="G2488" s="52">
        <f>IF(expected_production[[#This Row],[Base Expected (kWh)]]="","",expected_production[[#This Row],[Base Expected (kWh)]]*expected_production[[#This Row],[Degradation Factor]])</f>
        <v>3759.2092133933834</v>
      </c>
    </row>
    <row r="2489" spans="1:7" ht="15" hidden="1" customHeight="1" x14ac:dyDescent="0.3">
      <c r="A2489" t="s">
        <v>196</v>
      </c>
      <c r="B2489" s="2">
        <v>45352</v>
      </c>
      <c r="C2489" s="52">
        <v>3907.2750000000001</v>
      </c>
      <c r="D2489" s="48">
        <f>_xlfn.XLOOKUP(expected_production[[#This Row],[Site Name]],Table1[[Site Name ]],Table1[Commisioned Date],"")</f>
        <v>44617</v>
      </c>
      <c r="E2489" s="47">
        <f>IF(ISNUMBER(expected_production[[#This Row],[Commissioned Date]]),MAX(0,(expected_production[[#This Row],[Date]]-expected_production[[#This Row],[Commissioned Date]])/365.25),"")</f>
        <v>2.0123203285420943</v>
      </c>
      <c r="F2489" s="49">
        <f>IF(expected_production[[#This Row],[Age (yrs)]]="",1,(1-DegradationRate)^expected_production[[#This Row],[Age (yrs)]])</f>
        <v>0.98596366552597026</v>
      </c>
      <c r="G2489" s="52">
        <f>IF(expected_production[[#This Row],[Base Expected (kWh)]]="","",expected_production[[#This Row],[Base Expected (kWh)]]*expected_production[[#This Row],[Degradation Factor]])</f>
        <v>3852.4311812179853</v>
      </c>
    </row>
    <row r="2490" spans="1:7" ht="15" hidden="1" customHeight="1" x14ac:dyDescent="0.3">
      <c r="A2490" t="s">
        <v>196</v>
      </c>
      <c r="B2490" s="2">
        <v>45383</v>
      </c>
      <c r="C2490" s="52">
        <v>3268.125</v>
      </c>
      <c r="D2490" s="48">
        <f>_xlfn.XLOOKUP(expected_production[[#This Row],[Site Name]],Table1[[Site Name ]],Table1[Commisioned Date],"")</f>
        <v>44617</v>
      </c>
      <c r="E2490" s="47">
        <f>IF(ISNUMBER(expected_production[[#This Row],[Commissioned Date]]),MAX(0,(expected_production[[#This Row],[Date]]-expected_production[[#This Row],[Commissioned Date]])/365.25),"")</f>
        <v>2.0971937029431897</v>
      </c>
      <c r="F2490" s="49">
        <f>IF(expected_production[[#This Row],[Age (yrs)]]="",1,(1-DegradationRate)^expected_production[[#This Row],[Age (yrs)]])</f>
        <v>0.98537600645333778</v>
      </c>
      <c r="G2490" s="52">
        <f>IF(expected_production[[#This Row],[Base Expected (kWh)]]="","",expected_production[[#This Row],[Base Expected (kWh)]]*expected_production[[#This Row],[Degradation Factor]])</f>
        <v>3220.3319610903145</v>
      </c>
    </row>
    <row r="2491" spans="1:7" ht="15" hidden="1" customHeight="1" x14ac:dyDescent="0.3">
      <c r="A2491" t="s">
        <v>196</v>
      </c>
      <c r="B2491" s="2">
        <v>45413</v>
      </c>
      <c r="C2491" s="52">
        <v>2929.95</v>
      </c>
      <c r="D2491" s="48">
        <f>_xlfn.XLOOKUP(expected_production[[#This Row],[Site Name]],Table1[[Site Name ]],Table1[Commisioned Date],"")</f>
        <v>44617</v>
      </c>
      <c r="E2491" s="47">
        <f>IF(ISNUMBER(expected_production[[#This Row],[Commissioned Date]]),MAX(0,(expected_production[[#This Row],[Date]]-expected_production[[#This Row],[Commissioned Date]])/365.25),"")</f>
        <v>2.1793292265571527</v>
      </c>
      <c r="F2491" s="49">
        <f>IF(expected_production[[#This Row],[Age (yrs)]]="",1,(1-DegradationRate)^expected_production[[#This Row],[Age (yrs)]])</f>
        <v>0.98480763762086165</v>
      </c>
      <c r="G2491" s="52">
        <f>IF(expected_production[[#This Row],[Base Expected (kWh)]]="","",expected_production[[#This Row],[Base Expected (kWh)]]*expected_production[[#This Row],[Degradation Factor]])</f>
        <v>2885.4371378472433</v>
      </c>
    </row>
    <row r="2492" spans="1:7" ht="15" hidden="1" customHeight="1" x14ac:dyDescent="0.3">
      <c r="A2492" t="s">
        <v>196</v>
      </c>
      <c r="B2492" s="2">
        <v>45444</v>
      </c>
      <c r="C2492" s="52">
        <v>2664.75</v>
      </c>
      <c r="D2492" s="48">
        <f>_xlfn.XLOOKUP(expected_production[[#This Row],[Site Name]],Table1[[Site Name ]],Table1[Commisioned Date],"")</f>
        <v>44617</v>
      </c>
      <c r="E2492" s="47">
        <f>IF(ISNUMBER(expected_production[[#This Row],[Commissioned Date]]),MAX(0,(expected_production[[#This Row],[Date]]-expected_production[[#This Row],[Commissioned Date]])/365.25),"")</f>
        <v>2.2642026009582477</v>
      </c>
      <c r="F2492" s="49">
        <f>IF(expected_production[[#This Row],[Age (yrs)]]="",1,(1-DegradationRate)^expected_production[[#This Row],[Age (yrs)]])</f>
        <v>0.98422066756985371</v>
      </c>
      <c r="G2492" s="52">
        <f>IF(expected_production[[#This Row],[Base Expected (kWh)]]="","",expected_production[[#This Row],[Base Expected (kWh)]]*expected_production[[#This Row],[Degradation Factor]])</f>
        <v>2622.7020239067679</v>
      </c>
    </row>
    <row r="2493" spans="1:7" ht="15" hidden="1" customHeight="1" x14ac:dyDescent="0.3">
      <c r="A2493" t="s">
        <v>196</v>
      </c>
      <c r="B2493" s="2">
        <v>45474</v>
      </c>
      <c r="C2493" s="52">
        <v>2851.125</v>
      </c>
      <c r="D2493" s="48">
        <f>_xlfn.XLOOKUP(expected_production[[#This Row],[Site Name]],Table1[[Site Name ]],Table1[Commisioned Date],"")</f>
        <v>44617</v>
      </c>
      <c r="E2493" s="47">
        <f>IF(ISNUMBER(expected_production[[#This Row],[Commissioned Date]]),MAX(0,(expected_production[[#This Row],[Date]]-expected_production[[#This Row],[Commissioned Date]])/365.25),"")</f>
        <v>2.346338124572211</v>
      </c>
      <c r="F2493" s="49">
        <f>IF(expected_production[[#This Row],[Age (yrs)]]="",1,(1-DegradationRate)^expected_production[[#This Row],[Age (yrs)]])</f>
        <v>0.98365296514147915</v>
      </c>
      <c r="G2493" s="52">
        <f>IF(expected_production[[#This Row],[Base Expected (kWh)]]="","",expected_production[[#This Row],[Base Expected (kWh)]]*expected_production[[#This Row],[Degradation Factor]])</f>
        <v>2804.5175602389995</v>
      </c>
    </row>
    <row r="2494" spans="1:7" ht="15" hidden="1" customHeight="1" x14ac:dyDescent="0.3">
      <c r="A2494" t="s">
        <v>196</v>
      </c>
      <c r="B2494" s="2">
        <v>45505</v>
      </c>
      <c r="C2494" s="52">
        <v>3237</v>
      </c>
      <c r="D2494" s="48">
        <f>_xlfn.XLOOKUP(expected_production[[#This Row],[Site Name]],Table1[[Site Name ]],Table1[Commisioned Date],"")</f>
        <v>44617</v>
      </c>
      <c r="E2494" s="47">
        <f>IF(ISNUMBER(expected_production[[#This Row],[Commissioned Date]]),MAX(0,(expected_production[[#This Row],[Date]]-expected_production[[#This Row],[Commissioned Date]])/365.25),"")</f>
        <v>2.431211498973306</v>
      </c>
      <c r="F2494" s="49">
        <f>IF(expected_production[[#This Row],[Age (yrs)]]="",1,(1-DegradationRate)^expected_production[[#This Row],[Age (yrs)]])</f>
        <v>0.98306668330422819</v>
      </c>
      <c r="G2494" s="52">
        <f>IF(expected_production[[#This Row],[Base Expected (kWh)]]="","",expected_production[[#This Row],[Base Expected (kWh)]]*expected_production[[#This Row],[Degradation Factor]])</f>
        <v>3182.1868538557865</v>
      </c>
    </row>
    <row r="2495" spans="1:7" ht="15" hidden="1" customHeight="1" x14ac:dyDescent="0.3">
      <c r="A2495" t="s">
        <v>196</v>
      </c>
      <c r="B2495" s="2">
        <v>45536</v>
      </c>
      <c r="C2495" s="52">
        <v>3327.75</v>
      </c>
      <c r="D2495" s="48">
        <f>_xlfn.XLOOKUP(expected_production[[#This Row],[Site Name]],Table1[[Site Name ]],Table1[Commisioned Date],"")</f>
        <v>44617</v>
      </c>
      <c r="E2495" s="47">
        <f>IF(ISNUMBER(expected_production[[#This Row],[Commissioned Date]]),MAX(0,(expected_production[[#This Row],[Date]]-expected_production[[#This Row],[Commissioned Date]])/365.25),"")</f>
        <v>2.516084873374401</v>
      </c>
      <c r="F2495" s="49">
        <f>IF(expected_production[[#This Row],[Age (yrs)]]="",1,(1-DegradationRate)^expected_production[[#This Row],[Age (yrs)]])</f>
        <v>0.98248075090565623</v>
      </c>
      <c r="G2495" s="52">
        <f>IF(expected_production[[#This Row],[Base Expected (kWh)]]="","",expected_production[[#This Row],[Base Expected (kWh)]]*expected_production[[#This Row],[Degradation Factor]])</f>
        <v>3269.4503188262975</v>
      </c>
    </row>
    <row r="2496" spans="1:7" ht="15" hidden="1" customHeight="1" x14ac:dyDescent="0.3">
      <c r="A2496" t="s">
        <v>196</v>
      </c>
      <c r="B2496" s="2">
        <v>45566</v>
      </c>
      <c r="C2496" s="52">
        <v>3775.7249999999999</v>
      </c>
      <c r="D2496" s="48">
        <f>_xlfn.XLOOKUP(expected_production[[#This Row],[Site Name]],Table1[[Site Name ]],Table1[Commisioned Date],"")</f>
        <v>44617</v>
      </c>
      <c r="E2496" s="47">
        <f>IF(ISNUMBER(expected_production[[#This Row],[Commissioned Date]]),MAX(0,(expected_production[[#This Row],[Date]]-expected_production[[#This Row],[Commissioned Date]])/365.25),"")</f>
        <v>2.5982203969883639</v>
      </c>
      <c r="F2496" s="49">
        <f>IF(expected_production[[#This Row],[Age (yrs)]]="",1,(1-DegradationRate)^expected_production[[#This Row],[Age (yrs)]])</f>
        <v>0.98191405206819171</v>
      </c>
      <c r="G2496" s="52">
        <f>IF(expected_production[[#This Row],[Base Expected (kWh)]]="","",expected_production[[#This Row],[Base Expected (kWh)]]*expected_production[[#This Row],[Degradation Factor]])</f>
        <v>3707.4374342451729</v>
      </c>
    </row>
    <row r="2497" spans="1:7" ht="15" hidden="1" customHeight="1" x14ac:dyDescent="0.3">
      <c r="A2497" t="s">
        <v>196</v>
      </c>
      <c r="B2497" s="2">
        <v>45597</v>
      </c>
      <c r="C2497" s="52">
        <v>3829.5749999999998</v>
      </c>
      <c r="D2497" s="48">
        <f>_xlfn.XLOOKUP(expected_production[[#This Row],[Site Name]],Table1[[Site Name ]],Table1[Commisioned Date],"")</f>
        <v>44617</v>
      </c>
      <c r="E2497" s="47">
        <f>IF(ISNUMBER(expected_production[[#This Row],[Commissioned Date]]),MAX(0,(expected_production[[#This Row],[Date]]-expected_production[[#This Row],[Commissioned Date]])/365.25),"")</f>
        <v>2.6830937713894594</v>
      </c>
      <c r="F2497" s="49">
        <f>IF(expected_production[[#This Row],[Age (yrs)]]="",1,(1-DegradationRate)^expected_production[[#This Row],[Age (yrs)]])</f>
        <v>0.98132880666674438</v>
      </c>
      <c r="G2497" s="52">
        <f>IF(expected_production[[#This Row],[Base Expected (kWh)]]="","",expected_production[[#This Row],[Base Expected (kWh)]]*expected_production[[#This Row],[Degradation Factor]])</f>
        <v>3758.0722647907974</v>
      </c>
    </row>
    <row r="2498" spans="1:7" ht="15" hidden="1" customHeight="1" x14ac:dyDescent="0.3">
      <c r="A2498" t="s">
        <v>196</v>
      </c>
      <c r="B2498" s="2">
        <v>45627</v>
      </c>
      <c r="C2498" s="52">
        <v>4315.6499999999996</v>
      </c>
      <c r="D2498" s="48">
        <f>_xlfn.XLOOKUP(expected_production[[#This Row],[Site Name]],Table1[[Site Name ]],Table1[Commisioned Date],"")</f>
        <v>44617</v>
      </c>
      <c r="E2498" s="47">
        <f>IF(ISNUMBER(expected_production[[#This Row],[Commissioned Date]]),MAX(0,(expected_production[[#This Row],[Date]]-expected_production[[#This Row],[Commissioned Date]])/365.25),"")</f>
        <v>2.7652292950034223</v>
      </c>
      <c r="F2498" s="49">
        <f>IF(expected_production[[#This Row],[Age (yrs)]]="",1,(1-DegradationRate)^expected_production[[#This Row],[Age (yrs)]])</f>
        <v>0.98076277227533681</v>
      </c>
      <c r="G2498" s="52">
        <f>IF(expected_production[[#This Row],[Base Expected (kWh)]]="","",expected_production[[#This Row],[Base Expected (kWh)]]*expected_production[[#This Row],[Degradation Factor]])</f>
        <v>4232.6288581700574</v>
      </c>
    </row>
    <row r="2499" spans="1:7" ht="15" hidden="1" customHeight="1" x14ac:dyDescent="0.3">
      <c r="A2499" t="s">
        <v>196</v>
      </c>
      <c r="B2499" s="2">
        <v>45658</v>
      </c>
      <c r="C2499" s="52">
        <v>4274.1000000000004</v>
      </c>
      <c r="D2499" s="48">
        <f>_xlfn.XLOOKUP(expected_production[[#This Row],[Site Name]],Table1[[Site Name ]],Table1[Commisioned Date],"")</f>
        <v>44617</v>
      </c>
      <c r="E2499" s="47">
        <f>IF(ISNUMBER(expected_production[[#This Row],[Commissioned Date]]),MAX(0,(expected_production[[#This Row],[Date]]-expected_production[[#This Row],[Commissioned Date]])/365.25),"")</f>
        <v>2.8501026694045173</v>
      </c>
      <c r="F2499" s="49">
        <f>IF(expected_production[[#This Row],[Age (yrs)]]="",1,(1-DegradationRate)^expected_production[[#This Row],[Age (yrs)]])</f>
        <v>0.98017821306552011</v>
      </c>
      <c r="G2499" s="52">
        <f>IF(expected_production[[#This Row],[Base Expected (kWh)]]="","",expected_production[[#This Row],[Base Expected (kWh)]]*expected_production[[#This Row],[Degradation Factor]])</f>
        <v>4189.3797004633398</v>
      </c>
    </row>
    <row r="2500" spans="1:7" ht="15" hidden="1" customHeight="1" x14ac:dyDescent="0.3">
      <c r="A2500" t="s">
        <v>196</v>
      </c>
      <c r="B2500" s="2">
        <v>45689</v>
      </c>
      <c r="C2500" s="52">
        <v>3810.6</v>
      </c>
      <c r="D2500" s="48">
        <f>_xlfn.XLOOKUP(expected_production[[#This Row],[Site Name]],Table1[[Site Name ]],Table1[Commisioned Date],"")</f>
        <v>44617</v>
      </c>
      <c r="E2500" s="47">
        <f>IF(ISNUMBER(expected_production[[#This Row],[Commissioned Date]]),MAX(0,(expected_production[[#This Row],[Date]]-expected_production[[#This Row],[Commissioned Date]])/365.25),"")</f>
        <v>2.9349760438056127</v>
      </c>
      <c r="F2500" s="49">
        <f>IF(expected_production[[#This Row],[Age (yrs)]]="",1,(1-DegradationRate)^expected_production[[#This Row],[Age (yrs)]])</f>
        <v>0.97959400226765325</v>
      </c>
      <c r="G2500" s="52">
        <f>IF(expected_production[[#This Row],[Base Expected (kWh)]]="","",expected_production[[#This Row],[Base Expected (kWh)]]*expected_production[[#This Row],[Degradation Factor]])</f>
        <v>3732.8409050411192</v>
      </c>
    </row>
    <row r="2501" spans="1:7" ht="15" hidden="1" customHeight="1" x14ac:dyDescent="0.3">
      <c r="A2501" t="s">
        <v>196</v>
      </c>
      <c r="B2501" s="2">
        <v>45717</v>
      </c>
      <c r="C2501" s="52">
        <v>3907.2750000000001</v>
      </c>
      <c r="D2501" s="48">
        <f>_xlfn.XLOOKUP(expected_production[[#This Row],[Site Name]],Table1[[Site Name ]],Table1[Commisioned Date],"")</f>
        <v>44617</v>
      </c>
      <c r="E2501" s="47">
        <f>IF(ISNUMBER(expected_production[[#This Row],[Commissioned Date]]),MAX(0,(expected_production[[#This Row],[Date]]-expected_production[[#This Row],[Commissioned Date]])/365.25),"")</f>
        <v>3.0116358658453115</v>
      </c>
      <c r="F2501" s="49">
        <f>IF(expected_production[[#This Row],[Age (yrs)]]="",1,(1-DegradationRate)^expected_production[[#This Row],[Age (yrs)]])</f>
        <v>0.97906662729338045</v>
      </c>
      <c r="G2501" s="52">
        <f>IF(expected_production[[#This Row],[Base Expected (kWh)]]="","",expected_production[[#This Row],[Base Expected (kWh)]]*expected_production[[#This Row],[Degradation Factor]])</f>
        <v>3825.4825561577431</v>
      </c>
    </row>
    <row r="2502" spans="1:7" ht="15" hidden="1" customHeight="1" x14ac:dyDescent="0.3">
      <c r="A2502" t="s">
        <v>196</v>
      </c>
      <c r="B2502" s="2">
        <v>45748</v>
      </c>
      <c r="C2502" s="52">
        <v>3268.125</v>
      </c>
      <c r="D2502" s="48">
        <f>_xlfn.XLOOKUP(expected_production[[#This Row],[Site Name]],Table1[[Site Name ]],Table1[Commisioned Date],"")</f>
        <v>44617</v>
      </c>
      <c r="E2502" s="47">
        <f>IF(ISNUMBER(expected_production[[#This Row],[Commissioned Date]]),MAX(0,(expected_production[[#This Row],[Date]]-expected_production[[#This Row],[Commissioned Date]])/365.25),"")</f>
        <v>3.0965092402464065</v>
      </c>
      <c r="F2502" s="49">
        <f>IF(expected_production[[#This Row],[Age (yrs)]]="",1,(1-DegradationRate)^expected_production[[#This Row],[Age (yrs)]])</f>
        <v>0.97848307902851239</v>
      </c>
      <c r="G2502" s="52">
        <f>IF(expected_production[[#This Row],[Base Expected (kWh)]]="","",expected_production[[#This Row],[Base Expected (kWh)]]*expected_production[[#This Row],[Degradation Factor]])</f>
        <v>3197.8050126500571</v>
      </c>
    </row>
    <row r="2503" spans="1:7" ht="15" hidden="1" customHeight="1" x14ac:dyDescent="0.3">
      <c r="A2503" t="s">
        <v>196</v>
      </c>
      <c r="B2503" s="2">
        <v>45778</v>
      </c>
      <c r="C2503" s="52">
        <v>2929.95</v>
      </c>
      <c r="D2503" s="48">
        <f>_xlfn.XLOOKUP(expected_production[[#This Row],[Site Name]],Table1[[Site Name ]],Table1[Commisioned Date],"")</f>
        <v>44617</v>
      </c>
      <c r="E2503" s="47">
        <f>IF(ISNUMBER(expected_production[[#This Row],[Commissioned Date]]),MAX(0,(expected_production[[#This Row],[Date]]-expected_production[[#This Row],[Commissioned Date]])/365.25),"")</f>
        <v>3.1786447638603694</v>
      </c>
      <c r="F2503" s="49">
        <f>IF(expected_production[[#This Row],[Age (yrs)]]="",1,(1-DegradationRate)^expected_production[[#This Row],[Age (yrs)]])</f>
        <v>0.97791868606421972</v>
      </c>
      <c r="G2503" s="52">
        <f>IF(expected_production[[#This Row],[Base Expected (kWh)]]="","",expected_production[[#This Row],[Base Expected (kWh)]]*expected_production[[#This Row],[Degradation Factor]])</f>
        <v>2865.2528542338605</v>
      </c>
    </row>
    <row r="2504" spans="1:7" ht="15" hidden="1" customHeight="1" x14ac:dyDescent="0.3">
      <c r="A2504" t="s">
        <v>196</v>
      </c>
      <c r="B2504" s="2">
        <v>45809</v>
      </c>
      <c r="C2504" s="52">
        <v>2664.75</v>
      </c>
      <c r="D2504" s="48">
        <f>_xlfn.XLOOKUP(expected_production[[#This Row],[Site Name]],Table1[[Site Name ]],Table1[Commisioned Date],"")</f>
        <v>44617</v>
      </c>
      <c r="E2504" s="47">
        <f>IF(ISNUMBER(expected_production[[#This Row],[Commissioned Date]]),MAX(0,(expected_production[[#This Row],[Date]]-expected_production[[#This Row],[Commissioned Date]])/365.25),"")</f>
        <v>3.2635181382614649</v>
      </c>
      <c r="F2504" s="49">
        <f>IF(expected_production[[#This Row],[Age (yrs)]]="",1,(1-DegradationRate)^expected_production[[#This Row],[Age (yrs)]])</f>
        <v>0.97733582200111457</v>
      </c>
      <c r="G2504" s="52">
        <f>IF(expected_production[[#This Row],[Base Expected (kWh)]]="","",expected_production[[#This Row],[Base Expected (kWh)]]*expected_production[[#This Row],[Degradation Factor]])</f>
        <v>2604.3556316774702</v>
      </c>
    </row>
    <row r="2505" spans="1:7" ht="15" hidden="1" customHeight="1" x14ac:dyDescent="0.3">
      <c r="A2505" t="s">
        <v>196</v>
      </c>
      <c r="B2505" s="2">
        <v>45839</v>
      </c>
      <c r="C2505" s="52">
        <v>2851.125</v>
      </c>
      <c r="D2505" s="48">
        <f>_xlfn.XLOOKUP(expected_production[[#This Row],[Site Name]],Table1[[Site Name ]],Table1[Commisioned Date],"")</f>
        <v>44617</v>
      </c>
      <c r="E2505" s="47">
        <f>IF(ISNUMBER(expected_production[[#This Row],[Commissioned Date]]),MAX(0,(expected_production[[#This Row],[Date]]-expected_production[[#This Row],[Commissioned Date]])/365.25),"")</f>
        <v>3.3456536618754278</v>
      </c>
      <c r="F2505" s="49">
        <f>IF(expected_production[[#This Row],[Age (yrs)]]="",1,(1-DegradationRate)^expected_production[[#This Row],[Age (yrs)]])</f>
        <v>0.9767720907792764</v>
      </c>
      <c r="G2505" s="52">
        <f>IF(expected_production[[#This Row],[Base Expected (kWh)]]="","",expected_production[[#This Row],[Base Expected (kWh)]]*expected_production[[#This Row],[Degradation Factor]])</f>
        <v>2784.8993273230644</v>
      </c>
    </row>
    <row r="2506" spans="1:7" ht="15" hidden="1" customHeight="1" x14ac:dyDescent="0.3">
      <c r="A2506" t="s">
        <v>196</v>
      </c>
      <c r="B2506" s="2">
        <v>45870</v>
      </c>
      <c r="C2506" s="52">
        <v>3237</v>
      </c>
      <c r="D2506" s="48">
        <f>_xlfn.XLOOKUP(expected_production[[#This Row],[Site Name]],Table1[[Site Name ]],Table1[Commisioned Date],"")</f>
        <v>44617</v>
      </c>
      <c r="E2506" s="47">
        <f>IF(ISNUMBER(expected_production[[#This Row],[Commissioned Date]]),MAX(0,(expected_production[[#This Row],[Date]]-expected_production[[#This Row],[Commissioned Date]])/365.25),"")</f>
        <v>3.4305270362765228</v>
      </c>
      <c r="F2506" s="49">
        <f>IF(expected_production[[#This Row],[Age (yrs)]]="",1,(1-DegradationRate)^expected_production[[#This Row],[Age (yrs)]])</f>
        <v>0.97618991011571776</v>
      </c>
      <c r="G2506" s="52">
        <f>IF(expected_production[[#This Row],[Base Expected (kWh)]]="","",expected_production[[#This Row],[Base Expected (kWh)]]*expected_production[[#This Row],[Degradation Factor]])</f>
        <v>3159.9267390445784</v>
      </c>
    </row>
    <row r="2507" spans="1:7" ht="15" hidden="1" customHeight="1" x14ac:dyDescent="0.3">
      <c r="A2507" t="s">
        <v>196</v>
      </c>
      <c r="B2507" s="2">
        <v>45901</v>
      </c>
      <c r="C2507" s="52">
        <v>3327.75</v>
      </c>
      <c r="D2507" s="48">
        <f>_xlfn.XLOOKUP(expected_production[[#This Row],[Site Name]],Table1[[Site Name ]],Table1[Commisioned Date],"")</f>
        <v>44617</v>
      </c>
      <c r="E2507" s="47">
        <f>IF(ISNUMBER(expected_production[[#This Row],[Commissioned Date]]),MAX(0,(expected_production[[#This Row],[Date]]-expected_production[[#This Row],[Commissioned Date]])/365.25),"")</f>
        <v>3.5154004106776182</v>
      </c>
      <c r="F2507" s="49">
        <f>IF(expected_production[[#This Row],[Age (yrs)]]="",1,(1-DegradationRate)^expected_production[[#This Row],[Age (yrs)]])</f>
        <v>0.97560807644643566</v>
      </c>
      <c r="G2507" s="52">
        <f>IF(expected_production[[#This Row],[Base Expected (kWh)]]="","",expected_production[[#This Row],[Base Expected (kWh)]]*expected_production[[#This Row],[Degradation Factor]])</f>
        <v>3246.5797763946262</v>
      </c>
    </row>
    <row r="2508" spans="1:7" ht="15" hidden="1" customHeight="1" x14ac:dyDescent="0.3">
      <c r="A2508" t="s">
        <v>196</v>
      </c>
      <c r="B2508" s="2">
        <v>45931</v>
      </c>
      <c r="C2508" s="52">
        <v>3775.7249999999999</v>
      </c>
      <c r="D2508" s="48">
        <f>_xlfn.XLOOKUP(expected_production[[#This Row],[Site Name]],Table1[[Site Name ]],Table1[Commisioned Date],"")</f>
        <v>44617</v>
      </c>
      <c r="E2508" s="47">
        <f>IF(ISNUMBER(expected_production[[#This Row],[Commissioned Date]]),MAX(0,(expected_production[[#This Row],[Date]]-expected_production[[#This Row],[Commissioned Date]])/365.25),"")</f>
        <v>3.5975359342915811</v>
      </c>
      <c r="F2508" s="49">
        <f>IF(expected_production[[#This Row],[Age (yrs)]]="",1,(1-DegradationRate)^expected_production[[#This Row],[Age (yrs)]])</f>
        <v>0.97504534179516278</v>
      </c>
      <c r="G2508" s="52">
        <f>IF(expected_production[[#This Row],[Base Expected (kWh)]]="","",expected_production[[#This Row],[Base Expected (kWh)]]*expected_production[[#This Row],[Degradation Factor]])</f>
        <v>3681.5030731495408</v>
      </c>
    </row>
    <row r="2509" spans="1:7" ht="15" hidden="1" customHeight="1" x14ac:dyDescent="0.3">
      <c r="A2509" t="s">
        <v>196</v>
      </c>
      <c r="B2509" s="2">
        <v>45962</v>
      </c>
      <c r="C2509" s="52">
        <v>3829.5749999999998</v>
      </c>
      <c r="D2509" s="48">
        <f>_xlfn.XLOOKUP(expected_production[[#This Row],[Site Name]],Table1[[Site Name ]],Table1[Commisioned Date],"")</f>
        <v>44617</v>
      </c>
      <c r="E2509" s="47">
        <f>IF(ISNUMBER(expected_production[[#This Row],[Commissioned Date]]),MAX(0,(expected_production[[#This Row],[Date]]-expected_production[[#This Row],[Commissioned Date]])/365.25),"")</f>
        <v>3.6824093086926761</v>
      </c>
      <c r="F2509" s="49">
        <f>IF(expected_production[[#This Row],[Age (yrs)]]="",1,(1-DegradationRate)^expected_production[[#This Row],[Age (yrs)]])</f>
        <v>0.97446419031730547</v>
      </c>
      <c r="G2509" s="52">
        <f>IF(expected_production[[#This Row],[Base Expected (kWh)]]="","",expected_production[[#This Row],[Base Expected (kWh)]]*expected_production[[#This Row],[Degradation Factor]])</f>
        <v>3731.7837016343951</v>
      </c>
    </row>
    <row r="2510" spans="1:7" ht="15" hidden="1" customHeight="1" x14ac:dyDescent="0.3">
      <c r="A2510" t="s">
        <v>196</v>
      </c>
      <c r="B2510" s="2">
        <v>45992</v>
      </c>
      <c r="C2510" s="52">
        <v>4315.6499999999996</v>
      </c>
      <c r="D2510" s="48">
        <f>_xlfn.XLOOKUP(expected_production[[#This Row],[Site Name]],Table1[[Site Name ]],Table1[Commisioned Date],"")</f>
        <v>44617</v>
      </c>
      <c r="E2510" s="47">
        <f>IF(ISNUMBER(expected_production[[#This Row],[Commissioned Date]]),MAX(0,(expected_production[[#This Row],[Date]]-expected_production[[#This Row],[Commissioned Date]])/365.25),"")</f>
        <v>3.7645448323066395</v>
      </c>
      <c r="F2510" s="49">
        <f>IF(expected_production[[#This Row],[Age (yrs)]]="",1,(1-DegradationRate)^expected_production[[#This Row],[Age (yrs)]])</f>
        <v>0.97390211546413963</v>
      </c>
      <c r="G2510" s="52">
        <f>IF(expected_production[[#This Row],[Base Expected (kWh)]]="","",expected_production[[#This Row],[Base Expected (kWh)]]*expected_production[[#This Row],[Degradation Factor]])</f>
        <v>4203.0206646028137</v>
      </c>
    </row>
    <row r="2511" spans="1:7" ht="15" hidden="1" customHeight="1" x14ac:dyDescent="0.3">
      <c r="A2511" t="s">
        <v>196</v>
      </c>
      <c r="B2511" s="2">
        <v>46023</v>
      </c>
      <c r="C2511" s="52">
        <v>4274.1000000000004</v>
      </c>
      <c r="D2511" s="48">
        <f>_xlfn.XLOOKUP(expected_production[[#This Row],[Site Name]],Table1[[Site Name ]],Table1[Commisioned Date],"")</f>
        <v>44617</v>
      </c>
      <c r="E2511" s="47">
        <f>IF(ISNUMBER(expected_production[[#This Row],[Commissioned Date]]),MAX(0,(expected_production[[#This Row],[Date]]-expected_production[[#This Row],[Commissioned Date]])/365.25),"")</f>
        <v>3.8494182067077345</v>
      </c>
      <c r="F2511" s="49">
        <f>IF(expected_production[[#This Row],[Age (yrs)]]="",1,(1-DegradationRate)^expected_production[[#This Row],[Age (yrs)]])</f>
        <v>0.97332164537784771</v>
      </c>
      <c r="G2511" s="52">
        <f>IF(expected_production[[#This Row],[Base Expected (kWh)]]="","",expected_production[[#This Row],[Base Expected (kWh)]]*expected_production[[#This Row],[Degradation Factor]])</f>
        <v>4160.0740445094589</v>
      </c>
    </row>
    <row r="2512" spans="1:7" ht="15" hidden="1" customHeight="1" x14ac:dyDescent="0.3">
      <c r="A2512" t="s">
        <v>196</v>
      </c>
      <c r="B2512" s="2">
        <v>46054</v>
      </c>
      <c r="C2512" s="52">
        <v>3810.6</v>
      </c>
      <c r="D2512" s="48">
        <f>_xlfn.XLOOKUP(expected_production[[#This Row],[Site Name]],Table1[[Site Name ]],Table1[Commisioned Date],"")</f>
        <v>44617</v>
      </c>
      <c r="E2512" s="47">
        <f>IF(ISNUMBER(expected_production[[#This Row],[Commissioned Date]]),MAX(0,(expected_production[[#This Row],[Date]]-expected_production[[#This Row],[Commissioned Date]])/365.25),"")</f>
        <v>3.9342915811088295</v>
      </c>
      <c r="F2512" s="49">
        <f>IF(expected_production[[#This Row],[Age (yrs)]]="",1,(1-DegradationRate)^expected_production[[#This Row],[Age (yrs)]])</f>
        <v>0.97274152126628544</v>
      </c>
      <c r="G2512" s="52">
        <f>IF(expected_production[[#This Row],[Base Expected (kWh)]]="","",expected_production[[#This Row],[Base Expected (kWh)]]*expected_production[[#This Row],[Degradation Factor]])</f>
        <v>3706.7288409373073</v>
      </c>
    </row>
    <row r="2513" spans="1:7" ht="15" hidden="1" customHeight="1" x14ac:dyDescent="0.3">
      <c r="A2513" t="s">
        <v>196</v>
      </c>
      <c r="B2513" s="2">
        <v>46082</v>
      </c>
      <c r="C2513" s="52">
        <v>3907.2750000000001</v>
      </c>
      <c r="D2513" s="48">
        <f>_xlfn.XLOOKUP(expected_production[[#This Row],[Site Name]],Table1[[Site Name ]],Table1[Commisioned Date],"")</f>
        <v>44617</v>
      </c>
      <c r="E2513" s="47">
        <f>IF(ISNUMBER(expected_production[[#This Row],[Commissioned Date]]),MAX(0,(expected_production[[#This Row],[Date]]-expected_production[[#This Row],[Commissioned Date]])/365.25),"")</f>
        <v>4.0109514031485283</v>
      </c>
      <c r="F2513" s="49">
        <f>IF(expected_production[[#This Row],[Age (yrs)]]="",1,(1-DegradationRate)^expected_production[[#This Row],[Age (yrs)]])</f>
        <v>0.97221783539891149</v>
      </c>
      <c r="G2513" s="52">
        <f>IF(expected_production[[#This Row],[Base Expected (kWh)]]="","",expected_production[[#This Row],[Base Expected (kWh)]]*expected_production[[#This Row],[Degradation Factor]])</f>
        <v>3798.7224428082818</v>
      </c>
    </row>
    <row r="2514" spans="1:7" ht="15" hidden="1" customHeight="1" x14ac:dyDescent="0.3">
      <c r="A2514" t="s">
        <v>196</v>
      </c>
      <c r="B2514" s="2">
        <v>46113</v>
      </c>
      <c r="C2514" s="52">
        <v>3268.125</v>
      </c>
      <c r="D2514" s="48">
        <f>_xlfn.XLOOKUP(expected_production[[#This Row],[Site Name]],Table1[[Site Name ]],Table1[Commisioned Date],"")</f>
        <v>44617</v>
      </c>
      <c r="E2514" s="47">
        <f>IF(ISNUMBER(expected_production[[#This Row],[Commissioned Date]]),MAX(0,(expected_production[[#This Row],[Date]]-expected_production[[#This Row],[Commissioned Date]])/365.25),"")</f>
        <v>4.0958247775496233</v>
      </c>
      <c r="F2514" s="49">
        <f>IF(expected_production[[#This Row],[Age (yrs)]]="",1,(1-DegradationRate)^expected_production[[#This Row],[Age (yrs)]])</f>
        <v>0.97163836918578028</v>
      </c>
      <c r="G2514" s="52">
        <f>IF(expected_production[[#This Row],[Base Expected (kWh)]]="","",expected_production[[#This Row],[Base Expected (kWh)]]*expected_production[[#This Row],[Degradation Factor]])</f>
        <v>3175.4356452952784</v>
      </c>
    </row>
    <row r="2515" spans="1:7" ht="15" hidden="1" customHeight="1" x14ac:dyDescent="0.3">
      <c r="A2515" t="s">
        <v>196</v>
      </c>
      <c r="B2515" s="2">
        <v>46143</v>
      </c>
      <c r="C2515" s="52">
        <v>2929.95</v>
      </c>
      <c r="D2515" s="48">
        <f>_xlfn.XLOOKUP(expected_production[[#This Row],[Site Name]],Table1[[Site Name ]],Table1[Commisioned Date],"")</f>
        <v>44617</v>
      </c>
      <c r="E2515" s="47">
        <f>IF(ISNUMBER(expected_production[[#This Row],[Commissioned Date]]),MAX(0,(expected_production[[#This Row],[Date]]-expected_production[[#This Row],[Commissioned Date]])/365.25),"")</f>
        <v>4.1779603011635862</v>
      </c>
      <c r="F2515" s="49">
        <f>IF(expected_production[[#This Row],[Age (yrs)]]="",1,(1-DegradationRate)^expected_production[[#This Row],[Age (yrs)]])</f>
        <v>0.97107792427757633</v>
      </c>
      <c r="G2515" s="52">
        <f>IF(expected_production[[#This Row],[Base Expected (kWh)]]="","",expected_production[[#This Row],[Base Expected (kWh)]]*expected_production[[#This Row],[Degradation Factor]])</f>
        <v>2845.2097642370845</v>
      </c>
    </row>
    <row r="2516" spans="1:7" ht="15" hidden="1" customHeight="1" x14ac:dyDescent="0.3">
      <c r="A2516" t="s">
        <v>196</v>
      </c>
      <c r="B2516" s="2">
        <v>46174</v>
      </c>
      <c r="C2516" s="52">
        <v>2664.75</v>
      </c>
      <c r="D2516" s="48">
        <f>_xlfn.XLOOKUP(expected_production[[#This Row],[Site Name]],Table1[[Site Name ]],Table1[Commisioned Date],"")</f>
        <v>44617</v>
      </c>
      <c r="E2516" s="47">
        <f>IF(ISNUMBER(expected_production[[#This Row],[Commissioned Date]]),MAX(0,(expected_production[[#This Row],[Date]]-expected_production[[#This Row],[Commissioned Date]])/365.25),"")</f>
        <v>4.2628336755646821</v>
      </c>
      <c r="F2516" s="49">
        <f>IF(expected_production[[#This Row],[Age (yrs)]]="",1,(1-DegradationRate)^expected_production[[#This Row],[Age (yrs)]])</f>
        <v>0.97049913748006233</v>
      </c>
      <c r="G2516" s="52">
        <f>IF(expected_production[[#This Row],[Base Expected (kWh)]]="","",expected_production[[#This Row],[Base Expected (kWh)]]*expected_production[[#This Row],[Degradation Factor]])</f>
        <v>2586.137576599996</v>
      </c>
    </row>
    <row r="2517" spans="1:7" ht="15" hidden="1" customHeight="1" x14ac:dyDescent="0.3">
      <c r="A2517" t="s">
        <v>196</v>
      </c>
      <c r="B2517" s="2">
        <v>46204</v>
      </c>
      <c r="C2517" s="52">
        <v>2851.125</v>
      </c>
      <c r="D2517" s="48">
        <f>_xlfn.XLOOKUP(expected_production[[#This Row],[Site Name]],Table1[[Site Name ]],Table1[Commisioned Date],"")</f>
        <v>44617</v>
      </c>
      <c r="E2517" s="47">
        <f>IF(ISNUMBER(expected_production[[#This Row],[Commissioned Date]]),MAX(0,(expected_production[[#This Row],[Date]]-expected_production[[#This Row],[Commissioned Date]])/365.25),"")</f>
        <v>4.344969199178645</v>
      </c>
      <c r="F2517" s="49">
        <f>IF(expected_production[[#This Row],[Age (yrs)]]="",1,(1-DegradationRate)^expected_production[[#This Row],[Age (yrs)]])</f>
        <v>0.96993934968527529</v>
      </c>
      <c r="G2517" s="52">
        <f>IF(expected_production[[#This Row],[Base Expected (kWh)]]="","",expected_production[[#This Row],[Base Expected (kWh)]]*expected_production[[#This Row],[Degradation Factor]])</f>
        <v>2765.4183283714306</v>
      </c>
    </row>
    <row r="2518" spans="1:7" ht="15" hidden="1" customHeight="1" x14ac:dyDescent="0.3">
      <c r="A2518" t="s">
        <v>196</v>
      </c>
      <c r="B2518" s="2">
        <v>46235</v>
      </c>
      <c r="C2518" s="52">
        <v>3237</v>
      </c>
      <c r="D2518" s="48">
        <f>_xlfn.XLOOKUP(expected_production[[#This Row],[Site Name]],Table1[[Site Name ]],Table1[Commisioned Date],"")</f>
        <v>44617</v>
      </c>
      <c r="E2518" s="47">
        <f>IF(ISNUMBER(expected_production[[#This Row],[Commissioned Date]]),MAX(0,(expected_production[[#This Row],[Date]]-expected_production[[#This Row],[Commissioned Date]])/365.25),"")</f>
        <v>4.42984257357974</v>
      </c>
      <c r="F2518" s="49">
        <f>IF(expected_production[[#This Row],[Age (yrs)]]="",1,(1-DegradationRate)^expected_production[[#This Row],[Age (yrs)]])</f>
        <v>0.96936124150677383</v>
      </c>
      <c r="G2518" s="52">
        <f>IF(expected_production[[#This Row],[Base Expected (kWh)]]="","",expected_production[[#This Row],[Base Expected (kWh)]]*expected_production[[#This Row],[Degradation Factor]])</f>
        <v>3137.8223387574267</v>
      </c>
    </row>
    <row r="2519" spans="1:7" ht="15" hidden="1" customHeight="1" x14ac:dyDescent="0.3">
      <c r="A2519" t="s">
        <v>196</v>
      </c>
      <c r="B2519" s="2">
        <v>46266</v>
      </c>
      <c r="C2519" s="52">
        <v>3327.75</v>
      </c>
      <c r="D2519" s="48">
        <f>_xlfn.XLOOKUP(expected_production[[#This Row],[Site Name]],Table1[[Site Name ]],Table1[Commisioned Date],"")</f>
        <v>44617</v>
      </c>
      <c r="E2519" s="47">
        <f>IF(ISNUMBER(expected_production[[#This Row],[Commissioned Date]]),MAX(0,(expected_production[[#This Row],[Date]]-expected_production[[#This Row],[Commissioned Date]])/365.25),"")</f>
        <v>4.514715947980835</v>
      </c>
      <c r="F2519" s="49">
        <f>IF(expected_production[[#This Row],[Age (yrs)]]="",1,(1-DegradationRate)^expected_production[[#This Row],[Age (yrs)]])</f>
        <v>0.96878347789524566</v>
      </c>
      <c r="G2519" s="52">
        <f>IF(expected_production[[#This Row],[Base Expected (kWh)]]="","",expected_production[[#This Row],[Base Expected (kWh)]]*expected_production[[#This Row],[Degradation Factor]])</f>
        <v>3223.8692185659038</v>
      </c>
    </row>
    <row r="2520" spans="1:7" ht="15" hidden="1" customHeight="1" x14ac:dyDescent="0.3">
      <c r="A2520" t="s">
        <v>196</v>
      </c>
      <c r="B2520" s="2">
        <v>46296</v>
      </c>
      <c r="C2520" s="52">
        <v>3775.7249999999999</v>
      </c>
      <c r="D2520" s="48">
        <f>_xlfn.XLOOKUP(expected_production[[#This Row],[Site Name]],Table1[[Site Name ]],Table1[Commisioned Date],"")</f>
        <v>44617</v>
      </c>
      <c r="E2520" s="47">
        <f>IF(ISNUMBER(expected_production[[#This Row],[Commissioned Date]]),MAX(0,(expected_production[[#This Row],[Date]]-expected_production[[#This Row],[Commissioned Date]])/365.25),"")</f>
        <v>4.5968514715947979</v>
      </c>
      <c r="F2520" s="49">
        <f>IF(expected_production[[#This Row],[Age (yrs)]]="",1,(1-DegradationRate)^expected_production[[#This Row],[Age (yrs)]])</f>
        <v>0.96822467969978798</v>
      </c>
      <c r="G2520" s="52">
        <f>IF(expected_production[[#This Row],[Base Expected (kWh)]]="","",expected_production[[#This Row],[Base Expected (kWh)]]*expected_production[[#This Row],[Degradation Factor]])</f>
        <v>3655.7501287594819</v>
      </c>
    </row>
    <row r="2521" spans="1:7" ht="15" hidden="1" customHeight="1" x14ac:dyDescent="0.3">
      <c r="A2521" t="s">
        <v>196</v>
      </c>
      <c r="B2521" s="2">
        <v>46327</v>
      </c>
      <c r="C2521" s="52">
        <v>3829.5749999999998</v>
      </c>
      <c r="D2521" s="48">
        <f>_xlfn.XLOOKUP(expected_production[[#This Row],[Site Name]],Table1[[Site Name ]],Table1[Commisioned Date],"")</f>
        <v>44617</v>
      </c>
      <c r="E2521" s="47">
        <f>IF(ISNUMBER(expected_production[[#This Row],[Commissioned Date]]),MAX(0,(expected_production[[#This Row],[Date]]-expected_production[[#This Row],[Commissioned Date]])/365.25),"")</f>
        <v>4.6817248459958929</v>
      </c>
      <c r="F2521" s="49">
        <f>IF(expected_production[[#This Row],[Age (yrs)]]="",1,(1-DegradationRate)^expected_production[[#This Row],[Age (yrs)]])</f>
        <v>0.96764759350760177</v>
      </c>
      <c r="G2521" s="52">
        <f>IF(expected_production[[#This Row],[Base Expected (kWh)]]="","",expected_production[[#This Row],[Base Expected (kWh)]]*expected_production[[#This Row],[Degradation Factor]])</f>
        <v>3705.679032906874</v>
      </c>
    </row>
    <row r="2522" spans="1:7" ht="15" hidden="1" customHeight="1" x14ac:dyDescent="0.3">
      <c r="A2522" t="s">
        <v>196</v>
      </c>
      <c r="B2522" s="2">
        <v>46357</v>
      </c>
      <c r="C2522" s="52">
        <v>4315.6499999999996</v>
      </c>
      <c r="D2522" s="48">
        <f>_xlfn.XLOOKUP(expected_production[[#This Row],[Site Name]],Table1[[Site Name ]],Table1[Commisioned Date],"")</f>
        <v>44617</v>
      </c>
      <c r="E2522" s="47">
        <f>IF(ISNUMBER(expected_production[[#This Row],[Commissioned Date]]),MAX(0,(expected_production[[#This Row],[Date]]-expected_production[[#This Row],[Commissioned Date]])/365.25),"")</f>
        <v>4.7638603696098567</v>
      </c>
      <c r="F2522" s="49">
        <f>IF(expected_production[[#This Row],[Age (yrs)]]="",1,(1-DegradationRate)^expected_production[[#This Row],[Age (yrs)]])</f>
        <v>0.96708945049481443</v>
      </c>
      <c r="G2522" s="52">
        <f>IF(expected_production[[#This Row],[Base Expected (kWh)]]="","",expected_production[[#This Row],[Base Expected (kWh)]]*expected_production[[#This Row],[Degradation Factor]])</f>
        <v>4173.6195870279453</v>
      </c>
    </row>
    <row r="2523" spans="1:7" ht="15" hidden="1" customHeight="1" x14ac:dyDescent="0.3">
      <c r="A2523" t="s">
        <v>201</v>
      </c>
      <c r="B2523" s="2">
        <v>45292</v>
      </c>
      <c r="C2523" s="52">
        <v>13441.985000000001</v>
      </c>
      <c r="D2523" s="48">
        <f>_xlfn.XLOOKUP(expected_production[[#This Row],[Site Name]],Table1[[Site Name ]],Table1[Commisioned Date],"")</f>
        <v>44504</v>
      </c>
      <c r="E2523" s="47">
        <f>IF(ISNUMBER(expected_production[[#This Row],[Commissioned Date]]),MAX(0,(expected_production[[#This Row],[Date]]-expected_production[[#This Row],[Commissioned Date]])/365.25),"")</f>
        <v>2.1574264202600957</v>
      </c>
      <c r="F2523" s="49">
        <f>IF(expected_production[[#This Row],[Age (yrs)]]="",1,(1-DegradationRate)^expected_production[[#This Row],[Age (yrs)]])</f>
        <v>0.9849591705798314</v>
      </c>
      <c r="G2523" s="52">
        <f>IF(expected_production[[#This Row],[Base Expected (kWh)]]="","",expected_production[[#This Row],[Base Expected (kWh)]]*expected_production[[#This Row],[Degradation Factor]])</f>
        <v>13239.806396546535</v>
      </c>
    </row>
    <row r="2524" spans="1:7" ht="15" hidden="1" customHeight="1" x14ac:dyDescent="0.3">
      <c r="A2524" t="s">
        <v>201</v>
      </c>
      <c r="B2524" s="2">
        <v>45323</v>
      </c>
      <c r="C2524" s="52">
        <v>12055.125</v>
      </c>
      <c r="D2524" s="48">
        <f>_xlfn.XLOOKUP(expected_production[[#This Row],[Site Name]],Table1[[Site Name ]],Table1[Commisioned Date],"")</f>
        <v>44504</v>
      </c>
      <c r="E2524" s="47">
        <f>IF(ISNUMBER(expected_production[[#This Row],[Commissioned Date]]),MAX(0,(expected_production[[#This Row],[Date]]-expected_production[[#This Row],[Commissioned Date]])/365.25),"")</f>
        <v>2.2422997946611911</v>
      </c>
      <c r="F2524" s="49">
        <f>IF(expected_production[[#This Row],[Age (yrs)]]="",1,(1-DegradationRate)^expected_production[[#This Row],[Age (yrs)]])</f>
        <v>0.98437211021137949</v>
      </c>
      <c r="G2524" s="52">
        <f>IF(expected_production[[#This Row],[Base Expected (kWh)]]="","",expected_production[[#This Row],[Base Expected (kWh)]]*expected_production[[#This Row],[Degradation Factor]])</f>
        <v>11866.728835111957</v>
      </c>
    </row>
    <row r="2525" spans="1:7" ht="15" hidden="1" customHeight="1" x14ac:dyDescent="0.3">
      <c r="A2525" t="s">
        <v>201</v>
      </c>
      <c r="B2525" s="2">
        <v>45352</v>
      </c>
      <c r="C2525" s="52">
        <v>12858.46</v>
      </c>
      <c r="D2525" s="48">
        <f>_xlfn.XLOOKUP(expected_production[[#This Row],[Site Name]],Table1[[Site Name ]],Table1[Commisioned Date],"")</f>
        <v>44504</v>
      </c>
      <c r="E2525" s="47">
        <f>IF(ISNUMBER(expected_production[[#This Row],[Commissioned Date]]),MAX(0,(expected_production[[#This Row],[Date]]-expected_production[[#This Row],[Commissioned Date]])/365.25),"")</f>
        <v>2.321697467488022</v>
      </c>
      <c r="F2525" s="49">
        <f>IF(expected_production[[#This Row],[Age (yrs)]]="",1,(1-DegradationRate)^expected_production[[#This Row],[Age (yrs)]])</f>
        <v>0.98382324147882594</v>
      </c>
      <c r="G2525" s="52">
        <f>IF(expected_production[[#This Row],[Base Expected (kWh)]]="","",expected_production[[#This Row],[Base Expected (kWh)]]*expected_production[[#This Row],[Degradation Factor]])</f>
        <v>12650.451797625823</v>
      </c>
    </row>
    <row r="2526" spans="1:7" ht="15" hidden="1" customHeight="1" x14ac:dyDescent="0.3">
      <c r="A2526" t="s">
        <v>201</v>
      </c>
      <c r="B2526" s="2">
        <v>45383</v>
      </c>
      <c r="C2526" s="52">
        <v>11531.27</v>
      </c>
      <c r="D2526" s="48">
        <f>_xlfn.XLOOKUP(expected_production[[#This Row],[Site Name]],Table1[[Site Name ]],Table1[Commisioned Date],"")</f>
        <v>44504</v>
      </c>
      <c r="E2526" s="47">
        <f>IF(ISNUMBER(expected_production[[#This Row],[Commissioned Date]]),MAX(0,(expected_production[[#This Row],[Date]]-expected_production[[#This Row],[Commissioned Date]])/365.25),"")</f>
        <v>2.406570841889117</v>
      </c>
      <c r="F2526" s="49">
        <f>IF(expected_production[[#This Row],[Age (yrs)]]="",1,(1-DegradationRate)^expected_production[[#This Row],[Age (yrs)]])</f>
        <v>0.98323685815260731</v>
      </c>
      <c r="G2526" s="52">
        <f>IF(expected_production[[#This Row],[Base Expected (kWh)]]="","",expected_production[[#This Row],[Base Expected (kWh)]]*expected_production[[#This Row],[Degradation Factor]])</f>
        <v>11337.969685309417</v>
      </c>
    </row>
    <row r="2527" spans="1:7" ht="15" hidden="1" customHeight="1" x14ac:dyDescent="0.3">
      <c r="A2527" t="s">
        <v>201</v>
      </c>
      <c r="B2527" s="2">
        <v>45413</v>
      </c>
      <c r="C2527" s="52">
        <v>11785.93</v>
      </c>
      <c r="D2527" s="48">
        <f>_xlfn.XLOOKUP(expected_production[[#This Row],[Site Name]],Table1[[Site Name ]],Table1[Commisioned Date],"")</f>
        <v>44504</v>
      </c>
      <c r="E2527" s="47">
        <f>IF(ISNUMBER(expected_production[[#This Row],[Commissioned Date]]),MAX(0,(expected_production[[#This Row],[Date]]-expected_production[[#This Row],[Commissioned Date]])/365.25),"")</f>
        <v>2.4887063655030799</v>
      </c>
      <c r="F2527" s="49">
        <f>IF(expected_production[[#This Row],[Age (yrs)]]="",1,(1-DegradationRate)^expected_production[[#This Row],[Age (yrs)]])</f>
        <v>0.98266972318945034</v>
      </c>
      <c r="G2527" s="52">
        <f>IF(expected_production[[#This Row],[Base Expected (kWh)]]="","",expected_production[[#This Row],[Base Expected (kWh)]]*expected_production[[#This Row],[Degradation Factor]])</f>
        <v>11581.676570630239</v>
      </c>
    </row>
    <row r="2528" spans="1:7" ht="15" hidden="1" customHeight="1" x14ac:dyDescent="0.3">
      <c r="A2528" t="s">
        <v>201</v>
      </c>
      <c r="B2528" s="2">
        <v>45444</v>
      </c>
      <c r="C2528" s="52">
        <v>11018.635</v>
      </c>
      <c r="D2528" s="48">
        <f>_xlfn.XLOOKUP(expected_production[[#This Row],[Site Name]],Table1[[Site Name ]],Table1[Commisioned Date],"")</f>
        <v>44504</v>
      </c>
      <c r="E2528" s="47">
        <f>IF(ISNUMBER(expected_production[[#This Row],[Commissioned Date]]),MAX(0,(expected_production[[#This Row],[Date]]-expected_production[[#This Row],[Commissioned Date]])/365.25),"")</f>
        <v>2.5735797399041753</v>
      </c>
      <c r="F2528" s="49">
        <f>IF(expected_production[[#This Row],[Age (yrs)]]="",1,(1-DegradationRate)^expected_production[[#This Row],[Age (yrs)]])</f>
        <v>0.98208402738906253</v>
      </c>
      <c r="G2528" s="52">
        <f>IF(expected_production[[#This Row],[Base Expected (kWh)]]="","",expected_production[[#This Row],[Base Expected (kWh)]]*expected_production[[#This Row],[Degradation Factor]])</f>
        <v>10821.225437130082</v>
      </c>
    </row>
    <row r="2529" spans="1:7" ht="15" hidden="1" customHeight="1" x14ac:dyDescent="0.3">
      <c r="A2529" t="s">
        <v>201</v>
      </c>
      <c r="B2529" s="2">
        <v>45474</v>
      </c>
      <c r="C2529" s="52">
        <v>12024.27</v>
      </c>
      <c r="D2529" s="48">
        <f>_xlfn.XLOOKUP(expected_production[[#This Row],[Site Name]],Table1[[Site Name ]],Table1[Commisioned Date],"")</f>
        <v>44504</v>
      </c>
      <c r="E2529" s="47">
        <f>IF(ISNUMBER(expected_production[[#This Row],[Commissioned Date]]),MAX(0,(expected_production[[#This Row],[Date]]-expected_production[[#This Row],[Commissioned Date]])/365.25),"")</f>
        <v>2.6557152635181382</v>
      </c>
      <c r="F2529" s="49">
        <f>IF(expected_production[[#This Row],[Age (yrs)]]="",1,(1-DegradationRate)^expected_production[[#This Row],[Age (yrs)]])</f>
        <v>0.98151755738331348</v>
      </c>
      <c r="G2529" s="52">
        <f>IF(expected_production[[#This Row],[Base Expected (kWh)]]="","",expected_production[[#This Row],[Base Expected (kWh)]]*expected_production[[#This Row],[Degradation Factor]])</f>
        <v>11802.032119717454</v>
      </c>
    </row>
    <row r="2530" spans="1:7" ht="15" hidden="1" customHeight="1" x14ac:dyDescent="0.3">
      <c r="A2530" t="s">
        <v>201</v>
      </c>
      <c r="B2530" s="2">
        <v>45505</v>
      </c>
      <c r="C2530" s="52">
        <v>13262.635</v>
      </c>
      <c r="D2530" s="48">
        <f>_xlfn.XLOOKUP(expected_production[[#This Row],[Site Name]],Table1[[Site Name ]],Table1[Commisioned Date],"")</f>
        <v>44504</v>
      </c>
      <c r="E2530" s="47">
        <f>IF(ISNUMBER(expected_production[[#This Row],[Commissioned Date]]),MAX(0,(expected_production[[#This Row],[Date]]-expected_production[[#This Row],[Commissioned Date]])/365.25),"")</f>
        <v>2.7405886379192332</v>
      </c>
      <c r="F2530" s="49">
        <f>IF(expected_production[[#This Row],[Age (yrs)]]="",1,(1-DegradationRate)^expected_production[[#This Row],[Age (yrs)]])</f>
        <v>0.98093254830264243</v>
      </c>
      <c r="G2530" s="52">
        <f>IF(expected_production[[#This Row],[Base Expected (kWh)]]="","",expected_production[[#This Row],[Base Expected (kWh)]]*expected_production[[#This Row],[Degradation Factor]])</f>
        <v>13009.750347757816</v>
      </c>
    </row>
    <row r="2531" spans="1:7" ht="15" hidden="1" customHeight="1" x14ac:dyDescent="0.3">
      <c r="A2531" t="s">
        <v>201</v>
      </c>
      <c r="B2531" s="2">
        <v>45536</v>
      </c>
      <c r="C2531" s="52">
        <v>13540.33</v>
      </c>
      <c r="D2531" s="48">
        <f>_xlfn.XLOOKUP(expected_production[[#This Row],[Site Name]],Table1[[Site Name ]],Table1[Commisioned Date],"")</f>
        <v>44504</v>
      </c>
      <c r="E2531" s="47">
        <f>IF(ISNUMBER(expected_production[[#This Row],[Commissioned Date]]),MAX(0,(expected_production[[#This Row],[Date]]-expected_production[[#This Row],[Commissioned Date]])/365.25),"")</f>
        <v>2.8254620123203287</v>
      </c>
      <c r="F2531" s="49">
        <f>IF(expected_production[[#This Row],[Age (yrs)]]="",1,(1-DegradationRate)^expected_production[[#This Row],[Age (yrs)]])</f>
        <v>0.9803478879020554</v>
      </c>
      <c r="G2531" s="52">
        <f>IF(expected_production[[#This Row],[Base Expected (kWh)]]="","",expected_production[[#This Row],[Base Expected (kWh)]]*expected_production[[#This Row],[Degradation Factor]])</f>
        <v>13274.233916996838</v>
      </c>
    </row>
    <row r="2532" spans="1:7" ht="15" hidden="1" customHeight="1" x14ac:dyDescent="0.3">
      <c r="A2532" t="s">
        <v>201</v>
      </c>
      <c r="B2532" s="2">
        <v>45566</v>
      </c>
      <c r="C2532" s="52">
        <v>13925.295</v>
      </c>
      <c r="D2532" s="48">
        <f>_xlfn.XLOOKUP(expected_production[[#This Row],[Site Name]],Table1[[Site Name ]],Table1[Commisioned Date],"")</f>
        <v>44504</v>
      </c>
      <c r="E2532" s="47">
        <f>IF(ISNUMBER(expected_production[[#This Row],[Commissioned Date]]),MAX(0,(expected_production[[#This Row],[Date]]-expected_production[[#This Row],[Commissioned Date]])/365.25),"")</f>
        <v>2.9075975359342916</v>
      </c>
      <c r="F2532" s="49">
        <f>IF(expected_production[[#This Row],[Age (yrs)]]="",1,(1-DegradationRate)^expected_production[[#This Row],[Age (yrs)]])</f>
        <v>0.9797824193085255</v>
      </c>
      <c r="G2532" s="52">
        <f>IF(expected_production[[#This Row],[Base Expected (kWh)]]="","",expected_production[[#This Row],[Base Expected (kWh)]]*expected_production[[#This Row],[Degradation Factor]])</f>
        <v>13643.759224684914</v>
      </c>
    </row>
    <row r="2533" spans="1:7" ht="15" hidden="1" customHeight="1" x14ac:dyDescent="0.3">
      <c r="A2533" t="s">
        <v>201</v>
      </c>
      <c r="B2533" s="2">
        <v>45597</v>
      </c>
      <c r="C2533" s="52">
        <v>13508.37</v>
      </c>
      <c r="D2533" s="48">
        <f>_xlfn.XLOOKUP(expected_production[[#This Row],[Site Name]],Table1[[Site Name ]],Table1[Commisioned Date],"")</f>
        <v>44504</v>
      </c>
      <c r="E2533" s="47">
        <f>IF(ISNUMBER(expected_production[[#This Row],[Commissioned Date]]),MAX(0,(expected_production[[#This Row],[Date]]-expected_production[[#This Row],[Commissioned Date]])/365.25),"")</f>
        <v>2.9924709103353866</v>
      </c>
      <c r="F2533" s="49">
        <f>IF(expected_production[[#This Row],[Age (yrs)]]="",1,(1-DegradationRate)^expected_production[[#This Row],[Age (yrs)]])</f>
        <v>0.97919844441366433</v>
      </c>
      <c r="G2533" s="52">
        <f>IF(expected_production[[#This Row],[Base Expected (kWh)]]="","",expected_production[[#This Row],[Base Expected (kWh)]]*expected_production[[#This Row],[Degradation Factor]])</f>
        <v>13227.374890564211</v>
      </c>
    </row>
    <row r="2534" spans="1:7" ht="15" hidden="1" customHeight="1" x14ac:dyDescent="0.3">
      <c r="A2534" t="s">
        <v>201</v>
      </c>
      <c r="B2534" s="2">
        <v>45627</v>
      </c>
      <c r="C2534" s="52">
        <v>14234.525</v>
      </c>
      <c r="D2534" s="48">
        <f>_xlfn.XLOOKUP(expected_production[[#This Row],[Site Name]],Table1[[Site Name ]],Table1[Commisioned Date],"")</f>
        <v>44504</v>
      </c>
      <c r="E2534" s="47">
        <f>IF(ISNUMBER(expected_production[[#This Row],[Commissioned Date]]),MAX(0,(expected_production[[#This Row],[Date]]-expected_production[[#This Row],[Commissioned Date]])/365.25),"")</f>
        <v>3.07460643394935</v>
      </c>
      <c r="F2534" s="49">
        <f>IF(expected_production[[#This Row],[Age (yrs)]]="",1,(1-DegradationRate)^expected_production[[#This Row],[Age (yrs)]])</f>
        <v>0.97863363882374843</v>
      </c>
      <c r="G2534" s="52">
        <f>IF(expected_production[[#This Row],[Base Expected (kWh)]]="","",expected_production[[#This Row],[Base Expected (kWh)]]*expected_production[[#This Row],[Degradation Factor]])</f>
        <v>13930.384997677616</v>
      </c>
    </row>
    <row r="2535" spans="1:7" ht="15" hidden="1" customHeight="1" x14ac:dyDescent="0.3">
      <c r="A2535" t="s">
        <v>201</v>
      </c>
      <c r="B2535" s="2">
        <v>45658</v>
      </c>
      <c r="C2535" s="52">
        <v>13441.985000000001</v>
      </c>
      <c r="D2535" s="48">
        <f>_xlfn.XLOOKUP(expected_production[[#This Row],[Site Name]],Table1[[Site Name ]],Table1[Commisioned Date],"")</f>
        <v>44504</v>
      </c>
      <c r="E2535" s="47">
        <f>IF(ISNUMBER(expected_production[[#This Row],[Commissioned Date]]),MAX(0,(expected_production[[#This Row],[Date]]-expected_production[[#This Row],[Commissioned Date]])/365.25),"")</f>
        <v>3.159479808350445</v>
      </c>
      <c r="F2535" s="49">
        <f>IF(expected_production[[#This Row],[Age (yrs)]]="",1,(1-DegradationRate)^expected_production[[#This Row],[Age (yrs)]])</f>
        <v>0.97805034863086748</v>
      </c>
      <c r="G2535" s="52">
        <f>IF(expected_production[[#This Row],[Base Expected (kWh)]]="","",expected_production[[#This Row],[Base Expected (kWh)]]*expected_production[[#This Row],[Degradation Factor]])</f>
        <v>13146.938115540892</v>
      </c>
    </row>
    <row r="2536" spans="1:7" ht="15" hidden="1" customHeight="1" x14ac:dyDescent="0.3">
      <c r="A2536" t="s">
        <v>201</v>
      </c>
      <c r="B2536" s="2">
        <v>45689</v>
      </c>
      <c r="C2536" s="52">
        <v>12055.125</v>
      </c>
      <c r="D2536" s="48">
        <f>_xlfn.XLOOKUP(expected_production[[#This Row],[Site Name]],Table1[[Site Name ]],Table1[Commisioned Date],"")</f>
        <v>44504</v>
      </c>
      <c r="E2536" s="47">
        <f>IF(ISNUMBER(expected_production[[#This Row],[Commissioned Date]]),MAX(0,(expected_production[[#This Row],[Date]]-expected_production[[#This Row],[Commissioned Date]])/365.25),"")</f>
        <v>3.2443531827515399</v>
      </c>
      <c r="F2536" s="49">
        <f>IF(expected_production[[#This Row],[Age (yrs)]]="",1,(1-DegradationRate)^expected_production[[#This Row],[Age (yrs)]])</f>
        <v>0.97746740609357052</v>
      </c>
      <c r="G2536" s="52">
        <f>IF(expected_production[[#This Row],[Base Expected (kWh)]]="","",expected_production[[#This Row],[Base Expected (kWh)]]*expected_production[[#This Row],[Degradation Factor]])</f>
        <v>11783.491763883754</v>
      </c>
    </row>
    <row r="2537" spans="1:7" ht="15" hidden="1" customHeight="1" x14ac:dyDescent="0.3">
      <c r="A2537" t="s">
        <v>201</v>
      </c>
      <c r="B2537" s="2">
        <v>45717</v>
      </c>
      <c r="C2537" s="52">
        <v>12858.46</v>
      </c>
      <c r="D2537" s="48">
        <f>_xlfn.XLOOKUP(expected_production[[#This Row],[Site Name]],Table1[[Site Name ]],Table1[Commisioned Date],"")</f>
        <v>44504</v>
      </c>
      <c r="E2537" s="47">
        <f>IF(ISNUMBER(expected_production[[#This Row],[Commissioned Date]]),MAX(0,(expected_production[[#This Row],[Date]]-expected_production[[#This Row],[Commissioned Date]])/365.25),"")</f>
        <v>3.3210130047912387</v>
      </c>
      <c r="F2537" s="49">
        <f>IF(expected_production[[#This Row],[Age (yrs)]]="",1,(1-DegradationRate)^expected_production[[#This Row],[Age (yrs)]])</f>
        <v>0.97694117599523622</v>
      </c>
      <c r="G2537" s="52">
        <f>IF(expected_production[[#This Row],[Base Expected (kWh)]]="","",expected_production[[#This Row],[Base Expected (kWh)]]*expected_production[[#This Row],[Degradation Factor]])</f>
        <v>12561.959033887704</v>
      </c>
    </row>
    <row r="2538" spans="1:7" ht="15" hidden="1" customHeight="1" x14ac:dyDescent="0.3">
      <c r="A2538" t="s">
        <v>201</v>
      </c>
      <c r="B2538" s="2">
        <v>45748</v>
      </c>
      <c r="C2538" s="52">
        <v>11531.27</v>
      </c>
      <c r="D2538" s="48">
        <f>_xlfn.XLOOKUP(expected_production[[#This Row],[Site Name]],Table1[[Site Name ]],Table1[Commisioned Date],"")</f>
        <v>44504</v>
      </c>
      <c r="E2538" s="47">
        <f>IF(ISNUMBER(expected_production[[#This Row],[Commissioned Date]]),MAX(0,(expected_production[[#This Row],[Date]]-expected_production[[#This Row],[Commissioned Date]])/365.25),"")</f>
        <v>3.4058863791923342</v>
      </c>
      <c r="F2538" s="49">
        <f>IF(expected_production[[#This Row],[Age (yrs)]]="",1,(1-DegradationRate)^expected_production[[#This Row],[Age (yrs)]])</f>
        <v>0.97635889455264813</v>
      </c>
      <c r="G2538" s="52">
        <f>IF(expected_production[[#This Row],[Base Expected (kWh)]]="","",expected_production[[#This Row],[Base Expected (kWh)]]*expected_production[[#This Row],[Degradation Factor]])</f>
        <v>11258.658029988115</v>
      </c>
    </row>
    <row r="2539" spans="1:7" ht="15" hidden="1" customHeight="1" x14ac:dyDescent="0.3">
      <c r="A2539" t="s">
        <v>201</v>
      </c>
      <c r="B2539" s="2">
        <v>45778</v>
      </c>
      <c r="C2539" s="52">
        <v>11785.93</v>
      </c>
      <c r="D2539" s="48">
        <f>_xlfn.XLOOKUP(expected_production[[#This Row],[Site Name]],Table1[[Site Name ]],Table1[Commisioned Date],"")</f>
        <v>44504</v>
      </c>
      <c r="E2539" s="47">
        <f>IF(ISNUMBER(expected_production[[#This Row],[Commissioned Date]]),MAX(0,(expected_production[[#This Row],[Date]]-expected_production[[#This Row],[Commissioned Date]])/365.25),"")</f>
        <v>3.4880219028062971</v>
      </c>
      <c r="F2539" s="49">
        <f>IF(expected_production[[#This Row],[Age (yrs)]]="",1,(1-DegradationRate)^expected_production[[#This Row],[Age (yrs)]])</f>
        <v>0.9757957268264803</v>
      </c>
      <c r="G2539" s="52">
        <f>IF(expected_production[[#This Row],[Base Expected (kWh)]]="","",expected_production[[#This Row],[Base Expected (kWh)]]*expected_production[[#This Row],[Degradation Factor]])</f>
        <v>11500.660130676019</v>
      </c>
    </row>
    <row r="2540" spans="1:7" ht="15" hidden="1" customHeight="1" x14ac:dyDescent="0.3">
      <c r="A2540" t="s">
        <v>201</v>
      </c>
      <c r="B2540" s="2">
        <v>45809</v>
      </c>
      <c r="C2540" s="52">
        <v>11018.635</v>
      </c>
      <c r="D2540" s="48">
        <f>_xlfn.XLOOKUP(expected_production[[#This Row],[Site Name]],Table1[[Site Name ]],Table1[Commisioned Date],"")</f>
        <v>44504</v>
      </c>
      <c r="E2540" s="47">
        <f>IF(ISNUMBER(expected_production[[#This Row],[Commissioned Date]]),MAX(0,(expected_production[[#This Row],[Date]]-expected_production[[#This Row],[Commissioned Date]])/365.25),"")</f>
        <v>3.5728952772073921</v>
      </c>
      <c r="F2540" s="49">
        <f>IF(expected_production[[#This Row],[Age (yrs)]]="",1,(1-DegradationRate)^expected_production[[#This Row],[Age (yrs)]])</f>
        <v>0.97521412810032471</v>
      </c>
      <c r="G2540" s="52">
        <f>IF(expected_production[[#This Row],[Base Expected (kWh)]]="","",expected_production[[#This Row],[Base Expected (kWh)]]*expected_production[[#This Row],[Degradation Factor]])</f>
        <v>10745.528524380721</v>
      </c>
    </row>
    <row r="2541" spans="1:7" ht="15" hidden="1" customHeight="1" x14ac:dyDescent="0.3">
      <c r="A2541" t="s">
        <v>201</v>
      </c>
      <c r="B2541" s="2">
        <v>45839</v>
      </c>
      <c r="C2541" s="52">
        <v>12024.27</v>
      </c>
      <c r="D2541" s="48">
        <f>_xlfn.XLOOKUP(expected_production[[#This Row],[Site Name]],Table1[[Site Name ]],Table1[Commisioned Date],"")</f>
        <v>44504</v>
      </c>
      <c r="E2541" s="47">
        <f>IF(ISNUMBER(expected_production[[#This Row],[Commissioned Date]]),MAX(0,(expected_production[[#This Row],[Date]]-expected_production[[#This Row],[Commissioned Date]])/365.25),"")</f>
        <v>3.6550308008213555</v>
      </c>
      <c r="F2541" s="49">
        <f>IF(expected_production[[#This Row],[Age (yrs)]]="",1,(1-DegradationRate)^expected_production[[#This Row],[Age (yrs)]])</f>
        <v>0.97465162068003786</v>
      </c>
      <c r="G2541" s="52">
        <f>IF(expected_production[[#This Row],[Base Expected (kWh)]]="","",expected_production[[#This Row],[Base Expected (kWh)]]*expected_production[[#This Row],[Degradation Factor]])</f>
        <v>11719.47424299436</v>
      </c>
    </row>
    <row r="2542" spans="1:7" ht="15" hidden="1" customHeight="1" x14ac:dyDescent="0.3">
      <c r="A2542" t="s">
        <v>201</v>
      </c>
      <c r="B2542" s="2">
        <v>45870</v>
      </c>
      <c r="C2542" s="52">
        <v>13262.635</v>
      </c>
      <c r="D2542" s="48">
        <f>_xlfn.XLOOKUP(expected_production[[#This Row],[Site Name]],Table1[[Site Name ]],Table1[Commisioned Date],"")</f>
        <v>44504</v>
      </c>
      <c r="E2542" s="47">
        <f>IF(ISNUMBER(expected_production[[#This Row],[Commissioned Date]]),MAX(0,(expected_production[[#This Row],[Date]]-expected_production[[#This Row],[Commissioned Date]])/365.25),"")</f>
        <v>3.7399041752224504</v>
      </c>
      <c r="F2542" s="49">
        <f>IF(expected_production[[#This Row],[Age (yrs)]]="",1,(1-DegradationRate)^expected_production[[#This Row],[Age (yrs)]])</f>
        <v>0.97407070386983974</v>
      </c>
      <c r="G2542" s="52">
        <f>IF(expected_production[[#This Row],[Base Expected (kWh)]]="","",expected_production[[#This Row],[Base Expected (kWh)]]*expected_production[[#This Row],[Degradation Factor]])</f>
        <v>12918.744209618771</v>
      </c>
    </row>
    <row r="2543" spans="1:7" ht="15" hidden="1" customHeight="1" x14ac:dyDescent="0.3">
      <c r="A2543" t="s">
        <v>201</v>
      </c>
      <c r="B2543" s="2">
        <v>45901</v>
      </c>
      <c r="C2543" s="52">
        <v>13540.33</v>
      </c>
      <c r="D2543" s="48">
        <f>_xlfn.XLOOKUP(expected_production[[#This Row],[Site Name]],Table1[[Site Name ]],Table1[Commisioned Date],"")</f>
        <v>44504</v>
      </c>
      <c r="E2543" s="47">
        <f>IF(ISNUMBER(expected_production[[#This Row],[Commissioned Date]]),MAX(0,(expected_production[[#This Row],[Date]]-expected_production[[#This Row],[Commissioned Date]])/365.25),"")</f>
        <v>3.8247775496235454</v>
      </c>
      <c r="F2543" s="49">
        <f>IF(expected_production[[#This Row],[Age (yrs)]]="",1,(1-DegradationRate)^expected_production[[#This Row],[Age (yrs)]])</f>
        <v>0.97349013330062995</v>
      </c>
      <c r="G2543" s="52">
        <f>IF(expected_production[[#This Row],[Base Expected (kWh)]]="","",expected_production[[#This Row],[Base Expected (kWh)]]*expected_production[[#This Row],[Degradation Factor]])</f>
        <v>13181.377656634519</v>
      </c>
    </row>
    <row r="2544" spans="1:7" ht="15" hidden="1" customHeight="1" x14ac:dyDescent="0.3">
      <c r="A2544" t="s">
        <v>201</v>
      </c>
      <c r="B2544" s="2">
        <v>45931</v>
      </c>
      <c r="C2544" s="52">
        <v>13925.295</v>
      </c>
      <c r="D2544" s="48">
        <f>_xlfn.XLOOKUP(expected_production[[#This Row],[Site Name]],Table1[[Site Name ]],Table1[Commisioned Date],"")</f>
        <v>44504</v>
      </c>
      <c r="E2544" s="47">
        <f>IF(ISNUMBER(expected_production[[#This Row],[Commissioned Date]]),MAX(0,(expected_production[[#This Row],[Date]]-expected_production[[#This Row],[Commissioned Date]])/365.25),"")</f>
        <v>3.9069130732375084</v>
      </c>
      <c r="F2544" s="49">
        <f>IF(expected_production[[#This Row],[Age (yrs)]]="",1,(1-DegradationRate)^expected_production[[#This Row],[Age (yrs)]])</f>
        <v>0.97292862028745775</v>
      </c>
      <c r="G2544" s="52">
        <f>IF(expected_production[[#This Row],[Base Expected (kWh)]]="","",expected_production[[#This Row],[Base Expected (kWh)]]*expected_production[[#This Row],[Degradation Factor]])</f>
        <v>13548.318051445834</v>
      </c>
    </row>
    <row r="2545" spans="1:7" ht="15" hidden="1" customHeight="1" x14ac:dyDescent="0.3">
      <c r="A2545" t="s">
        <v>201</v>
      </c>
      <c r="B2545" s="2">
        <v>45962</v>
      </c>
      <c r="C2545" s="52">
        <v>13508.37</v>
      </c>
      <c r="D2545" s="48">
        <f>_xlfn.XLOOKUP(expected_production[[#This Row],[Site Name]],Table1[[Site Name ]],Table1[Commisioned Date],"")</f>
        <v>44504</v>
      </c>
      <c r="E2545" s="47">
        <f>IF(ISNUMBER(expected_production[[#This Row],[Commissioned Date]]),MAX(0,(expected_production[[#This Row],[Date]]-expected_production[[#This Row],[Commissioned Date]])/365.25),"")</f>
        <v>3.9917864476386038</v>
      </c>
      <c r="F2545" s="49">
        <f>IF(expected_production[[#This Row],[Age (yrs)]]="",1,(1-DegradationRate)^expected_production[[#This Row],[Age (yrs)]])</f>
        <v>0.97234873042870651</v>
      </c>
      <c r="G2545" s="52">
        <f>IF(expected_production[[#This Row],[Base Expected (kWh)]]="","",expected_production[[#This Row],[Base Expected (kWh)]]*expected_production[[#This Row],[Degradation Factor]])</f>
        <v>13134.846419661228</v>
      </c>
    </row>
    <row r="2546" spans="1:7" ht="15" hidden="1" customHeight="1" x14ac:dyDescent="0.3">
      <c r="A2546" t="s">
        <v>201</v>
      </c>
      <c r="B2546" s="2">
        <v>45992</v>
      </c>
      <c r="C2546" s="52">
        <v>14234.525</v>
      </c>
      <c r="D2546" s="48">
        <f>_xlfn.XLOOKUP(expected_production[[#This Row],[Site Name]],Table1[[Site Name ]],Table1[Commisioned Date],"")</f>
        <v>44504</v>
      </c>
      <c r="E2546" s="47">
        <f>IF(ISNUMBER(expected_production[[#This Row],[Commissioned Date]]),MAX(0,(expected_production[[#This Row],[Date]]-expected_production[[#This Row],[Commissioned Date]])/365.25),"")</f>
        <v>4.0739219712525667</v>
      </c>
      <c r="F2546" s="49">
        <f>IF(expected_production[[#This Row],[Age (yrs)]]="",1,(1-DegradationRate)^expected_production[[#This Row],[Age (yrs)]])</f>
        <v>0.97178787578128856</v>
      </c>
      <c r="G2546" s="52">
        <f>IF(expected_production[[#This Row],[Base Expected (kWh)]]="","",expected_production[[#This Row],[Base Expected (kWh)]]*expected_production[[#This Row],[Degradation Factor]])</f>
        <v>13832.938812505647</v>
      </c>
    </row>
    <row r="2547" spans="1:7" ht="15" hidden="1" customHeight="1" x14ac:dyDescent="0.3">
      <c r="A2547" t="s">
        <v>201</v>
      </c>
      <c r="B2547" s="2">
        <v>46023</v>
      </c>
      <c r="C2547" s="52">
        <v>13441.985000000001</v>
      </c>
      <c r="D2547" s="48">
        <f>_xlfn.XLOOKUP(expected_production[[#This Row],[Site Name]],Table1[[Site Name ]],Table1[Commisioned Date],"")</f>
        <v>44504</v>
      </c>
      <c r="E2547" s="47">
        <f>IF(ISNUMBER(expected_production[[#This Row],[Commissioned Date]]),MAX(0,(expected_production[[#This Row],[Date]]-expected_production[[#This Row],[Commissioned Date]])/365.25),"")</f>
        <v>4.1587953456536617</v>
      </c>
      <c r="F2547" s="49">
        <f>IF(expected_production[[#This Row],[Age (yrs)]]="",1,(1-DegradationRate)^expected_production[[#This Row],[Age (yrs)]])</f>
        <v>0.97120866583487286</v>
      </c>
      <c r="G2547" s="52">
        <f>IF(expected_production[[#This Row],[Base Expected (kWh)]]="","",expected_production[[#This Row],[Base Expected (kWh)]]*expected_production[[#This Row],[Degradation Factor]])</f>
        <v>13054.972318022374</v>
      </c>
    </row>
    <row r="2548" spans="1:7" ht="15" hidden="1" customHeight="1" x14ac:dyDescent="0.3">
      <c r="A2548" t="s">
        <v>201</v>
      </c>
      <c r="B2548" s="2">
        <v>46054</v>
      </c>
      <c r="C2548" s="52">
        <v>12055.125</v>
      </c>
      <c r="D2548" s="48">
        <f>_xlfn.XLOOKUP(expected_production[[#This Row],[Site Name]],Table1[[Site Name ]],Table1[Commisioned Date],"")</f>
        <v>44504</v>
      </c>
      <c r="E2548" s="47">
        <f>IF(ISNUMBER(expected_production[[#This Row],[Commissioned Date]]),MAX(0,(expected_production[[#This Row],[Date]]-expected_production[[#This Row],[Commissioned Date]])/365.25),"")</f>
        <v>4.2436687200547567</v>
      </c>
      <c r="F2548" s="49">
        <f>IF(expected_production[[#This Row],[Age (yrs)]]="",1,(1-DegradationRate)^expected_production[[#This Row],[Age (yrs)]])</f>
        <v>0.97062980111211183</v>
      </c>
      <c r="G2548" s="52">
        <f>IF(expected_production[[#This Row],[Base Expected (kWh)]]="","",expected_production[[#This Row],[Base Expected (kWh)]]*expected_production[[#This Row],[Degradation Factor]])</f>
        <v>11701.063581131648</v>
      </c>
    </row>
    <row r="2549" spans="1:7" ht="15" hidden="1" customHeight="1" x14ac:dyDescent="0.3">
      <c r="A2549" t="s">
        <v>201</v>
      </c>
      <c r="B2549" s="2">
        <v>46082</v>
      </c>
      <c r="C2549" s="52">
        <v>12858.46</v>
      </c>
      <c r="D2549" s="48">
        <f>_xlfn.XLOOKUP(expected_production[[#This Row],[Site Name]],Table1[[Site Name ]],Table1[Commisioned Date],"")</f>
        <v>44504</v>
      </c>
      <c r="E2549" s="47">
        <f>IF(ISNUMBER(expected_production[[#This Row],[Commissioned Date]]),MAX(0,(expected_production[[#This Row],[Date]]-expected_production[[#This Row],[Commissioned Date]])/365.25),"")</f>
        <v>4.3203285420944555</v>
      </c>
      <c r="F2549" s="49">
        <f>IF(expected_production[[#This Row],[Age (yrs)]]="",1,(1-DegradationRate)^expected_production[[#This Row],[Age (yrs)]])</f>
        <v>0.97010725211201077</v>
      </c>
      <c r="G2549" s="52">
        <f>IF(expected_production[[#This Row],[Base Expected (kWh)]]="","",expected_production[[#This Row],[Base Expected (kWh)]]*expected_production[[#This Row],[Degradation Factor]])</f>
        <v>12474.085296992205</v>
      </c>
    </row>
    <row r="2550" spans="1:7" ht="15" hidden="1" customHeight="1" x14ac:dyDescent="0.3">
      <c r="A2550" t="s">
        <v>201</v>
      </c>
      <c r="B2550" s="2">
        <v>46113</v>
      </c>
      <c r="C2550" s="52">
        <v>11531.27</v>
      </c>
      <c r="D2550" s="48">
        <f>_xlfn.XLOOKUP(expected_production[[#This Row],[Site Name]],Table1[[Site Name ]],Table1[Commisioned Date],"")</f>
        <v>44504</v>
      </c>
      <c r="E2550" s="47">
        <f>IF(ISNUMBER(expected_production[[#This Row],[Commissioned Date]]),MAX(0,(expected_production[[#This Row],[Date]]-expected_production[[#This Row],[Commissioned Date]])/365.25),"")</f>
        <v>4.4052019164955514</v>
      </c>
      <c r="F2550" s="49">
        <f>IF(expected_production[[#This Row],[Age (yrs)]]="",1,(1-DegradationRate)^expected_production[[#This Row],[Age (yrs)]])</f>
        <v>0.96952904385945204</v>
      </c>
      <c r="G2550" s="52">
        <f>IF(expected_production[[#This Row],[Base Expected (kWh)]]="","",expected_production[[#This Row],[Base Expected (kWh)]]*expected_production[[#This Row],[Degradation Factor]])</f>
        <v>11179.901177585183</v>
      </c>
    </row>
    <row r="2551" spans="1:7" ht="15" hidden="1" customHeight="1" x14ac:dyDescent="0.3">
      <c r="A2551" t="s">
        <v>201</v>
      </c>
      <c r="B2551" s="2">
        <v>46143</v>
      </c>
      <c r="C2551" s="52">
        <v>11785.93</v>
      </c>
      <c r="D2551" s="48">
        <f>_xlfn.XLOOKUP(expected_production[[#This Row],[Site Name]],Table1[[Site Name ]],Table1[Commisioned Date],"")</f>
        <v>44504</v>
      </c>
      <c r="E2551" s="47">
        <f>IF(ISNUMBER(expected_production[[#This Row],[Commissioned Date]]),MAX(0,(expected_production[[#This Row],[Date]]-expected_production[[#This Row],[Commissioned Date]])/365.25),"")</f>
        <v>4.4873374401095143</v>
      </c>
      <c r="F2551" s="49">
        <f>IF(expected_production[[#This Row],[Age (yrs)]]="",1,(1-DegradationRate)^expected_production[[#This Row],[Age (yrs)]])</f>
        <v>0.96896981561855589</v>
      </c>
      <c r="G2551" s="52">
        <f>IF(expected_production[[#This Row],[Base Expected (kWh)]]="","",expected_production[[#This Row],[Base Expected (kWh)]]*expected_production[[#This Row],[Degradation Factor]])</f>
        <v>11420.210418993207</v>
      </c>
    </row>
    <row r="2552" spans="1:7" ht="15" hidden="1" customHeight="1" x14ac:dyDescent="0.3">
      <c r="A2552" t="s">
        <v>201</v>
      </c>
      <c r="B2552" s="2">
        <v>46174</v>
      </c>
      <c r="C2552" s="52">
        <v>11018.635</v>
      </c>
      <c r="D2552" s="48">
        <f>_xlfn.XLOOKUP(expected_production[[#This Row],[Site Name]],Table1[[Site Name ]],Table1[Commisioned Date],"")</f>
        <v>44504</v>
      </c>
      <c r="E2552" s="47">
        <f>IF(ISNUMBER(expected_production[[#This Row],[Commissioned Date]]),MAX(0,(expected_production[[#This Row],[Date]]-expected_production[[#This Row],[Commissioned Date]])/365.25),"")</f>
        <v>4.5722108145106093</v>
      </c>
      <c r="F2552" s="49">
        <f>IF(expected_production[[#This Row],[Age (yrs)]]="",1,(1-DegradationRate)^expected_production[[#This Row],[Age (yrs)]])</f>
        <v>0.96839228530667421</v>
      </c>
      <c r="G2552" s="52">
        <f>IF(expected_production[[#This Row],[Base Expected (kWh)]]="","",expected_production[[#This Row],[Base Expected (kWh)]]*expected_production[[#This Row],[Degradation Factor]])</f>
        <v>10670.361128610106</v>
      </c>
    </row>
    <row r="2553" spans="1:7" ht="15" hidden="1" customHeight="1" x14ac:dyDescent="0.3">
      <c r="A2553" t="s">
        <v>201</v>
      </c>
      <c r="B2553" s="2">
        <v>46204</v>
      </c>
      <c r="C2553" s="52">
        <v>12024.27</v>
      </c>
      <c r="D2553" s="48">
        <f>_xlfn.XLOOKUP(expected_production[[#This Row],[Site Name]],Table1[[Site Name ]],Table1[Commisioned Date],"")</f>
        <v>44504</v>
      </c>
      <c r="E2553" s="47">
        <f>IF(ISNUMBER(expected_production[[#This Row],[Commissioned Date]]),MAX(0,(expected_production[[#This Row],[Date]]-expected_production[[#This Row],[Commissioned Date]])/365.25),"")</f>
        <v>4.6543463381245722</v>
      </c>
      <c r="F2553" s="49">
        <f>IF(expected_production[[#This Row],[Age (yrs)]]="",1,(1-DegradationRate)^expected_production[[#This Row],[Age (yrs)]])</f>
        <v>0.96783371275267038</v>
      </c>
      <c r="G2553" s="52">
        <f>IF(expected_production[[#This Row],[Base Expected (kWh)]]="","",expected_production[[#This Row],[Base Expected (kWh)]]*expected_production[[#This Row],[Degradation Factor]])</f>
        <v>11637.493877240553</v>
      </c>
    </row>
    <row r="2554" spans="1:7" ht="15" hidden="1" customHeight="1" x14ac:dyDescent="0.3">
      <c r="A2554" t="s">
        <v>201</v>
      </c>
      <c r="B2554" s="2">
        <v>46235</v>
      </c>
      <c r="C2554" s="52">
        <v>13262.635</v>
      </c>
      <c r="D2554" s="48">
        <f>_xlfn.XLOOKUP(expected_production[[#This Row],[Site Name]],Table1[[Site Name ]],Table1[Commisioned Date],"")</f>
        <v>44504</v>
      </c>
      <c r="E2554" s="47">
        <f>IF(ISNUMBER(expected_production[[#This Row],[Commissioned Date]]),MAX(0,(expected_production[[#This Row],[Date]]-expected_production[[#This Row],[Commissioned Date]])/365.25),"")</f>
        <v>4.7392197125256672</v>
      </c>
      <c r="F2554" s="49">
        <f>IF(expected_production[[#This Row],[Age (yrs)]]="",1,(1-DegradationRate)^expected_production[[#This Row],[Age (yrs)]])</f>
        <v>0.96725685958659013</v>
      </c>
      <c r="G2554" s="52">
        <f>IF(expected_production[[#This Row],[Base Expected (kWh)]]="","",expected_production[[#This Row],[Base Expected (kWh)]]*expected_production[[#This Row],[Degradation Factor]])</f>
        <v>12828.374679943196</v>
      </c>
    </row>
    <row r="2555" spans="1:7" ht="15" hidden="1" customHeight="1" x14ac:dyDescent="0.3">
      <c r="A2555" t="s">
        <v>201</v>
      </c>
      <c r="B2555" s="2">
        <v>46266</v>
      </c>
      <c r="C2555" s="52">
        <v>13540.33</v>
      </c>
      <c r="D2555" s="48">
        <f>_xlfn.XLOOKUP(expected_production[[#This Row],[Site Name]],Table1[[Site Name ]],Table1[Commisioned Date],"")</f>
        <v>44504</v>
      </c>
      <c r="E2555" s="47">
        <f>IF(ISNUMBER(expected_production[[#This Row],[Commissioned Date]]),MAX(0,(expected_production[[#This Row],[Date]]-expected_production[[#This Row],[Commissioned Date]])/365.25),"")</f>
        <v>4.8240930869267622</v>
      </c>
      <c r="F2555" s="49">
        <f>IF(expected_production[[#This Row],[Age (yrs)]]="",1,(1-DegradationRate)^expected_production[[#This Row],[Age (yrs)]])</f>
        <v>0.96668035023946441</v>
      </c>
      <c r="G2555" s="52">
        <f>IF(expected_production[[#This Row],[Base Expected (kWh)]]="","",expected_production[[#This Row],[Base Expected (kWh)]]*expected_production[[#This Row],[Degradation Factor]])</f>
        <v>13089.170946757928</v>
      </c>
    </row>
    <row r="2556" spans="1:7" ht="15" hidden="1" customHeight="1" x14ac:dyDescent="0.3">
      <c r="A2556" t="s">
        <v>201</v>
      </c>
      <c r="B2556" s="2">
        <v>46296</v>
      </c>
      <c r="C2556" s="52">
        <v>13925.295</v>
      </c>
      <c r="D2556" s="48">
        <f>_xlfn.XLOOKUP(expected_production[[#This Row],[Site Name]],Table1[[Site Name ]],Table1[Commisioned Date],"")</f>
        <v>44504</v>
      </c>
      <c r="E2556" s="47">
        <f>IF(ISNUMBER(expected_production[[#This Row],[Commissioned Date]]),MAX(0,(expected_production[[#This Row],[Date]]-expected_production[[#This Row],[Commissioned Date]])/365.25),"")</f>
        <v>4.9062286105407251</v>
      </c>
      <c r="F2556" s="49">
        <f>IF(expected_production[[#This Row],[Age (yrs)]]="",1,(1-DegradationRate)^expected_production[[#This Row],[Age (yrs)]])</f>
        <v>0.96612276513647333</v>
      </c>
      <c r="G2556" s="52">
        <f>IF(expected_production[[#This Row],[Base Expected (kWh)]]="","",expected_production[[#This Row],[Base Expected (kWh)]]*expected_production[[#This Row],[Degradation Factor]])</f>
        <v>13453.544510741107</v>
      </c>
    </row>
    <row r="2557" spans="1:7" ht="15" hidden="1" customHeight="1" x14ac:dyDescent="0.3">
      <c r="A2557" t="s">
        <v>201</v>
      </c>
      <c r="B2557" s="2">
        <v>46327</v>
      </c>
      <c r="C2557" s="52">
        <v>13508.37</v>
      </c>
      <c r="D2557" s="48">
        <f>_xlfn.XLOOKUP(expected_production[[#This Row],[Site Name]],Table1[[Site Name ]],Table1[Commisioned Date],"")</f>
        <v>44504</v>
      </c>
      <c r="E2557" s="47">
        <f>IF(ISNUMBER(expected_production[[#This Row],[Commissioned Date]]),MAX(0,(expected_production[[#This Row],[Date]]-expected_production[[#This Row],[Commissioned Date]])/365.25),"")</f>
        <v>4.991101984941821</v>
      </c>
      <c r="F2557" s="49">
        <f>IF(expected_production[[#This Row],[Age (yrs)]]="",1,(1-DegradationRate)^expected_production[[#This Row],[Age (yrs)]])</f>
        <v>0.96554693173808293</v>
      </c>
      <c r="G2557" s="52">
        <f>IF(expected_production[[#This Row],[Base Expected (kWh)]]="","",expected_production[[#This Row],[Base Expected (kWh)]]*expected_production[[#This Row],[Degradation Factor]])</f>
        <v>13042.965206282768</v>
      </c>
    </row>
    <row r="2558" spans="1:7" ht="15" hidden="1" customHeight="1" x14ac:dyDescent="0.3">
      <c r="A2558" t="s">
        <v>201</v>
      </c>
      <c r="B2558" s="2">
        <v>46357</v>
      </c>
      <c r="C2558" s="52">
        <v>14234.525</v>
      </c>
      <c r="D2558" s="48">
        <f>_xlfn.XLOOKUP(expected_production[[#This Row],[Site Name]],Table1[[Site Name ]],Table1[Commisioned Date],"")</f>
        <v>44504</v>
      </c>
      <c r="E2558" s="47">
        <f>IF(ISNUMBER(expected_production[[#This Row],[Commissioned Date]]),MAX(0,(expected_production[[#This Row],[Date]]-expected_production[[#This Row],[Commissioned Date]])/365.25),"")</f>
        <v>5.0732375085557839</v>
      </c>
      <c r="F2558" s="49">
        <f>IF(expected_production[[#This Row],[Age (yrs)]]="",1,(1-DegradationRate)^expected_production[[#This Row],[Age (yrs)]])</f>
        <v>0.96499000039542915</v>
      </c>
      <c r="G2558" s="52">
        <f>IF(expected_production[[#This Row],[Base Expected (kWh)]]="","",expected_production[[#This Row],[Base Expected (kWh)]]*expected_production[[#This Row],[Degradation Factor]])</f>
        <v>13736.174285378745</v>
      </c>
    </row>
    <row r="2559" spans="1:7" ht="15" hidden="1" customHeight="1" x14ac:dyDescent="0.3">
      <c r="A2559" t="s">
        <v>211</v>
      </c>
      <c r="B2559" s="2">
        <v>45292</v>
      </c>
      <c r="C2559" s="52">
        <v>7299.9</v>
      </c>
      <c r="D2559" s="48">
        <f>_xlfn.XLOOKUP(expected_production[[#This Row],[Site Name]],Table1[[Site Name ]],Table1[Commisioned Date],"")</f>
        <v>45861</v>
      </c>
      <c r="E2559" s="47">
        <f>IF(ISNUMBER(expected_production[[#This Row],[Commissioned Date]]),MAX(0,(expected_production[[#This Row],[Date]]-expected_production[[#This Row],[Commissioned Date]])/365.25),"")</f>
        <v>0</v>
      </c>
      <c r="F2559" s="49">
        <f>IF(expected_production[[#This Row],[Age (yrs)]]="",1,(1-DegradationRate)^expected_production[[#This Row],[Age (yrs)]])</f>
        <v>1</v>
      </c>
      <c r="G2559" s="52">
        <f>IF(expected_production[[#This Row],[Base Expected (kWh)]]="","",expected_production[[#This Row],[Base Expected (kWh)]]*expected_production[[#This Row],[Degradation Factor]])</f>
        <v>7299.9</v>
      </c>
    </row>
    <row r="2560" spans="1:7" ht="15" hidden="1" customHeight="1" x14ac:dyDescent="0.3">
      <c r="A2560" t="s">
        <v>211</v>
      </c>
      <c r="B2560" s="2">
        <v>45323</v>
      </c>
      <c r="C2560" s="52">
        <v>6223.5</v>
      </c>
      <c r="D2560" s="48">
        <f>_xlfn.XLOOKUP(expected_production[[#This Row],[Site Name]],Table1[[Site Name ]],Table1[Commisioned Date],"")</f>
        <v>45861</v>
      </c>
      <c r="E2560" s="47">
        <f>IF(ISNUMBER(expected_production[[#This Row],[Commissioned Date]]),MAX(0,(expected_production[[#This Row],[Date]]-expected_production[[#This Row],[Commissioned Date]])/365.25),"")</f>
        <v>0</v>
      </c>
      <c r="F2560" s="49">
        <f>IF(expected_production[[#This Row],[Age (yrs)]]="",1,(1-DegradationRate)^expected_production[[#This Row],[Age (yrs)]])</f>
        <v>1</v>
      </c>
      <c r="G2560" s="52">
        <f>IF(expected_production[[#This Row],[Base Expected (kWh)]]="","",expected_production[[#This Row],[Base Expected (kWh)]]*expected_production[[#This Row],[Degradation Factor]])</f>
        <v>6223.5</v>
      </c>
    </row>
    <row r="2561" spans="1:7" ht="15" hidden="1" customHeight="1" x14ac:dyDescent="0.3">
      <c r="A2561" t="s">
        <v>211</v>
      </c>
      <c r="B2561" s="2">
        <v>45352</v>
      </c>
      <c r="C2561" s="52">
        <v>6048.9</v>
      </c>
      <c r="D2561" s="48">
        <f>_xlfn.XLOOKUP(expected_production[[#This Row],[Site Name]],Table1[[Site Name ]],Table1[Commisioned Date],"")</f>
        <v>45861</v>
      </c>
      <c r="E2561" s="47">
        <f>IF(ISNUMBER(expected_production[[#This Row],[Commissioned Date]]),MAX(0,(expected_production[[#This Row],[Date]]-expected_production[[#This Row],[Commissioned Date]])/365.25),"")</f>
        <v>0</v>
      </c>
      <c r="F2561" s="49">
        <f>IF(expected_production[[#This Row],[Age (yrs)]]="",1,(1-DegradationRate)^expected_production[[#This Row],[Age (yrs)]])</f>
        <v>1</v>
      </c>
      <c r="G2561" s="52">
        <f>IF(expected_production[[#This Row],[Base Expected (kWh)]]="","",expected_production[[#This Row],[Base Expected (kWh)]]*expected_production[[#This Row],[Degradation Factor]])</f>
        <v>6048.9</v>
      </c>
    </row>
    <row r="2562" spans="1:7" ht="15" hidden="1" customHeight="1" x14ac:dyDescent="0.3">
      <c r="A2562" t="s">
        <v>211</v>
      </c>
      <c r="B2562" s="2">
        <v>45383</v>
      </c>
      <c r="C2562" s="52">
        <v>5130.8999999999996</v>
      </c>
      <c r="D2562" s="48">
        <f>_xlfn.XLOOKUP(expected_production[[#This Row],[Site Name]],Table1[[Site Name ]],Table1[Commisioned Date],"")</f>
        <v>45861</v>
      </c>
      <c r="E2562" s="47">
        <f>IF(ISNUMBER(expected_production[[#This Row],[Commissioned Date]]),MAX(0,(expected_production[[#This Row],[Date]]-expected_production[[#This Row],[Commissioned Date]])/365.25),"")</f>
        <v>0</v>
      </c>
      <c r="F2562" s="49">
        <f>IF(expected_production[[#This Row],[Age (yrs)]]="",1,(1-DegradationRate)^expected_production[[#This Row],[Age (yrs)]])</f>
        <v>1</v>
      </c>
      <c r="G2562" s="52">
        <f>IF(expected_production[[#This Row],[Base Expected (kWh)]]="","",expected_production[[#This Row],[Base Expected (kWh)]]*expected_production[[#This Row],[Degradation Factor]])</f>
        <v>5130.8999999999996</v>
      </c>
    </row>
    <row r="2563" spans="1:7" ht="15" hidden="1" customHeight="1" x14ac:dyDescent="0.3">
      <c r="A2563" t="s">
        <v>211</v>
      </c>
      <c r="B2563" s="2">
        <v>45413</v>
      </c>
      <c r="C2563" s="52">
        <v>4621.5</v>
      </c>
      <c r="D2563" s="48">
        <f>_xlfn.XLOOKUP(expected_production[[#This Row],[Site Name]],Table1[[Site Name ]],Table1[Commisioned Date],"")</f>
        <v>45861</v>
      </c>
      <c r="E2563" s="47">
        <f>IF(ISNUMBER(expected_production[[#This Row],[Commissioned Date]]),MAX(0,(expected_production[[#This Row],[Date]]-expected_production[[#This Row],[Commissioned Date]])/365.25),"")</f>
        <v>0</v>
      </c>
      <c r="F2563" s="49">
        <f>IF(expected_production[[#This Row],[Age (yrs)]]="",1,(1-DegradationRate)^expected_production[[#This Row],[Age (yrs)]])</f>
        <v>1</v>
      </c>
      <c r="G2563" s="52">
        <f>IF(expected_production[[#This Row],[Base Expected (kWh)]]="","",expected_production[[#This Row],[Base Expected (kWh)]]*expected_production[[#This Row],[Degradation Factor]])</f>
        <v>4621.5</v>
      </c>
    </row>
    <row r="2564" spans="1:7" ht="15" hidden="1" customHeight="1" x14ac:dyDescent="0.3">
      <c r="A2564" t="s">
        <v>211</v>
      </c>
      <c r="B2564" s="2">
        <v>45444</v>
      </c>
      <c r="C2564" s="52">
        <v>3931.2</v>
      </c>
      <c r="D2564" s="48">
        <f>_xlfn.XLOOKUP(expected_production[[#This Row],[Site Name]],Table1[[Site Name ]],Table1[Commisioned Date],"")</f>
        <v>45861</v>
      </c>
      <c r="E2564" s="47">
        <f>IF(ISNUMBER(expected_production[[#This Row],[Commissioned Date]]),MAX(0,(expected_production[[#This Row],[Date]]-expected_production[[#This Row],[Commissioned Date]])/365.25),"")</f>
        <v>0</v>
      </c>
      <c r="F2564" s="49">
        <f>IF(expected_production[[#This Row],[Age (yrs)]]="",1,(1-DegradationRate)^expected_production[[#This Row],[Age (yrs)]])</f>
        <v>1</v>
      </c>
      <c r="G2564" s="52">
        <f>IF(expected_production[[#This Row],[Base Expected (kWh)]]="","",expected_production[[#This Row],[Base Expected (kWh)]]*expected_production[[#This Row],[Degradation Factor]])</f>
        <v>3931.2</v>
      </c>
    </row>
    <row r="2565" spans="1:7" ht="15" hidden="1" customHeight="1" x14ac:dyDescent="0.3">
      <c r="A2565" t="s">
        <v>211</v>
      </c>
      <c r="B2565" s="2">
        <v>45474</v>
      </c>
      <c r="C2565" s="52">
        <v>4065.3</v>
      </c>
      <c r="D2565" s="48">
        <f>_xlfn.XLOOKUP(expected_production[[#This Row],[Site Name]],Table1[[Site Name ]],Table1[Commisioned Date],"")</f>
        <v>45861</v>
      </c>
      <c r="E2565" s="47">
        <f>IF(ISNUMBER(expected_production[[#This Row],[Commissioned Date]]),MAX(0,(expected_production[[#This Row],[Date]]-expected_production[[#This Row],[Commissioned Date]])/365.25),"")</f>
        <v>0</v>
      </c>
      <c r="F2565" s="49">
        <f>IF(expected_production[[#This Row],[Age (yrs)]]="",1,(1-DegradationRate)^expected_production[[#This Row],[Age (yrs)]])</f>
        <v>1</v>
      </c>
      <c r="G2565" s="52">
        <f>IF(expected_production[[#This Row],[Base Expected (kWh)]]="","",expected_production[[#This Row],[Base Expected (kWh)]]*expected_production[[#This Row],[Degradation Factor]])</f>
        <v>4065.3</v>
      </c>
    </row>
    <row r="2566" spans="1:7" ht="15" hidden="1" customHeight="1" x14ac:dyDescent="0.3">
      <c r="A2566" t="s">
        <v>211</v>
      </c>
      <c r="B2566" s="2">
        <v>45505</v>
      </c>
      <c r="C2566" s="52">
        <v>4723.2</v>
      </c>
      <c r="D2566" s="48">
        <f>_xlfn.XLOOKUP(expected_production[[#This Row],[Site Name]],Table1[[Site Name ]],Table1[Commisioned Date],"")</f>
        <v>45861</v>
      </c>
      <c r="E2566" s="47">
        <f>IF(ISNUMBER(expected_production[[#This Row],[Commissioned Date]]),MAX(0,(expected_production[[#This Row],[Date]]-expected_production[[#This Row],[Commissioned Date]])/365.25),"")</f>
        <v>0</v>
      </c>
      <c r="F2566" s="49">
        <f>IF(expected_production[[#This Row],[Age (yrs)]]="",1,(1-DegradationRate)^expected_production[[#This Row],[Age (yrs)]])</f>
        <v>1</v>
      </c>
      <c r="G2566" s="52">
        <f>IF(expected_production[[#This Row],[Base Expected (kWh)]]="","",expected_production[[#This Row],[Base Expected (kWh)]]*expected_production[[#This Row],[Degradation Factor]])</f>
        <v>4723.2</v>
      </c>
    </row>
    <row r="2567" spans="1:7" ht="15" hidden="1" customHeight="1" x14ac:dyDescent="0.3">
      <c r="A2567" t="s">
        <v>211</v>
      </c>
      <c r="B2567" s="2">
        <v>45536</v>
      </c>
      <c r="C2567" s="52">
        <v>5251.5</v>
      </c>
      <c r="D2567" s="48">
        <f>_xlfn.XLOOKUP(expected_production[[#This Row],[Site Name]],Table1[[Site Name ]],Table1[Commisioned Date],"")</f>
        <v>45861</v>
      </c>
      <c r="E2567" s="47">
        <f>IF(ISNUMBER(expected_production[[#This Row],[Commissioned Date]]),MAX(0,(expected_production[[#This Row],[Date]]-expected_production[[#This Row],[Commissioned Date]])/365.25),"")</f>
        <v>0</v>
      </c>
      <c r="F2567" s="49">
        <f>IF(expected_production[[#This Row],[Age (yrs)]]="",1,(1-DegradationRate)^expected_production[[#This Row],[Age (yrs)]])</f>
        <v>1</v>
      </c>
      <c r="G2567" s="52">
        <f>IF(expected_production[[#This Row],[Base Expected (kWh)]]="","",expected_production[[#This Row],[Base Expected (kWh)]]*expected_production[[#This Row],[Degradation Factor]])</f>
        <v>5251.5</v>
      </c>
    </row>
    <row r="2568" spans="1:7" ht="15" hidden="1" customHeight="1" x14ac:dyDescent="0.3">
      <c r="A2568" t="s">
        <v>211</v>
      </c>
      <c r="B2568" s="2">
        <v>45566</v>
      </c>
      <c r="C2568" s="52">
        <v>6489.9</v>
      </c>
      <c r="D2568" s="48">
        <f>_xlfn.XLOOKUP(expected_production[[#This Row],[Site Name]],Table1[[Site Name ]],Table1[Commisioned Date],"")</f>
        <v>45861</v>
      </c>
      <c r="E2568" s="47">
        <f>IF(ISNUMBER(expected_production[[#This Row],[Commissioned Date]]),MAX(0,(expected_production[[#This Row],[Date]]-expected_production[[#This Row],[Commissioned Date]])/365.25),"")</f>
        <v>0</v>
      </c>
      <c r="F2568" s="49">
        <f>IF(expected_production[[#This Row],[Age (yrs)]]="",1,(1-DegradationRate)^expected_production[[#This Row],[Age (yrs)]])</f>
        <v>1</v>
      </c>
      <c r="G2568" s="52">
        <f>IF(expected_production[[#This Row],[Base Expected (kWh)]]="","",expected_production[[#This Row],[Base Expected (kWh)]]*expected_production[[#This Row],[Degradation Factor]])</f>
        <v>6489.9</v>
      </c>
    </row>
    <row r="2569" spans="1:7" ht="15" hidden="1" customHeight="1" x14ac:dyDescent="0.3">
      <c r="A2569" t="s">
        <v>211</v>
      </c>
      <c r="B2569" s="2">
        <v>45597</v>
      </c>
      <c r="C2569" s="52">
        <v>6813.9</v>
      </c>
      <c r="D2569" s="48">
        <f>_xlfn.XLOOKUP(expected_production[[#This Row],[Site Name]],Table1[[Site Name ]],Table1[Commisioned Date],"")</f>
        <v>45861</v>
      </c>
      <c r="E2569" s="47">
        <f>IF(ISNUMBER(expected_production[[#This Row],[Commissioned Date]]),MAX(0,(expected_production[[#This Row],[Date]]-expected_production[[#This Row],[Commissioned Date]])/365.25),"")</f>
        <v>0</v>
      </c>
      <c r="F2569" s="49">
        <f>IF(expected_production[[#This Row],[Age (yrs)]]="",1,(1-DegradationRate)^expected_production[[#This Row],[Age (yrs)]])</f>
        <v>1</v>
      </c>
      <c r="G2569" s="52">
        <f>IF(expected_production[[#This Row],[Base Expected (kWh)]]="","",expected_production[[#This Row],[Base Expected (kWh)]]*expected_production[[#This Row],[Degradation Factor]])</f>
        <v>6813.9</v>
      </c>
    </row>
    <row r="2570" spans="1:7" ht="15" hidden="1" customHeight="1" x14ac:dyDescent="0.3">
      <c r="A2570" t="s">
        <v>211</v>
      </c>
      <c r="B2570" s="2">
        <v>45627</v>
      </c>
      <c r="C2570" s="52">
        <v>7296.3</v>
      </c>
      <c r="D2570" s="48">
        <f>_xlfn.XLOOKUP(expected_production[[#This Row],[Site Name]],Table1[[Site Name ]],Table1[Commisioned Date],"")</f>
        <v>45861</v>
      </c>
      <c r="E2570" s="47">
        <f>IF(ISNUMBER(expected_production[[#This Row],[Commissioned Date]]),MAX(0,(expected_production[[#This Row],[Date]]-expected_production[[#This Row],[Commissioned Date]])/365.25),"")</f>
        <v>0</v>
      </c>
      <c r="F2570" s="49">
        <f>IF(expected_production[[#This Row],[Age (yrs)]]="",1,(1-DegradationRate)^expected_production[[#This Row],[Age (yrs)]])</f>
        <v>1</v>
      </c>
      <c r="G2570" s="52">
        <f>IF(expected_production[[#This Row],[Base Expected (kWh)]]="","",expected_production[[#This Row],[Base Expected (kWh)]]*expected_production[[#This Row],[Degradation Factor]])</f>
        <v>7296.3</v>
      </c>
    </row>
    <row r="2571" spans="1:7" ht="15" hidden="1" customHeight="1" x14ac:dyDescent="0.3">
      <c r="A2571" t="s">
        <v>211</v>
      </c>
      <c r="B2571" s="2">
        <v>45658</v>
      </c>
      <c r="C2571" s="52">
        <v>7299.9</v>
      </c>
      <c r="D2571" s="48">
        <f>_xlfn.XLOOKUP(expected_production[[#This Row],[Site Name]],Table1[[Site Name ]],Table1[Commisioned Date],"")</f>
        <v>45861</v>
      </c>
      <c r="E2571" s="47">
        <f>IF(ISNUMBER(expected_production[[#This Row],[Commissioned Date]]),MAX(0,(expected_production[[#This Row],[Date]]-expected_production[[#This Row],[Commissioned Date]])/365.25),"")</f>
        <v>0</v>
      </c>
      <c r="F2571" s="49">
        <f>IF(expected_production[[#This Row],[Age (yrs)]]="",1,(1-DegradationRate)^expected_production[[#This Row],[Age (yrs)]])</f>
        <v>1</v>
      </c>
      <c r="G2571" s="52">
        <f>IF(expected_production[[#This Row],[Base Expected (kWh)]]="","",expected_production[[#This Row],[Base Expected (kWh)]]*expected_production[[#This Row],[Degradation Factor]])</f>
        <v>7299.9</v>
      </c>
    </row>
    <row r="2572" spans="1:7" ht="15" hidden="1" customHeight="1" x14ac:dyDescent="0.3">
      <c r="A2572" t="s">
        <v>211</v>
      </c>
      <c r="B2572" s="2">
        <v>45689</v>
      </c>
      <c r="C2572" s="52">
        <v>6223.5</v>
      </c>
      <c r="D2572" s="48">
        <f>_xlfn.XLOOKUP(expected_production[[#This Row],[Site Name]],Table1[[Site Name ]],Table1[Commisioned Date],"")</f>
        <v>45861</v>
      </c>
      <c r="E2572" s="47">
        <f>IF(ISNUMBER(expected_production[[#This Row],[Commissioned Date]]),MAX(0,(expected_production[[#This Row],[Date]]-expected_production[[#This Row],[Commissioned Date]])/365.25),"")</f>
        <v>0</v>
      </c>
      <c r="F2572" s="49">
        <f>IF(expected_production[[#This Row],[Age (yrs)]]="",1,(1-DegradationRate)^expected_production[[#This Row],[Age (yrs)]])</f>
        <v>1</v>
      </c>
      <c r="G2572" s="52">
        <f>IF(expected_production[[#This Row],[Base Expected (kWh)]]="","",expected_production[[#This Row],[Base Expected (kWh)]]*expected_production[[#This Row],[Degradation Factor]])</f>
        <v>6223.5</v>
      </c>
    </row>
    <row r="2573" spans="1:7" ht="15" hidden="1" customHeight="1" x14ac:dyDescent="0.3">
      <c r="A2573" t="s">
        <v>211</v>
      </c>
      <c r="B2573" s="2">
        <v>45717</v>
      </c>
      <c r="C2573" s="52">
        <v>6048.9</v>
      </c>
      <c r="D2573" s="48">
        <f>_xlfn.XLOOKUP(expected_production[[#This Row],[Site Name]],Table1[[Site Name ]],Table1[Commisioned Date],"")</f>
        <v>45861</v>
      </c>
      <c r="E2573" s="47">
        <f>IF(ISNUMBER(expected_production[[#This Row],[Commissioned Date]]),MAX(0,(expected_production[[#This Row],[Date]]-expected_production[[#This Row],[Commissioned Date]])/365.25),"")</f>
        <v>0</v>
      </c>
      <c r="F2573" s="49">
        <f>IF(expected_production[[#This Row],[Age (yrs)]]="",1,(1-DegradationRate)^expected_production[[#This Row],[Age (yrs)]])</f>
        <v>1</v>
      </c>
      <c r="G2573" s="52">
        <f>IF(expected_production[[#This Row],[Base Expected (kWh)]]="","",expected_production[[#This Row],[Base Expected (kWh)]]*expected_production[[#This Row],[Degradation Factor]])</f>
        <v>6048.9</v>
      </c>
    </row>
    <row r="2574" spans="1:7" ht="15" hidden="1" customHeight="1" x14ac:dyDescent="0.3">
      <c r="A2574" t="s">
        <v>211</v>
      </c>
      <c r="B2574" s="2">
        <v>45748</v>
      </c>
      <c r="C2574" s="52">
        <v>5130.8999999999996</v>
      </c>
      <c r="D2574" s="48">
        <f>_xlfn.XLOOKUP(expected_production[[#This Row],[Site Name]],Table1[[Site Name ]],Table1[Commisioned Date],"")</f>
        <v>45861</v>
      </c>
      <c r="E2574" s="47">
        <f>IF(ISNUMBER(expected_production[[#This Row],[Commissioned Date]]),MAX(0,(expected_production[[#This Row],[Date]]-expected_production[[#This Row],[Commissioned Date]])/365.25),"")</f>
        <v>0</v>
      </c>
      <c r="F2574" s="49">
        <f>IF(expected_production[[#This Row],[Age (yrs)]]="",1,(1-DegradationRate)^expected_production[[#This Row],[Age (yrs)]])</f>
        <v>1</v>
      </c>
      <c r="G2574" s="52">
        <f>IF(expected_production[[#This Row],[Base Expected (kWh)]]="","",expected_production[[#This Row],[Base Expected (kWh)]]*expected_production[[#This Row],[Degradation Factor]])</f>
        <v>5130.8999999999996</v>
      </c>
    </row>
    <row r="2575" spans="1:7" ht="15" hidden="1" customHeight="1" x14ac:dyDescent="0.3">
      <c r="A2575" t="s">
        <v>211</v>
      </c>
      <c r="B2575" s="2">
        <v>45778</v>
      </c>
      <c r="C2575" s="52">
        <v>4621.5</v>
      </c>
      <c r="D2575" s="48">
        <f>_xlfn.XLOOKUP(expected_production[[#This Row],[Site Name]],Table1[[Site Name ]],Table1[Commisioned Date],"")</f>
        <v>45861</v>
      </c>
      <c r="E2575" s="47">
        <f>IF(ISNUMBER(expected_production[[#This Row],[Commissioned Date]]),MAX(0,(expected_production[[#This Row],[Date]]-expected_production[[#This Row],[Commissioned Date]])/365.25),"")</f>
        <v>0</v>
      </c>
      <c r="F2575" s="49">
        <f>IF(expected_production[[#This Row],[Age (yrs)]]="",1,(1-DegradationRate)^expected_production[[#This Row],[Age (yrs)]])</f>
        <v>1</v>
      </c>
      <c r="G2575" s="52">
        <f>IF(expected_production[[#This Row],[Base Expected (kWh)]]="","",expected_production[[#This Row],[Base Expected (kWh)]]*expected_production[[#This Row],[Degradation Factor]])</f>
        <v>4621.5</v>
      </c>
    </row>
    <row r="2576" spans="1:7" ht="15" hidden="1" customHeight="1" x14ac:dyDescent="0.3">
      <c r="A2576" t="s">
        <v>211</v>
      </c>
      <c r="B2576" s="2">
        <v>45809</v>
      </c>
      <c r="C2576" s="52">
        <v>3931.2</v>
      </c>
      <c r="D2576" s="48">
        <f>_xlfn.XLOOKUP(expected_production[[#This Row],[Site Name]],Table1[[Site Name ]],Table1[Commisioned Date],"")</f>
        <v>45861</v>
      </c>
      <c r="E2576" s="47">
        <f>IF(ISNUMBER(expected_production[[#This Row],[Commissioned Date]]),MAX(0,(expected_production[[#This Row],[Date]]-expected_production[[#This Row],[Commissioned Date]])/365.25),"")</f>
        <v>0</v>
      </c>
      <c r="F2576" s="49">
        <f>IF(expected_production[[#This Row],[Age (yrs)]]="",1,(1-DegradationRate)^expected_production[[#This Row],[Age (yrs)]])</f>
        <v>1</v>
      </c>
      <c r="G2576" s="52">
        <f>IF(expected_production[[#This Row],[Base Expected (kWh)]]="","",expected_production[[#This Row],[Base Expected (kWh)]]*expected_production[[#This Row],[Degradation Factor]])</f>
        <v>3931.2</v>
      </c>
    </row>
    <row r="2577" spans="1:7" ht="15" hidden="1" customHeight="1" x14ac:dyDescent="0.3">
      <c r="A2577" t="s">
        <v>211</v>
      </c>
      <c r="B2577" s="2">
        <v>45839</v>
      </c>
      <c r="C2577" s="52">
        <v>4065.3</v>
      </c>
      <c r="D2577" s="48">
        <f>_xlfn.XLOOKUP(expected_production[[#This Row],[Site Name]],Table1[[Site Name ]],Table1[Commisioned Date],"")</f>
        <v>45861</v>
      </c>
      <c r="E2577" s="47">
        <f>IF(ISNUMBER(expected_production[[#This Row],[Commissioned Date]]),MAX(0,(expected_production[[#This Row],[Date]]-expected_production[[#This Row],[Commissioned Date]])/365.25),"")</f>
        <v>0</v>
      </c>
      <c r="F2577" s="49">
        <f>IF(expected_production[[#This Row],[Age (yrs)]]="",1,(1-DegradationRate)^expected_production[[#This Row],[Age (yrs)]])</f>
        <v>1</v>
      </c>
      <c r="G2577" s="52">
        <f>IF(expected_production[[#This Row],[Base Expected (kWh)]]="","",expected_production[[#This Row],[Base Expected (kWh)]]*expected_production[[#This Row],[Degradation Factor]])</f>
        <v>4065.3</v>
      </c>
    </row>
    <row r="2578" spans="1:7" ht="15" hidden="1" customHeight="1" x14ac:dyDescent="0.3">
      <c r="A2578" t="s">
        <v>211</v>
      </c>
      <c r="B2578" s="2">
        <v>45870</v>
      </c>
      <c r="C2578" s="52">
        <v>4723.2</v>
      </c>
      <c r="D2578" s="48">
        <f>_xlfn.XLOOKUP(expected_production[[#This Row],[Site Name]],Table1[[Site Name ]],Table1[Commisioned Date],"")</f>
        <v>45861</v>
      </c>
      <c r="E2578" s="47">
        <f>IF(ISNUMBER(expected_production[[#This Row],[Commissioned Date]]),MAX(0,(expected_production[[#This Row],[Date]]-expected_production[[#This Row],[Commissioned Date]])/365.25),"")</f>
        <v>2.4640657084188913E-2</v>
      </c>
      <c r="F2578" s="49">
        <f>IF(expected_production[[#This Row],[Age (yrs)]]="",1,(1-DegradationRate)^expected_production[[#This Row],[Age (yrs)]])</f>
        <v>0.99982692385159477</v>
      </c>
      <c r="G2578" s="52">
        <f>IF(expected_production[[#This Row],[Base Expected (kWh)]]="","",expected_production[[#This Row],[Base Expected (kWh)]]*expected_production[[#This Row],[Degradation Factor]])</f>
        <v>4722.3825267358525</v>
      </c>
    </row>
    <row r="2579" spans="1:7" ht="15" hidden="1" customHeight="1" x14ac:dyDescent="0.3">
      <c r="A2579" t="s">
        <v>211</v>
      </c>
      <c r="B2579" s="2">
        <v>45901</v>
      </c>
      <c r="C2579" s="52">
        <v>5251.5</v>
      </c>
      <c r="D2579" s="48">
        <f>_xlfn.XLOOKUP(expected_production[[#This Row],[Site Name]],Table1[[Site Name ]],Table1[Commisioned Date],"")</f>
        <v>45861</v>
      </c>
      <c r="E2579" s="47">
        <f>IF(ISNUMBER(expected_production[[#This Row],[Commissioned Date]]),MAX(0,(expected_production[[#This Row],[Date]]-expected_production[[#This Row],[Commissioned Date]])/365.25),"")</f>
        <v>0.10951403148528405</v>
      </c>
      <c r="F2579" s="49">
        <f>IF(expected_production[[#This Row],[Age (yrs)]]="",1,(1-DegradationRate)^expected_production[[#This Row],[Age (yrs)]])</f>
        <v>0.99923100192930947</v>
      </c>
      <c r="G2579" s="52">
        <f>IF(expected_production[[#This Row],[Base Expected (kWh)]]="","",expected_production[[#This Row],[Base Expected (kWh)]]*expected_production[[#This Row],[Degradation Factor]])</f>
        <v>5247.4616066317685</v>
      </c>
    </row>
    <row r="2580" spans="1:7" ht="15" hidden="1" customHeight="1" x14ac:dyDescent="0.3">
      <c r="A2580" t="s">
        <v>211</v>
      </c>
      <c r="B2580" s="2">
        <v>45931</v>
      </c>
      <c r="C2580" s="52">
        <v>6489.9</v>
      </c>
      <c r="D2580" s="48">
        <f>_xlfn.XLOOKUP(expected_production[[#This Row],[Site Name]],Table1[[Site Name ]],Table1[Commisioned Date],"")</f>
        <v>45861</v>
      </c>
      <c r="E2580" s="47">
        <f>IF(ISNUMBER(expected_production[[#This Row],[Commissioned Date]]),MAX(0,(expected_production[[#This Row],[Date]]-expected_production[[#This Row],[Commissioned Date]])/365.25),"")</f>
        <v>0.19164955509924708</v>
      </c>
      <c r="F2580" s="49">
        <f>IF(expected_production[[#This Row],[Age (yrs)]]="",1,(1-DegradationRate)^expected_production[[#This Row],[Age (yrs)]])</f>
        <v>0.99865464147987593</v>
      </c>
      <c r="G2580" s="52">
        <f>IF(expected_production[[#This Row],[Base Expected (kWh)]]="","",expected_production[[#This Row],[Base Expected (kWh)]]*expected_production[[#This Row],[Degradation Factor]])</f>
        <v>6481.1687577402463</v>
      </c>
    </row>
    <row r="2581" spans="1:7" ht="15" hidden="1" customHeight="1" x14ac:dyDescent="0.3">
      <c r="A2581" t="s">
        <v>211</v>
      </c>
      <c r="B2581" s="2">
        <v>45962</v>
      </c>
      <c r="C2581" s="52">
        <v>6813.9</v>
      </c>
      <c r="D2581" s="48">
        <f>_xlfn.XLOOKUP(expected_production[[#This Row],[Site Name]],Table1[[Site Name ]],Table1[Commisioned Date],"")</f>
        <v>45861</v>
      </c>
      <c r="E2581" s="47">
        <f>IF(ISNUMBER(expected_production[[#This Row],[Commissioned Date]]),MAX(0,(expected_production[[#This Row],[Date]]-expected_production[[#This Row],[Commissioned Date]])/365.25),"")</f>
        <v>0.27652292950034224</v>
      </c>
      <c r="F2581" s="49">
        <f>IF(expected_production[[#This Row],[Age (yrs)]]="",1,(1-DegradationRate)^expected_production[[#This Row],[Age (yrs)]])</f>
        <v>0.99805941826728506</v>
      </c>
      <c r="G2581" s="52">
        <f>IF(expected_production[[#This Row],[Base Expected (kWh)]]="","",expected_production[[#This Row],[Base Expected (kWh)]]*expected_production[[#This Row],[Degradation Factor]])</f>
        <v>6800.6770701314535</v>
      </c>
    </row>
    <row r="2582" spans="1:7" ht="15" hidden="1" customHeight="1" x14ac:dyDescent="0.3">
      <c r="A2582" t="s">
        <v>211</v>
      </c>
      <c r="B2582" s="2">
        <v>45992</v>
      </c>
      <c r="C2582" s="52">
        <v>7296.3</v>
      </c>
      <c r="D2582" s="48">
        <f>_xlfn.XLOOKUP(expected_production[[#This Row],[Site Name]],Table1[[Site Name ]],Table1[Commisioned Date],"")</f>
        <v>45861</v>
      </c>
      <c r="E2582" s="47">
        <f>IF(ISNUMBER(expected_production[[#This Row],[Commissioned Date]]),MAX(0,(expected_production[[#This Row],[Date]]-expected_production[[#This Row],[Commissioned Date]])/365.25),"")</f>
        <v>0.35865845311430528</v>
      </c>
      <c r="F2582" s="49">
        <f>IF(expected_production[[#This Row],[Age (yrs)]]="",1,(1-DegradationRate)^expected_production[[#This Row],[Age (yrs)]])</f>
        <v>0.99748373359200648</v>
      </c>
      <c r="G2582" s="52">
        <f>IF(expected_production[[#This Row],[Base Expected (kWh)]]="","",expected_production[[#This Row],[Base Expected (kWh)]]*expected_production[[#This Row],[Degradation Factor]])</f>
        <v>7277.9405654073571</v>
      </c>
    </row>
    <row r="2583" spans="1:7" ht="15" hidden="1" customHeight="1" x14ac:dyDescent="0.3">
      <c r="A2583" t="s">
        <v>211</v>
      </c>
      <c r="B2583" s="2">
        <v>46023</v>
      </c>
      <c r="C2583" s="52">
        <v>7299.9</v>
      </c>
      <c r="D2583" s="48">
        <f>_xlfn.XLOOKUP(expected_production[[#This Row],[Site Name]],Table1[[Site Name ]],Table1[Commisioned Date],"")</f>
        <v>45861</v>
      </c>
      <c r="E2583" s="47">
        <f>IF(ISNUMBER(expected_production[[#This Row],[Commissioned Date]]),MAX(0,(expected_production[[#This Row],[Date]]-expected_production[[#This Row],[Commissioned Date]])/365.25),"")</f>
        <v>0.44353182751540043</v>
      </c>
      <c r="F2583" s="49">
        <f>IF(expected_production[[#This Row],[Age (yrs)]]="",1,(1-DegradationRate)^expected_production[[#This Row],[Age (yrs)]])</f>
        <v>0.99688920826988314</v>
      </c>
      <c r="G2583" s="52">
        <f>IF(expected_production[[#This Row],[Base Expected (kWh)]]="","",expected_production[[#This Row],[Base Expected (kWh)]]*expected_production[[#This Row],[Degradation Factor]])</f>
        <v>7277.1915314493199</v>
      </c>
    </row>
    <row r="2584" spans="1:7" ht="15" hidden="1" customHeight="1" x14ac:dyDescent="0.3">
      <c r="A2584" t="s">
        <v>211</v>
      </c>
      <c r="B2584" s="2">
        <v>46054</v>
      </c>
      <c r="C2584" s="52">
        <v>6223.5</v>
      </c>
      <c r="D2584" s="48">
        <f>_xlfn.XLOOKUP(expected_production[[#This Row],[Site Name]],Table1[[Site Name ]],Table1[Commisioned Date],"")</f>
        <v>45861</v>
      </c>
      <c r="E2584" s="47">
        <f>IF(ISNUMBER(expected_production[[#This Row],[Commissioned Date]]),MAX(0,(expected_production[[#This Row],[Date]]-expected_production[[#This Row],[Commissioned Date]])/365.25),"")</f>
        <v>0.52840520191649554</v>
      </c>
      <c r="F2584" s="49">
        <f>IF(expected_production[[#This Row],[Age (yrs)]]="",1,(1-DegradationRate)^expected_production[[#This Row],[Age (yrs)]])</f>
        <v>0.99629503729976254</v>
      </c>
      <c r="G2584" s="52">
        <f>IF(expected_production[[#This Row],[Base Expected (kWh)]]="","",expected_production[[#This Row],[Base Expected (kWh)]]*expected_production[[#This Row],[Degradation Factor]])</f>
        <v>6200.442164635072</v>
      </c>
    </row>
    <row r="2585" spans="1:7" ht="15" hidden="1" customHeight="1" x14ac:dyDescent="0.3">
      <c r="A2585" t="s">
        <v>211</v>
      </c>
      <c r="B2585" s="2">
        <v>46082</v>
      </c>
      <c r="C2585" s="52">
        <v>6048.9</v>
      </c>
      <c r="D2585" s="48">
        <f>_xlfn.XLOOKUP(expected_production[[#This Row],[Site Name]],Table1[[Site Name ]],Table1[Commisioned Date],"")</f>
        <v>45861</v>
      </c>
      <c r="E2585" s="47">
        <f>IF(ISNUMBER(expected_production[[#This Row],[Commissioned Date]]),MAX(0,(expected_production[[#This Row],[Date]]-expected_production[[#This Row],[Commissioned Date]])/365.25),"")</f>
        <v>0.60506502395619444</v>
      </c>
      <c r="F2585" s="49">
        <f>IF(expected_production[[#This Row],[Age (yrs)]]="",1,(1-DegradationRate)^expected_production[[#This Row],[Age (yrs)]])</f>
        <v>0.99575867114353067</v>
      </c>
      <c r="G2585" s="52">
        <f>IF(expected_production[[#This Row],[Base Expected (kWh)]]="","",expected_production[[#This Row],[Base Expected (kWh)]]*expected_production[[#This Row],[Degradation Factor]])</f>
        <v>6023.2446258801019</v>
      </c>
    </row>
    <row r="2586" spans="1:7" ht="15" hidden="1" customHeight="1" x14ac:dyDescent="0.3">
      <c r="A2586" t="s">
        <v>211</v>
      </c>
      <c r="B2586" s="2">
        <v>46113</v>
      </c>
      <c r="C2586" s="52">
        <v>5130.8999999999996</v>
      </c>
      <c r="D2586" s="48">
        <f>_xlfn.XLOOKUP(expected_production[[#This Row],[Site Name]],Table1[[Site Name ]],Table1[Commisioned Date],"")</f>
        <v>45861</v>
      </c>
      <c r="E2586" s="47">
        <f>IF(ISNUMBER(expected_production[[#This Row],[Commissioned Date]]),MAX(0,(expected_production[[#This Row],[Date]]-expected_production[[#This Row],[Commissioned Date]])/365.25),"")</f>
        <v>0.68993839835728954</v>
      </c>
      <c r="F2586" s="49">
        <f>IF(expected_production[[#This Row],[Age (yrs)]]="",1,(1-DegradationRate)^expected_production[[#This Row],[Age (yrs)]])</f>
        <v>0.99516517400189131</v>
      </c>
      <c r="G2586" s="52">
        <f>IF(expected_production[[#This Row],[Base Expected (kWh)]]="","",expected_production[[#This Row],[Base Expected (kWh)]]*expected_production[[#This Row],[Degradation Factor]])</f>
        <v>5106.0929912863039</v>
      </c>
    </row>
    <row r="2587" spans="1:7" ht="15" hidden="1" customHeight="1" x14ac:dyDescent="0.3">
      <c r="A2587" t="s">
        <v>211</v>
      </c>
      <c r="B2587" s="2">
        <v>46143</v>
      </c>
      <c r="C2587" s="52">
        <v>4621.5</v>
      </c>
      <c r="D2587" s="48">
        <f>_xlfn.XLOOKUP(expected_production[[#This Row],[Site Name]],Table1[[Site Name ]],Table1[Commisioned Date],"")</f>
        <v>45861</v>
      </c>
      <c r="E2587" s="47">
        <f>IF(ISNUMBER(expected_production[[#This Row],[Commissioned Date]]),MAX(0,(expected_production[[#This Row],[Date]]-expected_production[[#This Row],[Commissioned Date]])/365.25),"")</f>
        <v>0.77207392197125257</v>
      </c>
      <c r="F2587" s="49">
        <f>IF(expected_production[[#This Row],[Age (yrs)]]="",1,(1-DegradationRate)^expected_production[[#This Row],[Age (yrs)]])</f>
        <v>0.99459115873831261</v>
      </c>
      <c r="G2587" s="52">
        <f>IF(expected_production[[#This Row],[Base Expected (kWh)]]="","",expected_production[[#This Row],[Base Expected (kWh)]]*expected_production[[#This Row],[Degradation Factor]])</f>
        <v>4596.5030401091117</v>
      </c>
    </row>
    <row r="2588" spans="1:7" ht="15" hidden="1" customHeight="1" x14ac:dyDescent="0.3">
      <c r="A2588" t="s">
        <v>211</v>
      </c>
      <c r="B2588" s="2">
        <v>46174</v>
      </c>
      <c r="C2588" s="52">
        <v>3931.2</v>
      </c>
      <c r="D2588" s="48">
        <f>_xlfn.XLOOKUP(expected_production[[#This Row],[Site Name]],Table1[[Site Name ]],Table1[Commisioned Date],"")</f>
        <v>45861</v>
      </c>
      <c r="E2588" s="47">
        <f>IF(ISNUMBER(expected_production[[#This Row],[Commissioned Date]]),MAX(0,(expected_production[[#This Row],[Date]]-expected_production[[#This Row],[Commissioned Date]])/365.25),"")</f>
        <v>0.85694729637234768</v>
      </c>
      <c r="F2588" s="49">
        <f>IF(expected_production[[#This Row],[Age (yrs)]]="",1,(1-DegradationRate)^expected_production[[#This Row],[Age (yrs)]])</f>
        <v>0.99399835746334797</v>
      </c>
      <c r="G2588" s="52">
        <f>IF(expected_production[[#This Row],[Base Expected (kWh)]]="","",expected_production[[#This Row],[Base Expected (kWh)]]*expected_production[[#This Row],[Degradation Factor]])</f>
        <v>3907.6063428599132</v>
      </c>
    </row>
    <row r="2589" spans="1:7" ht="15" hidden="1" customHeight="1" x14ac:dyDescent="0.3">
      <c r="A2589" t="s">
        <v>211</v>
      </c>
      <c r="B2589" s="2">
        <v>46204</v>
      </c>
      <c r="C2589" s="52">
        <v>4065.3</v>
      </c>
      <c r="D2589" s="48">
        <f>_xlfn.XLOOKUP(expected_production[[#This Row],[Site Name]],Table1[[Site Name ]],Table1[Commisioned Date],"")</f>
        <v>45861</v>
      </c>
      <c r="E2589" s="47">
        <f>IF(ISNUMBER(expected_production[[#This Row],[Commissioned Date]]),MAX(0,(expected_production[[#This Row],[Date]]-expected_production[[#This Row],[Commissioned Date]])/365.25),"")</f>
        <v>0.93908281998631071</v>
      </c>
      <c r="F2589" s="49">
        <f>IF(expected_production[[#This Row],[Age (yrs)]]="",1,(1-DegradationRate)^expected_production[[#This Row],[Age (yrs)]])</f>
        <v>0.99342501522422844</v>
      </c>
      <c r="G2589" s="52">
        <f>IF(expected_production[[#This Row],[Base Expected (kWh)]]="","",expected_production[[#This Row],[Base Expected (kWh)]]*expected_production[[#This Row],[Degradation Factor]])</f>
        <v>4038.5707143910558</v>
      </c>
    </row>
    <row r="2590" spans="1:7" ht="15" hidden="1" customHeight="1" x14ac:dyDescent="0.3">
      <c r="A2590" t="s">
        <v>211</v>
      </c>
      <c r="B2590" s="2">
        <v>46235</v>
      </c>
      <c r="C2590" s="52">
        <v>4723.2</v>
      </c>
      <c r="D2590" s="48">
        <f>_xlfn.XLOOKUP(expected_production[[#This Row],[Site Name]],Table1[[Site Name ]],Table1[Commisioned Date],"")</f>
        <v>45861</v>
      </c>
      <c r="E2590" s="47">
        <f>IF(ISNUMBER(expected_production[[#This Row],[Commissioned Date]]),MAX(0,(expected_production[[#This Row],[Date]]-expected_production[[#This Row],[Commissioned Date]])/365.25),"")</f>
        <v>1.0239561943874058</v>
      </c>
      <c r="F2590" s="49">
        <f>IF(expected_production[[#This Row],[Age (yrs)]]="",1,(1-DegradationRate)^expected_production[[#This Row],[Age (yrs)]])</f>
        <v>0.99283290900004495</v>
      </c>
      <c r="G2590" s="52">
        <f>IF(expected_production[[#This Row],[Base Expected (kWh)]]="","",expected_production[[#This Row],[Base Expected (kWh)]]*expected_production[[#This Row],[Degradation Factor]])</f>
        <v>4689.3483957890121</v>
      </c>
    </row>
    <row r="2591" spans="1:7" ht="15" hidden="1" customHeight="1" x14ac:dyDescent="0.3">
      <c r="A2591" t="s">
        <v>211</v>
      </c>
      <c r="B2591" s="2">
        <v>46266</v>
      </c>
      <c r="C2591" s="52">
        <v>5251.5</v>
      </c>
      <c r="D2591" s="48">
        <f>_xlfn.XLOOKUP(expected_production[[#This Row],[Site Name]],Table1[[Site Name ]],Table1[Commisioned Date],"")</f>
        <v>45861</v>
      </c>
      <c r="E2591" s="47">
        <f>IF(ISNUMBER(expected_production[[#This Row],[Commissioned Date]]),MAX(0,(expected_production[[#This Row],[Date]]-expected_production[[#This Row],[Commissioned Date]])/365.25),"")</f>
        <v>1.108829568788501</v>
      </c>
      <c r="F2591" s="49">
        <f>IF(expected_production[[#This Row],[Age (yrs)]]="",1,(1-DegradationRate)^expected_production[[#This Row],[Age (yrs)]])</f>
        <v>0.99224115568602123</v>
      </c>
      <c r="G2591" s="52">
        <f>IF(expected_production[[#This Row],[Base Expected (kWh)]]="","",expected_production[[#This Row],[Base Expected (kWh)]]*expected_production[[#This Row],[Degradation Factor]])</f>
        <v>5210.7544290851401</v>
      </c>
    </row>
    <row r="2592" spans="1:7" ht="15" hidden="1" customHeight="1" x14ac:dyDescent="0.3">
      <c r="A2592" t="s">
        <v>211</v>
      </c>
      <c r="B2592" s="2">
        <v>46296</v>
      </c>
      <c r="C2592" s="52">
        <v>6489.9</v>
      </c>
      <c r="D2592" s="48">
        <f>_xlfn.XLOOKUP(expected_production[[#This Row],[Site Name]],Table1[[Site Name ]],Table1[Commisioned Date],"")</f>
        <v>45861</v>
      </c>
      <c r="E2592" s="47">
        <f>IF(ISNUMBER(expected_production[[#This Row],[Commissioned Date]]),MAX(0,(expected_production[[#This Row],[Date]]-expected_production[[#This Row],[Commissioned Date]])/365.25),"")</f>
        <v>1.1909650924024642</v>
      </c>
      <c r="F2592" s="49">
        <f>IF(expected_production[[#This Row],[Age (yrs)]]="",1,(1-DegradationRate)^expected_production[[#This Row],[Age (yrs)]])</f>
        <v>0.99166882700793424</v>
      </c>
      <c r="G2592" s="52">
        <f>IF(expected_production[[#This Row],[Base Expected (kWh)]]="","",expected_production[[#This Row],[Base Expected (kWh)]]*expected_production[[#This Row],[Degradation Factor]])</f>
        <v>6435.8315203987922</v>
      </c>
    </row>
    <row r="2593" spans="1:7" ht="15" hidden="1" customHeight="1" x14ac:dyDescent="0.3">
      <c r="A2593" t="s">
        <v>211</v>
      </c>
      <c r="B2593" s="2">
        <v>46327</v>
      </c>
      <c r="C2593" s="52">
        <v>6813.9</v>
      </c>
      <c r="D2593" s="48">
        <f>_xlfn.XLOOKUP(expected_production[[#This Row],[Site Name]],Table1[[Site Name ]],Table1[Commisioned Date],"")</f>
        <v>45861</v>
      </c>
      <c r="E2593" s="47">
        <f>IF(ISNUMBER(expected_production[[#This Row],[Commissioned Date]]),MAX(0,(expected_production[[#This Row],[Date]]-expected_production[[#This Row],[Commissioned Date]])/365.25),"")</f>
        <v>1.2758384668035592</v>
      </c>
      <c r="F2593" s="49">
        <f>IF(expected_production[[#This Row],[Age (yrs)]]="",1,(1-DegradationRate)^expected_production[[#This Row],[Age (yrs)]])</f>
        <v>0.99107776751597298</v>
      </c>
      <c r="G2593" s="52">
        <f>IF(expected_production[[#This Row],[Base Expected (kWh)]]="","",expected_production[[#This Row],[Base Expected (kWh)]]*expected_production[[#This Row],[Degradation Factor]])</f>
        <v>6753.1048000770879</v>
      </c>
    </row>
    <row r="2594" spans="1:7" ht="15" hidden="1" customHeight="1" x14ac:dyDescent="0.3">
      <c r="A2594" t="s">
        <v>211</v>
      </c>
      <c r="B2594" s="2">
        <v>46357</v>
      </c>
      <c r="C2594" s="52">
        <v>7296.3</v>
      </c>
      <c r="D2594" s="48">
        <f>_xlfn.XLOOKUP(expected_production[[#This Row],[Site Name]],Table1[[Site Name ]],Table1[Commisioned Date],"")</f>
        <v>45861</v>
      </c>
      <c r="E2594" s="47">
        <f>IF(ISNUMBER(expected_production[[#This Row],[Commissioned Date]]),MAX(0,(expected_production[[#This Row],[Date]]-expected_production[[#This Row],[Commissioned Date]])/365.25),"")</f>
        <v>1.3579739904175223</v>
      </c>
      <c r="F2594" s="49">
        <f>IF(expected_production[[#This Row],[Age (yrs)]]="",1,(1-DegradationRate)^expected_production[[#This Row],[Age (yrs)]])</f>
        <v>0.99050610988484844</v>
      </c>
      <c r="G2594" s="52">
        <f>IF(expected_production[[#This Row],[Base Expected (kWh)]]="","",expected_production[[#This Row],[Base Expected (kWh)]]*expected_production[[#This Row],[Degradation Factor]])</f>
        <v>7227.0297295528198</v>
      </c>
    </row>
    <row r="2595" spans="1:7" ht="15" hidden="1" customHeight="1" x14ac:dyDescent="0.3">
      <c r="A2595" t="s">
        <v>202</v>
      </c>
      <c r="B2595" s="2">
        <v>45292</v>
      </c>
      <c r="C2595" s="52">
        <v>28027.8</v>
      </c>
      <c r="D2595" s="48">
        <f>_xlfn.XLOOKUP(expected_production[[#This Row],[Site Name]],Table1[[Site Name ]],Table1[Commisioned Date],"")</f>
        <v>45059</v>
      </c>
      <c r="E2595" s="47">
        <f>IF(ISNUMBER(expected_production[[#This Row],[Commissioned Date]]),MAX(0,(expected_production[[#This Row],[Date]]-expected_production[[#This Row],[Commissioned Date]])/365.25),"")</f>
        <v>0.63791923340177958</v>
      </c>
      <c r="F2595" s="49">
        <f>IF(expected_production[[#This Row],[Age (yrs)]]="",1,(1-DegradationRate)^expected_production[[#This Row],[Age (yrs)]])</f>
        <v>0.99552888833824049</v>
      </c>
      <c r="G2595" s="52">
        <f>IF(expected_production[[#This Row],[Base Expected (kWh)]]="","",expected_production[[#This Row],[Base Expected (kWh)]]*expected_production[[#This Row],[Degradation Factor]])</f>
        <v>27902.484576566538</v>
      </c>
    </row>
    <row r="2596" spans="1:7" ht="15" hidden="1" customHeight="1" x14ac:dyDescent="0.3">
      <c r="A2596" t="s">
        <v>202</v>
      </c>
      <c r="B2596" s="2">
        <v>45323</v>
      </c>
      <c r="C2596" s="52">
        <v>23853.599999999999</v>
      </c>
      <c r="D2596" s="48">
        <f>_xlfn.XLOOKUP(expected_production[[#This Row],[Site Name]],Table1[[Site Name ]],Table1[Commisioned Date],"")</f>
        <v>45059</v>
      </c>
      <c r="E2596" s="47">
        <f>IF(ISNUMBER(expected_production[[#This Row],[Commissioned Date]]),MAX(0,(expected_production[[#This Row],[Date]]-expected_production[[#This Row],[Commissioned Date]])/365.25),"")</f>
        <v>0.7227926078028748</v>
      </c>
      <c r="F2596" s="49">
        <f>IF(expected_production[[#This Row],[Age (yrs)]]="",1,(1-DegradationRate)^expected_production[[#This Row],[Age (yrs)]])</f>
        <v>0.99493552815291597</v>
      </c>
      <c r="G2596" s="52">
        <f>IF(expected_production[[#This Row],[Base Expected (kWh)]]="","",expected_production[[#This Row],[Base Expected (kWh)]]*expected_production[[#This Row],[Degradation Factor]])</f>
        <v>23732.794114348395</v>
      </c>
    </row>
    <row r="2597" spans="1:7" ht="15" hidden="1" customHeight="1" x14ac:dyDescent="0.3">
      <c r="A2597" t="s">
        <v>202</v>
      </c>
      <c r="B2597" s="2">
        <v>45352</v>
      </c>
      <c r="C2597" s="52">
        <v>24144.3</v>
      </c>
      <c r="D2597" s="48">
        <f>_xlfn.XLOOKUP(expected_production[[#This Row],[Site Name]],Table1[[Site Name ]],Table1[Commisioned Date],"")</f>
        <v>45059</v>
      </c>
      <c r="E2597" s="47">
        <f>IF(ISNUMBER(expected_production[[#This Row],[Commissioned Date]]),MAX(0,(expected_production[[#This Row],[Date]]-expected_production[[#This Row],[Commissioned Date]])/365.25),"")</f>
        <v>0.80219028062970565</v>
      </c>
      <c r="F2597" s="49">
        <f>IF(expected_production[[#This Row],[Age (yrs)]]="",1,(1-DegradationRate)^expected_production[[#This Row],[Age (yrs)]])</f>
        <v>0.99438076944262244</v>
      </c>
      <c r="G2597" s="52">
        <f>IF(expected_production[[#This Row],[Base Expected (kWh)]]="","",expected_production[[#This Row],[Base Expected (kWh)]]*expected_production[[#This Row],[Degradation Factor]])</f>
        <v>24008.627611653508</v>
      </c>
    </row>
    <row r="2598" spans="1:7" ht="15" hidden="1" customHeight="1" x14ac:dyDescent="0.3">
      <c r="A2598" t="s">
        <v>202</v>
      </c>
      <c r="B2598" s="2">
        <v>45383</v>
      </c>
      <c r="C2598" s="52">
        <v>20043</v>
      </c>
      <c r="D2598" s="48">
        <f>_xlfn.XLOOKUP(expected_production[[#This Row],[Site Name]],Table1[[Site Name ]],Table1[Commisioned Date],"")</f>
        <v>45059</v>
      </c>
      <c r="E2598" s="47">
        <f>IF(ISNUMBER(expected_production[[#This Row],[Commissioned Date]]),MAX(0,(expected_production[[#This Row],[Date]]-expected_production[[#This Row],[Commissioned Date]])/365.25),"")</f>
        <v>0.88706365503080087</v>
      </c>
      <c r="F2598" s="49">
        <f>IF(expected_production[[#This Row],[Age (yrs)]]="",1,(1-DegradationRate)^expected_production[[#This Row],[Age (yrs)]])</f>
        <v>0.99378809356495457</v>
      </c>
      <c r="G2598" s="52">
        <f>IF(expected_production[[#This Row],[Base Expected (kWh)]]="","",expected_production[[#This Row],[Base Expected (kWh)]]*expected_production[[#This Row],[Degradation Factor]])</f>
        <v>19918.494759322384</v>
      </c>
    </row>
    <row r="2599" spans="1:7" ht="15" hidden="1" customHeight="1" x14ac:dyDescent="0.3">
      <c r="A2599" t="s">
        <v>202</v>
      </c>
      <c r="B2599" s="2">
        <v>45413</v>
      </c>
      <c r="C2599" s="52">
        <v>19021.5</v>
      </c>
      <c r="D2599" s="48">
        <f>_xlfn.XLOOKUP(expected_production[[#This Row],[Site Name]],Table1[[Site Name ]],Table1[Commisioned Date],"")</f>
        <v>45059</v>
      </c>
      <c r="E2599" s="47">
        <f>IF(ISNUMBER(expected_production[[#This Row],[Commissioned Date]]),MAX(0,(expected_production[[#This Row],[Date]]-expected_production[[#This Row],[Commissioned Date]])/365.25),"")</f>
        <v>0.9691991786447639</v>
      </c>
      <c r="F2599" s="49">
        <f>IF(expected_production[[#This Row],[Age (yrs)]]="",1,(1-DegradationRate)^expected_production[[#This Row],[Age (yrs)]])</f>
        <v>0.99321487260689489</v>
      </c>
      <c r="G2599" s="52">
        <f>IF(expected_production[[#This Row],[Base Expected (kWh)]]="","",expected_production[[#This Row],[Base Expected (kWh)]]*expected_production[[#This Row],[Degradation Factor]])</f>
        <v>18892.436699292051</v>
      </c>
    </row>
    <row r="2600" spans="1:7" ht="15" hidden="1" customHeight="1" x14ac:dyDescent="0.3">
      <c r="A2600" t="s">
        <v>202</v>
      </c>
      <c r="B2600" s="2">
        <v>45444</v>
      </c>
      <c r="C2600" s="52">
        <v>17054.099999999999</v>
      </c>
      <c r="D2600" s="48">
        <f>_xlfn.XLOOKUP(expected_production[[#This Row],[Site Name]],Table1[[Site Name ]],Table1[Commisioned Date],"")</f>
        <v>45059</v>
      </c>
      <c r="E2600" s="47">
        <f>IF(ISNUMBER(expected_production[[#This Row],[Commissioned Date]]),MAX(0,(expected_production[[#This Row],[Date]]-expected_production[[#This Row],[Commissioned Date]])/365.25),"")</f>
        <v>1.054072553045859</v>
      </c>
      <c r="F2600" s="49">
        <f>IF(expected_production[[#This Row],[Age (yrs)]]="",1,(1-DegradationRate)^expected_production[[#This Row],[Age (yrs)]])</f>
        <v>0.99262289163298179</v>
      </c>
      <c r="G2600" s="52">
        <f>IF(expected_production[[#This Row],[Base Expected (kWh)]]="","",expected_production[[#This Row],[Base Expected (kWh)]]*expected_production[[#This Row],[Degradation Factor]])</f>
        <v>16928.290056198035</v>
      </c>
    </row>
    <row r="2601" spans="1:7" ht="15" hidden="1" customHeight="1" x14ac:dyDescent="0.3">
      <c r="A2601" t="s">
        <v>202</v>
      </c>
      <c r="B2601" s="2">
        <v>45474</v>
      </c>
      <c r="C2601" s="52">
        <v>18900</v>
      </c>
      <c r="D2601" s="48">
        <f>_xlfn.XLOOKUP(expected_production[[#This Row],[Site Name]],Table1[[Site Name ]],Table1[Commisioned Date],"")</f>
        <v>45059</v>
      </c>
      <c r="E2601" s="47">
        <f>IF(ISNUMBER(expected_production[[#This Row],[Commissioned Date]]),MAX(0,(expected_production[[#This Row],[Date]]-expected_production[[#This Row],[Commissioned Date]])/365.25),"")</f>
        <v>1.1362080766598219</v>
      </c>
      <c r="F2601" s="49">
        <f>IF(expected_production[[#This Row],[Age (yrs)]]="",1,(1-DegradationRate)^expected_production[[#This Row],[Age (yrs)]])</f>
        <v>0.99205034276806958</v>
      </c>
      <c r="G2601" s="52">
        <f>IF(expected_production[[#This Row],[Base Expected (kWh)]]="","",expected_production[[#This Row],[Base Expected (kWh)]]*expected_production[[#This Row],[Degradation Factor]])</f>
        <v>18749.751478316513</v>
      </c>
    </row>
    <row r="2602" spans="1:7" ht="15" hidden="1" customHeight="1" x14ac:dyDescent="0.3">
      <c r="A2602" t="s">
        <v>202</v>
      </c>
      <c r="B2602" s="2">
        <v>45505</v>
      </c>
      <c r="C2602" s="52">
        <v>22066.2</v>
      </c>
      <c r="D2602" s="48">
        <f>_xlfn.XLOOKUP(expected_production[[#This Row],[Site Name]],Table1[[Site Name ]],Table1[Commisioned Date],"")</f>
        <v>45059</v>
      </c>
      <c r="E2602" s="47">
        <f>IF(ISNUMBER(expected_production[[#This Row],[Commissioned Date]]),MAX(0,(expected_production[[#This Row],[Date]]-expected_production[[#This Row],[Commissioned Date]])/365.25),"")</f>
        <v>1.2210814510609171</v>
      </c>
      <c r="F2602" s="49">
        <f>IF(expected_production[[#This Row],[Age (yrs)]]="",1,(1-DegradationRate)^expected_production[[#This Row],[Age (yrs)]])</f>
        <v>0.99145905588314687</v>
      </c>
      <c r="G2602" s="52">
        <f>IF(expected_production[[#This Row],[Base Expected (kWh)]]="","",expected_production[[#This Row],[Base Expected (kWh)]]*expected_production[[#This Row],[Degradation Factor]])</f>
        <v>21877.733818928697</v>
      </c>
    </row>
    <row r="2603" spans="1:7" ht="15" hidden="1" customHeight="1" x14ac:dyDescent="0.3">
      <c r="A2603" t="s">
        <v>202</v>
      </c>
      <c r="B2603" s="2">
        <v>45536</v>
      </c>
      <c r="C2603" s="52">
        <v>24526.799999999999</v>
      </c>
      <c r="D2603" s="48">
        <f>_xlfn.XLOOKUP(expected_production[[#This Row],[Site Name]],Table1[[Site Name ]],Table1[Commisioned Date],"")</f>
        <v>45059</v>
      </c>
      <c r="E2603" s="47">
        <f>IF(ISNUMBER(expected_production[[#This Row],[Commissioned Date]]),MAX(0,(expected_production[[#This Row],[Date]]-expected_production[[#This Row],[Commissioned Date]])/365.25),"")</f>
        <v>1.3059548254620124</v>
      </c>
      <c r="F2603" s="49">
        <f>IF(expected_production[[#This Row],[Age (yrs)]]="",1,(1-DegradationRate)^expected_production[[#This Row],[Age (yrs)]])</f>
        <v>0.990868121420037</v>
      </c>
      <c r="G2603" s="52">
        <f>IF(expected_production[[#This Row],[Base Expected (kWh)]]="","",expected_production[[#This Row],[Base Expected (kWh)]]*expected_production[[#This Row],[Degradation Factor]])</f>
        <v>24302.824240444963</v>
      </c>
    </row>
    <row r="2604" spans="1:7" ht="15" hidden="1" customHeight="1" x14ac:dyDescent="0.3">
      <c r="A2604" t="s">
        <v>202</v>
      </c>
      <c r="B2604" s="2">
        <v>45566</v>
      </c>
      <c r="C2604" s="52">
        <v>27256.5</v>
      </c>
      <c r="D2604" s="48">
        <f>_xlfn.XLOOKUP(expected_production[[#This Row],[Site Name]],Table1[[Site Name ]],Table1[Commisioned Date],"")</f>
        <v>45059</v>
      </c>
      <c r="E2604" s="47">
        <f>IF(ISNUMBER(expected_production[[#This Row],[Commissioned Date]]),MAX(0,(expected_production[[#This Row],[Date]]-expected_production[[#This Row],[Commissioned Date]])/365.25),"")</f>
        <v>1.3880903490759753</v>
      </c>
      <c r="F2604" s="49">
        <f>IF(expected_production[[#This Row],[Age (yrs)]]="",1,(1-DegradationRate)^expected_production[[#This Row],[Age (yrs)]])</f>
        <v>0.99029658471362136</v>
      </c>
      <c r="G2604" s="52">
        <f>IF(expected_production[[#This Row],[Base Expected (kWh)]]="","",expected_production[[#This Row],[Base Expected (kWh)]]*expected_production[[#This Row],[Degradation Factor]])</f>
        <v>26992.018861246819</v>
      </c>
    </row>
    <row r="2605" spans="1:7" ht="15" hidden="1" customHeight="1" x14ac:dyDescent="0.3">
      <c r="A2605" t="s">
        <v>202</v>
      </c>
      <c r="B2605" s="2">
        <v>45597</v>
      </c>
      <c r="C2605" s="52">
        <v>26973.9</v>
      </c>
      <c r="D2605" s="48">
        <f>_xlfn.XLOOKUP(expected_production[[#This Row],[Site Name]],Table1[[Site Name ]],Table1[Commisioned Date],"")</f>
        <v>45059</v>
      </c>
      <c r="E2605" s="47">
        <f>IF(ISNUMBER(expected_production[[#This Row],[Commissioned Date]]),MAX(0,(expected_production[[#This Row],[Date]]-expected_production[[#This Row],[Commissioned Date]])/365.25),"")</f>
        <v>1.4729637234770705</v>
      </c>
      <c r="F2605" s="49">
        <f>IF(expected_production[[#This Row],[Age (yrs)]]="",1,(1-DegradationRate)^expected_production[[#This Row],[Age (yrs)]])</f>
        <v>0.9897063431124834</v>
      </c>
      <c r="G2605" s="52">
        <f>IF(expected_production[[#This Row],[Base Expected (kWh)]]="","",expected_production[[#This Row],[Base Expected (kWh)]]*expected_production[[#This Row],[Degradation Factor]])</f>
        <v>26696.239928481817</v>
      </c>
    </row>
    <row r="2606" spans="1:7" ht="15" hidden="1" customHeight="1" x14ac:dyDescent="0.3">
      <c r="A2606" t="s">
        <v>202</v>
      </c>
      <c r="B2606" s="2">
        <v>45627</v>
      </c>
      <c r="C2606" s="52">
        <v>29028.6</v>
      </c>
      <c r="D2606" s="48">
        <f>_xlfn.XLOOKUP(expected_production[[#This Row],[Site Name]],Table1[[Site Name ]],Table1[Commisioned Date],"")</f>
        <v>45059</v>
      </c>
      <c r="E2606" s="47">
        <f>IF(ISNUMBER(expected_production[[#This Row],[Commissioned Date]]),MAX(0,(expected_production[[#This Row],[Date]]-expected_production[[#This Row],[Commissioned Date]])/365.25),"")</f>
        <v>1.5550992470910336</v>
      </c>
      <c r="F2606" s="49">
        <f>IF(expected_production[[#This Row],[Age (yrs)]]="",1,(1-DegradationRate)^expected_production[[#This Row],[Age (yrs)]])</f>
        <v>0.98913547652445499</v>
      </c>
      <c r="G2606" s="52">
        <f>IF(expected_production[[#This Row],[Base Expected (kWh)]]="","",expected_production[[#This Row],[Base Expected (kWh)]]*expected_production[[#This Row],[Degradation Factor]])</f>
        <v>28713.218093837793</v>
      </c>
    </row>
    <row r="2607" spans="1:7" ht="15" hidden="1" customHeight="1" x14ac:dyDescent="0.3">
      <c r="A2607" t="s">
        <v>202</v>
      </c>
      <c r="B2607" s="2">
        <v>45658</v>
      </c>
      <c r="C2607" s="52">
        <v>28027.8</v>
      </c>
      <c r="D2607" s="48">
        <f>_xlfn.XLOOKUP(expected_production[[#This Row],[Site Name]],Table1[[Site Name ]],Table1[Commisioned Date],"")</f>
        <v>45059</v>
      </c>
      <c r="E2607" s="47">
        <f>IF(ISNUMBER(expected_production[[#This Row],[Commissioned Date]]),MAX(0,(expected_production[[#This Row],[Date]]-expected_production[[#This Row],[Commissioned Date]])/365.25),"")</f>
        <v>1.6399726214921286</v>
      </c>
      <c r="F2607" s="49">
        <f>IF(expected_production[[#This Row],[Age (yrs)]]="",1,(1-DegradationRate)^expected_production[[#This Row],[Age (yrs)]])</f>
        <v>0.98854592697291832</v>
      </c>
      <c r="G2607" s="52">
        <f>IF(expected_production[[#This Row],[Base Expected (kWh)]]="","",expected_production[[#This Row],[Base Expected (kWh)]]*expected_production[[#This Row],[Degradation Factor]])</f>
        <v>27706.76753201156</v>
      </c>
    </row>
    <row r="2608" spans="1:7" ht="15" hidden="1" customHeight="1" x14ac:dyDescent="0.3">
      <c r="A2608" t="s">
        <v>202</v>
      </c>
      <c r="B2608" s="2">
        <v>45689</v>
      </c>
      <c r="C2608" s="52">
        <v>23853.599999999999</v>
      </c>
      <c r="D2608" s="48">
        <f>_xlfn.XLOOKUP(expected_production[[#This Row],[Site Name]],Table1[[Site Name ]],Table1[Commisioned Date],"")</f>
        <v>45059</v>
      </c>
      <c r="E2608" s="47">
        <f>IF(ISNUMBER(expected_production[[#This Row],[Commissioned Date]]),MAX(0,(expected_production[[#This Row],[Date]]-expected_production[[#This Row],[Commissioned Date]])/365.25),"")</f>
        <v>1.7248459958932238</v>
      </c>
      <c r="F2608" s="49">
        <f>IF(expected_production[[#This Row],[Age (yrs)]]="",1,(1-DegradationRate)^expected_production[[#This Row],[Age (yrs)]])</f>
        <v>0.98795672880770025</v>
      </c>
      <c r="G2608" s="52">
        <f>IF(expected_production[[#This Row],[Base Expected (kWh)]]="","",expected_production[[#This Row],[Base Expected (kWh)]]*expected_production[[#This Row],[Degradation Factor]])</f>
        <v>23566.324626287358</v>
      </c>
    </row>
    <row r="2609" spans="1:7" ht="15" hidden="1" customHeight="1" x14ac:dyDescent="0.3">
      <c r="A2609" t="s">
        <v>202</v>
      </c>
      <c r="B2609" s="2">
        <v>45717</v>
      </c>
      <c r="C2609" s="52">
        <v>24144.3</v>
      </c>
      <c r="D2609" s="48">
        <f>_xlfn.XLOOKUP(expected_production[[#This Row],[Site Name]],Table1[[Site Name ]],Table1[Commisioned Date],"")</f>
        <v>45059</v>
      </c>
      <c r="E2609" s="47">
        <f>IF(ISNUMBER(expected_production[[#This Row],[Commissioned Date]]),MAX(0,(expected_production[[#This Row],[Date]]-expected_production[[#This Row],[Commissioned Date]])/365.25),"")</f>
        <v>1.8015058179329226</v>
      </c>
      <c r="F2609" s="49">
        <f>IF(expected_production[[#This Row],[Age (yrs)]]="",1,(1-DegradationRate)^expected_production[[#This Row],[Age (yrs)]])</f>
        <v>0.98742485166958849</v>
      </c>
      <c r="G2609" s="52">
        <f>IF(expected_production[[#This Row],[Base Expected (kWh)]]="","",expected_production[[#This Row],[Base Expected (kWh)]]*expected_production[[#This Row],[Degradation Factor]])</f>
        <v>23840.681846166044</v>
      </c>
    </row>
    <row r="2610" spans="1:7" ht="15" hidden="1" customHeight="1" x14ac:dyDescent="0.3">
      <c r="A2610" t="s">
        <v>202</v>
      </c>
      <c r="B2610" s="2">
        <v>45748</v>
      </c>
      <c r="C2610" s="52">
        <v>20043</v>
      </c>
      <c r="D2610" s="48">
        <f>_xlfn.XLOOKUP(expected_production[[#This Row],[Site Name]],Table1[[Site Name ]],Table1[Commisioned Date],"")</f>
        <v>45059</v>
      </c>
      <c r="E2610" s="47">
        <f>IF(ISNUMBER(expected_production[[#This Row],[Commissioned Date]]),MAX(0,(expected_production[[#This Row],[Date]]-expected_production[[#This Row],[Commissioned Date]])/365.25),"")</f>
        <v>1.8863791923340179</v>
      </c>
      <c r="F2610" s="49">
        <f>IF(expected_production[[#This Row],[Age (yrs)]]="",1,(1-DegradationRate)^expected_production[[#This Row],[Age (yrs)]])</f>
        <v>0.98683632169336777</v>
      </c>
      <c r="G2610" s="52">
        <f>IF(expected_production[[#This Row],[Base Expected (kWh)]]="","",expected_production[[#This Row],[Base Expected (kWh)]]*expected_production[[#This Row],[Degradation Factor]])</f>
        <v>19779.160395700172</v>
      </c>
    </row>
    <row r="2611" spans="1:7" ht="15" hidden="1" customHeight="1" x14ac:dyDescent="0.3">
      <c r="A2611" t="s">
        <v>202</v>
      </c>
      <c r="B2611" s="2">
        <v>45778</v>
      </c>
      <c r="C2611" s="52">
        <v>19021.5</v>
      </c>
      <c r="D2611" s="48">
        <f>_xlfn.XLOOKUP(expected_production[[#This Row],[Site Name]],Table1[[Site Name ]],Table1[Commisioned Date],"")</f>
        <v>45059</v>
      </c>
      <c r="E2611" s="47">
        <f>IF(ISNUMBER(expected_production[[#This Row],[Commissioned Date]]),MAX(0,(expected_production[[#This Row],[Date]]-expected_production[[#This Row],[Commissioned Date]])/365.25),"")</f>
        <v>1.9685147159479808</v>
      </c>
      <c r="F2611" s="49">
        <f>IF(expected_production[[#This Row],[Age (yrs)]]="",1,(1-DegradationRate)^expected_production[[#This Row],[Age (yrs)]])</f>
        <v>0.98626711054520444</v>
      </c>
      <c r="G2611" s="52">
        <f>IF(expected_production[[#This Row],[Base Expected (kWh)]]="","",expected_production[[#This Row],[Base Expected (kWh)]]*expected_production[[#This Row],[Degradation Factor]])</f>
        <v>18760.279843235607</v>
      </c>
    </row>
    <row r="2612" spans="1:7" ht="15" hidden="1" customHeight="1" x14ac:dyDescent="0.3">
      <c r="A2612" t="s">
        <v>202</v>
      </c>
      <c r="B2612" s="2">
        <v>45809</v>
      </c>
      <c r="C2612" s="52">
        <v>17054.099999999999</v>
      </c>
      <c r="D2612" s="48">
        <f>_xlfn.XLOOKUP(expected_production[[#This Row],[Site Name]],Table1[[Site Name ]],Table1[Commisioned Date],"")</f>
        <v>45059</v>
      </c>
      <c r="E2612" s="47">
        <f>IF(ISNUMBER(expected_production[[#This Row],[Commissioned Date]]),MAX(0,(expected_production[[#This Row],[Date]]-expected_production[[#This Row],[Commissioned Date]])/365.25),"")</f>
        <v>2.0533880903490758</v>
      </c>
      <c r="F2612" s="49">
        <f>IF(expected_production[[#This Row],[Age (yrs)]]="",1,(1-DegradationRate)^expected_production[[#This Row],[Age (yrs)]])</f>
        <v>0.98567927061173</v>
      </c>
      <c r="G2612" s="52">
        <f>IF(expected_production[[#This Row],[Base Expected (kWh)]]="","",expected_production[[#This Row],[Base Expected (kWh)]]*expected_production[[#This Row],[Degradation Factor]])</f>
        <v>16809.872848939503</v>
      </c>
    </row>
    <row r="2613" spans="1:7" ht="15" hidden="1" customHeight="1" x14ac:dyDescent="0.3">
      <c r="A2613" t="s">
        <v>202</v>
      </c>
      <c r="B2613" s="2">
        <v>45839</v>
      </c>
      <c r="C2613" s="52">
        <v>18900</v>
      </c>
      <c r="D2613" s="48">
        <f>_xlfn.XLOOKUP(expected_production[[#This Row],[Site Name]],Table1[[Site Name ]],Table1[Commisioned Date],"")</f>
        <v>45059</v>
      </c>
      <c r="E2613" s="47">
        <f>IF(ISNUMBER(expected_production[[#This Row],[Commissioned Date]]),MAX(0,(expected_production[[#This Row],[Date]]-expected_production[[#This Row],[Commissioned Date]])/365.25),"")</f>
        <v>2.1355236139630391</v>
      </c>
      <c r="F2613" s="49">
        <f>IF(expected_production[[#This Row],[Age (yrs)]]="",1,(1-DegradationRate)^expected_production[[#This Row],[Age (yrs)]])</f>
        <v>0.98511072685527112</v>
      </c>
      <c r="G2613" s="52">
        <f>IF(expected_production[[#This Row],[Base Expected (kWh)]]="","",expected_production[[#This Row],[Base Expected (kWh)]]*expected_production[[#This Row],[Degradation Factor]])</f>
        <v>18618.592737564624</v>
      </c>
    </row>
    <row r="2614" spans="1:7" ht="15" hidden="1" customHeight="1" x14ac:dyDescent="0.3">
      <c r="A2614" t="s">
        <v>202</v>
      </c>
      <c r="B2614" s="2">
        <v>45870</v>
      </c>
      <c r="C2614" s="52">
        <v>22066.2</v>
      </c>
      <c r="D2614" s="48">
        <f>_xlfn.XLOOKUP(expected_production[[#This Row],[Site Name]],Table1[[Site Name ]],Table1[Commisioned Date],"")</f>
        <v>45059</v>
      </c>
      <c r="E2614" s="47">
        <f>IF(ISNUMBER(expected_production[[#This Row],[Commissioned Date]]),MAX(0,(expected_production[[#This Row],[Date]]-expected_production[[#This Row],[Commissioned Date]])/365.25),"")</f>
        <v>2.2203969883641341</v>
      </c>
      <c r="F2614" s="49">
        <f>IF(expected_production[[#This Row],[Age (yrs)]]="",1,(1-DegradationRate)^expected_production[[#This Row],[Age (yrs)]])</f>
        <v>0.98452357615547803</v>
      </c>
      <c r="G2614" s="52">
        <f>IF(expected_production[[#This Row],[Base Expected (kWh)]]="","",expected_production[[#This Row],[Base Expected (kWh)]]*expected_production[[#This Row],[Degradation Factor]])</f>
        <v>21724.694136162008</v>
      </c>
    </row>
    <row r="2615" spans="1:7" ht="15" hidden="1" customHeight="1" x14ac:dyDescent="0.3">
      <c r="A2615" t="s">
        <v>202</v>
      </c>
      <c r="B2615" s="2">
        <v>45901</v>
      </c>
      <c r="C2615" s="52">
        <v>24526.799999999999</v>
      </c>
      <c r="D2615" s="48">
        <f>_xlfn.XLOOKUP(expected_production[[#This Row],[Site Name]],Table1[[Site Name ]],Table1[Commisioned Date],"")</f>
        <v>45059</v>
      </c>
      <c r="E2615" s="47">
        <f>IF(ISNUMBER(expected_production[[#This Row],[Commissioned Date]]),MAX(0,(expected_production[[#This Row],[Date]]-expected_production[[#This Row],[Commissioned Date]])/365.25),"")</f>
        <v>2.3052703627652291</v>
      </c>
      <c r="F2615" s="49">
        <f>IF(expected_production[[#This Row],[Age (yrs)]]="",1,(1-DegradationRate)^expected_production[[#This Row],[Age (yrs)]])</f>
        <v>0.98393677541222779</v>
      </c>
      <c r="G2615" s="52">
        <f>IF(expected_production[[#This Row],[Base Expected (kWh)]]="","",expected_production[[#This Row],[Base Expected (kWh)]]*expected_production[[#This Row],[Degradation Factor]])</f>
        <v>24132.820503180628</v>
      </c>
    </row>
    <row r="2616" spans="1:7" ht="15" hidden="1" customHeight="1" x14ac:dyDescent="0.3">
      <c r="A2616" t="s">
        <v>202</v>
      </c>
      <c r="B2616" s="2">
        <v>45931</v>
      </c>
      <c r="C2616" s="52">
        <v>27256.5</v>
      </c>
      <c r="D2616" s="48">
        <f>_xlfn.XLOOKUP(expected_production[[#This Row],[Site Name]],Table1[[Site Name ]],Table1[Commisioned Date],"")</f>
        <v>45059</v>
      </c>
      <c r="E2616" s="47">
        <f>IF(ISNUMBER(expected_production[[#This Row],[Commissioned Date]]),MAX(0,(expected_production[[#This Row],[Date]]-expected_production[[#This Row],[Commissioned Date]])/365.25),"")</f>
        <v>2.3874058863791925</v>
      </c>
      <c r="F2616" s="49">
        <f>IF(expected_production[[#This Row],[Age (yrs)]]="",1,(1-DegradationRate)^expected_production[[#This Row],[Age (yrs)]])</f>
        <v>0.98336923673398835</v>
      </c>
      <c r="G2616" s="52">
        <f>IF(expected_production[[#This Row],[Base Expected (kWh)]]="","",expected_production[[#This Row],[Base Expected (kWh)]]*expected_production[[#This Row],[Degradation Factor]])</f>
        <v>26803.203601039953</v>
      </c>
    </row>
    <row r="2617" spans="1:7" ht="15" hidden="1" customHeight="1" x14ac:dyDescent="0.3">
      <c r="A2617" t="s">
        <v>202</v>
      </c>
      <c r="B2617" s="2">
        <v>45962</v>
      </c>
      <c r="C2617" s="52">
        <v>26973.9</v>
      </c>
      <c r="D2617" s="48">
        <f>_xlfn.XLOOKUP(expected_production[[#This Row],[Site Name]],Table1[[Site Name ]],Table1[Commisioned Date],"")</f>
        <v>45059</v>
      </c>
      <c r="E2617" s="47">
        <f>IF(ISNUMBER(expected_production[[#This Row],[Commissioned Date]]),MAX(0,(expected_production[[#This Row],[Date]]-expected_production[[#This Row],[Commissioned Date]])/365.25),"")</f>
        <v>2.4722792607802875</v>
      </c>
      <c r="F2617" s="49">
        <f>IF(expected_production[[#This Row],[Age (yrs)]]="",1,(1-DegradationRate)^expected_production[[#This Row],[Age (yrs)]])</f>
        <v>0.98278312400598411</v>
      </c>
      <c r="G2617" s="52">
        <f>IF(expected_production[[#This Row],[Base Expected (kWh)]]="","",expected_production[[#This Row],[Base Expected (kWh)]]*expected_production[[#This Row],[Degradation Factor]])</f>
        <v>26509.493708625017</v>
      </c>
    </row>
    <row r="2618" spans="1:7" ht="15" hidden="1" customHeight="1" x14ac:dyDescent="0.3">
      <c r="A2618" t="s">
        <v>202</v>
      </c>
      <c r="B2618" s="2">
        <v>45992</v>
      </c>
      <c r="C2618" s="52">
        <v>29028.6</v>
      </c>
      <c r="D2618" s="48">
        <f>_xlfn.XLOOKUP(expected_production[[#This Row],[Site Name]],Table1[[Site Name ]],Table1[Commisioned Date],"")</f>
        <v>45059</v>
      </c>
      <c r="E2618" s="47">
        <f>IF(ISNUMBER(expected_production[[#This Row],[Commissioned Date]]),MAX(0,(expected_production[[#This Row],[Date]]-expected_production[[#This Row],[Commissioned Date]])/365.25),"")</f>
        <v>2.5544147843942504</v>
      </c>
      <c r="F2618" s="49">
        <f>IF(expected_production[[#This Row],[Age (yrs)]]="",1,(1-DegradationRate)^expected_production[[#This Row],[Age (yrs)]])</f>
        <v>0.98221625075850261</v>
      </c>
      <c r="G2618" s="52">
        <f>IF(expected_production[[#This Row],[Base Expected (kWh)]]="","",expected_production[[#This Row],[Base Expected (kWh)]]*expected_production[[#This Row],[Degradation Factor]])</f>
        <v>28512.362656768266</v>
      </c>
    </row>
    <row r="2619" spans="1:7" ht="15" hidden="1" customHeight="1" x14ac:dyDescent="0.3">
      <c r="A2619" t="s">
        <v>202</v>
      </c>
      <c r="B2619" s="2">
        <v>46023</v>
      </c>
      <c r="C2619" s="52">
        <v>28027.8</v>
      </c>
      <c r="D2619" s="48">
        <f>_xlfn.XLOOKUP(expected_production[[#This Row],[Site Name]],Table1[[Site Name ]],Table1[Commisioned Date],"")</f>
        <v>45059</v>
      </c>
      <c r="E2619" s="47">
        <f>IF(ISNUMBER(expected_production[[#This Row],[Commissioned Date]]),MAX(0,(expected_production[[#This Row],[Date]]-expected_production[[#This Row],[Commissioned Date]])/365.25),"")</f>
        <v>2.6392881587953458</v>
      </c>
      <c r="F2619" s="49">
        <f>IF(expected_production[[#This Row],[Age (yrs)]]="",1,(1-DegradationRate)^expected_production[[#This Row],[Age (yrs)]])</f>
        <v>0.98163082523905676</v>
      </c>
      <c r="G2619" s="52">
        <f>IF(expected_production[[#This Row],[Base Expected (kWh)]]="","",expected_production[[#This Row],[Base Expected (kWh)]]*expected_production[[#This Row],[Degradation Factor]])</f>
        <v>27512.952443635233</v>
      </c>
    </row>
    <row r="2620" spans="1:7" ht="15" hidden="1" customHeight="1" x14ac:dyDescent="0.3">
      <c r="A2620" t="s">
        <v>202</v>
      </c>
      <c r="B2620" s="2">
        <v>46054</v>
      </c>
      <c r="C2620" s="52">
        <v>23853.599999999999</v>
      </c>
      <c r="D2620" s="48">
        <f>_xlfn.XLOOKUP(expected_production[[#This Row],[Site Name]],Table1[[Site Name ]],Table1[Commisioned Date],"")</f>
        <v>45059</v>
      </c>
      <c r="E2620" s="47">
        <f>IF(ISNUMBER(expected_production[[#This Row],[Commissioned Date]]),MAX(0,(expected_production[[#This Row],[Date]]-expected_production[[#This Row],[Commissioned Date]])/365.25),"")</f>
        <v>2.7241615331964408</v>
      </c>
      <c r="F2620" s="49">
        <f>IF(expected_production[[#This Row],[Age (yrs)]]="",1,(1-DegradationRate)^expected_production[[#This Row],[Age (yrs)]])</f>
        <v>0.98104574864790284</v>
      </c>
      <c r="G2620" s="52">
        <f>IF(expected_production[[#This Row],[Base Expected (kWh)]]="","",expected_production[[#This Row],[Base Expected (kWh)]]*expected_production[[#This Row],[Degradation Factor]])</f>
        <v>23401.472869947615</v>
      </c>
    </row>
    <row r="2621" spans="1:7" ht="15" hidden="1" customHeight="1" x14ac:dyDescent="0.3">
      <c r="A2621" t="s">
        <v>202</v>
      </c>
      <c r="B2621" s="2">
        <v>46082</v>
      </c>
      <c r="C2621" s="52">
        <v>24144.3</v>
      </c>
      <c r="D2621" s="48">
        <f>_xlfn.XLOOKUP(expected_production[[#This Row],[Site Name]],Table1[[Site Name ]],Table1[Commisioned Date],"")</f>
        <v>45059</v>
      </c>
      <c r="E2621" s="47">
        <f>IF(ISNUMBER(expected_production[[#This Row],[Commissioned Date]]),MAX(0,(expected_production[[#This Row],[Date]]-expected_production[[#This Row],[Commissioned Date]])/365.25),"")</f>
        <v>2.8008213552361396</v>
      </c>
      <c r="F2621" s="49">
        <f>IF(expected_production[[#This Row],[Age (yrs)]]="",1,(1-DegradationRate)^expected_production[[#This Row],[Age (yrs)]])</f>
        <v>0.98051759211034151</v>
      </c>
      <c r="G2621" s="52">
        <f>IF(expected_production[[#This Row],[Base Expected (kWh)]]="","",expected_production[[#This Row],[Base Expected (kWh)]]*expected_production[[#This Row],[Degradation Factor]])</f>
        <v>23673.910899189719</v>
      </c>
    </row>
    <row r="2622" spans="1:7" ht="15" hidden="1" customHeight="1" x14ac:dyDescent="0.3">
      <c r="A2622" t="s">
        <v>202</v>
      </c>
      <c r="B2622" s="2">
        <v>46113</v>
      </c>
      <c r="C2622" s="52">
        <v>20043</v>
      </c>
      <c r="D2622" s="48">
        <f>_xlfn.XLOOKUP(expected_production[[#This Row],[Site Name]],Table1[[Site Name ]],Table1[Commisioned Date],"")</f>
        <v>45059</v>
      </c>
      <c r="E2622" s="47">
        <f>IF(ISNUMBER(expected_production[[#This Row],[Commissioned Date]]),MAX(0,(expected_production[[#This Row],[Date]]-expected_production[[#This Row],[Commissioned Date]])/365.25),"")</f>
        <v>2.8856947296372346</v>
      </c>
      <c r="F2622" s="49">
        <f>IF(expected_production[[#This Row],[Age (yrs)]]="",1,(1-DegradationRate)^expected_production[[#This Row],[Age (yrs)]])</f>
        <v>0.97993317903405219</v>
      </c>
      <c r="G2622" s="52">
        <f>IF(expected_production[[#This Row],[Base Expected (kWh)]]="","",expected_production[[#This Row],[Base Expected (kWh)]]*expected_production[[#This Row],[Degradation Factor]])</f>
        <v>19640.800707379509</v>
      </c>
    </row>
    <row r="2623" spans="1:7" ht="15" hidden="1" customHeight="1" x14ac:dyDescent="0.3">
      <c r="A2623" t="s">
        <v>202</v>
      </c>
      <c r="B2623" s="2">
        <v>46143</v>
      </c>
      <c r="C2623" s="52">
        <v>19021.5</v>
      </c>
      <c r="D2623" s="48">
        <f>_xlfn.XLOOKUP(expected_production[[#This Row],[Site Name]],Table1[[Site Name ]],Table1[Commisioned Date],"")</f>
        <v>45059</v>
      </c>
      <c r="E2623" s="47">
        <f>IF(ISNUMBER(expected_production[[#This Row],[Commissioned Date]]),MAX(0,(expected_production[[#This Row],[Date]]-expected_production[[#This Row],[Commissioned Date]])/365.25),"")</f>
        <v>2.967830253251198</v>
      </c>
      <c r="F2623" s="49">
        <f>IF(expected_production[[#This Row],[Age (yrs)]]="",1,(1-DegradationRate)^expected_production[[#This Row],[Age (yrs)]])</f>
        <v>0.97936794964626062</v>
      </c>
      <c r="G2623" s="52">
        <f>IF(expected_production[[#This Row],[Base Expected (kWh)]]="","",expected_production[[#This Row],[Base Expected (kWh)]]*expected_production[[#This Row],[Degradation Factor]])</f>
        <v>18629.047454196345</v>
      </c>
    </row>
    <row r="2624" spans="1:7" ht="15" hidden="1" customHeight="1" x14ac:dyDescent="0.3">
      <c r="A2624" t="s">
        <v>202</v>
      </c>
      <c r="B2624" s="2">
        <v>46174</v>
      </c>
      <c r="C2624" s="52">
        <v>17054.099999999999</v>
      </c>
      <c r="D2624" s="48">
        <f>_xlfn.XLOOKUP(expected_production[[#This Row],[Site Name]],Table1[[Site Name ]],Table1[Commisioned Date],"")</f>
        <v>45059</v>
      </c>
      <c r="E2624" s="47">
        <f>IF(ISNUMBER(expected_production[[#This Row],[Commissioned Date]]),MAX(0,(expected_production[[#This Row],[Date]]-expected_production[[#This Row],[Commissioned Date]])/365.25),"")</f>
        <v>3.052703627652293</v>
      </c>
      <c r="F2624" s="49">
        <f>IF(expected_production[[#This Row],[Age (yrs)]]="",1,(1-DegradationRate)^expected_production[[#This Row],[Age (yrs)]])</f>
        <v>0.978784221785713</v>
      </c>
      <c r="G2624" s="52">
        <f>IF(expected_production[[#This Row],[Base Expected (kWh)]]="","",expected_production[[#This Row],[Base Expected (kWh)]]*expected_production[[#This Row],[Degradation Factor]])</f>
        <v>16692.283996755727</v>
      </c>
    </row>
    <row r="2625" spans="1:7" ht="15" hidden="1" customHeight="1" x14ac:dyDescent="0.3">
      <c r="A2625" t="s">
        <v>202</v>
      </c>
      <c r="B2625" s="2">
        <v>46204</v>
      </c>
      <c r="C2625" s="52">
        <v>18900</v>
      </c>
      <c r="D2625" s="48">
        <f>_xlfn.XLOOKUP(expected_production[[#This Row],[Site Name]],Table1[[Site Name ]],Table1[Commisioned Date],"")</f>
        <v>45059</v>
      </c>
      <c r="E2625" s="47">
        <f>IF(ISNUMBER(expected_production[[#This Row],[Commissioned Date]]),MAX(0,(expected_production[[#This Row],[Date]]-expected_production[[#This Row],[Commissioned Date]])/365.25),"")</f>
        <v>3.1348391512662559</v>
      </c>
      <c r="F2625" s="49">
        <f>IF(expected_production[[#This Row],[Age (yrs)]]="",1,(1-DegradationRate)^expected_production[[#This Row],[Age (yrs)]])</f>
        <v>0.97821965512107012</v>
      </c>
      <c r="G2625" s="52">
        <f>IF(expected_production[[#This Row],[Base Expected (kWh)]]="","",expected_production[[#This Row],[Base Expected (kWh)]]*expected_production[[#This Row],[Degradation Factor]])</f>
        <v>18488.351481788224</v>
      </c>
    </row>
    <row r="2626" spans="1:7" ht="15" hidden="1" customHeight="1" x14ac:dyDescent="0.3">
      <c r="A2626" t="s">
        <v>202</v>
      </c>
      <c r="B2626" s="2">
        <v>46235</v>
      </c>
      <c r="C2626" s="52">
        <v>22066.2</v>
      </c>
      <c r="D2626" s="48">
        <f>_xlfn.XLOOKUP(expected_production[[#This Row],[Site Name]],Table1[[Site Name ]],Table1[Commisioned Date],"")</f>
        <v>45059</v>
      </c>
      <c r="E2626" s="47">
        <f>IF(ISNUMBER(expected_production[[#This Row],[Commissioned Date]]),MAX(0,(expected_production[[#This Row],[Date]]-expected_production[[#This Row],[Commissioned Date]])/365.25),"")</f>
        <v>3.2197125256673513</v>
      </c>
      <c r="F2626" s="49">
        <f>IF(expected_production[[#This Row],[Age (yrs)]]="",1,(1-DegradationRate)^expected_production[[#This Row],[Age (yrs)]])</f>
        <v>0.97763661167285887</v>
      </c>
      <c r="G2626" s="52">
        <f>IF(expected_production[[#This Row],[Base Expected (kWh)]]="","",expected_production[[#This Row],[Base Expected (kWh)]]*expected_production[[#This Row],[Degradation Factor]])</f>
        <v>21572.72500049564</v>
      </c>
    </row>
    <row r="2627" spans="1:7" ht="15" hidden="1" customHeight="1" x14ac:dyDescent="0.3">
      <c r="A2627" t="s">
        <v>202</v>
      </c>
      <c r="B2627" s="2">
        <v>46266</v>
      </c>
      <c r="C2627" s="52">
        <v>24526.799999999999</v>
      </c>
      <c r="D2627" s="48">
        <f>_xlfn.XLOOKUP(expected_production[[#This Row],[Site Name]],Table1[[Site Name ]],Table1[Commisioned Date],"")</f>
        <v>45059</v>
      </c>
      <c r="E2627" s="47">
        <f>IF(ISNUMBER(expected_production[[#This Row],[Commissioned Date]]),MAX(0,(expected_production[[#This Row],[Date]]-expected_production[[#This Row],[Commissioned Date]])/365.25),"")</f>
        <v>3.3045859000684463</v>
      </c>
      <c r="F2627" s="49">
        <f>IF(expected_production[[#This Row],[Age (yrs)]]="",1,(1-DegradationRate)^expected_production[[#This Row],[Age (yrs)]])</f>
        <v>0.97705391573316536</v>
      </c>
      <c r="G2627" s="52">
        <f>IF(expected_production[[#This Row],[Base Expected (kWh)]]="","",expected_production[[#This Row],[Base Expected (kWh)]]*expected_production[[#This Row],[Degradation Factor]])</f>
        <v>23964.005980404199</v>
      </c>
    </row>
    <row r="2628" spans="1:7" ht="15" hidden="1" customHeight="1" x14ac:dyDescent="0.3">
      <c r="A2628" t="s">
        <v>202</v>
      </c>
      <c r="B2628" s="2">
        <v>46296</v>
      </c>
      <c r="C2628" s="52">
        <v>27256.5</v>
      </c>
      <c r="D2628" s="48">
        <f>_xlfn.XLOOKUP(expected_production[[#This Row],[Site Name]],Table1[[Site Name ]],Table1[Commisioned Date],"")</f>
        <v>45059</v>
      </c>
      <c r="E2628" s="47">
        <f>IF(ISNUMBER(expected_production[[#This Row],[Commissioned Date]]),MAX(0,(expected_production[[#This Row],[Date]]-expected_production[[#This Row],[Commissioned Date]])/365.25),"")</f>
        <v>3.3867214236824092</v>
      </c>
      <c r="F2628" s="49">
        <f>IF(expected_production[[#This Row],[Age (yrs)]]="",1,(1-DegradationRate)^expected_production[[#This Row],[Age (yrs)]])</f>
        <v>0.97649034711599325</v>
      </c>
      <c r="G2628" s="52">
        <f>IF(expected_production[[#This Row],[Base Expected (kWh)]]="","",expected_production[[#This Row],[Base Expected (kWh)]]*expected_production[[#This Row],[Degradation Factor]])</f>
        <v>26615.709146167072</v>
      </c>
    </row>
    <row r="2629" spans="1:7" ht="15" hidden="1" customHeight="1" x14ac:dyDescent="0.3">
      <c r="A2629" t="s">
        <v>202</v>
      </c>
      <c r="B2629" s="2">
        <v>46327</v>
      </c>
      <c r="C2629" s="52">
        <v>26973.9</v>
      </c>
      <c r="D2629" s="48">
        <f>_xlfn.XLOOKUP(expected_production[[#This Row],[Site Name]],Table1[[Site Name ]],Table1[Commisioned Date],"")</f>
        <v>45059</v>
      </c>
      <c r="E2629" s="47">
        <f>IF(ISNUMBER(expected_production[[#This Row],[Commissioned Date]]),MAX(0,(expected_production[[#This Row],[Date]]-expected_production[[#This Row],[Commissioned Date]])/365.25),"")</f>
        <v>3.4715947980835042</v>
      </c>
      <c r="F2629" s="49">
        <f>IF(expected_production[[#This Row],[Age (yrs)]]="",1,(1-DegradationRate)^expected_production[[#This Row],[Age (yrs)]])</f>
        <v>0.97590833437872404</v>
      </c>
      <c r="G2629" s="52">
        <f>IF(expected_production[[#This Row],[Base Expected (kWh)]]="","",expected_production[[#This Row],[Base Expected (kWh)]]*expected_production[[#This Row],[Degradation Factor]])</f>
        <v>26324.053820698267</v>
      </c>
    </row>
    <row r="2630" spans="1:7" ht="15" hidden="1" customHeight="1" x14ac:dyDescent="0.3">
      <c r="A2630" t="s">
        <v>202</v>
      </c>
      <c r="B2630" s="2">
        <v>46357</v>
      </c>
      <c r="C2630" s="52">
        <v>29028.6</v>
      </c>
      <c r="D2630" s="48">
        <f>_xlfn.XLOOKUP(expected_production[[#This Row],[Site Name]],Table1[[Site Name ]],Table1[Commisioned Date],"")</f>
        <v>45059</v>
      </c>
      <c r="E2630" s="47">
        <f>IF(ISNUMBER(expected_production[[#This Row],[Commissioned Date]]),MAX(0,(expected_production[[#This Row],[Date]]-expected_production[[#This Row],[Commissioned Date]])/365.25),"")</f>
        <v>3.5537303216974676</v>
      </c>
      <c r="F2630" s="49">
        <f>IF(expected_production[[#This Row],[Age (yrs)]]="",1,(1-DegradationRate)^expected_production[[#This Row],[Age (yrs)]])</f>
        <v>0.97534542653747158</v>
      </c>
      <c r="G2630" s="52">
        <f>IF(expected_production[[#This Row],[Base Expected (kWh)]]="","",expected_production[[#This Row],[Base Expected (kWh)]]*expected_production[[#This Row],[Degradation Factor]])</f>
        <v>28312.912248785648</v>
      </c>
    </row>
    <row r="2631" spans="1:7" ht="15" hidden="1" customHeight="1" x14ac:dyDescent="0.3">
      <c r="A2631" t="s">
        <v>206</v>
      </c>
      <c r="B2631" s="2">
        <v>45292</v>
      </c>
      <c r="C2631" s="52"/>
      <c r="D2631" s="48">
        <f>_xlfn.XLOOKUP(expected_production[[#This Row],[Site Name]],Table1[[Site Name ]],Table1[Commisioned Date],"")</f>
        <v>45188</v>
      </c>
      <c r="E2631" s="47">
        <f>IF(ISNUMBER(expected_production[[#This Row],[Commissioned Date]]),MAX(0,(expected_production[[#This Row],[Date]]-expected_production[[#This Row],[Commissioned Date]])/365.25),"")</f>
        <v>0.28473648186173856</v>
      </c>
      <c r="F2631" s="49">
        <f>IF(expected_production[[#This Row],[Age (yrs)]]="",1,(1-DegradationRate)^expected_production[[#This Row],[Age (yrs)]])</f>
        <v>0.99800183485172089</v>
      </c>
      <c r="G2631" s="52" t="str">
        <f>IF(expected_production[[#This Row],[Base Expected (kWh)]]="","",expected_production[[#This Row],[Base Expected (kWh)]]*expected_production[[#This Row],[Degradation Factor]])</f>
        <v/>
      </c>
    </row>
    <row r="2632" spans="1:7" ht="15" hidden="1" customHeight="1" x14ac:dyDescent="0.3">
      <c r="A2632" t="s">
        <v>206</v>
      </c>
      <c r="B2632" s="2">
        <v>45323</v>
      </c>
      <c r="C2632" s="52"/>
      <c r="D2632" s="48">
        <f>_xlfn.XLOOKUP(expected_production[[#This Row],[Site Name]],Table1[[Site Name ]],Table1[Commisioned Date],"")</f>
        <v>45188</v>
      </c>
      <c r="E2632" s="47">
        <f>IF(ISNUMBER(expected_production[[#This Row],[Commissioned Date]]),MAX(0,(expected_production[[#This Row],[Date]]-expected_production[[#This Row],[Commissioned Date]])/365.25),"")</f>
        <v>0.36960985626283366</v>
      </c>
      <c r="F2632" s="49">
        <f>IF(expected_production[[#This Row],[Age (yrs)]]="",1,(1-DegradationRate)^expected_production[[#This Row],[Age (yrs)]])</f>
        <v>0.99740700072825283</v>
      </c>
      <c r="G2632" s="52" t="str">
        <f>IF(expected_production[[#This Row],[Base Expected (kWh)]]="","",expected_production[[#This Row],[Base Expected (kWh)]]*expected_production[[#This Row],[Degradation Factor]])</f>
        <v/>
      </c>
    </row>
    <row r="2633" spans="1:7" ht="15" hidden="1" customHeight="1" x14ac:dyDescent="0.3">
      <c r="A2633" t="s">
        <v>206</v>
      </c>
      <c r="B2633" s="2">
        <v>45352</v>
      </c>
      <c r="C2633" s="52"/>
      <c r="D2633" s="48">
        <f>_xlfn.XLOOKUP(expected_production[[#This Row],[Site Name]],Table1[[Site Name ]],Table1[Commisioned Date],"")</f>
        <v>45188</v>
      </c>
      <c r="E2633" s="47">
        <f>IF(ISNUMBER(expected_production[[#This Row],[Commissioned Date]]),MAX(0,(expected_production[[#This Row],[Date]]-expected_production[[#This Row],[Commissioned Date]])/365.25),"")</f>
        <v>0.44900752908966463</v>
      </c>
      <c r="F2633" s="49">
        <f>IF(expected_production[[#This Row],[Age (yrs)]]="",1,(1-DegradationRate)^expected_production[[#This Row],[Age (yrs)]])</f>
        <v>0.99685086396792522</v>
      </c>
      <c r="G2633" s="52" t="str">
        <f>IF(expected_production[[#This Row],[Base Expected (kWh)]]="","",expected_production[[#This Row],[Base Expected (kWh)]]*expected_production[[#This Row],[Degradation Factor]])</f>
        <v/>
      </c>
    </row>
    <row r="2634" spans="1:7" ht="15" hidden="1" customHeight="1" x14ac:dyDescent="0.3">
      <c r="A2634" t="s">
        <v>206</v>
      </c>
      <c r="B2634" s="2">
        <v>45383</v>
      </c>
      <c r="C2634" s="52"/>
      <c r="D2634" s="48">
        <f>_xlfn.XLOOKUP(expected_production[[#This Row],[Site Name]],Table1[[Site Name ]],Table1[Commisioned Date],"")</f>
        <v>45188</v>
      </c>
      <c r="E2634" s="47">
        <f>IF(ISNUMBER(expected_production[[#This Row],[Commissioned Date]]),MAX(0,(expected_production[[#This Row],[Date]]-expected_production[[#This Row],[Commissioned Date]])/365.25),"")</f>
        <v>0.53388090349075978</v>
      </c>
      <c r="F2634" s="49">
        <f>IF(expected_production[[#This Row],[Age (yrs)]]="",1,(1-DegradationRate)^expected_production[[#This Row],[Age (yrs)]])</f>
        <v>0.99625671585197029</v>
      </c>
      <c r="G2634" s="52" t="str">
        <f>IF(expected_production[[#This Row],[Base Expected (kWh)]]="","",expected_production[[#This Row],[Base Expected (kWh)]]*expected_production[[#This Row],[Degradation Factor]])</f>
        <v/>
      </c>
    </row>
    <row r="2635" spans="1:7" ht="15" hidden="1" customHeight="1" x14ac:dyDescent="0.3">
      <c r="A2635" t="s">
        <v>206</v>
      </c>
      <c r="B2635" s="2">
        <v>45413</v>
      </c>
      <c r="C2635" s="52"/>
      <c r="D2635" s="48">
        <f>_xlfn.XLOOKUP(expected_production[[#This Row],[Site Name]],Table1[[Site Name ]],Table1[Commisioned Date],"")</f>
        <v>45188</v>
      </c>
      <c r="E2635" s="47">
        <f>IF(ISNUMBER(expected_production[[#This Row],[Commissioned Date]]),MAX(0,(expected_production[[#This Row],[Date]]-expected_production[[#This Row],[Commissioned Date]])/365.25),"")</f>
        <v>0.61601642710472282</v>
      </c>
      <c r="F2635" s="49">
        <f>IF(expected_production[[#This Row],[Age (yrs)]]="",1,(1-DegradationRate)^expected_production[[#This Row],[Age (yrs)]])</f>
        <v>0.99568207098267481</v>
      </c>
      <c r="G2635" s="52" t="str">
        <f>IF(expected_production[[#This Row],[Base Expected (kWh)]]="","",expected_production[[#This Row],[Base Expected (kWh)]]*expected_production[[#This Row],[Degradation Factor]])</f>
        <v/>
      </c>
    </row>
    <row r="2636" spans="1:7" ht="15" hidden="1" customHeight="1" x14ac:dyDescent="0.3">
      <c r="A2636" t="s">
        <v>206</v>
      </c>
      <c r="B2636" s="2">
        <v>45444</v>
      </c>
      <c r="C2636" s="52"/>
      <c r="D2636" s="48">
        <f>_xlfn.XLOOKUP(expected_production[[#This Row],[Site Name]],Table1[[Site Name ]],Table1[Commisioned Date],"")</f>
        <v>45188</v>
      </c>
      <c r="E2636" s="47">
        <f>IF(ISNUMBER(expected_production[[#This Row],[Commissioned Date]]),MAX(0,(expected_production[[#This Row],[Date]]-expected_production[[#This Row],[Commissioned Date]])/365.25),"")</f>
        <v>0.70088980150581792</v>
      </c>
      <c r="F2636" s="49">
        <f>IF(expected_production[[#This Row],[Age (yrs)]]="",1,(1-DegradationRate)^expected_production[[#This Row],[Age (yrs)]])</f>
        <v>0.99508861949665228</v>
      </c>
      <c r="G2636" s="52" t="str">
        <f>IF(expected_production[[#This Row],[Base Expected (kWh)]]="","",expected_production[[#This Row],[Base Expected (kWh)]]*expected_production[[#This Row],[Degradation Factor]])</f>
        <v/>
      </c>
    </row>
    <row r="2637" spans="1:7" ht="15" hidden="1" customHeight="1" x14ac:dyDescent="0.3">
      <c r="A2637" t="s">
        <v>206</v>
      </c>
      <c r="B2637" s="2">
        <v>45474</v>
      </c>
      <c r="C2637" s="52"/>
      <c r="D2637" s="48">
        <f>_xlfn.XLOOKUP(expected_production[[#This Row],[Site Name]],Table1[[Site Name ]],Table1[Commisioned Date],"")</f>
        <v>45188</v>
      </c>
      <c r="E2637" s="47">
        <f>IF(ISNUMBER(expected_production[[#This Row],[Commissioned Date]]),MAX(0,(expected_production[[#This Row],[Date]]-expected_production[[#This Row],[Commissioned Date]])/365.25),"")</f>
        <v>0.78302532511978096</v>
      </c>
      <c r="F2637" s="49">
        <f>IF(expected_production[[#This Row],[Age (yrs)]]="",1,(1-DegradationRate)^expected_production[[#This Row],[Age (yrs)]])</f>
        <v>0.99451464839001935</v>
      </c>
      <c r="G2637" s="52" t="str">
        <f>IF(expected_production[[#This Row],[Base Expected (kWh)]]="","",expected_production[[#This Row],[Base Expected (kWh)]]*expected_production[[#This Row],[Degradation Factor]])</f>
        <v/>
      </c>
    </row>
    <row r="2638" spans="1:7" ht="15" hidden="1" customHeight="1" x14ac:dyDescent="0.3">
      <c r="A2638" t="s">
        <v>206</v>
      </c>
      <c r="B2638" s="2">
        <v>45505</v>
      </c>
      <c r="C2638" s="52"/>
      <c r="D2638" s="48">
        <f>_xlfn.XLOOKUP(expected_production[[#This Row],[Site Name]],Table1[[Site Name ]],Table1[Commisioned Date],"")</f>
        <v>45188</v>
      </c>
      <c r="E2638" s="47">
        <f>IF(ISNUMBER(expected_production[[#This Row],[Commissioned Date]]),MAX(0,(expected_production[[#This Row],[Date]]-expected_production[[#This Row],[Commissioned Date]])/365.25),"")</f>
        <v>0.86789869952087606</v>
      </c>
      <c r="F2638" s="49">
        <f>IF(expected_production[[#This Row],[Age (yrs)]]="",1,(1-DegradationRate)^expected_production[[#This Row],[Age (yrs)]])</f>
        <v>0.99392189271714115</v>
      </c>
      <c r="G2638" s="52" t="str">
        <f>IF(expected_production[[#This Row],[Base Expected (kWh)]]="","",expected_production[[#This Row],[Base Expected (kWh)]]*expected_production[[#This Row],[Degradation Factor]])</f>
        <v/>
      </c>
    </row>
    <row r="2639" spans="1:7" ht="15" hidden="1" customHeight="1" x14ac:dyDescent="0.3">
      <c r="A2639" t="s">
        <v>206</v>
      </c>
      <c r="B2639" s="2">
        <v>45536</v>
      </c>
      <c r="C2639" s="52"/>
      <c r="D2639" s="48">
        <f>_xlfn.XLOOKUP(expected_production[[#This Row],[Site Name]],Table1[[Site Name ]],Table1[Commisioned Date],"")</f>
        <v>45188</v>
      </c>
      <c r="E2639" s="47">
        <f>IF(ISNUMBER(expected_production[[#This Row],[Commissioned Date]]),MAX(0,(expected_production[[#This Row],[Date]]-expected_production[[#This Row],[Commissioned Date]])/365.25),"")</f>
        <v>0.95277207392197127</v>
      </c>
      <c r="F2639" s="49">
        <f>IF(expected_production[[#This Row],[Age (yrs)]]="",1,(1-DegradationRate)^expected_production[[#This Row],[Age (yrs)]])</f>
        <v>0.99332949034151019</v>
      </c>
      <c r="G2639" s="52" t="str">
        <f>IF(expected_production[[#This Row],[Base Expected (kWh)]]="","",expected_production[[#This Row],[Base Expected (kWh)]]*expected_production[[#This Row],[Degradation Factor]])</f>
        <v/>
      </c>
    </row>
    <row r="2640" spans="1:7" ht="15" hidden="1" customHeight="1" x14ac:dyDescent="0.3">
      <c r="A2640" t="s">
        <v>206</v>
      </c>
      <c r="B2640" s="2">
        <v>45566</v>
      </c>
      <c r="C2640" s="52"/>
      <c r="D2640" s="48">
        <f>_xlfn.XLOOKUP(expected_production[[#This Row],[Site Name]],Table1[[Site Name ]],Table1[Commisioned Date],"")</f>
        <v>45188</v>
      </c>
      <c r="E2640" s="47">
        <f>IF(ISNUMBER(expected_production[[#This Row],[Commissioned Date]]),MAX(0,(expected_production[[#This Row],[Date]]-expected_production[[#This Row],[Commissioned Date]])/365.25),"")</f>
        <v>1.0349075975359343</v>
      </c>
      <c r="F2640" s="49">
        <f>IF(expected_production[[#This Row],[Age (yrs)]]="",1,(1-DegradationRate)^expected_production[[#This Row],[Age (yrs)]])</f>
        <v>0.99275653390762908</v>
      </c>
      <c r="G2640" s="52" t="str">
        <f>IF(expected_production[[#This Row],[Base Expected (kWh)]]="","",expected_production[[#This Row],[Base Expected (kWh)]]*expected_production[[#This Row],[Degradation Factor]])</f>
        <v/>
      </c>
    </row>
    <row r="2641" spans="1:7" ht="15" hidden="1" customHeight="1" x14ac:dyDescent="0.3">
      <c r="A2641" t="s">
        <v>206</v>
      </c>
      <c r="B2641" s="2">
        <v>45597</v>
      </c>
      <c r="C2641" s="52"/>
      <c r="D2641" s="48">
        <f>_xlfn.XLOOKUP(expected_production[[#This Row],[Site Name]],Table1[[Site Name ]],Table1[Commisioned Date],"")</f>
        <v>45188</v>
      </c>
      <c r="E2641" s="47">
        <f>IF(ISNUMBER(expected_production[[#This Row],[Commissioned Date]]),MAX(0,(expected_production[[#This Row],[Date]]-expected_production[[#This Row],[Commissioned Date]])/365.25),"")</f>
        <v>1.1197809719370295</v>
      </c>
      <c r="F2641" s="49">
        <f>IF(expected_production[[#This Row],[Age (yrs)]]="",1,(1-DegradationRate)^expected_production[[#This Row],[Age (yrs)]])</f>
        <v>0.99216482611507595</v>
      </c>
      <c r="G2641" s="52" t="str">
        <f>IF(expected_production[[#This Row],[Base Expected (kWh)]]="","",expected_production[[#This Row],[Base Expected (kWh)]]*expected_production[[#This Row],[Degradation Factor]])</f>
        <v/>
      </c>
    </row>
    <row r="2642" spans="1:7" ht="15" hidden="1" customHeight="1" x14ac:dyDescent="0.3">
      <c r="A2642" t="s">
        <v>206</v>
      </c>
      <c r="B2642" s="2">
        <v>45627</v>
      </c>
      <c r="C2642" s="52"/>
      <c r="D2642" s="48">
        <f>_xlfn.XLOOKUP(expected_production[[#This Row],[Site Name]],Table1[[Site Name ]],Table1[Commisioned Date],"")</f>
        <v>45188</v>
      </c>
      <c r="E2642" s="47">
        <f>IF(ISNUMBER(expected_production[[#This Row],[Commissioned Date]]),MAX(0,(expected_production[[#This Row],[Date]]-expected_production[[#This Row],[Commissioned Date]])/365.25),"")</f>
        <v>1.2019164955509924</v>
      </c>
      <c r="F2642" s="49">
        <f>IF(expected_production[[#This Row],[Age (yrs)]]="",1,(1-DegradationRate)^expected_production[[#This Row],[Age (yrs)]])</f>
        <v>0.99159254146419162</v>
      </c>
      <c r="G2642" s="52" t="str">
        <f>IF(expected_production[[#This Row],[Base Expected (kWh)]]="","",expected_production[[#This Row],[Base Expected (kWh)]]*expected_production[[#This Row],[Degradation Factor]])</f>
        <v/>
      </c>
    </row>
    <row r="2643" spans="1:7" ht="15" hidden="1" customHeight="1" x14ac:dyDescent="0.3">
      <c r="A2643" t="s">
        <v>206</v>
      </c>
      <c r="B2643" s="2">
        <v>45658</v>
      </c>
      <c r="C2643" s="52"/>
      <c r="D2643" s="48">
        <f>_xlfn.XLOOKUP(expected_production[[#This Row],[Site Name]],Table1[[Site Name ]],Table1[Commisioned Date],"")</f>
        <v>45188</v>
      </c>
      <c r="E2643" s="47">
        <f>IF(ISNUMBER(expected_production[[#This Row],[Commissioned Date]]),MAX(0,(expected_production[[#This Row],[Date]]-expected_production[[#This Row],[Commissioned Date]])/365.25),"")</f>
        <v>1.2867898699520877</v>
      </c>
      <c r="F2643" s="49">
        <f>IF(expected_production[[#This Row],[Age (yrs)]]="",1,(1-DegradationRate)^expected_production[[#This Row],[Age (yrs)]])</f>
        <v>0.99100152744032766</v>
      </c>
      <c r="G2643" s="52" t="str">
        <f>IF(expected_production[[#This Row],[Base Expected (kWh)]]="","",expected_production[[#This Row],[Base Expected (kWh)]]*expected_production[[#This Row],[Degradation Factor]])</f>
        <v/>
      </c>
    </row>
    <row r="2644" spans="1:7" ht="15" hidden="1" customHeight="1" x14ac:dyDescent="0.3">
      <c r="A2644" t="s">
        <v>206</v>
      </c>
      <c r="B2644" s="2">
        <v>45689</v>
      </c>
      <c r="C2644" s="52"/>
      <c r="D2644" s="48">
        <f>_xlfn.XLOOKUP(expected_production[[#This Row],[Site Name]],Table1[[Site Name ]],Table1[Commisioned Date],"")</f>
        <v>45188</v>
      </c>
      <c r="E2644" s="47">
        <f>IF(ISNUMBER(expected_production[[#This Row],[Commissioned Date]]),MAX(0,(expected_production[[#This Row],[Date]]-expected_production[[#This Row],[Commissioned Date]])/365.25),"")</f>
        <v>1.3716632443531827</v>
      </c>
      <c r="F2644" s="49">
        <f>IF(expected_production[[#This Row],[Age (yrs)]]="",1,(1-DegradationRate)^expected_production[[#This Row],[Age (yrs)]])</f>
        <v>0.99041086567564451</v>
      </c>
      <c r="G2644" s="52" t="str">
        <f>IF(expected_production[[#This Row],[Base Expected (kWh)]]="","",expected_production[[#This Row],[Base Expected (kWh)]]*expected_production[[#This Row],[Degradation Factor]])</f>
        <v/>
      </c>
    </row>
    <row r="2645" spans="1:7" ht="15" hidden="1" customHeight="1" x14ac:dyDescent="0.3">
      <c r="A2645" t="s">
        <v>206</v>
      </c>
      <c r="B2645" s="2">
        <v>45717</v>
      </c>
      <c r="C2645" s="52"/>
      <c r="D2645" s="48">
        <f>_xlfn.XLOOKUP(expected_production[[#This Row],[Site Name]],Table1[[Site Name ]],Table1[Commisioned Date],"")</f>
        <v>45188</v>
      </c>
      <c r="E2645" s="47">
        <f>IF(ISNUMBER(expected_production[[#This Row],[Commissioned Date]]),MAX(0,(expected_production[[#This Row],[Date]]-expected_production[[#This Row],[Commissioned Date]])/365.25),"")</f>
        <v>1.4483230663928817</v>
      </c>
      <c r="F2645" s="49">
        <f>IF(expected_production[[#This Row],[Age (yrs)]]="",1,(1-DegradationRate)^expected_production[[#This Row],[Age (yrs)]])</f>
        <v>0.98987766732653659</v>
      </c>
      <c r="G2645" s="52" t="str">
        <f>IF(expected_production[[#This Row],[Base Expected (kWh)]]="","",expected_production[[#This Row],[Base Expected (kWh)]]*expected_production[[#This Row],[Degradation Factor]])</f>
        <v/>
      </c>
    </row>
    <row r="2646" spans="1:7" ht="15" hidden="1" customHeight="1" x14ac:dyDescent="0.3">
      <c r="A2646" t="s">
        <v>206</v>
      </c>
      <c r="B2646" s="2">
        <v>45748</v>
      </c>
      <c r="C2646" s="52"/>
      <c r="D2646" s="48">
        <f>_xlfn.XLOOKUP(expected_production[[#This Row],[Site Name]],Table1[[Site Name ]],Table1[Commisioned Date],"")</f>
        <v>45188</v>
      </c>
      <c r="E2646" s="47">
        <f>IF(ISNUMBER(expected_production[[#This Row],[Commissioned Date]]),MAX(0,(expected_production[[#This Row],[Date]]-expected_production[[#This Row],[Commissioned Date]])/365.25),"")</f>
        <v>1.5331964407939767</v>
      </c>
      <c r="F2646" s="49">
        <f>IF(expected_production[[#This Row],[Age (yrs)]]="",1,(1-DegradationRate)^expected_production[[#This Row],[Age (yrs)]])</f>
        <v>0.98928767541066776</v>
      </c>
      <c r="G2646" s="52" t="str">
        <f>IF(expected_production[[#This Row],[Base Expected (kWh)]]="","",expected_production[[#This Row],[Base Expected (kWh)]]*expected_production[[#This Row],[Degradation Factor]])</f>
        <v/>
      </c>
    </row>
    <row r="2647" spans="1:7" ht="15" hidden="1" customHeight="1" x14ac:dyDescent="0.3">
      <c r="A2647" t="s">
        <v>206</v>
      </c>
      <c r="B2647" s="2">
        <v>45778</v>
      </c>
      <c r="C2647" s="52"/>
      <c r="D2647" s="48">
        <f>_xlfn.XLOOKUP(expected_production[[#This Row],[Site Name]],Table1[[Site Name ]],Table1[Commisioned Date],"")</f>
        <v>45188</v>
      </c>
      <c r="E2647" s="47">
        <f>IF(ISNUMBER(expected_production[[#This Row],[Commissioned Date]]),MAX(0,(expected_production[[#This Row],[Date]]-expected_production[[#This Row],[Commissioned Date]])/365.25),"")</f>
        <v>1.6153319644079398</v>
      </c>
      <c r="F2647" s="49">
        <f>IF(expected_production[[#This Row],[Age (yrs)]]="",1,(1-DegradationRate)^expected_production[[#This Row],[Age (yrs)]])</f>
        <v>0.98871705031184887</v>
      </c>
      <c r="G2647" s="52" t="str">
        <f>IF(expected_production[[#This Row],[Base Expected (kWh)]]="","",expected_production[[#This Row],[Base Expected (kWh)]]*expected_production[[#This Row],[Degradation Factor]])</f>
        <v/>
      </c>
    </row>
    <row r="2648" spans="1:7" ht="15" hidden="1" customHeight="1" x14ac:dyDescent="0.3">
      <c r="A2648" t="s">
        <v>206</v>
      </c>
      <c r="B2648" s="2">
        <v>45809</v>
      </c>
      <c r="C2648" s="52"/>
      <c r="D2648" s="48">
        <f>_xlfn.XLOOKUP(expected_production[[#This Row],[Site Name]],Table1[[Site Name ]],Table1[Commisioned Date],"")</f>
        <v>45188</v>
      </c>
      <c r="E2648" s="47">
        <f>IF(ISNUMBER(expected_production[[#This Row],[Commissioned Date]]),MAX(0,(expected_production[[#This Row],[Date]]-expected_production[[#This Row],[Commissioned Date]])/365.25),"")</f>
        <v>1.700205338809035</v>
      </c>
      <c r="F2648" s="49">
        <f>IF(expected_production[[#This Row],[Age (yrs)]]="",1,(1-DegradationRate)^expected_production[[#This Row],[Age (yrs)]])</f>
        <v>0.98812775015282905</v>
      </c>
      <c r="G2648" s="52" t="str">
        <f>IF(expected_production[[#This Row],[Base Expected (kWh)]]="","",expected_production[[#This Row],[Base Expected (kWh)]]*expected_production[[#This Row],[Degradation Factor]])</f>
        <v/>
      </c>
    </row>
    <row r="2649" spans="1:7" ht="15" hidden="1" customHeight="1" x14ac:dyDescent="0.3">
      <c r="A2649" t="s">
        <v>206</v>
      </c>
      <c r="B2649" s="2">
        <v>45839</v>
      </c>
      <c r="C2649" s="52"/>
      <c r="D2649" s="48">
        <f>_xlfn.XLOOKUP(expected_production[[#This Row],[Site Name]],Table1[[Site Name ]],Table1[Commisioned Date],"")</f>
        <v>45188</v>
      </c>
      <c r="E2649" s="47">
        <f>IF(ISNUMBER(expected_production[[#This Row],[Commissioned Date]]),MAX(0,(expected_production[[#This Row],[Date]]-expected_production[[#This Row],[Commissioned Date]])/365.25),"")</f>
        <v>1.7823408624229979</v>
      </c>
      <c r="F2649" s="49">
        <f>IF(expected_production[[#This Row],[Age (yrs)]]="",1,(1-DegradationRate)^expected_production[[#This Row],[Age (yrs)]])</f>
        <v>0.98755779410355082</v>
      </c>
      <c r="G2649" s="52" t="str">
        <f>IF(expected_production[[#This Row],[Base Expected (kWh)]]="","",expected_production[[#This Row],[Base Expected (kWh)]]*expected_production[[#This Row],[Degradation Factor]])</f>
        <v/>
      </c>
    </row>
    <row r="2650" spans="1:7" ht="15" hidden="1" customHeight="1" x14ac:dyDescent="0.3">
      <c r="A2650" t="s">
        <v>206</v>
      </c>
      <c r="B2650" s="2">
        <v>45870</v>
      </c>
      <c r="C2650" s="52"/>
      <c r="D2650" s="48">
        <f>_xlfn.XLOOKUP(expected_production[[#This Row],[Site Name]],Table1[[Site Name ]],Table1[Commisioned Date],"")</f>
        <v>45188</v>
      </c>
      <c r="E2650" s="47">
        <f>IF(ISNUMBER(expected_production[[#This Row],[Commissioned Date]]),MAX(0,(expected_production[[#This Row],[Date]]-expected_production[[#This Row],[Commissioned Date]])/365.25),"")</f>
        <v>1.8672142368240932</v>
      </c>
      <c r="F2650" s="49">
        <f>IF(expected_production[[#This Row],[Age (yrs)]]="",1,(1-DegradationRate)^expected_production[[#This Row],[Age (yrs)]])</f>
        <v>0.98696918489030527</v>
      </c>
      <c r="G2650" s="52" t="str">
        <f>IF(expected_production[[#This Row],[Base Expected (kWh)]]="","",expected_production[[#This Row],[Base Expected (kWh)]]*expected_production[[#This Row],[Degradation Factor]])</f>
        <v/>
      </c>
    </row>
    <row r="2651" spans="1:7" ht="15" hidden="1" customHeight="1" x14ac:dyDescent="0.3">
      <c r="A2651" t="s">
        <v>206</v>
      </c>
      <c r="B2651" s="2">
        <v>45901</v>
      </c>
      <c r="C2651" s="52"/>
      <c r="D2651" s="48">
        <f>_xlfn.XLOOKUP(expected_production[[#This Row],[Site Name]],Table1[[Site Name ]],Table1[Commisioned Date],"")</f>
        <v>45188</v>
      </c>
      <c r="E2651" s="47">
        <f>IF(ISNUMBER(expected_production[[#This Row],[Commissioned Date]]),MAX(0,(expected_production[[#This Row],[Date]]-expected_production[[#This Row],[Commissioned Date]])/365.25),"")</f>
        <v>1.9520876112251881</v>
      </c>
      <c r="F2651" s="49">
        <f>IF(expected_production[[#This Row],[Age (yrs)]]="",1,(1-DegradationRate)^expected_production[[#This Row],[Age (yrs)]])</f>
        <v>0.9863809265029132</v>
      </c>
      <c r="G2651" s="52" t="str">
        <f>IF(expected_production[[#This Row],[Base Expected (kWh)]]="","",expected_production[[#This Row],[Base Expected (kWh)]]*expected_production[[#This Row],[Degradation Factor]])</f>
        <v/>
      </c>
    </row>
    <row r="2652" spans="1:7" ht="15" hidden="1" customHeight="1" x14ac:dyDescent="0.3">
      <c r="A2652" t="s">
        <v>206</v>
      </c>
      <c r="B2652" s="2">
        <v>45931</v>
      </c>
      <c r="C2652" s="52"/>
      <c r="D2652" s="48">
        <f>_xlfn.XLOOKUP(expected_production[[#This Row],[Site Name]],Table1[[Site Name ]],Table1[Commisioned Date],"")</f>
        <v>45188</v>
      </c>
      <c r="E2652" s="47">
        <f>IF(ISNUMBER(expected_production[[#This Row],[Commissioned Date]]),MAX(0,(expected_production[[#This Row],[Date]]-expected_production[[#This Row],[Commissioned Date]])/365.25),"")</f>
        <v>2.0342231348391513</v>
      </c>
      <c r="F2652" s="49">
        <f>IF(expected_production[[#This Row],[Age (yrs)]]="",1,(1-DegradationRate)^expected_production[[#This Row],[Age (yrs)]])</f>
        <v>0.98581197802852216</v>
      </c>
      <c r="G2652" s="52" t="str">
        <f>IF(expected_production[[#This Row],[Base Expected (kWh)]]="","",expected_production[[#This Row],[Base Expected (kWh)]]*expected_production[[#This Row],[Degradation Factor]])</f>
        <v/>
      </c>
    </row>
    <row r="2653" spans="1:7" ht="15" hidden="1" customHeight="1" x14ac:dyDescent="0.3">
      <c r="A2653" t="s">
        <v>206</v>
      </c>
      <c r="B2653" s="2">
        <v>45962</v>
      </c>
      <c r="C2653" s="52"/>
      <c r="D2653" s="48">
        <f>_xlfn.XLOOKUP(expected_production[[#This Row],[Site Name]],Table1[[Site Name ]],Table1[Commisioned Date],"")</f>
        <v>45188</v>
      </c>
      <c r="E2653" s="47">
        <f>IF(ISNUMBER(expected_production[[#This Row],[Commissioned Date]]),MAX(0,(expected_production[[#This Row],[Date]]-expected_production[[#This Row],[Commissioned Date]])/365.25),"")</f>
        <v>2.1190965092402463</v>
      </c>
      <c r="F2653" s="49">
        <f>IF(expected_production[[#This Row],[Age (yrs)]]="",1,(1-DegradationRate)^expected_production[[#This Row],[Age (yrs)]])</f>
        <v>0.98522440936544242</v>
      </c>
      <c r="G2653" s="52" t="str">
        <f>IF(expected_production[[#This Row],[Base Expected (kWh)]]="","",expected_production[[#This Row],[Base Expected (kWh)]]*expected_production[[#This Row],[Degradation Factor]])</f>
        <v/>
      </c>
    </row>
    <row r="2654" spans="1:7" ht="15" hidden="1" customHeight="1" x14ac:dyDescent="0.3">
      <c r="A2654" t="s">
        <v>206</v>
      </c>
      <c r="B2654" s="2">
        <v>45992</v>
      </c>
      <c r="C2654" s="52"/>
      <c r="D2654" s="48">
        <f>_xlfn.XLOOKUP(expected_production[[#This Row],[Site Name]],Table1[[Site Name ]],Table1[Commisioned Date],"")</f>
        <v>45188</v>
      </c>
      <c r="E2654" s="47">
        <f>IF(ISNUMBER(expected_production[[#This Row],[Commissioned Date]]),MAX(0,(expected_production[[#This Row],[Date]]-expected_production[[#This Row],[Commissioned Date]])/365.25),"")</f>
        <v>2.2012320328542097</v>
      </c>
      <c r="F2654" s="49">
        <f>IF(expected_production[[#This Row],[Age (yrs)]]="",1,(1-DegradationRate)^expected_production[[#This Row],[Age (yrs)]])</f>
        <v>0.98465612797477453</v>
      </c>
      <c r="G2654" s="52" t="str">
        <f>IF(expected_production[[#This Row],[Base Expected (kWh)]]="","",expected_production[[#This Row],[Base Expected (kWh)]]*expected_production[[#This Row],[Degradation Factor]])</f>
        <v/>
      </c>
    </row>
    <row r="2655" spans="1:7" ht="15" hidden="1" customHeight="1" x14ac:dyDescent="0.3">
      <c r="A2655" t="s">
        <v>206</v>
      </c>
      <c r="B2655" s="2">
        <v>46023</v>
      </c>
      <c r="C2655" s="52"/>
      <c r="D2655" s="48">
        <f>_xlfn.XLOOKUP(expected_production[[#This Row],[Site Name]],Table1[[Site Name ]],Table1[Commisioned Date],"")</f>
        <v>45188</v>
      </c>
      <c r="E2655" s="47">
        <f>IF(ISNUMBER(expected_production[[#This Row],[Commissioned Date]]),MAX(0,(expected_production[[#This Row],[Date]]-expected_production[[#This Row],[Commissioned Date]])/365.25),"")</f>
        <v>2.2861054072553046</v>
      </c>
      <c r="F2655" s="49">
        <f>IF(expected_production[[#This Row],[Age (yrs)]]="",1,(1-DegradationRate)^expected_production[[#This Row],[Age (yrs)]])</f>
        <v>0.98406924822731567</v>
      </c>
      <c r="G2655" s="52" t="str">
        <f>IF(expected_production[[#This Row],[Base Expected (kWh)]]="","",expected_production[[#This Row],[Base Expected (kWh)]]*expected_production[[#This Row],[Degradation Factor]])</f>
        <v/>
      </c>
    </row>
    <row r="2656" spans="1:7" ht="15" hidden="1" customHeight="1" x14ac:dyDescent="0.3">
      <c r="A2656" t="s">
        <v>206</v>
      </c>
      <c r="B2656" s="2">
        <v>46054</v>
      </c>
      <c r="C2656" s="52"/>
      <c r="D2656" s="48">
        <f>_xlfn.XLOOKUP(expected_production[[#This Row],[Site Name]],Table1[[Site Name ]],Table1[Commisioned Date],"")</f>
        <v>45188</v>
      </c>
      <c r="E2656" s="47">
        <f>IF(ISNUMBER(expected_production[[#This Row],[Commissioned Date]]),MAX(0,(expected_production[[#This Row],[Date]]-expected_production[[#This Row],[Commissioned Date]])/365.25),"")</f>
        <v>2.3709787816563996</v>
      </c>
      <c r="F2656" s="49">
        <f>IF(expected_production[[#This Row],[Age (yrs)]]="",1,(1-DegradationRate)^expected_production[[#This Row],[Age (yrs)]])</f>
        <v>0.98348271827490508</v>
      </c>
      <c r="G2656" s="52" t="str">
        <f>IF(expected_production[[#This Row],[Base Expected (kWh)]]="","",expected_production[[#This Row],[Base Expected (kWh)]]*expected_production[[#This Row],[Degradation Factor]])</f>
        <v/>
      </c>
    </row>
    <row r="2657" spans="1:7" ht="15" hidden="1" customHeight="1" x14ac:dyDescent="0.3">
      <c r="A2657" t="s">
        <v>206</v>
      </c>
      <c r="B2657" s="2">
        <v>46082</v>
      </c>
      <c r="C2657" s="52"/>
      <c r="D2657" s="48">
        <f>_xlfn.XLOOKUP(expected_production[[#This Row],[Site Name]],Table1[[Site Name ]],Table1[Commisioned Date],"")</f>
        <v>45188</v>
      </c>
      <c r="E2657" s="47">
        <f>IF(ISNUMBER(expected_production[[#This Row],[Commissioned Date]]),MAX(0,(expected_production[[#This Row],[Date]]-expected_production[[#This Row],[Commissioned Date]])/365.25),"")</f>
        <v>2.4476386036960984</v>
      </c>
      <c r="F2657" s="49">
        <f>IF(expected_production[[#This Row],[Age (yrs)]]="",1,(1-DegradationRate)^expected_production[[#This Row],[Age (yrs)]])</f>
        <v>0.9829532497685165</v>
      </c>
      <c r="G2657" s="52" t="str">
        <f>IF(expected_production[[#This Row],[Base Expected (kWh)]]="","",expected_production[[#This Row],[Base Expected (kWh)]]*expected_production[[#This Row],[Degradation Factor]])</f>
        <v/>
      </c>
    </row>
    <row r="2658" spans="1:7" ht="15" hidden="1" customHeight="1" x14ac:dyDescent="0.3">
      <c r="A2658" t="s">
        <v>206</v>
      </c>
      <c r="B2658" s="2">
        <v>46113</v>
      </c>
      <c r="C2658" s="52"/>
      <c r="D2658" s="48">
        <f>_xlfn.XLOOKUP(expected_production[[#This Row],[Site Name]],Table1[[Site Name ]],Table1[Commisioned Date],"")</f>
        <v>45188</v>
      </c>
      <c r="E2658" s="47">
        <f>IF(ISNUMBER(expected_production[[#This Row],[Commissioned Date]]),MAX(0,(expected_production[[#This Row],[Date]]-expected_production[[#This Row],[Commissioned Date]])/365.25),"")</f>
        <v>2.5325119780971939</v>
      </c>
      <c r="F2658" s="49">
        <f>IF(expected_production[[#This Row],[Age (yrs)]]="",1,(1-DegradationRate)^expected_production[[#This Row],[Age (yrs)]])</f>
        <v>0.98236738497917664</v>
      </c>
      <c r="G2658" s="52" t="str">
        <f>IF(expected_production[[#This Row],[Base Expected (kWh)]]="","",expected_production[[#This Row],[Base Expected (kWh)]]*expected_production[[#This Row],[Degradation Factor]])</f>
        <v/>
      </c>
    </row>
    <row r="2659" spans="1:7" ht="15" hidden="1" customHeight="1" x14ac:dyDescent="0.3">
      <c r="A2659" t="s">
        <v>206</v>
      </c>
      <c r="B2659" s="2">
        <v>46143</v>
      </c>
      <c r="C2659" s="52"/>
      <c r="D2659" s="48">
        <f>_xlfn.XLOOKUP(expected_production[[#This Row],[Site Name]],Table1[[Site Name ]],Table1[Commisioned Date],"")</f>
        <v>45188</v>
      </c>
      <c r="E2659" s="47">
        <f>IF(ISNUMBER(expected_production[[#This Row],[Commissioned Date]]),MAX(0,(expected_production[[#This Row],[Date]]-expected_production[[#This Row],[Commissioned Date]])/365.25),"")</f>
        <v>2.6146475017111568</v>
      </c>
      <c r="F2659" s="49">
        <f>IF(expected_production[[#This Row],[Age (yrs)]]="",1,(1-DegradationRate)^expected_production[[#This Row],[Age (yrs)]])</f>
        <v>0.98180075153163315</v>
      </c>
      <c r="G2659" s="52" t="str">
        <f>IF(expected_production[[#This Row],[Base Expected (kWh)]]="","",expected_production[[#This Row],[Base Expected (kWh)]]*expected_production[[#This Row],[Degradation Factor]])</f>
        <v/>
      </c>
    </row>
    <row r="2660" spans="1:7" ht="15" hidden="1" customHeight="1" x14ac:dyDescent="0.3">
      <c r="A2660" t="s">
        <v>206</v>
      </c>
      <c r="B2660" s="2">
        <v>46174</v>
      </c>
      <c r="C2660" s="52"/>
      <c r="D2660" s="48">
        <f>_xlfn.XLOOKUP(expected_production[[#This Row],[Site Name]],Table1[[Site Name ]],Table1[Commisioned Date],"")</f>
        <v>45188</v>
      </c>
      <c r="E2660" s="47">
        <f>IF(ISNUMBER(expected_production[[#This Row],[Commissioned Date]]),MAX(0,(expected_production[[#This Row],[Date]]-expected_production[[#This Row],[Commissioned Date]])/365.25),"")</f>
        <v>2.6995208761122518</v>
      </c>
      <c r="F2660" s="49">
        <f>IF(expected_production[[#This Row],[Age (yrs)]]="",1,(1-DegradationRate)^expected_production[[#This Row],[Age (yrs)]])</f>
        <v>0.98121557366014722</v>
      </c>
      <c r="G2660" s="52" t="str">
        <f>IF(expected_production[[#This Row],[Base Expected (kWh)]]="","",expected_production[[#This Row],[Base Expected (kWh)]]*expected_production[[#This Row],[Degradation Factor]])</f>
        <v/>
      </c>
    </row>
    <row r="2661" spans="1:7" ht="15" hidden="1" customHeight="1" x14ac:dyDescent="0.3">
      <c r="A2661" t="s">
        <v>206</v>
      </c>
      <c r="B2661" s="2">
        <v>46204</v>
      </c>
      <c r="C2661" s="52"/>
      <c r="D2661" s="48">
        <f>_xlfn.XLOOKUP(expected_production[[#This Row],[Site Name]],Table1[[Site Name ]],Table1[Commisioned Date],"")</f>
        <v>45188</v>
      </c>
      <c r="E2661" s="47">
        <f>IF(ISNUMBER(expected_production[[#This Row],[Commissioned Date]]),MAX(0,(expected_production[[#This Row],[Date]]-expected_production[[#This Row],[Commissioned Date]])/365.25),"")</f>
        <v>2.7816563997262147</v>
      </c>
      <c r="F2661" s="49">
        <f>IF(expected_production[[#This Row],[Age (yrs)]]="",1,(1-DegradationRate)^expected_production[[#This Row],[Age (yrs)]])</f>
        <v>0.98064960458199202</v>
      </c>
      <c r="G2661" s="52" t="str">
        <f>IF(expected_production[[#This Row],[Base Expected (kWh)]]="","",expected_production[[#This Row],[Base Expected (kWh)]]*expected_production[[#This Row],[Degradation Factor]])</f>
        <v/>
      </c>
    </row>
    <row r="2662" spans="1:7" ht="15" hidden="1" customHeight="1" x14ac:dyDescent="0.3">
      <c r="A2662" t="s">
        <v>206</v>
      </c>
      <c r="B2662" s="2">
        <v>46235</v>
      </c>
      <c r="C2662" s="52"/>
      <c r="D2662" s="48">
        <f>_xlfn.XLOOKUP(expected_production[[#This Row],[Site Name]],Table1[[Site Name ]],Table1[Commisioned Date],"")</f>
        <v>45188</v>
      </c>
      <c r="E2662" s="47">
        <f>IF(ISNUMBER(expected_production[[#This Row],[Commissioned Date]]),MAX(0,(expected_production[[#This Row],[Date]]-expected_production[[#This Row],[Commissioned Date]])/365.25),"")</f>
        <v>2.8665297741273101</v>
      </c>
      <c r="F2662" s="49">
        <f>IF(expected_production[[#This Row],[Age (yrs)]]="",1,(1-DegradationRate)^expected_production[[#This Row],[Age (yrs)]])</f>
        <v>0.98006511282295883</v>
      </c>
      <c r="G2662" s="52" t="str">
        <f>IF(expected_production[[#This Row],[Base Expected (kWh)]]="","",expected_production[[#This Row],[Base Expected (kWh)]]*expected_production[[#This Row],[Degradation Factor]])</f>
        <v/>
      </c>
    </row>
    <row r="2663" spans="1:7" ht="15" hidden="1" customHeight="1" x14ac:dyDescent="0.3">
      <c r="A2663" t="s">
        <v>206</v>
      </c>
      <c r="B2663" s="2">
        <v>46266</v>
      </c>
      <c r="C2663" s="52"/>
      <c r="D2663" s="48">
        <f>_xlfn.XLOOKUP(expected_production[[#This Row],[Site Name]],Table1[[Site Name ]],Table1[Commisioned Date],"")</f>
        <v>45188</v>
      </c>
      <c r="E2663" s="47">
        <f>IF(ISNUMBER(expected_production[[#This Row],[Commissioned Date]]),MAX(0,(expected_production[[#This Row],[Date]]-expected_production[[#This Row],[Commissioned Date]])/365.25),"")</f>
        <v>2.9514031485284051</v>
      </c>
      <c r="F2663" s="49">
        <f>IF(expected_production[[#This Row],[Age (yrs)]]="",1,(1-DegradationRate)^expected_production[[#This Row],[Age (yrs)]])</f>
        <v>0.97948096943567309</v>
      </c>
      <c r="G2663" s="52" t="str">
        <f>IF(expected_production[[#This Row],[Base Expected (kWh)]]="","",expected_production[[#This Row],[Base Expected (kWh)]]*expected_production[[#This Row],[Degradation Factor]])</f>
        <v/>
      </c>
    </row>
    <row r="2664" spans="1:7" ht="15" hidden="1" customHeight="1" x14ac:dyDescent="0.3">
      <c r="A2664" t="s">
        <v>206</v>
      </c>
      <c r="B2664" s="2">
        <v>46296</v>
      </c>
      <c r="C2664" s="52"/>
      <c r="D2664" s="48">
        <f>_xlfn.XLOOKUP(expected_production[[#This Row],[Site Name]],Table1[[Site Name ]],Table1[Commisioned Date],"")</f>
        <v>45188</v>
      </c>
      <c r="E2664" s="47">
        <f>IF(ISNUMBER(expected_production[[#This Row],[Commissioned Date]]),MAX(0,(expected_production[[#This Row],[Date]]-expected_production[[#This Row],[Commissioned Date]])/365.25),"")</f>
        <v>3.0335386721423681</v>
      </c>
      <c r="F2664" s="49">
        <f>IF(expected_production[[#This Row],[Age (yrs)]]="",1,(1-DegradationRate)^expected_production[[#This Row],[Age (yrs)]])</f>
        <v>0.9789160008841914</v>
      </c>
      <c r="G2664" s="52" t="str">
        <f>IF(expected_production[[#This Row],[Base Expected (kWh)]]="","",expected_production[[#This Row],[Base Expected (kWh)]]*expected_production[[#This Row],[Degradation Factor]])</f>
        <v/>
      </c>
    </row>
    <row r="2665" spans="1:7" ht="15" hidden="1" customHeight="1" x14ac:dyDescent="0.3">
      <c r="A2665" t="s">
        <v>206</v>
      </c>
      <c r="B2665" s="2">
        <v>46327</v>
      </c>
      <c r="C2665" s="52"/>
      <c r="D2665" s="48">
        <f>_xlfn.XLOOKUP(expected_production[[#This Row],[Site Name]],Table1[[Site Name ]],Table1[Commisioned Date],"")</f>
        <v>45188</v>
      </c>
      <c r="E2665" s="47">
        <f>IF(ISNUMBER(expected_production[[#This Row],[Commissioned Date]]),MAX(0,(expected_production[[#This Row],[Date]]-expected_production[[#This Row],[Commissioned Date]])/365.25),"")</f>
        <v>3.1184120465434635</v>
      </c>
      <c r="F2665" s="49">
        <f>IF(expected_production[[#This Row],[Age (yrs)]]="",1,(1-DegradationRate)^expected_production[[#This Row],[Age (yrs)]])</f>
        <v>0.97833254239644085</v>
      </c>
      <c r="G2665" s="52" t="str">
        <f>IF(expected_production[[#This Row],[Base Expected (kWh)]]="","",expected_production[[#This Row],[Base Expected (kWh)]]*expected_production[[#This Row],[Degradation Factor]])</f>
        <v/>
      </c>
    </row>
    <row r="2666" spans="1:7" ht="15" hidden="1" customHeight="1" x14ac:dyDescent="0.3">
      <c r="A2666" t="s">
        <v>206</v>
      </c>
      <c r="B2666" s="2">
        <v>46357</v>
      </c>
      <c r="C2666" s="52"/>
      <c r="D2666" s="48">
        <f>_xlfn.XLOOKUP(expected_production[[#This Row],[Site Name]],Table1[[Site Name ]],Table1[Commisioned Date],"")</f>
        <v>45188</v>
      </c>
      <c r="E2666" s="47">
        <f>IF(ISNUMBER(expected_production[[#This Row],[Commissioned Date]]),MAX(0,(expected_production[[#This Row],[Date]]-expected_production[[#This Row],[Commissioned Date]])/365.25),"")</f>
        <v>3.2005475701574264</v>
      </c>
      <c r="F2666" s="49">
        <f>IF(expected_production[[#This Row],[Age (yrs)]]="",1,(1-DegradationRate)^expected_production[[#This Row],[Age (yrs)]])</f>
        <v>0.97776823626228127</v>
      </c>
      <c r="G2666" s="52" t="str">
        <f>IF(expected_production[[#This Row],[Base Expected (kWh)]]="","",expected_production[[#This Row],[Base Expected (kWh)]]*expected_production[[#This Row],[Degradation Factor]])</f>
        <v/>
      </c>
    </row>
    <row r="2667" spans="1:7" hidden="1" x14ac:dyDescent="0.3">
      <c r="A2667" t="s">
        <v>271</v>
      </c>
      <c r="B2667" s="2">
        <v>45292</v>
      </c>
      <c r="C2667" s="52" cm="1">
        <f t="array" ref="C2667">IFERROR(INDEX('Expected Production'!$C$2:$N$199,MATCH(A2667,'Expected Production'!$A$2:$A$199,0),MONTH(B2667)),"")</f>
        <v>17370.900000000001</v>
      </c>
      <c r="D2667" s="48">
        <f>_xlfn.XLOOKUP(expected_production[[#This Row],[Site Name]],Table1[[Site Name ]],Table1[Commisioned Date],"")</f>
        <v>46162</v>
      </c>
      <c r="E2667" s="47">
        <f>IF(ISNUMBER(expected_production[[#This Row],[Commissioned Date]]),MAX(0,(expected_production[[#This Row],[Date]]-expected_production[[#This Row],[Commissioned Date]])/365.25),"")</f>
        <v>0</v>
      </c>
      <c r="F2667" s="49">
        <f>IF(expected_production[[#This Row],[Age (yrs)]]="",1,(1-DegradationRate)^expected_production[[#This Row],[Age (yrs)]])</f>
        <v>1</v>
      </c>
      <c r="G2667" s="52">
        <f>IF(expected_production[[#This Row],[Base Expected (kWh)]]="","",expected_production[[#This Row],[Base Expected (kWh)]]*expected_production[[#This Row],[Degradation Factor]])</f>
        <v>17370.900000000001</v>
      </c>
    </row>
    <row r="2668" spans="1:7" hidden="1" x14ac:dyDescent="0.3">
      <c r="A2668" t="s">
        <v>271</v>
      </c>
      <c r="B2668" s="2">
        <v>45323</v>
      </c>
      <c r="C2668" s="52" cm="1">
        <f t="array" ref="C2668">IFERROR(INDEX('Expected Production'!$C$2:$N$199,MATCH(A2668,'Expected Production'!$A$2:$A$199,0),MONTH(B2668)),"")</f>
        <v>15077.7</v>
      </c>
      <c r="D2668" s="48">
        <f>_xlfn.XLOOKUP(expected_production[[#This Row],[Site Name]],Table1[[Site Name ]],Table1[Commisioned Date],"")</f>
        <v>46162</v>
      </c>
      <c r="E2668" s="47">
        <f>IF(ISNUMBER(expected_production[[#This Row],[Commissioned Date]]),MAX(0,(expected_production[[#This Row],[Date]]-expected_production[[#This Row],[Commissioned Date]])/365.25),"")</f>
        <v>0</v>
      </c>
      <c r="F2668" s="49">
        <f>IF(expected_production[[#This Row],[Age (yrs)]]="",1,(1-DegradationRate)^expected_production[[#This Row],[Age (yrs)]])</f>
        <v>1</v>
      </c>
      <c r="G2668" s="52">
        <f>IF(expected_production[[#This Row],[Base Expected (kWh)]]="","",expected_production[[#This Row],[Base Expected (kWh)]]*expected_production[[#This Row],[Degradation Factor]])</f>
        <v>15077.7</v>
      </c>
    </row>
    <row r="2669" spans="1:7" hidden="1" x14ac:dyDescent="0.3">
      <c r="A2669" t="s">
        <v>271</v>
      </c>
      <c r="B2669" s="2">
        <v>45352</v>
      </c>
      <c r="C2669" s="52" cm="1">
        <f t="array" ref="C2669">IFERROR(INDEX('Expected Production'!$C$2:$N$199,MATCH(A2669,'Expected Production'!$A$2:$A$199,0),MONTH(B2669)),"")</f>
        <v>14634</v>
      </c>
      <c r="D2669" s="48">
        <f>_xlfn.XLOOKUP(expected_production[[#This Row],[Site Name]],Table1[[Site Name ]],Table1[Commisioned Date],"")</f>
        <v>46162</v>
      </c>
      <c r="E2669" s="47">
        <f>IF(ISNUMBER(expected_production[[#This Row],[Commissioned Date]]),MAX(0,(expected_production[[#This Row],[Date]]-expected_production[[#This Row],[Commissioned Date]])/365.25),"")</f>
        <v>0</v>
      </c>
      <c r="F2669" s="49">
        <f>IF(expected_production[[#This Row],[Age (yrs)]]="",1,(1-DegradationRate)^expected_production[[#This Row],[Age (yrs)]])</f>
        <v>1</v>
      </c>
      <c r="G2669" s="52">
        <f>IF(expected_production[[#This Row],[Base Expected (kWh)]]="","",expected_production[[#This Row],[Base Expected (kWh)]]*expected_production[[#This Row],[Degradation Factor]])</f>
        <v>14634</v>
      </c>
    </row>
    <row r="2670" spans="1:7" hidden="1" x14ac:dyDescent="0.3">
      <c r="A2670" t="s">
        <v>271</v>
      </c>
      <c r="B2670" s="2">
        <v>45383</v>
      </c>
      <c r="C2670" s="52" cm="1">
        <f t="array" ref="C2670">IFERROR(INDEX('Expected Production'!$C$2:$N$199,MATCH(A2670,'Expected Production'!$A$2:$A$199,0),MONTH(B2670)),"")</f>
        <v>12420</v>
      </c>
      <c r="D2670" s="48">
        <f>_xlfn.XLOOKUP(expected_production[[#This Row],[Site Name]],Table1[[Site Name ]],Table1[Commisioned Date],"")</f>
        <v>46162</v>
      </c>
      <c r="E2670" s="47">
        <f>IF(ISNUMBER(expected_production[[#This Row],[Commissioned Date]]),MAX(0,(expected_production[[#This Row],[Date]]-expected_production[[#This Row],[Commissioned Date]])/365.25),"")</f>
        <v>0</v>
      </c>
      <c r="F2670" s="49">
        <f>IF(expected_production[[#This Row],[Age (yrs)]]="",1,(1-DegradationRate)^expected_production[[#This Row],[Age (yrs)]])</f>
        <v>1</v>
      </c>
      <c r="G2670" s="52">
        <f>IF(expected_production[[#This Row],[Base Expected (kWh)]]="","",expected_production[[#This Row],[Base Expected (kWh)]]*expected_production[[#This Row],[Degradation Factor]])</f>
        <v>12420</v>
      </c>
    </row>
    <row r="2671" spans="1:7" hidden="1" x14ac:dyDescent="0.3">
      <c r="A2671" t="s">
        <v>271</v>
      </c>
      <c r="B2671" s="2">
        <v>45413</v>
      </c>
      <c r="C2671" s="52" cm="1">
        <f t="array" ref="C2671">IFERROR(INDEX('Expected Production'!$C$2:$N$199,MATCH(A2671,'Expected Production'!$A$2:$A$199,0),MONTH(B2671)),"")</f>
        <v>11402.1</v>
      </c>
      <c r="D2671" s="48">
        <f>_xlfn.XLOOKUP(expected_production[[#This Row],[Site Name]],Table1[[Site Name ]],Table1[Commisioned Date],"")</f>
        <v>46162</v>
      </c>
      <c r="E2671" s="47">
        <f>IF(ISNUMBER(expected_production[[#This Row],[Commissioned Date]]),MAX(0,(expected_production[[#This Row],[Date]]-expected_production[[#This Row],[Commissioned Date]])/365.25),"")</f>
        <v>0</v>
      </c>
      <c r="F2671" s="49">
        <f>IF(expected_production[[#This Row],[Age (yrs)]]="",1,(1-DegradationRate)^expected_production[[#This Row],[Age (yrs)]])</f>
        <v>1</v>
      </c>
      <c r="G2671" s="52">
        <f>IF(expected_production[[#This Row],[Base Expected (kWh)]]="","",expected_production[[#This Row],[Base Expected (kWh)]]*expected_production[[#This Row],[Degradation Factor]])</f>
        <v>11402.1</v>
      </c>
    </row>
    <row r="2672" spans="1:7" hidden="1" x14ac:dyDescent="0.3">
      <c r="A2672" t="s">
        <v>271</v>
      </c>
      <c r="B2672" s="2">
        <v>45444</v>
      </c>
      <c r="C2672" s="52" cm="1">
        <f t="array" ref="C2672">IFERROR(INDEX('Expected Production'!$C$2:$N$199,MATCH(A2672,'Expected Production'!$A$2:$A$199,0),MONTH(B2672)),"")</f>
        <v>9989.1</v>
      </c>
      <c r="D2672" s="48">
        <f>_xlfn.XLOOKUP(expected_production[[#This Row],[Site Name]],Table1[[Site Name ]],Table1[Commisioned Date],"")</f>
        <v>46162</v>
      </c>
      <c r="E2672" s="47">
        <f>IF(ISNUMBER(expected_production[[#This Row],[Commissioned Date]]),MAX(0,(expected_production[[#This Row],[Date]]-expected_production[[#This Row],[Commissioned Date]])/365.25),"")</f>
        <v>0</v>
      </c>
      <c r="F2672" s="49">
        <f>IF(expected_production[[#This Row],[Age (yrs)]]="",1,(1-DegradationRate)^expected_production[[#This Row],[Age (yrs)]])</f>
        <v>1</v>
      </c>
      <c r="G2672" s="52">
        <f>IF(expected_production[[#This Row],[Base Expected (kWh)]]="","",expected_production[[#This Row],[Base Expected (kWh)]]*expected_production[[#This Row],[Degradation Factor]])</f>
        <v>9989.1</v>
      </c>
    </row>
    <row r="2673" spans="1:7" hidden="1" x14ac:dyDescent="0.3">
      <c r="A2673" t="s">
        <v>271</v>
      </c>
      <c r="B2673" s="2">
        <v>45474</v>
      </c>
      <c r="C2673" s="52" cm="1">
        <f t="array" ref="C2673">IFERROR(INDEX('Expected Production'!$C$2:$N$199,MATCH(A2673,'Expected Production'!$A$2:$A$199,0),MONTH(B2673)),"")</f>
        <v>10986.300000000001</v>
      </c>
      <c r="D2673" s="48">
        <f>_xlfn.XLOOKUP(expected_production[[#This Row],[Site Name]],Table1[[Site Name ]],Table1[Commisioned Date],"")</f>
        <v>46162</v>
      </c>
      <c r="E2673" s="47">
        <f>IF(ISNUMBER(expected_production[[#This Row],[Commissioned Date]]),MAX(0,(expected_production[[#This Row],[Date]]-expected_production[[#This Row],[Commissioned Date]])/365.25),"")</f>
        <v>0</v>
      </c>
      <c r="F2673" s="49">
        <f>IF(expected_production[[#This Row],[Age (yrs)]]="",1,(1-DegradationRate)^expected_production[[#This Row],[Age (yrs)]])</f>
        <v>1</v>
      </c>
      <c r="G2673" s="52">
        <f>IF(expected_production[[#This Row],[Base Expected (kWh)]]="","",expected_production[[#This Row],[Base Expected (kWh)]]*expected_production[[#This Row],[Degradation Factor]])</f>
        <v>10986.300000000001</v>
      </c>
    </row>
    <row r="2674" spans="1:7" hidden="1" x14ac:dyDescent="0.3">
      <c r="A2674" t="s">
        <v>271</v>
      </c>
      <c r="B2674" s="2">
        <v>45505</v>
      </c>
      <c r="C2674" s="52" cm="1">
        <f t="array" ref="C2674">IFERROR(INDEX('Expected Production'!$C$2:$N$199,MATCH(A2674,'Expected Production'!$A$2:$A$199,0),MONTH(B2674)),"")</f>
        <v>13108.77</v>
      </c>
      <c r="D2674" s="48">
        <f>_xlfn.XLOOKUP(expected_production[[#This Row],[Site Name]],Table1[[Site Name ]],Table1[Commisioned Date],"")</f>
        <v>46162</v>
      </c>
      <c r="E2674" s="47">
        <f>IF(ISNUMBER(expected_production[[#This Row],[Commissioned Date]]),MAX(0,(expected_production[[#This Row],[Date]]-expected_production[[#This Row],[Commissioned Date]])/365.25),"")</f>
        <v>0</v>
      </c>
      <c r="F2674" s="49">
        <f>IF(expected_production[[#This Row],[Age (yrs)]]="",1,(1-DegradationRate)^expected_production[[#This Row],[Age (yrs)]])</f>
        <v>1</v>
      </c>
      <c r="G2674" s="52">
        <f>IF(expected_production[[#This Row],[Base Expected (kWh)]]="","",expected_production[[#This Row],[Base Expected (kWh)]]*expected_production[[#This Row],[Degradation Factor]])</f>
        <v>13108.77</v>
      </c>
    </row>
    <row r="2675" spans="1:7" hidden="1" x14ac:dyDescent="0.3">
      <c r="A2675" t="s">
        <v>271</v>
      </c>
      <c r="B2675" s="2">
        <v>45536</v>
      </c>
      <c r="C2675" s="52" cm="1">
        <f t="array" ref="C2675">IFERROR(INDEX('Expected Production'!$C$2:$N$199,MATCH(A2675,'Expected Production'!$A$2:$A$199,0),MONTH(B2675)),"")</f>
        <v>14833.17</v>
      </c>
      <c r="D2675" s="48">
        <f>_xlfn.XLOOKUP(expected_production[[#This Row],[Site Name]],Table1[[Site Name ]],Table1[Commisioned Date],"")</f>
        <v>46162</v>
      </c>
      <c r="E2675" s="47">
        <f>IF(ISNUMBER(expected_production[[#This Row],[Commissioned Date]]),MAX(0,(expected_production[[#This Row],[Date]]-expected_production[[#This Row],[Commissioned Date]])/365.25),"")</f>
        <v>0</v>
      </c>
      <c r="F2675" s="49">
        <f>IF(expected_production[[#This Row],[Age (yrs)]]="",1,(1-DegradationRate)^expected_production[[#This Row],[Age (yrs)]])</f>
        <v>1</v>
      </c>
      <c r="G2675" s="52">
        <f>IF(expected_production[[#This Row],[Base Expected (kWh)]]="","",expected_production[[#This Row],[Base Expected (kWh)]]*expected_production[[#This Row],[Degradation Factor]])</f>
        <v>14833.17</v>
      </c>
    </row>
    <row r="2676" spans="1:7" hidden="1" x14ac:dyDescent="0.3">
      <c r="A2676" t="s">
        <v>271</v>
      </c>
      <c r="B2676" s="2">
        <v>45566</v>
      </c>
      <c r="C2676" s="52" cm="1">
        <f t="array" ref="C2676">IFERROR(INDEX('Expected Production'!$C$2:$N$199,MATCH(A2676,'Expected Production'!$A$2:$A$199,0),MONTH(B2676)),"")</f>
        <v>17053.2</v>
      </c>
      <c r="D2676" s="48">
        <f>_xlfn.XLOOKUP(expected_production[[#This Row],[Site Name]],Table1[[Site Name ]],Table1[Commisioned Date],"")</f>
        <v>46162</v>
      </c>
      <c r="E2676" s="47">
        <f>IF(ISNUMBER(expected_production[[#This Row],[Commissioned Date]]),MAX(0,(expected_production[[#This Row],[Date]]-expected_production[[#This Row],[Commissioned Date]])/365.25),"")</f>
        <v>0</v>
      </c>
      <c r="F2676" s="49">
        <f>IF(expected_production[[#This Row],[Age (yrs)]]="",1,(1-DegradationRate)^expected_production[[#This Row],[Age (yrs)]])</f>
        <v>1</v>
      </c>
      <c r="G2676" s="52">
        <f>IF(expected_production[[#This Row],[Base Expected (kWh)]]="","",expected_production[[#This Row],[Base Expected (kWh)]]*expected_production[[#This Row],[Degradation Factor]])</f>
        <v>17053.2</v>
      </c>
    </row>
    <row r="2677" spans="1:7" hidden="1" x14ac:dyDescent="0.3">
      <c r="A2677" t="s">
        <v>271</v>
      </c>
      <c r="B2677" s="2">
        <v>45597</v>
      </c>
      <c r="C2677" s="52" cm="1">
        <f t="array" ref="C2677">IFERROR(INDEX('Expected Production'!$C$2:$N$199,MATCH(A2677,'Expected Production'!$A$2:$A$199,0),MONTH(B2677)),"")</f>
        <v>17239.5</v>
      </c>
      <c r="D2677" s="48">
        <f>_xlfn.XLOOKUP(expected_production[[#This Row],[Site Name]],Table1[[Site Name ]],Table1[Commisioned Date],"")</f>
        <v>46162</v>
      </c>
      <c r="E2677" s="47">
        <f>IF(ISNUMBER(expected_production[[#This Row],[Commissioned Date]]),MAX(0,(expected_production[[#This Row],[Date]]-expected_production[[#This Row],[Commissioned Date]])/365.25),"")</f>
        <v>0</v>
      </c>
      <c r="F2677" s="49">
        <f>IF(expected_production[[#This Row],[Age (yrs)]]="",1,(1-DegradationRate)^expected_production[[#This Row],[Age (yrs)]])</f>
        <v>1</v>
      </c>
      <c r="G2677" s="52">
        <f>IF(expected_production[[#This Row],[Base Expected (kWh)]]="","",expected_production[[#This Row],[Base Expected (kWh)]]*expected_production[[#This Row],[Degradation Factor]])</f>
        <v>17239.5</v>
      </c>
    </row>
    <row r="2678" spans="1:7" hidden="1" x14ac:dyDescent="0.3">
      <c r="A2678" t="s">
        <v>271</v>
      </c>
      <c r="B2678" s="2">
        <v>45627</v>
      </c>
      <c r="C2678" s="52" cm="1">
        <f t="array" ref="C2678">IFERROR(INDEX('Expected Production'!$C$2:$N$199,MATCH(A2678,'Expected Production'!$A$2:$A$199,0),MONTH(B2678)),"")</f>
        <v>17465.400000000001</v>
      </c>
      <c r="D2678" s="48">
        <f>_xlfn.XLOOKUP(expected_production[[#This Row],[Site Name]],Table1[[Site Name ]],Table1[Commisioned Date],"")</f>
        <v>46162</v>
      </c>
      <c r="E2678" s="47">
        <f>IF(ISNUMBER(expected_production[[#This Row],[Commissioned Date]]),MAX(0,(expected_production[[#This Row],[Date]]-expected_production[[#This Row],[Commissioned Date]])/365.25),"")</f>
        <v>0</v>
      </c>
      <c r="F2678" s="49">
        <f>IF(expected_production[[#This Row],[Age (yrs)]]="",1,(1-DegradationRate)^expected_production[[#This Row],[Age (yrs)]])</f>
        <v>1</v>
      </c>
      <c r="G2678" s="52">
        <f>IF(expected_production[[#This Row],[Base Expected (kWh)]]="","",expected_production[[#This Row],[Base Expected (kWh)]]*expected_production[[#This Row],[Degradation Factor]])</f>
        <v>17465.400000000001</v>
      </c>
    </row>
    <row r="2679" spans="1:7" hidden="1" x14ac:dyDescent="0.3">
      <c r="A2679" t="s">
        <v>271</v>
      </c>
      <c r="B2679" s="2">
        <v>45658</v>
      </c>
      <c r="C2679" s="52" cm="1">
        <f t="array" ref="C2679">IFERROR(INDEX('Expected Production'!$C$2:$N$199,MATCH(A2679,'Expected Production'!$A$2:$A$199,0),MONTH(B2679)),"")</f>
        <v>17370.900000000001</v>
      </c>
      <c r="D2679" s="48">
        <f>_xlfn.XLOOKUP(expected_production[[#This Row],[Site Name]],Table1[[Site Name ]],Table1[Commisioned Date],"")</f>
        <v>46162</v>
      </c>
      <c r="E2679" s="47">
        <f>IF(ISNUMBER(expected_production[[#This Row],[Commissioned Date]]),MAX(0,(expected_production[[#This Row],[Date]]-expected_production[[#This Row],[Commissioned Date]])/365.25),"")</f>
        <v>0</v>
      </c>
      <c r="F2679" s="49">
        <f>IF(expected_production[[#This Row],[Age (yrs)]]="",1,(1-DegradationRate)^expected_production[[#This Row],[Age (yrs)]])</f>
        <v>1</v>
      </c>
      <c r="G2679" s="52">
        <f>IF(expected_production[[#This Row],[Base Expected (kWh)]]="","",expected_production[[#This Row],[Base Expected (kWh)]]*expected_production[[#This Row],[Degradation Factor]])</f>
        <v>17370.900000000001</v>
      </c>
    </row>
    <row r="2680" spans="1:7" hidden="1" x14ac:dyDescent="0.3">
      <c r="A2680" t="s">
        <v>271</v>
      </c>
      <c r="B2680" s="2">
        <v>45689</v>
      </c>
      <c r="C2680" s="52" cm="1">
        <f t="array" ref="C2680">IFERROR(INDEX('Expected Production'!$C$2:$N$199,MATCH(A2680,'Expected Production'!$A$2:$A$199,0),MONTH(B2680)),"")</f>
        <v>15077.7</v>
      </c>
      <c r="D2680" s="48">
        <f>_xlfn.XLOOKUP(expected_production[[#This Row],[Site Name]],Table1[[Site Name ]],Table1[Commisioned Date],"")</f>
        <v>46162</v>
      </c>
      <c r="E2680" s="47">
        <f>IF(ISNUMBER(expected_production[[#This Row],[Commissioned Date]]),MAX(0,(expected_production[[#This Row],[Date]]-expected_production[[#This Row],[Commissioned Date]])/365.25),"")</f>
        <v>0</v>
      </c>
      <c r="F2680" s="49">
        <f>IF(expected_production[[#This Row],[Age (yrs)]]="",1,(1-DegradationRate)^expected_production[[#This Row],[Age (yrs)]])</f>
        <v>1</v>
      </c>
      <c r="G2680" s="52">
        <f>IF(expected_production[[#This Row],[Base Expected (kWh)]]="","",expected_production[[#This Row],[Base Expected (kWh)]]*expected_production[[#This Row],[Degradation Factor]])</f>
        <v>15077.7</v>
      </c>
    </row>
    <row r="2681" spans="1:7" hidden="1" x14ac:dyDescent="0.3">
      <c r="A2681" t="s">
        <v>271</v>
      </c>
      <c r="B2681" s="2">
        <v>45717</v>
      </c>
      <c r="C2681" s="52" cm="1">
        <f t="array" ref="C2681">IFERROR(INDEX('Expected Production'!$C$2:$N$199,MATCH(A2681,'Expected Production'!$A$2:$A$199,0),MONTH(B2681)),"")</f>
        <v>14634</v>
      </c>
      <c r="D2681" s="48">
        <f>_xlfn.XLOOKUP(expected_production[[#This Row],[Site Name]],Table1[[Site Name ]],Table1[Commisioned Date],"")</f>
        <v>46162</v>
      </c>
      <c r="E2681" s="47">
        <f>IF(ISNUMBER(expected_production[[#This Row],[Commissioned Date]]),MAX(0,(expected_production[[#This Row],[Date]]-expected_production[[#This Row],[Commissioned Date]])/365.25),"")</f>
        <v>0</v>
      </c>
      <c r="F2681" s="49">
        <f>IF(expected_production[[#This Row],[Age (yrs)]]="",1,(1-DegradationRate)^expected_production[[#This Row],[Age (yrs)]])</f>
        <v>1</v>
      </c>
      <c r="G2681" s="52">
        <f>IF(expected_production[[#This Row],[Base Expected (kWh)]]="","",expected_production[[#This Row],[Base Expected (kWh)]]*expected_production[[#This Row],[Degradation Factor]])</f>
        <v>14634</v>
      </c>
    </row>
    <row r="2682" spans="1:7" hidden="1" x14ac:dyDescent="0.3">
      <c r="A2682" t="s">
        <v>271</v>
      </c>
      <c r="B2682" s="2">
        <v>45748</v>
      </c>
      <c r="C2682" s="52" cm="1">
        <f t="array" ref="C2682">IFERROR(INDEX('Expected Production'!$C$2:$N$199,MATCH(A2682,'Expected Production'!$A$2:$A$199,0),MONTH(B2682)),"")</f>
        <v>12420</v>
      </c>
      <c r="D2682" s="48">
        <f>_xlfn.XLOOKUP(expected_production[[#This Row],[Site Name]],Table1[[Site Name ]],Table1[Commisioned Date],"")</f>
        <v>46162</v>
      </c>
      <c r="E2682" s="47">
        <f>IF(ISNUMBER(expected_production[[#This Row],[Commissioned Date]]),MAX(0,(expected_production[[#This Row],[Date]]-expected_production[[#This Row],[Commissioned Date]])/365.25),"")</f>
        <v>0</v>
      </c>
      <c r="F2682" s="49">
        <f>IF(expected_production[[#This Row],[Age (yrs)]]="",1,(1-DegradationRate)^expected_production[[#This Row],[Age (yrs)]])</f>
        <v>1</v>
      </c>
      <c r="G2682" s="52">
        <f>IF(expected_production[[#This Row],[Base Expected (kWh)]]="","",expected_production[[#This Row],[Base Expected (kWh)]]*expected_production[[#This Row],[Degradation Factor]])</f>
        <v>12420</v>
      </c>
    </row>
    <row r="2683" spans="1:7" hidden="1" x14ac:dyDescent="0.3">
      <c r="A2683" t="s">
        <v>271</v>
      </c>
      <c r="B2683" s="2">
        <v>45778</v>
      </c>
      <c r="C2683" s="52" cm="1">
        <f t="array" ref="C2683">IFERROR(INDEX('Expected Production'!$C$2:$N$199,MATCH(A2683,'Expected Production'!$A$2:$A$199,0),MONTH(B2683)),"")</f>
        <v>11402.1</v>
      </c>
      <c r="D2683" s="48">
        <f>_xlfn.XLOOKUP(expected_production[[#This Row],[Site Name]],Table1[[Site Name ]],Table1[Commisioned Date],"")</f>
        <v>46162</v>
      </c>
      <c r="E2683" s="47">
        <f>IF(ISNUMBER(expected_production[[#This Row],[Commissioned Date]]),MAX(0,(expected_production[[#This Row],[Date]]-expected_production[[#This Row],[Commissioned Date]])/365.25),"")</f>
        <v>0</v>
      </c>
      <c r="F2683" s="49">
        <f>IF(expected_production[[#This Row],[Age (yrs)]]="",1,(1-DegradationRate)^expected_production[[#This Row],[Age (yrs)]])</f>
        <v>1</v>
      </c>
      <c r="G2683" s="52">
        <f>IF(expected_production[[#This Row],[Base Expected (kWh)]]="","",expected_production[[#This Row],[Base Expected (kWh)]]*expected_production[[#This Row],[Degradation Factor]])</f>
        <v>11402.1</v>
      </c>
    </row>
    <row r="2684" spans="1:7" hidden="1" x14ac:dyDescent="0.3">
      <c r="A2684" t="s">
        <v>271</v>
      </c>
      <c r="B2684" s="2">
        <v>45809</v>
      </c>
      <c r="C2684" s="52" cm="1">
        <f t="array" ref="C2684">IFERROR(INDEX('Expected Production'!$C$2:$N$199,MATCH(A2684,'Expected Production'!$A$2:$A$199,0),MONTH(B2684)),"")</f>
        <v>9989.1</v>
      </c>
      <c r="D2684" s="48">
        <f>_xlfn.XLOOKUP(expected_production[[#This Row],[Site Name]],Table1[[Site Name ]],Table1[Commisioned Date],"")</f>
        <v>46162</v>
      </c>
      <c r="E2684" s="47">
        <f>IF(ISNUMBER(expected_production[[#This Row],[Commissioned Date]]),MAX(0,(expected_production[[#This Row],[Date]]-expected_production[[#This Row],[Commissioned Date]])/365.25),"")</f>
        <v>0</v>
      </c>
      <c r="F2684" s="49">
        <f>IF(expected_production[[#This Row],[Age (yrs)]]="",1,(1-DegradationRate)^expected_production[[#This Row],[Age (yrs)]])</f>
        <v>1</v>
      </c>
      <c r="G2684" s="52">
        <f>IF(expected_production[[#This Row],[Base Expected (kWh)]]="","",expected_production[[#This Row],[Base Expected (kWh)]]*expected_production[[#This Row],[Degradation Factor]])</f>
        <v>9989.1</v>
      </c>
    </row>
    <row r="2685" spans="1:7" hidden="1" x14ac:dyDescent="0.3">
      <c r="A2685" t="s">
        <v>271</v>
      </c>
      <c r="B2685" s="2">
        <v>45839</v>
      </c>
      <c r="C2685" s="52" cm="1">
        <f t="array" ref="C2685">IFERROR(INDEX('Expected Production'!$C$2:$N$199,MATCH(A2685,'Expected Production'!$A$2:$A$199,0),MONTH(B2685)),"")</f>
        <v>10986.300000000001</v>
      </c>
      <c r="D2685" s="48">
        <f>_xlfn.XLOOKUP(expected_production[[#This Row],[Site Name]],Table1[[Site Name ]],Table1[Commisioned Date],"")</f>
        <v>46162</v>
      </c>
      <c r="E2685" s="47">
        <f>IF(ISNUMBER(expected_production[[#This Row],[Commissioned Date]]),MAX(0,(expected_production[[#This Row],[Date]]-expected_production[[#This Row],[Commissioned Date]])/365.25),"")</f>
        <v>0</v>
      </c>
      <c r="F2685" s="49">
        <f>IF(expected_production[[#This Row],[Age (yrs)]]="",1,(1-DegradationRate)^expected_production[[#This Row],[Age (yrs)]])</f>
        <v>1</v>
      </c>
      <c r="G2685" s="52">
        <f>IF(expected_production[[#This Row],[Base Expected (kWh)]]="","",expected_production[[#This Row],[Base Expected (kWh)]]*expected_production[[#This Row],[Degradation Factor]])</f>
        <v>10986.300000000001</v>
      </c>
    </row>
    <row r="2686" spans="1:7" hidden="1" x14ac:dyDescent="0.3">
      <c r="A2686" t="s">
        <v>271</v>
      </c>
      <c r="B2686" s="2">
        <v>45870</v>
      </c>
      <c r="C2686" s="52" cm="1">
        <f t="array" ref="C2686">IFERROR(INDEX('Expected Production'!$C$2:$N$199,MATCH(A2686,'Expected Production'!$A$2:$A$199,0),MONTH(B2686)),"")</f>
        <v>13108.77</v>
      </c>
      <c r="D2686" s="48">
        <f>_xlfn.XLOOKUP(expected_production[[#This Row],[Site Name]],Table1[[Site Name ]],Table1[Commisioned Date],"")</f>
        <v>46162</v>
      </c>
      <c r="E2686" s="47">
        <f>IF(ISNUMBER(expected_production[[#This Row],[Commissioned Date]]),MAX(0,(expected_production[[#This Row],[Date]]-expected_production[[#This Row],[Commissioned Date]])/365.25),"")</f>
        <v>0</v>
      </c>
      <c r="F2686" s="49">
        <f>IF(expected_production[[#This Row],[Age (yrs)]]="",1,(1-DegradationRate)^expected_production[[#This Row],[Age (yrs)]])</f>
        <v>1</v>
      </c>
      <c r="G2686" s="52">
        <f>IF(expected_production[[#This Row],[Base Expected (kWh)]]="","",expected_production[[#This Row],[Base Expected (kWh)]]*expected_production[[#This Row],[Degradation Factor]])</f>
        <v>13108.77</v>
      </c>
    </row>
    <row r="2687" spans="1:7" hidden="1" x14ac:dyDescent="0.3">
      <c r="A2687" t="s">
        <v>271</v>
      </c>
      <c r="B2687" s="2">
        <v>45901</v>
      </c>
      <c r="C2687" s="52" cm="1">
        <f t="array" ref="C2687">IFERROR(INDEX('Expected Production'!$C$2:$N$199,MATCH(A2687,'Expected Production'!$A$2:$A$199,0),MONTH(B2687)),"")</f>
        <v>14833.17</v>
      </c>
      <c r="D2687" s="48">
        <f>_xlfn.XLOOKUP(expected_production[[#This Row],[Site Name]],Table1[[Site Name ]],Table1[Commisioned Date],"")</f>
        <v>46162</v>
      </c>
      <c r="E2687" s="47">
        <f>IF(ISNUMBER(expected_production[[#This Row],[Commissioned Date]]),MAX(0,(expected_production[[#This Row],[Date]]-expected_production[[#This Row],[Commissioned Date]])/365.25),"")</f>
        <v>0</v>
      </c>
      <c r="F2687" s="49">
        <f>IF(expected_production[[#This Row],[Age (yrs)]]="",1,(1-DegradationRate)^expected_production[[#This Row],[Age (yrs)]])</f>
        <v>1</v>
      </c>
      <c r="G2687" s="52">
        <f>IF(expected_production[[#This Row],[Base Expected (kWh)]]="","",expected_production[[#This Row],[Base Expected (kWh)]]*expected_production[[#This Row],[Degradation Factor]])</f>
        <v>14833.17</v>
      </c>
    </row>
    <row r="2688" spans="1:7" hidden="1" x14ac:dyDescent="0.3">
      <c r="A2688" t="s">
        <v>271</v>
      </c>
      <c r="B2688" s="2">
        <v>45931</v>
      </c>
      <c r="C2688" s="52" cm="1">
        <f t="array" ref="C2688">IFERROR(INDEX('Expected Production'!$C$2:$N$199,MATCH(A2688,'Expected Production'!$A$2:$A$199,0),MONTH(B2688)),"")</f>
        <v>17053.2</v>
      </c>
      <c r="D2688" s="48">
        <f>_xlfn.XLOOKUP(expected_production[[#This Row],[Site Name]],Table1[[Site Name ]],Table1[Commisioned Date],"")</f>
        <v>46162</v>
      </c>
      <c r="E2688" s="47">
        <f>IF(ISNUMBER(expected_production[[#This Row],[Commissioned Date]]),MAX(0,(expected_production[[#This Row],[Date]]-expected_production[[#This Row],[Commissioned Date]])/365.25),"")</f>
        <v>0</v>
      </c>
      <c r="F2688" s="49">
        <f>IF(expected_production[[#This Row],[Age (yrs)]]="",1,(1-DegradationRate)^expected_production[[#This Row],[Age (yrs)]])</f>
        <v>1</v>
      </c>
      <c r="G2688" s="52">
        <f>IF(expected_production[[#This Row],[Base Expected (kWh)]]="","",expected_production[[#This Row],[Base Expected (kWh)]]*expected_production[[#This Row],[Degradation Factor]])</f>
        <v>17053.2</v>
      </c>
    </row>
    <row r="2689" spans="1:7" hidden="1" x14ac:dyDescent="0.3">
      <c r="A2689" t="s">
        <v>271</v>
      </c>
      <c r="B2689" s="2">
        <v>45962</v>
      </c>
      <c r="C2689" s="52" cm="1">
        <f t="array" ref="C2689">IFERROR(INDEX('Expected Production'!$C$2:$N$199,MATCH(A2689,'Expected Production'!$A$2:$A$199,0),MONTH(B2689)),"")</f>
        <v>17239.5</v>
      </c>
      <c r="D2689" s="48">
        <f>_xlfn.XLOOKUP(expected_production[[#This Row],[Site Name]],Table1[[Site Name ]],Table1[Commisioned Date],"")</f>
        <v>46162</v>
      </c>
      <c r="E2689" s="47">
        <f>IF(ISNUMBER(expected_production[[#This Row],[Commissioned Date]]),MAX(0,(expected_production[[#This Row],[Date]]-expected_production[[#This Row],[Commissioned Date]])/365.25),"")</f>
        <v>0</v>
      </c>
      <c r="F2689" s="49">
        <f>IF(expected_production[[#This Row],[Age (yrs)]]="",1,(1-DegradationRate)^expected_production[[#This Row],[Age (yrs)]])</f>
        <v>1</v>
      </c>
      <c r="G2689" s="52">
        <f>IF(expected_production[[#This Row],[Base Expected (kWh)]]="","",expected_production[[#This Row],[Base Expected (kWh)]]*expected_production[[#This Row],[Degradation Factor]])</f>
        <v>17239.5</v>
      </c>
    </row>
    <row r="2690" spans="1:7" hidden="1" x14ac:dyDescent="0.3">
      <c r="A2690" t="s">
        <v>271</v>
      </c>
      <c r="B2690" s="2">
        <v>45992</v>
      </c>
      <c r="C2690" s="52" cm="1">
        <f t="array" ref="C2690">IFERROR(INDEX('Expected Production'!$C$2:$N$199,MATCH(A2690,'Expected Production'!$A$2:$A$199,0),MONTH(B2690)),"")</f>
        <v>17465.400000000001</v>
      </c>
      <c r="D2690" s="48">
        <f>_xlfn.XLOOKUP(expected_production[[#This Row],[Site Name]],Table1[[Site Name ]],Table1[Commisioned Date],"")</f>
        <v>46162</v>
      </c>
      <c r="E2690" s="47">
        <f>IF(ISNUMBER(expected_production[[#This Row],[Commissioned Date]]),MAX(0,(expected_production[[#This Row],[Date]]-expected_production[[#This Row],[Commissioned Date]])/365.25),"")</f>
        <v>0</v>
      </c>
      <c r="F2690" s="49">
        <f>IF(expected_production[[#This Row],[Age (yrs)]]="",1,(1-DegradationRate)^expected_production[[#This Row],[Age (yrs)]])</f>
        <v>1</v>
      </c>
      <c r="G2690" s="52">
        <f>IF(expected_production[[#This Row],[Base Expected (kWh)]]="","",expected_production[[#This Row],[Base Expected (kWh)]]*expected_production[[#This Row],[Degradation Factor]])</f>
        <v>17465.400000000001</v>
      </c>
    </row>
    <row r="2691" spans="1:7" hidden="1" x14ac:dyDescent="0.3">
      <c r="A2691" t="s">
        <v>271</v>
      </c>
      <c r="B2691" s="2">
        <v>46023</v>
      </c>
      <c r="C2691" s="52" cm="1">
        <f t="array" ref="C2691">IFERROR(INDEX('Expected Production'!$C$2:$N$199,MATCH(A2691,'Expected Production'!$A$2:$A$199,0),MONTH(B2691)),"")</f>
        <v>17370.900000000001</v>
      </c>
      <c r="D2691" s="48">
        <f>_xlfn.XLOOKUP(expected_production[[#This Row],[Site Name]],Table1[[Site Name ]],Table1[Commisioned Date],"")</f>
        <v>46162</v>
      </c>
      <c r="E2691" s="47">
        <f>IF(ISNUMBER(expected_production[[#This Row],[Commissioned Date]]),MAX(0,(expected_production[[#This Row],[Date]]-expected_production[[#This Row],[Commissioned Date]])/365.25),"")</f>
        <v>0</v>
      </c>
      <c r="F2691" s="49">
        <f>IF(expected_production[[#This Row],[Age (yrs)]]="",1,(1-DegradationRate)^expected_production[[#This Row],[Age (yrs)]])</f>
        <v>1</v>
      </c>
      <c r="G2691" s="52">
        <f>IF(expected_production[[#This Row],[Base Expected (kWh)]]="","",expected_production[[#This Row],[Base Expected (kWh)]]*expected_production[[#This Row],[Degradation Factor]])</f>
        <v>17370.900000000001</v>
      </c>
    </row>
    <row r="2692" spans="1:7" hidden="1" x14ac:dyDescent="0.3">
      <c r="A2692" t="s">
        <v>271</v>
      </c>
      <c r="B2692" s="2">
        <v>46054</v>
      </c>
      <c r="C2692" s="52" cm="1">
        <f t="array" ref="C2692">IFERROR(INDEX('Expected Production'!$C$2:$N$199,MATCH(A2692,'Expected Production'!$A$2:$A$199,0),MONTH(B2692)),"")</f>
        <v>15077.7</v>
      </c>
      <c r="D2692" s="48">
        <f>_xlfn.XLOOKUP(expected_production[[#This Row],[Site Name]],Table1[[Site Name ]],Table1[Commisioned Date],"")</f>
        <v>46162</v>
      </c>
      <c r="E2692" s="47">
        <f>IF(ISNUMBER(expected_production[[#This Row],[Commissioned Date]]),MAX(0,(expected_production[[#This Row],[Date]]-expected_production[[#This Row],[Commissioned Date]])/365.25),"")</f>
        <v>0</v>
      </c>
      <c r="F2692" s="49">
        <f>IF(expected_production[[#This Row],[Age (yrs)]]="",1,(1-DegradationRate)^expected_production[[#This Row],[Age (yrs)]])</f>
        <v>1</v>
      </c>
      <c r="G2692" s="52">
        <f>IF(expected_production[[#This Row],[Base Expected (kWh)]]="","",expected_production[[#This Row],[Base Expected (kWh)]]*expected_production[[#This Row],[Degradation Factor]])</f>
        <v>15077.7</v>
      </c>
    </row>
    <row r="2693" spans="1:7" hidden="1" x14ac:dyDescent="0.3">
      <c r="A2693" t="s">
        <v>271</v>
      </c>
      <c r="B2693" s="2">
        <v>46082</v>
      </c>
      <c r="C2693" s="52" cm="1">
        <f t="array" ref="C2693">IFERROR(INDEX('Expected Production'!$C$2:$N$199,MATCH(A2693,'Expected Production'!$A$2:$A$199,0),MONTH(B2693)),"")</f>
        <v>14634</v>
      </c>
      <c r="D2693" s="48">
        <f>_xlfn.XLOOKUP(expected_production[[#This Row],[Site Name]],Table1[[Site Name ]],Table1[Commisioned Date],"")</f>
        <v>46162</v>
      </c>
      <c r="E2693" s="47">
        <f>IF(ISNUMBER(expected_production[[#This Row],[Commissioned Date]]),MAX(0,(expected_production[[#This Row],[Date]]-expected_production[[#This Row],[Commissioned Date]])/365.25),"")</f>
        <v>0</v>
      </c>
      <c r="F2693" s="49">
        <f>IF(expected_production[[#This Row],[Age (yrs)]]="",1,(1-DegradationRate)^expected_production[[#This Row],[Age (yrs)]])</f>
        <v>1</v>
      </c>
      <c r="G2693" s="52">
        <f>IF(expected_production[[#This Row],[Base Expected (kWh)]]="","",expected_production[[#This Row],[Base Expected (kWh)]]*expected_production[[#This Row],[Degradation Factor]])</f>
        <v>14634</v>
      </c>
    </row>
    <row r="2694" spans="1:7" hidden="1" x14ac:dyDescent="0.3">
      <c r="A2694" t="s">
        <v>271</v>
      </c>
      <c r="B2694" s="2">
        <v>46113</v>
      </c>
      <c r="C2694" s="52" cm="1">
        <f t="array" ref="C2694">IFERROR(INDEX('Expected Production'!$C$2:$N$199,MATCH(A2694,'Expected Production'!$A$2:$A$199,0),MONTH(B2694)),"")</f>
        <v>12420</v>
      </c>
      <c r="D2694" s="48">
        <f>_xlfn.XLOOKUP(expected_production[[#This Row],[Site Name]],Table1[[Site Name ]],Table1[Commisioned Date],"")</f>
        <v>46162</v>
      </c>
      <c r="E2694" s="47">
        <f>IF(ISNUMBER(expected_production[[#This Row],[Commissioned Date]]),MAX(0,(expected_production[[#This Row],[Date]]-expected_production[[#This Row],[Commissioned Date]])/365.25),"")</f>
        <v>0</v>
      </c>
      <c r="F2694" s="49">
        <f>IF(expected_production[[#This Row],[Age (yrs)]]="",1,(1-DegradationRate)^expected_production[[#This Row],[Age (yrs)]])</f>
        <v>1</v>
      </c>
      <c r="G2694" s="52">
        <f>IF(expected_production[[#This Row],[Base Expected (kWh)]]="","",expected_production[[#This Row],[Base Expected (kWh)]]*expected_production[[#This Row],[Degradation Factor]])</f>
        <v>12420</v>
      </c>
    </row>
    <row r="2695" spans="1:7" hidden="1" x14ac:dyDescent="0.3">
      <c r="A2695" t="s">
        <v>271</v>
      </c>
      <c r="B2695" s="2">
        <v>46143</v>
      </c>
      <c r="C2695" s="52" cm="1">
        <f t="array" ref="C2695">IFERROR(INDEX('Expected Production'!$C$2:$N$199,MATCH(A2695,'Expected Production'!$A$2:$A$199,0),MONTH(B2695)),"")</f>
        <v>11402.1</v>
      </c>
      <c r="D2695" s="48">
        <f>_xlfn.XLOOKUP(expected_production[[#This Row],[Site Name]],Table1[[Site Name ]],Table1[Commisioned Date],"")</f>
        <v>46162</v>
      </c>
      <c r="E2695" s="47">
        <f>IF(ISNUMBER(expected_production[[#This Row],[Commissioned Date]]),MAX(0,(expected_production[[#This Row],[Date]]-expected_production[[#This Row],[Commissioned Date]])/365.25),"")</f>
        <v>0</v>
      </c>
      <c r="F2695" s="49">
        <f>IF(expected_production[[#This Row],[Age (yrs)]]="",1,(1-DegradationRate)^expected_production[[#This Row],[Age (yrs)]])</f>
        <v>1</v>
      </c>
      <c r="G2695" s="52">
        <f>IF(expected_production[[#This Row],[Base Expected (kWh)]]="","",expected_production[[#This Row],[Base Expected (kWh)]]*expected_production[[#This Row],[Degradation Factor]])</f>
        <v>11402.1</v>
      </c>
    </row>
    <row r="2696" spans="1:7" hidden="1" x14ac:dyDescent="0.3">
      <c r="A2696" t="s">
        <v>271</v>
      </c>
      <c r="B2696" s="2">
        <v>46174</v>
      </c>
      <c r="C2696" s="52" cm="1">
        <f t="array" ref="C2696">IFERROR(INDEX('Expected Production'!$C$2:$N$199,MATCH(A2696,'Expected Production'!$A$2:$A$199,0),MONTH(B2696)),"")</f>
        <v>9989.1</v>
      </c>
      <c r="D2696" s="48">
        <f>_xlfn.XLOOKUP(expected_production[[#This Row],[Site Name]],Table1[[Site Name ]],Table1[Commisioned Date],"")</f>
        <v>46162</v>
      </c>
      <c r="E2696" s="47">
        <f>IF(ISNUMBER(expected_production[[#This Row],[Commissioned Date]]),MAX(0,(expected_production[[#This Row],[Date]]-expected_production[[#This Row],[Commissioned Date]])/365.25),"")</f>
        <v>3.2854209445585217E-2</v>
      </c>
      <c r="F2696" s="49">
        <f>IF(expected_production[[#This Row],[Age (yrs)]]="",1,(1-DegradationRate)^expected_production[[#This Row],[Age (yrs)]])</f>
        <v>0.99976923845912757</v>
      </c>
      <c r="G2696" s="52">
        <f>IF(expected_production[[#This Row],[Base Expected (kWh)]]="","",expected_production[[#This Row],[Base Expected (kWh)]]*expected_production[[#This Row],[Degradation Factor]])</f>
        <v>9986.794899892071</v>
      </c>
    </row>
    <row r="2697" spans="1:7" hidden="1" x14ac:dyDescent="0.3">
      <c r="A2697" t="s">
        <v>271</v>
      </c>
      <c r="B2697" s="2">
        <v>46204</v>
      </c>
      <c r="C2697" s="52" cm="1">
        <f t="array" ref="C2697">IFERROR(INDEX('Expected Production'!$C$2:$N$199,MATCH(A2697,'Expected Production'!$A$2:$A$199,0),MONTH(B2697)),"")</f>
        <v>10986.300000000001</v>
      </c>
      <c r="D2697" s="48">
        <f>_xlfn.XLOOKUP(expected_production[[#This Row],[Site Name]],Table1[[Site Name ]],Table1[Commisioned Date],"")</f>
        <v>46162</v>
      </c>
      <c r="E2697" s="47">
        <f>IF(ISNUMBER(expected_production[[#This Row],[Commissioned Date]]),MAX(0,(expected_production[[#This Row],[Date]]-expected_production[[#This Row],[Commissioned Date]])/365.25),"")</f>
        <v>0.11498973305954825</v>
      </c>
      <c r="F2697" s="49">
        <f>IF(expected_production[[#This Row],[Age (yrs)]]="",1,(1-DegradationRate)^expected_production[[#This Row],[Age (yrs)]])</f>
        <v>0.99919256755270491</v>
      </c>
      <c r="G2697" s="52">
        <f>IF(expected_production[[#This Row],[Base Expected (kWh)]]="","",expected_production[[#This Row],[Base Expected (kWh)]]*expected_production[[#This Row],[Degradation Factor]])</f>
        <v>10977.429304904283</v>
      </c>
    </row>
    <row r="2698" spans="1:7" hidden="1" x14ac:dyDescent="0.3">
      <c r="A2698" t="s">
        <v>271</v>
      </c>
      <c r="B2698" s="2">
        <v>46235</v>
      </c>
      <c r="C2698" s="52" cm="1">
        <f t="array" ref="C2698">IFERROR(INDEX('Expected Production'!$C$2:$N$199,MATCH(A2698,'Expected Production'!$A$2:$A$199,0),MONTH(B2698)),"")</f>
        <v>13108.77</v>
      </c>
      <c r="D2698" s="48">
        <f>_xlfn.XLOOKUP(expected_production[[#This Row],[Site Name]],Table1[[Site Name ]],Table1[Commisioned Date],"")</f>
        <v>46162</v>
      </c>
      <c r="E2698" s="47">
        <f>IF(ISNUMBER(expected_production[[#This Row],[Commissioned Date]]),MAX(0,(expected_production[[#This Row],[Date]]-expected_production[[#This Row],[Commissioned Date]])/365.25),"")</f>
        <v>0.1998631074606434</v>
      </c>
      <c r="F2698" s="49">
        <f>IF(expected_production[[#This Row],[Age (yrs)]]="",1,(1-DegradationRate)^expected_production[[#This Row],[Age (yrs)]])</f>
        <v>0.99859702372268344</v>
      </c>
      <c r="G2698" s="52">
        <f>IF(expected_production[[#This Row],[Base Expected (kWh)]]="","",expected_production[[#This Row],[Base Expected (kWh)]]*expected_production[[#This Row],[Degradation Factor]])</f>
        <v>13090.378706665202</v>
      </c>
    </row>
    <row r="2699" spans="1:7" hidden="1" x14ac:dyDescent="0.3">
      <c r="A2699" t="s">
        <v>271</v>
      </c>
      <c r="B2699" s="2">
        <v>46266</v>
      </c>
      <c r="C2699" s="52" cm="1">
        <f t="array" ref="C2699">IFERROR(INDEX('Expected Production'!$C$2:$N$199,MATCH(A2699,'Expected Production'!$A$2:$A$199,0),MONTH(B2699)),"")</f>
        <v>14833.17</v>
      </c>
      <c r="D2699" s="48">
        <f>_xlfn.XLOOKUP(expected_production[[#This Row],[Site Name]],Table1[[Site Name ]],Table1[Commisioned Date],"")</f>
        <v>46162</v>
      </c>
      <c r="E2699" s="47">
        <f>IF(ISNUMBER(expected_production[[#This Row],[Commissioned Date]]),MAX(0,(expected_production[[#This Row],[Date]]-expected_production[[#This Row],[Commissioned Date]])/365.25),"")</f>
        <v>0.28473648186173856</v>
      </c>
      <c r="F2699" s="49">
        <f>IF(expected_production[[#This Row],[Age (yrs)]]="",1,(1-DegradationRate)^expected_production[[#This Row],[Age (yrs)]])</f>
        <v>0.99800183485172089</v>
      </c>
      <c r="G2699" s="52">
        <f>IF(expected_production[[#This Row],[Base Expected (kWh)]]="","",expected_production[[#This Row],[Base Expected (kWh)]]*expected_production[[#This Row],[Degradation Factor]])</f>
        <v>14803.530876667501</v>
      </c>
    </row>
    <row r="2700" spans="1:7" hidden="1" x14ac:dyDescent="0.3">
      <c r="A2700" t="s">
        <v>271</v>
      </c>
      <c r="B2700" s="2">
        <v>46296</v>
      </c>
      <c r="C2700" s="52" cm="1">
        <f t="array" ref="C2700">IFERROR(INDEX('Expected Production'!$C$2:$N$199,MATCH(A2700,'Expected Production'!$A$2:$A$199,0),MONTH(B2700)),"")</f>
        <v>17053.2</v>
      </c>
      <c r="D2700" s="48">
        <f>_xlfn.XLOOKUP(expected_production[[#This Row],[Site Name]],Table1[[Site Name ]],Table1[Commisioned Date],"")</f>
        <v>46162</v>
      </c>
      <c r="E2700" s="47">
        <f>IF(ISNUMBER(expected_production[[#This Row],[Commissioned Date]]),MAX(0,(expected_production[[#This Row],[Date]]-expected_production[[#This Row],[Commissioned Date]])/365.25),"")</f>
        <v>0.36687200547570159</v>
      </c>
      <c r="F2700" s="49">
        <f>IF(expected_production[[#This Row],[Age (yrs)]]="",1,(1-DegradationRate)^expected_production[[#This Row],[Age (yrs)]])</f>
        <v>0.99742618339078737</v>
      </c>
      <c r="G2700" s="52">
        <f>IF(expected_production[[#This Row],[Base Expected (kWh)]]="","",expected_production[[#This Row],[Base Expected (kWh)]]*expected_production[[#This Row],[Degradation Factor]])</f>
        <v>17009.308190599775</v>
      </c>
    </row>
    <row r="2701" spans="1:7" hidden="1" x14ac:dyDescent="0.3">
      <c r="A2701" t="s">
        <v>271</v>
      </c>
      <c r="B2701" s="2">
        <v>46327</v>
      </c>
      <c r="C2701" s="52" cm="1">
        <f t="array" ref="C2701">IFERROR(INDEX('Expected Production'!$C$2:$N$199,MATCH(A2701,'Expected Production'!$A$2:$A$199,0),MONTH(B2701)),"")</f>
        <v>17239.5</v>
      </c>
      <c r="D2701" s="48">
        <f>_xlfn.XLOOKUP(expected_production[[#This Row],[Site Name]],Table1[[Site Name ]],Table1[Commisioned Date],"")</f>
        <v>46162</v>
      </c>
      <c r="E2701" s="47">
        <f>IF(ISNUMBER(expected_production[[#This Row],[Commissioned Date]]),MAX(0,(expected_production[[#This Row],[Date]]-expected_production[[#This Row],[Commissioned Date]])/365.25),"")</f>
        <v>0.45174537987679669</v>
      </c>
      <c r="F2701" s="49">
        <f>IF(expected_production[[#This Row],[Age (yrs)]]="",1,(1-DegradationRate)^expected_production[[#This Row],[Age (yrs)]])</f>
        <v>0.99683169237002733</v>
      </c>
      <c r="G2701" s="52">
        <f>IF(expected_production[[#This Row],[Base Expected (kWh)]]="","",expected_production[[#This Row],[Base Expected (kWh)]]*expected_production[[#This Row],[Degradation Factor]])</f>
        <v>17184.879960613085</v>
      </c>
    </row>
    <row r="2702" spans="1:7" hidden="1" x14ac:dyDescent="0.3">
      <c r="A2702" t="s">
        <v>271</v>
      </c>
      <c r="B2702" s="2">
        <v>46357</v>
      </c>
      <c r="C2702" s="52" cm="1">
        <f t="array" ref="C2702">IFERROR(INDEX('Expected Production'!$C$2:$N$199,MATCH(A2702,'Expected Production'!$A$2:$A$199,0),MONTH(B2702)),"")</f>
        <v>17465.400000000001</v>
      </c>
      <c r="D2702" s="48">
        <f>_xlfn.XLOOKUP(expected_production[[#This Row],[Site Name]],Table1[[Site Name ]],Table1[Commisioned Date],"")</f>
        <v>46162</v>
      </c>
      <c r="E2702" s="47">
        <f>IF(ISNUMBER(expected_production[[#This Row],[Commissioned Date]]),MAX(0,(expected_production[[#This Row],[Date]]-expected_production[[#This Row],[Commissioned Date]])/365.25),"")</f>
        <v>0.53388090349075978</v>
      </c>
      <c r="F2702" s="49">
        <f>IF(expected_production[[#This Row],[Age (yrs)]]="",1,(1-DegradationRate)^expected_production[[#This Row],[Age (yrs)]])</f>
        <v>0.99625671585197029</v>
      </c>
      <c r="G2702" s="52">
        <f>IF(expected_production[[#This Row],[Base Expected (kWh)]]="","",expected_production[[#This Row],[Base Expected (kWh)]]*expected_production[[#This Row],[Degradation Factor]])</f>
        <v>17400.022045041002</v>
      </c>
    </row>
    <row r="2703" spans="1:7" hidden="1" x14ac:dyDescent="0.3">
      <c r="A2703" t="s">
        <v>251</v>
      </c>
      <c r="B2703" s="2">
        <v>45292</v>
      </c>
      <c r="C2703" s="52" cm="1">
        <f t="array" ref="C2703">IFERROR(INDEX('Expected Production'!$C$2:$N$199,MATCH(A2703,'Expected Production'!$A$2:$A$199,0),MONTH(B2703)),"")</f>
        <v>26451</v>
      </c>
      <c r="D2703" s="48">
        <f>_xlfn.XLOOKUP(expected_production[[#This Row],[Site Name]],Table1[[Site Name ]],Table1[Commisioned Date],"")</f>
        <v>46129</v>
      </c>
      <c r="E2703" s="47">
        <f>IF(ISNUMBER(expected_production[[#This Row],[Commissioned Date]]),MAX(0,(expected_production[[#This Row],[Date]]-expected_production[[#This Row],[Commissioned Date]])/365.25),"")</f>
        <v>0</v>
      </c>
      <c r="F2703" s="49">
        <f>IF(expected_production[[#This Row],[Age (yrs)]]="",1,(1-DegradationRate)^expected_production[[#This Row],[Age (yrs)]])</f>
        <v>1</v>
      </c>
      <c r="G2703" s="52">
        <f>IF(expected_production[[#This Row],[Base Expected (kWh)]]="","",expected_production[[#This Row],[Base Expected (kWh)]]*expected_production[[#This Row],[Degradation Factor]])</f>
        <v>26451</v>
      </c>
    </row>
    <row r="2704" spans="1:7" hidden="1" x14ac:dyDescent="0.3">
      <c r="A2704" t="s">
        <v>251</v>
      </c>
      <c r="B2704" s="2">
        <v>45323</v>
      </c>
      <c r="C2704" s="52" cm="1">
        <f t="array" ref="C2704">IFERROR(INDEX('Expected Production'!$C$2:$N$199,MATCH(A2704,'Expected Production'!$A$2:$A$199,0),MONTH(B2704)),"")</f>
        <v>23215.5</v>
      </c>
      <c r="D2704" s="48">
        <f>_xlfn.XLOOKUP(expected_production[[#This Row],[Site Name]],Table1[[Site Name ]],Table1[Commisioned Date],"")</f>
        <v>46129</v>
      </c>
      <c r="E2704" s="47">
        <f>IF(ISNUMBER(expected_production[[#This Row],[Commissioned Date]]),MAX(0,(expected_production[[#This Row],[Date]]-expected_production[[#This Row],[Commissioned Date]])/365.25),"")</f>
        <v>0</v>
      </c>
      <c r="F2704" s="49">
        <f>IF(expected_production[[#This Row],[Age (yrs)]]="",1,(1-DegradationRate)^expected_production[[#This Row],[Age (yrs)]])</f>
        <v>1</v>
      </c>
      <c r="G2704" s="52">
        <f>IF(expected_production[[#This Row],[Base Expected (kWh)]]="","",expected_production[[#This Row],[Base Expected (kWh)]]*expected_production[[#This Row],[Degradation Factor]])</f>
        <v>23215.5</v>
      </c>
    </row>
    <row r="2705" spans="1:7" hidden="1" x14ac:dyDescent="0.3">
      <c r="A2705" t="s">
        <v>251</v>
      </c>
      <c r="B2705" s="2">
        <v>45352</v>
      </c>
      <c r="C2705" s="52" cm="1">
        <f t="array" ref="C2705">IFERROR(INDEX('Expected Production'!$C$2:$N$199,MATCH(A2705,'Expected Production'!$A$2:$A$199,0),MONTH(B2705)),"")</f>
        <v>23034.600000000002</v>
      </c>
      <c r="D2705" s="48">
        <f>_xlfn.XLOOKUP(expected_production[[#This Row],[Site Name]],Table1[[Site Name ]],Table1[Commisioned Date],"")</f>
        <v>46129</v>
      </c>
      <c r="E2705" s="47">
        <f>IF(ISNUMBER(expected_production[[#This Row],[Commissioned Date]]),MAX(0,(expected_production[[#This Row],[Date]]-expected_production[[#This Row],[Commissioned Date]])/365.25),"")</f>
        <v>0</v>
      </c>
      <c r="F2705" s="49">
        <f>IF(expected_production[[#This Row],[Age (yrs)]]="",1,(1-DegradationRate)^expected_production[[#This Row],[Age (yrs)]])</f>
        <v>1</v>
      </c>
      <c r="G2705" s="52">
        <f>IF(expected_production[[#This Row],[Base Expected (kWh)]]="","",expected_production[[#This Row],[Base Expected (kWh)]]*expected_production[[#This Row],[Degradation Factor]])</f>
        <v>23034.600000000002</v>
      </c>
    </row>
    <row r="2706" spans="1:7" hidden="1" x14ac:dyDescent="0.3">
      <c r="A2706" t="s">
        <v>251</v>
      </c>
      <c r="B2706" s="2">
        <v>45383</v>
      </c>
      <c r="C2706" s="52" cm="1">
        <f t="array" ref="C2706">IFERROR(INDEX('Expected Production'!$C$2:$N$199,MATCH(A2706,'Expected Production'!$A$2:$A$199,0),MONTH(B2706)),"")</f>
        <v>19930.5</v>
      </c>
      <c r="D2706" s="48">
        <f>_xlfn.XLOOKUP(expected_production[[#This Row],[Site Name]],Table1[[Site Name ]],Table1[Commisioned Date],"")</f>
        <v>46129</v>
      </c>
      <c r="E2706" s="47">
        <f>IF(ISNUMBER(expected_production[[#This Row],[Commissioned Date]]),MAX(0,(expected_production[[#This Row],[Date]]-expected_production[[#This Row],[Commissioned Date]])/365.25),"")</f>
        <v>0</v>
      </c>
      <c r="F2706" s="49">
        <f>IF(expected_production[[#This Row],[Age (yrs)]]="",1,(1-DegradationRate)^expected_production[[#This Row],[Age (yrs)]])</f>
        <v>1</v>
      </c>
      <c r="G2706" s="52">
        <f>IF(expected_production[[#This Row],[Base Expected (kWh)]]="","",expected_production[[#This Row],[Base Expected (kWh)]]*expected_production[[#This Row],[Degradation Factor]])</f>
        <v>19930.5</v>
      </c>
    </row>
    <row r="2707" spans="1:7" hidden="1" x14ac:dyDescent="0.3">
      <c r="A2707" t="s">
        <v>251</v>
      </c>
      <c r="B2707" s="2">
        <v>45413</v>
      </c>
      <c r="C2707" s="52" cm="1">
        <f t="array" ref="C2707">IFERROR(INDEX('Expected Production'!$C$2:$N$199,MATCH(A2707,'Expected Production'!$A$2:$A$199,0),MONTH(B2707)),"")</f>
        <v>18754.2</v>
      </c>
      <c r="D2707" s="48">
        <f>_xlfn.XLOOKUP(expected_production[[#This Row],[Site Name]],Table1[[Site Name ]],Table1[Commisioned Date],"")</f>
        <v>46129</v>
      </c>
      <c r="E2707" s="47">
        <f>IF(ISNUMBER(expected_production[[#This Row],[Commissioned Date]]),MAX(0,(expected_production[[#This Row],[Date]]-expected_production[[#This Row],[Commissioned Date]])/365.25),"")</f>
        <v>0</v>
      </c>
      <c r="F2707" s="49">
        <f>IF(expected_production[[#This Row],[Age (yrs)]]="",1,(1-DegradationRate)^expected_production[[#This Row],[Age (yrs)]])</f>
        <v>1</v>
      </c>
      <c r="G2707" s="52">
        <f>IF(expected_production[[#This Row],[Base Expected (kWh)]]="","",expected_production[[#This Row],[Base Expected (kWh)]]*expected_production[[#This Row],[Degradation Factor]])</f>
        <v>18754.2</v>
      </c>
    </row>
    <row r="2708" spans="1:7" hidden="1" x14ac:dyDescent="0.3">
      <c r="A2708" t="s">
        <v>251</v>
      </c>
      <c r="B2708" s="2">
        <v>45444</v>
      </c>
      <c r="C2708" s="52" cm="1">
        <f t="array" ref="C2708">IFERROR(INDEX('Expected Production'!$C$2:$N$199,MATCH(A2708,'Expected Production'!$A$2:$A$199,0),MONTH(B2708)),"")</f>
        <v>16767.900000000001</v>
      </c>
      <c r="D2708" s="48">
        <f>_xlfn.XLOOKUP(expected_production[[#This Row],[Site Name]],Table1[[Site Name ]],Table1[Commisioned Date],"")</f>
        <v>46129</v>
      </c>
      <c r="E2708" s="47">
        <f>IF(ISNUMBER(expected_production[[#This Row],[Commissioned Date]]),MAX(0,(expected_production[[#This Row],[Date]]-expected_production[[#This Row],[Commissioned Date]])/365.25),"")</f>
        <v>0</v>
      </c>
      <c r="F2708" s="49">
        <f>IF(expected_production[[#This Row],[Age (yrs)]]="",1,(1-DegradationRate)^expected_production[[#This Row],[Age (yrs)]])</f>
        <v>1</v>
      </c>
      <c r="G2708" s="52">
        <f>IF(expected_production[[#This Row],[Base Expected (kWh)]]="","",expected_production[[#This Row],[Base Expected (kWh)]]*expected_production[[#This Row],[Degradation Factor]])</f>
        <v>16767.900000000001</v>
      </c>
    </row>
    <row r="2709" spans="1:7" hidden="1" x14ac:dyDescent="0.3">
      <c r="A2709" t="s">
        <v>251</v>
      </c>
      <c r="B2709" s="2">
        <v>45474</v>
      </c>
      <c r="C2709" s="52" cm="1">
        <f t="array" ref="C2709">IFERROR(INDEX('Expected Production'!$C$2:$N$199,MATCH(A2709,'Expected Production'!$A$2:$A$199,0),MONTH(B2709)),"")</f>
        <v>18261</v>
      </c>
      <c r="D2709" s="48">
        <f>_xlfn.XLOOKUP(expected_production[[#This Row],[Site Name]],Table1[[Site Name ]],Table1[Commisioned Date],"")</f>
        <v>46129</v>
      </c>
      <c r="E2709" s="47">
        <f>IF(ISNUMBER(expected_production[[#This Row],[Commissioned Date]]),MAX(0,(expected_production[[#This Row],[Date]]-expected_production[[#This Row],[Commissioned Date]])/365.25),"")</f>
        <v>0</v>
      </c>
      <c r="F2709" s="49">
        <f>IF(expected_production[[#This Row],[Age (yrs)]]="",1,(1-DegradationRate)^expected_production[[#This Row],[Age (yrs)]])</f>
        <v>1</v>
      </c>
      <c r="G2709" s="52">
        <f>IF(expected_production[[#This Row],[Base Expected (kWh)]]="","",expected_production[[#This Row],[Base Expected (kWh)]]*expected_production[[#This Row],[Degradation Factor]])</f>
        <v>18261</v>
      </c>
    </row>
    <row r="2710" spans="1:7" hidden="1" x14ac:dyDescent="0.3">
      <c r="A2710" t="s">
        <v>251</v>
      </c>
      <c r="B2710" s="2">
        <v>45505</v>
      </c>
      <c r="C2710" s="52" cm="1">
        <f t="array" ref="C2710">IFERROR(INDEX('Expected Production'!$C$2:$N$199,MATCH(A2710,'Expected Production'!$A$2:$A$199,0),MONTH(B2710)),"")</f>
        <v>21311.100000000002</v>
      </c>
      <c r="D2710" s="48">
        <f>_xlfn.XLOOKUP(expected_production[[#This Row],[Site Name]],Table1[[Site Name ]],Table1[Commisioned Date],"")</f>
        <v>46129</v>
      </c>
      <c r="E2710" s="47">
        <f>IF(ISNUMBER(expected_production[[#This Row],[Commissioned Date]]),MAX(0,(expected_production[[#This Row],[Date]]-expected_production[[#This Row],[Commissioned Date]])/365.25),"")</f>
        <v>0</v>
      </c>
      <c r="F2710" s="49">
        <f>IF(expected_production[[#This Row],[Age (yrs)]]="",1,(1-DegradationRate)^expected_production[[#This Row],[Age (yrs)]])</f>
        <v>1</v>
      </c>
      <c r="G2710" s="52">
        <f>IF(expected_production[[#This Row],[Base Expected (kWh)]]="","",expected_production[[#This Row],[Base Expected (kWh)]]*expected_production[[#This Row],[Degradation Factor]])</f>
        <v>21311.100000000002</v>
      </c>
    </row>
    <row r="2711" spans="1:7" hidden="1" x14ac:dyDescent="0.3">
      <c r="A2711" t="s">
        <v>251</v>
      </c>
      <c r="B2711" s="2">
        <v>45536</v>
      </c>
      <c r="C2711" s="52" cm="1">
        <f t="array" ref="C2711">IFERROR(INDEX('Expected Production'!$C$2:$N$199,MATCH(A2711,'Expected Production'!$A$2:$A$199,0),MONTH(B2711)),"")</f>
        <v>23659.200000000001</v>
      </c>
      <c r="D2711" s="48">
        <f>_xlfn.XLOOKUP(expected_production[[#This Row],[Site Name]],Table1[[Site Name ]],Table1[Commisioned Date],"")</f>
        <v>46129</v>
      </c>
      <c r="E2711" s="47">
        <f>IF(ISNUMBER(expected_production[[#This Row],[Commissioned Date]]),MAX(0,(expected_production[[#This Row],[Date]]-expected_production[[#This Row],[Commissioned Date]])/365.25),"")</f>
        <v>0</v>
      </c>
      <c r="F2711" s="49">
        <f>IF(expected_production[[#This Row],[Age (yrs)]]="",1,(1-DegradationRate)^expected_production[[#This Row],[Age (yrs)]])</f>
        <v>1</v>
      </c>
      <c r="G2711" s="52">
        <f>IF(expected_production[[#This Row],[Base Expected (kWh)]]="","",expected_production[[#This Row],[Base Expected (kWh)]]*expected_production[[#This Row],[Degradation Factor]])</f>
        <v>23659.200000000001</v>
      </c>
    </row>
    <row r="2712" spans="1:7" hidden="1" x14ac:dyDescent="0.3">
      <c r="A2712" t="s">
        <v>251</v>
      </c>
      <c r="B2712" s="2">
        <v>45566</v>
      </c>
      <c r="C2712" s="52" cm="1">
        <f t="array" ref="C2712">IFERROR(INDEX('Expected Production'!$C$2:$N$199,MATCH(A2712,'Expected Production'!$A$2:$A$199,0),MONTH(B2712)),"")</f>
        <v>26865.9</v>
      </c>
      <c r="D2712" s="48">
        <f>_xlfn.XLOOKUP(expected_production[[#This Row],[Site Name]],Table1[[Site Name ]],Table1[Commisioned Date],"")</f>
        <v>46129</v>
      </c>
      <c r="E2712" s="47">
        <f>IF(ISNUMBER(expected_production[[#This Row],[Commissioned Date]]),MAX(0,(expected_production[[#This Row],[Date]]-expected_production[[#This Row],[Commissioned Date]])/365.25),"")</f>
        <v>0</v>
      </c>
      <c r="F2712" s="49">
        <f>IF(expected_production[[#This Row],[Age (yrs)]]="",1,(1-DegradationRate)^expected_production[[#This Row],[Age (yrs)]])</f>
        <v>1</v>
      </c>
      <c r="G2712" s="52">
        <f>IF(expected_production[[#This Row],[Base Expected (kWh)]]="","",expected_production[[#This Row],[Base Expected (kWh)]]*expected_production[[#This Row],[Degradation Factor]])</f>
        <v>26865.9</v>
      </c>
    </row>
    <row r="2713" spans="1:7" hidden="1" x14ac:dyDescent="0.3">
      <c r="A2713" t="s">
        <v>251</v>
      </c>
      <c r="B2713" s="2">
        <v>45597</v>
      </c>
      <c r="C2713" s="52" cm="1">
        <f t="array" ref="C2713">IFERROR(INDEX('Expected Production'!$C$2:$N$199,MATCH(A2713,'Expected Production'!$A$2:$A$199,0),MONTH(B2713)),"")</f>
        <v>27153.9</v>
      </c>
      <c r="D2713" s="48">
        <f>_xlfn.XLOOKUP(expected_production[[#This Row],[Site Name]],Table1[[Site Name ]],Table1[Commisioned Date],"")</f>
        <v>46129</v>
      </c>
      <c r="E2713" s="47">
        <f>IF(ISNUMBER(expected_production[[#This Row],[Commissioned Date]]),MAX(0,(expected_production[[#This Row],[Date]]-expected_production[[#This Row],[Commissioned Date]])/365.25),"")</f>
        <v>0</v>
      </c>
      <c r="F2713" s="49">
        <f>IF(expected_production[[#This Row],[Age (yrs)]]="",1,(1-DegradationRate)^expected_production[[#This Row],[Age (yrs)]])</f>
        <v>1</v>
      </c>
      <c r="G2713" s="52">
        <f>IF(expected_production[[#This Row],[Base Expected (kWh)]]="","",expected_production[[#This Row],[Base Expected (kWh)]]*expected_production[[#This Row],[Degradation Factor]])</f>
        <v>27153.9</v>
      </c>
    </row>
    <row r="2714" spans="1:7" hidden="1" x14ac:dyDescent="0.3">
      <c r="A2714" t="s">
        <v>251</v>
      </c>
      <c r="B2714" s="2">
        <v>45627</v>
      </c>
      <c r="C2714" s="52" cm="1">
        <f t="array" ref="C2714">IFERROR(INDEX('Expected Production'!$C$2:$N$199,MATCH(A2714,'Expected Production'!$A$2:$A$199,0),MONTH(B2714)),"")</f>
        <v>27402.3</v>
      </c>
      <c r="D2714" s="48">
        <f>_xlfn.XLOOKUP(expected_production[[#This Row],[Site Name]],Table1[[Site Name ]],Table1[Commisioned Date],"")</f>
        <v>46129</v>
      </c>
      <c r="E2714" s="47">
        <f>IF(ISNUMBER(expected_production[[#This Row],[Commissioned Date]]),MAX(0,(expected_production[[#This Row],[Date]]-expected_production[[#This Row],[Commissioned Date]])/365.25),"")</f>
        <v>0</v>
      </c>
      <c r="F2714" s="49">
        <f>IF(expected_production[[#This Row],[Age (yrs)]]="",1,(1-DegradationRate)^expected_production[[#This Row],[Age (yrs)]])</f>
        <v>1</v>
      </c>
      <c r="G2714" s="52">
        <f>IF(expected_production[[#This Row],[Base Expected (kWh)]]="","",expected_production[[#This Row],[Base Expected (kWh)]]*expected_production[[#This Row],[Degradation Factor]])</f>
        <v>27402.3</v>
      </c>
    </row>
    <row r="2715" spans="1:7" hidden="1" x14ac:dyDescent="0.3">
      <c r="A2715" t="s">
        <v>251</v>
      </c>
      <c r="B2715" s="2">
        <v>45658</v>
      </c>
      <c r="C2715" s="52" cm="1">
        <f t="array" ref="C2715">IFERROR(INDEX('Expected Production'!$C$2:$N$199,MATCH(A2715,'Expected Production'!$A$2:$A$199,0),MONTH(B2715)),"")</f>
        <v>26451</v>
      </c>
      <c r="D2715" s="48">
        <f>_xlfn.XLOOKUP(expected_production[[#This Row],[Site Name]],Table1[[Site Name ]],Table1[Commisioned Date],"")</f>
        <v>46129</v>
      </c>
      <c r="E2715" s="47">
        <f>IF(ISNUMBER(expected_production[[#This Row],[Commissioned Date]]),MAX(0,(expected_production[[#This Row],[Date]]-expected_production[[#This Row],[Commissioned Date]])/365.25),"")</f>
        <v>0</v>
      </c>
      <c r="F2715" s="49">
        <f>IF(expected_production[[#This Row],[Age (yrs)]]="",1,(1-DegradationRate)^expected_production[[#This Row],[Age (yrs)]])</f>
        <v>1</v>
      </c>
      <c r="G2715" s="52">
        <f>IF(expected_production[[#This Row],[Base Expected (kWh)]]="","",expected_production[[#This Row],[Base Expected (kWh)]]*expected_production[[#This Row],[Degradation Factor]])</f>
        <v>26451</v>
      </c>
    </row>
    <row r="2716" spans="1:7" hidden="1" x14ac:dyDescent="0.3">
      <c r="A2716" t="s">
        <v>251</v>
      </c>
      <c r="B2716" s="2">
        <v>45689</v>
      </c>
      <c r="C2716" s="52" cm="1">
        <f t="array" ref="C2716">IFERROR(INDEX('Expected Production'!$C$2:$N$199,MATCH(A2716,'Expected Production'!$A$2:$A$199,0),MONTH(B2716)),"")</f>
        <v>23215.5</v>
      </c>
      <c r="D2716" s="48">
        <f>_xlfn.XLOOKUP(expected_production[[#This Row],[Site Name]],Table1[[Site Name ]],Table1[Commisioned Date],"")</f>
        <v>46129</v>
      </c>
      <c r="E2716" s="47">
        <f>IF(ISNUMBER(expected_production[[#This Row],[Commissioned Date]]),MAX(0,(expected_production[[#This Row],[Date]]-expected_production[[#This Row],[Commissioned Date]])/365.25),"")</f>
        <v>0</v>
      </c>
      <c r="F2716" s="49">
        <f>IF(expected_production[[#This Row],[Age (yrs)]]="",1,(1-DegradationRate)^expected_production[[#This Row],[Age (yrs)]])</f>
        <v>1</v>
      </c>
      <c r="G2716" s="52">
        <f>IF(expected_production[[#This Row],[Base Expected (kWh)]]="","",expected_production[[#This Row],[Base Expected (kWh)]]*expected_production[[#This Row],[Degradation Factor]])</f>
        <v>23215.5</v>
      </c>
    </row>
    <row r="2717" spans="1:7" hidden="1" x14ac:dyDescent="0.3">
      <c r="A2717" t="s">
        <v>251</v>
      </c>
      <c r="B2717" s="2">
        <v>45717</v>
      </c>
      <c r="C2717" s="52" cm="1">
        <f t="array" ref="C2717">IFERROR(INDEX('Expected Production'!$C$2:$N$199,MATCH(A2717,'Expected Production'!$A$2:$A$199,0),MONTH(B2717)),"")</f>
        <v>23034.600000000002</v>
      </c>
      <c r="D2717" s="48">
        <f>_xlfn.XLOOKUP(expected_production[[#This Row],[Site Name]],Table1[[Site Name ]],Table1[Commisioned Date],"")</f>
        <v>46129</v>
      </c>
      <c r="E2717" s="47">
        <f>IF(ISNUMBER(expected_production[[#This Row],[Commissioned Date]]),MAX(0,(expected_production[[#This Row],[Date]]-expected_production[[#This Row],[Commissioned Date]])/365.25),"")</f>
        <v>0</v>
      </c>
      <c r="F2717" s="49">
        <f>IF(expected_production[[#This Row],[Age (yrs)]]="",1,(1-DegradationRate)^expected_production[[#This Row],[Age (yrs)]])</f>
        <v>1</v>
      </c>
      <c r="G2717" s="52">
        <f>IF(expected_production[[#This Row],[Base Expected (kWh)]]="","",expected_production[[#This Row],[Base Expected (kWh)]]*expected_production[[#This Row],[Degradation Factor]])</f>
        <v>23034.600000000002</v>
      </c>
    </row>
    <row r="2718" spans="1:7" hidden="1" x14ac:dyDescent="0.3">
      <c r="A2718" t="s">
        <v>251</v>
      </c>
      <c r="B2718" s="2">
        <v>45748</v>
      </c>
      <c r="C2718" s="52" cm="1">
        <f t="array" ref="C2718">IFERROR(INDEX('Expected Production'!$C$2:$N$199,MATCH(A2718,'Expected Production'!$A$2:$A$199,0),MONTH(B2718)),"")</f>
        <v>19930.5</v>
      </c>
      <c r="D2718" s="48">
        <f>_xlfn.XLOOKUP(expected_production[[#This Row],[Site Name]],Table1[[Site Name ]],Table1[Commisioned Date],"")</f>
        <v>46129</v>
      </c>
      <c r="E2718" s="47">
        <f>IF(ISNUMBER(expected_production[[#This Row],[Commissioned Date]]),MAX(0,(expected_production[[#This Row],[Date]]-expected_production[[#This Row],[Commissioned Date]])/365.25),"")</f>
        <v>0</v>
      </c>
      <c r="F2718" s="49">
        <f>IF(expected_production[[#This Row],[Age (yrs)]]="",1,(1-DegradationRate)^expected_production[[#This Row],[Age (yrs)]])</f>
        <v>1</v>
      </c>
      <c r="G2718" s="52">
        <f>IF(expected_production[[#This Row],[Base Expected (kWh)]]="","",expected_production[[#This Row],[Base Expected (kWh)]]*expected_production[[#This Row],[Degradation Factor]])</f>
        <v>19930.5</v>
      </c>
    </row>
    <row r="2719" spans="1:7" hidden="1" x14ac:dyDescent="0.3">
      <c r="A2719" t="s">
        <v>251</v>
      </c>
      <c r="B2719" s="2">
        <v>45778</v>
      </c>
      <c r="C2719" s="52" cm="1">
        <f t="array" ref="C2719">IFERROR(INDEX('Expected Production'!$C$2:$N$199,MATCH(A2719,'Expected Production'!$A$2:$A$199,0),MONTH(B2719)),"")</f>
        <v>18754.2</v>
      </c>
      <c r="D2719" s="48">
        <f>_xlfn.XLOOKUP(expected_production[[#This Row],[Site Name]],Table1[[Site Name ]],Table1[Commisioned Date],"")</f>
        <v>46129</v>
      </c>
      <c r="E2719" s="47">
        <f>IF(ISNUMBER(expected_production[[#This Row],[Commissioned Date]]),MAX(0,(expected_production[[#This Row],[Date]]-expected_production[[#This Row],[Commissioned Date]])/365.25),"")</f>
        <v>0</v>
      </c>
      <c r="F2719" s="49">
        <f>IF(expected_production[[#This Row],[Age (yrs)]]="",1,(1-DegradationRate)^expected_production[[#This Row],[Age (yrs)]])</f>
        <v>1</v>
      </c>
      <c r="G2719" s="52">
        <f>IF(expected_production[[#This Row],[Base Expected (kWh)]]="","",expected_production[[#This Row],[Base Expected (kWh)]]*expected_production[[#This Row],[Degradation Factor]])</f>
        <v>18754.2</v>
      </c>
    </row>
    <row r="2720" spans="1:7" hidden="1" x14ac:dyDescent="0.3">
      <c r="A2720" t="s">
        <v>251</v>
      </c>
      <c r="B2720" s="2">
        <v>45809</v>
      </c>
      <c r="C2720" s="52" cm="1">
        <f t="array" ref="C2720">IFERROR(INDEX('Expected Production'!$C$2:$N$199,MATCH(A2720,'Expected Production'!$A$2:$A$199,0),MONTH(B2720)),"")</f>
        <v>16767.900000000001</v>
      </c>
      <c r="D2720" s="48">
        <f>_xlfn.XLOOKUP(expected_production[[#This Row],[Site Name]],Table1[[Site Name ]],Table1[Commisioned Date],"")</f>
        <v>46129</v>
      </c>
      <c r="E2720" s="47">
        <f>IF(ISNUMBER(expected_production[[#This Row],[Commissioned Date]]),MAX(0,(expected_production[[#This Row],[Date]]-expected_production[[#This Row],[Commissioned Date]])/365.25),"")</f>
        <v>0</v>
      </c>
      <c r="F2720" s="49">
        <f>IF(expected_production[[#This Row],[Age (yrs)]]="",1,(1-DegradationRate)^expected_production[[#This Row],[Age (yrs)]])</f>
        <v>1</v>
      </c>
      <c r="G2720" s="52">
        <f>IF(expected_production[[#This Row],[Base Expected (kWh)]]="","",expected_production[[#This Row],[Base Expected (kWh)]]*expected_production[[#This Row],[Degradation Factor]])</f>
        <v>16767.900000000001</v>
      </c>
    </row>
    <row r="2721" spans="1:7" hidden="1" x14ac:dyDescent="0.3">
      <c r="A2721" t="s">
        <v>251</v>
      </c>
      <c r="B2721" s="2">
        <v>45839</v>
      </c>
      <c r="C2721" s="52" cm="1">
        <f t="array" ref="C2721">IFERROR(INDEX('Expected Production'!$C$2:$N$199,MATCH(A2721,'Expected Production'!$A$2:$A$199,0),MONTH(B2721)),"")</f>
        <v>18261</v>
      </c>
      <c r="D2721" s="48">
        <f>_xlfn.XLOOKUP(expected_production[[#This Row],[Site Name]],Table1[[Site Name ]],Table1[Commisioned Date],"")</f>
        <v>46129</v>
      </c>
      <c r="E2721" s="47">
        <f>IF(ISNUMBER(expected_production[[#This Row],[Commissioned Date]]),MAX(0,(expected_production[[#This Row],[Date]]-expected_production[[#This Row],[Commissioned Date]])/365.25),"")</f>
        <v>0</v>
      </c>
      <c r="F2721" s="49">
        <f>IF(expected_production[[#This Row],[Age (yrs)]]="",1,(1-DegradationRate)^expected_production[[#This Row],[Age (yrs)]])</f>
        <v>1</v>
      </c>
      <c r="G2721" s="52">
        <f>IF(expected_production[[#This Row],[Base Expected (kWh)]]="","",expected_production[[#This Row],[Base Expected (kWh)]]*expected_production[[#This Row],[Degradation Factor]])</f>
        <v>18261</v>
      </c>
    </row>
    <row r="2722" spans="1:7" hidden="1" x14ac:dyDescent="0.3">
      <c r="A2722" t="s">
        <v>251</v>
      </c>
      <c r="B2722" s="2">
        <v>45870</v>
      </c>
      <c r="C2722" s="52" cm="1">
        <f t="array" ref="C2722">IFERROR(INDEX('Expected Production'!$C$2:$N$199,MATCH(A2722,'Expected Production'!$A$2:$A$199,0),MONTH(B2722)),"")</f>
        <v>21311.100000000002</v>
      </c>
      <c r="D2722" s="48">
        <f>_xlfn.XLOOKUP(expected_production[[#This Row],[Site Name]],Table1[[Site Name ]],Table1[Commisioned Date],"")</f>
        <v>46129</v>
      </c>
      <c r="E2722" s="47">
        <f>IF(ISNUMBER(expected_production[[#This Row],[Commissioned Date]]),MAX(0,(expected_production[[#This Row],[Date]]-expected_production[[#This Row],[Commissioned Date]])/365.25),"")</f>
        <v>0</v>
      </c>
      <c r="F2722" s="49">
        <f>IF(expected_production[[#This Row],[Age (yrs)]]="",1,(1-DegradationRate)^expected_production[[#This Row],[Age (yrs)]])</f>
        <v>1</v>
      </c>
      <c r="G2722" s="52">
        <f>IF(expected_production[[#This Row],[Base Expected (kWh)]]="","",expected_production[[#This Row],[Base Expected (kWh)]]*expected_production[[#This Row],[Degradation Factor]])</f>
        <v>21311.100000000002</v>
      </c>
    </row>
    <row r="2723" spans="1:7" hidden="1" x14ac:dyDescent="0.3">
      <c r="A2723" t="s">
        <v>251</v>
      </c>
      <c r="B2723" s="2">
        <v>45901</v>
      </c>
      <c r="C2723" s="52" cm="1">
        <f t="array" ref="C2723">IFERROR(INDEX('Expected Production'!$C$2:$N$199,MATCH(A2723,'Expected Production'!$A$2:$A$199,0),MONTH(B2723)),"")</f>
        <v>23659.200000000001</v>
      </c>
      <c r="D2723" s="48">
        <f>_xlfn.XLOOKUP(expected_production[[#This Row],[Site Name]],Table1[[Site Name ]],Table1[Commisioned Date],"")</f>
        <v>46129</v>
      </c>
      <c r="E2723" s="47">
        <f>IF(ISNUMBER(expected_production[[#This Row],[Commissioned Date]]),MAX(0,(expected_production[[#This Row],[Date]]-expected_production[[#This Row],[Commissioned Date]])/365.25),"")</f>
        <v>0</v>
      </c>
      <c r="F2723" s="49">
        <f>IF(expected_production[[#This Row],[Age (yrs)]]="",1,(1-DegradationRate)^expected_production[[#This Row],[Age (yrs)]])</f>
        <v>1</v>
      </c>
      <c r="G2723" s="52">
        <f>IF(expected_production[[#This Row],[Base Expected (kWh)]]="","",expected_production[[#This Row],[Base Expected (kWh)]]*expected_production[[#This Row],[Degradation Factor]])</f>
        <v>23659.200000000001</v>
      </c>
    </row>
    <row r="2724" spans="1:7" hidden="1" x14ac:dyDescent="0.3">
      <c r="A2724" t="s">
        <v>251</v>
      </c>
      <c r="B2724" s="2">
        <v>45931</v>
      </c>
      <c r="C2724" s="52" cm="1">
        <f t="array" ref="C2724">IFERROR(INDEX('Expected Production'!$C$2:$N$199,MATCH(A2724,'Expected Production'!$A$2:$A$199,0),MONTH(B2724)),"")</f>
        <v>26865.9</v>
      </c>
      <c r="D2724" s="48">
        <f>_xlfn.XLOOKUP(expected_production[[#This Row],[Site Name]],Table1[[Site Name ]],Table1[Commisioned Date],"")</f>
        <v>46129</v>
      </c>
      <c r="E2724" s="47">
        <f>IF(ISNUMBER(expected_production[[#This Row],[Commissioned Date]]),MAX(0,(expected_production[[#This Row],[Date]]-expected_production[[#This Row],[Commissioned Date]])/365.25),"")</f>
        <v>0</v>
      </c>
      <c r="F2724" s="49">
        <f>IF(expected_production[[#This Row],[Age (yrs)]]="",1,(1-DegradationRate)^expected_production[[#This Row],[Age (yrs)]])</f>
        <v>1</v>
      </c>
      <c r="G2724" s="52">
        <f>IF(expected_production[[#This Row],[Base Expected (kWh)]]="","",expected_production[[#This Row],[Base Expected (kWh)]]*expected_production[[#This Row],[Degradation Factor]])</f>
        <v>26865.9</v>
      </c>
    </row>
    <row r="2725" spans="1:7" hidden="1" x14ac:dyDescent="0.3">
      <c r="A2725" t="s">
        <v>251</v>
      </c>
      <c r="B2725" s="2">
        <v>45962</v>
      </c>
      <c r="C2725" s="52" cm="1">
        <f t="array" ref="C2725">IFERROR(INDEX('Expected Production'!$C$2:$N$199,MATCH(A2725,'Expected Production'!$A$2:$A$199,0),MONTH(B2725)),"")</f>
        <v>27153.9</v>
      </c>
      <c r="D2725" s="48">
        <f>_xlfn.XLOOKUP(expected_production[[#This Row],[Site Name]],Table1[[Site Name ]],Table1[Commisioned Date],"")</f>
        <v>46129</v>
      </c>
      <c r="E2725" s="47">
        <f>IF(ISNUMBER(expected_production[[#This Row],[Commissioned Date]]),MAX(0,(expected_production[[#This Row],[Date]]-expected_production[[#This Row],[Commissioned Date]])/365.25),"")</f>
        <v>0</v>
      </c>
      <c r="F2725" s="49">
        <f>IF(expected_production[[#This Row],[Age (yrs)]]="",1,(1-DegradationRate)^expected_production[[#This Row],[Age (yrs)]])</f>
        <v>1</v>
      </c>
      <c r="G2725" s="52">
        <f>IF(expected_production[[#This Row],[Base Expected (kWh)]]="","",expected_production[[#This Row],[Base Expected (kWh)]]*expected_production[[#This Row],[Degradation Factor]])</f>
        <v>27153.9</v>
      </c>
    </row>
    <row r="2726" spans="1:7" hidden="1" x14ac:dyDescent="0.3">
      <c r="A2726" t="s">
        <v>251</v>
      </c>
      <c r="B2726" s="2">
        <v>45992</v>
      </c>
      <c r="C2726" s="52" cm="1">
        <f t="array" ref="C2726">IFERROR(INDEX('Expected Production'!$C$2:$N$199,MATCH(A2726,'Expected Production'!$A$2:$A$199,0),MONTH(B2726)),"")</f>
        <v>27402.3</v>
      </c>
      <c r="D2726" s="48">
        <f>_xlfn.XLOOKUP(expected_production[[#This Row],[Site Name]],Table1[[Site Name ]],Table1[Commisioned Date],"")</f>
        <v>46129</v>
      </c>
      <c r="E2726" s="47">
        <f>IF(ISNUMBER(expected_production[[#This Row],[Commissioned Date]]),MAX(0,(expected_production[[#This Row],[Date]]-expected_production[[#This Row],[Commissioned Date]])/365.25),"")</f>
        <v>0</v>
      </c>
      <c r="F2726" s="49">
        <f>IF(expected_production[[#This Row],[Age (yrs)]]="",1,(1-DegradationRate)^expected_production[[#This Row],[Age (yrs)]])</f>
        <v>1</v>
      </c>
      <c r="G2726" s="52">
        <f>IF(expected_production[[#This Row],[Base Expected (kWh)]]="","",expected_production[[#This Row],[Base Expected (kWh)]]*expected_production[[#This Row],[Degradation Factor]])</f>
        <v>27402.3</v>
      </c>
    </row>
    <row r="2727" spans="1:7" hidden="1" x14ac:dyDescent="0.3">
      <c r="A2727" t="s">
        <v>251</v>
      </c>
      <c r="B2727" s="2">
        <v>46023</v>
      </c>
      <c r="C2727" s="52" cm="1">
        <f t="array" ref="C2727">IFERROR(INDEX('Expected Production'!$C$2:$N$199,MATCH(A2727,'Expected Production'!$A$2:$A$199,0),MONTH(B2727)),"")</f>
        <v>26451</v>
      </c>
      <c r="D2727" s="48">
        <f>_xlfn.XLOOKUP(expected_production[[#This Row],[Site Name]],Table1[[Site Name ]],Table1[Commisioned Date],"")</f>
        <v>46129</v>
      </c>
      <c r="E2727" s="47">
        <f>IF(ISNUMBER(expected_production[[#This Row],[Commissioned Date]]),MAX(0,(expected_production[[#This Row],[Date]]-expected_production[[#This Row],[Commissioned Date]])/365.25),"")</f>
        <v>0</v>
      </c>
      <c r="F2727" s="49">
        <f>IF(expected_production[[#This Row],[Age (yrs)]]="",1,(1-DegradationRate)^expected_production[[#This Row],[Age (yrs)]])</f>
        <v>1</v>
      </c>
      <c r="G2727" s="52">
        <f>IF(expected_production[[#This Row],[Base Expected (kWh)]]="","",expected_production[[#This Row],[Base Expected (kWh)]]*expected_production[[#This Row],[Degradation Factor]])</f>
        <v>26451</v>
      </c>
    </row>
    <row r="2728" spans="1:7" hidden="1" x14ac:dyDescent="0.3">
      <c r="A2728" t="s">
        <v>251</v>
      </c>
      <c r="B2728" s="2">
        <v>46054</v>
      </c>
      <c r="C2728" s="52" cm="1">
        <f t="array" ref="C2728">IFERROR(INDEX('Expected Production'!$C$2:$N$199,MATCH(A2728,'Expected Production'!$A$2:$A$199,0),MONTH(B2728)),"")</f>
        <v>23215.5</v>
      </c>
      <c r="D2728" s="48">
        <f>_xlfn.XLOOKUP(expected_production[[#This Row],[Site Name]],Table1[[Site Name ]],Table1[Commisioned Date],"")</f>
        <v>46129</v>
      </c>
      <c r="E2728" s="47">
        <f>IF(ISNUMBER(expected_production[[#This Row],[Commissioned Date]]),MAX(0,(expected_production[[#This Row],[Date]]-expected_production[[#This Row],[Commissioned Date]])/365.25),"")</f>
        <v>0</v>
      </c>
      <c r="F2728" s="49">
        <f>IF(expected_production[[#This Row],[Age (yrs)]]="",1,(1-DegradationRate)^expected_production[[#This Row],[Age (yrs)]])</f>
        <v>1</v>
      </c>
      <c r="G2728" s="52">
        <f>IF(expected_production[[#This Row],[Base Expected (kWh)]]="","",expected_production[[#This Row],[Base Expected (kWh)]]*expected_production[[#This Row],[Degradation Factor]])</f>
        <v>23215.5</v>
      </c>
    </row>
    <row r="2729" spans="1:7" hidden="1" x14ac:dyDescent="0.3">
      <c r="A2729" t="s">
        <v>251</v>
      </c>
      <c r="B2729" s="2">
        <v>46082</v>
      </c>
      <c r="C2729" s="52" cm="1">
        <f t="array" ref="C2729">IFERROR(INDEX('Expected Production'!$C$2:$N$199,MATCH(A2729,'Expected Production'!$A$2:$A$199,0),MONTH(B2729)),"")</f>
        <v>23034.600000000002</v>
      </c>
      <c r="D2729" s="48">
        <f>_xlfn.XLOOKUP(expected_production[[#This Row],[Site Name]],Table1[[Site Name ]],Table1[Commisioned Date],"")</f>
        <v>46129</v>
      </c>
      <c r="E2729" s="47">
        <f>IF(ISNUMBER(expected_production[[#This Row],[Commissioned Date]]),MAX(0,(expected_production[[#This Row],[Date]]-expected_production[[#This Row],[Commissioned Date]])/365.25),"")</f>
        <v>0</v>
      </c>
      <c r="F2729" s="49">
        <f>IF(expected_production[[#This Row],[Age (yrs)]]="",1,(1-DegradationRate)^expected_production[[#This Row],[Age (yrs)]])</f>
        <v>1</v>
      </c>
      <c r="G2729" s="52">
        <f>IF(expected_production[[#This Row],[Base Expected (kWh)]]="","",expected_production[[#This Row],[Base Expected (kWh)]]*expected_production[[#This Row],[Degradation Factor]])</f>
        <v>23034.600000000002</v>
      </c>
    </row>
    <row r="2730" spans="1:7" hidden="1" x14ac:dyDescent="0.3">
      <c r="A2730" t="s">
        <v>251</v>
      </c>
      <c r="B2730" s="2">
        <v>46113</v>
      </c>
      <c r="C2730" s="52" cm="1">
        <f t="array" ref="C2730">IFERROR(INDEX('Expected Production'!$C$2:$N$199,MATCH(A2730,'Expected Production'!$A$2:$A$199,0),MONTH(B2730)),"")</f>
        <v>19930.5</v>
      </c>
      <c r="D2730" s="48">
        <f>_xlfn.XLOOKUP(expected_production[[#This Row],[Site Name]],Table1[[Site Name ]],Table1[Commisioned Date],"")</f>
        <v>46129</v>
      </c>
      <c r="E2730" s="47">
        <f>IF(ISNUMBER(expected_production[[#This Row],[Commissioned Date]]),MAX(0,(expected_production[[#This Row],[Date]]-expected_production[[#This Row],[Commissioned Date]])/365.25),"")</f>
        <v>0</v>
      </c>
      <c r="F2730" s="49">
        <f>IF(expected_production[[#This Row],[Age (yrs)]]="",1,(1-DegradationRate)^expected_production[[#This Row],[Age (yrs)]])</f>
        <v>1</v>
      </c>
      <c r="G2730" s="52">
        <f>IF(expected_production[[#This Row],[Base Expected (kWh)]]="","",expected_production[[#This Row],[Base Expected (kWh)]]*expected_production[[#This Row],[Degradation Factor]])</f>
        <v>19930.5</v>
      </c>
    </row>
    <row r="2731" spans="1:7" hidden="1" x14ac:dyDescent="0.3">
      <c r="A2731" t="s">
        <v>251</v>
      </c>
      <c r="B2731" s="2">
        <v>46143</v>
      </c>
      <c r="C2731" s="52" cm="1">
        <f t="array" ref="C2731">IFERROR(INDEX('Expected Production'!$C$2:$N$199,MATCH(A2731,'Expected Production'!$A$2:$A$199,0),MONTH(B2731)),"")</f>
        <v>18754.2</v>
      </c>
      <c r="D2731" s="48">
        <f>_xlfn.XLOOKUP(expected_production[[#This Row],[Site Name]],Table1[[Site Name ]],Table1[Commisioned Date],"")</f>
        <v>46129</v>
      </c>
      <c r="E2731" s="47">
        <f>IF(ISNUMBER(expected_production[[#This Row],[Commissioned Date]]),MAX(0,(expected_production[[#This Row],[Date]]-expected_production[[#This Row],[Commissioned Date]])/365.25),"")</f>
        <v>3.8329911019849415E-2</v>
      </c>
      <c r="F2731" s="49">
        <f>IF(expected_production[[#This Row],[Age (yrs)]]="",1,(1-DegradationRate)^expected_production[[#This Row],[Age (yrs)]])</f>
        <v>0.99973078337981713</v>
      </c>
      <c r="G2731" s="52">
        <f>IF(expected_production[[#This Row],[Base Expected (kWh)]]="","",expected_production[[#This Row],[Base Expected (kWh)]]*expected_production[[#This Row],[Degradation Factor]])</f>
        <v>18749.151057661766</v>
      </c>
    </row>
    <row r="2732" spans="1:7" hidden="1" x14ac:dyDescent="0.3">
      <c r="A2732" t="s">
        <v>251</v>
      </c>
      <c r="B2732" s="2">
        <v>46174</v>
      </c>
      <c r="C2732" s="52" cm="1">
        <f t="array" ref="C2732">IFERROR(INDEX('Expected Production'!$C$2:$N$199,MATCH(A2732,'Expected Production'!$A$2:$A$199,0),MONTH(B2732)),"")</f>
        <v>16767.900000000001</v>
      </c>
      <c r="D2732" s="48">
        <f>_xlfn.XLOOKUP(expected_production[[#This Row],[Site Name]],Table1[[Site Name ]],Table1[Commisioned Date],"")</f>
        <v>46129</v>
      </c>
      <c r="E2732" s="47">
        <f>IF(ISNUMBER(expected_production[[#This Row],[Commissioned Date]]),MAX(0,(expected_production[[#This Row],[Date]]-expected_production[[#This Row],[Commissioned Date]])/365.25),"")</f>
        <v>0.12320328542094455</v>
      </c>
      <c r="F2732" s="49">
        <f>IF(expected_production[[#This Row],[Age (yrs)]]="",1,(1-DegradationRate)^expected_production[[#This Row],[Age (yrs)]])</f>
        <v>0.9991349187596642</v>
      </c>
      <c r="G2732" s="52">
        <f>IF(expected_production[[#This Row],[Base Expected (kWh)]]="","",expected_production[[#This Row],[Base Expected (kWh)]]*expected_production[[#This Row],[Degradation Factor]])</f>
        <v>16753.394404270173</v>
      </c>
    </row>
    <row r="2733" spans="1:7" hidden="1" x14ac:dyDescent="0.3">
      <c r="A2733" t="s">
        <v>251</v>
      </c>
      <c r="B2733" s="2">
        <v>46204</v>
      </c>
      <c r="C2733" s="52" cm="1">
        <f t="array" ref="C2733">IFERROR(INDEX('Expected Production'!$C$2:$N$199,MATCH(A2733,'Expected Production'!$A$2:$A$199,0),MONTH(B2733)),"")</f>
        <v>18261</v>
      </c>
      <c r="D2733" s="48">
        <f>_xlfn.XLOOKUP(expected_production[[#This Row],[Site Name]],Table1[[Site Name ]],Table1[Commisioned Date],"")</f>
        <v>46129</v>
      </c>
      <c r="E2733" s="47">
        <f>IF(ISNUMBER(expected_production[[#This Row],[Commissioned Date]]),MAX(0,(expected_production[[#This Row],[Date]]-expected_production[[#This Row],[Commissioned Date]])/365.25),"")</f>
        <v>0.20533880903490759</v>
      </c>
      <c r="F2733" s="49">
        <f>IF(expected_production[[#This Row],[Age (yrs)]]="",1,(1-DegradationRate)^expected_production[[#This Row],[Age (yrs)]])</f>
        <v>0.99855861373138821</v>
      </c>
      <c r="G2733" s="52">
        <f>IF(expected_production[[#This Row],[Base Expected (kWh)]]="","",expected_production[[#This Row],[Base Expected (kWh)]]*expected_production[[#This Row],[Degradation Factor]])</f>
        <v>18234.678845348881</v>
      </c>
    </row>
    <row r="2734" spans="1:7" hidden="1" x14ac:dyDescent="0.3">
      <c r="A2734" t="s">
        <v>251</v>
      </c>
      <c r="B2734" s="2">
        <v>46235</v>
      </c>
      <c r="C2734" s="52" cm="1">
        <f t="array" ref="C2734">IFERROR(INDEX('Expected Production'!$C$2:$N$199,MATCH(A2734,'Expected Production'!$A$2:$A$199,0),MONTH(B2734)),"")</f>
        <v>21311.100000000002</v>
      </c>
      <c r="D2734" s="48">
        <f>_xlfn.XLOOKUP(expected_production[[#This Row],[Site Name]],Table1[[Site Name ]],Table1[Commisioned Date],"")</f>
        <v>46129</v>
      </c>
      <c r="E2734" s="47">
        <f>IF(ISNUMBER(expected_production[[#This Row],[Commissioned Date]]),MAX(0,(expected_production[[#This Row],[Date]]-expected_production[[#This Row],[Commissioned Date]])/365.25),"")</f>
        <v>0.29021218343600275</v>
      </c>
      <c r="F2734" s="49">
        <f>IF(expected_production[[#This Row],[Age (yrs)]]="",1,(1-DegradationRate)^expected_production[[#This Row],[Age (yrs)]])</f>
        <v>0.9979634477537439</v>
      </c>
      <c r="G2734" s="52">
        <f>IF(expected_production[[#This Row],[Base Expected (kWh)]]="","",expected_production[[#This Row],[Base Expected (kWh)]]*expected_production[[#This Row],[Degradation Factor]])</f>
        <v>21267.698831424816</v>
      </c>
    </row>
    <row r="2735" spans="1:7" hidden="1" x14ac:dyDescent="0.3">
      <c r="A2735" t="s">
        <v>251</v>
      </c>
      <c r="B2735" s="2">
        <v>46266</v>
      </c>
      <c r="C2735" s="52" cm="1">
        <f t="array" ref="C2735">IFERROR(INDEX('Expected Production'!$C$2:$N$199,MATCH(A2735,'Expected Production'!$A$2:$A$199,0),MONTH(B2735)),"")</f>
        <v>23659.200000000001</v>
      </c>
      <c r="D2735" s="48">
        <f>_xlfn.XLOOKUP(expected_production[[#This Row],[Site Name]],Table1[[Site Name ]],Table1[Commisioned Date],"")</f>
        <v>46129</v>
      </c>
      <c r="E2735" s="47">
        <f>IF(ISNUMBER(expected_production[[#This Row],[Commissioned Date]]),MAX(0,(expected_production[[#This Row],[Date]]-expected_production[[#This Row],[Commissioned Date]])/365.25),"")</f>
        <v>0.3750855578370979</v>
      </c>
      <c r="F2735" s="49">
        <f>IF(expected_production[[#This Row],[Age (yrs)]]="",1,(1-DegradationRate)^expected_production[[#This Row],[Age (yrs)]])</f>
        <v>0.99736863650994889</v>
      </c>
      <c r="G2735" s="52">
        <f>IF(expected_production[[#This Row],[Base Expected (kWh)]]="","",expected_production[[#This Row],[Base Expected (kWh)]]*expected_production[[#This Row],[Degradation Factor]])</f>
        <v>23596.944044916185</v>
      </c>
    </row>
    <row r="2736" spans="1:7" hidden="1" x14ac:dyDescent="0.3">
      <c r="A2736" t="s">
        <v>251</v>
      </c>
      <c r="B2736" s="2">
        <v>46296</v>
      </c>
      <c r="C2736" s="52" cm="1">
        <f t="array" ref="C2736">IFERROR(INDEX('Expected Production'!$C$2:$N$199,MATCH(A2736,'Expected Production'!$A$2:$A$199,0),MONTH(B2736)),"")</f>
        <v>26865.9</v>
      </c>
      <c r="D2736" s="48">
        <f>_xlfn.XLOOKUP(expected_production[[#This Row],[Site Name]],Table1[[Site Name ]],Table1[Commisioned Date],"")</f>
        <v>46129</v>
      </c>
      <c r="E2736" s="47">
        <f>IF(ISNUMBER(expected_production[[#This Row],[Commissioned Date]]),MAX(0,(expected_production[[#This Row],[Date]]-expected_production[[#This Row],[Commissioned Date]])/365.25),"")</f>
        <v>0.45722108145106094</v>
      </c>
      <c r="F2736" s="49">
        <f>IF(expected_production[[#This Row],[Age (yrs)]]="",1,(1-DegradationRate)^expected_production[[#This Row],[Age (yrs)]])</f>
        <v>0.99679335028035843</v>
      </c>
      <c r="G2736" s="52">
        <f>IF(expected_production[[#This Row],[Base Expected (kWh)]]="","",expected_production[[#This Row],[Base Expected (kWh)]]*expected_production[[#This Row],[Degradation Factor]])</f>
        <v>26779.750469297083</v>
      </c>
    </row>
    <row r="2737" spans="1:7" hidden="1" x14ac:dyDescent="0.3">
      <c r="A2737" t="s">
        <v>251</v>
      </c>
      <c r="B2737" s="2">
        <v>46327</v>
      </c>
      <c r="C2737" s="52" cm="1">
        <f t="array" ref="C2737">IFERROR(INDEX('Expected Production'!$C$2:$N$199,MATCH(A2737,'Expected Production'!$A$2:$A$199,0),MONTH(B2737)),"")</f>
        <v>27153.9</v>
      </c>
      <c r="D2737" s="48">
        <f>_xlfn.XLOOKUP(expected_production[[#This Row],[Site Name]],Table1[[Site Name ]],Table1[Commisioned Date],"")</f>
        <v>46129</v>
      </c>
      <c r="E2737" s="47">
        <f>IF(ISNUMBER(expected_production[[#This Row],[Commissioned Date]]),MAX(0,(expected_production[[#This Row],[Date]]-expected_production[[#This Row],[Commissioned Date]])/365.25),"")</f>
        <v>0.5420944558521561</v>
      </c>
      <c r="F2737" s="49">
        <f>IF(expected_production[[#This Row],[Age (yrs)]]="",1,(1-DegradationRate)^expected_production[[#This Row],[Age (yrs)]])</f>
        <v>0.99619923644400366</v>
      </c>
      <c r="G2737" s="52">
        <f>IF(expected_production[[#This Row],[Base Expected (kWh)]]="","",expected_production[[#This Row],[Base Expected (kWh)]]*expected_production[[#This Row],[Degradation Factor]])</f>
        <v>27050.694446476831</v>
      </c>
    </row>
    <row r="2738" spans="1:7" hidden="1" x14ac:dyDescent="0.3">
      <c r="A2738" t="s">
        <v>251</v>
      </c>
      <c r="B2738" s="2">
        <v>46357</v>
      </c>
      <c r="C2738" s="52" cm="1">
        <f t="array" ref="C2738">IFERROR(INDEX('Expected Production'!$C$2:$N$199,MATCH(A2738,'Expected Production'!$A$2:$A$199,0),MONTH(B2738)),"")</f>
        <v>27402.3</v>
      </c>
      <c r="D2738" s="48">
        <f>_xlfn.XLOOKUP(expected_production[[#This Row],[Site Name]],Table1[[Site Name ]],Table1[Commisioned Date],"")</f>
        <v>46129</v>
      </c>
      <c r="E2738" s="47">
        <f>IF(ISNUMBER(expected_production[[#This Row],[Commissioned Date]]),MAX(0,(expected_production[[#This Row],[Date]]-expected_production[[#This Row],[Commissioned Date]])/365.25),"")</f>
        <v>0.62422997946611913</v>
      </c>
      <c r="F2738" s="49">
        <f>IF(expected_production[[#This Row],[Age (yrs)]]="",1,(1-DegradationRate)^expected_production[[#This Row],[Age (yrs)]])</f>
        <v>0.99562462472906121</v>
      </c>
      <c r="G2738" s="52">
        <f>IF(expected_production[[#This Row],[Base Expected (kWh)]]="","",expected_production[[#This Row],[Base Expected (kWh)]]*expected_production[[#This Row],[Degradation Factor]])</f>
        <v>27282.404654213155</v>
      </c>
    </row>
    <row r="2739" spans="1:7" hidden="1" x14ac:dyDescent="0.3">
      <c r="A2739" t="s">
        <v>250</v>
      </c>
      <c r="B2739" s="2">
        <v>45292</v>
      </c>
      <c r="C2739" s="52" cm="1">
        <f t="array" ref="C2739">IFERROR(INDEX('Expected Production'!$C$2:$N$199,MATCH(A2739,'Expected Production'!$A$2:$A$199,0),MONTH(B2739)),"")</f>
        <v>28877.4</v>
      </c>
      <c r="D2739" s="48">
        <f>_xlfn.XLOOKUP(expected_production[[#This Row],[Site Name]],Table1[[Site Name ]],Table1[Commisioned Date],"")</f>
        <v>46140</v>
      </c>
      <c r="E2739" s="47">
        <f>IF(ISNUMBER(expected_production[[#This Row],[Commissioned Date]]),MAX(0,(expected_production[[#This Row],[Date]]-expected_production[[#This Row],[Commissioned Date]])/365.25),"")</f>
        <v>0</v>
      </c>
      <c r="F2739" s="49">
        <f>IF(expected_production[[#This Row],[Age (yrs)]]="",1,(1-DegradationRate)^expected_production[[#This Row],[Age (yrs)]])</f>
        <v>1</v>
      </c>
      <c r="G2739" s="52">
        <f>IF(expected_production[[#This Row],[Base Expected (kWh)]]="","",expected_production[[#This Row],[Base Expected (kWh)]]*expected_production[[#This Row],[Degradation Factor]])</f>
        <v>28877.4</v>
      </c>
    </row>
    <row r="2740" spans="1:7" hidden="1" x14ac:dyDescent="0.3">
      <c r="A2740" t="s">
        <v>250</v>
      </c>
      <c r="B2740" s="2">
        <v>45323</v>
      </c>
      <c r="C2740" s="52" cm="1">
        <f t="array" ref="C2740">IFERROR(INDEX('Expected Production'!$C$2:$N$199,MATCH(A2740,'Expected Production'!$A$2:$A$199,0),MONTH(B2740)),"")</f>
        <v>25884.9</v>
      </c>
      <c r="D2740" s="48">
        <f>_xlfn.XLOOKUP(expected_production[[#This Row],[Site Name]],Table1[[Site Name ]],Table1[Commisioned Date],"")</f>
        <v>46140</v>
      </c>
      <c r="E2740" s="47">
        <f>IF(ISNUMBER(expected_production[[#This Row],[Commissioned Date]]),MAX(0,(expected_production[[#This Row],[Date]]-expected_production[[#This Row],[Commissioned Date]])/365.25),"")</f>
        <v>0</v>
      </c>
      <c r="F2740" s="49">
        <f>IF(expected_production[[#This Row],[Age (yrs)]]="",1,(1-DegradationRate)^expected_production[[#This Row],[Age (yrs)]])</f>
        <v>1</v>
      </c>
      <c r="G2740" s="52">
        <f>IF(expected_production[[#This Row],[Base Expected (kWh)]]="","",expected_production[[#This Row],[Base Expected (kWh)]]*expected_production[[#This Row],[Degradation Factor]])</f>
        <v>25884.9</v>
      </c>
    </row>
    <row r="2741" spans="1:7" hidden="1" x14ac:dyDescent="0.3">
      <c r="A2741" t="s">
        <v>250</v>
      </c>
      <c r="B2741" s="2">
        <v>45352</v>
      </c>
      <c r="C2741" s="52" cm="1">
        <f t="array" ref="C2741">IFERROR(INDEX('Expected Production'!$C$2:$N$199,MATCH(A2741,'Expected Production'!$A$2:$A$199,0),MONTH(B2741)),"")</f>
        <v>27341.100000000002</v>
      </c>
      <c r="D2741" s="48">
        <f>_xlfn.XLOOKUP(expected_production[[#This Row],[Site Name]],Table1[[Site Name ]],Table1[Commisioned Date],"")</f>
        <v>46140</v>
      </c>
      <c r="E2741" s="47">
        <f>IF(ISNUMBER(expected_production[[#This Row],[Commissioned Date]]),MAX(0,(expected_production[[#This Row],[Date]]-expected_production[[#This Row],[Commissioned Date]])/365.25),"")</f>
        <v>0</v>
      </c>
      <c r="F2741" s="49">
        <f>IF(expected_production[[#This Row],[Age (yrs)]]="",1,(1-DegradationRate)^expected_production[[#This Row],[Age (yrs)]])</f>
        <v>1</v>
      </c>
      <c r="G2741" s="52">
        <f>IF(expected_production[[#This Row],[Base Expected (kWh)]]="","",expected_production[[#This Row],[Base Expected (kWh)]]*expected_production[[#This Row],[Degradation Factor]])</f>
        <v>27341.100000000002</v>
      </c>
    </row>
    <row r="2742" spans="1:7" hidden="1" x14ac:dyDescent="0.3">
      <c r="A2742" t="s">
        <v>250</v>
      </c>
      <c r="B2742" s="2">
        <v>45383</v>
      </c>
      <c r="C2742" s="52" cm="1">
        <f t="array" ref="C2742">IFERROR(INDEX('Expected Production'!$C$2:$N$199,MATCH(A2742,'Expected Production'!$A$2:$A$199,0),MONTH(B2742)),"")</f>
        <v>27823.5</v>
      </c>
      <c r="D2742" s="48">
        <f>_xlfn.XLOOKUP(expected_production[[#This Row],[Site Name]],Table1[[Site Name ]],Table1[Commisioned Date],"")</f>
        <v>46140</v>
      </c>
      <c r="E2742" s="47">
        <f>IF(ISNUMBER(expected_production[[#This Row],[Commissioned Date]]),MAX(0,(expected_production[[#This Row],[Date]]-expected_production[[#This Row],[Commissioned Date]])/365.25),"")</f>
        <v>0</v>
      </c>
      <c r="F2742" s="49">
        <f>IF(expected_production[[#This Row],[Age (yrs)]]="",1,(1-DegradationRate)^expected_production[[#This Row],[Age (yrs)]])</f>
        <v>1</v>
      </c>
      <c r="G2742" s="52">
        <f>IF(expected_production[[#This Row],[Base Expected (kWh)]]="","",expected_production[[#This Row],[Base Expected (kWh)]]*expected_production[[#This Row],[Degradation Factor]])</f>
        <v>27823.5</v>
      </c>
    </row>
    <row r="2743" spans="1:7" hidden="1" x14ac:dyDescent="0.3">
      <c r="A2743" t="s">
        <v>250</v>
      </c>
      <c r="B2743" s="2">
        <v>45413</v>
      </c>
      <c r="C2743" s="52" cm="1">
        <f t="array" ref="C2743">IFERROR(INDEX('Expected Production'!$C$2:$N$199,MATCH(A2743,'Expected Production'!$A$2:$A$199,0),MONTH(B2743)),"")</f>
        <v>29920.5</v>
      </c>
      <c r="D2743" s="48">
        <f>_xlfn.XLOOKUP(expected_production[[#This Row],[Site Name]],Table1[[Site Name ]],Table1[Commisioned Date],"")</f>
        <v>46140</v>
      </c>
      <c r="E2743" s="47">
        <f>IF(ISNUMBER(expected_production[[#This Row],[Commissioned Date]]),MAX(0,(expected_production[[#This Row],[Date]]-expected_production[[#This Row],[Commissioned Date]])/365.25),"")</f>
        <v>0</v>
      </c>
      <c r="F2743" s="49">
        <f>IF(expected_production[[#This Row],[Age (yrs)]]="",1,(1-DegradationRate)^expected_production[[#This Row],[Age (yrs)]])</f>
        <v>1</v>
      </c>
      <c r="G2743" s="52">
        <f>IF(expected_production[[#This Row],[Base Expected (kWh)]]="","",expected_production[[#This Row],[Base Expected (kWh)]]*expected_production[[#This Row],[Degradation Factor]])</f>
        <v>29920.5</v>
      </c>
    </row>
    <row r="2744" spans="1:7" hidden="1" x14ac:dyDescent="0.3">
      <c r="A2744" t="s">
        <v>250</v>
      </c>
      <c r="B2744" s="2">
        <v>45444</v>
      </c>
      <c r="C2744" s="52" cm="1">
        <f t="array" ref="C2744">IFERROR(INDEX('Expected Production'!$C$2:$N$199,MATCH(A2744,'Expected Production'!$A$2:$A$199,0),MONTH(B2744)),"")</f>
        <v>28644.3</v>
      </c>
      <c r="D2744" s="48">
        <f>_xlfn.XLOOKUP(expected_production[[#This Row],[Site Name]],Table1[[Site Name ]],Table1[Commisioned Date],"")</f>
        <v>46140</v>
      </c>
      <c r="E2744" s="47">
        <f>IF(ISNUMBER(expected_production[[#This Row],[Commissioned Date]]),MAX(0,(expected_production[[#This Row],[Date]]-expected_production[[#This Row],[Commissioned Date]])/365.25),"")</f>
        <v>0</v>
      </c>
      <c r="F2744" s="49">
        <f>IF(expected_production[[#This Row],[Age (yrs)]]="",1,(1-DegradationRate)^expected_production[[#This Row],[Age (yrs)]])</f>
        <v>1</v>
      </c>
      <c r="G2744" s="52">
        <f>IF(expected_production[[#This Row],[Base Expected (kWh)]]="","",expected_production[[#This Row],[Base Expected (kWh)]]*expected_production[[#This Row],[Degradation Factor]])</f>
        <v>28644.3</v>
      </c>
    </row>
    <row r="2745" spans="1:7" hidden="1" x14ac:dyDescent="0.3">
      <c r="A2745" t="s">
        <v>250</v>
      </c>
      <c r="B2745" s="2">
        <v>45474</v>
      </c>
      <c r="C2745" s="52" cm="1">
        <f t="array" ref="C2745">IFERROR(INDEX('Expected Production'!$C$2:$N$199,MATCH(A2745,'Expected Production'!$A$2:$A$199,0),MONTH(B2745)),"")</f>
        <v>28051.200000000001</v>
      </c>
      <c r="D2745" s="48">
        <f>_xlfn.XLOOKUP(expected_production[[#This Row],[Site Name]],Table1[[Site Name ]],Table1[Commisioned Date],"")</f>
        <v>46140</v>
      </c>
      <c r="E2745" s="47">
        <f>IF(ISNUMBER(expected_production[[#This Row],[Commissioned Date]]),MAX(0,(expected_production[[#This Row],[Date]]-expected_production[[#This Row],[Commissioned Date]])/365.25),"")</f>
        <v>0</v>
      </c>
      <c r="F2745" s="49">
        <f>IF(expected_production[[#This Row],[Age (yrs)]]="",1,(1-DegradationRate)^expected_production[[#This Row],[Age (yrs)]])</f>
        <v>1</v>
      </c>
      <c r="G2745" s="52">
        <f>IF(expected_production[[#This Row],[Base Expected (kWh)]]="","",expected_production[[#This Row],[Base Expected (kWh)]]*expected_production[[#This Row],[Degradation Factor]])</f>
        <v>28051.200000000001</v>
      </c>
    </row>
    <row r="2746" spans="1:7" hidden="1" x14ac:dyDescent="0.3">
      <c r="A2746" t="s">
        <v>250</v>
      </c>
      <c r="B2746" s="2">
        <v>45505</v>
      </c>
      <c r="C2746" s="52" cm="1">
        <f t="array" ref="C2746">IFERROR(INDEX('Expected Production'!$C$2:$N$199,MATCH(A2746,'Expected Production'!$A$2:$A$199,0),MONTH(B2746)),"")</f>
        <v>31649.4</v>
      </c>
      <c r="D2746" s="48">
        <f>_xlfn.XLOOKUP(expected_production[[#This Row],[Site Name]],Table1[[Site Name ]],Table1[Commisioned Date],"")</f>
        <v>46140</v>
      </c>
      <c r="E2746" s="47">
        <f>IF(ISNUMBER(expected_production[[#This Row],[Commissioned Date]]),MAX(0,(expected_production[[#This Row],[Date]]-expected_production[[#This Row],[Commissioned Date]])/365.25),"")</f>
        <v>0</v>
      </c>
      <c r="F2746" s="49">
        <f>IF(expected_production[[#This Row],[Age (yrs)]]="",1,(1-DegradationRate)^expected_production[[#This Row],[Age (yrs)]])</f>
        <v>1</v>
      </c>
      <c r="G2746" s="52">
        <f>IF(expected_production[[#This Row],[Base Expected (kWh)]]="","",expected_production[[#This Row],[Base Expected (kWh)]]*expected_production[[#This Row],[Degradation Factor]])</f>
        <v>31649.4</v>
      </c>
    </row>
    <row r="2747" spans="1:7" hidden="1" x14ac:dyDescent="0.3">
      <c r="A2747" t="s">
        <v>250</v>
      </c>
      <c r="B2747" s="2">
        <v>45536</v>
      </c>
      <c r="C2747" s="52" cm="1">
        <f t="array" ref="C2747">IFERROR(INDEX('Expected Production'!$C$2:$N$199,MATCH(A2747,'Expected Production'!$A$2:$A$199,0),MONTH(B2747)),"")</f>
        <v>28250.100000000002</v>
      </c>
      <c r="D2747" s="48">
        <f>_xlfn.XLOOKUP(expected_production[[#This Row],[Site Name]],Table1[[Site Name ]],Table1[Commisioned Date],"")</f>
        <v>46140</v>
      </c>
      <c r="E2747" s="47">
        <f>IF(ISNUMBER(expected_production[[#This Row],[Commissioned Date]]),MAX(0,(expected_production[[#This Row],[Date]]-expected_production[[#This Row],[Commissioned Date]])/365.25),"")</f>
        <v>0</v>
      </c>
      <c r="F2747" s="49">
        <f>IF(expected_production[[#This Row],[Age (yrs)]]="",1,(1-DegradationRate)^expected_production[[#This Row],[Age (yrs)]])</f>
        <v>1</v>
      </c>
      <c r="G2747" s="52">
        <f>IF(expected_production[[#This Row],[Base Expected (kWh)]]="","",expected_production[[#This Row],[Base Expected (kWh)]]*expected_production[[#This Row],[Degradation Factor]])</f>
        <v>28250.100000000002</v>
      </c>
    </row>
    <row r="2748" spans="1:7" hidden="1" x14ac:dyDescent="0.3">
      <c r="A2748" t="s">
        <v>250</v>
      </c>
      <c r="B2748" s="2">
        <v>45566</v>
      </c>
      <c r="C2748" s="52" cm="1">
        <f t="array" ref="C2748">IFERROR(INDEX('Expected Production'!$C$2:$N$199,MATCH(A2748,'Expected Production'!$A$2:$A$199,0),MONTH(B2748)),"")</f>
        <v>28466.100000000002</v>
      </c>
      <c r="D2748" s="48">
        <f>_xlfn.XLOOKUP(expected_production[[#This Row],[Site Name]],Table1[[Site Name ]],Table1[Commisioned Date],"")</f>
        <v>46140</v>
      </c>
      <c r="E2748" s="47">
        <f>IF(ISNUMBER(expected_production[[#This Row],[Commissioned Date]]),MAX(0,(expected_production[[#This Row],[Date]]-expected_production[[#This Row],[Commissioned Date]])/365.25),"")</f>
        <v>0</v>
      </c>
      <c r="F2748" s="49">
        <f>IF(expected_production[[#This Row],[Age (yrs)]]="",1,(1-DegradationRate)^expected_production[[#This Row],[Age (yrs)]])</f>
        <v>1</v>
      </c>
      <c r="G2748" s="52">
        <f>IF(expected_production[[#This Row],[Base Expected (kWh)]]="","",expected_production[[#This Row],[Base Expected (kWh)]]*expected_production[[#This Row],[Degradation Factor]])</f>
        <v>28466.100000000002</v>
      </c>
    </row>
    <row r="2749" spans="1:7" hidden="1" x14ac:dyDescent="0.3">
      <c r="A2749" t="s">
        <v>250</v>
      </c>
      <c r="B2749" s="2">
        <v>45597</v>
      </c>
      <c r="C2749" s="52" cm="1">
        <f t="array" ref="C2749">IFERROR(INDEX('Expected Production'!$C$2:$N$199,MATCH(A2749,'Expected Production'!$A$2:$A$199,0),MONTH(B2749)),"")</f>
        <v>28991.7</v>
      </c>
      <c r="D2749" s="48">
        <f>_xlfn.XLOOKUP(expected_production[[#This Row],[Site Name]],Table1[[Site Name ]],Table1[Commisioned Date],"")</f>
        <v>46140</v>
      </c>
      <c r="E2749" s="47">
        <f>IF(ISNUMBER(expected_production[[#This Row],[Commissioned Date]]),MAX(0,(expected_production[[#This Row],[Date]]-expected_production[[#This Row],[Commissioned Date]])/365.25),"")</f>
        <v>0</v>
      </c>
      <c r="F2749" s="49">
        <f>IF(expected_production[[#This Row],[Age (yrs)]]="",1,(1-DegradationRate)^expected_production[[#This Row],[Age (yrs)]])</f>
        <v>1</v>
      </c>
      <c r="G2749" s="52">
        <f>IF(expected_production[[#This Row],[Base Expected (kWh)]]="","",expected_production[[#This Row],[Base Expected (kWh)]]*expected_production[[#This Row],[Degradation Factor]])</f>
        <v>28991.7</v>
      </c>
    </row>
    <row r="2750" spans="1:7" hidden="1" x14ac:dyDescent="0.3">
      <c r="A2750" t="s">
        <v>250</v>
      </c>
      <c r="B2750" s="2">
        <v>45627</v>
      </c>
      <c r="C2750" s="52" cm="1">
        <f t="array" ref="C2750">IFERROR(INDEX('Expected Production'!$C$2:$N$199,MATCH(A2750,'Expected Production'!$A$2:$A$199,0),MONTH(B2750)),"")</f>
        <v>28903.5</v>
      </c>
      <c r="D2750" s="48">
        <f>_xlfn.XLOOKUP(expected_production[[#This Row],[Site Name]],Table1[[Site Name ]],Table1[Commisioned Date],"")</f>
        <v>46140</v>
      </c>
      <c r="E2750" s="47">
        <f>IF(ISNUMBER(expected_production[[#This Row],[Commissioned Date]]),MAX(0,(expected_production[[#This Row],[Date]]-expected_production[[#This Row],[Commissioned Date]])/365.25),"")</f>
        <v>0</v>
      </c>
      <c r="F2750" s="49">
        <f>IF(expected_production[[#This Row],[Age (yrs)]]="",1,(1-DegradationRate)^expected_production[[#This Row],[Age (yrs)]])</f>
        <v>1</v>
      </c>
      <c r="G2750" s="52">
        <f>IF(expected_production[[#This Row],[Base Expected (kWh)]]="","",expected_production[[#This Row],[Base Expected (kWh)]]*expected_production[[#This Row],[Degradation Factor]])</f>
        <v>28903.5</v>
      </c>
    </row>
    <row r="2751" spans="1:7" hidden="1" x14ac:dyDescent="0.3">
      <c r="A2751" t="s">
        <v>250</v>
      </c>
      <c r="B2751" s="2">
        <v>45658</v>
      </c>
      <c r="C2751" s="52" cm="1">
        <f t="array" ref="C2751">IFERROR(INDEX('Expected Production'!$C$2:$N$199,MATCH(A2751,'Expected Production'!$A$2:$A$199,0),MONTH(B2751)),"")</f>
        <v>28877.4</v>
      </c>
      <c r="D2751" s="48">
        <f>_xlfn.XLOOKUP(expected_production[[#This Row],[Site Name]],Table1[[Site Name ]],Table1[Commisioned Date],"")</f>
        <v>46140</v>
      </c>
      <c r="E2751" s="47">
        <f>IF(ISNUMBER(expected_production[[#This Row],[Commissioned Date]]),MAX(0,(expected_production[[#This Row],[Date]]-expected_production[[#This Row],[Commissioned Date]])/365.25),"")</f>
        <v>0</v>
      </c>
      <c r="F2751" s="49">
        <f>IF(expected_production[[#This Row],[Age (yrs)]]="",1,(1-DegradationRate)^expected_production[[#This Row],[Age (yrs)]])</f>
        <v>1</v>
      </c>
      <c r="G2751" s="52">
        <f>IF(expected_production[[#This Row],[Base Expected (kWh)]]="","",expected_production[[#This Row],[Base Expected (kWh)]]*expected_production[[#This Row],[Degradation Factor]])</f>
        <v>28877.4</v>
      </c>
    </row>
    <row r="2752" spans="1:7" hidden="1" x14ac:dyDescent="0.3">
      <c r="A2752" t="s">
        <v>250</v>
      </c>
      <c r="B2752" s="2">
        <v>45689</v>
      </c>
      <c r="C2752" s="52" cm="1">
        <f t="array" ref="C2752">IFERROR(INDEX('Expected Production'!$C$2:$N$199,MATCH(A2752,'Expected Production'!$A$2:$A$199,0),MONTH(B2752)),"")</f>
        <v>25884.9</v>
      </c>
      <c r="D2752" s="48">
        <f>_xlfn.XLOOKUP(expected_production[[#This Row],[Site Name]],Table1[[Site Name ]],Table1[Commisioned Date],"")</f>
        <v>46140</v>
      </c>
      <c r="E2752" s="47">
        <f>IF(ISNUMBER(expected_production[[#This Row],[Commissioned Date]]),MAX(0,(expected_production[[#This Row],[Date]]-expected_production[[#This Row],[Commissioned Date]])/365.25),"")</f>
        <v>0</v>
      </c>
      <c r="F2752" s="49">
        <f>IF(expected_production[[#This Row],[Age (yrs)]]="",1,(1-DegradationRate)^expected_production[[#This Row],[Age (yrs)]])</f>
        <v>1</v>
      </c>
      <c r="G2752" s="52">
        <f>IF(expected_production[[#This Row],[Base Expected (kWh)]]="","",expected_production[[#This Row],[Base Expected (kWh)]]*expected_production[[#This Row],[Degradation Factor]])</f>
        <v>25884.9</v>
      </c>
    </row>
    <row r="2753" spans="1:7" hidden="1" x14ac:dyDescent="0.3">
      <c r="A2753" t="s">
        <v>250</v>
      </c>
      <c r="B2753" s="2">
        <v>45717</v>
      </c>
      <c r="C2753" s="52" cm="1">
        <f t="array" ref="C2753">IFERROR(INDEX('Expected Production'!$C$2:$N$199,MATCH(A2753,'Expected Production'!$A$2:$A$199,0),MONTH(B2753)),"")</f>
        <v>27341.100000000002</v>
      </c>
      <c r="D2753" s="48">
        <f>_xlfn.XLOOKUP(expected_production[[#This Row],[Site Name]],Table1[[Site Name ]],Table1[Commisioned Date],"")</f>
        <v>46140</v>
      </c>
      <c r="E2753" s="47">
        <f>IF(ISNUMBER(expected_production[[#This Row],[Commissioned Date]]),MAX(0,(expected_production[[#This Row],[Date]]-expected_production[[#This Row],[Commissioned Date]])/365.25),"")</f>
        <v>0</v>
      </c>
      <c r="F2753" s="49">
        <f>IF(expected_production[[#This Row],[Age (yrs)]]="",1,(1-DegradationRate)^expected_production[[#This Row],[Age (yrs)]])</f>
        <v>1</v>
      </c>
      <c r="G2753" s="52">
        <f>IF(expected_production[[#This Row],[Base Expected (kWh)]]="","",expected_production[[#This Row],[Base Expected (kWh)]]*expected_production[[#This Row],[Degradation Factor]])</f>
        <v>27341.100000000002</v>
      </c>
    </row>
    <row r="2754" spans="1:7" hidden="1" x14ac:dyDescent="0.3">
      <c r="A2754" t="s">
        <v>250</v>
      </c>
      <c r="B2754" s="2">
        <v>45748</v>
      </c>
      <c r="C2754" s="52" cm="1">
        <f t="array" ref="C2754">IFERROR(INDEX('Expected Production'!$C$2:$N$199,MATCH(A2754,'Expected Production'!$A$2:$A$199,0),MONTH(B2754)),"")</f>
        <v>27823.5</v>
      </c>
      <c r="D2754" s="48">
        <f>_xlfn.XLOOKUP(expected_production[[#This Row],[Site Name]],Table1[[Site Name ]],Table1[Commisioned Date],"")</f>
        <v>46140</v>
      </c>
      <c r="E2754" s="47">
        <f>IF(ISNUMBER(expected_production[[#This Row],[Commissioned Date]]),MAX(0,(expected_production[[#This Row],[Date]]-expected_production[[#This Row],[Commissioned Date]])/365.25),"")</f>
        <v>0</v>
      </c>
      <c r="F2754" s="49">
        <f>IF(expected_production[[#This Row],[Age (yrs)]]="",1,(1-DegradationRate)^expected_production[[#This Row],[Age (yrs)]])</f>
        <v>1</v>
      </c>
      <c r="G2754" s="52">
        <f>IF(expected_production[[#This Row],[Base Expected (kWh)]]="","",expected_production[[#This Row],[Base Expected (kWh)]]*expected_production[[#This Row],[Degradation Factor]])</f>
        <v>27823.5</v>
      </c>
    </row>
    <row r="2755" spans="1:7" hidden="1" x14ac:dyDescent="0.3">
      <c r="A2755" t="s">
        <v>250</v>
      </c>
      <c r="B2755" s="2">
        <v>45778</v>
      </c>
      <c r="C2755" s="52" cm="1">
        <f t="array" ref="C2755">IFERROR(INDEX('Expected Production'!$C$2:$N$199,MATCH(A2755,'Expected Production'!$A$2:$A$199,0),MONTH(B2755)),"")</f>
        <v>29920.5</v>
      </c>
      <c r="D2755" s="48">
        <f>_xlfn.XLOOKUP(expected_production[[#This Row],[Site Name]],Table1[[Site Name ]],Table1[Commisioned Date],"")</f>
        <v>46140</v>
      </c>
      <c r="E2755" s="47">
        <f>IF(ISNUMBER(expected_production[[#This Row],[Commissioned Date]]),MAX(0,(expected_production[[#This Row],[Date]]-expected_production[[#This Row],[Commissioned Date]])/365.25),"")</f>
        <v>0</v>
      </c>
      <c r="F2755" s="49">
        <f>IF(expected_production[[#This Row],[Age (yrs)]]="",1,(1-DegradationRate)^expected_production[[#This Row],[Age (yrs)]])</f>
        <v>1</v>
      </c>
      <c r="G2755" s="52">
        <f>IF(expected_production[[#This Row],[Base Expected (kWh)]]="","",expected_production[[#This Row],[Base Expected (kWh)]]*expected_production[[#This Row],[Degradation Factor]])</f>
        <v>29920.5</v>
      </c>
    </row>
    <row r="2756" spans="1:7" hidden="1" x14ac:dyDescent="0.3">
      <c r="A2756" t="s">
        <v>250</v>
      </c>
      <c r="B2756" s="2">
        <v>45809</v>
      </c>
      <c r="C2756" s="52" cm="1">
        <f t="array" ref="C2756">IFERROR(INDEX('Expected Production'!$C$2:$N$199,MATCH(A2756,'Expected Production'!$A$2:$A$199,0),MONTH(B2756)),"")</f>
        <v>28644.3</v>
      </c>
      <c r="D2756" s="48">
        <f>_xlfn.XLOOKUP(expected_production[[#This Row],[Site Name]],Table1[[Site Name ]],Table1[Commisioned Date],"")</f>
        <v>46140</v>
      </c>
      <c r="E2756" s="47">
        <f>IF(ISNUMBER(expected_production[[#This Row],[Commissioned Date]]),MAX(0,(expected_production[[#This Row],[Date]]-expected_production[[#This Row],[Commissioned Date]])/365.25),"")</f>
        <v>0</v>
      </c>
      <c r="F2756" s="49">
        <f>IF(expected_production[[#This Row],[Age (yrs)]]="",1,(1-DegradationRate)^expected_production[[#This Row],[Age (yrs)]])</f>
        <v>1</v>
      </c>
      <c r="G2756" s="52">
        <f>IF(expected_production[[#This Row],[Base Expected (kWh)]]="","",expected_production[[#This Row],[Base Expected (kWh)]]*expected_production[[#This Row],[Degradation Factor]])</f>
        <v>28644.3</v>
      </c>
    </row>
    <row r="2757" spans="1:7" hidden="1" x14ac:dyDescent="0.3">
      <c r="A2757" t="s">
        <v>250</v>
      </c>
      <c r="B2757" s="2">
        <v>45839</v>
      </c>
      <c r="C2757" s="52" cm="1">
        <f t="array" ref="C2757">IFERROR(INDEX('Expected Production'!$C$2:$N$199,MATCH(A2757,'Expected Production'!$A$2:$A$199,0),MONTH(B2757)),"")</f>
        <v>28051.200000000001</v>
      </c>
      <c r="D2757" s="48">
        <f>_xlfn.XLOOKUP(expected_production[[#This Row],[Site Name]],Table1[[Site Name ]],Table1[Commisioned Date],"")</f>
        <v>46140</v>
      </c>
      <c r="E2757" s="47">
        <f>IF(ISNUMBER(expected_production[[#This Row],[Commissioned Date]]),MAX(0,(expected_production[[#This Row],[Date]]-expected_production[[#This Row],[Commissioned Date]])/365.25),"")</f>
        <v>0</v>
      </c>
      <c r="F2757" s="49">
        <f>IF(expected_production[[#This Row],[Age (yrs)]]="",1,(1-DegradationRate)^expected_production[[#This Row],[Age (yrs)]])</f>
        <v>1</v>
      </c>
      <c r="G2757" s="52">
        <f>IF(expected_production[[#This Row],[Base Expected (kWh)]]="","",expected_production[[#This Row],[Base Expected (kWh)]]*expected_production[[#This Row],[Degradation Factor]])</f>
        <v>28051.200000000001</v>
      </c>
    </row>
    <row r="2758" spans="1:7" hidden="1" x14ac:dyDescent="0.3">
      <c r="A2758" t="s">
        <v>250</v>
      </c>
      <c r="B2758" s="2">
        <v>45870</v>
      </c>
      <c r="C2758" s="52" cm="1">
        <f t="array" ref="C2758">IFERROR(INDEX('Expected Production'!$C$2:$N$199,MATCH(A2758,'Expected Production'!$A$2:$A$199,0),MONTH(B2758)),"")</f>
        <v>31649.4</v>
      </c>
      <c r="D2758" s="48">
        <f>_xlfn.XLOOKUP(expected_production[[#This Row],[Site Name]],Table1[[Site Name ]],Table1[Commisioned Date],"")</f>
        <v>46140</v>
      </c>
      <c r="E2758" s="47">
        <f>IF(ISNUMBER(expected_production[[#This Row],[Commissioned Date]]),MAX(0,(expected_production[[#This Row],[Date]]-expected_production[[#This Row],[Commissioned Date]])/365.25),"")</f>
        <v>0</v>
      </c>
      <c r="F2758" s="49">
        <f>IF(expected_production[[#This Row],[Age (yrs)]]="",1,(1-DegradationRate)^expected_production[[#This Row],[Age (yrs)]])</f>
        <v>1</v>
      </c>
      <c r="G2758" s="52">
        <f>IF(expected_production[[#This Row],[Base Expected (kWh)]]="","",expected_production[[#This Row],[Base Expected (kWh)]]*expected_production[[#This Row],[Degradation Factor]])</f>
        <v>31649.4</v>
      </c>
    </row>
    <row r="2759" spans="1:7" hidden="1" x14ac:dyDescent="0.3">
      <c r="A2759" t="s">
        <v>250</v>
      </c>
      <c r="B2759" s="2">
        <v>45901</v>
      </c>
      <c r="C2759" s="52" cm="1">
        <f t="array" ref="C2759">IFERROR(INDEX('Expected Production'!$C$2:$N$199,MATCH(A2759,'Expected Production'!$A$2:$A$199,0),MONTH(B2759)),"")</f>
        <v>28250.100000000002</v>
      </c>
      <c r="D2759" s="48">
        <f>_xlfn.XLOOKUP(expected_production[[#This Row],[Site Name]],Table1[[Site Name ]],Table1[Commisioned Date],"")</f>
        <v>46140</v>
      </c>
      <c r="E2759" s="47">
        <f>IF(ISNUMBER(expected_production[[#This Row],[Commissioned Date]]),MAX(0,(expected_production[[#This Row],[Date]]-expected_production[[#This Row],[Commissioned Date]])/365.25),"")</f>
        <v>0</v>
      </c>
      <c r="F2759" s="49">
        <f>IF(expected_production[[#This Row],[Age (yrs)]]="",1,(1-DegradationRate)^expected_production[[#This Row],[Age (yrs)]])</f>
        <v>1</v>
      </c>
      <c r="G2759" s="52">
        <f>IF(expected_production[[#This Row],[Base Expected (kWh)]]="","",expected_production[[#This Row],[Base Expected (kWh)]]*expected_production[[#This Row],[Degradation Factor]])</f>
        <v>28250.100000000002</v>
      </c>
    </row>
    <row r="2760" spans="1:7" hidden="1" x14ac:dyDescent="0.3">
      <c r="A2760" t="s">
        <v>250</v>
      </c>
      <c r="B2760" s="2">
        <v>45931</v>
      </c>
      <c r="C2760" s="52" cm="1">
        <f t="array" ref="C2760">IFERROR(INDEX('Expected Production'!$C$2:$N$199,MATCH(A2760,'Expected Production'!$A$2:$A$199,0),MONTH(B2760)),"")</f>
        <v>28466.100000000002</v>
      </c>
      <c r="D2760" s="48">
        <f>_xlfn.XLOOKUP(expected_production[[#This Row],[Site Name]],Table1[[Site Name ]],Table1[Commisioned Date],"")</f>
        <v>46140</v>
      </c>
      <c r="E2760" s="47">
        <f>IF(ISNUMBER(expected_production[[#This Row],[Commissioned Date]]),MAX(0,(expected_production[[#This Row],[Date]]-expected_production[[#This Row],[Commissioned Date]])/365.25),"")</f>
        <v>0</v>
      </c>
      <c r="F2760" s="49">
        <f>IF(expected_production[[#This Row],[Age (yrs)]]="",1,(1-DegradationRate)^expected_production[[#This Row],[Age (yrs)]])</f>
        <v>1</v>
      </c>
      <c r="G2760" s="52">
        <f>IF(expected_production[[#This Row],[Base Expected (kWh)]]="","",expected_production[[#This Row],[Base Expected (kWh)]]*expected_production[[#This Row],[Degradation Factor]])</f>
        <v>28466.100000000002</v>
      </c>
    </row>
    <row r="2761" spans="1:7" hidden="1" x14ac:dyDescent="0.3">
      <c r="A2761" t="s">
        <v>250</v>
      </c>
      <c r="B2761" s="2">
        <v>45962</v>
      </c>
      <c r="C2761" s="52" cm="1">
        <f t="array" ref="C2761">IFERROR(INDEX('Expected Production'!$C$2:$N$199,MATCH(A2761,'Expected Production'!$A$2:$A$199,0),MONTH(B2761)),"")</f>
        <v>28991.7</v>
      </c>
      <c r="D2761" s="48">
        <f>_xlfn.XLOOKUP(expected_production[[#This Row],[Site Name]],Table1[[Site Name ]],Table1[Commisioned Date],"")</f>
        <v>46140</v>
      </c>
      <c r="E2761" s="47">
        <f>IF(ISNUMBER(expected_production[[#This Row],[Commissioned Date]]),MAX(0,(expected_production[[#This Row],[Date]]-expected_production[[#This Row],[Commissioned Date]])/365.25),"")</f>
        <v>0</v>
      </c>
      <c r="F2761" s="49">
        <f>IF(expected_production[[#This Row],[Age (yrs)]]="",1,(1-DegradationRate)^expected_production[[#This Row],[Age (yrs)]])</f>
        <v>1</v>
      </c>
      <c r="G2761" s="52">
        <f>IF(expected_production[[#This Row],[Base Expected (kWh)]]="","",expected_production[[#This Row],[Base Expected (kWh)]]*expected_production[[#This Row],[Degradation Factor]])</f>
        <v>28991.7</v>
      </c>
    </row>
    <row r="2762" spans="1:7" hidden="1" x14ac:dyDescent="0.3">
      <c r="A2762" t="s">
        <v>250</v>
      </c>
      <c r="B2762" s="2">
        <v>45992</v>
      </c>
      <c r="C2762" s="52" cm="1">
        <f t="array" ref="C2762">IFERROR(INDEX('Expected Production'!$C$2:$N$199,MATCH(A2762,'Expected Production'!$A$2:$A$199,0),MONTH(B2762)),"")</f>
        <v>28903.5</v>
      </c>
      <c r="D2762" s="48">
        <f>_xlfn.XLOOKUP(expected_production[[#This Row],[Site Name]],Table1[[Site Name ]],Table1[Commisioned Date],"")</f>
        <v>46140</v>
      </c>
      <c r="E2762" s="47">
        <f>IF(ISNUMBER(expected_production[[#This Row],[Commissioned Date]]),MAX(0,(expected_production[[#This Row],[Date]]-expected_production[[#This Row],[Commissioned Date]])/365.25),"")</f>
        <v>0</v>
      </c>
      <c r="F2762" s="49">
        <f>IF(expected_production[[#This Row],[Age (yrs)]]="",1,(1-DegradationRate)^expected_production[[#This Row],[Age (yrs)]])</f>
        <v>1</v>
      </c>
      <c r="G2762" s="52">
        <f>IF(expected_production[[#This Row],[Base Expected (kWh)]]="","",expected_production[[#This Row],[Base Expected (kWh)]]*expected_production[[#This Row],[Degradation Factor]])</f>
        <v>28903.5</v>
      </c>
    </row>
    <row r="2763" spans="1:7" hidden="1" x14ac:dyDescent="0.3">
      <c r="A2763" t="s">
        <v>250</v>
      </c>
      <c r="B2763" s="2">
        <v>46023</v>
      </c>
      <c r="C2763" s="52" cm="1">
        <f t="array" ref="C2763">IFERROR(INDEX('Expected Production'!$C$2:$N$199,MATCH(A2763,'Expected Production'!$A$2:$A$199,0),MONTH(B2763)),"")</f>
        <v>28877.4</v>
      </c>
      <c r="D2763" s="48">
        <f>_xlfn.XLOOKUP(expected_production[[#This Row],[Site Name]],Table1[[Site Name ]],Table1[Commisioned Date],"")</f>
        <v>46140</v>
      </c>
      <c r="E2763" s="47">
        <f>IF(ISNUMBER(expected_production[[#This Row],[Commissioned Date]]),MAX(0,(expected_production[[#This Row],[Date]]-expected_production[[#This Row],[Commissioned Date]])/365.25),"")</f>
        <v>0</v>
      </c>
      <c r="F2763" s="49">
        <f>IF(expected_production[[#This Row],[Age (yrs)]]="",1,(1-DegradationRate)^expected_production[[#This Row],[Age (yrs)]])</f>
        <v>1</v>
      </c>
      <c r="G2763" s="52">
        <f>IF(expected_production[[#This Row],[Base Expected (kWh)]]="","",expected_production[[#This Row],[Base Expected (kWh)]]*expected_production[[#This Row],[Degradation Factor]])</f>
        <v>28877.4</v>
      </c>
    </row>
    <row r="2764" spans="1:7" hidden="1" x14ac:dyDescent="0.3">
      <c r="A2764" t="s">
        <v>250</v>
      </c>
      <c r="B2764" s="2">
        <v>46054</v>
      </c>
      <c r="C2764" s="52" cm="1">
        <f t="array" ref="C2764">IFERROR(INDEX('Expected Production'!$C$2:$N$199,MATCH(A2764,'Expected Production'!$A$2:$A$199,0),MONTH(B2764)),"")</f>
        <v>25884.9</v>
      </c>
      <c r="D2764" s="48">
        <f>_xlfn.XLOOKUP(expected_production[[#This Row],[Site Name]],Table1[[Site Name ]],Table1[Commisioned Date],"")</f>
        <v>46140</v>
      </c>
      <c r="E2764" s="47">
        <f>IF(ISNUMBER(expected_production[[#This Row],[Commissioned Date]]),MAX(0,(expected_production[[#This Row],[Date]]-expected_production[[#This Row],[Commissioned Date]])/365.25),"")</f>
        <v>0</v>
      </c>
      <c r="F2764" s="49">
        <f>IF(expected_production[[#This Row],[Age (yrs)]]="",1,(1-DegradationRate)^expected_production[[#This Row],[Age (yrs)]])</f>
        <v>1</v>
      </c>
      <c r="G2764" s="52">
        <f>IF(expected_production[[#This Row],[Base Expected (kWh)]]="","",expected_production[[#This Row],[Base Expected (kWh)]]*expected_production[[#This Row],[Degradation Factor]])</f>
        <v>25884.9</v>
      </c>
    </row>
    <row r="2765" spans="1:7" hidden="1" x14ac:dyDescent="0.3">
      <c r="A2765" t="s">
        <v>250</v>
      </c>
      <c r="B2765" s="2">
        <v>46082</v>
      </c>
      <c r="C2765" s="52" cm="1">
        <f t="array" ref="C2765">IFERROR(INDEX('Expected Production'!$C$2:$N$199,MATCH(A2765,'Expected Production'!$A$2:$A$199,0),MONTH(B2765)),"")</f>
        <v>27341.100000000002</v>
      </c>
      <c r="D2765" s="48">
        <f>_xlfn.XLOOKUP(expected_production[[#This Row],[Site Name]],Table1[[Site Name ]],Table1[Commisioned Date],"")</f>
        <v>46140</v>
      </c>
      <c r="E2765" s="47">
        <f>IF(ISNUMBER(expected_production[[#This Row],[Commissioned Date]]),MAX(0,(expected_production[[#This Row],[Date]]-expected_production[[#This Row],[Commissioned Date]])/365.25),"")</f>
        <v>0</v>
      </c>
      <c r="F2765" s="49">
        <f>IF(expected_production[[#This Row],[Age (yrs)]]="",1,(1-DegradationRate)^expected_production[[#This Row],[Age (yrs)]])</f>
        <v>1</v>
      </c>
      <c r="G2765" s="52">
        <f>IF(expected_production[[#This Row],[Base Expected (kWh)]]="","",expected_production[[#This Row],[Base Expected (kWh)]]*expected_production[[#This Row],[Degradation Factor]])</f>
        <v>27341.100000000002</v>
      </c>
    </row>
    <row r="2766" spans="1:7" hidden="1" x14ac:dyDescent="0.3">
      <c r="A2766" t="s">
        <v>250</v>
      </c>
      <c r="B2766" s="2">
        <v>46113</v>
      </c>
      <c r="C2766" s="52" cm="1">
        <f t="array" ref="C2766">IFERROR(INDEX('Expected Production'!$C$2:$N$199,MATCH(A2766,'Expected Production'!$A$2:$A$199,0),MONTH(B2766)),"")</f>
        <v>27823.5</v>
      </c>
      <c r="D2766" s="48">
        <f>_xlfn.XLOOKUP(expected_production[[#This Row],[Site Name]],Table1[[Site Name ]],Table1[Commisioned Date],"")</f>
        <v>46140</v>
      </c>
      <c r="E2766" s="47">
        <f>IF(ISNUMBER(expected_production[[#This Row],[Commissioned Date]]),MAX(0,(expected_production[[#This Row],[Date]]-expected_production[[#This Row],[Commissioned Date]])/365.25),"")</f>
        <v>0</v>
      </c>
      <c r="F2766" s="49">
        <f>IF(expected_production[[#This Row],[Age (yrs)]]="",1,(1-DegradationRate)^expected_production[[#This Row],[Age (yrs)]])</f>
        <v>1</v>
      </c>
      <c r="G2766" s="52">
        <f>IF(expected_production[[#This Row],[Base Expected (kWh)]]="","",expected_production[[#This Row],[Base Expected (kWh)]]*expected_production[[#This Row],[Degradation Factor]])</f>
        <v>27823.5</v>
      </c>
    </row>
    <row r="2767" spans="1:7" hidden="1" x14ac:dyDescent="0.3">
      <c r="A2767" t="s">
        <v>250</v>
      </c>
      <c r="B2767" s="2">
        <v>46143</v>
      </c>
      <c r="C2767" s="52" cm="1">
        <f t="array" ref="C2767">IFERROR(INDEX('Expected Production'!$C$2:$N$199,MATCH(A2767,'Expected Production'!$A$2:$A$199,0),MONTH(B2767)),"")</f>
        <v>29920.5</v>
      </c>
      <c r="D2767" s="48">
        <f>_xlfn.XLOOKUP(expected_production[[#This Row],[Site Name]],Table1[[Site Name ]],Table1[Commisioned Date],"")</f>
        <v>46140</v>
      </c>
      <c r="E2767" s="47">
        <f>IF(ISNUMBER(expected_production[[#This Row],[Commissioned Date]]),MAX(0,(expected_production[[#This Row],[Date]]-expected_production[[#This Row],[Commissioned Date]])/365.25),"")</f>
        <v>8.2135523613963042E-3</v>
      </c>
      <c r="F2767" s="49">
        <f>IF(expected_production[[#This Row],[Age (yrs)]]="",1,(1-DegradationRate)^expected_production[[#This Row],[Age (yrs)]])</f>
        <v>0.99994230462183897</v>
      </c>
      <c r="G2767" s="52">
        <f>IF(expected_production[[#This Row],[Base Expected (kWh)]]="","",expected_production[[#This Row],[Base Expected (kWh)]]*expected_production[[#This Row],[Degradation Factor]])</f>
        <v>29918.773725437732</v>
      </c>
    </row>
    <row r="2768" spans="1:7" hidden="1" x14ac:dyDescent="0.3">
      <c r="A2768" t="s">
        <v>250</v>
      </c>
      <c r="B2768" s="2">
        <v>46174</v>
      </c>
      <c r="C2768" s="52" cm="1">
        <f t="array" ref="C2768">IFERROR(INDEX('Expected Production'!$C$2:$N$199,MATCH(A2768,'Expected Production'!$A$2:$A$199,0),MONTH(B2768)),"")</f>
        <v>28644.3</v>
      </c>
      <c r="D2768" s="48">
        <f>_xlfn.XLOOKUP(expected_production[[#This Row],[Site Name]],Table1[[Site Name ]],Table1[Commisioned Date],"")</f>
        <v>46140</v>
      </c>
      <c r="E2768" s="47">
        <f>IF(ISNUMBER(expected_production[[#This Row],[Commissioned Date]]),MAX(0,(expected_production[[#This Row],[Date]]-expected_production[[#This Row],[Commissioned Date]])/365.25),"")</f>
        <v>9.3086926762491445E-2</v>
      </c>
      <c r="F2768" s="49">
        <f>IF(expected_production[[#This Row],[Age (yrs)]]="",1,(1-DegradationRate)^expected_production[[#This Row],[Age (yrs)]])</f>
        <v>0.99934631392972084</v>
      </c>
      <c r="G2768" s="52">
        <f>IF(expected_production[[#This Row],[Base Expected (kWh)]]="","",expected_production[[#This Row],[Base Expected (kWh)]]*expected_production[[#This Row],[Degradation Factor]])</f>
        <v>28625.575620097101</v>
      </c>
    </row>
    <row r="2769" spans="1:7" hidden="1" x14ac:dyDescent="0.3">
      <c r="A2769" t="s">
        <v>250</v>
      </c>
      <c r="B2769" s="2">
        <v>46204</v>
      </c>
      <c r="C2769" s="52" cm="1">
        <f t="array" ref="C2769">IFERROR(INDEX('Expected Production'!$C$2:$N$199,MATCH(A2769,'Expected Production'!$A$2:$A$199,0),MONTH(B2769)),"")</f>
        <v>28051.200000000001</v>
      </c>
      <c r="D2769" s="48">
        <f>_xlfn.XLOOKUP(expected_production[[#This Row],[Site Name]],Table1[[Site Name ]],Table1[Commisioned Date],"")</f>
        <v>46140</v>
      </c>
      <c r="E2769" s="47">
        <f>IF(ISNUMBER(expected_production[[#This Row],[Commissioned Date]]),MAX(0,(expected_production[[#This Row],[Date]]-expected_production[[#This Row],[Commissioned Date]])/365.25),"")</f>
        <v>0.17522245037645448</v>
      </c>
      <c r="F2769" s="49">
        <f>IF(expected_production[[#This Row],[Age (yrs)]]="",1,(1-DegradationRate)^expected_production[[#This Row],[Age (yrs)]])</f>
        <v>0.99876988696786295</v>
      </c>
      <c r="G2769" s="52">
        <f>IF(expected_production[[#This Row],[Base Expected (kWh)]]="","",expected_production[[#This Row],[Base Expected (kWh)]]*expected_production[[#This Row],[Degradation Factor]])</f>
        <v>28016.693853312918</v>
      </c>
    </row>
    <row r="2770" spans="1:7" hidden="1" x14ac:dyDescent="0.3">
      <c r="A2770" t="s">
        <v>250</v>
      </c>
      <c r="B2770" s="2">
        <v>46235</v>
      </c>
      <c r="C2770" s="52" cm="1">
        <f t="array" ref="C2770">IFERROR(INDEX('Expected Production'!$C$2:$N$199,MATCH(A2770,'Expected Production'!$A$2:$A$199,0),MONTH(B2770)),"")</f>
        <v>31649.4</v>
      </c>
      <c r="D2770" s="48">
        <f>_xlfn.XLOOKUP(expected_production[[#This Row],[Site Name]],Table1[[Site Name ]],Table1[Commisioned Date],"")</f>
        <v>46140</v>
      </c>
      <c r="E2770" s="47">
        <f>IF(ISNUMBER(expected_production[[#This Row],[Commissioned Date]]),MAX(0,(expected_production[[#This Row],[Date]]-expected_production[[#This Row],[Commissioned Date]])/365.25),"")</f>
        <v>0.26009582477754961</v>
      </c>
      <c r="F2770" s="49">
        <f>IF(expected_production[[#This Row],[Age (yrs)]]="",1,(1-DegradationRate)^expected_production[[#This Row],[Age (yrs)]])</f>
        <v>0.99817459506607087</v>
      </c>
      <c r="G2770" s="52">
        <f>IF(expected_production[[#This Row],[Base Expected (kWh)]]="","",expected_production[[#This Row],[Base Expected (kWh)]]*expected_production[[#This Row],[Degradation Factor]])</f>
        <v>31591.627029084106</v>
      </c>
    </row>
    <row r="2771" spans="1:7" hidden="1" x14ac:dyDescent="0.3">
      <c r="A2771" t="s">
        <v>250</v>
      </c>
      <c r="B2771" s="2">
        <v>46266</v>
      </c>
      <c r="C2771" s="52" cm="1">
        <f t="array" ref="C2771">IFERROR(INDEX('Expected Production'!$C$2:$N$199,MATCH(A2771,'Expected Production'!$A$2:$A$199,0),MONTH(B2771)),"")</f>
        <v>28250.100000000002</v>
      </c>
      <c r="D2771" s="48">
        <f>_xlfn.XLOOKUP(expected_production[[#This Row],[Site Name]],Table1[[Site Name ]],Table1[Commisioned Date],"")</f>
        <v>46140</v>
      </c>
      <c r="E2771" s="47">
        <f>IF(ISNUMBER(expected_production[[#This Row],[Commissioned Date]]),MAX(0,(expected_production[[#This Row],[Date]]-expected_production[[#This Row],[Commissioned Date]])/365.25),"")</f>
        <v>0.34496919917864477</v>
      </c>
      <c r="F2771" s="49">
        <f>IF(expected_production[[#This Row],[Age (yrs)]]="",1,(1-DegradationRate)^expected_production[[#This Row],[Age (yrs)]])</f>
        <v>0.99757965797318227</v>
      </c>
      <c r="G2771" s="52">
        <f>IF(expected_production[[#This Row],[Base Expected (kWh)]]="","",expected_production[[#This Row],[Base Expected (kWh)]]*expected_production[[#This Row],[Degradation Factor]])</f>
        <v>28181.7250957082</v>
      </c>
    </row>
    <row r="2772" spans="1:7" hidden="1" x14ac:dyDescent="0.3">
      <c r="A2772" t="s">
        <v>250</v>
      </c>
      <c r="B2772" s="2">
        <v>46296</v>
      </c>
      <c r="C2772" s="52" cm="1">
        <f t="array" ref="C2772">IFERROR(INDEX('Expected Production'!$C$2:$N$199,MATCH(A2772,'Expected Production'!$A$2:$A$199,0),MONTH(B2772)),"")</f>
        <v>28466.100000000002</v>
      </c>
      <c r="D2772" s="48">
        <f>_xlfn.XLOOKUP(expected_production[[#This Row],[Site Name]],Table1[[Site Name ]],Table1[Commisioned Date],"")</f>
        <v>46140</v>
      </c>
      <c r="E2772" s="47">
        <f>IF(ISNUMBER(expected_production[[#This Row],[Commissioned Date]]),MAX(0,(expected_production[[#This Row],[Date]]-expected_production[[#This Row],[Commissioned Date]])/365.25),"")</f>
        <v>0.4271047227926078</v>
      </c>
      <c r="F2772" s="49">
        <f>IF(expected_production[[#This Row],[Age (yrs)]]="",1,(1-DegradationRate)^expected_production[[#This Row],[Age (yrs)]])</f>
        <v>0.99700425002556547</v>
      </c>
      <c r="G2772" s="52">
        <f>IF(expected_production[[#This Row],[Base Expected (kWh)]]="","",expected_production[[#This Row],[Base Expected (kWh)]]*expected_production[[#This Row],[Degradation Factor]])</f>
        <v>28380.822681652753</v>
      </c>
    </row>
    <row r="2773" spans="1:7" hidden="1" x14ac:dyDescent="0.3">
      <c r="A2773" t="s">
        <v>250</v>
      </c>
      <c r="B2773" s="2">
        <v>46327</v>
      </c>
      <c r="C2773" s="52" cm="1">
        <f t="array" ref="C2773">IFERROR(INDEX('Expected Production'!$C$2:$N$199,MATCH(A2773,'Expected Production'!$A$2:$A$199,0),MONTH(B2773)),"")</f>
        <v>28991.7</v>
      </c>
      <c r="D2773" s="48">
        <f>_xlfn.XLOOKUP(expected_production[[#This Row],[Site Name]],Table1[[Site Name ]],Table1[Commisioned Date],"")</f>
        <v>46140</v>
      </c>
      <c r="E2773" s="47">
        <f>IF(ISNUMBER(expected_production[[#This Row],[Commissioned Date]]),MAX(0,(expected_production[[#This Row],[Date]]-expected_production[[#This Row],[Commissioned Date]])/365.25),"")</f>
        <v>0.51197809719370291</v>
      </c>
      <c r="F2773" s="49">
        <f>IF(expected_production[[#This Row],[Age (yrs)]]="",1,(1-DegradationRate)^expected_production[[#This Row],[Age (yrs)]])</f>
        <v>0.99641001048767319</v>
      </c>
      <c r="G2773" s="52">
        <f>IF(expected_production[[#This Row],[Base Expected (kWh)]]="","",expected_production[[#This Row],[Base Expected (kWh)]]*expected_production[[#This Row],[Degradation Factor]])</f>
        <v>28887.620101055476</v>
      </c>
    </row>
    <row r="2774" spans="1:7" hidden="1" x14ac:dyDescent="0.3">
      <c r="A2774" t="s">
        <v>250</v>
      </c>
      <c r="B2774" s="2">
        <v>46357</v>
      </c>
      <c r="C2774" s="52" cm="1">
        <f t="array" ref="C2774">IFERROR(INDEX('Expected Production'!$C$2:$N$199,MATCH(A2774,'Expected Production'!$A$2:$A$199,0),MONTH(B2774)),"")</f>
        <v>28903.5</v>
      </c>
      <c r="D2774" s="48">
        <f>_xlfn.XLOOKUP(expected_production[[#This Row],[Site Name]],Table1[[Site Name ]],Table1[Commisioned Date],"")</f>
        <v>46140</v>
      </c>
      <c r="E2774" s="47">
        <f>IF(ISNUMBER(expected_production[[#This Row],[Commissioned Date]]),MAX(0,(expected_production[[#This Row],[Date]]-expected_production[[#This Row],[Commissioned Date]])/365.25),"")</f>
        <v>0.59411362080766594</v>
      </c>
      <c r="F2774" s="49">
        <f>IF(expected_production[[#This Row],[Age (yrs)]]="",1,(1-DegradationRate)^expected_production[[#This Row],[Age (yrs)]])</f>
        <v>0.99583527719741705</v>
      </c>
      <c r="G2774" s="52">
        <f>IF(expected_production[[#This Row],[Base Expected (kWh)]]="","",expected_production[[#This Row],[Base Expected (kWh)]]*expected_production[[#This Row],[Degradation Factor]])</f>
        <v>28783.124934475545</v>
      </c>
    </row>
    <row r="2775" spans="1:7" hidden="1" x14ac:dyDescent="0.3">
      <c r="A2775" t="s">
        <v>1004</v>
      </c>
      <c r="B2775" s="2">
        <v>46204</v>
      </c>
      <c r="C2775" s="52" cm="1">
        <f t="array" ref="C2775">IFERROR(INDEX('Expected Production'!$C$2:$N$199,MATCH(A2775,'Expected Production'!$A$2:$A$199,0),MONTH(B2775)),"")</f>
        <v>4644.9000000000005</v>
      </c>
      <c r="D2775" s="48">
        <f>_xlfn.XLOOKUP(expected_production[[#This Row],[Site Name]],Table1[[Site Name ]],Table1[Commisioned Date],"")</f>
        <v>46185</v>
      </c>
      <c r="E2775" s="47">
        <f>IF(ISNUMBER(expected_production[[#This Row],[Commissioned Date]]),MAX(0,(expected_production[[#This Row],[Date]]-expected_production[[#This Row],[Commissioned Date]])/365.25),"")</f>
        <v>5.2019164955509928E-2</v>
      </c>
      <c r="F2775" s="49">
        <f>IF(expected_production[[#This Row],[Age (yrs)]]="",1,(1-DegradationRate)^expected_production[[#This Row],[Age (yrs)]])</f>
        <v>0.99963465215262981</v>
      </c>
      <c r="G2775" s="52">
        <f>IF(expected_production[[#This Row],[Base Expected (kWh)]]="","",expected_production[[#This Row],[Base Expected (kWh)]]*expected_production[[#This Row],[Degradation Factor]])</f>
        <v>4643.2029957837503</v>
      </c>
    </row>
    <row r="2776" spans="1:7" hidden="1" x14ac:dyDescent="0.3">
      <c r="A2776" t="s">
        <v>1004</v>
      </c>
      <c r="B2776" s="2">
        <v>46235</v>
      </c>
      <c r="C2776" s="52" cm="1">
        <f t="array" ref="C2776">IFERROR(INDEX('Expected Production'!$C$2:$N$199,MATCH(A2776,'Expected Production'!$A$2:$A$199,0),MONTH(B2776)),"")</f>
        <v>5254.2</v>
      </c>
      <c r="D2776" s="48">
        <f>_xlfn.XLOOKUP(expected_production[[#This Row],[Site Name]],Table1[[Site Name ]],Table1[Commisioned Date],"")</f>
        <v>46185</v>
      </c>
      <c r="E2776" s="47">
        <f>IF(ISNUMBER(expected_production[[#This Row],[Commissioned Date]]),MAX(0,(expected_production[[#This Row],[Date]]-expected_production[[#This Row],[Commissioned Date]])/365.25),"")</f>
        <v>0.13689253935660506</v>
      </c>
      <c r="F2776" s="49">
        <f>IF(expected_production[[#This Row],[Age (yrs)]]="",1,(1-DegradationRate)^expected_production[[#This Row],[Age (yrs)]])</f>
        <v>0.99903884482909933</v>
      </c>
      <c r="G2776" s="52">
        <f>IF(expected_production[[#This Row],[Base Expected (kWh)]]="","",expected_production[[#This Row],[Base Expected (kWh)]]*expected_production[[#This Row],[Degradation Factor]])</f>
        <v>5249.1498985010539</v>
      </c>
    </row>
    <row r="2777" spans="1:7" hidden="1" x14ac:dyDescent="0.3">
      <c r="A2777" t="s">
        <v>1004</v>
      </c>
      <c r="B2777" s="2">
        <v>46266</v>
      </c>
      <c r="C2777" s="52" cm="1">
        <f t="array" ref="C2777">IFERROR(INDEX('Expected Production'!$C$2:$N$199,MATCH(A2777,'Expected Production'!$A$2:$A$199,0),MONTH(B2777)),"")</f>
        <v>5567.4000000000005</v>
      </c>
      <c r="D2777" s="48">
        <f>_xlfn.XLOOKUP(expected_production[[#This Row],[Site Name]],Table1[[Site Name ]],Table1[Commisioned Date],"")</f>
        <v>46185</v>
      </c>
      <c r="E2777" s="47">
        <f>IF(ISNUMBER(expected_production[[#This Row],[Commissioned Date]]),MAX(0,(expected_production[[#This Row],[Date]]-expected_production[[#This Row],[Commissioned Date]])/365.25),"")</f>
        <v>0.22176591375770022</v>
      </c>
      <c r="F2777" s="49">
        <f>IF(expected_production[[#This Row],[Age (yrs)]]="",1,(1-DegradationRate)^expected_production[[#This Row],[Age (yrs)]])</f>
        <v>0.99844339262167647</v>
      </c>
      <c r="G2777" s="52">
        <f>IF(expected_production[[#This Row],[Base Expected (kWh)]]="","",expected_production[[#This Row],[Base Expected (kWh)]]*expected_production[[#This Row],[Degradation Factor]])</f>
        <v>5558.7337440819219</v>
      </c>
    </row>
    <row r="2778" spans="1:7" hidden="1" x14ac:dyDescent="0.3">
      <c r="A2778" t="s">
        <v>1004</v>
      </c>
      <c r="B2778" s="2">
        <v>46296</v>
      </c>
      <c r="C2778" s="52" cm="1">
        <f t="array" ref="C2778">IFERROR(INDEX('Expected Production'!$C$2:$N$199,MATCH(A2778,'Expected Production'!$A$2:$A$199,0),MONTH(B2778)),"")</f>
        <v>6030.9000000000005</v>
      </c>
      <c r="D2778" s="48">
        <f>_xlfn.XLOOKUP(expected_production[[#This Row],[Site Name]],Table1[[Site Name ]],Table1[Commisioned Date],"")</f>
        <v>46185</v>
      </c>
      <c r="E2778" s="47">
        <f>IF(ISNUMBER(expected_production[[#This Row],[Commissioned Date]]),MAX(0,(expected_production[[#This Row],[Date]]-expected_production[[#This Row],[Commissioned Date]])/365.25),"")</f>
        <v>0.30390143737166325</v>
      </c>
      <c r="F2778" s="49">
        <f>IF(expected_production[[#This Row],[Age (yrs)]]="",1,(1-DegradationRate)^expected_production[[#This Row],[Age (yrs)]])</f>
        <v>0.99786748646845025</v>
      </c>
      <c r="G2778" s="52">
        <f>IF(expected_production[[#This Row],[Base Expected (kWh)]]="","",expected_production[[#This Row],[Base Expected (kWh)]]*expected_production[[#This Row],[Degradation Factor]])</f>
        <v>6018.0390241425775</v>
      </c>
    </row>
    <row r="2779" spans="1:7" hidden="1" x14ac:dyDescent="0.3">
      <c r="A2779" t="s">
        <v>1004</v>
      </c>
      <c r="B2779" s="2">
        <v>46327</v>
      </c>
      <c r="C2779" s="52" cm="1">
        <f t="array" ref="C2779">IFERROR(INDEX('Expected Production'!$C$2:$N$199,MATCH(A2779,'Expected Production'!$A$2:$A$199,0),MONTH(B2779)),"")</f>
        <v>5897.7</v>
      </c>
      <c r="D2779" s="48">
        <f>_xlfn.XLOOKUP(expected_production[[#This Row],[Site Name]],Table1[[Site Name ]],Table1[Commisioned Date],"")</f>
        <v>46185</v>
      </c>
      <c r="E2779" s="47">
        <f>IF(ISNUMBER(expected_production[[#This Row],[Commissioned Date]]),MAX(0,(expected_production[[#This Row],[Date]]-expected_production[[#This Row],[Commissioned Date]])/365.25),"")</f>
        <v>0.38877481177275841</v>
      </c>
      <c r="F2779" s="49">
        <f>IF(expected_production[[#This Row],[Age (yrs)]]="",1,(1-DegradationRate)^expected_production[[#This Row],[Age (yrs)]])</f>
        <v>0.99727273241998815</v>
      </c>
      <c r="G2779" s="52">
        <f>IF(expected_production[[#This Row],[Base Expected (kWh)]]="","",expected_production[[#This Row],[Base Expected (kWh)]]*expected_production[[#This Row],[Degradation Factor]])</f>
        <v>5881.6153939933638</v>
      </c>
    </row>
    <row r="2780" spans="1:7" hidden="1" x14ac:dyDescent="0.3">
      <c r="A2780" t="s">
        <v>1004</v>
      </c>
      <c r="B2780" s="2">
        <v>46357</v>
      </c>
      <c r="C2780" s="52" cm="1">
        <f t="array" ref="C2780">IFERROR(INDEX('Expected Production'!$C$2:$N$199,MATCH(A2780,'Expected Production'!$A$2:$A$199,0),MONTH(B2780)),"")</f>
        <v>5989.5</v>
      </c>
      <c r="D2780" s="48">
        <f>_xlfn.XLOOKUP(expected_production[[#This Row],[Site Name]],Table1[[Site Name ]],Table1[Commisioned Date],"")</f>
        <v>46185</v>
      </c>
      <c r="E2780" s="47">
        <f>IF(ISNUMBER(expected_production[[#This Row],[Commissioned Date]]),MAX(0,(expected_production[[#This Row],[Date]]-expected_production[[#This Row],[Commissioned Date]])/365.25),"")</f>
        <v>0.47091033538672145</v>
      </c>
      <c r="F2780" s="49">
        <f>IF(expected_production[[#This Row],[Age (yrs)]]="",1,(1-DegradationRate)^expected_production[[#This Row],[Age (yrs)]])</f>
        <v>0.99669750150826131</v>
      </c>
      <c r="G2780" s="52">
        <f>IF(expected_production[[#This Row],[Base Expected (kWh)]]="","",expected_production[[#This Row],[Base Expected (kWh)]]*expected_production[[#This Row],[Degradation Factor]])</f>
        <v>5969.7196852837315</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79"/>
  <sheetViews>
    <sheetView zoomScaleNormal="100" workbookViewId="0">
      <pane xSplit="1" ySplit="1" topLeftCell="B214" activePane="bottomRight" state="frozen"/>
      <selection pane="topRight" activeCell="B1" sqref="B1"/>
      <selection pane="bottomLeft" activeCell="A2" sqref="A2"/>
      <selection pane="bottomRight" activeCell="K2626" sqref="K2626"/>
    </sheetView>
  </sheetViews>
  <sheetFormatPr defaultColWidth="8.6640625" defaultRowHeight="14.4" x14ac:dyDescent="0.3"/>
  <cols>
    <col min="1" max="1" width="30" customWidth="1"/>
    <col min="2" max="2" width="12" customWidth="1"/>
    <col min="3" max="4" width="18" customWidth="1"/>
    <col min="5" max="6" width="14" customWidth="1"/>
    <col min="7" max="7" width="12.21875" bestFit="1" customWidth="1"/>
  </cols>
  <sheetData>
    <row r="1" spans="1:7" ht="15" customHeight="1" x14ac:dyDescent="0.3">
      <c r="A1" t="s">
        <v>268</v>
      </c>
      <c r="B1" t="s">
        <v>266</v>
      </c>
      <c r="C1" t="s">
        <v>272</v>
      </c>
      <c r="D1" t="s">
        <v>273</v>
      </c>
      <c r="E1" t="s">
        <v>274</v>
      </c>
      <c r="F1" t="s">
        <v>275</v>
      </c>
      <c r="G1" t="s">
        <v>1021</v>
      </c>
    </row>
    <row r="2" spans="1:7" ht="15" hidden="1" customHeight="1" x14ac:dyDescent="0.3">
      <c r="A2" t="s">
        <v>31</v>
      </c>
      <c r="B2" s="2">
        <v>45292</v>
      </c>
      <c r="C2" cm="1">
        <f t="array" ref="C2">IFERROR(IF(SUMPRODUCT((measured[Site Name]=A2)*(measured[Date]=B2)*ISNUMBER(measured[Measured Value (kWh)]))=0,"",SUMIFS(measured[Measured Value (kWh)],measured[Site Name],A2,measured[Date],B2)),"")</f>
        <v>1815</v>
      </c>
      <c r="D2" cm="1">
        <f t="array" ref="D2">IFERROR(IF(SUMPRODUCT((expected_production[Site Name]=A2)*(expected_production[Date]=B2)*ISNUMBER(expected_production[Expected Production (kWh)]))=0,"",SUMIFS(expected_production[Expected Production (kWh)],expected_production[Site Name],A2,expected_production[Date],B2)),"")</f>
        <v>2355.6475205543816</v>
      </c>
      <c r="E2" s="9">
        <f t="shared" ref="E2:E31" si="0">IF(OR(C2="",D2="",D2=0),"",C2/D2)</f>
        <v>0.77048878669795862</v>
      </c>
      <c r="F2" t="str">
        <f t="shared" ref="F2:F31" si="1">IF(E2="","",IF(E2&gt;=0.9,"Expected",IF(E2&gt;=0.7,"Moderate","Poor")))</f>
        <v>Moderate</v>
      </c>
    </row>
    <row r="3" spans="1:7" ht="15" hidden="1" customHeight="1" x14ac:dyDescent="0.3">
      <c r="A3" t="s">
        <v>31</v>
      </c>
      <c r="B3" s="2">
        <v>45323</v>
      </c>
      <c r="C3" cm="1">
        <f t="array" ref="C3">IFERROR(IF(SUMPRODUCT((measured[Site Name]=A3)*(measured[Date]=B3)*ISNUMBER(measured[Measured Value (kWh)]))=0,"",SUMIFS(measured[Measured Value (kWh)],measured[Site Name],A3,measured[Date],B3)),"")</f>
        <v>2295</v>
      </c>
      <c r="D3" cm="1">
        <f t="array" ref="D3">IFERROR(IF(SUMPRODUCT((expected_production[Site Name]=A3)*(expected_production[Date]=B3)*ISNUMBER(expected_production[Expected Production (kWh)]))=0,"",SUMIFS(expected_production[Expected Production (kWh)],expected_production[Site Name],A3,expected_production[Date],B3)),"")</f>
        <v>2661.7073385555223</v>
      </c>
      <c r="E3" s="9">
        <f t="shared" si="0"/>
        <v>0.86222852781608583</v>
      </c>
      <c r="F3" t="str">
        <f t="shared" si="1"/>
        <v>Moderate</v>
      </c>
    </row>
    <row r="4" spans="1:7" ht="15" hidden="1" customHeight="1" x14ac:dyDescent="0.3">
      <c r="A4" t="s">
        <v>31</v>
      </c>
      <c r="B4" s="2">
        <v>45352</v>
      </c>
      <c r="C4" cm="1">
        <f t="array" ref="C4">IFERROR(IF(SUMPRODUCT((measured[Site Name]=A4)*(measured[Date]=B4)*ISNUMBER(measured[Measured Value (kWh)]))=0,"",SUMIFS(measured[Measured Value (kWh)],measured[Site Name],A4,measured[Date],B4)),"")</f>
        <v>2474</v>
      </c>
      <c r="D4" cm="1">
        <f t="array" ref="D4">IFERROR(IF(SUMPRODUCT((expected_production[Site Name]=A4)*(expected_production[Date]=B4)*ISNUMBER(expected_production[Expected Production (kWh)]))=0,"",SUMIFS(expected_production[Expected Production (kWh)],expected_production[Site Name],A4,expected_production[Date],B4)),"")</f>
        <v>2167.1260994894342</v>
      </c>
      <c r="E4" s="9">
        <f t="shared" si="0"/>
        <v>1.1416040813605004</v>
      </c>
      <c r="F4" t="str">
        <f t="shared" si="1"/>
        <v>Expected</v>
      </c>
    </row>
    <row r="5" spans="1:7" ht="15" hidden="1" customHeight="1" x14ac:dyDescent="0.3">
      <c r="A5" t="s">
        <v>31</v>
      </c>
      <c r="B5" s="2">
        <v>45383</v>
      </c>
      <c r="C5" cm="1">
        <f t="array" ref="C5">IFERROR(IF(SUMPRODUCT((measured[Site Name]=A5)*(measured[Date]=B5)*ISNUMBER(measured[Measured Value (kWh)]))=0,"",SUMIFS(measured[Measured Value (kWh)],measured[Site Name],A5,measured[Date],B5)),"")</f>
        <v>2136</v>
      </c>
      <c r="D5" cm="1">
        <f t="array" ref="D5">IFERROR(IF(SUMPRODUCT((expected_production[Site Name]=A5)*(expected_production[Date]=B5)*ISNUMBER(expected_production[Expected Production (kWh)]))=0,"",SUMIFS(expected_production[Expected Production (kWh)],expected_production[Site Name],A5,expected_production[Date],B5)),"")</f>
        <v>1858.7251854409558</v>
      </c>
      <c r="E5" s="9">
        <f t="shared" si="0"/>
        <v>1.1491747229396179</v>
      </c>
      <c r="F5" t="str">
        <f t="shared" si="1"/>
        <v>Expected</v>
      </c>
    </row>
    <row r="6" spans="1:7" ht="15" hidden="1" customHeight="1" x14ac:dyDescent="0.3">
      <c r="A6" t="s">
        <v>31</v>
      </c>
      <c r="B6" s="2">
        <v>45413</v>
      </c>
      <c r="C6" cm="1">
        <f t="array" ref="C6">IFERROR(IF(SUMPRODUCT((measured[Site Name]=A6)*(measured[Date]=B6)*ISNUMBER(measured[Measured Value (kWh)]))=0,"",SUMIFS(measured[Measured Value (kWh)],measured[Site Name],A6,measured[Date],B6)),"")</f>
        <v>2212</v>
      </c>
      <c r="D6" cm="1">
        <f t="array" ref="D6">IFERROR(IF(SUMPRODUCT((expected_production[Site Name]=A6)*(expected_production[Date]=B6)*ISNUMBER(expected_production[Expected Production (kWh)]))=0,"",SUMIFS(expected_production[Expected Production (kWh)],expected_production[Site Name],A6,expected_production[Date],B6)),"")</f>
        <v>1806.7951283531445</v>
      </c>
      <c r="E6" s="9">
        <f t="shared" si="0"/>
        <v>1.2242671929363631</v>
      </c>
      <c r="F6" t="str">
        <f t="shared" si="1"/>
        <v>Expected</v>
      </c>
    </row>
    <row r="7" spans="1:7" ht="15" hidden="1" customHeight="1" x14ac:dyDescent="0.3">
      <c r="A7" t="s">
        <v>31</v>
      </c>
      <c r="B7" s="2">
        <v>45444</v>
      </c>
      <c r="C7" cm="1">
        <f t="array" ref="C7">IFERROR(IF(SUMPRODUCT((measured[Site Name]=A7)*(measured[Date]=B7)*ISNUMBER(measured[Measured Value (kWh)]))=0,"",SUMIFS(measured[Measured Value (kWh)],measured[Site Name],A7,measured[Date],B7)),"")</f>
        <v>1863</v>
      </c>
      <c r="D7" cm="1">
        <f t="array" ref="D7">IFERROR(IF(SUMPRODUCT((expected_production[Site Name]=A7)*(expected_production[Date]=B7)*ISNUMBER(expected_production[Expected Production (kWh)]))=0,"",SUMIFS(expected_production[Expected Production (kWh)],expected_production[Site Name],A7,expected_production[Date],B7)),"")</f>
        <v>1614.000000981428</v>
      </c>
      <c r="E7" s="9">
        <f t="shared" si="0"/>
        <v>1.1542750922349208</v>
      </c>
      <c r="F7" t="str">
        <f t="shared" si="1"/>
        <v>Expected</v>
      </c>
    </row>
    <row r="8" spans="1:7" ht="15" hidden="1" customHeight="1" x14ac:dyDescent="0.3">
      <c r="A8" t="s">
        <v>31</v>
      </c>
      <c r="B8" s="2">
        <v>45474</v>
      </c>
      <c r="C8" cm="1">
        <f t="array" ref="C8">IFERROR(IF(SUMPRODUCT((measured[Site Name]=A8)*(measured[Date]=B8)*ISNUMBER(measured[Measured Value (kWh)]))=0,"",SUMIFS(measured[Measured Value (kWh)],measured[Site Name],A8,measured[Date],B8)),"")</f>
        <v>1943</v>
      </c>
      <c r="D8" cm="1">
        <f t="array" ref="D8">IFERROR(IF(SUMPRODUCT((expected_production[Site Name]=A8)*(expected_production[Date]=B8)*ISNUMBER(expected_production[Expected Production (kWh)]))=0,"",SUMIFS(expected_production[Expected Production (kWh)],expected_production[Site Name],A8,expected_production[Date],B8)),"")</f>
        <v>1796.6559023449809</v>
      </c>
      <c r="E8" s="9">
        <f t="shared" si="0"/>
        <v>1.081453603588763</v>
      </c>
      <c r="F8" t="str">
        <f t="shared" si="1"/>
        <v>Expected</v>
      </c>
    </row>
    <row r="9" spans="1:7" ht="15" hidden="1" customHeight="1" x14ac:dyDescent="0.3">
      <c r="A9" t="s">
        <v>31</v>
      </c>
      <c r="B9" s="2">
        <v>45505</v>
      </c>
      <c r="C9" cm="1">
        <f t="array" ref="C9">IFERROR(IF(SUMPRODUCT((measured[Site Name]=A9)*(measured[Date]=B9)*ISNUMBER(measured[Measured Value (kWh)]))=0,"",SUMIFS(measured[Measured Value (kWh)],measured[Site Name],A9,measured[Date],B9)),"")</f>
        <v>1710</v>
      </c>
      <c r="D9" cm="1">
        <f t="array" ref="D9">IFERROR(IF(SUMPRODUCT((expected_production[Site Name]=A9)*(expected_production[Date]=B9)*ISNUMBER(expected_production[Expected Production (kWh)]))=0,"",SUMIFS(expected_production[Expected Production (kWh)],expected_production[Site Name],A9,expected_production[Date],B9)),"")</f>
        <v>2094.8492254282069</v>
      </c>
      <c r="E9" s="9">
        <f t="shared" si="0"/>
        <v>0.8162878641781296</v>
      </c>
      <c r="F9" t="str">
        <f t="shared" si="1"/>
        <v>Moderate</v>
      </c>
    </row>
    <row r="10" spans="1:7" ht="15" hidden="1" customHeight="1" x14ac:dyDescent="0.3">
      <c r="A10" t="s">
        <v>31</v>
      </c>
      <c r="B10" s="2">
        <v>45536</v>
      </c>
      <c r="C10" cm="1">
        <f t="array" ref="C10">IFERROR(IF(SUMPRODUCT((measured[Site Name]=A10)*(measured[Date]=B10)*ISNUMBER(measured[Measured Value (kWh)]))=0,"",SUMIFS(measured[Measured Value (kWh)],measured[Site Name],A10,measured[Date],B10)),"")</f>
        <v>1579</v>
      </c>
      <c r="D10" cm="1">
        <f t="array" ref="D10">IFERROR(IF(SUMPRODUCT((expected_production[Site Name]=A10)*(expected_production[Date]=B10)*ISNUMBER(expected_production[Expected Production (kWh)]))=0,"",SUMIFS(expected_production[Expected Production (kWh)],expected_production[Site Name],A10,expected_production[Date],B10)),"")</f>
        <v>2250.2646364262564</v>
      </c>
      <c r="E10" s="9">
        <f t="shared" si="0"/>
        <v>0.70169524705666575</v>
      </c>
      <c r="F10" t="str">
        <f t="shared" si="1"/>
        <v>Moderate</v>
      </c>
    </row>
    <row r="11" spans="1:7" ht="15" hidden="1" customHeight="1" x14ac:dyDescent="0.3">
      <c r="A11" t="s">
        <v>31</v>
      </c>
      <c r="B11" s="2">
        <v>45566</v>
      </c>
      <c r="C11" cm="1">
        <f t="array" ref="C11">IFERROR(IF(SUMPRODUCT((measured[Site Name]=A11)*(measured[Date]=B11)*ISNUMBER(measured[Measured Value (kWh)]))=0,"",SUMIFS(measured[Measured Value (kWh)],measured[Site Name],A11,measured[Date],B11)),"")</f>
        <v>1593</v>
      </c>
      <c r="D11" cm="1">
        <f t="array" ref="D11">IFERROR(IF(SUMPRODUCT((expected_production[Site Name]=A11)*(expected_production[Date]=B11)*ISNUMBER(expected_production[Expected Production (kWh)]))=0,"",SUMIFS(expected_production[Expected Production (kWh)],expected_production[Site Name],A11,expected_production[Date],B11)),"")</f>
        <v>2379.7412401030228</v>
      </c>
      <c r="E11" s="9">
        <f t="shared" si="0"/>
        <v>0.66940051008698598</v>
      </c>
      <c r="F11" t="str">
        <f t="shared" si="1"/>
        <v>Poor</v>
      </c>
    </row>
    <row r="12" spans="1:7" ht="15" hidden="1" customHeight="1" x14ac:dyDescent="0.3">
      <c r="A12" t="s">
        <v>31</v>
      </c>
      <c r="B12" s="2">
        <v>45597</v>
      </c>
      <c r="C12" cm="1">
        <f t="array" ref="C12">IFERROR(IF(SUMPRODUCT((measured[Site Name]=A12)*(measured[Date]=B12)*ISNUMBER(measured[Measured Value (kWh)]))=0,"",SUMIFS(measured[Measured Value (kWh)],measured[Site Name],A12,measured[Date],B12)),"")</f>
        <v>1794</v>
      </c>
      <c r="D12" cm="1">
        <f t="array" ref="D12">IFERROR(IF(SUMPRODUCT((expected_production[Site Name]=A12)*(expected_production[Date]=B12)*ISNUMBER(expected_production[Expected Production (kWh)]))=0,"",SUMIFS(expected_production[Expected Production (kWh)],expected_production[Site Name],A12,expected_production[Date],B12)),"")</f>
        <v>2327.6445732513957</v>
      </c>
      <c r="E12" s="9">
        <f t="shared" si="0"/>
        <v>0.77073622863907931</v>
      </c>
      <c r="F12" t="str">
        <f t="shared" si="1"/>
        <v>Moderate</v>
      </c>
    </row>
    <row r="13" spans="1:7" ht="15" hidden="1" customHeight="1" x14ac:dyDescent="0.3">
      <c r="A13" t="s">
        <v>31</v>
      </c>
      <c r="B13" s="2">
        <v>45627</v>
      </c>
      <c r="C13" cm="1">
        <f t="array" ref="C13">IFERROR(IF(SUMPRODUCT((measured[Site Name]=A13)*(measured[Date]=B13)*ISNUMBER(measured[Measured Value (kWh)]))=0,"",SUMIFS(measured[Measured Value (kWh)],measured[Site Name],A13,measured[Date],B13)),"")</f>
        <v>1794</v>
      </c>
      <c r="D13" cm="1">
        <f t="array" ref="D13">IFERROR(IF(SUMPRODUCT((expected_production[Site Name]=A13)*(expected_production[Date]=B13)*ISNUMBER(expected_production[Expected Production (kWh)]))=0,"",SUMIFS(expected_production[Expected Production (kWh)],expected_production[Site Name],A13,expected_production[Date],B13)),"")</f>
        <v>2450.7031538485426</v>
      </c>
      <c r="E13" s="9">
        <f t="shared" si="0"/>
        <v>0.73203480282086919</v>
      </c>
      <c r="F13" t="str">
        <f t="shared" si="1"/>
        <v>Moderate</v>
      </c>
    </row>
    <row r="14" spans="1:7" ht="15" hidden="1" customHeight="1" x14ac:dyDescent="0.3">
      <c r="A14" t="s">
        <v>31</v>
      </c>
      <c r="B14" s="2">
        <v>45658</v>
      </c>
      <c r="C14" cm="1">
        <f t="array" ref="C14">IFERROR(IF(SUMPRODUCT((measured[Site Name]=A14)*(measured[Date]=B14)*ISNUMBER(measured[Measured Value (kWh)]))=0,"",SUMIFS(measured[Measured Value (kWh)],measured[Site Name],A14,measured[Date],B14)),"")</f>
        <v>1992</v>
      </c>
      <c r="D14" cm="1">
        <f t="array" ref="D14">IFERROR(IF(SUMPRODUCT((expected_production[Site Name]=A14)*(expected_production[Date]=B14)*ISNUMBER(expected_production[Expected Production (kWh)]))=0,"",SUMIFS(expected_production[Expected Production (kWh)],expected_production[Site Name],A14,expected_production[Date],B14)),"")</f>
        <v>2339.1242475293202</v>
      </c>
      <c r="E14" s="9">
        <f t="shared" si="0"/>
        <v>0.8516007655873914</v>
      </c>
      <c r="F14" t="str">
        <f t="shared" si="1"/>
        <v>Moderate</v>
      </c>
    </row>
    <row r="15" spans="1:7" ht="15" hidden="1" customHeight="1" x14ac:dyDescent="0.3">
      <c r="A15" t="s">
        <v>31</v>
      </c>
      <c r="B15" s="2">
        <v>45689</v>
      </c>
      <c r="C15" cm="1">
        <f t="array" ref="C15">IFERROR(IF(SUMPRODUCT((measured[Site Name]=A15)*(measured[Date]=B15)*ISNUMBER(measured[Measured Value (kWh)]))=0,"",SUMIFS(measured[Measured Value (kWh)],measured[Site Name],A15,measured[Date],B15)),"")</f>
        <v>1458</v>
      </c>
      <c r="D15" cm="1">
        <f t="array" ref="D15">IFERROR(IF(SUMPRODUCT((expected_production[Site Name]=A15)*(expected_production[Date]=B15)*ISNUMBER(expected_production[Expected Production (kWh)]))=0,"",SUMIFS(expected_production[Expected Production (kWh)],expected_production[Site Name],A15,expected_production[Date],B15)),"")</f>
        <v>2643.0372630522857</v>
      </c>
      <c r="E15" s="9">
        <f t="shared" si="0"/>
        <v>0.55163807956163391</v>
      </c>
      <c r="F15" t="str">
        <f t="shared" si="1"/>
        <v>Poor</v>
      </c>
    </row>
    <row r="16" spans="1:7" ht="15" hidden="1" customHeight="1" x14ac:dyDescent="0.3">
      <c r="A16" t="s">
        <v>31</v>
      </c>
      <c r="B16" s="2">
        <v>45717</v>
      </c>
      <c r="C16" cm="1">
        <f t="array" ref="C16">IFERROR(IF(SUMPRODUCT((measured[Site Name]=A16)*(measured[Date]=B16)*ISNUMBER(measured[Measured Value (kWh)]))=0,"",SUMIFS(measured[Measured Value (kWh)],measured[Site Name],A16,measured[Date],B16)),"")</f>
        <v>1382</v>
      </c>
      <c r="D16" cm="1">
        <f t="array" ref="D16">IFERROR(IF(SUMPRODUCT((expected_production[Site Name]=A16)*(expected_production[Date]=B16)*ISNUMBER(expected_production[Expected Production (kWh)]))=0,"",SUMIFS(expected_production[Expected Production (kWh)],expected_production[Site Name],A16,expected_production[Date],B16)),"")</f>
        <v>2151.9665636103427</v>
      </c>
      <c r="E16" s="9">
        <f t="shared" si="0"/>
        <v>0.64220328669113991</v>
      </c>
      <c r="F16" t="str">
        <f t="shared" si="1"/>
        <v>Poor</v>
      </c>
    </row>
    <row r="17" spans="1:7" ht="15" hidden="1" customHeight="1" x14ac:dyDescent="0.3">
      <c r="A17" t="s">
        <v>31</v>
      </c>
      <c r="B17" s="2">
        <v>45748</v>
      </c>
      <c r="C17" cm="1">
        <f t="array" ref="C17">IFERROR(IF(SUMPRODUCT((measured[Site Name]=A17)*(measured[Date]=B17)*ISNUMBER(measured[Measured Value (kWh)]))=0,"",SUMIFS(measured[Measured Value (kWh)],measured[Site Name],A17,measured[Date],B17)),"")</f>
        <v>1183</v>
      </c>
      <c r="D17" cm="1">
        <f t="array" ref="D17">IFERROR(IF(SUMPRODUCT((expected_production[Site Name]=A17)*(expected_production[Date]=B17)*ISNUMBER(expected_production[Expected Production (kWh)]))=0,"",SUMIFS(expected_production[Expected Production (kWh)],expected_production[Site Name],A17,expected_production[Date],B17)),"")</f>
        <v>1845.7229835180028</v>
      </c>
      <c r="E17" s="9">
        <f t="shared" si="0"/>
        <v>0.64094125205352692</v>
      </c>
      <c r="F17" t="str">
        <f t="shared" si="1"/>
        <v>Poor</v>
      </c>
    </row>
    <row r="18" spans="1:7" ht="15" hidden="1" customHeight="1" x14ac:dyDescent="0.3">
      <c r="A18" t="s">
        <v>31</v>
      </c>
      <c r="B18" s="2">
        <v>45778</v>
      </c>
      <c r="C18" cm="1">
        <f t="array" ref="C18">IFERROR(IF(SUMPRODUCT((measured[Site Name]=A18)*(measured[Date]=B18)*ISNUMBER(measured[Measured Value (kWh)]))=0,"",SUMIFS(measured[Measured Value (kWh)],measured[Site Name],A18,measured[Date],B18)),"")</f>
        <v>1860</v>
      </c>
      <c r="D18" cm="1">
        <f t="array" ref="D18">IFERROR(IF(SUMPRODUCT((expected_production[Site Name]=A18)*(expected_production[Date]=B18)*ISNUMBER(expected_production[Expected Production (kWh)]))=0,"",SUMIFS(expected_production[Expected Production (kWh)],expected_production[Site Name],A18,expected_production[Date],B18)),"")</f>
        <v>1794.1561888927733</v>
      </c>
      <c r="E18" s="9">
        <f t="shared" si="0"/>
        <v>1.0366990407606937</v>
      </c>
      <c r="F18" t="str">
        <f t="shared" si="1"/>
        <v>Expected</v>
      </c>
    </row>
    <row r="19" spans="1:7" ht="15" hidden="1" customHeight="1" x14ac:dyDescent="0.3">
      <c r="A19" t="s">
        <v>31</v>
      </c>
      <c r="B19" s="2">
        <v>45809</v>
      </c>
      <c r="C19" cm="1">
        <f t="array" ref="C19">IFERROR(IF(SUMPRODUCT((measured[Site Name]=A19)*(measured[Date]=B19)*ISNUMBER(measured[Measured Value (kWh)]))=0,"",SUMIFS(measured[Measured Value (kWh)],measured[Site Name],A19,measured[Date],B19)),"")</f>
        <v>1756.6</v>
      </c>
      <c r="D19" cm="1">
        <f t="array" ref="D19">IFERROR(IF(SUMPRODUCT((expected_production[Site Name]=A19)*(expected_production[Date]=B19)*ISNUMBER(expected_production[Expected Production (kWh)]))=0,"",SUMIFS(expected_production[Expected Production (kWh)],expected_production[Site Name],A19,expected_production[Date],B19)),"")</f>
        <v>1602.7097069235526</v>
      </c>
      <c r="E19" s="9">
        <f t="shared" si="0"/>
        <v>1.0960188188863247</v>
      </c>
      <c r="F19" t="str">
        <f t="shared" si="1"/>
        <v>Expected</v>
      </c>
    </row>
    <row r="20" spans="1:7" ht="15" hidden="1" customHeight="1" x14ac:dyDescent="0.3">
      <c r="A20" t="s">
        <v>31</v>
      </c>
      <c r="B20" s="2">
        <v>45839</v>
      </c>
      <c r="C20" cm="1">
        <f t="array" ref="C20">IFERROR(IF(SUMPRODUCT((measured[Site Name]=A20)*(measured[Date]=B20)*ISNUMBER(measured[Measured Value (kWh)]))=0,"",SUMIFS(measured[Measured Value (kWh)],measured[Site Name],A20,measured[Date],B20)),"")</f>
        <v>1742</v>
      </c>
      <c r="D20" cm="1">
        <f t="array" ref="D20">IFERROR(IF(SUMPRODUCT((expected_production[Site Name]=A20)*(expected_production[Date]=B20)*ISNUMBER(expected_production[Expected Production (kWh)]))=0,"",SUMIFS(expected_production[Expected Production (kWh)],expected_production[Site Name],A20,expected_production[Date],B20)),"")</f>
        <v>1784.0878890575225</v>
      </c>
      <c r="E20" s="9">
        <f t="shared" si="0"/>
        <v>0.97640929613632643</v>
      </c>
      <c r="F20" t="str">
        <f t="shared" si="1"/>
        <v>Expected</v>
      </c>
    </row>
    <row r="21" spans="1:7" ht="15" hidden="1" customHeight="1" x14ac:dyDescent="0.3">
      <c r="A21" t="s">
        <v>31</v>
      </c>
      <c r="B21" s="2">
        <v>45870</v>
      </c>
      <c r="C21" cm="1">
        <f t="array" ref="C21">IFERROR(IF(SUMPRODUCT((measured[Site Name]=A21)*(measured[Date]=B21)*ISNUMBER(measured[Measured Value (kWh)]))=0,"",SUMIFS(measured[Measured Value (kWh)],measured[Site Name],A21,measured[Date],B21)),"")</f>
        <v>1613</v>
      </c>
      <c r="D21" cm="1">
        <f t="array" ref="D21">IFERROR(IF(SUMPRODUCT((expected_production[Site Name]=A21)*(expected_production[Date]=B21)*ISNUMBER(expected_production[Expected Production (kWh)]))=0,"",SUMIFS(expected_production[Expected Production (kWh)],expected_production[Site Name],A21,expected_production[Date],B21)),"")</f>
        <v>2080.1952825858184</v>
      </c>
      <c r="E21" s="9">
        <f t="shared" si="0"/>
        <v>0.77540796938782397</v>
      </c>
      <c r="F21" t="str">
        <f t="shared" si="1"/>
        <v>Moderate</v>
      </c>
    </row>
    <row r="22" spans="1:7" ht="15" hidden="1" customHeight="1" x14ac:dyDescent="0.3">
      <c r="A22" t="s">
        <v>31</v>
      </c>
      <c r="B22" s="2">
        <v>45901</v>
      </c>
      <c r="C22" cm="1">
        <f t="array" ref="C22">IFERROR(IF(SUMPRODUCT((measured[Site Name]=A22)*(measured[Date]=B22)*ISNUMBER(measured[Measured Value (kWh)]))=0,"",SUMIFS(measured[Measured Value (kWh)],measured[Site Name],A22,measured[Date],B22)),"")</f>
        <v>1358.7</v>
      </c>
      <c r="D22" cm="1">
        <f t="array" ref="D22">IFERROR(IF(SUMPRODUCT((expected_production[Site Name]=A22)*(expected_production[Date]=B22)*ISNUMBER(expected_production[Expected Production (kWh)]))=0,"",SUMIFS(expected_production[Expected Production (kWh)],expected_production[Site Name],A22,expected_production[Date],B22)),"")</f>
        <v>2234.5235277287088</v>
      </c>
      <c r="E22" s="9">
        <f t="shared" si="0"/>
        <v>0.60804909106553762</v>
      </c>
      <c r="F22" t="str">
        <f t="shared" si="1"/>
        <v>Poor</v>
      </c>
    </row>
    <row r="23" spans="1:7" ht="15" hidden="1" customHeight="1" x14ac:dyDescent="0.3">
      <c r="A23" t="s">
        <v>31</v>
      </c>
      <c r="B23" s="2">
        <v>45931</v>
      </c>
      <c r="C23" cm="1">
        <f t="array" ref="C23">IFERROR(IF(SUMPRODUCT((measured[Site Name]=A23)*(measured[Date]=B23)*ISNUMBER(measured[Measured Value (kWh)]))=0,"",SUMIFS(measured[Measured Value (kWh)],measured[Site Name],A23,measured[Date],B23)),"")</f>
        <v>1601</v>
      </c>
      <c r="D23" cm="1">
        <f t="array" ref="D23">IFERROR(IF(SUMPRODUCT((expected_production[Site Name]=A23)*(expected_production[Date]=B23)*ISNUMBER(expected_production[Expected Production (kWh)]))=0,"",SUMIFS(expected_production[Expected Production (kWh)],expected_production[Site Name],A23,expected_production[Date],B23)),"")</f>
        <v>2363.0944133582407</v>
      </c>
      <c r="E23" s="9">
        <f t="shared" si="0"/>
        <v>0.67750149589867081</v>
      </c>
      <c r="F23" t="str">
        <f t="shared" si="1"/>
        <v>Poor</v>
      </c>
    </row>
    <row r="24" spans="1:7" ht="15" hidden="1" customHeight="1" x14ac:dyDescent="0.3">
      <c r="A24" t="s">
        <v>31</v>
      </c>
      <c r="B24" s="2">
        <v>45962</v>
      </c>
      <c r="C24" cm="1">
        <f t="array" ref="C24">IFERROR(IF(SUMPRODUCT((measured[Site Name]=A24)*(measured[Date]=B24)*ISNUMBER(measured[Measured Value (kWh)]))=0,"",SUMIFS(measured[Measured Value (kWh)],measured[Site Name],A24,measured[Date],B24)),"")</f>
        <v>1444</v>
      </c>
      <c r="D24" cm="1">
        <f t="array" ref="D24">IFERROR(IF(SUMPRODUCT((expected_production[Site Name]=A24)*(expected_production[Date]=B24)*ISNUMBER(expected_production[Expected Production (kWh)]))=0,"",SUMIFS(expected_production[Expected Production (kWh)],expected_production[Site Name],A24,expected_production[Date],B24)),"")</f>
        <v>2311.3621744420734</v>
      </c>
      <c r="E24" s="9">
        <f t="shared" si="0"/>
        <v>0.62473982483881352</v>
      </c>
      <c r="F24" t="str">
        <f t="shared" si="1"/>
        <v>Poor</v>
      </c>
    </row>
    <row r="25" spans="1:7" ht="15" hidden="1" customHeight="1" x14ac:dyDescent="0.3">
      <c r="A25" t="s">
        <v>31</v>
      </c>
      <c r="B25" s="2">
        <v>45992</v>
      </c>
      <c r="C25" cm="1">
        <f t="array" ref="C25">IFERROR(IF(SUMPRODUCT((measured[Site Name]=A25)*(measured[Date]=B25)*ISNUMBER(measured[Measured Value (kWh)]))=0,"",SUMIFS(measured[Measured Value (kWh)],measured[Site Name],A25,measured[Date],B25)),"")</f>
        <v>1375</v>
      </c>
      <c r="D25" cm="1">
        <f t="array" ref="D25">IFERROR(IF(SUMPRODUCT((expected_production[Site Name]=A25)*(expected_production[Date]=B25)*ISNUMBER(expected_production[Expected Production (kWh)]))=0,"",SUMIFS(expected_production[Expected Production (kWh)],expected_production[Site Name],A25,expected_production[Date],B25)),"")</f>
        <v>2433.5599325110657</v>
      </c>
      <c r="E25" s="9">
        <f t="shared" si="0"/>
        <v>0.56501587720554225</v>
      </c>
      <c r="F25" t="str">
        <f t="shared" si="1"/>
        <v>Poor</v>
      </c>
    </row>
    <row r="26" spans="1:7" ht="15" hidden="1" customHeight="1" x14ac:dyDescent="0.3">
      <c r="A26" t="s">
        <v>31</v>
      </c>
      <c r="B26" s="2">
        <v>46023</v>
      </c>
      <c r="C26" cm="1">
        <f t="array" ref="C26">IFERROR(IF(SUMPRODUCT((measured[Site Name]=A26)*(measured[Date]=B26)*ISNUMBER(measured[Measured Value (kWh)]))=0,"",SUMIFS(measured[Measured Value (kWh)],measured[Site Name],A26,measured[Date],B26)),"")</f>
        <v>1549</v>
      </c>
      <c r="D26" cm="1">
        <f t="array" ref="D26">IFERROR(IF(SUMPRODUCT((expected_production[Site Name]=A26)*(expected_production[Date]=B26)*ISNUMBER(expected_production[Expected Production (kWh)]))=0,"",SUMIFS(expected_production[Expected Production (kWh)],expected_production[Site Name],A26,expected_production[Date],B26)),"")</f>
        <v>2322.7615458090891</v>
      </c>
      <c r="E26" s="9">
        <f t="shared" si="0"/>
        <v>0.66687861386151703</v>
      </c>
      <c r="F26" t="str">
        <f t="shared" si="1"/>
        <v>Poor</v>
      </c>
    </row>
    <row r="27" spans="1:7" ht="15" hidden="1" customHeight="1" x14ac:dyDescent="0.3">
      <c r="A27" t="s">
        <v>31</v>
      </c>
      <c r="B27" s="2">
        <v>46054</v>
      </c>
      <c r="C27" cm="1">
        <f t="array" ref="C27">IFERROR(IF(SUMPRODUCT((measured[Site Name]=A27)*(measured[Date]=B27)*ISNUMBER(measured[Measured Value (kWh)]))=0,"",SUMIFS(measured[Measured Value (kWh)],measured[Site Name],A27,measured[Date],B27)),"")</f>
        <v>1362</v>
      </c>
      <c r="D27" cm="1">
        <f t="array" ref="D27">IFERROR(IF(SUMPRODUCT((expected_production[Site Name]=A27)*(expected_production[Date]=B27)*ISNUMBER(expected_production[Expected Production (kWh)]))=0,"",SUMIFS(expected_production[Expected Production (kWh)],expected_production[Site Name],A27,expected_production[Date],B27)),"")</f>
        <v>2624.5486212383844</v>
      </c>
      <c r="E27" s="9">
        <f t="shared" si="0"/>
        <v>0.51894637766601748</v>
      </c>
      <c r="F27" t="str">
        <f t="shared" si="1"/>
        <v>Poor</v>
      </c>
    </row>
    <row r="28" spans="1:7" ht="15" hidden="1" customHeight="1" x14ac:dyDescent="0.3">
      <c r="A28" t="s">
        <v>31</v>
      </c>
      <c r="B28" s="2">
        <v>46082</v>
      </c>
      <c r="C28" cm="1">
        <f t="array" ref="C28">IFERROR(IF(SUMPRODUCT((measured[Site Name]=A28)*(measured[Date]=B28)*ISNUMBER(measured[Measured Value (kWh)]))=0,"",SUMIFS(measured[Measured Value (kWh)],measured[Site Name],A28,measured[Date],B28)),"")</f>
        <v>1237</v>
      </c>
      <c r="D28" cm="1">
        <f t="array" ref="D28">IFERROR(IF(SUMPRODUCT((expected_production[Site Name]=A28)*(expected_production[Date]=B28)*ISNUMBER(expected_production[Expected Production (kWh)]))=0,"",SUMIFS(expected_production[Expected Production (kWh)],expected_production[Site Name],A28,expected_production[Date],B28)),"")</f>
        <v>2136.9130721040833</v>
      </c>
      <c r="E28" s="9">
        <f t="shared" si="0"/>
        <v>0.57887240063630863</v>
      </c>
      <c r="F28" t="str">
        <f t="shared" si="1"/>
        <v>Poor</v>
      </c>
    </row>
    <row r="29" spans="1:7" ht="15" hidden="1" customHeight="1" x14ac:dyDescent="0.3">
      <c r="A29" t="s">
        <v>31</v>
      </c>
      <c r="B29" s="2">
        <v>46113</v>
      </c>
      <c r="C29" s="5" cm="1">
        <f t="array" ref="C29">IFERROR(IF(SUMPRODUCT((measured[Site Name]=A29)*(measured[Date]=B29)*ISNUMBER(measured[Measured Value (kWh)]))=0,"",SUMIFS(measured[Measured Value (kWh)],measured[Site Name],A29,measured[Date],B29)),"")</f>
        <v>830</v>
      </c>
      <c r="D29" cm="1">
        <f t="array" ref="D29">IFERROR(IF(SUMPRODUCT((expected_production[Site Name]=A29)*(expected_production[Date]=B29)*ISNUMBER(expected_production[Expected Production (kWh)]))=0,"",SUMIFS(expected_production[Expected Production (kWh)],expected_production[Site Name],A29,expected_production[Date],B29)),"")</f>
        <v>1832.8117349302543</v>
      </c>
      <c r="E29" s="9">
        <f t="shared" si="0"/>
        <v>0.45285611401412418</v>
      </c>
      <c r="F29" t="str">
        <f t="shared" si="1"/>
        <v>Poor</v>
      </c>
    </row>
    <row r="30" spans="1:7" ht="15" hidden="1" customHeight="1" x14ac:dyDescent="0.3">
      <c r="A30" t="s">
        <v>31</v>
      </c>
      <c r="B30" s="2">
        <v>46143</v>
      </c>
      <c r="C30" s="5" cm="1">
        <f t="array" ref="C30">IFERROR(IF(SUMPRODUCT((measured[Site Name]=A30)*(measured[Date]=B30)*ISNUMBER(measured[Measured Value (kWh)]))=0,"",SUMIFS(measured[Measured Value (kWh)],measured[Site Name],A30,measured[Date],B30)),"")</f>
        <v>1169.9000000000001</v>
      </c>
      <c r="D30" cm="1">
        <f t="array" ref="D30">IFERROR(IF(SUMPRODUCT((expected_production[Site Name]=A30)*(expected_production[Date]=B30)*ISNUMBER(expected_production[Expected Production (kWh)]))=0,"",SUMIFS(expected_production[Expected Production (kWh)],expected_production[Site Name],A30,expected_production[Date],B30)),"")</f>
        <v>1781.605661664744</v>
      </c>
      <c r="E30" s="9">
        <f t="shared" si="0"/>
        <v>0.65665485083092845</v>
      </c>
      <c r="F30" t="str">
        <f t="shared" si="1"/>
        <v>Poor</v>
      </c>
    </row>
    <row r="31" spans="1:7" ht="15" hidden="1" customHeight="1" x14ac:dyDescent="0.3">
      <c r="A31" t="s">
        <v>31</v>
      </c>
      <c r="B31" s="2">
        <v>46174</v>
      </c>
      <c r="C31" cm="1">
        <f t="array" ref="C31">IFERROR(IF(SUMPRODUCT((measured[Site Name]=A31)*(measured[Date]=B31)*ISNUMBER(measured[Measured Value (kWh)]))=0,"",SUMIFS(measured[Measured Value (kWh)],measured[Site Name],A31,measured[Date],B31)),"")</f>
        <v>1287</v>
      </c>
      <c r="D31" cm="1">
        <f t="array" ref="D31">IFERROR(IF(SUMPRODUCT((expected_production[Site Name]=A31)*(expected_production[Date]=B31)*ISNUMBER(expected_production[Expected Production (kWh)]))=0,"",SUMIFS(expected_production[Expected Production (kWh)],expected_production[Site Name],A31,expected_production[Date],B31)),"")</f>
        <v>1591.4983910192309</v>
      </c>
      <c r="E31" s="9">
        <f t="shared" si="0"/>
        <v>0.8086718825871867</v>
      </c>
      <c r="F31" t="str">
        <f t="shared" si="1"/>
        <v>Moderate</v>
      </c>
    </row>
    <row r="32" spans="1:7" ht="15" hidden="1" customHeight="1" x14ac:dyDescent="0.3">
      <c r="A32" t="s">
        <v>31</v>
      </c>
      <c r="B32" s="2">
        <v>46204</v>
      </c>
      <c r="C32" cm="1">
        <f t="array" ref="C32">IFERROR(IF(SUMPRODUCT((measured[Site Name]=A32)*(measured[Date]=B32)*ISNUMBER(measured[Measured Value (kWh)]))=0,"",SUMIFS(measured[Measured Value (kWh)],measured[Site Name],A32,measured[Date],B32)),"")</f>
        <v>1638</v>
      </c>
      <c r="D32" cm="1">
        <f t="array" ref="D32">IFERROR(IF(SUMPRODUCT((expected_production[Site Name]=A32)*(expected_production[Date]=B32)*ISNUMBER(expected_production[Expected Production (kWh)]))=0,"",SUMIFS(expected_production[Expected Production (kWh)],expected_production[Site Name],A32,expected_production[Date],B32)),"")</f>
        <v>1771.6077918578292</v>
      </c>
      <c r="E32" s="9">
        <f t="shared" ref="E32:E95" si="2">IF(OR(C32="",D32="",D32=0),"",C32/D32)</f>
        <v>0.9245838765939729</v>
      </c>
      <c r="F32" t="str">
        <f t="shared" ref="F32:F95" si="3">IF(E32="","",IF(E32&gt;=0.9,"Expected",IF(E32&gt;=0.7,"Moderate","Poor")))</f>
        <v>Expected</v>
      </c>
      <c r="G32" t="s">
        <v>874</v>
      </c>
    </row>
    <row r="33" spans="1:7" ht="15" hidden="1" customHeight="1" x14ac:dyDescent="0.3">
      <c r="A33" t="s">
        <v>31</v>
      </c>
      <c r="B33" s="2">
        <v>46235</v>
      </c>
      <c r="C33" cm="1">
        <f t="array" ref="C33">IFERROR(IF(SUMPRODUCT((measured[Site Name]=A33)*(measured[Date]=B33)*ISNUMBER(measured[Measured Value (kWh)]))=0,"",SUMIFS(measured[Measured Value (kWh)],measured[Site Name],A33,measured[Date],B33)),"")</f>
        <v>1374</v>
      </c>
      <c r="D33" cm="1">
        <f t="array" ref="D33">IFERROR(IF(SUMPRODUCT((expected_production[Site Name]=A33)*(expected_production[Date]=B33)*ISNUMBER(expected_production[Expected Production (kWh)]))=0,"",SUMIFS(expected_production[Expected Production (kWh)],expected_production[Site Name],A33,expected_production[Date],B33)),"")</f>
        <v>2065.6438473789299</v>
      </c>
      <c r="E33" s="9">
        <f t="shared" si="2"/>
        <v>0.66516790962946093</v>
      </c>
      <c r="F33" t="str">
        <f t="shared" si="3"/>
        <v>Poor</v>
      </c>
      <c r="G33" t="s">
        <v>874</v>
      </c>
    </row>
    <row r="34" spans="1:7" ht="15" customHeight="1" x14ac:dyDescent="0.3">
      <c r="A34" t="s">
        <v>31</v>
      </c>
      <c r="B34" s="2">
        <v>46266</v>
      </c>
      <c r="C34" cm="1">
        <f t="array" ref="C34">IFERROR(IF(SUMPRODUCT((measured[Site Name]=A34)*(measured[Date]=B34)*ISNUMBER(measured[Measured Value (kWh)]))=0,"",SUMIFS(measured[Measured Value (kWh)],measured[Site Name],A34,measured[Date],B34)),"")</f>
        <v>1161.5999999999999</v>
      </c>
      <c r="D34" cm="1">
        <f t="array" ref="D34">IFERROR(IF(SUMPRODUCT((expected_production[Site Name]=A34)*(expected_production[Date]=B34)*ISNUMBER(expected_production[Expected Production (kWh)]))=0,"",SUMIFS(expected_production[Expected Production (kWh)],expected_production[Site Name],A34,expected_production[Date],B34)),"")</f>
        <v>2218.8925316370378</v>
      </c>
      <c r="E34" s="9">
        <f t="shared" si="2"/>
        <v>0.5235043984500698</v>
      </c>
      <c r="F34" t="str">
        <f t="shared" si="3"/>
        <v>Poor</v>
      </c>
      <c r="G34" t="s">
        <v>874</v>
      </c>
    </row>
    <row r="35" spans="1:7" ht="15" hidden="1" customHeight="1" x14ac:dyDescent="0.3">
      <c r="A35" t="s">
        <v>31</v>
      </c>
      <c r="B35" s="2">
        <v>46296</v>
      </c>
      <c r="C35" t="str" cm="1">
        <f t="array" ref="C35">IFERROR(IF(SUMPRODUCT((measured[Site Name]=A35)*(measured[Date]=B35)*ISNUMBER(measured[Measured Value (kWh)]))=0,"",SUMIFS(measured[Measured Value (kWh)],measured[Site Name],A35,measured[Date],B35)),"")</f>
        <v/>
      </c>
      <c r="D35" cm="1">
        <f t="array" ref="D35">IFERROR(IF(SUMPRODUCT((expected_production[Site Name]=A35)*(expected_production[Date]=B35)*ISNUMBER(expected_production[Expected Production (kWh)]))=0,"",SUMIFS(expected_production[Expected Production (kWh)],expected_production[Site Name],A35,expected_production[Date],B35)),"")</f>
        <v>2346.5640349213672</v>
      </c>
      <c r="E35" s="9" t="str">
        <f t="shared" si="2"/>
        <v/>
      </c>
      <c r="F35" t="str">
        <f t="shared" si="3"/>
        <v/>
      </c>
    </row>
    <row r="36" spans="1:7" ht="15" hidden="1" customHeight="1" x14ac:dyDescent="0.3">
      <c r="A36" t="s">
        <v>31</v>
      </c>
      <c r="B36" s="2">
        <v>46327</v>
      </c>
      <c r="C36" t="str" cm="1">
        <f t="array" ref="C36">IFERROR(IF(SUMPRODUCT((measured[Site Name]=A36)*(measured[Date]=B36)*ISNUMBER(measured[Measured Value (kWh)]))=0,"",SUMIFS(measured[Measured Value (kWh)],measured[Site Name],A36,measured[Date],B36)),"")</f>
        <v/>
      </c>
      <c r="D36" cm="1">
        <f t="array" ref="D36">IFERROR(IF(SUMPRODUCT((expected_production[Site Name]=A36)*(expected_production[Date]=B36)*ISNUMBER(expected_production[Expected Production (kWh)]))=0,"",SUMIFS(expected_production[Expected Production (kWh)],expected_production[Site Name],A36,expected_production[Date],B36)),"")</f>
        <v>2295.193674685052</v>
      </c>
      <c r="E36" s="9" t="str">
        <f t="shared" si="2"/>
        <v/>
      </c>
      <c r="F36" t="str">
        <f t="shared" si="3"/>
        <v/>
      </c>
    </row>
    <row r="37" spans="1:7" ht="15" hidden="1" customHeight="1" x14ac:dyDescent="0.3">
      <c r="A37" t="s">
        <v>31</v>
      </c>
      <c r="B37" s="2">
        <v>46357</v>
      </c>
      <c r="C37" t="str" cm="1">
        <f t="array" ref="C37">IFERROR(IF(SUMPRODUCT((measured[Site Name]=A37)*(measured[Date]=B37)*ISNUMBER(measured[Measured Value (kWh)]))=0,"",SUMIFS(measured[Measured Value (kWh)],measured[Site Name],A37,measured[Date],B37)),"")</f>
        <v/>
      </c>
      <c r="D37" cm="1">
        <f t="array" ref="D37">IFERROR(IF(SUMPRODUCT((expected_production[Site Name]=A37)*(expected_production[Date]=B37)*ISNUMBER(expected_production[Expected Production (kWh)]))=0,"",SUMIFS(expected_production[Expected Production (kWh)],expected_production[Site Name],A37,expected_production[Date],B37)),"")</f>
        <v>2416.5366318736392</v>
      </c>
      <c r="E37" s="9" t="str">
        <f t="shared" si="2"/>
        <v/>
      </c>
      <c r="F37" t="str">
        <f t="shared" si="3"/>
        <v/>
      </c>
    </row>
    <row r="38" spans="1:7" ht="15" hidden="1" customHeight="1" x14ac:dyDescent="0.3">
      <c r="A38" t="s">
        <v>43</v>
      </c>
      <c r="B38" s="2">
        <v>45292</v>
      </c>
      <c r="C38" cm="1">
        <f t="array" ref="C38">IFERROR(IF(SUMPRODUCT((measured[Site Name]=A38)*(measured[Date]=B38)*ISNUMBER(measured[Measured Value (kWh)]))=0,"",SUMIFS(measured[Measured Value (kWh)],measured[Site Name],A38,measured[Date],B38)),"")</f>
        <v>23024</v>
      </c>
      <c r="D38" cm="1">
        <f t="array" ref="D38">IFERROR(IF(SUMPRODUCT((expected_production[Site Name]=A38)*(expected_production[Date]=B38)*ISNUMBER(expected_production[Expected Production (kWh)]))=0,"",SUMIFS(expected_production[Expected Production (kWh)],expected_production[Site Name],A38,expected_production[Date],B38)),"")</f>
        <v>22474.372116829476</v>
      </c>
      <c r="E38" s="9">
        <f t="shared" si="2"/>
        <v>1.0244557614474554</v>
      </c>
      <c r="F38" t="str">
        <f t="shared" si="3"/>
        <v>Expected</v>
      </c>
    </row>
    <row r="39" spans="1:7" ht="15" hidden="1" customHeight="1" x14ac:dyDescent="0.3">
      <c r="A39" t="s">
        <v>43</v>
      </c>
      <c r="B39" s="2">
        <v>45323</v>
      </c>
      <c r="C39" cm="1">
        <f t="array" ref="C39">IFERROR(IF(SUMPRODUCT((measured[Site Name]=A39)*(measured[Date]=B39)*ISNUMBER(measured[Measured Value (kWh)]))=0,"",SUMIFS(measured[Measured Value (kWh)],measured[Site Name],A39,measured[Date],B39)),"")</f>
        <v>23235</v>
      </c>
      <c r="D39" cm="1">
        <f t="array" ref="D39">IFERROR(IF(SUMPRODUCT((expected_production[Site Name]=A39)*(expected_production[Date]=B39)*ISNUMBER(expected_production[Expected Production (kWh)]))=0,"",SUMIFS(expected_production[Expected Production (kWh)],expected_production[Site Name],A39,expected_production[Date],B39)),"")</f>
        <v>19737.861188956573</v>
      </c>
      <c r="E39" s="9">
        <f t="shared" si="2"/>
        <v>1.1771792180299705</v>
      </c>
      <c r="F39" t="str">
        <f t="shared" si="3"/>
        <v>Expected</v>
      </c>
    </row>
    <row r="40" spans="1:7" ht="15" hidden="1" customHeight="1" x14ac:dyDescent="0.3">
      <c r="A40" t="s">
        <v>43</v>
      </c>
      <c r="B40" s="2">
        <v>45352</v>
      </c>
      <c r="C40" cm="1">
        <f t="array" ref="C40">IFERROR(IF(SUMPRODUCT((measured[Site Name]=A40)*(measured[Date]=B40)*ISNUMBER(measured[Measured Value (kWh)]))=0,"",SUMIFS(measured[Measured Value (kWh)],measured[Site Name],A40,measured[Date],B40)),"")</f>
        <v>23235</v>
      </c>
      <c r="D40" cm="1">
        <f t="array" ref="D40">IFERROR(IF(SUMPRODUCT((expected_production[Site Name]=A40)*(expected_production[Date]=B40)*ISNUMBER(expected_production[Expected Production (kWh)]))=0,"",SUMIFS(expected_production[Expected Production (kWh)],expected_production[Site Name],A40,expected_production[Date],B40)),"")</f>
        <v>20088.040431215104</v>
      </c>
      <c r="E40" s="9">
        <f t="shared" si="2"/>
        <v>1.1566583649391102</v>
      </c>
      <c r="F40" t="str">
        <f t="shared" si="3"/>
        <v>Expected</v>
      </c>
    </row>
    <row r="41" spans="1:7" ht="15" hidden="1" customHeight="1" x14ac:dyDescent="0.3">
      <c r="A41" t="s">
        <v>43</v>
      </c>
      <c r="B41" s="2">
        <v>45383</v>
      </c>
      <c r="C41" cm="1">
        <f t="array" ref="C41">IFERROR(IF(SUMPRODUCT((measured[Site Name]=A41)*(measured[Date]=B41)*ISNUMBER(measured[Measured Value (kWh)]))=0,"",SUMIFS(measured[Measured Value (kWh)],measured[Site Name],A41,measured[Date],B41)),"")</f>
        <v>19307</v>
      </c>
      <c r="D41" cm="1">
        <f t="array" ref="D41">IFERROR(IF(SUMPRODUCT((expected_production[Site Name]=A41)*(expected_production[Date]=B41)*ISNUMBER(expected_production[Expected Production (kWh)]))=0,"",SUMIFS(expected_production[Expected Production (kWh)],expected_production[Site Name],A41,expected_production[Date],B41)),"")</f>
        <v>16704.704220724689</v>
      </c>
      <c r="E41" s="9">
        <f t="shared" si="2"/>
        <v>1.1557822122972266</v>
      </c>
      <c r="F41" t="str">
        <f t="shared" si="3"/>
        <v>Expected</v>
      </c>
    </row>
    <row r="42" spans="1:7" ht="15" hidden="1" customHeight="1" x14ac:dyDescent="0.3">
      <c r="A42" t="s">
        <v>43</v>
      </c>
      <c r="B42" s="2">
        <v>45413</v>
      </c>
      <c r="C42" cm="1">
        <f t="array" ref="C42">IFERROR(IF(SUMPRODUCT((measured[Site Name]=A42)*(measured[Date]=B42)*ISNUMBER(measured[Measured Value (kWh)]))=0,"",SUMIFS(measured[Measured Value (kWh)],measured[Site Name],A42,measured[Date],B42)),"")</f>
        <v>18418</v>
      </c>
      <c r="D42" cm="1">
        <f t="array" ref="D42">IFERROR(IF(SUMPRODUCT((expected_production[Site Name]=A42)*(expected_production[Date]=B42)*ISNUMBER(expected_production[Expected Production (kWh)]))=0,"",SUMIFS(expected_production[Expected Production (kWh)],expected_production[Site Name],A42,expected_production[Date],B42)),"")</f>
        <v>15905.575651748479</v>
      </c>
      <c r="E42" s="9">
        <f t="shared" si="2"/>
        <v>1.1579587185815141</v>
      </c>
      <c r="F42" t="str">
        <f t="shared" si="3"/>
        <v>Expected</v>
      </c>
    </row>
    <row r="43" spans="1:7" ht="15" hidden="1" customHeight="1" x14ac:dyDescent="0.3">
      <c r="A43" t="s">
        <v>43</v>
      </c>
      <c r="B43" s="2">
        <v>45444</v>
      </c>
      <c r="C43" cm="1">
        <f t="array" ref="C43">IFERROR(IF(SUMPRODUCT((measured[Site Name]=A43)*(measured[Date]=B43)*ISNUMBER(measured[Measured Value (kWh)]))=0,"",SUMIFS(measured[Measured Value (kWh)],measured[Site Name],A43,measured[Date],B43)),"")</f>
        <v>15949</v>
      </c>
      <c r="D43" cm="1">
        <f t="array" ref="D43">IFERROR(IF(SUMPRODUCT((expected_production[Site Name]=A43)*(expected_production[Date]=B43)*ISNUMBER(expected_production[Expected Production (kWh)]))=0,"",SUMIFS(expected_production[Expected Production (kWh)],expected_production[Site Name],A43,expected_production[Date],B43)),"")</f>
        <v>14298.846998840867</v>
      </c>
      <c r="E43" s="9">
        <f t="shared" si="2"/>
        <v>1.1154046197775878</v>
      </c>
      <c r="F43" t="str">
        <f t="shared" si="3"/>
        <v>Expected</v>
      </c>
    </row>
    <row r="44" spans="1:7" ht="15" hidden="1" customHeight="1" x14ac:dyDescent="0.3">
      <c r="A44" t="s">
        <v>43</v>
      </c>
      <c r="B44" s="2">
        <v>45474</v>
      </c>
      <c r="C44" cm="1">
        <f t="array" ref="C44">IFERROR(IF(SUMPRODUCT((measured[Site Name]=A44)*(measured[Date]=B44)*ISNUMBER(measured[Measured Value (kWh)]))=0,"",SUMIFS(measured[Measured Value (kWh)],measured[Site Name],A44,measured[Date],B44)),"")</f>
        <v>17174</v>
      </c>
      <c r="D44" cm="1">
        <f t="array" ref="D44">IFERROR(IF(SUMPRODUCT((expected_production[Site Name]=A44)*(expected_production[Date]=B44)*ISNUMBER(expected_production[Expected Production (kWh)]))=0,"",SUMIFS(expected_production[Expected Production (kWh)],expected_production[Site Name],A44,expected_production[Date],B44)),"")</f>
        <v>15822.840159795023</v>
      </c>
      <c r="E44" s="9">
        <f t="shared" si="2"/>
        <v>1.0853930031877717</v>
      </c>
      <c r="F44" t="str">
        <f t="shared" si="3"/>
        <v>Expected</v>
      </c>
    </row>
    <row r="45" spans="1:7" ht="15" hidden="1" customHeight="1" x14ac:dyDescent="0.3">
      <c r="A45" t="s">
        <v>43</v>
      </c>
      <c r="B45" s="2">
        <v>45505</v>
      </c>
      <c r="C45" cm="1">
        <f t="array" ref="C45">IFERROR(IF(SUMPRODUCT((measured[Site Name]=A45)*(measured[Date]=B45)*ISNUMBER(measured[Measured Value (kWh)]))=0,"",SUMIFS(measured[Measured Value (kWh)],measured[Site Name],A45,measured[Date],B45)),"")</f>
        <v>13588</v>
      </c>
      <c r="D45" cm="1">
        <f t="array" ref="D45">IFERROR(IF(SUMPRODUCT((expected_production[Site Name]=A45)*(expected_production[Date]=B45)*ISNUMBER(expected_production[Expected Production (kWh)]))=0,"",SUMIFS(expected_production[Expected Production (kWh)],expected_production[Site Name],A45,expected_production[Date],B45)),"")</f>
        <v>18417.587177375841</v>
      </c>
      <c r="E45" s="9">
        <f t="shared" si="2"/>
        <v>0.73777307902152867</v>
      </c>
      <c r="F45" t="str">
        <f t="shared" si="3"/>
        <v>Moderate</v>
      </c>
    </row>
    <row r="46" spans="1:7" ht="15" hidden="1" customHeight="1" x14ac:dyDescent="0.3">
      <c r="A46" t="s">
        <v>43</v>
      </c>
      <c r="B46" s="2">
        <v>45536</v>
      </c>
      <c r="C46" cm="1">
        <f t="array" ref="C46">IFERROR(IF(SUMPRODUCT((measured[Site Name]=A46)*(measured[Date]=B46)*ISNUMBER(measured[Measured Value (kWh)]))=0,"",SUMIFS(measured[Measured Value (kWh)],measured[Site Name],A46,measured[Date],B46)),"")</f>
        <v>20254</v>
      </c>
      <c r="D46" cm="1">
        <f t="array" ref="D46">IFERROR(IF(SUMPRODUCT((expected_production[Site Name]=A46)*(expected_production[Date]=B46)*ISNUMBER(expected_production[Expected Production (kWh)]))=0,"",SUMIFS(expected_production[Expected Production (kWh)],expected_production[Site Name],A46,expected_production[Date],B46)),"")</f>
        <v>20271.346371009964</v>
      </c>
      <c r="E46" s="9">
        <f t="shared" si="2"/>
        <v>0.99914429112440351</v>
      </c>
      <c r="F46" t="str">
        <f t="shared" si="3"/>
        <v>Expected</v>
      </c>
    </row>
    <row r="47" spans="1:7" ht="15" hidden="1" customHeight="1" x14ac:dyDescent="0.3">
      <c r="A47" t="s">
        <v>43</v>
      </c>
      <c r="B47" s="2">
        <v>45566</v>
      </c>
      <c r="C47" cm="1">
        <f t="array" ref="C47">IFERROR(IF(SUMPRODUCT((measured[Site Name]=A47)*(measured[Date]=B47)*ISNUMBER(measured[Measured Value (kWh)]))=0,"",SUMIFS(measured[Measured Value (kWh)],measured[Site Name],A47,measured[Date],B47)),"")</f>
        <v>27693</v>
      </c>
      <c r="D47" cm="1">
        <f t="array" ref="D47">IFERROR(IF(SUMPRODUCT((expected_production[Site Name]=A47)*(expected_production[Date]=B47)*ISNUMBER(expected_production[Expected Production (kWh)]))=0,"",SUMIFS(expected_production[Expected Production (kWh)],expected_production[Site Name],A47,expected_production[Date],B47)),"")</f>
        <v>22162.39067222107</v>
      </c>
      <c r="E47" s="9">
        <f t="shared" si="2"/>
        <v>1.2495493112442577</v>
      </c>
      <c r="F47" t="str">
        <f t="shared" si="3"/>
        <v>Expected</v>
      </c>
    </row>
    <row r="48" spans="1:7" ht="15" hidden="1" customHeight="1" x14ac:dyDescent="0.3">
      <c r="A48" t="s">
        <v>43</v>
      </c>
      <c r="B48" s="2">
        <v>45597</v>
      </c>
      <c r="C48" cm="1">
        <f t="array" ref="C48">IFERROR(IF(SUMPRODUCT((measured[Site Name]=A48)*(measured[Date]=B48)*ISNUMBER(measured[Measured Value (kWh)]))=0,"",SUMIFS(measured[Measured Value (kWh)],measured[Site Name],A48,measured[Date],B48)),"")</f>
        <v>24041</v>
      </c>
      <c r="D48" cm="1">
        <f t="array" ref="D48">IFERROR(IF(SUMPRODUCT((expected_production[Site Name]=A48)*(expected_production[Date]=B48)*ISNUMBER(expected_production[Expected Production (kWh)]))=0,"",SUMIFS(expected_production[Expected Production (kWh)],expected_production[Site Name],A48,expected_production[Date],B48)),"")</f>
        <v>22347.649791360731</v>
      </c>
      <c r="E48" s="9">
        <f t="shared" si="2"/>
        <v>1.0757730779052164</v>
      </c>
      <c r="F48" t="str">
        <f t="shared" si="3"/>
        <v>Expected</v>
      </c>
    </row>
    <row r="49" spans="1:6" ht="15" hidden="1" customHeight="1" x14ac:dyDescent="0.3">
      <c r="A49" t="s">
        <v>43</v>
      </c>
      <c r="B49" s="2">
        <v>45627</v>
      </c>
      <c r="C49" cm="1">
        <f t="array" ref="C49">IFERROR(IF(SUMPRODUCT((measured[Site Name]=A49)*(measured[Date]=B49)*ISNUMBER(measured[Measured Value (kWh)]))=0,"",SUMIFS(measured[Measured Value (kWh)],measured[Site Name],A49,measured[Date],B49)),"")</f>
        <v>25076</v>
      </c>
      <c r="D49" cm="1">
        <f t="array" ref="D49">IFERROR(IF(SUMPRODUCT((expected_production[Site Name]=A49)*(expected_production[Date]=B49)*ISNUMBER(expected_production[Expected Production (kWh)]))=0,"",SUMIFS(expected_production[Expected Production (kWh)],expected_production[Site Name],A49,expected_production[Date],B49)),"")</f>
        <v>23581.700549625944</v>
      </c>
      <c r="E49" s="9">
        <f t="shared" si="2"/>
        <v>1.0633669080492907</v>
      </c>
      <c r="F49" t="str">
        <f t="shared" si="3"/>
        <v>Expected</v>
      </c>
    </row>
    <row r="50" spans="1:6" ht="15" hidden="1" customHeight="1" x14ac:dyDescent="0.3">
      <c r="A50" t="s">
        <v>43</v>
      </c>
      <c r="B50" s="2">
        <v>45658</v>
      </c>
      <c r="C50" cm="1">
        <f t="array" ref="C50">IFERROR(IF(SUMPRODUCT((measured[Site Name]=A50)*(measured[Date]=B50)*ISNUMBER(measured[Measured Value (kWh)]))=0,"",SUMIFS(measured[Measured Value (kWh)],measured[Site Name],A50,measured[Date],B50)),"")</f>
        <v>22439</v>
      </c>
      <c r="D50" cm="1">
        <f t="array" ref="D50">IFERROR(IF(SUMPRODUCT((expected_production[Site Name]=A50)*(expected_production[Date]=B50)*ISNUMBER(expected_production[Expected Production (kWh)]))=0,"",SUMIFS(expected_production[Expected Production (kWh)],expected_production[Site Name],A50,expected_production[Date],B50)),"")</f>
        <v>22316.729607365327</v>
      </c>
      <c r="E50" s="9">
        <f t="shared" si="2"/>
        <v>1.0054788669659878</v>
      </c>
      <c r="F50" t="str">
        <f t="shared" si="3"/>
        <v>Expected</v>
      </c>
    </row>
    <row r="51" spans="1:6" ht="15" hidden="1" customHeight="1" x14ac:dyDescent="0.3">
      <c r="A51" t="s">
        <v>43</v>
      </c>
      <c r="B51" s="2">
        <v>45689</v>
      </c>
      <c r="C51" cm="1">
        <f t="array" ref="C51">IFERROR(IF(SUMPRODUCT((measured[Site Name]=A51)*(measured[Date]=B51)*ISNUMBER(measured[Measured Value (kWh)]))=0,"",SUMIFS(measured[Measured Value (kWh)],measured[Site Name],A51,measured[Date],B51)),"")</f>
        <v>14790</v>
      </c>
      <c r="D51" cm="1">
        <f t="array" ref="D51">IFERROR(IF(SUMPRODUCT((expected_production[Site Name]=A51)*(expected_production[Date]=B51)*ISNUMBER(expected_production[Expected Production (kWh)]))=0,"",SUMIFS(expected_production[Expected Production (kWh)],expected_production[Site Name],A51,expected_production[Date],B51)),"")</f>
        <v>19599.413451546719</v>
      </c>
      <c r="E51" s="9">
        <f t="shared" si="2"/>
        <v>0.75461441928165574</v>
      </c>
      <c r="F51" t="str">
        <f t="shared" si="3"/>
        <v>Moderate</v>
      </c>
    </row>
    <row r="52" spans="1:6" ht="15" hidden="1" customHeight="1" x14ac:dyDescent="0.3">
      <c r="A52" t="s">
        <v>43</v>
      </c>
      <c r="B52" s="2">
        <v>45717</v>
      </c>
      <c r="C52" cm="1">
        <f t="array" ref="C52">IFERROR(IF(SUMPRODUCT((measured[Site Name]=A52)*(measured[Date]=B52)*ISNUMBER(measured[Measured Value (kWh)]))=0,"",SUMIFS(measured[Measured Value (kWh)],measured[Site Name],A52,measured[Date],B52)),"")</f>
        <v>15371</v>
      </c>
      <c r="D52" cm="1">
        <f t="array" ref="D52">IFERROR(IF(SUMPRODUCT((expected_production[Site Name]=A52)*(expected_production[Date]=B52)*ISNUMBER(expected_production[Expected Production (kWh)]))=0,"",SUMIFS(expected_production[Expected Production (kWh)],expected_production[Site Name],A52,expected_production[Date],B52)),"")</f>
        <v>19947.520057375576</v>
      </c>
      <c r="E52" s="9">
        <f t="shared" si="2"/>
        <v>0.77057197866140703</v>
      </c>
      <c r="F52" t="str">
        <f t="shared" si="3"/>
        <v>Moderate</v>
      </c>
    </row>
    <row r="53" spans="1:6" ht="15" hidden="1" customHeight="1" x14ac:dyDescent="0.3">
      <c r="A53" t="s">
        <v>43</v>
      </c>
      <c r="B53" s="2">
        <v>45748</v>
      </c>
      <c r="C53" cm="1">
        <f t="array" ref="C53">IFERROR(IF(SUMPRODUCT((measured[Site Name]=A53)*(measured[Date]=B53)*ISNUMBER(measured[Measured Value (kWh)]))=0,"",SUMIFS(measured[Measured Value (kWh)],measured[Site Name],A53,measured[Date],B53)),"")</f>
        <v>13930</v>
      </c>
      <c r="D53" cm="1">
        <f t="array" ref="D53">IFERROR(IF(SUMPRODUCT((expected_production[Site Name]=A53)*(expected_production[Date]=B53)*ISNUMBER(expected_production[Expected Production (kWh)]))=0,"",SUMIFS(expected_production[Expected Production (kWh)],expected_production[Site Name],A53,expected_production[Date],B53)),"")</f>
        <v>16587.851046816922</v>
      </c>
      <c r="E53" s="9">
        <f t="shared" si="2"/>
        <v>0.83977122537961646</v>
      </c>
      <c r="F53" t="str">
        <f t="shared" si="3"/>
        <v>Moderate</v>
      </c>
    </row>
    <row r="54" spans="1:6" ht="15" hidden="1" customHeight="1" x14ac:dyDescent="0.3">
      <c r="A54" t="s">
        <v>43</v>
      </c>
      <c r="B54" s="2">
        <v>45778</v>
      </c>
      <c r="C54" cm="1">
        <f t="array" ref="C54">IFERROR(IF(SUMPRODUCT((measured[Site Name]=A54)*(measured[Date]=B54)*ISNUMBER(measured[Measured Value (kWh)]))=0,"",SUMIFS(measured[Measured Value (kWh)],measured[Site Name],A54,measured[Date],B54)),"")</f>
        <v>15263</v>
      </c>
      <c r="D54" cm="1">
        <f t="array" ref="D54">IFERROR(IF(SUMPRODUCT((expected_production[Site Name]=A54)*(expected_production[Date]=B54)*ISNUMBER(expected_production[Expected Production (kWh)]))=0,"",SUMIFS(expected_production[Expected Production (kWh)],expected_production[Site Name],A54,expected_production[Date],B54)),"")</f>
        <v>15794.312562430741</v>
      </c>
      <c r="E54" s="9">
        <f t="shared" si="2"/>
        <v>0.96636051361332742</v>
      </c>
      <c r="F54" t="str">
        <f t="shared" si="3"/>
        <v>Expected</v>
      </c>
    </row>
    <row r="55" spans="1:6" ht="15" hidden="1" customHeight="1" x14ac:dyDescent="0.3">
      <c r="A55" t="s">
        <v>43</v>
      </c>
      <c r="B55" s="2">
        <v>45809</v>
      </c>
      <c r="C55" cm="1">
        <f t="array" ref="C55">IFERROR(IF(SUMPRODUCT((measured[Site Name]=A55)*(measured[Date]=B55)*ISNUMBER(measured[Measured Value (kWh)]))=0,"",SUMIFS(measured[Measured Value (kWh)],measured[Site Name],A55,measured[Date],B55)),"")</f>
        <v>11722.16</v>
      </c>
      <c r="D55" cm="1">
        <f t="array" ref="D55">IFERROR(IF(SUMPRODUCT((expected_production[Site Name]=A55)*(expected_production[Date]=B55)*ISNUMBER(expected_production[Expected Production (kWh)]))=0,"",SUMIFS(expected_production[Expected Production (kWh)],expected_production[Site Name],A55,expected_production[Date],B55)),"")</f>
        <v>14198.823338861119</v>
      </c>
      <c r="E55" s="9">
        <f t="shared" si="2"/>
        <v>0.8255726351575432</v>
      </c>
      <c r="F55" t="str">
        <f t="shared" si="3"/>
        <v>Moderate</v>
      </c>
    </row>
    <row r="56" spans="1:6" ht="15" hidden="1" customHeight="1" x14ac:dyDescent="0.3">
      <c r="A56" t="s">
        <v>43</v>
      </c>
      <c r="B56" s="2">
        <v>45839</v>
      </c>
      <c r="C56" cm="1">
        <f t="array" ref="C56">IFERROR(IF(SUMPRODUCT((measured[Site Name]=A56)*(measured[Date]=B56)*ISNUMBER(measured[Measured Value (kWh)]))=0,"",SUMIFS(measured[Measured Value (kWh)],measured[Site Name],A56,measured[Date],B56)),"")</f>
        <v>3209</v>
      </c>
      <c r="D56" cm="1">
        <f t="array" ref="D56">IFERROR(IF(SUMPRODUCT((expected_production[Site Name]=A56)*(expected_production[Date]=B56)*ISNUMBER(expected_production[Expected Production (kWh)]))=0,"",SUMIFS(expected_production[Expected Production (kWh)],expected_production[Site Name],A56,expected_production[Date],B56)),"")</f>
        <v>15712.155823905174</v>
      </c>
      <c r="E56" s="9">
        <f t="shared" si="2"/>
        <v>0.20423677285059028</v>
      </c>
      <c r="F56" t="str">
        <f t="shared" si="3"/>
        <v>Poor</v>
      </c>
    </row>
    <row r="57" spans="1:6" ht="15" hidden="1" customHeight="1" x14ac:dyDescent="0.3">
      <c r="A57" t="s">
        <v>43</v>
      </c>
      <c r="B57" s="2">
        <v>45870</v>
      </c>
      <c r="C57" cm="1">
        <f t="array" ref="C57">IFERROR(IF(SUMPRODUCT((measured[Site Name]=A57)*(measured[Date]=B57)*ISNUMBER(measured[Measured Value (kWh)]))=0,"",SUMIFS(measured[Measured Value (kWh)],measured[Site Name],A57,measured[Date],B57)),"")</f>
        <v>11143</v>
      </c>
      <c r="D57" cm="1">
        <f t="array" ref="D57">IFERROR(IF(SUMPRODUCT((expected_production[Site Name]=A57)*(expected_production[Date]=B57)*ISNUMBER(expected_production[Expected Production (kWh)]))=0,"",SUMIFS(expected_production[Expected Production (kWh)],expected_production[Site Name],A57,expected_production[Date],B57)),"")</f>
        <v>18288.752000831424</v>
      </c>
      <c r="E57" s="9">
        <f t="shared" si="2"/>
        <v>0.60928159556723327</v>
      </c>
      <c r="F57" t="str">
        <f t="shared" si="3"/>
        <v>Poor</v>
      </c>
    </row>
    <row r="58" spans="1:6" ht="15" hidden="1" customHeight="1" x14ac:dyDescent="0.3">
      <c r="A58" t="s">
        <v>43</v>
      </c>
      <c r="B58" s="2">
        <v>45901</v>
      </c>
      <c r="C58" cm="1">
        <f t="array" ref="C58">IFERROR(IF(SUMPRODUCT((measured[Site Name]=A58)*(measured[Date]=B58)*ISNUMBER(measured[Measured Value (kWh)]))=0,"",SUMIFS(measured[Measured Value (kWh)],measured[Site Name],A58,measured[Date],B58)),"")</f>
        <v>11503</v>
      </c>
      <c r="D58" cm="1">
        <f t="array" ref="D58">IFERROR(IF(SUMPRODUCT((expected_production[Site Name]=A58)*(expected_production[Date]=B58)*ISNUMBER(expected_production[Expected Production (kWh)]))=0,"",SUMIFS(expected_production[Expected Production (kWh)],expected_production[Site Name],A58,expected_production[Date],B58)),"")</f>
        <v>20129.543730775407</v>
      </c>
      <c r="E58" s="9">
        <f t="shared" si="2"/>
        <v>0.5714486206864906</v>
      </c>
      <c r="F58" t="str">
        <f t="shared" si="3"/>
        <v>Poor</v>
      </c>
    </row>
    <row r="59" spans="1:6" ht="15" hidden="1" customHeight="1" x14ac:dyDescent="0.3">
      <c r="A59" t="s">
        <v>43</v>
      </c>
      <c r="B59" s="2">
        <v>45931</v>
      </c>
      <c r="C59" cm="1">
        <f t="array" ref="C59">IFERROR(IF(SUMPRODUCT((measured[Site Name]=A59)*(measured[Date]=B59)*ISNUMBER(measured[Measured Value (kWh)]))=0,"",SUMIFS(measured[Measured Value (kWh)],measured[Site Name],A59,measured[Date],B59)),"")</f>
        <v>12856</v>
      </c>
      <c r="D59" cm="1">
        <f t="array" ref="D59">IFERROR(IF(SUMPRODUCT((expected_production[Site Name]=A59)*(expected_production[Date]=B59)*ISNUMBER(expected_production[Expected Production (kWh)]))=0,"",SUMIFS(expected_production[Expected Production (kWh)],expected_production[Site Name],A59,expected_production[Date],B59)),"")</f>
        <v>22007.359750558902</v>
      </c>
      <c r="E59" s="9">
        <f t="shared" si="2"/>
        <v>0.58416821216700054</v>
      </c>
      <c r="F59" t="str">
        <f t="shared" si="3"/>
        <v>Poor</v>
      </c>
    </row>
    <row r="60" spans="1:6" ht="15" hidden="1" customHeight="1" x14ac:dyDescent="0.3">
      <c r="A60" t="s">
        <v>43</v>
      </c>
      <c r="B60" s="2">
        <v>45962</v>
      </c>
      <c r="C60" cm="1">
        <f t="array" ref="C60">IFERROR(IF(SUMPRODUCT((measured[Site Name]=A60)*(measured[Date]=B60)*ISNUMBER(measured[Measured Value (kWh)]))=0,"",SUMIFS(measured[Measured Value (kWh)],measured[Site Name],A60,measured[Date],B60)),"")</f>
        <v>11518</v>
      </c>
      <c r="D60" cm="1">
        <f t="array" ref="D60">IFERROR(IF(SUMPRODUCT((expected_production[Site Name]=A60)*(expected_production[Date]=B60)*ISNUMBER(expected_production[Expected Production (kWh)]))=0,"",SUMIFS(expected_production[Expected Production (kWh)],expected_production[Site Name],A60,expected_production[Date],B60)),"")</f>
        <v>22191.322940373459</v>
      </c>
      <c r="E60" s="9">
        <f t="shared" si="2"/>
        <v>0.51903169680095529</v>
      </c>
      <c r="F60" t="str">
        <f t="shared" si="3"/>
        <v>Poor</v>
      </c>
    </row>
    <row r="61" spans="1:6" ht="15" hidden="1" customHeight="1" x14ac:dyDescent="0.3">
      <c r="A61" t="s">
        <v>43</v>
      </c>
      <c r="B61" s="2">
        <v>45992</v>
      </c>
      <c r="C61" cm="1">
        <f t="array" ref="C61">IFERROR(IF(SUMPRODUCT((measured[Site Name]=A61)*(measured[Date]=B61)*ISNUMBER(measured[Measured Value (kWh)]))=0,"",SUMIFS(measured[Measured Value (kWh)],measured[Site Name],A61,measured[Date],B61)),"")</f>
        <v>12208</v>
      </c>
      <c r="D61" cm="1">
        <f t="array" ref="D61">IFERROR(IF(SUMPRODUCT((expected_production[Site Name]=A61)*(expected_production[Date]=B61)*ISNUMBER(expected_production[Expected Production (kWh)]))=0,"",SUMIFS(expected_production[Expected Production (kWh)],expected_production[Site Name],A61,expected_production[Date],B61)),"")</f>
        <v>23416.741235234284</v>
      </c>
      <c r="E61" s="9">
        <f t="shared" si="2"/>
        <v>0.52133641813623</v>
      </c>
      <c r="F61" t="str">
        <f t="shared" si="3"/>
        <v>Poor</v>
      </c>
    </row>
    <row r="62" spans="1:6" ht="15" hidden="1" customHeight="1" x14ac:dyDescent="0.3">
      <c r="A62" t="s">
        <v>43</v>
      </c>
      <c r="B62" s="2">
        <v>46023</v>
      </c>
      <c r="C62" cm="1">
        <f t="array" ref="C62">IFERROR(IF(SUMPRODUCT((measured[Site Name]=A62)*(measured[Date]=B62)*ISNUMBER(measured[Measured Value (kWh)]))=0,"",SUMIFS(measured[Measured Value (kWh)],measured[Site Name],A62,measured[Date],B62)),"")</f>
        <v>14027</v>
      </c>
      <c r="D62" cm="1">
        <f t="array" ref="D62">IFERROR(IF(SUMPRODUCT((expected_production[Site Name]=A62)*(expected_production[Date]=B62)*ISNUMBER(expected_production[Expected Production (kWh)]))=0,"",SUMIFS(expected_production[Expected Production (kWh)],expected_production[Site Name],A62,expected_production[Date],B62)),"")</f>
        <v>22160.619050039408</v>
      </c>
      <c r="E62" s="9">
        <f t="shared" si="2"/>
        <v>0.63296968231467599</v>
      </c>
      <c r="F62" t="str">
        <f t="shared" si="3"/>
        <v>Poor</v>
      </c>
    </row>
    <row r="63" spans="1:6" ht="15" hidden="1" customHeight="1" x14ac:dyDescent="0.3">
      <c r="A63" t="s">
        <v>43</v>
      </c>
      <c r="B63" s="2">
        <v>46054</v>
      </c>
      <c r="C63" cm="1">
        <f t="array" ref="C63">IFERROR(IF(SUMPRODUCT((measured[Site Name]=A63)*(measured[Date]=B63)*ISNUMBER(measured[Measured Value (kWh)]))=0,"",SUMIFS(measured[Measured Value (kWh)],measured[Site Name],A63,measured[Date],B63)),"")</f>
        <v>12261</v>
      </c>
      <c r="D63" cm="1">
        <f t="array" ref="D63">IFERROR(IF(SUMPRODUCT((expected_production[Site Name]=A63)*(expected_production[Date]=B63)*ISNUMBER(expected_production[Expected Production (kWh)]))=0,"",SUMIFS(expected_production[Expected Production (kWh)],expected_production[Site Name],A63,expected_production[Date],B63)),"")</f>
        <v>19462.311133643816</v>
      </c>
      <c r="E63" s="9">
        <f t="shared" si="2"/>
        <v>0.62998684564264507</v>
      </c>
      <c r="F63" t="str">
        <f t="shared" si="3"/>
        <v>Poor</v>
      </c>
    </row>
    <row r="64" spans="1:6" ht="15" hidden="1" customHeight="1" x14ac:dyDescent="0.3">
      <c r="A64" t="s">
        <v>43</v>
      </c>
      <c r="B64" s="2">
        <v>46082</v>
      </c>
      <c r="C64" cm="1">
        <f t="array" ref="C64">IFERROR(IF(SUMPRODUCT((measured[Site Name]=A64)*(measured[Date]=B64)*ISNUMBER(measured[Measured Value (kWh)]))=0,"",SUMIFS(measured[Measured Value (kWh)],measured[Site Name],A64,measured[Date],B64)),"")</f>
        <v>10788</v>
      </c>
      <c r="D64" cm="1">
        <f t="array" ref="D64">IFERROR(IF(SUMPRODUCT((expected_production[Site Name]=A64)*(expected_production[Date]=B64)*ISNUMBER(expected_production[Expected Production (kWh)]))=0,"",SUMIFS(expected_production[Expected Production (kWh)],expected_production[Site Name],A64,expected_production[Date],B64)),"")</f>
        <v>19807.982655246586</v>
      </c>
      <c r="E64" s="9">
        <f t="shared" si="2"/>
        <v>0.54462890985733758</v>
      </c>
      <c r="F64" t="str">
        <f t="shared" si="3"/>
        <v>Poor</v>
      </c>
    </row>
    <row r="65" spans="1:7" ht="15" hidden="1" customHeight="1" x14ac:dyDescent="0.3">
      <c r="A65" t="s">
        <v>43</v>
      </c>
      <c r="B65" s="2">
        <v>46113</v>
      </c>
      <c r="C65" cm="1">
        <f t="array" ref="C65">IFERROR(IF(SUMPRODUCT((measured[Site Name]=A65)*(measured[Date]=B65)*ISNUMBER(measured[Measured Value (kWh)]))=0,"",SUMIFS(measured[Measured Value (kWh)],measured[Site Name],A65,measured[Date],B65)),"")</f>
        <v>9392.09</v>
      </c>
      <c r="D65" cm="1">
        <f t="array" ref="D65">IFERROR(IF(SUMPRODUCT((expected_production[Site Name]=A65)*(expected_production[Date]=B65)*ISNUMBER(expected_production[Expected Production (kWh)]))=0,"",SUMIFS(expected_production[Expected Production (kWh)],expected_production[Site Name],A65,expected_production[Date],B65)),"")</f>
        <v>16471.81528721784</v>
      </c>
      <c r="E65" s="9">
        <f t="shared" si="2"/>
        <v>0.5701915566821758</v>
      </c>
      <c r="F65" t="str">
        <f t="shared" si="3"/>
        <v>Poor</v>
      </c>
    </row>
    <row r="66" spans="1:7" ht="15" hidden="1" customHeight="1" x14ac:dyDescent="0.3">
      <c r="A66" t="s">
        <v>43</v>
      </c>
      <c r="B66" s="2">
        <v>46143</v>
      </c>
      <c r="C66" cm="1">
        <f t="array" ref="C66">IFERROR(IF(SUMPRODUCT((measured[Site Name]=A66)*(measured[Date]=B66)*ISNUMBER(measured[Measured Value (kWh)]))=0,"",SUMIFS(measured[Measured Value (kWh)],measured[Site Name],A66,measured[Date],B66)),"")</f>
        <v>11425.9</v>
      </c>
      <c r="D66" cm="1">
        <f t="array" ref="D66">IFERROR(IF(SUMPRODUCT((expected_production[Site Name]=A66)*(expected_production[Date]=B66)*ISNUMBER(expected_production[Expected Production (kWh)]))=0,"",SUMIFS(expected_production[Expected Production (kWh)],expected_production[Site Name],A66,expected_production[Date],B66)),"")</f>
        <v>15683.827783519091</v>
      </c>
      <c r="E66" s="9">
        <f t="shared" si="2"/>
        <v>0.72851475785819231</v>
      </c>
      <c r="F66" t="str">
        <f t="shared" si="3"/>
        <v>Moderate</v>
      </c>
    </row>
    <row r="67" spans="1:7" ht="15" hidden="1" customHeight="1" x14ac:dyDescent="0.3">
      <c r="A67" t="s">
        <v>43</v>
      </c>
      <c r="B67" s="2">
        <v>46174</v>
      </c>
      <c r="C67" cm="1">
        <f t="array" ref="C67">IFERROR(IF(SUMPRODUCT((measured[Site Name]=A67)*(measured[Date]=B67)*ISNUMBER(measured[Measured Value (kWh)]))=0,"",SUMIFS(measured[Measured Value (kWh)],measured[Site Name],A67,measured[Date],B67)),"")</f>
        <v>10184.42</v>
      </c>
      <c r="D67" cm="1">
        <f t="array" ref="D67">IFERROR(IF(SUMPRODUCT((expected_production[Site Name]=A67)*(expected_production[Date]=B67)*ISNUMBER(expected_production[Expected Production (kWh)]))=0,"",SUMIFS(expected_production[Expected Production (kWh)],expected_production[Site Name],A67,expected_production[Date],B67)),"")</f>
        <v>14099.499366944088</v>
      </c>
      <c r="E67" s="9">
        <f t="shared" si="2"/>
        <v>0.72232493757027361</v>
      </c>
      <c r="F67" t="str">
        <f t="shared" si="3"/>
        <v>Moderate</v>
      </c>
    </row>
    <row r="68" spans="1:7" ht="15" hidden="1" customHeight="1" x14ac:dyDescent="0.3">
      <c r="A68" t="s">
        <v>43</v>
      </c>
      <c r="B68" s="2">
        <v>46204</v>
      </c>
      <c r="C68" cm="1">
        <f t="array" ref="C68">IFERROR(IF(SUMPRODUCT((measured[Site Name]=A68)*(measured[Date]=B68)*ISNUMBER(measured[Measured Value (kWh)]))=0,"",SUMIFS(measured[Measured Value (kWh)],measured[Site Name],A68,measured[Date],B68)),"")</f>
        <v>13136.5304</v>
      </c>
      <c r="D68" cm="1">
        <f t="array" ref="D68">IFERROR(IF(SUMPRODUCT((expected_production[Site Name]=A68)*(expected_production[Date]=B68)*ISNUMBER(expected_production[Expected Production (kWh)]))=0,"",SUMIFS(expected_production[Expected Production (kWh)],expected_production[Site Name],A68,expected_production[Date],B68)),"")</f>
        <v>15602.245749910639</v>
      </c>
      <c r="E68" s="9">
        <f t="shared" si="2"/>
        <v>0.84196407431124065</v>
      </c>
      <c r="F68" t="str">
        <f t="shared" si="3"/>
        <v>Moderate</v>
      </c>
      <c r="G68" t="s">
        <v>874</v>
      </c>
    </row>
    <row r="69" spans="1:7" ht="15" hidden="1" customHeight="1" x14ac:dyDescent="0.3">
      <c r="A69" t="s">
        <v>43</v>
      </c>
      <c r="B69" s="2">
        <v>46235</v>
      </c>
      <c r="C69" cm="1">
        <f t="array" ref="C69">IFERROR(IF(SUMPRODUCT((measured[Site Name]=A69)*(measured[Date]=B69)*ISNUMBER(measured[Measured Value (kWh)]))=0,"",SUMIFS(measured[Measured Value (kWh)],measured[Site Name],A69,measured[Date],B69)),"")</f>
        <v>13435.047</v>
      </c>
      <c r="D69" cm="1">
        <f t="array" ref="D69">IFERROR(IF(SUMPRODUCT((expected_production[Site Name]=A69)*(expected_production[Date]=B69)*ISNUMBER(expected_production[Expected Production (kWh)]))=0,"",SUMIFS(expected_production[Expected Production (kWh)],expected_production[Site Name],A69,expected_production[Date],B69)),"")</f>
        <v>18160.818055406777</v>
      </c>
      <c r="E69" s="9">
        <f t="shared" si="2"/>
        <v>0.73978203839777823</v>
      </c>
      <c r="F69" t="str">
        <f t="shared" si="3"/>
        <v>Moderate</v>
      </c>
      <c r="G69" t="s">
        <v>874</v>
      </c>
    </row>
    <row r="70" spans="1:7" ht="15" customHeight="1" x14ac:dyDescent="0.3">
      <c r="A70" t="s">
        <v>43</v>
      </c>
      <c r="B70" s="2">
        <v>46266</v>
      </c>
      <c r="C70" cm="1">
        <f t="array" ref="C70">IFERROR(IF(SUMPRODUCT((measured[Site Name]=A70)*(measured[Date]=B70)*ISNUMBER(measured[Measured Value (kWh)]))=0,"",SUMIFS(measured[Measured Value (kWh)],measured[Site Name],A70,measured[Date],B70)),"")</f>
        <v>12622.0164</v>
      </c>
      <c r="D70" cm="1">
        <f t="array" ref="D70">IFERROR(IF(SUMPRODUCT((expected_production[Site Name]=A70)*(expected_production[Date]=B70)*ISNUMBER(expected_production[Expected Production (kWh)]))=0,"",SUMIFS(expected_production[Expected Production (kWh)],expected_production[Site Name],A70,expected_production[Date],B70)),"")</f>
        <v>19988.733031994041</v>
      </c>
      <c r="E70" s="9">
        <f t="shared" si="2"/>
        <v>0.63145655003732115</v>
      </c>
      <c r="F70" t="str">
        <f t="shared" si="3"/>
        <v>Poor</v>
      </c>
      <c r="G70" t="s">
        <v>874</v>
      </c>
    </row>
    <row r="71" spans="1:7" ht="15" hidden="1" customHeight="1" x14ac:dyDescent="0.3">
      <c r="A71" t="s">
        <v>43</v>
      </c>
      <c r="B71" s="2">
        <v>46296</v>
      </c>
      <c r="C71" t="str" cm="1">
        <f t="array" ref="C71">IFERROR(IF(SUMPRODUCT((measured[Site Name]=A71)*(measured[Date]=B71)*ISNUMBER(measured[Measured Value (kWh)]))=0,"",SUMIFS(measured[Measured Value (kWh)],measured[Site Name],A71,measured[Date],B71)),"")</f>
        <v/>
      </c>
      <c r="D71" cm="1">
        <f t="array" ref="D71">IFERROR(IF(SUMPRODUCT((expected_production[Site Name]=A71)*(expected_production[Date]=B71)*ISNUMBER(expected_production[Expected Production (kWh)]))=0,"",SUMIFS(expected_production[Expected Production (kWh)],expected_production[Site Name],A71,expected_production[Date],B71)),"")</f>
        <v>21853.413305162267</v>
      </c>
      <c r="E71" s="9" t="str">
        <f t="shared" si="2"/>
        <v/>
      </c>
      <c r="F71" t="str">
        <f t="shared" si="3"/>
        <v/>
      </c>
    </row>
    <row r="72" spans="1:7" ht="15" hidden="1" customHeight="1" x14ac:dyDescent="0.3">
      <c r="A72" t="s">
        <v>43</v>
      </c>
      <c r="B72" s="2">
        <v>46327</v>
      </c>
      <c r="C72" t="str" cm="1">
        <f t="array" ref="C72">IFERROR(IF(SUMPRODUCT((measured[Site Name]=A72)*(measured[Date]=B72)*ISNUMBER(measured[Measured Value (kWh)]))=0,"",SUMIFS(measured[Measured Value (kWh)],measured[Site Name],A72,measured[Date],B72)),"")</f>
        <v/>
      </c>
      <c r="D72" cm="1">
        <f t="array" ref="D72">IFERROR(IF(SUMPRODUCT((expected_production[Site Name]=A72)*(expected_production[Date]=B72)*ISNUMBER(expected_production[Expected Production (kWh)]))=0,"",SUMIFS(expected_production[Expected Production (kWh)],expected_production[Site Name],A72,expected_production[Date],B72)),"")</f>
        <v>22036.089630969655</v>
      </c>
      <c r="E72" s="9" t="str">
        <f t="shared" si="2"/>
        <v/>
      </c>
      <c r="F72" t="str">
        <f t="shared" si="3"/>
        <v/>
      </c>
    </row>
    <row r="73" spans="1:7" ht="15" hidden="1" customHeight="1" x14ac:dyDescent="0.3">
      <c r="A73" t="s">
        <v>43</v>
      </c>
      <c r="B73" s="2">
        <v>46357</v>
      </c>
      <c r="C73" t="str" cm="1">
        <f t="array" ref="C73">IFERROR(IF(SUMPRODUCT((measured[Site Name]=A73)*(measured[Date]=B73)*ISNUMBER(measured[Measured Value (kWh)]))=0,"",SUMIFS(measured[Measured Value (kWh)],measured[Site Name],A73,measured[Date],B73)),"")</f>
        <v/>
      </c>
      <c r="D73" cm="1">
        <f t="array" ref="D73">IFERROR(IF(SUMPRODUCT((expected_production[Site Name]=A73)*(expected_production[Date]=B73)*ISNUMBER(expected_production[Expected Production (kWh)]))=0,"",SUMIFS(expected_production[Expected Production (kWh)],expected_production[Site Name],A73,expected_production[Date],B73)),"")</f>
        <v>23252.935848454727</v>
      </c>
      <c r="E73" s="9" t="str">
        <f t="shared" si="2"/>
        <v/>
      </c>
      <c r="F73" t="str">
        <f t="shared" si="3"/>
        <v/>
      </c>
    </row>
    <row r="74" spans="1:7" ht="15" hidden="1" customHeight="1" x14ac:dyDescent="0.3">
      <c r="A74" t="s">
        <v>49</v>
      </c>
      <c r="B74" s="2">
        <v>45292</v>
      </c>
      <c r="C74" t="str" cm="1">
        <f t="array" ref="C74">IFERROR(IF(SUMPRODUCT((measured[Site Name]=A74)*(measured[Date]=B74)*ISNUMBER(measured[Measured Value (kWh)]))=0,"",SUMIFS(measured[Measured Value (kWh)],measured[Site Name],A74,measured[Date],B74)),"")</f>
        <v/>
      </c>
      <c r="D74" cm="1">
        <f t="array" ref="D74">IFERROR(IF(SUMPRODUCT((expected_production[Site Name]=A74)*(expected_production[Date]=B74)*ISNUMBER(expected_production[Expected Production (kWh)]))=0,"",SUMIFS(expected_production[Expected Production (kWh)],expected_production[Site Name],A74,expected_production[Date],B74)),"")</f>
        <v>4801.5</v>
      </c>
      <c r="E74" s="9" t="str">
        <f t="shared" si="2"/>
        <v/>
      </c>
      <c r="F74" t="str">
        <f t="shared" si="3"/>
        <v/>
      </c>
    </row>
    <row r="75" spans="1:7" ht="15" hidden="1" customHeight="1" x14ac:dyDescent="0.3">
      <c r="A75" t="s">
        <v>49</v>
      </c>
      <c r="B75" s="2">
        <v>45323</v>
      </c>
      <c r="C75" t="str" cm="1">
        <f t="array" ref="C75">IFERROR(IF(SUMPRODUCT((measured[Site Name]=A75)*(measured[Date]=B75)*ISNUMBER(measured[Measured Value (kWh)]))=0,"",SUMIFS(measured[Measured Value (kWh)],measured[Site Name],A75,measured[Date],B75)),"")</f>
        <v/>
      </c>
      <c r="D75" cm="1">
        <f t="array" ref="D75">IFERROR(IF(SUMPRODUCT((expected_production[Site Name]=A75)*(expected_production[Date]=B75)*ISNUMBER(expected_production[Expected Production (kWh)]))=0,"",SUMIFS(expected_production[Expected Production (kWh)],expected_production[Site Name],A75,expected_production[Date],B75)),"")</f>
        <v>4303.8</v>
      </c>
      <c r="E75" s="9" t="str">
        <f t="shared" si="2"/>
        <v/>
      </c>
      <c r="F75" t="str">
        <f t="shared" si="3"/>
        <v/>
      </c>
    </row>
    <row r="76" spans="1:7" ht="15" hidden="1" customHeight="1" x14ac:dyDescent="0.3">
      <c r="A76" t="s">
        <v>49</v>
      </c>
      <c r="B76" s="2">
        <v>45352</v>
      </c>
      <c r="C76" t="str" cm="1">
        <f t="array" ref="C76">IFERROR(IF(SUMPRODUCT((measured[Site Name]=A76)*(measured[Date]=B76)*ISNUMBER(measured[Measured Value (kWh)]))=0,"",SUMIFS(measured[Measured Value (kWh)],measured[Site Name],A76,measured[Date],B76)),"")</f>
        <v/>
      </c>
      <c r="D76" cm="1">
        <f t="array" ref="D76">IFERROR(IF(SUMPRODUCT((expected_production[Site Name]=A76)*(expected_production[Date]=B76)*ISNUMBER(expected_production[Expected Production (kWh)]))=0,"",SUMIFS(expected_production[Expected Production (kWh)],expected_production[Site Name],A76,expected_production[Date],B76)),"")</f>
        <v>4545.8999999999996</v>
      </c>
      <c r="E76" s="9" t="str">
        <f t="shared" si="2"/>
        <v/>
      </c>
      <c r="F76" t="str">
        <f t="shared" si="3"/>
        <v/>
      </c>
    </row>
    <row r="77" spans="1:7" ht="15" hidden="1" customHeight="1" x14ac:dyDescent="0.3">
      <c r="A77" t="s">
        <v>49</v>
      </c>
      <c r="B77" s="2">
        <v>45383</v>
      </c>
      <c r="C77" t="str" cm="1">
        <f t="array" ref="C77">IFERROR(IF(SUMPRODUCT((measured[Site Name]=A77)*(measured[Date]=B77)*ISNUMBER(measured[Measured Value (kWh)]))=0,"",SUMIFS(measured[Measured Value (kWh)],measured[Site Name],A77,measured[Date],B77)),"")</f>
        <v/>
      </c>
      <c r="D77" cm="1">
        <f t="array" ref="D77">IFERROR(IF(SUMPRODUCT((expected_production[Site Name]=A77)*(expected_production[Date]=B77)*ISNUMBER(expected_production[Expected Production (kWh)]))=0,"",SUMIFS(expected_production[Expected Production (kWh)],expected_production[Site Name],A77,expected_production[Date],B77)),"")</f>
        <v>4619.7</v>
      </c>
      <c r="E77" s="9" t="str">
        <f t="shared" si="2"/>
        <v/>
      </c>
      <c r="F77" t="str">
        <f t="shared" si="3"/>
        <v/>
      </c>
    </row>
    <row r="78" spans="1:7" ht="15" hidden="1" customHeight="1" x14ac:dyDescent="0.3">
      <c r="A78" t="s">
        <v>49</v>
      </c>
      <c r="B78" s="2">
        <v>45413</v>
      </c>
      <c r="C78" t="str" cm="1">
        <f t="array" ref="C78">IFERROR(IF(SUMPRODUCT((measured[Site Name]=A78)*(measured[Date]=B78)*ISNUMBER(measured[Measured Value (kWh)]))=0,"",SUMIFS(measured[Measured Value (kWh)],measured[Site Name],A78,measured[Date],B78)),"")</f>
        <v/>
      </c>
      <c r="D78" cm="1">
        <f t="array" ref="D78">IFERROR(IF(SUMPRODUCT((expected_production[Site Name]=A78)*(expected_production[Date]=B78)*ISNUMBER(expected_production[Expected Production (kWh)]))=0,"",SUMIFS(expected_production[Expected Production (kWh)],expected_production[Site Name],A78,expected_production[Date],B78)),"")</f>
        <v>4990.5</v>
      </c>
      <c r="E78" s="9" t="str">
        <f t="shared" si="2"/>
        <v/>
      </c>
      <c r="F78" t="str">
        <f t="shared" si="3"/>
        <v/>
      </c>
    </row>
    <row r="79" spans="1:7" ht="15" hidden="1" customHeight="1" x14ac:dyDescent="0.3">
      <c r="A79" t="s">
        <v>49</v>
      </c>
      <c r="B79" s="2">
        <v>45444</v>
      </c>
      <c r="C79" t="str" cm="1">
        <f t="array" ref="C79">IFERROR(IF(SUMPRODUCT((measured[Site Name]=A79)*(measured[Date]=B79)*ISNUMBER(measured[Measured Value (kWh)]))=0,"",SUMIFS(measured[Measured Value (kWh)],measured[Site Name],A79,measured[Date],B79)),"")</f>
        <v/>
      </c>
      <c r="D79" cm="1">
        <f t="array" ref="D79">IFERROR(IF(SUMPRODUCT((expected_production[Site Name]=A79)*(expected_production[Date]=B79)*ISNUMBER(expected_production[Expected Production (kWh)]))=0,"",SUMIFS(expected_production[Expected Production (kWh)],expected_production[Site Name],A79,expected_production[Date],B79)),"")</f>
        <v>4761.8999999999996</v>
      </c>
      <c r="E79" s="9" t="str">
        <f t="shared" si="2"/>
        <v/>
      </c>
      <c r="F79" t="str">
        <f t="shared" si="3"/>
        <v/>
      </c>
    </row>
    <row r="80" spans="1:7" ht="15" hidden="1" customHeight="1" x14ac:dyDescent="0.3">
      <c r="A80" t="s">
        <v>49</v>
      </c>
      <c r="B80" s="2">
        <v>45474</v>
      </c>
      <c r="C80" t="str" cm="1">
        <f t="array" ref="C80">IFERROR(IF(SUMPRODUCT((measured[Site Name]=A80)*(measured[Date]=B80)*ISNUMBER(measured[Measured Value (kWh)]))=0,"",SUMIFS(measured[Measured Value (kWh)],measured[Site Name],A80,measured[Date],B80)),"")</f>
        <v/>
      </c>
      <c r="D80" cm="1">
        <f t="array" ref="D80">IFERROR(IF(SUMPRODUCT((expected_production[Site Name]=A80)*(expected_production[Date]=B80)*ISNUMBER(expected_production[Expected Production (kWh)]))=0,"",SUMIFS(expected_production[Expected Production (kWh)],expected_production[Site Name],A80,expected_production[Date],B80)),"")</f>
        <v>4680.8999999999996</v>
      </c>
      <c r="E80" s="9" t="str">
        <f t="shared" si="2"/>
        <v/>
      </c>
      <c r="F80" t="str">
        <f t="shared" si="3"/>
        <v/>
      </c>
    </row>
    <row r="81" spans="1:6" ht="15" hidden="1" customHeight="1" x14ac:dyDescent="0.3">
      <c r="A81" t="s">
        <v>49</v>
      </c>
      <c r="B81" s="2">
        <v>45505</v>
      </c>
      <c r="C81" t="str" cm="1">
        <f t="array" ref="C81">IFERROR(IF(SUMPRODUCT((measured[Site Name]=A81)*(measured[Date]=B81)*ISNUMBER(measured[Measured Value (kWh)]))=0,"",SUMIFS(measured[Measured Value (kWh)],measured[Site Name],A81,measured[Date],B81)),"")</f>
        <v/>
      </c>
      <c r="D81" cm="1">
        <f t="array" ref="D81">IFERROR(IF(SUMPRODUCT((expected_production[Site Name]=A81)*(expected_production[Date]=B81)*ISNUMBER(expected_production[Expected Production (kWh)]))=0,"",SUMIFS(expected_production[Expected Production (kWh)],expected_production[Site Name],A81,expected_production[Date],B81)),"")</f>
        <v>5249.7</v>
      </c>
      <c r="E81" s="9" t="str">
        <f t="shared" si="2"/>
        <v/>
      </c>
      <c r="F81" t="str">
        <f t="shared" si="3"/>
        <v/>
      </c>
    </row>
    <row r="82" spans="1:6" ht="15" hidden="1" customHeight="1" x14ac:dyDescent="0.3">
      <c r="A82" t="s">
        <v>49</v>
      </c>
      <c r="B82" s="2">
        <v>45536</v>
      </c>
      <c r="C82" t="str" cm="1">
        <f t="array" ref="C82">IFERROR(IF(SUMPRODUCT((measured[Site Name]=A82)*(measured[Date]=B82)*ISNUMBER(measured[Measured Value (kWh)]))=0,"",SUMIFS(measured[Measured Value (kWh)],measured[Site Name],A82,measured[Date],B82)),"")</f>
        <v/>
      </c>
      <c r="D82" cm="1">
        <f t="array" ref="D82">IFERROR(IF(SUMPRODUCT((expected_production[Site Name]=A82)*(expected_production[Date]=B82)*ISNUMBER(expected_production[Expected Production (kWh)]))=0,"",SUMIFS(expected_production[Expected Production (kWh)],expected_production[Site Name],A82,expected_production[Date],B82)),"")</f>
        <v>4694.3999999999996</v>
      </c>
      <c r="E82" s="9" t="str">
        <f t="shared" si="2"/>
        <v/>
      </c>
      <c r="F82" t="str">
        <f t="shared" si="3"/>
        <v/>
      </c>
    </row>
    <row r="83" spans="1:6" ht="15" hidden="1" customHeight="1" x14ac:dyDescent="0.3">
      <c r="A83" t="s">
        <v>49</v>
      </c>
      <c r="B83" s="2">
        <v>45566</v>
      </c>
      <c r="C83" t="str" cm="1">
        <f t="array" ref="C83">IFERROR(IF(SUMPRODUCT((measured[Site Name]=A83)*(measured[Date]=B83)*ISNUMBER(measured[Measured Value (kWh)]))=0,"",SUMIFS(measured[Measured Value (kWh)],measured[Site Name],A83,measured[Date],B83)),"")</f>
        <v/>
      </c>
      <c r="D83" cm="1">
        <f t="array" ref="D83">IFERROR(IF(SUMPRODUCT((expected_production[Site Name]=A83)*(expected_production[Date]=B83)*ISNUMBER(expected_production[Expected Production (kWh)]))=0,"",SUMIFS(expected_production[Expected Production (kWh)],expected_production[Site Name],A83,expected_production[Date],B83)),"")</f>
        <v>4732.2</v>
      </c>
      <c r="E83" s="9" t="str">
        <f t="shared" si="2"/>
        <v/>
      </c>
      <c r="F83" t="str">
        <f t="shared" si="3"/>
        <v/>
      </c>
    </row>
    <row r="84" spans="1:6" ht="15" hidden="1" customHeight="1" x14ac:dyDescent="0.3">
      <c r="A84" t="s">
        <v>49</v>
      </c>
      <c r="B84" s="2">
        <v>45597</v>
      </c>
      <c r="C84" t="str" cm="1">
        <f t="array" ref="C84">IFERROR(IF(SUMPRODUCT((measured[Site Name]=A84)*(measured[Date]=B84)*ISNUMBER(measured[Measured Value (kWh)]))=0,"",SUMIFS(measured[Measured Value (kWh)],measured[Site Name],A84,measured[Date],B84)),"")</f>
        <v/>
      </c>
      <c r="D84" cm="1">
        <f t="array" ref="D84">IFERROR(IF(SUMPRODUCT((expected_production[Site Name]=A84)*(expected_production[Date]=B84)*ISNUMBER(expected_production[Expected Production (kWh)]))=0,"",SUMIFS(expected_production[Expected Production (kWh)],expected_production[Site Name],A84,expected_production[Date],B84)),"")</f>
        <v>4822.2</v>
      </c>
      <c r="E84" s="9" t="str">
        <f t="shared" si="2"/>
        <v/>
      </c>
      <c r="F84" t="str">
        <f t="shared" si="3"/>
        <v/>
      </c>
    </row>
    <row r="85" spans="1:6" ht="15" hidden="1" customHeight="1" x14ac:dyDescent="0.3">
      <c r="A85" t="s">
        <v>49</v>
      </c>
      <c r="B85" s="2">
        <v>45627</v>
      </c>
      <c r="C85" t="str" cm="1">
        <f t="array" ref="C85">IFERROR(IF(SUMPRODUCT((measured[Site Name]=A85)*(measured[Date]=B85)*ISNUMBER(measured[Measured Value (kWh)]))=0,"",SUMIFS(measured[Measured Value (kWh)],measured[Site Name],A85,measured[Date],B85)),"")</f>
        <v/>
      </c>
      <c r="D85" cm="1">
        <f t="array" ref="D85">IFERROR(IF(SUMPRODUCT((expected_production[Site Name]=A85)*(expected_production[Date]=B85)*ISNUMBER(expected_production[Expected Production (kWh)]))=0,"",SUMIFS(expected_production[Expected Production (kWh)],expected_production[Site Name],A85,expected_production[Date],B85)),"")</f>
        <v>4805.1000000000004</v>
      </c>
      <c r="E85" s="9" t="str">
        <f t="shared" si="2"/>
        <v/>
      </c>
      <c r="F85" t="str">
        <f t="shared" si="3"/>
        <v/>
      </c>
    </row>
    <row r="86" spans="1:6" ht="15" hidden="1" customHeight="1" x14ac:dyDescent="0.3">
      <c r="A86" t="s">
        <v>49</v>
      </c>
      <c r="B86" s="2">
        <v>45658</v>
      </c>
      <c r="C86" cm="1">
        <f t="array" ref="C86">IFERROR(IF(SUMPRODUCT((measured[Site Name]=A86)*(measured[Date]=B86)*ISNUMBER(measured[Measured Value (kWh)]))=0,"",SUMIFS(measured[Measured Value (kWh)],measured[Site Name],A86,measured[Date],B86)),"")</f>
        <v>2400</v>
      </c>
      <c r="D86" cm="1">
        <f t="array" ref="D86">IFERROR(IF(SUMPRODUCT((expected_production[Site Name]=A86)*(expected_production[Date]=B86)*ISNUMBER(expected_production[Expected Production (kWh)]))=0,"",SUMIFS(expected_production[Expected Production (kWh)],expected_production[Site Name],A86,expected_production[Date],B86)),"")</f>
        <v>4801.5</v>
      </c>
      <c r="E86" s="9">
        <f t="shared" si="2"/>
        <v>0.499843798812871</v>
      </c>
      <c r="F86" t="str">
        <f t="shared" si="3"/>
        <v>Poor</v>
      </c>
    </row>
    <row r="87" spans="1:6" ht="15" hidden="1" customHeight="1" x14ac:dyDescent="0.3">
      <c r="A87" t="s">
        <v>49</v>
      </c>
      <c r="B87" s="2">
        <v>45689</v>
      </c>
      <c r="C87" cm="1">
        <f t="array" ref="C87">IFERROR(IF(SUMPRODUCT((measured[Site Name]=A87)*(measured[Date]=B87)*ISNUMBER(measured[Measured Value (kWh)]))=0,"",SUMIFS(measured[Measured Value (kWh)],measured[Site Name],A87,measured[Date],B87)),"")</f>
        <v>3000</v>
      </c>
      <c r="D87" cm="1">
        <f t="array" ref="D87">IFERROR(IF(SUMPRODUCT((expected_production[Site Name]=A87)*(expected_production[Date]=B87)*ISNUMBER(expected_production[Expected Production (kWh)]))=0,"",SUMIFS(expected_production[Expected Production (kWh)],expected_production[Site Name],A87,expected_production[Date],B87)),"")</f>
        <v>4301.2348272606514</v>
      </c>
      <c r="E87" s="9">
        <f t="shared" si="2"/>
        <v>0.69747412556654687</v>
      </c>
      <c r="F87" t="str">
        <f t="shared" si="3"/>
        <v>Poor</v>
      </c>
    </row>
    <row r="88" spans="1:6" ht="15" hidden="1" customHeight="1" x14ac:dyDescent="0.3">
      <c r="A88" t="s">
        <v>49</v>
      </c>
      <c r="B88" s="2">
        <v>45717</v>
      </c>
      <c r="C88" cm="1">
        <f t="array" ref="C88">IFERROR(IF(SUMPRODUCT((measured[Site Name]=A88)*(measured[Date]=B88)*ISNUMBER(measured[Measured Value (kWh)]))=0,"",SUMIFS(measured[Measured Value (kWh)],measured[Site Name],A88,measured[Date],B88)),"")</f>
        <v>3144</v>
      </c>
      <c r="D88" cm="1">
        <f t="array" ref="D88">IFERROR(IF(SUMPRODUCT((expected_production[Site Name]=A88)*(expected_production[Date]=B88)*ISNUMBER(expected_production[Expected Production (kWh)]))=0,"",SUMIFS(expected_production[Expected Production (kWh)],expected_production[Site Name],A88,expected_production[Date],B88)),"")</f>
        <v>4540.7446540698284</v>
      </c>
      <c r="E88" s="9">
        <f t="shared" si="2"/>
        <v>0.69239744568813422</v>
      </c>
      <c r="F88" t="str">
        <f t="shared" si="3"/>
        <v>Poor</v>
      </c>
    </row>
    <row r="89" spans="1:6" ht="15" hidden="1" customHeight="1" x14ac:dyDescent="0.3">
      <c r="A89" t="s">
        <v>49</v>
      </c>
      <c r="B89" s="2">
        <v>45748</v>
      </c>
      <c r="C89" cm="1">
        <f t="array" ref="C89">IFERROR(IF(SUMPRODUCT((measured[Site Name]=A89)*(measured[Date]=B89)*ISNUMBER(measured[Measured Value (kWh)]))=0,"",SUMIFS(measured[Measured Value (kWh)],measured[Site Name],A89,measured[Date],B89)),"")</f>
        <v>2310</v>
      </c>
      <c r="D89" cm="1">
        <f t="array" ref="D89">IFERROR(IF(SUMPRODUCT((expected_production[Site Name]=A89)*(expected_production[Date]=B89)*ISNUMBER(expected_production[Expected Production (kWh)]))=0,"",SUMIFS(expected_production[Expected Production (kWh)],expected_production[Site Name],A89,expected_production[Date],B89)),"")</f>
        <v>4611.7106256123834</v>
      </c>
      <c r="E89" s="9">
        <f t="shared" si="2"/>
        <v>0.50089873097648185</v>
      </c>
      <c r="F89" t="str">
        <f t="shared" si="3"/>
        <v>Poor</v>
      </c>
    </row>
    <row r="90" spans="1:6" ht="15" hidden="1" customHeight="1" x14ac:dyDescent="0.3">
      <c r="A90" t="s">
        <v>49</v>
      </c>
      <c r="B90" s="2">
        <v>45778</v>
      </c>
      <c r="C90" cm="1">
        <f t="array" ref="C90">IFERROR(IF(SUMPRODUCT((measured[Site Name]=A90)*(measured[Date]=B90)*ISNUMBER(measured[Measured Value (kWh)]))=0,"",SUMIFS(measured[Measured Value (kWh)],measured[Site Name],A90,measured[Date],B90)),"")</f>
        <v>3866</v>
      </c>
      <c r="D90" cm="1">
        <f t="array" ref="D90">IFERROR(IF(SUMPRODUCT((expected_production[Site Name]=A90)*(expected_production[Date]=B90)*ISNUMBER(expected_production[Expected Production (kWh)]))=0,"",SUMIFS(expected_production[Expected Production (kWh)],expected_production[Site Name],A90,expected_production[Date],B90)),"")</f>
        <v>4978.9957966319989</v>
      </c>
      <c r="E90" s="9">
        <f t="shared" si="2"/>
        <v>0.7764617922785001</v>
      </c>
      <c r="F90" t="str">
        <f t="shared" si="3"/>
        <v>Moderate</v>
      </c>
    </row>
    <row r="91" spans="1:6" ht="15" hidden="1" customHeight="1" x14ac:dyDescent="0.3">
      <c r="A91" t="s">
        <v>49</v>
      </c>
      <c r="B91" s="2">
        <v>45809</v>
      </c>
      <c r="C91" cm="1">
        <f t="array" ref="C91">IFERROR(IF(SUMPRODUCT((measured[Site Name]=A91)*(measured[Date]=B91)*ISNUMBER(measured[Measured Value (kWh)]))=0,"",SUMIFS(measured[Measured Value (kWh)],measured[Site Name],A91,measured[Date],B91)),"")</f>
        <v>3102</v>
      </c>
      <c r="D91" cm="1">
        <f t="array" ref="D91">IFERROR(IF(SUMPRODUCT((expected_production[Site Name]=A91)*(expected_production[Date]=B91)*ISNUMBER(expected_production[Expected Production (kWh)]))=0,"",SUMIFS(expected_production[Expected Production (kWh)],expected_production[Site Name],A91,expected_production[Date],B91)),"")</f>
        <v>4748.0911009353467</v>
      </c>
      <c r="E91" s="9">
        <f t="shared" si="2"/>
        <v>0.65331518162929181</v>
      </c>
      <c r="F91" t="str">
        <f t="shared" si="3"/>
        <v>Poor</v>
      </c>
    </row>
    <row r="92" spans="1:6" ht="15" hidden="1" customHeight="1" x14ac:dyDescent="0.3">
      <c r="A92" t="s">
        <v>49</v>
      </c>
      <c r="B92" s="2">
        <v>45839</v>
      </c>
      <c r="C92" t="str" cm="1">
        <f t="array" ref="C92">IFERROR(IF(SUMPRODUCT((measured[Site Name]=A92)*(measured[Date]=B92)*ISNUMBER(measured[Measured Value (kWh)]))=0,"",SUMIFS(measured[Measured Value (kWh)],measured[Site Name],A92,measured[Date],B92)),"")</f>
        <v/>
      </c>
      <c r="D92" cm="1">
        <f t="array" ref="D92">IFERROR(IF(SUMPRODUCT((expected_production[Site Name]=A92)*(expected_production[Date]=B92)*ISNUMBER(expected_production[Expected Production (kWh)]))=0,"",SUMIFS(expected_production[Expected Production (kWh)],expected_production[Site Name],A92,expected_production[Date],B92)),"")</f>
        <v>4664.6338581931805</v>
      </c>
      <c r="E92" s="9" t="str">
        <f t="shared" si="2"/>
        <v/>
      </c>
      <c r="F92" t="str">
        <f t="shared" si="3"/>
        <v/>
      </c>
    </row>
    <row r="93" spans="1:6" ht="15" hidden="1" customHeight="1" x14ac:dyDescent="0.3">
      <c r="A93" t="s">
        <v>49</v>
      </c>
      <c r="B93" s="2">
        <v>45870</v>
      </c>
      <c r="C93" cm="1">
        <f t="array" ref="C93">IFERROR(IF(SUMPRODUCT((measured[Site Name]=A93)*(measured[Date]=B93)*ISNUMBER(measured[Measured Value (kWh)]))=0,"",SUMIFS(measured[Measured Value (kWh)],measured[Site Name],A93,measured[Date],B93)),"")</f>
        <v>4721</v>
      </c>
      <c r="D93" cm="1">
        <f t="array" ref="D93">IFERROR(IF(SUMPRODUCT((expected_production[Site Name]=A93)*(expected_production[Date]=B93)*ISNUMBER(expected_production[Expected Production (kWh)]))=0,"",SUMIFS(expected_production[Expected Production (kWh)],expected_production[Site Name],A93,expected_production[Date],B93)),"")</f>
        <v>5228.3391967129164</v>
      </c>
      <c r="E93" s="9">
        <f t="shared" si="2"/>
        <v>0.90296360323525238</v>
      </c>
      <c r="F93" t="str">
        <f t="shared" si="3"/>
        <v>Expected</v>
      </c>
    </row>
    <row r="94" spans="1:6" ht="15" hidden="1" customHeight="1" x14ac:dyDescent="0.3">
      <c r="A94" t="s">
        <v>49</v>
      </c>
      <c r="B94" s="2">
        <v>45901</v>
      </c>
      <c r="C94" cm="1">
        <f t="array" ref="C94">IFERROR(IF(SUMPRODUCT((measured[Site Name]=A94)*(measured[Date]=B94)*ISNUMBER(measured[Measured Value (kWh)]))=0,"",SUMIFS(measured[Measured Value (kWh)],measured[Site Name],A94,measured[Date],B94)),"")</f>
        <v>4200</v>
      </c>
      <c r="D94" cm="1">
        <f t="array" ref="D94">IFERROR(IF(SUMPRODUCT((expected_production[Site Name]=A94)*(expected_production[Date]=B94)*ISNUMBER(expected_production[Expected Production (kWh)]))=0,"",SUMIFS(expected_production[Expected Production (kWh)],expected_production[Site Name],A94,expected_production[Date],B94)),"")</f>
        <v>4672.512093230951</v>
      </c>
      <c r="E94" s="9">
        <f t="shared" si="2"/>
        <v>0.89887407805418473</v>
      </c>
      <c r="F94" t="str">
        <f t="shared" si="3"/>
        <v>Moderate</v>
      </c>
    </row>
    <row r="95" spans="1:6" ht="15" hidden="1" customHeight="1" x14ac:dyDescent="0.3">
      <c r="A95" t="s">
        <v>49</v>
      </c>
      <c r="B95" s="2">
        <v>45931</v>
      </c>
      <c r="C95" cm="1">
        <f t="array" ref="C95">IFERROR(IF(SUMPRODUCT((measured[Site Name]=A95)*(measured[Date]=B95)*ISNUMBER(measured[Measured Value (kWh)]))=0,"",SUMIFS(measured[Measured Value (kWh)],measured[Site Name],A95,measured[Date],B95)),"")</f>
        <v>3499</v>
      </c>
      <c r="D95" cm="1">
        <f t="array" ref="D95">IFERROR(IF(SUMPRODUCT((expected_production[Site Name]=A95)*(expected_production[Date]=B95)*ISNUMBER(expected_production[Expected Production (kWh)]))=0,"",SUMIFS(expected_production[Expected Production (kWh)],expected_production[Site Name],A95,expected_production[Date],B95)),"")</f>
        <v>4707.4190233349309</v>
      </c>
      <c r="E95" s="9">
        <f t="shared" si="2"/>
        <v>0.7432947826941404</v>
      </c>
      <c r="F95" t="str">
        <f t="shared" si="3"/>
        <v>Moderate</v>
      </c>
    </row>
    <row r="96" spans="1:6" ht="15" hidden="1" customHeight="1" x14ac:dyDescent="0.3">
      <c r="A96" t="s">
        <v>49</v>
      </c>
      <c r="B96" s="2">
        <v>45962</v>
      </c>
      <c r="C96" cm="1">
        <f t="array" ref="C96">IFERROR(IF(SUMPRODUCT((measured[Site Name]=A96)*(measured[Date]=B96)*ISNUMBER(measured[Measured Value (kWh)]))=0,"",SUMIFS(measured[Measured Value (kWh)],measured[Site Name],A96,measured[Date],B96)),"")</f>
        <v>4045</v>
      </c>
      <c r="D96" cm="1">
        <f t="array" ref="D96">IFERROR(IF(SUMPRODUCT((expected_production[Site Name]=A96)*(expected_production[Date]=B96)*ISNUMBER(expected_production[Expected Production (kWh)]))=0,"",SUMIFS(expected_production[Expected Production (kWh)],expected_production[Site Name],A96,expected_production[Date],B96)),"")</f>
        <v>4794.0886217535226</v>
      </c>
      <c r="E96" s="9">
        <f t="shared" ref="E96:E159" si="4">IF(OR(C96="",D96="",D96=0),"",C96/D96)</f>
        <v>0.84374743963754051</v>
      </c>
      <c r="F96" t="str">
        <f t="shared" ref="F96:F159" si="5">IF(E96="","",IF(E96&gt;=0.9,"Expected",IF(E96&gt;=0.7,"Moderate","Poor")))</f>
        <v>Moderate</v>
      </c>
    </row>
    <row r="97" spans="1:7" ht="15" hidden="1" customHeight="1" x14ac:dyDescent="0.3">
      <c r="A97" t="s">
        <v>49</v>
      </c>
      <c r="B97" s="2">
        <v>45992</v>
      </c>
      <c r="C97" cm="1">
        <f t="array" ref="C97">IFERROR(IF(SUMPRODUCT((measured[Site Name]=A97)*(measured[Date]=B97)*ISNUMBER(measured[Measured Value (kWh)]))=0,"",SUMIFS(measured[Measured Value (kWh)],measured[Site Name],A97,measured[Date],B97)),"")</f>
        <v>4277</v>
      </c>
      <c r="D97" cm="1">
        <f t="array" ref="D97">IFERROR(IF(SUMPRODUCT((expected_production[Site Name]=A97)*(expected_production[Date]=B97)*ISNUMBER(expected_production[Expected Production (kWh)]))=0,"",SUMIFS(expected_production[Expected Production (kWh)],expected_production[Site Name],A97,expected_production[Date],B97)),"")</f>
        <v>4774.3328637972108</v>
      </c>
      <c r="E97" s="9">
        <f t="shared" si="4"/>
        <v>0.89583196689774525</v>
      </c>
      <c r="F97" t="str">
        <f t="shared" si="5"/>
        <v>Moderate</v>
      </c>
    </row>
    <row r="98" spans="1:7" ht="15" hidden="1" customHeight="1" x14ac:dyDescent="0.3">
      <c r="A98" t="s">
        <v>49</v>
      </c>
      <c r="B98" s="2">
        <v>46023</v>
      </c>
      <c r="C98" cm="1">
        <f t="array" ref="C98">IFERROR(IF(SUMPRODUCT((measured[Site Name]=A98)*(measured[Date]=B98)*ISNUMBER(measured[Measured Value (kWh)]))=0,"",SUMIFS(measured[Measured Value (kWh)],measured[Site Name],A98,measured[Date],B98)),"")</f>
        <v>3071</v>
      </c>
      <c r="D98" cm="1">
        <f t="array" ref="D98">IFERROR(IF(SUMPRODUCT((expected_production[Site Name]=A98)*(expected_production[Date]=B98)*ISNUMBER(expected_production[Expected Production (kWh)]))=0,"",SUMIFS(expected_production[Expected Production (kWh)],expected_production[Site Name],A98,expected_production[Date],B98)),"")</f>
        <v>4767.9124244820787</v>
      </c>
      <c r="E98" s="9">
        <f t="shared" si="4"/>
        <v>0.64409740083126454</v>
      </c>
      <c r="F98" t="str">
        <f t="shared" si="5"/>
        <v>Poor</v>
      </c>
    </row>
    <row r="99" spans="1:7" ht="15" hidden="1" customHeight="1" x14ac:dyDescent="0.3">
      <c r="A99" t="s">
        <v>49</v>
      </c>
      <c r="B99" s="2">
        <v>46054</v>
      </c>
      <c r="C99" cm="1">
        <f t="array" ref="C99">IFERROR(IF(SUMPRODUCT((measured[Site Name]=A99)*(measured[Date]=B99)*ISNUMBER(measured[Measured Value (kWh)]))=0,"",SUMIFS(measured[Measured Value (kWh)],measured[Site Name],A99,measured[Date],B99)),"")</f>
        <v>3013</v>
      </c>
      <c r="D99" cm="1">
        <f t="array" ref="D99">IFERROR(IF(SUMPRODUCT((expected_production[Site Name]=A99)*(expected_production[Date]=B99)*ISNUMBER(expected_production[Expected Production (kWh)]))=0,"",SUMIFS(expected_production[Expected Production (kWh)],expected_production[Site Name],A99,expected_production[Date],B99)),"")</f>
        <v>4271.1467194649767</v>
      </c>
      <c r="E99" s="9">
        <f t="shared" si="4"/>
        <v>0.7054311635488425</v>
      </c>
      <c r="F99" t="str">
        <f t="shared" si="5"/>
        <v>Moderate</v>
      </c>
    </row>
    <row r="100" spans="1:7" ht="15" hidden="1" customHeight="1" x14ac:dyDescent="0.3">
      <c r="A100" t="s">
        <v>49</v>
      </c>
      <c r="B100" s="2">
        <v>46082</v>
      </c>
      <c r="C100" cm="1">
        <f t="array" ref="C100">IFERROR(IF(SUMPRODUCT((measured[Site Name]=A100)*(measured[Date]=B100)*ISNUMBER(measured[Measured Value (kWh)]))=0,"",SUMIFS(measured[Measured Value (kWh)],measured[Site Name],A100,measured[Date],B100)),"")</f>
        <v>2340.8000000000002</v>
      </c>
      <c r="D100" cm="1">
        <f t="array" ref="D100">IFERROR(IF(SUMPRODUCT((expected_production[Site Name]=A100)*(expected_production[Date]=B100)*ISNUMBER(expected_production[Expected Production (kWh)]))=0,"",SUMIFS(expected_production[Expected Production (kWh)],expected_production[Site Name],A100,expected_production[Date],B100)),"")</f>
        <v>4508.981121012208</v>
      </c>
      <c r="E100" s="9">
        <f t="shared" si="4"/>
        <v>0.51914167240392461</v>
      </c>
      <c r="F100" t="str">
        <f t="shared" si="5"/>
        <v>Poor</v>
      </c>
    </row>
    <row r="101" spans="1:7" ht="15" hidden="1" customHeight="1" x14ac:dyDescent="0.3">
      <c r="A101" t="s">
        <v>49</v>
      </c>
      <c r="B101" s="2">
        <v>46113</v>
      </c>
      <c r="C101" cm="1">
        <f t="array" ref="C101">IFERROR(IF(SUMPRODUCT((measured[Site Name]=A101)*(measured[Date]=B101)*ISNUMBER(measured[Measured Value (kWh)]))=0,"",SUMIFS(measured[Measured Value (kWh)],measured[Site Name],A101,measured[Date],B101)),"")</f>
        <v>1505.4</v>
      </c>
      <c r="D101" cm="1">
        <f t="array" ref="D101">IFERROR(IF(SUMPRODUCT((expected_production[Site Name]=A101)*(expected_production[Date]=B101)*ISNUMBER(expected_production[Expected Production (kWh)]))=0,"",SUMIFS(expected_production[Expected Production (kWh)],expected_production[Site Name],A101,expected_production[Date],B101)),"")</f>
        <v>4579.4506695768623</v>
      </c>
      <c r="E101" s="9">
        <f t="shared" si="4"/>
        <v>0.32872938450914635</v>
      </c>
      <c r="F101" t="str">
        <f t="shared" si="5"/>
        <v>Poor</v>
      </c>
    </row>
    <row r="102" spans="1:7" ht="15" hidden="1" customHeight="1" x14ac:dyDescent="0.3">
      <c r="A102" t="s">
        <v>49</v>
      </c>
      <c r="B102" s="2">
        <v>46143</v>
      </c>
      <c r="C102" cm="1">
        <f t="array" ref="C102">IFERROR(IF(SUMPRODUCT((measured[Site Name]=A102)*(measured[Date]=B102)*ISNUMBER(measured[Measured Value (kWh)]))=0,"",SUMIFS(measured[Measured Value (kWh)],measured[Site Name],A102,measured[Date],B102)),"")</f>
        <v>1467</v>
      </c>
      <c r="D102" cm="1">
        <f t="array" ref="D102">IFERROR(IF(SUMPRODUCT((expected_production[Site Name]=A102)*(expected_production[Date]=B102)*ISNUMBER(expected_production[Expected Production (kWh)]))=0,"",SUMIFS(expected_production[Expected Production (kWh)],expected_production[Site Name],A102,expected_production[Date],B102)),"")</f>
        <v>4944.1665979809959</v>
      </c>
      <c r="E102" s="9">
        <f t="shared" si="4"/>
        <v>0.2967133026219354</v>
      </c>
      <c r="F102" t="str">
        <f t="shared" si="5"/>
        <v>Poor</v>
      </c>
    </row>
    <row r="103" spans="1:7" ht="15" hidden="1" customHeight="1" x14ac:dyDescent="0.3">
      <c r="A103" t="s">
        <v>49</v>
      </c>
      <c r="B103" s="2">
        <v>46174</v>
      </c>
      <c r="C103" cm="1">
        <f t="array" ref="C103">IFERROR(IF(SUMPRODUCT((measured[Site Name]=A103)*(measured[Date]=B103)*ISNUMBER(measured[Measured Value (kWh)]))=0,"",SUMIFS(measured[Measured Value (kWh)],measured[Site Name],A103,measured[Date],B103)),"")</f>
        <v>2778</v>
      </c>
      <c r="D103" cm="1">
        <f t="array" ref="D103">IFERROR(IF(SUMPRODUCT((expected_production[Site Name]=A103)*(expected_production[Date]=B103)*ISNUMBER(expected_production[Expected Production (kWh)]))=0,"",SUMIFS(expected_production[Expected Production (kWh)],expected_production[Site Name],A103,expected_production[Date],B103)),"")</f>
        <v>4714.8771327132008</v>
      </c>
      <c r="E103" s="9">
        <f t="shared" si="4"/>
        <v>0.58919881087153281</v>
      </c>
      <c r="F103" t="str">
        <f t="shared" si="5"/>
        <v>Poor</v>
      </c>
    </row>
    <row r="104" spans="1:7" ht="15" hidden="1" customHeight="1" x14ac:dyDescent="0.3">
      <c r="A104" t="s">
        <v>49</v>
      </c>
      <c r="B104" s="2">
        <v>46204</v>
      </c>
      <c r="C104" cm="1">
        <f t="array" ref="C104">IFERROR(IF(SUMPRODUCT((measured[Site Name]=A104)*(measured[Date]=B104)*ISNUMBER(measured[Measured Value (kWh)]))=0,"",SUMIFS(measured[Measured Value (kWh)],measured[Site Name],A104,measured[Date],B104)),"")</f>
        <v>2644</v>
      </c>
      <c r="D104" cm="1">
        <f t="array" ref="D104">IFERROR(IF(SUMPRODUCT((expected_production[Site Name]=A104)*(expected_production[Date]=B104)*ISNUMBER(expected_production[Expected Production (kWh)]))=0,"",SUMIFS(expected_production[Expected Production (kWh)],expected_production[Site Name],A104,expected_production[Date],B104)),"")</f>
        <v>4632.0036922084846</v>
      </c>
      <c r="E104" s="9">
        <f t="shared" si="4"/>
        <v>0.57081128938810755</v>
      </c>
      <c r="F104" t="str">
        <f t="shared" si="5"/>
        <v>Poor</v>
      </c>
      <c r="G104" t="s">
        <v>874</v>
      </c>
    </row>
    <row r="105" spans="1:7" ht="15" hidden="1" customHeight="1" x14ac:dyDescent="0.3">
      <c r="A105" t="s">
        <v>49</v>
      </c>
      <c r="B105" s="2">
        <v>46235</v>
      </c>
      <c r="C105" cm="1">
        <f t="array" ref="C105">IFERROR(IF(SUMPRODUCT((measured[Site Name]=A105)*(measured[Date]=B105)*ISNUMBER(measured[Measured Value (kWh)]))=0,"",SUMIFS(measured[Measured Value (kWh)],measured[Site Name],A105,measured[Date],B105)),"")</f>
        <v>2758</v>
      </c>
      <c r="D105" cm="1">
        <f t="array" ref="D105">IFERROR(IF(SUMPRODUCT((expected_production[Site Name]=A105)*(expected_production[Date]=B105)*ISNUMBER(expected_production[Expected Production (kWh)]))=0,"",SUMIFS(expected_production[Expected Production (kWh)],expected_production[Site Name],A105,expected_production[Date],B105)),"")</f>
        <v>5191.7657847368873</v>
      </c>
      <c r="E105" s="9">
        <f t="shared" si="4"/>
        <v>0.53122581301879213</v>
      </c>
      <c r="F105" t="str">
        <f t="shared" si="5"/>
        <v>Poor</v>
      </c>
      <c r="G105" t="s">
        <v>874</v>
      </c>
    </row>
    <row r="106" spans="1:7" ht="15" customHeight="1" x14ac:dyDescent="0.3">
      <c r="A106" t="s">
        <v>49</v>
      </c>
      <c r="B106" s="2">
        <v>46266</v>
      </c>
      <c r="C106" cm="1">
        <f t="array" ref="C106">IFERROR(IF(SUMPRODUCT((measured[Site Name]=A106)*(measured[Date]=B106)*ISNUMBER(measured[Measured Value (kWh)]))=0,"",SUMIFS(measured[Measured Value (kWh)],measured[Site Name],A106,measured[Date],B106)),"")</f>
        <v>2338</v>
      </c>
      <c r="D106" cm="1">
        <f t="array" ref="D106">IFERROR(IF(SUMPRODUCT((expected_production[Site Name]=A106)*(expected_production[Date]=B106)*ISNUMBER(expected_production[Expected Production (kWh)]))=0,"",SUMIFS(expected_production[Expected Production (kWh)],expected_production[Site Name],A106,expected_production[Date],B106)),"")</f>
        <v>4639.8268172151656</v>
      </c>
      <c r="E106" s="9">
        <f t="shared" si="4"/>
        <v>0.50389811777571314</v>
      </c>
      <c r="F106" t="str">
        <f t="shared" si="5"/>
        <v>Poor</v>
      </c>
      <c r="G106" t="s">
        <v>874</v>
      </c>
    </row>
    <row r="107" spans="1:7" ht="15" hidden="1" customHeight="1" x14ac:dyDescent="0.3">
      <c r="A107" t="s">
        <v>49</v>
      </c>
      <c r="B107" s="2">
        <v>46296</v>
      </c>
      <c r="C107" t="str" cm="1">
        <f t="array" ref="C107">IFERROR(IF(SUMPRODUCT((measured[Site Name]=A107)*(measured[Date]=B107)*ISNUMBER(measured[Measured Value (kWh)]))=0,"",SUMIFS(measured[Measured Value (kWh)],measured[Site Name],A107,measured[Date],B107)),"")</f>
        <v/>
      </c>
      <c r="D107" cm="1">
        <f t="array" ref="D107">IFERROR(IF(SUMPRODUCT((expected_production[Site Name]=A107)*(expected_production[Date]=B107)*ISNUMBER(expected_production[Expected Production (kWh)]))=0,"",SUMIFS(expected_production[Expected Production (kWh)],expected_production[Site Name],A107,expected_production[Date],B107)),"")</f>
        <v>4674.4895654695229</v>
      </c>
      <c r="E107" s="9" t="str">
        <f t="shared" si="4"/>
        <v/>
      </c>
      <c r="F107" t="str">
        <f t="shared" si="5"/>
        <v/>
      </c>
    </row>
    <row r="108" spans="1:7" ht="15" hidden="1" customHeight="1" x14ac:dyDescent="0.3">
      <c r="A108" t="s">
        <v>49</v>
      </c>
      <c r="B108" s="2">
        <v>46327</v>
      </c>
      <c r="C108" t="str" cm="1">
        <f t="array" ref="C108">IFERROR(IF(SUMPRODUCT((measured[Site Name]=A108)*(measured[Date]=B108)*ISNUMBER(measured[Measured Value (kWh)]))=0,"",SUMIFS(measured[Measured Value (kWh)],measured[Site Name],A108,measured[Date],B108)),"")</f>
        <v/>
      </c>
      <c r="D108" cm="1">
        <f t="array" ref="D108">IFERROR(IF(SUMPRODUCT((expected_production[Site Name]=A108)*(expected_production[Date]=B108)*ISNUMBER(expected_production[Expected Production (kWh)]))=0,"",SUMIFS(expected_production[Expected Production (kWh)],expected_production[Site Name],A108,expected_production[Date],B108)),"")</f>
        <v>4760.5528904981329</v>
      </c>
      <c r="E108" s="9" t="str">
        <f t="shared" si="4"/>
        <v/>
      </c>
      <c r="F108" t="str">
        <f t="shared" si="5"/>
        <v/>
      </c>
    </row>
    <row r="109" spans="1:7" ht="15" hidden="1" customHeight="1" x14ac:dyDescent="0.3">
      <c r="A109" t="s">
        <v>49</v>
      </c>
      <c r="B109" s="2">
        <v>46357</v>
      </c>
      <c r="C109" t="str" cm="1">
        <f t="array" ref="C109">IFERROR(IF(SUMPRODUCT((measured[Site Name]=A109)*(measured[Date]=B109)*ISNUMBER(measured[Measured Value (kWh)]))=0,"",SUMIFS(measured[Measured Value (kWh)],measured[Site Name],A109,measured[Date],B109)),"")</f>
        <v/>
      </c>
      <c r="D109" cm="1">
        <f t="array" ref="D109">IFERROR(IF(SUMPRODUCT((expected_production[Site Name]=A109)*(expected_production[Date]=B109)*ISNUMBER(expected_production[Expected Production (kWh)]))=0,"",SUMIFS(expected_production[Expected Production (kWh)],expected_production[Site Name],A109,expected_production[Date],B109)),"")</f>
        <v>4740.9353285247998</v>
      </c>
      <c r="E109" s="9" t="str">
        <f t="shared" si="4"/>
        <v/>
      </c>
      <c r="F109" t="str">
        <f t="shared" si="5"/>
        <v/>
      </c>
    </row>
    <row r="110" spans="1:7" ht="15" hidden="1" customHeight="1" x14ac:dyDescent="0.3">
      <c r="A110" t="s">
        <v>64</v>
      </c>
      <c r="B110" s="2">
        <v>45292</v>
      </c>
      <c r="C110" t="str" cm="1">
        <f t="array" ref="C110">IFERROR(IF(SUMPRODUCT((measured[Site Name]=A110)*(measured[Date]=B110)*ISNUMBER(measured[Measured Value (kWh)]))=0,"",SUMIFS(measured[Measured Value (kWh)],measured[Site Name],A110,measured[Date],B110)),"")</f>
        <v/>
      </c>
      <c r="D110" cm="1">
        <f t="array" ref="D110">IFERROR(IF(SUMPRODUCT((expected_production[Site Name]=A110)*(expected_production[Date]=B110)*ISNUMBER(expected_production[Expected Production (kWh)]))=0,"",SUMIFS(expected_production[Expected Production (kWh)],expected_production[Site Name],A110,expected_production[Date],B110)),"")</f>
        <v>8151.3</v>
      </c>
      <c r="E110" s="9" t="str">
        <f t="shared" si="4"/>
        <v/>
      </c>
      <c r="F110" t="str">
        <f t="shared" si="5"/>
        <v/>
      </c>
    </row>
    <row r="111" spans="1:7" ht="15" hidden="1" customHeight="1" x14ac:dyDescent="0.3">
      <c r="A111" t="s">
        <v>64</v>
      </c>
      <c r="B111" s="2">
        <v>45323</v>
      </c>
      <c r="C111" t="str" cm="1">
        <f t="array" ref="C111">IFERROR(IF(SUMPRODUCT((measured[Site Name]=A111)*(measured[Date]=B111)*ISNUMBER(measured[Measured Value (kWh)]))=0,"",SUMIFS(measured[Measured Value (kWh)],measured[Site Name],A111,measured[Date],B111)),"")</f>
        <v/>
      </c>
      <c r="D111" cm="1">
        <f t="array" ref="D111">IFERROR(IF(SUMPRODUCT((expected_production[Site Name]=A111)*(expected_production[Date]=B111)*ISNUMBER(expected_production[Expected Production (kWh)]))=0,"",SUMIFS(expected_production[Expected Production (kWh)],expected_production[Site Name],A111,expected_production[Date],B111)),"")</f>
        <v>7235.1</v>
      </c>
      <c r="E111" s="9" t="str">
        <f t="shared" si="4"/>
        <v/>
      </c>
      <c r="F111" t="str">
        <f t="shared" si="5"/>
        <v/>
      </c>
    </row>
    <row r="112" spans="1:7" ht="15" hidden="1" customHeight="1" x14ac:dyDescent="0.3">
      <c r="A112" t="s">
        <v>64</v>
      </c>
      <c r="B112" s="2">
        <v>45352</v>
      </c>
      <c r="C112" t="str" cm="1">
        <f t="array" ref="C112">IFERROR(IF(SUMPRODUCT((measured[Site Name]=A112)*(measured[Date]=B112)*ISNUMBER(measured[Measured Value (kWh)]))=0,"",SUMIFS(measured[Measured Value (kWh)],measured[Site Name],A112,measured[Date],B112)),"")</f>
        <v/>
      </c>
      <c r="D112" cm="1">
        <f t="array" ref="D112">IFERROR(IF(SUMPRODUCT((expected_production[Site Name]=A112)*(expected_production[Date]=B112)*ISNUMBER(expected_production[Expected Production (kWh)]))=0,"",SUMIFS(expected_production[Expected Production (kWh)],expected_production[Site Name],A112,expected_production[Date],B112)),"")</f>
        <v>7075.8</v>
      </c>
      <c r="E112" s="9" t="str">
        <f t="shared" si="4"/>
        <v/>
      </c>
      <c r="F112" t="str">
        <f t="shared" si="5"/>
        <v/>
      </c>
    </row>
    <row r="113" spans="1:6" ht="15" hidden="1" customHeight="1" x14ac:dyDescent="0.3">
      <c r="A113" t="s">
        <v>64</v>
      </c>
      <c r="B113" s="2">
        <v>45383</v>
      </c>
      <c r="C113" t="str" cm="1">
        <f t="array" ref="C113">IFERROR(IF(SUMPRODUCT((measured[Site Name]=A113)*(measured[Date]=B113)*ISNUMBER(measured[Measured Value (kWh)]))=0,"",SUMIFS(measured[Measured Value (kWh)],measured[Site Name],A113,measured[Date],B113)),"")</f>
        <v/>
      </c>
      <c r="D113" cm="1">
        <f t="array" ref="D113">IFERROR(IF(SUMPRODUCT((expected_production[Site Name]=A113)*(expected_production[Date]=B113)*ISNUMBER(expected_production[Expected Production (kWh)]))=0,"",SUMIFS(expected_production[Expected Production (kWh)],expected_production[Site Name],A113,expected_production[Date],B113)),"")</f>
        <v>5754.6</v>
      </c>
      <c r="E113" s="9" t="str">
        <f t="shared" si="4"/>
        <v/>
      </c>
      <c r="F113" t="str">
        <f t="shared" si="5"/>
        <v/>
      </c>
    </row>
    <row r="114" spans="1:6" ht="15" hidden="1" customHeight="1" x14ac:dyDescent="0.3">
      <c r="A114" t="s">
        <v>64</v>
      </c>
      <c r="B114" s="2">
        <v>45413</v>
      </c>
      <c r="C114" t="str" cm="1">
        <f t="array" ref="C114">IFERROR(IF(SUMPRODUCT((measured[Site Name]=A114)*(measured[Date]=B114)*ISNUMBER(measured[Measured Value (kWh)]))=0,"",SUMIFS(measured[Measured Value (kWh)],measured[Site Name],A114,measured[Date],B114)),"")</f>
        <v/>
      </c>
      <c r="D114" cm="1">
        <f t="array" ref="D114">IFERROR(IF(SUMPRODUCT((expected_production[Site Name]=A114)*(expected_production[Date]=B114)*ISNUMBER(expected_production[Expected Production (kWh)]))=0,"",SUMIFS(expected_production[Expected Production (kWh)],expected_production[Site Name],A114,expected_production[Date],B114)),"")</f>
        <v>5424.3</v>
      </c>
      <c r="E114" s="9" t="str">
        <f t="shared" si="4"/>
        <v/>
      </c>
      <c r="F114" t="str">
        <f t="shared" si="5"/>
        <v/>
      </c>
    </row>
    <row r="115" spans="1:6" ht="15" hidden="1" customHeight="1" x14ac:dyDescent="0.3">
      <c r="A115" t="s">
        <v>64</v>
      </c>
      <c r="B115" s="2">
        <v>45444</v>
      </c>
      <c r="C115" t="str" cm="1">
        <f t="array" ref="C115">IFERROR(IF(SUMPRODUCT((measured[Site Name]=A115)*(measured[Date]=B115)*ISNUMBER(measured[Measured Value (kWh)]))=0,"",SUMIFS(measured[Measured Value (kWh)],measured[Site Name],A115,measured[Date],B115)),"")</f>
        <v/>
      </c>
      <c r="D115" cm="1">
        <f t="array" ref="D115">IFERROR(IF(SUMPRODUCT((expected_production[Site Name]=A115)*(expected_production[Date]=B115)*ISNUMBER(expected_production[Expected Production (kWh)]))=0,"",SUMIFS(expected_production[Expected Production (kWh)],expected_production[Site Name],A115,expected_production[Date],B115)),"")</f>
        <v>4787.1000000000004</v>
      </c>
      <c r="E115" s="9" t="str">
        <f t="shared" si="4"/>
        <v/>
      </c>
      <c r="F115" t="str">
        <f t="shared" si="5"/>
        <v/>
      </c>
    </row>
    <row r="116" spans="1:6" ht="15" hidden="1" customHeight="1" x14ac:dyDescent="0.3">
      <c r="A116" t="s">
        <v>64</v>
      </c>
      <c r="B116" s="2">
        <v>45474</v>
      </c>
      <c r="C116" t="str" cm="1">
        <f t="array" ref="C116">IFERROR(IF(SUMPRODUCT((measured[Site Name]=A116)*(measured[Date]=B116)*ISNUMBER(measured[Measured Value (kWh)]))=0,"",SUMIFS(measured[Measured Value (kWh)],measured[Site Name],A116,measured[Date],B116)),"")</f>
        <v/>
      </c>
      <c r="D116" cm="1">
        <f t="array" ref="D116">IFERROR(IF(SUMPRODUCT((expected_production[Site Name]=A116)*(expected_production[Date]=B116)*ISNUMBER(expected_production[Expected Production (kWh)]))=0,"",SUMIFS(expected_production[Expected Production (kWh)],expected_production[Site Name],A116,expected_production[Date],B116)),"")</f>
        <v>5360.4</v>
      </c>
      <c r="E116" s="9" t="str">
        <f t="shared" si="4"/>
        <v/>
      </c>
      <c r="F116" t="str">
        <f t="shared" si="5"/>
        <v/>
      </c>
    </row>
    <row r="117" spans="1:6" ht="15" hidden="1" customHeight="1" x14ac:dyDescent="0.3">
      <c r="A117" t="s">
        <v>64</v>
      </c>
      <c r="B117" s="2">
        <v>45505</v>
      </c>
      <c r="C117" t="str" cm="1">
        <f t="array" ref="C117">IFERROR(IF(SUMPRODUCT((measured[Site Name]=A117)*(measured[Date]=B117)*ISNUMBER(measured[Measured Value (kWh)]))=0,"",SUMIFS(measured[Measured Value (kWh)],measured[Site Name],A117,measured[Date],B117)),"")</f>
        <v/>
      </c>
      <c r="D117" cm="1">
        <f t="array" ref="D117">IFERROR(IF(SUMPRODUCT((expected_production[Site Name]=A117)*(expected_production[Date]=B117)*ISNUMBER(expected_production[Expected Production (kWh)]))=0,"",SUMIFS(expected_production[Expected Production (kWh)],expected_production[Site Name],A117,expected_production[Date],B117)),"")</f>
        <v>6363</v>
      </c>
      <c r="E117" s="9" t="str">
        <f t="shared" si="4"/>
        <v/>
      </c>
      <c r="F117" t="str">
        <f t="shared" si="5"/>
        <v/>
      </c>
    </row>
    <row r="118" spans="1:6" ht="15" hidden="1" customHeight="1" x14ac:dyDescent="0.3">
      <c r="A118" t="s">
        <v>64</v>
      </c>
      <c r="B118" s="2">
        <v>45536</v>
      </c>
      <c r="C118" t="str" cm="1">
        <f t="array" ref="C118">IFERROR(IF(SUMPRODUCT((measured[Site Name]=A118)*(measured[Date]=B118)*ISNUMBER(measured[Measured Value (kWh)]))=0,"",SUMIFS(measured[Measured Value (kWh)],measured[Site Name],A118,measured[Date],B118)),"")</f>
        <v/>
      </c>
      <c r="D118" cm="1">
        <f t="array" ref="D118">IFERROR(IF(SUMPRODUCT((expected_production[Site Name]=A118)*(expected_production[Date]=B118)*ISNUMBER(expected_production[Expected Production (kWh)]))=0,"",SUMIFS(expected_production[Expected Production (kWh)],expected_production[Site Name],A118,expected_production[Date],B118)),"")</f>
        <v>7218.9</v>
      </c>
      <c r="E118" s="9" t="str">
        <f t="shared" si="4"/>
        <v/>
      </c>
      <c r="F118" t="str">
        <f t="shared" si="5"/>
        <v/>
      </c>
    </row>
    <row r="119" spans="1:6" ht="15" hidden="1" customHeight="1" x14ac:dyDescent="0.3">
      <c r="A119" t="s">
        <v>64</v>
      </c>
      <c r="B119" s="2">
        <v>45566</v>
      </c>
      <c r="C119" t="str" cm="1">
        <f t="array" ref="C119">IFERROR(IF(SUMPRODUCT((measured[Site Name]=A119)*(measured[Date]=B119)*ISNUMBER(measured[Measured Value (kWh)]))=0,"",SUMIFS(measured[Measured Value (kWh)],measured[Site Name],A119,measured[Date],B119)),"")</f>
        <v/>
      </c>
      <c r="D119" cm="1">
        <f t="array" ref="D119">IFERROR(IF(SUMPRODUCT((expected_production[Site Name]=A119)*(expected_production[Date]=B119)*ISNUMBER(expected_production[Expected Production (kWh)]))=0,"",SUMIFS(expected_production[Expected Production (kWh)],expected_production[Site Name],A119,expected_production[Date],B119)),"")</f>
        <v>7839</v>
      </c>
      <c r="E119" s="9" t="str">
        <f t="shared" si="4"/>
        <v/>
      </c>
      <c r="F119" t="str">
        <f t="shared" si="5"/>
        <v/>
      </c>
    </row>
    <row r="120" spans="1:6" ht="15" hidden="1" customHeight="1" x14ac:dyDescent="0.3">
      <c r="A120" t="s">
        <v>64</v>
      </c>
      <c r="B120" s="2">
        <v>45597</v>
      </c>
      <c r="C120" t="str" cm="1">
        <f t="array" ref="C120">IFERROR(IF(SUMPRODUCT((measured[Site Name]=A120)*(measured[Date]=B120)*ISNUMBER(measured[Measured Value (kWh)]))=0,"",SUMIFS(measured[Measured Value (kWh)],measured[Site Name],A120,measured[Date],B120)),"")</f>
        <v/>
      </c>
      <c r="D120" cm="1">
        <f t="array" ref="D120">IFERROR(IF(SUMPRODUCT((expected_production[Site Name]=A120)*(expected_production[Date]=B120)*ISNUMBER(expected_production[Expected Production (kWh)]))=0,"",SUMIFS(expected_production[Expected Production (kWh)],expected_production[Site Name],A120,expected_production[Date],B120)),"")</f>
        <v>8191.8</v>
      </c>
      <c r="E120" s="9" t="str">
        <f t="shared" si="4"/>
        <v/>
      </c>
      <c r="F120" t="str">
        <f t="shared" si="5"/>
        <v/>
      </c>
    </row>
    <row r="121" spans="1:6" ht="15" hidden="1" customHeight="1" x14ac:dyDescent="0.3">
      <c r="A121" t="s">
        <v>64</v>
      </c>
      <c r="B121" s="2">
        <v>45627</v>
      </c>
      <c r="C121" t="str" cm="1">
        <f t="array" ref="C121">IFERROR(IF(SUMPRODUCT((measured[Site Name]=A121)*(measured[Date]=B121)*ISNUMBER(measured[Measured Value (kWh)]))=0,"",SUMIFS(measured[Measured Value (kWh)],measured[Site Name],A121,measured[Date],B121)),"")</f>
        <v/>
      </c>
      <c r="D121" cm="1">
        <f t="array" ref="D121">IFERROR(IF(SUMPRODUCT((expected_production[Site Name]=A121)*(expected_production[Date]=B121)*ISNUMBER(expected_production[Expected Production (kWh)]))=0,"",SUMIFS(expected_production[Expected Production (kWh)],expected_production[Site Name],A121,expected_production[Date],B121)),"")</f>
        <v>8225.1103612587794</v>
      </c>
      <c r="E121" s="9" t="str">
        <f t="shared" si="4"/>
        <v/>
      </c>
      <c r="F121" t="str">
        <f t="shared" si="5"/>
        <v/>
      </c>
    </row>
    <row r="122" spans="1:6" ht="15" hidden="1" customHeight="1" x14ac:dyDescent="0.3">
      <c r="A122" t="s">
        <v>64</v>
      </c>
      <c r="B122" s="2">
        <v>45658</v>
      </c>
      <c r="C122" cm="1">
        <f t="array" ref="C122">IFERROR(IF(SUMPRODUCT((measured[Site Name]=A122)*(measured[Date]=B122)*ISNUMBER(measured[Measured Value (kWh)]))=0,"",SUMIFS(measured[Measured Value (kWh)],measured[Site Name],A122,measured[Date],B122)),"")</f>
        <v>5900</v>
      </c>
      <c r="D122" cm="1">
        <f t="array" ref="D122">IFERROR(IF(SUMPRODUCT((expected_production[Site Name]=A122)*(expected_production[Date]=B122)*ISNUMBER(expected_production[Expected Production (kWh)]))=0,"",SUMIFS(expected_production[Expected Production (kWh)],expected_production[Site Name],A122,expected_production[Date],B122)),"")</f>
        <v>8143.7785777907247</v>
      </c>
      <c r="E122" s="9">
        <f t="shared" si="4"/>
        <v>0.72447942237650753</v>
      </c>
      <c r="F122" t="str">
        <f t="shared" si="5"/>
        <v>Moderate</v>
      </c>
    </row>
    <row r="123" spans="1:6" ht="15" hidden="1" customHeight="1" x14ac:dyDescent="0.3">
      <c r="A123" t="s">
        <v>64</v>
      </c>
      <c r="B123" s="2">
        <v>45689</v>
      </c>
      <c r="C123" cm="1">
        <f t="array" ref="C123">IFERROR(IF(SUMPRODUCT((measured[Site Name]=A123)*(measured[Date]=B123)*ISNUMBER(measured[Measured Value (kWh)]))=0,"",SUMIFS(measured[Measured Value (kWh)],measured[Site Name],A123,measured[Date],B123)),"")</f>
        <v>4277</v>
      </c>
      <c r="D123" cm="1">
        <f t="array" ref="D123">IFERROR(IF(SUMPRODUCT((expected_production[Site Name]=A123)*(expected_production[Date]=B123)*ISNUMBER(expected_production[Expected Production (kWh)]))=0,"",SUMIFS(expected_production[Expected Production (kWh)],expected_production[Site Name],A123,expected_production[Date],B123)),"")</f>
        <v>7224.1156580189308</v>
      </c>
      <c r="E123" s="9">
        <f t="shared" si="4"/>
        <v>0.59204478478309441</v>
      </c>
      <c r="F123" t="str">
        <f t="shared" si="5"/>
        <v>Poor</v>
      </c>
    </row>
    <row r="124" spans="1:6" ht="15" hidden="1" customHeight="1" x14ac:dyDescent="0.3">
      <c r="A124" t="s">
        <v>64</v>
      </c>
      <c r="B124" s="2">
        <v>45717</v>
      </c>
      <c r="C124" cm="1">
        <f t="array" ref="C124">IFERROR(IF(SUMPRODUCT((measured[Site Name]=A124)*(measured[Date]=B124)*ISNUMBER(measured[Measured Value (kWh)]))=0,"",SUMIFS(measured[Measured Value (kWh)],measured[Site Name],A124,measured[Date],B124)),"")</f>
        <v>4770</v>
      </c>
      <c r="D124" cm="1">
        <f t="array" ref="D124">IFERROR(IF(SUMPRODUCT((expected_production[Site Name]=A124)*(expected_production[Date]=B124)*ISNUMBER(expected_production[Expected Production (kWh)]))=0,"",SUMIFS(expected_production[Expected Production (kWh)],expected_production[Site Name],A124,expected_production[Date],B124)),"")</f>
        <v>7061.2539578198666</v>
      </c>
      <c r="E124" s="9">
        <f t="shared" si="4"/>
        <v>0.67551741213294614</v>
      </c>
      <c r="F124" t="str">
        <f t="shared" si="5"/>
        <v>Poor</v>
      </c>
    </row>
    <row r="125" spans="1:6" ht="15" hidden="1" customHeight="1" x14ac:dyDescent="0.3">
      <c r="A125" t="s">
        <v>64</v>
      </c>
      <c r="B125" s="2">
        <v>45748</v>
      </c>
      <c r="C125" cm="1">
        <f t="array" ref="C125">IFERROR(IF(SUMPRODUCT((measured[Site Name]=A125)*(measured[Date]=B125)*ISNUMBER(measured[Measured Value (kWh)]))=0,"",SUMIFS(measured[Measured Value (kWh)],measured[Site Name],A125,measured[Date],B125)),"")</f>
        <v>3375</v>
      </c>
      <c r="D125" cm="1">
        <f t="array" ref="D125">IFERROR(IF(SUMPRODUCT((expected_production[Site Name]=A125)*(expected_production[Date]=B125)*ISNUMBER(expected_production[Expected Production (kWh)]))=0,"",SUMIFS(expected_production[Expected Production (kWh)],expected_production[Site Name],A125,expected_production[Date],B125)),"")</f>
        <v>5739.3471734792402</v>
      </c>
      <c r="E125" s="9">
        <f t="shared" si="4"/>
        <v>0.58804597421731619</v>
      </c>
      <c r="F125" t="str">
        <f t="shared" si="5"/>
        <v>Poor</v>
      </c>
    </row>
    <row r="126" spans="1:6" ht="15" hidden="1" customHeight="1" x14ac:dyDescent="0.3">
      <c r="A126" t="s">
        <v>64</v>
      </c>
      <c r="B126" s="2">
        <v>45778</v>
      </c>
      <c r="C126" cm="1">
        <f t="array" ref="C126">IFERROR(IF(SUMPRODUCT((measured[Site Name]=A126)*(measured[Date]=B126)*ISNUMBER(measured[Measured Value (kWh)]))=0,"",SUMIFS(measured[Measured Value (kWh)],measured[Site Name],A126,measured[Date],B126)),"")</f>
        <v>3507</v>
      </c>
      <c r="D126" cm="1">
        <f t="array" ref="D126">IFERROR(IF(SUMPRODUCT((expected_production[Site Name]=A126)*(expected_production[Date]=B126)*ISNUMBER(expected_production[Expected Production (kWh)]))=0,"",SUMIFS(expected_production[Expected Production (kWh)],expected_production[Site Name],A126,expected_production[Date],B126)),"")</f>
        <v>5406.8021834271576</v>
      </c>
      <c r="E126" s="9">
        <f t="shared" si="4"/>
        <v>0.64862739213015774</v>
      </c>
      <c r="F126" t="str">
        <f t="shared" si="5"/>
        <v>Poor</v>
      </c>
    </row>
    <row r="127" spans="1:6" ht="15" hidden="1" customHeight="1" x14ac:dyDescent="0.3">
      <c r="A127" t="s">
        <v>64</v>
      </c>
      <c r="B127" s="2">
        <v>45809</v>
      </c>
      <c r="C127" cm="1">
        <f t="array" ref="C127">IFERROR(IF(SUMPRODUCT((measured[Site Name]=A127)*(measured[Date]=B127)*ISNUMBER(measured[Measured Value (kWh)]))=0,"",SUMIFS(measured[Measured Value (kWh)],measured[Site Name],A127,measured[Date],B127)),"")</f>
        <v>2400</v>
      </c>
      <c r="D127" cm="1">
        <f t="array" ref="D127">IFERROR(IF(SUMPRODUCT((expected_production[Site Name]=A127)*(expected_production[Date]=B127)*ISNUMBER(expected_production[Expected Production (kWh)]))=0,"",SUMIFS(expected_production[Expected Production (kWh)],expected_production[Site Name],A127,expected_production[Date],B127)),"")</f>
        <v>4768.8136484177194</v>
      </c>
      <c r="E127" s="9">
        <f t="shared" si="4"/>
        <v>0.50326982284080535</v>
      </c>
      <c r="F127" t="str">
        <f t="shared" si="5"/>
        <v>Poor</v>
      </c>
    </row>
    <row r="128" spans="1:6" ht="15" hidden="1" customHeight="1" x14ac:dyDescent="0.3">
      <c r="A128" t="s">
        <v>64</v>
      </c>
      <c r="B128" s="2">
        <v>45839</v>
      </c>
      <c r="C128" cm="1">
        <f t="array" ref="C128">IFERROR(IF(SUMPRODUCT((measured[Site Name]=A128)*(measured[Date]=B128)*ISNUMBER(measured[Measured Value (kWh)]))=0,"",SUMIFS(measured[Measured Value (kWh)],measured[Site Name],A128,measured[Date],B128)),"")</f>
        <v>2169</v>
      </c>
      <c r="D128" cm="1">
        <f t="array" ref="D128">IFERROR(IF(SUMPRODUCT((expected_production[Site Name]=A128)*(expected_production[Date]=B128)*ISNUMBER(expected_production[Expected Production (kWh)]))=0,"",SUMIFS(expected_production[Expected Production (kWh)],expected_production[Site Name],A128,expected_production[Date],B128)),"")</f>
        <v>5336.8435973798469</v>
      </c>
      <c r="E128" s="9">
        <f t="shared" si="4"/>
        <v>0.4064200047130635</v>
      </c>
      <c r="F128" t="str">
        <f t="shared" si="5"/>
        <v>Poor</v>
      </c>
    </row>
    <row r="129" spans="1:7" ht="15" hidden="1" customHeight="1" x14ac:dyDescent="0.3">
      <c r="A129" t="s">
        <v>64</v>
      </c>
      <c r="B129" s="2">
        <v>45870</v>
      </c>
      <c r="C129" cm="1">
        <f t="array" ref="C129">IFERROR(IF(SUMPRODUCT((measured[Site Name]=A129)*(measured[Date]=B129)*ISNUMBER(measured[Measured Value (kWh)]))=0,"",SUMIFS(measured[Measured Value (kWh)],measured[Site Name],A129,measured[Date],B129)),"")</f>
        <v>968.6</v>
      </c>
      <c r="D129" cm="1">
        <f t="array" ref="D129">IFERROR(IF(SUMPRODUCT((expected_production[Site Name]=A129)*(expected_production[Date]=B129)*ISNUMBER(expected_production[Expected Production (kWh)]))=0,"",SUMIFS(expected_production[Expected Production (kWh)],expected_production[Site Name],A129,expected_production[Date],B129)),"")</f>
        <v>6331.2618070124836</v>
      </c>
      <c r="E129" s="9">
        <f t="shared" si="4"/>
        <v>0.15298688152923673</v>
      </c>
      <c r="F129" t="str">
        <f t="shared" si="5"/>
        <v>Poor</v>
      </c>
    </row>
    <row r="130" spans="1:7" ht="15" hidden="1" customHeight="1" x14ac:dyDescent="0.3">
      <c r="A130" t="s">
        <v>64</v>
      </c>
      <c r="B130" s="2">
        <v>45901</v>
      </c>
      <c r="C130" cm="1">
        <f t="array" ref="C130">IFERROR(IF(SUMPRODUCT((measured[Site Name]=A130)*(measured[Date]=B130)*ISNUMBER(measured[Measured Value (kWh)]))=0,"",SUMIFS(measured[Measured Value (kWh)],measured[Site Name],A130,measured[Date],B130)),"")</f>
        <v>2001.5</v>
      </c>
      <c r="D130" cm="1">
        <f t="array" ref="D130">IFERROR(IF(SUMPRODUCT((expected_production[Site Name]=A130)*(expected_production[Date]=B130)*ISNUMBER(expected_production[Expected Production (kWh)]))=0,"",SUMIFS(expected_production[Expected Production (kWh)],expected_production[Site Name],A130,expected_production[Date],B130)),"")</f>
        <v>7178.6114543195281</v>
      </c>
      <c r="E130" s="9">
        <f t="shared" si="4"/>
        <v>0.27881436580547253</v>
      </c>
      <c r="F130" t="str">
        <f t="shared" si="5"/>
        <v>Poor</v>
      </c>
    </row>
    <row r="131" spans="1:7" ht="15" hidden="1" customHeight="1" x14ac:dyDescent="0.3">
      <c r="A131" t="s">
        <v>64</v>
      </c>
      <c r="B131" s="2">
        <v>45931</v>
      </c>
      <c r="C131" cm="1">
        <f t="array" ref="C131">IFERROR(IF(SUMPRODUCT((measured[Site Name]=A131)*(measured[Date]=B131)*ISNUMBER(measured[Measured Value (kWh)]))=0,"",SUMIFS(measured[Measured Value (kWh)],measured[Site Name],A131,measured[Date],B131)),"")</f>
        <v>3111</v>
      </c>
      <c r="D131" cm="1">
        <f t="array" ref="D131">IFERROR(IF(SUMPRODUCT((expected_production[Site Name]=A131)*(expected_production[Date]=B131)*ISNUMBER(expected_production[Expected Production (kWh)]))=0,"",SUMIFS(expected_production[Expected Production (kWh)],expected_production[Site Name],A131,expected_production[Date],B131)),"")</f>
        <v>7790.7543559744063</v>
      </c>
      <c r="E131" s="9">
        <f t="shared" si="4"/>
        <v>0.39931948279364027</v>
      </c>
      <c r="F131" t="str">
        <f t="shared" si="5"/>
        <v>Poor</v>
      </c>
    </row>
    <row r="132" spans="1:7" ht="15" hidden="1" customHeight="1" x14ac:dyDescent="0.3">
      <c r="A132" t="s">
        <v>64</v>
      </c>
      <c r="B132" s="2">
        <v>45962</v>
      </c>
      <c r="C132" cm="1">
        <f t="array" ref="C132">IFERROR(IF(SUMPRODUCT((measured[Site Name]=A132)*(measured[Date]=B132)*ISNUMBER(measured[Measured Value (kWh)]))=0,"",SUMIFS(measured[Measured Value (kWh)],measured[Site Name],A132,measured[Date],B132)),"")</f>
        <v>1605</v>
      </c>
      <c r="D132" cm="1">
        <f t="array" ref="D132">IFERROR(IF(SUMPRODUCT((expected_production[Site Name]=A132)*(expected_production[Date]=B132)*ISNUMBER(expected_production[Expected Production (kWh)]))=0,"",SUMIFS(expected_production[Expected Production (kWh)],expected_production[Site Name],A132,expected_production[Date],B132)),"")</f>
        <v>8136.5305565688841</v>
      </c>
      <c r="E132" s="9">
        <f t="shared" si="4"/>
        <v>0.19725852300821653</v>
      </c>
      <c r="F132" t="str">
        <f t="shared" si="5"/>
        <v>Poor</v>
      </c>
    </row>
    <row r="133" spans="1:7" ht="15" hidden="1" customHeight="1" x14ac:dyDescent="0.3">
      <c r="A133" t="s">
        <v>64</v>
      </c>
      <c r="B133" s="2">
        <v>45992</v>
      </c>
      <c r="C133" t="str" cm="1">
        <f t="array" ref="C133">IFERROR(IF(SUMPRODUCT((measured[Site Name]=A133)*(measured[Date]=B133)*ISNUMBER(measured[Measured Value (kWh)]))=0,"",SUMIFS(measured[Measured Value (kWh)],measured[Site Name],A133,measured[Date],B133)),"")</f>
        <v/>
      </c>
      <c r="D133" cm="1">
        <f t="array" ref="D133">IFERROR(IF(SUMPRODUCT((expected_production[Site Name]=A133)*(expected_production[Date]=B133)*ISNUMBER(expected_production[Expected Production (kWh)]))=0,"",SUMIFS(expected_production[Expected Production (kWh)],expected_production[Site Name],A133,expected_production[Date],B133)),"")</f>
        <v>8167.5738590403016</v>
      </c>
      <c r="E133" s="9" t="str">
        <f t="shared" si="4"/>
        <v/>
      </c>
      <c r="F133" t="str">
        <f t="shared" si="5"/>
        <v/>
      </c>
    </row>
    <row r="134" spans="1:7" ht="15" hidden="1" customHeight="1" x14ac:dyDescent="0.3">
      <c r="A134" t="s">
        <v>64</v>
      </c>
      <c r="B134" s="2">
        <v>46023</v>
      </c>
      <c r="C134" t="str" cm="1">
        <f t="array" ref="C134">IFERROR(IF(SUMPRODUCT((measured[Site Name]=A134)*(measured[Date]=B134)*ISNUMBER(measured[Measured Value (kWh)]))=0,"",SUMIFS(measured[Measured Value (kWh)],measured[Site Name],A134,measured[Date],B134)),"")</f>
        <v/>
      </c>
      <c r="D134" cm="1">
        <f t="array" ref="D134">IFERROR(IF(SUMPRODUCT((expected_production[Site Name]=A134)*(expected_production[Date]=B134)*ISNUMBER(expected_production[Expected Production (kWh)]))=0,"",SUMIFS(expected_production[Expected Production (kWh)],expected_production[Site Name],A134,expected_production[Date],B134)),"")</f>
        <v>8086.8110097426616</v>
      </c>
      <c r="E134" s="9" t="str">
        <f t="shared" si="4"/>
        <v/>
      </c>
      <c r="F134" t="str">
        <f t="shared" si="5"/>
        <v/>
      </c>
    </row>
    <row r="135" spans="1:7" ht="15" hidden="1" customHeight="1" x14ac:dyDescent="0.3">
      <c r="A135" t="s">
        <v>64</v>
      </c>
      <c r="B135" s="2">
        <v>46054</v>
      </c>
      <c r="C135" cm="1">
        <f t="array" ref="C135">IFERROR(IF(SUMPRODUCT((measured[Site Name]=A135)*(measured[Date]=B135)*ISNUMBER(measured[Measured Value (kWh)]))=0,"",SUMIFS(measured[Measured Value (kWh)],measured[Site Name],A135,measured[Date],B135)),"")</f>
        <v>6068</v>
      </c>
      <c r="D135" cm="1">
        <f t="array" ref="D135">IFERROR(IF(SUMPRODUCT((expected_production[Site Name]=A135)*(expected_production[Date]=B135)*ISNUMBER(expected_production[Expected Production (kWh)]))=0,"",SUMIFS(expected_production[Expected Production (kWh)],expected_production[Site Name],A135,expected_production[Date],B135)),"")</f>
        <v>7173.5813395322275</v>
      </c>
      <c r="E135" s="9">
        <f t="shared" si="4"/>
        <v>0.84588153570663771</v>
      </c>
      <c r="F135" t="str">
        <f t="shared" si="5"/>
        <v>Moderate</v>
      </c>
    </row>
    <row r="136" spans="1:7" ht="15" hidden="1" customHeight="1" x14ac:dyDescent="0.3">
      <c r="A136" t="s">
        <v>64</v>
      </c>
      <c r="B136" s="2">
        <v>46082</v>
      </c>
      <c r="C136" cm="1">
        <f t="array" ref="C136">IFERROR(IF(SUMPRODUCT((measured[Site Name]=A136)*(measured[Date]=B136)*ISNUMBER(measured[Measured Value (kWh)]))=0,"",SUMIFS(measured[Measured Value (kWh)],measured[Site Name],A136,measured[Date],B136)),"")</f>
        <v>4800</v>
      </c>
      <c r="D136" cm="1">
        <f t="array" ref="D136">IFERROR(IF(SUMPRODUCT((expected_production[Site Name]=A136)*(expected_production[Date]=B136)*ISNUMBER(expected_production[Expected Production (kWh)]))=0,"",SUMIFS(expected_production[Expected Production (kWh)],expected_production[Site Name],A136,expected_production[Date],B136)),"")</f>
        <v>7011.8588936608558</v>
      </c>
      <c r="E136" s="9">
        <f t="shared" si="4"/>
        <v>0.6845545628905183</v>
      </c>
      <c r="F136" t="str">
        <f t="shared" si="5"/>
        <v>Poor</v>
      </c>
    </row>
    <row r="137" spans="1:7" ht="15" hidden="1" customHeight="1" x14ac:dyDescent="0.3">
      <c r="A137" t="s">
        <v>64</v>
      </c>
      <c r="B137" s="2">
        <v>46113</v>
      </c>
      <c r="C137" cm="1">
        <f t="array" ref="C137">IFERROR(IF(SUMPRODUCT((measured[Site Name]=A137)*(measured[Date]=B137)*ISNUMBER(measured[Measured Value (kWh)]))=0,"",SUMIFS(measured[Measured Value (kWh)],measured[Site Name],A137,measured[Date],B137)),"")</f>
        <v>4318</v>
      </c>
      <c r="D137" cm="1">
        <f t="array" ref="D137">IFERROR(IF(SUMPRODUCT((expected_production[Site Name]=A137)*(expected_production[Date]=B137)*ISNUMBER(expected_production[Expected Production (kWh)]))=0,"",SUMIFS(expected_production[Expected Production (kWh)],expected_production[Site Name],A137,expected_production[Date],B137)),"")</f>
        <v>5699.1991454436675</v>
      </c>
      <c r="E137" s="9">
        <f t="shared" si="4"/>
        <v>0.75765031012332795</v>
      </c>
      <c r="F137" t="str">
        <f t="shared" si="5"/>
        <v>Moderate</v>
      </c>
    </row>
    <row r="138" spans="1:7" ht="15" hidden="1" customHeight="1" x14ac:dyDescent="0.3">
      <c r="A138" t="s">
        <v>64</v>
      </c>
      <c r="B138" s="2">
        <v>46143</v>
      </c>
      <c r="C138" cm="1">
        <f t="array" ref="C138">IFERROR(IF(SUMPRODUCT((measured[Site Name]=A138)*(measured[Date]=B138)*ISNUMBER(measured[Measured Value (kWh)]))=0,"",SUMIFS(measured[Measured Value (kWh)],measured[Site Name],A138,measured[Date],B138)),"")</f>
        <v>3727.7</v>
      </c>
      <c r="D138" cm="1">
        <f t="array" ref="D138">IFERROR(IF(SUMPRODUCT((expected_production[Site Name]=A138)*(expected_production[Date]=B138)*ISNUMBER(expected_production[Expected Production (kWh)]))=0,"",SUMIFS(expected_production[Expected Production (kWh)],expected_production[Site Name],A138,expected_production[Date],B138)),"")</f>
        <v>5368.9803826052639</v>
      </c>
      <c r="E138" s="9">
        <f t="shared" si="4"/>
        <v>0.69430315150288491</v>
      </c>
      <c r="F138" t="str">
        <f t="shared" si="5"/>
        <v>Poor</v>
      </c>
    </row>
    <row r="139" spans="1:7" ht="15" hidden="1" customHeight="1" x14ac:dyDescent="0.3">
      <c r="A139" t="s">
        <v>64</v>
      </c>
      <c r="B139" s="2">
        <v>46174</v>
      </c>
      <c r="C139" cm="1">
        <f t="array" ref="C139">IFERROR(IF(SUMPRODUCT((measured[Site Name]=A139)*(measured[Date]=B139)*ISNUMBER(measured[Measured Value (kWh)]))=0,"",SUMIFS(measured[Measured Value (kWh)],measured[Site Name],A139,measured[Date],B139)),"")</f>
        <v>3149</v>
      </c>
      <c r="D139" cm="1">
        <f t="array" ref="D139">IFERROR(IF(SUMPRODUCT((expected_production[Site Name]=A139)*(expected_production[Date]=B139)*ISNUMBER(expected_production[Expected Production (kWh)]))=0,"",SUMIFS(expected_production[Expected Production (kWh)],expected_production[Site Name],A139,expected_production[Date],B139)),"")</f>
        <v>4735.4547213017922</v>
      </c>
      <c r="E139" s="9">
        <f t="shared" si="4"/>
        <v>0.66498365739506626</v>
      </c>
      <c r="F139" t="str">
        <f t="shared" si="5"/>
        <v>Poor</v>
      </c>
    </row>
    <row r="140" spans="1:7" ht="15" hidden="1" customHeight="1" x14ac:dyDescent="0.3">
      <c r="A140" t="s">
        <v>250</v>
      </c>
      <c r="B140" s="2">
        <v>46204</v>
      </c>
      <c r="C140" cm="1">
        <f t="array" ref="C140">IFERROR(IF(SUMPRODUCT((measured[Site Name]=A140)*(measured[Date]=B140)*ISNUMBER(measured[Measured Value (kWh)]))=0,"",SUMIFS(measured[Measured Value (kWh)],measured[Site Name],A140,measured[Date],B140)),"")</f>
        <v>27942</v>
      </c>
      <c r="D140" cm="1">
        <f t="array" ref="D140">IFERROR(IF(SUMPRODUCT((expected_production[Site Name]=A140)*(expected_production[Date]=B140)*ISNUMBER(expected_production[Expected Production (kWh)]))=0,"",SUMIFS(expected_production[Expected Production (kWh)],expected_production[Site Name],A140,expected_production[Date],B140)),"")</f>
        <v>28016.693853312918</v>
      </c>
      <c r="E140" s="9">
        <f t="shared" si="4"/>
        <v>0.99733395190367602</v>
      </c>
      <c r="F140" t="str">
        <f t="shared" si="5"/>
        <v>Expected</v>
      </c>
      <c r="G140" t="s">
        <v>874</v>
      </c>
    </row>
    <row r="141" spans="1:7" ht="15" hidden="1" customHeight="1" x14ac:dyDescent="0.3">
      <c r="A141" t="s">
        <v>64</v>
      </c>
      <c r="B141" s="2">
        <v>46235</v>
      </c>
      <c r="C141" cm="1">
        <f t="array" ref="C141">IFERROR(IF(SUMPRODUCT((measured[Site Name]=A141)*(measured[Date]=B141)*ISNUMBER(measured[Measured Value (kWh)]))=0,"",SUMIFS(measured[Measured Value (kWh)],measured[Site Name],A141,measured[Date],B141)),"")</f>
        <v>3313</v>
      </c>
      <c r="D141" cm="1">
        <f t="array" ref="D141">IFERROR(IF(SUMPRODUCT((expected_production[Site Name]=A141)*(expected_production[Date]=B141)*ISNUMBER(expected_production[Expected Production (kWh)]))=0,"",SUMIFS(expected_production[Expected Production (kWh)],expected_production[Site Name],A141,expected_production[Date],B141)),"")</f>
        <v>6286.9732026041183</v>
      </c>
      <c r="E141" s="9">
        <f t="shared" si="4"/>
        <v>0.52696264056409958</v>
      </c>
      <c r="F141" t="str">
        <f t="shared" si="5"/>
        <v>Poor</v>
      </c>
      <c r="G141" t="s">
        <v>875</v>
      </c>
    </row>
    <row r="142" spans="1:7" ht="15" customHeight="1" x14ac:dyDescent="0.3">
      <c r="A142" t="s">
        <v>64</v>
      </c>
      <c r="B142" s="2">
        <v>46266</v>
      </c>
      <c r="C142" cm="1">
        <f t="array" ref="C142">IFERROR(IF(SUMPRODUCT((measured[Site Name]=A142)*(measured[Date]=B142)*ISNUMBER(measured[Measured Value (kWh)]))=0,"",SUMIFS(measured[Measured Value (kWh)],measured[Site Name],A142,measured[Date],B142)),"")</f>
        <v>4204.16</v>
      </c>
      <c r="D142" cm="1">
        <f t="array" ref="D142">IFERROR(IF(SUMPRODUCT((expected_production[Site Name]=A142)*(expected_production[Date]=B142)*ISNUMBER(expected_production[Expected Production (kWh)]))=0,"",SUMIFS(expected_production[Expected Production (kWh)],expected_production[Site Name],A142,expected_production[Date],B142)),"")</f>
        <v>7128.39544800155</v>
      </c>
      <c r="E142" s="9">
        <f t="shared" si="4"/>
        <v>0.58977648345514255</v>
      </c>
      <c r="F142" t="str">
        <f t="shared" si="5"/>
        <v>Poor</v>
      </c>
      <c r="G142" t="s">
        <v>874</v>
      </c>
    </row>
    <row r="143" spans="1:7" ht="15" hidden="1" customHeight="1" x14ac:dyDescent="0.3">
      <c r="A143" t="s">
        <v>64</v>
      </c>
      <c r="B143" s="2">
        <v>46296</v>
      </c>
      <c r="C143" t="str" cm="1">
        <f t="array" ref="C143">IFERROR(IF(SUMPRODUCT((measured[Site Name]=A143)*(measured[Date]=B143)*ISNUMBER(measured[Measured Value (kWh)]))=0,"",SUMIFS(measured[Measured Value (kWh)],measured[Site Name],A143,measured[Date],B143)),"")</f>
        <v/>
      </c>
      <c r="D143" cm="1">
        <f t="array" ref="D143">IFERROR(IF(SUMPRODUCT((expected_production[Site Name]=A143)*(expected_production[Date]=B143)*ISNUMBER(expected_production[Expected Production (kWh)]))=0,"",SUMIFS(expected_production[Expected Production (kWh)],expected_production[Site Name],A143,expected_production[Date],B143)),"")</f>
        <v>7736.2562719854732</v>
      </c>
      <c r="E143" s="9" t="str">
        <f t="shared" si="4"/>
        <v/>
      </c>
      <c r="F143" t="str">
        <f t="shared" si="5"/>
        <v/>
      </c>
    </row>
    <row r="144" spans="1:7" ht="15" hidden="1" customHeight="1" x14ac:dyDescent="0.3">
      <c r="A144" t="s">
        <v>64</v>
      </c>
      <c r="B144" s="2">
        <v>46327</v>
      </c>
      <c r="C144" t="str" cm="1">
        <f t="array" ref="C144">IFERROR(IF(SUMPRODUCT((measured[Site Name]=A144)*(measured[Date]=B144)*ISNUMBER(measured[Measured Value (kWh)]))=0,"",SUMIFS(measured[Measured Value (kWh)],measured[Site Name],A144,measured[Date],B144)),"")</f>
        <v/>
      </c>
      <c r="D144" cm="1">
        <f t="array" ref="D144">IFERROR(IF(SUMPRODUCT((expected_production[Site Name]=A144)*(expected_production[Date]=B144)*ISNUMBER(expected_production[Expected Production (kWh)]))=0,"",SUMIFS(expected_production[Expected Production (kWh)],expected_production[Site Name],A144,expected_production[Date],B144)),"")</f>
        <v>8079.6136900641195</v>
      </c>
      <c r="E144" s="9" t="str">
        <f t="shared" si="4"/>
        <v/>
      </c>
      <c r="F144" t="str">
        <f t="shared" si="5"/>
        <v/>
      </c>
    </row>
    <row r="145" spans="1:6" ht="15" hidden="1" customHeight="1" x14ac:dyDescent="0.3">
      <c r="A145" t="s">
        <v>64</v>
      </c>
      <c r="B145" s="2">
        <v>46357</v>
      </c>
      <c r="C145" t="str" cm="1">
        <f t="array" ref="C145">IFERROR(IF(SUMPRODUCT((measured[Site Name]=A145)*(measured[Date]=B145)*ISNUMBER(measured[Measured Value (kWh)]))=0,"",SUMIFS(measured[Measured Value (kWh)],measured[Site Name],A145,measured[Date],B145)),"")</f>
        <v/>
      </c>
      <c r="D145" cm="1">
        <f t="array" ref="D145">IFERROR(IF(SUMPRODUCT((expected_production[Site Name]=A145)*(expected_production[Date]=B145)*ISNUMBER(expected_production[Expected Production (kWh)]))=0,"",SUMIFS(expected_production[Expected Production (kWh)],expected_production[Site Name],A145,expected_production[Date],B145)),"")</f>
        <v>8110.4398376326762</v>
      </c>
      <c r="E145" s="9" t="str">
        <f t="shared" si="4"/>
        <v/>
      </c>
      <c r="F145" t="str">
        <f t="shared" si="5"/>
        <v/>
      </c>
    </row>
    <row r="146" spans="1:6" ht="15" hidden="1" customHeight="1" x14ac:dyDescent="0.3">
      <c r="A146" t="s">
        <v>55</v>
      </c>
      <c r="B146" s="2">
        <v>45292</v>
      </c>
      <c r="C146" cm="1">
        <f t="array" ref="C146">IFERROR(IF(SUMPRODUCT((measured[Site Name]=A146)*(measured[Date]=B146)*ISNUMBER(measured[Measured Value (kWh)]))=0,"",SUMIFS(measured[Measured Value (kWh)],measured[Site Name],A146,measured[Date],B146)),"")</f>
        <v>7453</v>
      </c>
      <c r="D146" cm="1">
        <f t="array" ref="D146">IFERROR(IF(SUMPRODUCT((expected_production[Site Name]=A146)*(expected_production[Date]=B146)*ISNUMBER(expected_production[Expected Production (kWh)]))=0,"",SUMIFS(expected_production[Expected Production (kWh)],expected_production[Site Name],A146,expected_production[Date],B146)),"")</f>
        <v>16142.542444314846</v>
      </c>
      <c r="E146" s="9">
        <f t="shared" si="4"/>
        <v>0.46169926612922313</v>
      </c>
      <c r="F146" t="str">
        <f t="shared" si="5"/>
        <v>Poor</v>
      </c>
    </row>
    <row r="147" spans="1:6" ht="15" hidden="1" customHeight="1" x14ac:dyDescent="0.3">
      <c r="A147" t="s">
        <v>55</v>
      </c>
      <c r="B147" s="2">
        <v>45323</v>
      </c>
      <c r="C147" cm="1">
        <f t="array" ref="C147">IFERROR(IF(SUMPRODUCT((measured[Site Name]=A147)*(measured[Date]=B147)*ISNUMBER(measured[Measured Value (kWh)]))=0,"",SUMIFS(measured[Measured Value (kWh)],measured[Site Name],A147,measured[Date],B147)),"")</f>
        <v>10174</v>
      </c>
      <c r="D147" cm="1">
        <f t="array" ref="D147">IFERROR(IF(SUMPRODUCT((expected_production[Site Name]=A147)*(expected_production[Date]=B147)*ISNUMBER(expected_production[Expected Production (kWh)]))=0,"",SUMIFS(expected_production[Expected Production (kWh)],expected_production[Site Name],A147,expected_production[Date],B147)),"")</f>
        <v>13875.560131711298</v>
      </c>
      <c r="E147" s="9">
        <f t="shared" si="4"/>
        <v>0.73323166080685076</v>
      </c>
      <c r="F147" t="str">
        <f t="shared" si="5"/>
        <v>Moderate</v>
      </c>
    </row>
    <row r="148" spans="1:6" ht="15" hidden="1" customHeight="1" x14ac:dyDescent="0.3">
      <c r="A148" t="s">
        <v>55</v>
      </c>
      <c r="B148" s="2">
        <v>45352</v>
      </c>
      <c r="C148" cm="1">
        <f t="array" ref="C148">IFERROR(IF(SUMPRODUCT((measured[Site Name]=A148)*(measured[Date]=B148)*ISNUMBER(measured[Measured Value (kWh)]))=0,"",SUMIFS(measured[Measured Value (kWh)],measured[Site Name],A148,measured[Date],B148)),"")</f>
        <v>12197</v>
      </c>
      <c r="D148" cm="1">
        <f t="array" ref="D148">IFERROR(IF(SUMPRODUCT((expected_production[Site Name]=A148)*(expected_production[Date]=B148)*ISNUMBER(expected_production[Expected Production (kWh)]))=0,"",SUMIFS(expected_production[Expected Production (kWh)],expected_production[Site Name],A148,expected_production[Date],B148)),"")</f>
        <v>15331.719391501809</v>
      </c>
      <c r="E148" s="9">
        <f t="shared" si="4"/>
        <v>0.7955402579805011</v>
      </c>
      <c r="F148" t="str">
        <f t="shared" si="5"/>
        <v>Moderate</v>
      </c>
    </row>
    <row r="149" spans="1:6" ht="15" hidden="1" customHeight="1" x14ac:dyDescent="0.3">
      <c r="A149" t="s">
        <v>55</v>
      </c>
      <c r="B149" s="2">
        <v>45383</v>
      </c>
      <c r="C149" cm="1">
        <f t="array" ref="C149">IFERROR(IF(SUMPRODUCT((measured[Site Name]=A149)*(measured[Date]=B149)*ISNUMBER(measured[Measured Value (kWh)]))=0,"",SUMIFS(measured[Measured Value (kWh)],measured[Site Name],A149,measured[Date],B149)),"")</f>
        <v>9850</v>
      </c>
      <c r="D149" cm="1">
        <f t="array" ref="D149">IFERROR(IF(SUMPRODUCT((expected_production[Site Name]=A149)*(expected_production[Date]=B149)*ISNUMBER(expected_production[Expected Production (kWh)]))=0,"",SUMIFS(expected_production[Expected Production (kWh)],expected_production[Site Name],A149,expected_production[Date],B149)),"")</f>
        <v>14750.679768352173</v>
      </c>
      <c r="E149" s="9">
        <f t="shared" si="4"/>
        <v>0.66776583551988822</v>
      </c>
      <c r="F149" t="str">
        <f t="shared" si="5"/>
        <v>Poor</v>
      </c>
    </row>
    <row r="150" spans="1:6" ht="15" hidden="1" customHeight="1" x14ac:dyDescent="0.3">
      <c r="A150" t="s">
        <v>55</v>
      </c>
      <c r="B150" s="2">
        <v>45413</v>
      </c>
      <c r="C150" cm="1">
        <f t="array" ref="C150">IFERROR(IF(SUMPRODUCT((measured[Site Name]=A150)*(measured[Date]=B150)*ISNUMBER(measured[Measured Value (kWh)]))=0,"",SUMIFS(measured[Measured Value (kWh)],measured[Site Name],A150,measured[Date],B150)),"")</f>
        <v>10329</v>
      </c>
      <c r="D150" cm="1">
        <f t="array" ref="D150">IFERROR(IF(SUMPRODUCT((expected_production[Site Name]=A150)*(expected_production[Date]=B150)*ISNUMBER(expected_production[Expected Production (kWh)]))=0,"",SUMIFS(expected_production[Expected Production (kWh)],expected_production[Site Name],A150,expected_production[Date],B150)),"")</f>
        <v>14272.455779847842</v>
      </c>
      <c r="E150" s="9">
        <f t="shared" si="4"/>
        <v>0.72370166419321824</v>
      </c>
      <c r="F150" t="str">
        <f t="shared" si="5"/>
        <v>Moderate</v>
      </c>
    </row>
    <row r="151" spans="1:6" ht="15" hidden="1" customHeight="1" x14ac:dyDescent="0.3">
      <c r="A151" t="s">
        <v>55</v>
      </c>
      <c r="B151" s="2">
        <v>45444</v>
      </c>
      <c r="C151" cm="1">
        <f t="array" ref="C151">IFERROR(IF(SUMPRODUCT((measured[Site Name]=A151)*(measured[Date]=B151)*ISNUMBER(measured[Measured Value (kWh)]))=0,"",SUMIFS(measured[Measured Value (kWh)],measured[Site Name],A151,measured[Date],B151)),"")</f>
        <v>9684</v>
      </c>
      <c r="D151" cm="1">
        <f t="array" ref="D151">IFERROR(IF(SUMPRODUCT((expected_production[Site Name]=A151)*(expected_production[Date]=B151)*ISNUMBER(expected_production[Expected Production (kWh)]))=0,"",SUMIFS(expected_production[Expected Production (kWh)],expected_production[Site Name],A151,expected_production[Date],B151)),"")</f>
        <v>12916.214071615914</v>
      </c>
      <c r="E151" s="9">
        <f t="shared" si="4"/>
        <v>0.74975530339661367</v>
      </c>
      <c r="F151" t="str">
        <f t="shared" si="5"/>
        <v>Moderate</v>
      </c>
    </row>
    <row r="152" spans="1:6" ht="15" hidden="1" customHeight="1" x14ac:dyDescent="0.3">
      <c r="A152" t="s">
        <v>55</v>
      </c>
      <c r="B152" s="2">
        <v>45474</v>
      </c>
      <c r="C152" cm="1">
        <f t="array" ref="C152">IFERROR(IF(SUMPRODUCT((measured[Site Name]=A152)*(measured[Date]=B152)*ISNUMBER(measured[Measured Value (kWh)]))=0,"",SUMIFS(measured[Measured Value (kWh)],measured[Site Name],A152,measured[Date],B152)),"")</f>
        <v>10193</v>
      </c>
      <c r="D152" cm="1">
        <f t="array" ref="D152">IFERROR(IF(SUMPRODUCT((expected_production[Site Name]=A152)*(expected_production[Date]=B152)*ISNUMBER(expected_production[Expected Production (kWh)]))=0,"",SUMIFS(expected_production[Expected Production (kWh)],expected_production[Site Name],A152,expected_production[Date],B152)),"")</f>
        <v>13586.446728864696</v>
      </c>
      <c r="E152" s="9">
        <f t="shared" si="4"/>
        <v>0.75023294930710283</v>
      </c>
      <c r="F152" t="str">
        <f t="shared" si="5"/>
        <v>Moderate</v>
      </c>
    </row>
    <row r="153" spans="1:6" ht="15" hidden="1" customHeight="1" x14ac:dyDescent="0.3">
      <c r="A153" t="s">
        <v>55</v>
      </c>
      <c r="B153" s="2">
        <v>45505</v>
      </c>
      <c r="C153" cm="1">
        <f t="array" ref="C153">IFERROR(IF(SUMPRODUCT((measured[Site Name]=A153)*(measured[Date]=B153)*ISNUMBER(measured[Measured Value (kWh)]))=0,"",SUMIFS(measured[Measured Value (kWh)],measured[Site Name],A153,measured[Date],B153)),"")</f>
        <v>9840</v>
      </c>
      <c r="D153" cm="1">
        <f t="array" ref="D153">IFERROR(IF(SUMPRODUCT((expected_production[Site Name]=A153)*(expected_production[Date]=B153)*ISNUMBER(expected_production[Expected Production (kWh)]))=0,"",SUMIFS(expected_production[Expected Production (kWh)],expected_production[Site Name],A153,expected_production[Date],B153)),"")</f>
        <v>15174.911948058374</v>
      </c>
      <c r="E153" s="9">
        <f t="shared" si="4"/>
        <v>0.64843868838784435</v>
      </c>
      <c r="F153" t="str">
        <f t="shared" si="5"/>
        <v>Poor</v>
      </c>
    </row>
    <row r="154" spans="1:6" ht="15" hidden="1" customHeight="1" x14ac:dyDescent="0.3">
      <c r="A154" t="s">
        <v>55</v>
      </c>
      <c r="B154" s="2">
        <v>45536</v>
      </c>
      <c r="C154" cm="1">
        <f t="array" ref="C154">IFERROR(IF(SUMPRODUCT((measured[Site Name]=A154)*(measured[Date]=B154)*ISNUMBER(measured[Measured Value (kWh)]))=0,"",SUMIFS(measured[Measured Value (kWh)],measured[Site Name],A154,measured[Date],B154)),"")</f>
        <v>3277</v>
      </c>
      <c r="D154" cm="1">
        <f t="array" ref="D154">IFERROR(IF(SUMPRODUCT((expected_production[Site Name]=A154)*(expected_production[Date]=B154)*ISNUMBER(expected_production[Expected Production (kWh)]))=0,"",SUMIFS(expected_production[Expected Production (kWh)],expected_production[Site Name],A154,expected_production[Date],B154)),"")</f>
        <v>15246.487689999401</v>
      </c>
      <c r="E154" s="9">
        <f t="shared" si="4"/>
        <v>0.21493474868637949</v>
      </c>
      <c r="F154" t="str">
        <f t="shared" si="5"/>
        <v>Poor</v>
      </c>
    </row>
    <row r="155" spans="1:6" ht="15" hidden="1" customHeight="1" x14ac:dyDescent="0.3">
      <c r="A155" t="s">
        <v>55</v>
      </c>
      <c r="B155" s="2">
        <v>45566</v>
      </c>
      <c r="C155" cm="1">
        <f t="array" ref="C155">IFERROR(IF(SUMPRODUCT((measured[Site Name]=A155)*(measured[Date]=B155)*ISNUMBER(measured[Measured Value (kWh)]))=0,"",SUMIFS(measured[Measured Value (kWh)],measured[Site Name],A155,measured[Date],B155)),"")</f>
        <v>12496</v>
      </c>
      <c r="D155" cm="1">
        <f t="array" ref="D155">IFERROR(IF(SUMPRODUCT((expected_production[Site Name]=A155)*(expected_production[Date]=B155)*ISNUMBER(expected_production[Expected Production (kWh)]))=0,"",SUMIFS(expected_production[Expected Production (kWh)],expected_production[Site Name],A155,expected_production[Date],B155)),"")</f>
        <v>14635.068067778224</v>
      </c>
      <c r="E155" s="9">
        <f t="shared" si="4"/>
        <v>0.85383955456361882</v>
      </c>
      <c r="F155" t="str">
        <f t="shared" si="5"/>
        <v>Moderate</v>
      </c>
    </row>
    <row r="156" spans="1:6" ht="15" hidden="1" customHeight="1" x14ac:dyDescent="0.3">
      <c r="A156" t="s">
        <v>55</v>
      </c>
      <c r="B156" s="2">
        <v>45597</v>
      </c>
      <c r="C156" cm="1">
        <f t="array" ref="C156">IFERROR(IF(SUMPRODUCT((measured[Site Name]=A156)*(measured[Date]=B156)*ISNUMBER(measured[Measured Value (kWh)]))=0,"",SUMIFS(measured[Measured Value (kWh)],measured[Site Name],A156,measured[Date],B156)),"")</f>
        <v>12909</v>
      </c>
      <c r="D156" cm="1">
        <f t="array" ref="D156">IFERROR(IF(SUMPRODUCT((expected_production[Site Name]=A156)*(expected_production[Date]=B156)*ISNUMBER(expected_production[Expected Production (kWh)]))=0,"",SUMIFS(expected_production[Expected Production (kWh)],expected_production[Site Name],A156,expected_production[Date],B156)),"")</f>
        <v>14502.20119089314</v>
      </c>
      <c r="E156" s="9">
        <f t="shared" si="4"/>
        <v>0.89014073312583664</v>
      </c>
      <c r="F156" t="str">
        <f t="shared" si="5"/>
        <v>Moderate</v>
      </c>
    </row>
    <row r="157" spans="1:6" ht="15" hidden="1" customHeight="1" x14ac:dyDescent="0.3">
      <c r="A157" t="s">
        <v>55</v>
      </c>
      <c r="B157" s="2">
        <v>45627</v>
      </c>
      <c r="C157" cm="1">
        <f t="array" ref="C157">IFERROR(IF(SUMPRODUCT((measured[Site Name]=A157)*(measured[Date]=B157)*ISNUMBER(measured[Measured Value (kWh)]))=0,"",SUMIFS(measured[Measured Value (kWh)],measured[Site Name],A157,measured[Date],B157)),"")</f>
        <v>12587</v>
      </c>
      <c r="D157" cm="1">
        <f t="array" ref="D157">IFERROR(IF(SUMPRODUCT((expected_production[Site Name]=A157)*(expected_production[Date]=B157)*ISNUMBER(expected_production[Expected Production (kWh)]))=0,"",SUMIFS(expected_production[Expected Production (kWh)],expected_production[Site Name],A157,expected_production[Date],B157)),"")</f>
        <v>15932.405470524869</v>
      </c>
      <c r="E157" s="9">
        <f t="shared" si="4"/>
        <v>0.79002508587206699</v>
      </c>
      <c r="F157" t="str">
        <f t="shared" si="5"/>
        <v>Moderate</v>
      </c>
    </row>
    <row r="158" spans="1:6" ht="15" hidden="1" customHeight="1" x14ac:dyDescent="0.3">
      <c r="A158" t="s">
        <v>55</v>
      </c>
      <c r="B158" s="2">
        <v>45658</v>
      </c>
      <c r="C158" cm="1">
        <f t="array" ref="C158">IFERROR(IF(SUMPRODUCT((measured[Site Name]=A158)*(measured[Date]=B158)*ISNUMBER(measured[Measured Value (kWh)]))=0,"",SUMIFS(measured[Measured Value (kWh)],measured[Site Name],A158,measured[Date],B158)),"")</f>
        <v>13816</v>
      </c>
      <c r="D158" cm="1">
        <f t="array" ref="D158">IFERROR(IF(SUMPRODUCT((expected_production[Site Name]=A158)*(expected_production[Date]=B158)*ISNUMBER(expected_production[Expected Production (kWh)]))=0,"",SUMIFS(expected_production[Expected Production (kWh)],expected_production[Site Name],A158,expected_production[Date],B158)),"")</f>
        <v>16029.313434542077</v>
      </c>
      <c r="E158" s="9">
        <f t="shared" si="4"/>
        <v>0.86192088366226982</v>
      </c>
      <c r="F158" t="str">
        <f t="shared" si="5"/>
        <v>Moderate</v>
      </c>
    </row>
    <row r="159" spans="1:6" ht="15" hidden="1" customHeight="1" x14ac:dyDescent="0.3">
      <c r="A159" t="s">
        <v>55</v>
      </c>
      <c r="B159" s="2">
        <v>45689</v>
      </c>
      <c r="C159" cm="1">
        <f t="array" ref="C159">IFERROR(IF(SUMPRODUCT((measured[Site Name]=A159)*(measured[Date]=B159)*ISNUMBER(measured[Measured Value (kWh)]))=0,"",SUMIFS(measured[Measured Value (kWh)],measured[Site Name],A159,measured[Date],B159)),"")</f>
        <v>11397</v>
      </c>
      <c r="D159" cm="1">
        <f t="array" ref="D159">IFERROR(IF(SUMPRODUCT((expected_production[Site Name]=A159)*(expected_production[Date]=B159)*ISNUMBER(expected_production[Expected Production (kWh)]))=0,"",SUMIFS(expected_production[Expected Production (kWh)],expected_production[Site Name],A159,expected_production[Date],B159)),"")</f>
        <v>13778.232468539532</v>
      </c>
      <c r="E159" s="9">
        <f t="shared" si="4"/>
        <v>0.82717431470424752</v>
      </c>
      <c r="F159" t="str">
        <f t="shared" si="5"/>
        <v>Moderate</v>
      </c>
    </row>
    <row r="160" spans="1:6" ht="15" hidden="1" customHeight="1" x14ac:dyDescent="0.3">
      <c r="A160" t="s">
        <v>55</v>
      </c>
      <c r="B160" s="2">
        <v>45717</v>
      </c>
      <c r="C160" cm="1">
        <f t="array" ref="C160">IFERROR(IF(SUMPRODUCT((measured[Site Name]=A160)*(measured[Date]=B160)*ISNUMBER(measured[Measured Value (kWh)]))=0,"",SUMIFS(measured[Measured Value (kWh)],measured[Site Name],A160,measured[Date],B160)),"")</f>
        <v>12740</v>
      </c>
      <c r="D160" cm="1">
        <f t="array" ref="D160">IFERROR(IF(SUMPRODUCT((expected_production[Site Name]=A160)*(expected_production[Date]=B160)*ISNUMBER(expected_production[Expected Production (kWh)]))=0,"",SUMIFS(expected_production[Expected Production (kWh)],expected_production[Site Name],A160,expected_production[Date],B160)),"")</f>
        <v>15224.470556162509</v>
      </c>
      <c r="E160" s="9">
        <f t="shared" ref="E160:E213" si="6">IF(OR(C160="",D160="",D160=0),"",C160/D160)</f>
        <v>0.83681070898344945</v>
      </c>
      <c r="F160" t="str">
        <f t="shared" ref="F160:F213" si="7">IF(E160="","",IF(E160&gt;=0.9,"Expected",IF(E160&gt;=0.7,"Moderate","Poor")))</f>
        <v>Moderate</v>
      </c>
    </row>
    <row r="161" spans="1:7" ht="15" hidden="1" customHeight="1" x14ac:dyDescent="0.3">
      <c r="A161" t="s">
        <v>55</v>
      </c>
      <c r="B161" s="2">
        <v>45748</v>
      </c>
      <c r="C161" cm="1">
        <f t="array" ref="C161">IFERROR(IF(SUMPRODUCT((measured[Site Name]=A161)*(measured[Date]=B161)*ISNUMBER(measured[Measured Value (kWh)]))=0,"",SUMIFS(measured[Measured Value (kWh)],measured[Site Name],A161,measured[Date],B161)),"")</f>
        <v>9167</v>
      </c>
      <c r="D161" cm="1">
        <f t="array" ref="D161">IFERROR(IF(SUMPRODUCT((expected_production[Site Name]=A161)*(expected_production[Date]=B161)*ISNUMBER(expected_production[Expected Production (kWh)]))=0,"",SUMIFS(expected_production[Expected Production (kWh)],expected_production[Site Name],A161,expected_production[Date],B161)),"")</f>
        <v>14647.495436235084</v>
      </c>
      <c r="E161" s="9">
        <f t="shared" si="6"/>
        <v>0.62584078212597405</v>
      </c>
      <c r="F161" t="str">
        <f t="shared" si="7"/>
        <v>Poor</v>
      </c>
    </row>
    <row r="162" spans="1:7" ht="15" hidden="1" customHeight="1" x14ac:dyDescent="0.3">
      <c r="A162" t="s">
        <v>55</v>
      </c>
      <c r="B162" s="2">
        <v>45778</v>
      </c>
      <c r="C162" cm="1">
        <f t="array" ref="C162">IFERROR(IF(SUMPRODUCT((measured[Site Name]=A162)*(measured[Date]=B162)*ISNUMBER(measured[Measured Value (kWh)]))=0,"",SUMIFS(measured[Measured Value (kWh)],measured[Site Name],A162,measured[Date],B162)),"")</f>
        <v>9630</v>
      </c>
      <c r="D162" cm="1">
        <f t="array" ref="D162">IFERROR(IF(SUMPRODUCT((expected_production[Site Name]=A162)*(expected_production[Date]=B162)*ISNUMBER(expected_production[Expected Production (kWh)]))=0,"",SUMIFS(expected_production[Expected Production (kWh)],expected_production[Site Name],A162,expected_production[Date],B162)),"")</f>
        <v>14172.616732397706</v>
      </c>
      <c r="E162" s="9">
        <f t="shared" si="6"/>
        <v>0.6794793214146847</v>
      </c>
      <c r="F162" t="str">
        <f t="shared" si="7"/>
        <v>Poor</v>
      </c>
    </row>
    <row r="163" spans="1:7" ht="15" hidden="1" customHeight="1" x14ac:dyDescent="0.3">
      <c r="A163" t="s">
        <v>55</v>
      </c>
      <c r="B163" s="2">
        <v>45809</v>
      </c>
      <c r="C163" cm="1">
        <f t="array" ref="C163">IFERROR(IF(SUMPRODUCT((measured[Site Name]=A163)*(measured[Date]=B163)*ISNUMBER(measured[Measured Value (kWh)]))=0,"",SUMIFS(measured[Measured Value (kWh)],measured[Site Name],A163,measured[Date],B163)),"")</f>
        <v>9081.44</v>
      </c>
      <c r="D163" cm="1">
        <f t="array" ref="D163">IFERROR(IF(SUMPRODUCT((expected_production[Site Name]=A163)*(expected_production[Date]=B163)*ISNUMBER(expected_production[Expected Production (kWh)]))=0,"",SUMIFS(expected_production[Expected Production (kWh)],expected_production[Site Name],A163,expected_production[Date],B163)),"")</f>
        <v>12825.862240826362</v>
      </c>
      <c r="E163" s="9">
        <f t="shared" si="6"/>
        <v>0.70805687987920329</v>
      </c>
      <c r="F163" t="str">
        <f t="shared" si="7"/>
        <v>Moderate</v>
      </c>
    </row>
    <row r="164" spans="1:7" ht="15" hidden="1" customHeight="1" x14ac:dyDescent="0.3">
      <c r="A164" t="s">
        <v>55</v>
      </c>
      <c r="B164" s="2">
        <v>45839</v>
      </c>
      <c r="C164" cm="1">
        <f t="array" ref="C164">IFERROR(IF(SUMPRODUCT((measured[Site Name]=A164)*(measured[Date]=B164)*ISNUMBER(measured[Measured Value (kWh)]))=0,"",SUMIFS(measured[Measured Value (kWh)],measured[Site Name],A164,measured[Date],B164)),"")</f>
        <v>9450</v>
      </c>
      <c r="D164" cm="1">
        <f t="array" ref="D164">IFERROR(IF(SUMPRODUCT((expected_production[Site Name]=A164)*(expected_production[Date]=B164)*ISNUMBER(expected_production[Expected Production (kWh)]))=0,"",SUMIFS(expected_production[Expected Production (kWh)],expected_production[Site Name],A164,expected_production[Date],B164)),"")</f>
        <v>13491.406469461184</v>
      </c>
      <c r="E164" s="9">
        <f t="shared" si="6"/>
        <v>0.70044587429715255</v>
      </c>
      <c r="F164" t="str">
        <f t="shared" si="7"/>
        <v>Moderate</v>
      </c>
    </row>
    <row r="165" spans="1:7" ht="15" hidden="1" customHeight="1" x14ac:dyDescent="0.3">
      <c r="A165" t="s">
        <v>55</v>
      </c>
      <c r="B165" s="2">
        <v>45870</v>
      </c>
      <c r="C165" cm="1">
        <f t="array" ref="C165">IFERROR(IF(SUMPRODUCT((measured[Site Name]=A165)*(measured[Date]=B165)*ISNUMBER(measured[Measured Value (kWh)]))=0,"",SUMIFS(measured[Measured Value (kWh)],measured[Site Name],A165,measured[Date],B165)),"")</f>
        <v>10695</v>
      </c>
      <c r="D165" cm="1">
        <f t="array" ref="D165">IFERROR(IF(SUMPRODUCT((expected_production[Site Name]=A165)*(expected_production[Date]=B165)*ISNUMBER(expected_production[Expected Production (kWh)]))=0,"",SUMIFS(expected_production[Expected Production (kWh)],expected_production[Site Name],A165,expected_production[Date],B165)),"")</f>
        <v>15068.760016155176</v>
      </c>
      <c r="E165" s="9">
        <f t="shared" si="6"/>
        <v>0.70974652118249415</v>
      </c>
      <c r="F165" t="str">
        <f t="shared" si="7"/>
        <v>Moderate</v>
      </c>
    </row>
    <row r="166" spans="1:7" ht="15" hidden="1" customHeight="1" x14ac:dyDescent="0.3">
      <c r="A166" t="s">
        <v>55</v>
      </c>
      <c r="B166" s="2">
        <v>45901</v>
      </c>
      <c r="C166" cm="1">
        <f t="array" ref="C166">IFERROR(IF(SUMPRODUCT((measured[Site Name]=A166)*(measured[Date]=B166)*ISNUMBER(measured[Measured Value (kWh)]))=0,"",SUMIFS(measured[Measured Value (kWh)],measured[Site Name],A166,measured[Date],B166)),"")</f>
        <v>8585</v>
      </c>
      <c r="D166" cm="1">
        <f t="array" ref="D166">IFERROR(IF(SUMPRODUCT((expected_production[Site Name]=A166)*(expected_production[Date]=B166)*ISNUMBER(expected_production[Expected Production (kWh)]))=0,"",SUMIFS(expected_production[Expected Production (kWh)],expected_production[Site Name],A166,expected_production[Date],B166)),"")</f>
        <v>15139.835069636825</v>
      </c>
      <c r="E166" s="9">
        <f t="shared" si="6"/>
        <v>0.56704712835461146</v>
      </c>
      <c r="F166" t="str">
        <f t="shared" si="7"/>
        <v>Poor</v>
      </c>
    </row>
    <row r="167" spans="1:7" ht="15" hidden="1" customHeight="1" x14ac:dyDescent="0.3">
      <c r="A167" t="s">
        <v>55</v>
      </c>
      <c r="B167" s="2">
        <v>45931</v>
      </c>
      <c r="C167" cm="1">
        <f t="array" ref="C167">IFERROR(IF(SUMPRODUCT((measured[Site Name]=A167)*(measured[Date]=B167)*ISNUMBER(measured[Measured Value (kWh)]))=0,"",SUMIFS(measured[Measured Value (kWh)],measured[Site Name],A167,measured[Date],B167)),"")</f>
        <v>9077.9</v>
      </c>
      <c r="D167" cm="1">
        <f t="array" ref="D167">IFERROR(IF(SUMPRODUCT((expected_production[Site Name]=A167)*(expected_production[Date]=B167)*ISNUMBER(expected_production[Expected Production (kWh)]))=0,"",SUMIFS(expected_production[Expected Production (kWh)],expected_production[Site Name],A167,expected_production[Date],B167)),"")</f>
        <v>14532.692465583821</v>
      </c>
      <c r="E167" s="9">
        <f t="shared" si="6"/>
        <v>0.62465369177103225</v>
      </c>
      <c r="F167" t="str">
        <f t="shared" si="7"/>
        <v>Poor</v>
      </c>
    </row>
    <row r="168" spans="1:7" ht="15" hidden="1" customHeight="1" x14ac:dyDescent="0.3">
      <c r="A168" t="s">
        <v>55</v>
      </c>
      <c r="B168" s="2">
        <v>45962</v>
      </c>
      <c r="C168" cm="1">
        <f t="array" ref="C168">IFERROR(IF(SUMPRODUCT((measured[Site Name]=A168)*(measured[Date]=B168)*ISNUMBER(measured[Measured Value (kWh)]))=0,"",SUMIFS(measured[Measured Value (kWh)],measured[Site Name],A168,measured[Date],B168)),"")</f>
        <v>10382</v>
      </c>
      <c r="D168" cm="1">
        <f t="array" ref="D168">IFERROR(IF(SUMPRODUCT((expected_production[Site Name]=A168)*(expected_production[Date]=B168)*ISNUMBER(expected_production[Expected Production (kWh)]))=0,"",SUMIFS(expected_production[Expected Production (kWh)],expected_production[Site Name],A168,expected_production[Date],B168)),"")</f>
        <v>14400.755022471769</v>
      </c>
      <c r="E168" s="9">
        <f t="shared" si="6"/>
        <v>0.72093442210490555</v>
      </c>
      <c r="F168" t="str">
        <f t="shared" si="7"/>
        <v>Moderate</v>
      </c>
    </row>
    <row r="169" spans="1:7" ht="15" hidden="1" customHeight="1" x14ac:dyDescent="0.3">
      <c r="A169" t="s">
        <v>55</v>
      </c>
      <c r="B169" s="2">
        <v>45992</v>
      </c>
      <c r="C169" cm="1">
        <f t="array" ref="C169">IFERROR(IF(SUMPRODUCT((measured[Site Name]=A169)*(measured[Date]=B169)*ISNUMBER(measured[Measured Value (kWh)]))=0,"",SUMIFS(measured[Measured Value (kWh)],measured[Site Name],A169,measured[Date],B169)),"")</f>
        <v>13631</v>
      </c>
      <c r="D169" cm="1">
        <f t="array" ref="D169">IFERROR(IF(SUMPRODUCT((expected_production[Site Name]=A169)*(expected_production[Date]=B169)*ISNUMBER(expected_production[Expected Production (kWh)]))=0,"",SUMIFS(expected_production[Expected Production (kWh)],expected_production[Site Name],A169,expected_production[Date],B169)),"")</f>
        <v>15820.954700573106</v>
      </c>
      <c r="E169" s="9">
        <f t="shared" si="6"/>
        <v>0.86157885272917345</v>
      </c>
      <c r="F169" t="str">
        <f t="shared" si="7"/>
        <v>Moderate</v>
      </c>
    </row>
    <row r="170" spans="1:7" ht="15" hidden="1" customHeight="1" x14ac:dyDescent="0.3">
      <c r="A170" t="s">
        <v>55</v>
      </c>
      <c r="B170" s="2">
        <v>46023</v>
      </c>
      <c r="C170" cm="1">
        <f t="array" ref="C170">IFERROR(IF(SUMPRODUCT((measured[Site Name]=A170)*(measured[Date]=B170)*ISNUMBER(measured[Measured Value (kWh)]))=0,"",SUMIFS(measured[Measured Value (kWh)],measured[Site Name],A170,measured[Date],B170)),"")</f>
        <v>11296</v>
      </c>
      <c r="D170" cm="1">
        <f t="array" ref="D170">IFERROR(IF(SUMPRODUCT((expected_production[Site Name]=A170)*(expected_production[Date]=B170)*ISNUMBER(expected_production[Expected Production (kWh)]))=0,"",SUMIFS(expected_production[Expected Production (kWh)],expected_production[Site Name],A170,expected_production[Date],B170)),"")</f>
        <v>15917.184771523624</v>
      </c>
      <c r="E170" s="9">
        <f t="shared" si="6"/>
        <v>0.70967323444086183</v>
      </c>
      <c r="F170" t="str">
        <f t="shared" si="7"/>
        <v>Moderate</v>
      </c>
    </row>
    <row r="171" spans="1:7" ht="15" hidden="1" customHeight="1" x14ac:dyDescent="0.3">
      <c r="A171" t="s">
        <v>55</v>
      </c>
      <c r="B171" s="2">
        <v>46054</v>
      </c>
      <c r="C171" cm="1">
        <f t="array" ref="C171">IFERROR(IF(SUMPRODUCT((measured[Site Name]=A171)*(measured[Date]=B171)*ISNUMBER(measured[Measured Value (kWh)]))=0,"",SUMIFS(measured[Measured Value (kWh)],measured[Site Name],A171,measured[Date],B171)),"")</f>
        <v>11241.78046</v>
      </c>
      <c r="D171" cm="1">
        <f t="array" ref="D171">IFERROR(IF(SUMPRODUCT((expected_production[Site Name]=A171)*(expected_production[Date]=B171)*ISNUMBER(expected_production[Expected Production (kWh)]))=0,"",SUMIFS(expected_production[Expected Production (kWh)],expected_production[Site Name],A171,expected_production[Date],B171)),"")</f>
        <v>13681.850624628141</v>
      </c>
      <c r="E171" s="9">
        <f t="shared" si="6"/>
        <v>0.82165642415099382</v>
      </c>
      <c r="F171" t="str">
        <f t="shared" si="7"/>
        <v>Moderate</v>
      </c>
    </row>
    <row r="172" spans="1:7" ht="15" hidden="1" customHeight="1" x14ac:dyDescent="0.3">
      <c r="A172" t="s">
        <v>55</v>
      </c>
      <c r="B172" s="2">
        <v>46082</v>
      </c>
      <c r="C172" cm="1">
        <f t="array" ref="C172">IFERROR(IF(SUMPRODUCT((measured[Site Name]=A172)*(measured[Date]=B172)*ISNUMBER(measured[Measured Value (kWh)]))=0,"",SUMIFS(measured[Measured Value (kWh)],measured[Site Name],A172,measured[Date],B172)),"")</f>
        <v>10628</v>
      </c>
      <c r="D172" cm="1">
        <f t="array" ref="D172">IFERROR(IF(SUMPRODUCT((expected_production[Site Name]=A172)*(expected_production[Date]=B172)*ISNUMBER(expected_production[Expected Production (kWh)]))=0,"",SUMIFS(expected_production[Expected Production (kWh)],expected_production[Site Name],A172,expected_production[Date],B172)),"")</f>
        <v>15117.971950617268</v>
      </c>
      <c r="E172" s="9">
        <f t="shared" si="6"/>
        <v>0.70300434705900205</v>
      </c>
      <c r="F172" t="str">
        <f t="shared" si="7"/>
        <v>Moderate</v>
      </c>
    </row>
    <row r="173" spans="1:7" ht="15" hidden="1" customHeight="1" x14ac:dyDescent="0.3">
      <c r="A173" t="s">
        <v>55</v>
      </c>
      <c r="B173" s="2">
        <v>46113</v>
      </c>
      <c r="C173" s="5" cm="1">
        <f t="array" ref="C173">IFERROR(IF(SUMPRODUCT((measured[Site Name]=A173)*(measured[Date]=B173)*ISNUMBER(measured[Measured Value (kWh)]))=0,"",SUMIFS(measured[Measured Value (kWh)],measured[Site Name],A173,measured[Date],B173)),"")</f>
        <v>8541.19</v>
      </c>
      <c r="D173" cm="1">
        <f t="array" ref="D173">IFERROR(IF(SUMPRODUCT((expected_production[Site Name]=A173)*(expected_production[Date]=B173)*ISNUMBER(expected_production[Expected Production (kWh)]))=0,"",SUMIFS(expected_production[Expected Production (kWh)],expected_production[Site Name],A173,expected_production[Date],B173)),"")</f>
        <v>14545.032901795234</v>
      </c>
      <c r="E173" s="9">
        <f t="shared" si="6"/>
        <v>0.58722383494545394</v>
      </c>
      <c r="F173" t="str">
        <f t="shared" si="7"/>
        <v>Poor</v>
      </c>
    </row>
    <row r="174" spans="1:7" ht="15" hidden="1" customHeight="1" x14ac:dyDescent="0.3">
      <c r="A174" t="s">
        <v>55</v>
      </c>
      <c r="B174" s="2">
        <v>46143</v>
      </c>
      <c r="C174" s="5" cm="1">
        <f t="array" ref="C174">IFERROR(IF(SUMPRODUCT((measured[Site Name]=A174)*(measured[Date]=B174)*ISNUMBER(measured[Measured Value (kWh)]))=0,"",SUMIFS(measured[Measured Value (kWh)],measured[Site Name],A174,measured[Date],B174)),"")</f>
        <v>9563.61</v>
      </c>
      <c r="D174" cm="1">
        <f t="array" ref="D174">IFERROR(IF(SUMPRODUCT((expected_production[Site Name]=A174)*(expected_production[Date]=B174)*ISNUMBER(expected_production[Expected Production (kWh)]))=0,"",SUMIFS(expected_production[Expected Production (kWh)],expected_production[Site Name],A174,expected_production[Date],B174)),"")</f>
        <v>14073.476081604003</v>
      </c>
      <c r="E174" s="9">
        <f t="shared" si="6"/>
        <v>0.6795485311905971</v>
      </c>
      <c r="F174" t="str">
        <f t="shared" si="7"/>
        <v>Poor</v>
      </c>
    </row>
    <row r="175" spans="1:7" ht="15" hidden="1" customHeight="1" x14ac:dyDescent="0.3">
      <c r="A175" t="s">
        <v>55</v>
      </c>
      <c r="B175" s="2">
        <v>46174</v>
      </c>
      <c r="C175" cm="1">
        <f t="array" ref="C175">IFERROR(IF(SUMPRODUCT((measured[Site Name]=A175)*(measured[Date]=B175)*ISNUMBER(measured[Measured Value (kWh)]))=0,"",SUMIFS(measured[Measured Value (kWh)],measured[Site Name],A175,measured[Date],B175)),"")</f>
        <v>7968.17</v>
      </c>
      <c r="D175" cm="1">
        <f t="array" ref="D175">IFERROR(IF(SUMPRODUCT((expected_production[Site Name]=A175)*(expected_production[Date]=B175)*ISNUMBER(expected_production[Expected Production (kWh)]))=0,"",SUMIFS(expected_production[Expected Production (kWh)],expected_production[Site Name],A175,expected_production[Date],B175)),"")</f>
        <v>12736.142441472783</v>
      </c>
      <c r="E175" s="9">
        <f t="shared" si="6"/>
        <v>0.6256344914966715</v>
      </c>
      <c r="F175" t="str">
        <f t="shared" si="7"/>
        <v>Poor</v>
      </c>
    </row>
    <row r="176" spans="1:7" ht="15" hidden="1" customHeight="1" x14ac:dyDescent="0.3">
      <c r="A176" t="s">
        <v>55</v>
      </c>
      <c r="B176" s="2">
        <v>46204</v>
      </c>
      <c r="C176" cm="1">
        <f t="array" ref="C176">IFERROR(IF(SUMPRODUCT((measured[Site Name]=A176)*(measured[Date]=B176)*ISNUMBER(measured[Measured Value (kWh)]))=0,"",SUMIFS(measured[Measured Value (kWh)],measured[Site Name],A176,measured[Date],B176)),"")</f>
        <v>10351.41</v>
      </c>
      <c r="D176" cm="1">
        <f t="array" ref="D176">IFERROR(IF(SUMPRODUCT((expected_production[Site Name]=A176)*(expected_production[Date]=B176)*ISNUMBER(expected_production[Expected Production (kWh)]))=0,"",SUMIFS(expected_production[Expected Production (kWh)],expected_production[Site Name],A176,expected_production[Date],B176)),"")</f>
        <v>13397.031038109317</v>
      </c>
      <c r="E176" s="9">
        <f t="shared" si="6"/>
        <v>0.77266447846200281</v>
      </c>
      <c r="F176" t="str">
        <f t="shared" si="7"/>
        <v>Moderate</v>
      </c>
      <c r="G176" t="s">
        <v>874</v>
      </c>
    </row>
    <row r="177" spans="1:7" ht="15" hidden="1" customHeight="1" x14ac:dyDescent="0.3">
      <c r="A177" t="s">
        <v>55</v>
      </c>
      <c r="B177" s="2">
        <v>46235</v>
      </c>
      <c r="C177" cm="1">
        <f t="array" ref="C177">IFERROR(IF(SUMPRODUCT((measured[Site Name]=A177)*(measured[Date]=B177)*ISNUMBER(measured[Measured Value (kWh)]))=0,"",SUMIFS(measured[Measured Value (kWh)],measured[Site Name],A177,measured[Date],B177)),"")</f>
        <v>11244.861000000001</v>
      </c>
      <c r="D177" cm="1">
        <f t="array" ref="D177">IFERROR(IF(SUMPRODUCT((expected_production[Site Name]=A177)*(expected_production[Date]=B177)*ISNUMBER(expected_production[Expected Production (kWh)]))=0,"",SUMIFS(expected_production[Expected Production (kWh)],expected_production[Site Name],A177,expected_production[Date],B177)),"")</f>
        <v>14963.350640959083</v>
      </c>
      <c r="E177" s="9">
        <f t="shared" si="6"/>
        <v>0.75149351704821488</v>
      </c>
      <c r="F177" t="str">
        <f t="shared" si="7"/>
        <v>Moderate</v>
      </c>
      <c r="G177" t="s">
        <v>874</v>
      </c>
    </row>
    <row r="178" spans="1:7" x14ac:dyDescent="0.3">
      <c r="A178" t="s">
        <v>55</v>
      </c>
      <c r="B178" s="2">
        <v>46266</v>
      </c>
      <c r="C178" cm="1">
        <f t="array" ref="C178">IFERROR(IF(SUMPRODUCT((measured[Site Name]=A178)*(measured[Date]=B178)*ISNUMBER(measured[Measured Value (kWh)]))=0,"",SUMIFS(measured[Measured Value (kWh)],measured[Site Name],A178,measured[Date],B178)),"")</f>
        <v>8314.17</v>
      </c>
      <c r="D178" cm="1">
        <f t="array" ref="D178">IFERROR(IF(SUMPRODUCT((expected_production[Site Name]=A178)*(expected_production[Date]=B178)*ISNUMBER(expected_production[Expected Production (kWh)]))=0,"",SUMIFS(expected_production[Expected Production (kWh)],expected_production[Site Name],A178,expected_production[Date],B178)),"")</f>
        <v>15033.928508410063</v>
      </c>
      <c r="E178" s="9">
        <f t="shared" si="6"/>
        <v>0.55302710767508356</v>
      </c>
      <c r="F178" t="str">
        <f t="shared" si="7"/>
        <v>Poor</v>
      </c>
      <c r="G178" t="s">
        <v>874</v>
      </c>
    </row>
    <row r="179" spans="1:7" ht="15" hidden="1" customHeight="1" x14ac:dyDescent="0.3">
      <c r="A179" t="s">
        <v>55</v>
      </c>
      <c r="B179" s="2">
        <v>46296</v>
      </c>
      <c r="C179" t="str" cm="1">
        <f t="array" ref="C179">IFERROR(IF(SUMPRODUCT((measured[Site Name]=A179)*(measured[Date]=B179)*ISNUMBER(measured[Measured Value (kWh)]))=0,"",SUMIFS(measured[Measured Value (kWh)],measured[Site Name],A179,measured[Date],B179)),"")</f>
        <v/>
      </c>
      <c r="D179" cm="1">
        <f t="array" ref="D179">IFERROR(IF(SUMPRODUCT((expected_production[Site Name]=A179)*(expected_production[Date]=B179)*ISNUMBER(expected_production[Expected Production (kWh)]))=0,"",SUMIFS(expected_production[Expected Production (kWh)],expected_production[Site Name],A179,expected_production[Date],B179)),"")</f>
        <v>14431.033003818431</v>
      </c>
      <c r="E179" s="9" t="str">
        <f t="shared" si="6"/>
        <v/>
      </c>
      <c r="F179" t="str">
        <f t="shared" si="7"/>
        <v/>
      </c>
    </row>
    <row r="180" spans="1:7" ht="15" hidden="1" customHeight="1" x14ac:dyDescent="0.3">
      <c r="A180" t="s">
        <v>55</v>
      </c>
      <c r="B180" s="2">
        <v>46327</v>
      </c>
      <c r="C180" t="str" cm="1">
        <f t="array" ref="C180">IFERROR(IF(SUMPRODUCT((measured[Site Name]=A180)*(measured[Date]=B180)*ISNUMBER(measured[Measured Value (kWh)]))=0,"",SUMIFS(measured[Measured Value (kWh)],measured[Site Name],A180,measured[Date],B180)),"")</f>
        <v/>
      </c>
      <c r="D180" cm="1">
        <f t="array" ref="D180">IFERROR(IF(SUMPRODUCT((expected_production[Site Name]=A180)*(expected_production[Date]=B180)*ISNUMBER(expected_production[Expected Production (kWh)]))=0,"",SUMIFS(expected_production[Expected Production (kWh)],expected_production[Site Name],A180,expected_production[Date],B180)),"")</f>
        <v>14300.018492880527</v>
      </c>
      <c r="E180" s="9" t="str">
        <f t="shared" si="6"/>
        <v/>
      </c>
      <c r="F180" t="str">
        <f t="shared" si="7"/>
        <v/>
      </c>
    </row>
    <row r="181" spans="1:7" ht="15" hidden="1" customHeight="1" x14ac:dyDescent="0.3">
      <c r="A181" t="s">
        <v>55</v>
      </c>
      <c r="B181" s="2">
        <v>46357</v>
      </c>
      <c r="C181" t="str" cm="1">
        <f t="array" ref="C181">IFERROR(IF(SUMPRODUCT((measured[Site Name]=A181)*(measured[Date]=B181)*ISNUMBER(measured[Measured Value (kWh)]))=0,"",SUMIFS(measured[Measured Value (kWh)],measured[Site Name],A181,measured[Date],B181)),"")</f>
        <v/>
      </c>
      <c r="D181" cm="1">
        <f t="array" ref="D181">IFERROR(IF(SUMPRODUCT((expected_production[Site Name]=A181)*(expected_production[Date]=B181)*ISNUMBER(expected_production[Expected Production (kWh)]))=0,"",SUMIFS(expected_production[Expected Production (kWh)],expected_production[Site Name],A181,expected_production[Date],B181)),"")</f>
        <v>15710.283553895793</v>
      </c>
      <c r="E181" s="9" t="str">
        <f t="shared" si="6"/>
        <v/>
      </c>
      <c r="F181" t="str">
        <f t="shared" si="7"/>
        <v/>
      </c>
    </row>
    <row r="182" spans="1:7" ht="15" hidden="1" customHeight="1" x14ac:dyDescent="0.3">
      <c r="A182" t="s">
        <v>60</v>
      </c>
      <c r="B182" s="2">
        <v>45292</v>
      </c>
      <c r="C182" cm="1">
        <f t="array" ref="C182">IFERROR(IF(SUMPRODUCT((measured[Site Name]=A182)*(measured[Date]=B182)*ISNUMBER(measured[Measured Value (kWh)]))=0,"",SUMIFS(measured[Measured Value (kWh)],measured[Site Name],A182,measured[Date],B182)),"")</f>
        <v>55000</v>
      </c>
      <c r="D182" cm="1">
        <f t="array" ref="D182">IFERROR(IF(SUMPRODUCT((expected_production[Site Name]=A182)*(expected_production[Date]=B182)*ISNUMBER(expected_production[Expected Production (kWh)]))=0,"",SUMIFS(expected_production[Expected Production (kWh)],expected_production[Site Name],A182,expected_production[Date],B182)),"")</f>
        <v>51295.000449373256</v>
      </c>
      <c r="E182" s="9">
        <f t="shared" si="6"/>
        <v>1.0722292527179813</v>
      </c>
      <c r="F182" t="str">
        <f t="shared" si="7"/>
        <v>Expected</v>
      </c>
    </row>
    <row r="183" spans="1:7" ht="15" hidden="1" customHeight="1" x14ac:dyDescent="0.3">
      <c r="A183" t="s">
        <v>60</v>
      </c>
      <c r="B183" s="2">
        <v>45323</v>
      </c>
      <c r="C183" cm="1">
        <f t="array" ref="C183">IFERROR(IF(SUMPRODUCT((measured[Site Name]=A183)*(measured[Date]=B183)*ISNUMBER(measured[Measured Value (kWh)]))=0,"",SUMIFS(measured[Measured Value (kWh)],measured[Site Name],A183,measured[Date],B183)),"")</f>
        <v>46799</v>
      </c>
      <c r="D183" cm="1">
        <f t="array" ref="D183">IFERROR(IF(SUMPRODUCT((expected_production[Site Name]=A183)*(expected_production[Date]=B183)*ISNUMBER(expected_production[Expected Production (kWh)]))=0,"",SUMIFS(expected_production[Expected Production (kWh)],expected_production[Site Name],A183,expected_production[Date],B183)),"")</f>
        <v>44060.053177715105</v>
      </c>
      <c r="E183" s="9">
        <f t="shared" si="6"/>
        <v>1.0621639472661875</v>
      </c>
      <c r="F183" t="str">
        <f t="shared" si="7"/>
        <v>Expected</v>
      </c>
    </row>
    <row r="184" spans="1:7" ht="15" hidden="1" customHeight="1" x14ac:dyDescent="0.3">
      <c r="A184" t="s">
        <v>60</v>
      </c>
      <c r="B184" s="2">
        <v>45352</v>
      </c>
      <c r="C184" cm="1">
        <f t="array" ref="C184">IFERROR(IF(SUMPRODUCT((measured[Site Name]=A184)*(measured[Date]=B184)*ISNUMBER(measured[Measured Value (kWh)]))=0,"",SUMIFS(measured[Measured Value (kWh)],measured[Site Name],A184,measured[Date],B184)),"")</f>
        <v>40582</v>
      </c>
      <c r="D184" cm="1">
        <f t="array" ref="D184">IFERROR(IF(SUMPRODUCT((expected_production[Site Name]=A184)*(expected_production[Date]=B184)*ISNUMBER(expected_production[Expected Production (kWh)]))=0,"",SUMIFS(expected_production[Expected Production (kWh)],expected_production[Site Name],A184,expected_production[Date],B184)),"")</f>
        <v>48664.338063088224</v>
      </c>
      <c r="E184" s="9">
        <f t="shared" si="6"/>
        <v>0.83391661358651759</v>
      </c>
      <c r="F184" t="str">
        <f t="shared" si="7"/>
        <v>Moderate</v>
      </c>
    </row>
    <row r="185" spans="1:7" ht="15" hidden="1" customHeight="1" x14ac:dyDescent="0.3">
      <c r="A185" t="s">
        <v>60</v>
      </c>
      <c r="B185" s="2">
        <v>45383</v>
      </c>
      <c r="C185" cm="1">
        <f t="array" ref="C185">IFERROR(IF(SUMPRODUCT((measured[Site Name]=A185)*(measured[Date]=B185)*ISNUMBER(measured[Measured Value (kWh)]))=0,"",SUMIFS(measured[Measured Value (kWh)],measured[Site Name],A185,measured[Date],B185)),"")</f>
        <v>39615</v>
      </c>
      <c r="D185" cm="1">
        <f t="array" ref="D185">IFERROR(IF(SUMPRODUCT((expected_production[Site Name]=A185)*(expected_production[Date]=B185)*ISNUMBER(expected_production[Expected Production (kWh)]))=0,"",SUMIFS(expected_production[Expected Production (kWh)],expected_production[Site Name],A185,expected_production[Date],B185)),"")</f>
        <v>46749.990836686666</v>
      </c>
      <c r="E185" s="9">
        <f t="shared" si="6"/>
        <v>0.84737984523651411</v>
      </c>
      <c r="F185" t="str">
        <f t="shared" si="7"/>
        <v>Moderate</v>
      </c>
    </row>
    <row r="186" spans="1:7" ht="15" hidden="1" customHeight="1" x14ac:dyDescent="0.3">
      <c r="A186" t="s">
        <v>60</v>
      </c>
      <c r="B186" s="2">
        <v>45413</v>
      </c>
      <c r="C186" cm="1">
        <f t="array" ref="C186">IFERROR(IF(SUMPRODUCT((measured[Site Name]=A186)*(measured[Date]=B186)*ISNUMBER(measured[Measured Value (kWh)]))=0,"",SUMIFS(measured[Measured Value (kWh)],measured[Site Name],A186,measured[Date],B186)),"")</f>
        <v>39494</v>
      </c>
      <c r="D186" cm="1">
        <f t="array" ref="D186">IFERROR(IF(SUMPRODUCT((expected_production[Site Name]=A186)*(expected_production[Date]=B186)*ISNUMBER(expected_production[Expected Production (kWh)]))=0,"",SUMIFS(expected_production[Expected Production (kWh)],expected_production[Site Name],A186,expected_production[Date],B186)),"")</f>
        <v>45150.629462716555</v>
      </c>
      <c r="E186" s="9">
        <f t="shared" si="6"/>
        <v>0.8747164872333052</v>
      </c>
      <c r="F186" t="str">
        <f t="shared" si="7"/>
        <v>Moderate</v>
      </c>
    </row>
    <row r="187" spans="1:7" ht="15" hidden="1" customHeight="1" x14ac:dyDescent="0.3">
      <c r="A187" t="s">
        <v>60</v>
      </c>
      <c r="B187" s="2">
        <v>45444</v>
      </c>
      <c r="C187" cm="1">
        <f t="array" ref="C187">IFERROR(IF(SUMPRODUCT((measured[Site Name]=A187)*(measured[Date]=B187)*ISNUMBER(measured[Measured Value (kWh)]))=0,"",SUMIFS(measured[Measured Value (kWh)],measured[Site Name],A187,measured[Date],B187)),"")</f>
        <v>35378</v>
      </c>
      <c r="D187" cm="1">
        <f t="array" ref="D187">IFERROR(IF(SUMPRODUCT((expected_production[Site Name]=A187)*(expected_production[Date]=B187)*ISNUMBER(expected_production[Expected Production (kWh)]))=0,"",SUMIFS(expected_production[Expected Production (kWh)],expected_production[Site Name],A187,expected_production[Date],B187)),"")</f>
        <v>40808.754394884709</v>
      </c>
      <c r="E187" s="9">
        <f t="shared" si="6"/>
        <v>0.86692182901898518</v>
      </c>
      <c r="F187" t="str">
        <f t="shared" si="7"/>
        <v>Moderate</v>
      </c>
    </row>
    <row r="188" spans="1:7" ht="15" hidden="1" customHeight="1" x14ac:dyDescent="0.3">
      <c r="A188" t="s">
        <v>60</v>
      </c>
      <c r="B188" s="2">
        <v>45474</v>
      </c>
      <c r="C188" cm="1">
        <f t="array" ref="C188">IFERROR(IF(SUMPRODUCT((measured[Site Name]=A188)*(measured[Date]=B188)*ISNUMBER(measured[Measured Value (kWh)]))=0,"",SUMIFS(measured[Measured Value (kWh)],measured[Site Name],A188,measured[Date],B188)),"")</f>
        <v>38293</v>
      </c>
      <c r="D188" cm="1">
        <f t="array" ref="D188">IFERROR(IF(SUMPRODUCT((expected_production[Site Name]=A188)*(expected_production[Date]=B188)*ISNUMBER(expected_production[Expected Production (kWh)]))=0,"",SUMIFS(expected_production[Expected Production (kWh)],expected_production[Site Name],A188,expected_production[Date],B188)),"")</f>
        <v>42945.637480930076</v>
      </c>
      <c r="E188" s="9">
        <f t="shared" si="6"/>
        <v>0.89166216282163535</v>
      </c>
      <c r="F188" t="str">
        <f t="shared" si="7"/>
        <v>Moderate</v>
      </c>
    </row>
    <row r="189" spans="1:7" ht="15" hidden="1" customHeight="1" x14ac:dyDescent="0.3">
      <c r="A189" t="s">
        <v>60</v>
      </c>
      <c r="B189" s="2">
        <v>45505</v>
      </c>
      <c r="C189" cm="1">
        <f t="array" ref="C189">IFERROR(IF(SUMPRODUCT((measured[Site Name]=A189)*(measured[Date]=B189)*ISNUMBER(measured[Measured Value (kWh)]))=0,"",SUMIFS(measured[Measured Value (kWh)],measured[Site Name],A189,measured[Date],B189)),"")</f>
        <v>38554</v>
      </c>
      <c r="D189" cm="1">
        <f t="array" ref="D189">IFERROR(IF(SUMPRODUCT((expected_production[Site Name]=A189)*(expected_production[Date]=B189)*ISNUMBER(expected_production[Expected Production (kWh)]))=0,"",SUMIFS(expected_production[Expected Production (kWh)],expected_production[Site Name],A189,expected_production[Date],B189)),"")</f>
        <v>48050.697826682124</v>
      </c>
      <c r="E189" s="9">
        <f t="shared" si="6"/>
        <v>0.80236087598693118</v>
      </c>
      <c r="F189" t="str">
        <f t="shared" si="7"/>
        <v>Moderate</v>
      </c>
    </row>
    <row r="190" spans="1:7" ht="15" hidden="1" customHeight="1" x14ac:dyDescent="0.3">
      <c r="A190" t="s">
        <v>60</v>
      </c>
      <c r="B190" s="2">
        <v>45536</v>
      </c>
      <c r="C190" cm="1">
        <f t="array" ref="C190">IFERROR(IF(SUMPRODUCT((measured[Site Name]=A190)*(measured[Date]=B190)*ISNUMBER(measured[Measured Value (kWh)]))=0,"",SUMIFS(measured[Measured Value (kWh)],measured[Site Name],A190,measured[Date],B190)),"")</f>
        <v>37782</v>
      </c>
      <c r="D190" cm="1">
        <f t="array" ref="D190">IFERROR(IF(SUMPRODUCT((expected_production[Site Name]=A190)*(expected_production[Date]=B190)*ISNUMBER(expected_production[Expected Production (kWh)]))=0,"",SUMIFS(expected_production[Expected Production (kWh)],expected_production[Site Name],A190,expected_production[Date],B190)),"")</f>
        <v>48356.743454665884</v>
      </c>
      <c r="E190" s="9">
        <f t="shared" si="6"/>
        <v>0.78131812237150267</v>
      </c>
      <c r="F190" t="str">
        <f t="shared" si="7"/>
        <v>Moderate</v>
      </c>
    </row>
    <row r="191" spans="1:7" ht="15" hidden="1" customHeight="1" x14ac:dyDescent="0.3">
      <c r="A191" t="s">
        <v>60</v>
      </c>
      <c r="B191" s="2">
        <v>45566</v>
      </c>
      <c r="C191" cm="1">
        <f t="array" ref="C191">IFERROR(IF(SUMPRODUCT((measured[Site Name]=A191)*(measured[Date]=B191)*ISNUMBER(measured[Measured Value (kWh)]))=0,"",SUMIFS(measured[Measured Value (kWh)],measured[Site Name],A191,measured[Date],B191)),"")</f>
        <v>47662</v>
      </c>
      <c r="D191" cm="1">
        <f t="array" ref="D191">IFERROR(IF(SUMPRODUCT((expected_production[Site Name]=A191)*(expected_production[Date]=B191)*ISNUMBER(expected_production[Expected Production (kWh)]))=0,"",SUMIFS(expected_production[Expected Production (kWh)],expected_production[Site Name],A191,expected_production[Date],B191)),"")</f>
        <v>46485.323841520403</v>
      </c>
      <c r="E191" s="9">
        <f t="shared" si="6"/>
        <v>1.02531285277244</v>
      </c>
      <c r="F191" t="str">
        <f t="shared" si="7"/>
        <v>Expected</v>
      </c>
    </row>
    <row r="192" spans="1:7" ht="15" hidden="1" customHeight="1" x14ac:dyDescent="0.3">
      <c r="A192" t="s">
        <v>60</v>
      </c>
      <c r="B192" s="2">
        <v>45597</v>
      </c>
      <c r="C192" cm="1">
        <f t="array" ref="C192">IFERROR(IF(SUMPRODUCT((measured[Site Name]=A192)*(measured[Date]=B192)*ISNUMBER(measured[Measured Value (kWh)]))=0,"",SUMIFS(measured[Measured Value (kWh)],measured[Site Name],A192,measured[Date],B192)),"")</f>
        <v>48184</v>
      </c>
      <c r="D192" cm="1">
        <f t="array" ref="D192">IFERROR(IF(SUMPRODUCT((expected_production[Site Name]=A192)*(expected_production[Date]=B192)*ISNUMBER(expected_production[Expected Production (kWh)]))=0,"",SUMIFS(expected_production[Expected Production (kWh)],expected_production[Site Name],A192,expected_production[Date],B192)),"")</f>
        <v>46099.434053960707</v>
      </c>
      <c r="E192" s="9">
        <f t="shared" si="6"/>
        <v>1.0452189053687568</v>
      </c>
      <c r="F192" t="str">
        <f t="shared" si="7"/>
        <v>Expected</v>
      </c>
    </row>
    <row r="193" spans="1:6" ht="15" hidden="1" customHeight="1" x14ac:dyDescent="0.3">
      <c r="A193" t="s">
        <v>60</v>
      </c>
      <c r="B193" s="2">
        <v>45627</v>
      </c>
      <c r="C193" cm="1">
        <f t="array" ref="C193">IFERROR(IF(SUMPRODUCT((measured[Site Name]=A193)*(measured[Date]=B193)*ISNUMBER(measured[Measured Value (kWh)]))=0,"",SUMIFS(measured[Measured Value (kWh)],measured[Site Name],A193,measured[Date],B193)),"")</f>
        <v>44138</v>
      </c>
      <c r="D193" cm="1">
        <f t="array" ref="D193">IFERROR(IF(SUMPRODUCT((expected_production[Site Name]=A193)*(expected_production[Date]=B193)*ISNUMBER(expected_production[Expected Production (kWh)]))=0,"",SUMIFS(expected_production[Expected Production (kWh)],expected_production[Site Name],A193,expected_production[Date],B193)),"")</f>
        <v>50295.743143966909</v>
      </c>
      <c r="E193" s="9">
        <f t="shared" si="6"/>
        <v>0.87756929793559391</v>
      </c>
      <c r="F193" t="str">
        <f t="shared" si="7"/>
        <v>Moderate</v>
      </c>
    </row>
    <row r="194" spans="1:6" ht="15" hidden="1" customHeight="1" x14ac:dyDescent="0.3">
      <c r="A194" t="s">
        <v>60</v>
      </c>
      <c r="B194" s="2">
        <v>45658</v>
      </c>
      <c r="C194" cm="1">
        <f t="array" ref="C194">IFERROR(IF(SUMPRODUCT((measured[Site Name]=A194)*(measured[Date]=B194)*ISNUMBER(measured[Measured Value (kWh)]))=0,"",SUMIFS(measured[Measured Value (kWh)],measured[Site Name],A194,measured[Date],B194)),"")</f>
        <v>52262</v>
      </c>
      <c r="D194" cm="1">
        <f t="array" ref="D194">IFERROR(IF(SUMPRODUCT((expected_production[Site Name]=A194)*(expected_production[Date]=B194)*ISNUMBER(expected_production[Expected Production (kWh)]))=0,"",SUMIFS(expected_production[Expected Production (kWh)],expected_production[Site Name],A194,expected_production[Date],B194)),"")</f>
        <v>50935.2007383171</v>
      </c>
      <c r="E194" s="9">
        <f t="shared" si="6"/>
        <v>1.0260487686796291</v>
      </c>
      <c r="F194" t="str">
        <f t="shared" si="7"/>
        <v>Expected</v>
      </c>
    </row>
    <row r="195" spans="1:6" ht="15" hidden="1" customHeight="1" x14ac:dyDescent="0.3">
      <c r="A195" t="s">
        <v>60</v>
      </c>
      <c r="B195" s="2">
        <v>45689</v>
      </c>
      <c r="C195" cm="1">
        <f t="array" ref="C195">IFERROR(IF(SUMPRODUCT((measured[Site Name]=A195)*(measured[Date]=B195)*ISNUMBER(measured[Measured Value (kWh)]))=0,"",SUMIFS(measured[Measured Value (kWh)],measured[Site Name],A195,measured[Date],B195)),"")</f>
        <v>40904</v>
      </c>
      <c r="D195" cm="1">
        <f t="array" ref="D195">IFERROR(IF(SUMPRODUCT((expected_production[Site Name]=A195)*(expected_production[Date]=B195)*ISNUMBER(expected_production[Expected Production (kWh)]))=0,"",SUMIFS(expected_production[Expected Production (kWh)],expected_production[Site Name],A195,expected_production[Date],B195)),"")</f>
        <v>43751.001725067057</v>
      </c>
      <c r="E195" s="9">
        <f t="shared" si="6"/>
        <v>0.93492716480052906</v>
      </c>
      <c r="F195" t="str">
        <f t="shared" si="7"/>
        <v>Expected</v>
      </c>
    </row>
    <row r="196" spans="1:6" ht="15" hidden="1" customHeight="1" x14ac:dyDescent="0.3">
      <c r="A196" t="s">
        <v>60</v>
      </c>
      <c r="B196" s="2">
        <v>45717</v>
      </c>
      <c r="C196" cm="1">
        <f t="array" ref="C196">IFERROR(IF(SUMPRODUCT((measured[Site Name]=A196)*(measured[Date]=B196)*ISNUMBER(measured[Measured Value (kWh)]))=0,"",SUMIFS(measured[Measured Value (kWh)],measured[Site Name],A196,measured[Date],B196)),"")</f>
        <v>45751</v>
      </c>
      <c r="D196" cm="1">
        <f t="array" ref="D196">IFERROR(IF(SUMPRODUCT((expected_production[Site Name]=A196)*(expected_production[Date]=B196)*ISNUMBER(expected_production[Expected Production (kWh)]))=0,"",SUMIFS(expected_production[Expected Production (kWh)],expected_production[Site Name],A196,expected_production[Date],B196)),"")</f>
        <v>48323.920041694153</v>
      </c>
      <c r="E196" s="9">
        <f t="shared" si="6"/>
        <v>0.94675680202528634</v>
      </c>
      <c r="F196" t="str">
        <f t="shared" si="7"/>
        <v>Expected</v>
      </c>
    </row>
    <row r="197" spans="1:6" ht="15" hidden="1" customHeight="1" x14ac:dyDescent="0.3">
      <c r="A197" t="s">
        <v>60</v>
      </c>
      <c r="B197" s="2">
        <v>45748</v>
      </c>
      <c r="C197" cm="1">
        <f t="array" ref="C197">IFERROR(IF(SUMPRODUCT((measured[Site Name]=A197)*(measured[Date]=B197)*ISNUMBER(measured[Measured Value (kWh)]))=0,"",SUMIFS(measured[Measured Value (kWh)],measured[Site Name],A197,measured[Date],B197)),"")</f>
        <v>30758</v>
      </c>
      <c r="D197" cm="1">
        <f t="array" ref="D197">IFERROR(IF(SUMPRODUCT((expected_production[Site Name]=A197)*(expected_production[Date]=B197)*ISNUMBER(expected_production[Expected Production (kWh)]))=0,"",SUMIFS(expected_production[Expected Production (kWh)],expected_production[Site Name],A197,expected_production[Date],B197)),"")</f>
        <v>46422.964105938081</v>
      </c>
      <c r="E197" s="9">
        <f t="shared" si="6"/>
        <v>0.66256001942938547</v>
      </c>
      <c r="F197" t="str">
        <f t="shared" si="7"/>
        <v>Poor</v>
      </c>
    </row>
    <row r="198" spans="1:6" ht="15" hidden="1" customHeight="1" x14ac:dyDescent="0.3">
      <c r="A198" t="s">
        <v>60</v>
      </c>
      <c r="B198" s="2">
        <v>45778</v>
      </c>
      <c r="C198" cm="1">
        <f t="array" ref="C198">IFERROR(IF(SUMPRODUCT((measured[Site Name]=A198)*(measured[Date]=B198)*ISNUMBER(measured[Measured Value (kWh)]))=0,"",SUMIFS(measured[Measured Value (kWh)],measured[Site Name],A198,measured[Date],B198)),"")</f>
        <v>34925</v>
      </c>
      <c r="D198" cm="1">
        <f t="array" ref="D198">IFERROR(IF(SUMPRODUCT((expected_production[Site Name]=A198)*(expected_production[Date]=B198)*ISNUMBER(expected_production[Expected Production (kWh)]))=0,"",SUMIFS(expected_production[Expected Production (kWh)],expected_production[Site Name],A198,expected_production[Date],B198)),"")</f>
        <v>44834.790625528032</v>
      </c>
      <c r="E198" s="9">
        <f t="shared" si="6"/>
        <v>0.77897096234267693</v>
      </c>
      <c r="F198" t="str">
        <f t="shared" si="7"/>
        <v>Moderate</v>
      </c>
    </row>
    <row r="199" spans="1:6" ht="15" hidden="1" customHeight="1" x14ac:dyDescent="0.3">
      <c r="A199" t="s">
        <v>60</v>
      </c>
      <c r="B199" s="2">
        <v>45809</v>
      </c>
      <c r="C199" cm="1">
        <f t="array" ref="C199">IFERROR(IF(SUMPRODUCT((measured[Site Name]=A199)*(measured[Date]=B199)*ISNUMBER(measured[Measured Value (kWh)]))=0,"",SUMIFS(measured[Measured Value (kWh)],measured[Site Name],A199,measured[Date],B199)),"")</f>
        <v>29716.71</v>
      </c>
      <c r="D199" cm="1">
        <f t="array" ref="D199">IFERROR(IF(SUMPRODUCT((expected_production[Site Name]=A199)*(expected_production[Date]=B199)*ISNUMBER(expected_production[Expected Production (kWh)]))=0,"",SUMIFS(expected_production[Expected Production (kWh)],expected_production[Site Name],A199,expected_production[Date],B199)),"")</f>
        <v>40523.2879531414</v>
      </c>
      <c r="E199" s="9">
        <f t="shared" si="6"/>
        <v>0.73332425627364062</v>
      </c>
      <c r="F199" t="str">
        <f t="shared" si="7"/>
        <v>Moderate</v>
      </c>
    </row>
    <row r="200" spans="1:6" ht="15" hidden="1" customHeight="1" x14ac:dyDescent="0.3">
      <c r="A200" t="s">
        <v>60</v>
      </c>
      <c r="B200" s="2">
        <v>45839</v>
      </c>
      <c r="C200" cm="1">
        <f t="array" ref="C200">IFERROR(IF(SUMPRODUCT((measured[Site Name]=A200)*(measured[Date]=B200)*ISNUMBER(measured[Measured Value (kWh)]))=0,"",SUMIFS(measured[Measured Value (kWh)],measured[Site Name],A200,measured[Date],B200)),"")</f>
        <v>27958</v>
      </c>
      <c r="D200" cm="1">
        <f t="array" ref="D200">IFERROR(IF(SUMPRODUCT((expected_production[Site Name]=A200)*(expected_production[Date]=B200)*ISNUMBER(expected_production[Expected Production (kWh)]))=0,"",SUMIFS(expected_production[Expected Production (kWh)],expected_production[Site Name],A200,expected_production[Date],B200)),"")</f>
        <v>42645.223060008284</v>
      </c>
      <c r="E200" s="9">
        <f t="shared" si="6"/>
        <v>0.65559511696442208</v>
      </c>
      <c r="F200" t="str">
        <f t="shared" si="7"/>
        <v>Poor</v>
      </c>
    </row>
    <row r="201" spans="1:6" ht="15" hidden="1" customHeight="1" x14ac:dyDescent="0.3">
      <c r="A201" t="s">
        <v>60</v>
      </c>
      <c r="B201" s="2">
        <v>45870</v>
      </c>
      <c r="C201" cm="1">
        <f t="array" ref="C201">IFERROR(IF(SUMPRODUCT((measured[Site Name]=A201)*(measured[Date]=B201)*ISNUMBER(measured[Measured Value (kWh)]))=0,"",SUMIFS(measured[Measured Value (kWh)],measured[Site Name],A201,measured[Date],B201)),"")</f>
        <v>30682</v>
      </c>
      <c r="D201" cm="1">
        <f t="array" ref="D201">IFERROR(IF(SUMPRODUCT((expected_production[Site Name]=A201)*(expected_production[Date]=B201)*ISNUMBER(expected_production[Expected Production (kWh)]))=0,"",SUMIFS(expected_production[Expected Production (kWh)],expected_production[Site Name],A201,expected_production[Date],B201)),"")</f>
        <v>47714.572357153338</v>
      </c>
      <c r="E201" s="9">
        <f t="shared" si="6"/>
        <v>0.64303206513806621</v>
      </c>
      <c r="F201" t="str">
        <f t="shared" si="7"/>
        <v>Poor</v>
      </c>
    </row>
    <row r="202" spans="1:6" ht="15" hidden="1" customHeight="1" x14ac:dyDescent="0.3">
      <c r="A202" t="s">
        <v>60</v>
      </c>
      <c r="B202" s="2">
        <v>45901</v>
      </c>
      <c r="C202" cm="1">
        <f t="array" ref="C202">IFERROR(IF(SUMPRODUCT((measured[Site Name]=A202)*(measured[Date]=B202)*ISNUMBER(measured[Measured Value (kWh)]))=0,"",SUMIFS(measured[Measured Value (kWh)],measured[Site Name],A202,measured[Date],B202)),"")</f>
        <v>44171</v>
      </c>
      <c r="D202" cm="1">
        <f t="array" ref="D202">IFERROR(IF(SUMPRODUCT((expected_production[Site Name]=A202)*(expected_production[Date]=B202)*ISNUMBER(expected_production[Expected Production (kWh)]))=0,"",SUMIFS(expected_production[Expected Production (kWh)],expected_production[Site Name],A202,expected_production[Date],B202)),"")</f>
        <v>48018.47712693824</v>
      </c>
      <c r="E202" s="9">
        <f t="shared" si="6"/>
        <v>0.91987506982432365</v>
      </c>
      <c r="F202" t="str">
        <f t="shared" si="7"/>
        <v>Expected</v>
      </c>
    </row>
    <row r="203" spans="1:6" ht="15" hidden="1" customHeight="1" x14ac:dyDescent="0.3">
      <c r="A203" t="s">
        <v>60</v>
      </c>
      <c r="B203" s="2">
        <v>45931</v>
      </c>
      <c r="C203" cm="1">
        <f t="array" ref="C203">IFERROR(IF(SUMPRODUCT((measured[Site Name]=A203)*(measured[Date]=B203)*ISNUMBER(measured[Measured Value (kWh)]))=0,"",SUMIFS(measured[Measured Value (kWh)],measured[Site Name],A203,measured[Date],B203)),"")</f>
        <v>53279</v>
      </c>
      <c r="D203" cm="1">
        <f t="array" ref="D203">IFERROR(IF(SUMPRODUCT((expected_production[Site Name]=A203)*(expected_production[Date]=B203)*ISNUMBER(expected_production[Expected Production (kWh)]))=0,"",SUMIFS(expected_production[Expected Production (kWh)],expected_production[Site Name],A203,expected_production[Date],B203)),"")</f>
        <v>46160.148516100831</v>
      </c>
      <c r="E203" s="9">
        <f t="shared" si="6"/>
        <v>1.154220723129088</v>
      </c>
      <c r="F203" t="str">
        <f t="shared" si="7"/>
        <v>Expected</v>
      </c>
    </row>
    <row r="204" spans="1:6" ht="15" hidden="1" customHeight="1" x14ac:dyDescent="0.3">
      <c r="A204" t="s">
        <v>60</v>
      </c>
      <c r="B204" s="2">
        <v>45962</v>
      </c>
      <c r="C204" cm="1">
        <f t="array" ref="C204">IFERROR(IF(SUMPRODUCT((measured[Site Name]=A204)*(measured[Date]=B204)*ISNUMBER(measured[Measured Value (kWh)]))=0,"",SUMIFS(measured[Measured Value (kWh)],measured[Site Name],A204,measured[Date],B204)),"")</f>
        <v>44434</v>
      </c>
      <c r="D204" cm="1">
        <f t="array" ref="D204">IFERROR(IF(SUMPRODUCT((expected_production[Site Name]=A204)*(expected_production[Date]=B204)*ISNUMBER(expected_production[Expected Production (kWh)]))=0,"",SUMIFS(expected_production[Expected Production (kWh)],expected_production[Site Name],A204,expected_production[Date],B204)),"")</f>
        <v>45776.958114645735</v>
      </c>
      <c r="E204" s="9">
        <f t="shared" si="6"/>
        <v>0.97066301104406338</v>
      </c>
      <c r="F204" t="str">
        <f t="shared" si="7"/>
        <v>Expected</v>
      </c>
    </row>
    <row r="205" spans="1:6" ht="15" hidden="1" customHeight="1" x14ac:dyDescent="0.3">
      <c r="A205" t="s">
        <v>60</v>
      </c>
      <c r="B205" s="2">
        <v>45992</v>
      </c>
      <c r="C205" cm="1">
        <f t="array" ref="C205">IFERROR(IF(SUMPRODUCT((measured[Site Name]=A205)*(measured[Date]=B205)*ISNUMBER(measured[Measured Value (kWh)]))=0,"",SUMIFS(measured[Measured Value (kWh)],measured[Site Name],A205,measured[Date],B205)),"")</f>
        <v>54661</v>
      </c>
      <c r="D205" cm="1">
        <f t="array" ref="D205">IFERROR(IF(SUMPRODUCT((expected_production[Site Name]=A205)*(expected_production[Date]=B205)*ISNUMBER(expected_production[Expected Production (kWh)]))=0,"",SUMIFS(expected_production[Expected Production (kWh)],expected_production[Site Name],A205,expected_production[Date],B205)),"")</f>
        <v>49943.913076055229</v>
      </c>
      <c r="E205" s="9">
        <f t="shared" si="6"/>
        <v>1.094447684080371</v>
      </c>
      <c r="F205" t="str">
        <f t="shared" si="7"/>
        <v>Expected</v>
      </c>
    </row>
    <row r="206" spans="1:6" ht="15" hidden="1" customHeight="1" x14ac:dyDescent="0.3">
      <c r="A206" t="s">
        <v>60</v>
      </c>
      <c r="B206" s="2">
        <v>46023</v>
      </c>
      <c r="C206" cm="1">
        <f t="array" ref="C206">IFERROR(IF(SUMPRODUCT((measured[Site Name]=A206)*(measured[Date]=B206)*ISNUMBER(measured[Measured Value (kWh)]))=0,"",SUMIFS(measured[Measured Value (kWh)],measured[Site Name],A206,measured[Date],B206)),"")</f>
        <v>47457</v>
      </c>
      <c r="D206" cm="1">
        <f t="array" ref="D206">IFERROR(IF(SUMPRODUCT((expected_production[Site Name]=A206)*(expected_production[Date]=B206)*ISNUMBER(expected_production[Expected Production (kWh)]))=0,"",SUMIFS(expected_production[Expected Production (kWh)],expected_production[Site Name],A206,expected_production[Date],B206)),"")</f>
        <v>50578.897520298</v>
      </c>
      <c r="E206" s="9">
        <f t="shared" si="6"/>
        <v>0.93827667914182711</v>
      </c>
      <c r="F206" t="str">
        <f t="shared" si="7"/>
        <v>Expected</v>
      </c>
    </row>
    <row r="207" spans="1:6" ht="15" hidden="1" customHeight="1" x14ac:dyDescent="0.3">
      <c r="A207" t="s">
        <v>60</v>
      </c>
      <c r="B207" s="2">
        <v>46054</v>
      </c>
      <c r="C207" cm="1">
        <f t="array" ref="C207">IFERROR(IF(SUMPRODUCT((measured[Site Name]=A207)*(measured[Date]=B207)*ISNUMBER(measured[Measured Value (kWh)]))=0,"",SUMIFS(measured[Measured Value (kWh)],measured[Site Name],A207,measured[Date],B207)),"")</f>
        <v>49608.853320000002</v>
      </c>
      <c r="D207" cm="1">
        <f t="array" ref="D207">IFERROR(IF(SUMPRODUCT((expected_production[Site Name]=A207)*(expected_production[Date]=B207)*ISNUMBER(expected_production[Expected Production (kWh)]))=0,"",SUMIFS(expected_production[Expected Production (kWh)],expected_production[Site Name],A207,expected_production[Date],B207)),"")</f>
        <v>43444.953599600973</v>
      </c>
      <c r="E207" s="9">
        <f t="shared" si="6"/>
        <v>1.1418783819452771</v>
      </c>
      <c r="F207" t="str">
        <f t="shared" si="7"/>
        <v>Expected</v>
      </c>
    </row>
    <row r="208" spans="1:6" ht="15" hidden="1" customHeight="1" x14ac:dyDescent="0.3">
      <c r="A208" t="s">
        <v>60</v>
      </c>
      <c r="B208" s="2">
        <v>46082</v>
      </c>
      <c r="C208" cm="1">
        <f t="array" ref="C208">IFERROR(IF(SUMPRODUCT((measured[Site Name]=A208)*(measured[Date]=B208)*ISNUMBER(measured[Measured Value (kWh)]))=0,"",SUMIFS(measured[Measured Value (kWh)],measured[Site Name],A208,measured[Date],B208)),"")</f>
        <v>41208</v>
      </c>
      <c r="D208" cm="1">
        <f t="array" ref="D208">IFERROR(IF(SUMPRODUCT((expected_production[Site Name]=A208)*(expected_production[Date]=B208)*ISNUMBER(expected_production[Expected Production (kWh)]))=0,"",SUMIFS(expected_production[Expected Production (kWh)],expected_production[Site Name],A208,expected_production[Date],B208)),"")</f>
        <v>47985.883321143832</v>
      </c>
      <c r="E208" s="9">
        <f t="shared" si="6"/>
        <v>0.85875255695965647</v>
      </c>
      <c r="F208" t="str">
        <f t="shared" si="7"/>
        <v>Moderate</v>
      </c>
    </row>
    <row r="209" spans="1:7" ht="15" hidden="1" customHeight="1" x14ac:dyDescent="0.3">
      <c r="A209" t="s">
        <v>60</v>
      </c>
      <c r="B209" s="2">
        <v>46113</v>
      </c>
      <c r="C209" s="5" cm="1">
        <f t="array" ref="C209">IFERROR(IF(SUMPRODUCT((measured[Site Name]=A209)*(measured[Date]=B209)*ISNUMBER(measured[Measured Value (kWh)]))=0,"",SUMIFS(measured[Measured Value (kWh)],measured[Site Name],A209,measured[Date],B209)),"")</f>
        <v>36936.35</v>
      </c>
      <c r="D209" cm="1">
        <f t="array" ref="D209">IFERROR(IF(SUMPRODUCT((expected_production[Site Name]=A209)*(expected_production[Date]=B209)*ISNUMBER(expected_production[Expected Production (kWh)]))=0,"",SUMIFS(expected_production[Expected Production (kWh)],expected_production[Site Name],A209,expected_production[Date],B209)),"")</f>
        <v>46098.225000934661</v>
      </c>
      <c r="E209" s="9">
        <f t="shared" si="6"/>
        <v>0.80125319357201064</v>
      </c>
      <c r="F209" t="str">
        <f t="shared" si="7"/>
        <v>Moderate</v>
      </c>
    </row>
    <row r="210" spans="1:7" ht="15" hidden="1" customHeight="1" x14ac:dyDescent="0.3">
      <c r="A210" t="s">
        <v>60</v>
      </c>
      <c r="B210" s="2">
        <v>46143</v>
      </c>
      <c r="C210" s="5" cm="1">
        <f t="array" ref="C210">IFERROR(IF(SUMPRODUCT((measured[Site Name]=A210)*(measured[Date]=B210)*ISNUMBER(measured[Measured Value (kWh)]))=0,"",SUMIFS(measured[Measured Value (kWh)],measured[Site Name],A210,measured[Date],B210)),"")</f>
        <v>38743.019999999997</v>
      </c>
      <c r="D210" cm="1">
        <f t="array" ref="D210">IFERROR(IF(SUMPRODUCT((expected_production[Site Name]=A210)*(expected_production[Date]=B210)*ISNUMBER(expected_production[Expected Production (kWh)]))=0,"",SUMIFS(expected_production[Expected Production (kWh)],expected_production[Site Name],A210,expected_production[Date],B210)),"")</f>
        <v>44521.16115224571</v>
      </c>
      <c r="E210" s="9">
        <f t="shared" si="6"/>
        <v>0.87021584786419581</v>
      </c>
      <c r="F210" t="str">
        <f t="shared" si="7"/>
        <v>Moderate</v>
      </c>
    </row>
    <row r="211" spans="1:7" ht="15" hidden="1" customHeight="1" x14ac:dyDescent="0.3">
      <c r="A211" t="s">
        <v>60</v>
      </c>
      <c r="B211" s="2">
        <v>46174</v>
      </c>
      <c r="C211" cm="1">
        <f t="array" ref="C211">IFERROR(IF(SUMPRODUCT((measured[Site Name]=A211)*(measured[Date]=B211)*ISNUMBER(measured[Measured Value (kWh)]))=0,"",SUMIFS(measured[Measured Value (kWh)],measured[Site Name],A211,measured[Date],B211)),"")</f>
        <v>31578.49</v>
      </c>
      <c r="D211" cm="1">
        <f t="array" ref="D211">IFERROR(IF(SUMPRODUCT((expected_production[Site Name]=A211)*(expected_production[Date]=B211)*ISNUMBER(expected_production[Expected Production (kWh)]))=0,"",SUMIFS(expected_production[Expected Production (kWh)],expected_production[Site Name],A211,expected_production[Date],B211)),"")</f>
        <v>40239.8184135474</v>
      </c>
      <c r="E211" s="9">
        <f t="shared" si="6"/>
        <v>0.78475726891870323</v>
      </c>
      <c r="F211" t="str">
        <f t="shared" si="7"/>
        <v>Moderate</v>
      </c>
    </row>
    <row r="212" spans="1:7" ht="15" hidden="1" customHeight="1" x14ac:dyDescent="0.3">
      <c r="A212" t="s">
        <v>60</v>
      </c>
      <c r="B212" s="2">
        <v>46204</v>
      </c>
      <c r="C212" cm="1">
        <f t="array" ref="C212">IFERROR(IF(SUMPRODUCT((measured[Site Name]=A212)*(measured[Date]=B212)*ISNUMBER(measured[Measured Value (kWh)]))=0,"",SUMIFS(measured[Measured Value (kWh)],measured[Site Name],A212,measured[Date],B212)),"")</f>
        <v>39160</v>
      </c>
      <c r="D212" cm="1">
        <f t="array" ref="D212">IFERROR(IF(SUMPRODUCT((expected_production[Site Name]=A212)*(expected_production[Date]=B212)*ISNUMBER(expected_production[Expected Production (kWh)]))=0,"",SUMIFS(expected_production[Expected Production (kWh)],expected_production[Site Name],A212,expected_production[Date],B212)),"")</f>
        <v>42346.910105721785</v>
      </c>
      <c r="E212" s="9">
        <f t="shared" si="6"/>
        <v>0.92474279474546173</v>
      </c>
      <c r="F212" t="str">
        <f t="shared" si="7"/>
        <v>Expected</v>
      </c>
      <c r="G212" t="s">
        <v>874</v>
      </c>
    </row>
    <row r="213" spans="1:7" ht="15" hidden="1" customHeight="1" x14ac:dyDescent="0.3">
      <c r="A213" t="s">
        <v>60</v>
      </c>
      <c r="B213" s="2">
        <v>46235</v>
      </c>
      <c r="C213" cm="1">
        <f t="array" ref="C213">IFERROR(IF(SUMPRODUCT((measured[Site Name]=A213)*(measured[Date]=B213)*ISNUMBER(measured[Measured Value (kWh)]))=0,"",SUMIFS(measured[Measured Value (kWh)],measured[Site Name],A213,measured[Date],B213)),"")</f>
        <v>44122.439100000003</v>
      </c>
      <c r="D213" cm="1">
        <f t="array" ref="D213">IFERROR(IF(SUMPRODUCT((expected_production[Site Name]=A213)*(expected_production[Date]=B213)*ISNUMBER(expected_production[Expected Production (kWh)]))=0,"",SUMIFS(expected_production[Expected Production (kWh)],expected_production[Site Name],A213,expected_production[Date],B213)),"")</f>
        <v>47380.798161099774</v>
      </c>
      <c r="E213" s="9">
        <f t="shared" si="6"/>
        <v>0.93123038894319587</v>
      </c>
      <c r="F213" t="str">
        <f t="shared" si="7"/>
        <v>Expected</v>
      </c>
      <c r="G213" t="s">
        <v>874</v>
      </c>
    </row>
    <row r="214" spans="1:7" ht="15" customHeight="1" x14ac:dyDescent="0.3">
      <c r="A214" t="s">
        <v>127</v>
      </c>
      <c r="B214" s="2">
        <v>46266</v>
      </c>
      <c r="C214" cm="1">
        <f t="array" ref="C214">IFERROR(IF(SUMPRODUCT((measured[Site Name]=A214)*(measured[Date]=B214)*ISNUMBER(measured[Measured Value (kWh)]))=0,"",SUMIFS(measured[Measured Value (kWh)],measured[Site Name],A214,measured[Date],B214)),"")</f>
        <v>10471.23</v>
      </c>
      <c r="D214" cm="1">
        <f t="array" ref="D214">IFERROR(IF(SUMPRODUCT((expected_production[Site Name]=A214)*(expected_production[Date]=B214)*ISNUMBER(expected_production[Expected Production (kWh)]))=0,"",SUMIFS(expected_production[Expected Production (kWh)],expected_production[Site Name],A214,expected_production[Date],B214)),"")</f>
        <v>14939.896989531853</v>
      </c>
      <c r="E214" s="9">
        <f t="shared" ref="E214:E277" si="8">IF(OR(C214="",D214="",D214=0),"",C214/D214)</f>
        <v>0.70089037476878335</v>
      </c>
      <c r="F214" t="str">
        <f t="shared" ref="F214:F277" si="9">IF(E214="","",IF(E214&gt;=0.9,"Expected",IF(E214&gt;=0.7,"Moderate","Poor")))</f>
        <v>Moderate</v>
      </c>
      <c r="G214" t="s">
        <v>874</v>
      </c>
    </row>
    <row r="215" spans="1:7" ht="15" hidden="1" customHeight="1" x14ac:dyDescent="0.3">
      <c r="A215" t="s">
        <v>60</v>
      </c>
      <c r="B215" s="2">
        <v>46296</v>
      </c>
      <c r="C215" t="str" cm="1">
        <f t="array" ref="C215">IFERROR(IF(SUMPRODUCT((measured[Site Name]=A215)*(measured[Date]=B215)*ISNUMBER(measured[Measured Value (kWh)]))=0,"",SUMIFS(measured[Measured Value (kWh)],measured[Site Name],A215,measured[Date],B215)),"")</f>
        <v/>
      </c>
      <c r="D215" cm="1">
        <f t="array" ref="D215">IFERROR(IF(SUMPRODUCT((expected_production[Site Name]=A215)*(expected_production[Date]=B215)*ISNUMBER(expected_production[Expected Production (kWh)]))=0,"",SUMIFS(expected_production[Expected Production (kWh)],expected_production[Site Name],A215,expected_production[Date],B215)),"")</f>
        <v>45837.247865428544</v>
      </c>
      <c r="E215" s="9" t="str">
        <f t="shared" si="8"/>
        <v/>
      </c>
      <c r="F215" t="str">
        <f t="shared" si="9"/>
        <v/>
      </c>
    </row>
    <row r="216" spans="1:7" ht="15" hidden="1" customHeight="1" x14ac:dyDescent="0.3">
      <c r="A216" t="s">
        <v>60</v>
      </c>
      <c r="B216" s="2">
        <v>46327</v>
      </c>
      <c r="C216" t="str" cm="1">
        <f t="array" ref="C216">IFERROR(IF(SUMPRODUCT((measured[Site Name]=A216)*(measured[Date]=B216)*ISNUMBER(measured[Measured Value (kWh)]))=0,"",SUMIFS(measured[Measured Value (kWh)],measured[Site Name],A216,measured[Date],B216)),"")</f>
        <v/>
      </c>
      <c r="D216" cm="1">
        <f t="array" ref="D216">IFERROR(IF(SUMPRODUCT((expected_production[Site Name]=A216)*(expected_production[Date]=B216)*ISNUMBER(expected_production[Expected Production (kWh)]))=0,"",SUMIFS(expected_production[Expected Production (kWh)],expected_production[Site Name],A216,expected_production[Date],B216)),"")</f>
        <v>45456.737967263383</v>
      </c>
      <c r="E216" s="9" t="str">
        <f t="shared" si="8"/>
        <v/>
      </c>
      <c r="F216" t="str">
        <f t="shared" si="9"/>
        <v/>
      </c>
    </row>
    <row r="217" spans="1:7" ht="15" hidden="1" customHeight="1" x14ac:dyDescent="0.3">
      <c r="A217" t="s">
        <v>60</v>
      </c>
      <c r="B217" s="2">
        <v>46357</v>
      </c>
      <c r="C217" t="str" cm="1">
        <f t="array" ref="C217">IFERROR(IF(SUMPRODUCT((measured[Site Name]=A217)*(measured[Date]=B217)*ISNUMBER(measured[Measured Value (kWh)]))=0,"",SUMIFS(measured[Measured Value (kWh)],measured[Site Name],A217,measured[Date],B217)),"")</f>
        <v/>
      </c>
      <c r="D217" cm="1">
        <f t="array" ref="D217">IFERROR(IF(SUMPRODUCT((expected_production[Site Name]=A217)*(expected_production[Date]=B217)*ISNUMBER(expected_production[Expected Production (kWh)]))=0,"",SUMIFS(expected_production[Expected Production (kWh)],expected_production[Site Name],A217,expected_production[Date],B217)),"")</f>
        <v>49594.544138826765</v>
      </c>
      <c r="E217" s="9" t="str">
        <f t="shared" si="8"/>
        <v/>
      </c>
      <c r="F217" t="str">
        <f t="shared" si="9"/>
        <v/>
      </c>
    </row>
    <row r="218" spans="1:7" ht="15" hidden="1" customHeight="1" x14ac:dyDescent="0.3">
      <c r="A218" t="s">
        <v>61</v>
      </c>
      <c r="B218" s="2">
        <v>45292</v>
      </c>
      <c r="C218" cm="1">
        <f t="array" ref="C218">IFERROR(IF(SUMPRODUCT((measured[Site Name]=A218)*(measured[Date]=B218)*ISNUMBER(measured[Measured Value (kWh)]))=0,"",SUMIFS(measured[Measured Value (kWh)],measured[Site Name],A218,measured[Date],B218)),"")</f>
        <v>8244</v>
      </c>
      <c r="D218" cm="1">
        <f t="array" ref="D218">IFERROR(IF(SUMPRODUCT((expected_production[Site Name]=A218)*(expected_production[Date]=B218)*ISNUMBER(expected_production[Expected Production (kWh)]))=0,"",SUMIFS(expected_production[Expected Production (kWh)],expected_production[Site Name],A218,expected_production[Date],B218)),"")</f>
        <v>13781.797853818704</v>
      </c>
      <c r="E218" s="9">
        <f t="shared" si="8"/>
        <v>0.59818030183309701</v>
      </c>
      <c r="F218" t="str">
        <f t="shared" si="9"/>
        <v>Poor</v>
      </c>
    </row>
    <row r="219" spans="1:7" ht="15" hidden="1" customHeight="1" x14ac:dyDescent="0.3">
      <c r="A219" t="s">
        <v>61</v>
      </c>
      <c r="B219" s="2">
        <v>45323</v>
      </c>
      <c r="C219" cm="1">
        <f t="array" ref="C219">IFERROR(IF(SUMPRODUCT((measured[Site Name]=A219)*(measured[Date]=B219)*ISNUMBER(measured[Measured Value (kWh)]))=0,"",SUMIFS(measured[Measured Value (kWh)],measured[Site Name],A219,measured[Date],B219)),"")</f>
        <v>7277</v>
      </c>
      <c r="D219" cm="1">
        <f t="array" ref="D219">IFERROR(IF(SUMPRODUCT((expected_production[Site Name]=A219)*(expected_production[Date]=B219)*ISNUMBER(expected_production[Expected Production (kWh)]))=0,"",SUMIFS(expected_production[Expected Production (kWh)],expected_production[Site Name],A219,expected_production[Date],B219)),"")</f>
        <v>11348.66320595592</v>
      </c>
      <c r="E219" s="9">
        <f t="shared" si="8"/>
        <v>0.64122089694061413</v>
      </c>
      <c r="F219" t="str">
        <f t="shared" si="9"/>
        <v>Poor</v>
      </c>
    </row>
    <row r="220" spans="1:7" ht="15" hidden="1" customHeight="1" x14ac:dyDescent="0.3">
      <c r="A220" t="s">
        <v>61</v>
      </c>
      <c r="B220" s="2">
        <v>45352</v>
      </c>
      <c r="C220" cm="1">
        <f t="array" ref="C220">IFERROR(IF(SUMPRODUCT((measured[Site Name]=A220)*(measured[Date]=B220)*ISNUMBER(measured[Measured Value (kWh)]))=0,"",SUMIFS(measured[Measured Value (kWh)],measured[Site Name],A220,measured[Date],B220)),"")</f>
        <v>6614</v>
      </c>
      <c r="D220" cm="1">
        <f t="array" ref="D220">IFERROR(IF(SUMPRODUCT((expected_production[Site Name]=A220)*(expected_production[Date]=B220)*ISNUMBER(expected_production[Expected Production (kWh)]))=0,"",SUMIFS(expected_production[Expected Production (kWh)],expected_production[Site Name],A220,expected_production[Date],B220)),"")</f>
        <v>10864.271498552387</v>
      </c>
      <c r="E220" s="9">
        <f t="shared" si="8"/>
        <v>0.60878449152170799</v>
      </c>
      <c r="F220" t="str">
        <f t="shared" si="9"/>
        <v>Poor</v>
      </c>
    </row>
    <row r="221" spans="1:7" ht="15" hidden="1" customHeight="1" x14ac:dyDescent="0.3">
      <c r="A221" t="s">
        <v>61</v>
      </c>
      <c r="B221" s="2">
        <v>45383</v>
      </c>
      <c r="C221" cm="1">
        <f t="array" ref="C221">IFERROR(IF(SUMPRODUCT((measured[Site Name]=A221)*(measured[Date]=B221)*ISNUMBER(measured[Measured Value (kWh)]))=0,"",SUMIFS(measured[Measured Value (kWh)],measured[Site Name],A221,measured[Date],B221)),"")</f>
        <v>4053</v>
      </c>
      <c r="D221" cm="1">
        <f t="array" ref="D221">IFERROR(IF(SUMPRODUCT((expected_production[Site Name]=A221)*(expected_production[Date]=B221)*ISNUMBER(expected_production[Expected Production (kWh)]))=0,"",SUMIFS(expected_production[Expected Production (kWh)],expected_production[Site Name],A221,expected_production[Date],B221)),"")</f>
        <v>7811.5062575723223</v>
      </c>
      <c r="E221" s="9">
        <f t="shared" si="8"/>
        <v>0.51884999721674685</v>
      </c>
      <c r="F221" t="str">
        <f t="shared" si="9"/>
        <v>Poor</v>
      </c>
    </row>
    <row r="222" spans="1:7" ht="15" hidden="1" customHeight="1" x14ac:dyDescent="0.3">
      <c r="A222" t="s">
        <v>61</v>
      </c>
      <c r="B222" s="2">
        <v>45413</v>
      </c>
      <c r="C222" cm="1">
        <f t="array" ref="C222">IFERROR(IF(SUMPRODUCT((measured[Site Name]=A222)*(measured[Date]=B222)*ISNUMBER(measured[Measured Value (kWh)]))=0,"",SUMIFS(measured[Measured Value (kWh)],measured[Site Name],A222,measured[Date],B222)),"")</f>
        <v>3743</v>
      </c>
      <c r="D222" cm="1">
        <f t="array" ref="D222">IFERROR(IF(SUMPRODUCT((expected_production[Site Name]=A222)*(expected_production[Date]=B222)*ISNUMBER(expected_production[Expected Production (kWh)]))=0,"",SUMIFS(expected_production[Expected Production (kWh)],expected_production[Site Name],A222,expected_production[Date],B222)),"")</f>
        <v>5937.377401069959</v>
      </c>
      <c r="E222" s="9">
        <f t="shared" si="8"/>
        <v>0.63041301691980767</v>
      </c>
      <c r="F222" t="str">
        <f t="shared" si="9"/>
        <v>Poor</v>
      </c>
    </row>
    <row r="223" spans="1:7" ht="15" hidden="1" customHeight="1" x14ac:dyDescent="0.3">
      <c r="A223" t="s">
        <v>61</v>
      </c>
      <c r="B223" s="2">
        <v>45444</v>
      </c>
      <c r="C223" cm="1">
        <f t="array" ref="C223">IFERROR(IF(SUMPRODUCT((measured[Site Name]=A223)*(measured[Date]=B223)*ISNUMBER(measured[Measured Value (kWh)]))=0,"",SUMIFS(measured[Measured Value (kWh)],measured[Site Name],A223,measured[Date],B223)),"")</f>
        <v>3473</v>
      </c>
      <c r="D223" cm="1">
        <f t="array" ref="D223">IFERROR(IF(SUMPRODUCT((expected_production[Site Name]=A223)*(expected_production[Date]=B223)*ISNUMBER(expected_production[Expected Production (kWh)]))=0,"",SUMIFS(expected_production[Expected Production (kWh)],expected_production[Site Name],A223,expected_production[Date],B223)),"")</f>
        <v>5148.9392927916779</v>
      </c>
      <c r="E223" s="9">
        <f t="shared" si="8"/>
        <v>0.67450785540666014</v>
      </c>
      <c r="F223" t="str">
        <f t="shared" si="9"/>
        <v>Poor</v>
      </c>
    </row>
    <row r="224" spans="1:7" ht="15" hidden="1" customHeight="1" x14ac:dyDescent="0.3">
      <c r="A224" t="s">
        <v>61</v>
      </c>
      <c r="B224" s="2">
        <v>45474</v>
      </c>
      <c r="C224" cm="1">
        <f t="array" ref="C224">IFERROR(IF(SUMPRODUCT((measured[Site Name]=A224)*(measured[Date]=B224)*ISNUMBER(measured[Measured Value (kWh)]))=0,"",SUMIFS(measured[Measured Value (kWh)],measured[Site Name],A224,measured[Date],B224)),"")</f>
        <v>4260</v>
      </c>
      <c r="D224" cm="1">
        <f t="array" ref="D224">IFERROR(IF(SUMPRODUCT((expected_production[Site Name]=A224)*(expected_production[Date]=B224)*ISNUMBER(expected_production[Expected Production (kWh)]))=0,"",SUMIFS(expected_production[Expected Production (kWh)],expected_production[Site Name],A224,expected_production[Date],B224)),"")</f>
        <v>5543.1234455309368</v>
      </c>
      <c r="E224" s="9">
        <f t="shared" si="8"/>
        <v>0.76851977803860083</v>
      </c>
      <c r="F224" t="str">
        <f t="shared" si="9"/>
        <v>Moderate</v>
      </c>
    </row>
    <row r="225" spans="1:6" ht="15" hidden="1" customHeight="1" x14ac:dyDescent="0.3">
      <c r="A225" t="s">
        <v>61</v>
      </c>
      <c r="B225" s="2">
        <v>45505</v>
      </c>
      <c r="C225" cm="1">
        <f t="array" ref="C225">IFERROR(IF(SUMPRODUCT((measured[Site Name]=A225)*(measured[Date]=B225)*ISNUMBER(measured[Measured Value (kWh)]))=0,"",SUMIFS(measured[Measured Value (kWh)],measured[Site Name],A225,measured[Date],B225)),"")</f>
        <v>5497</v>
      </c>
      <c r="D225" cm="1">
        <f t="array" ref="D225">IFERROR(IF(SUMPRODUCT((expected_production[Site Name]=A225)*(expected_production[Date]=B225)*ISNUMBER(expected_production[Expected Production (kWh)]))=0,"",SUMIFS(expected_production[Expected Production (kWh)],expected_production[Site Name],A225,expected_production[Date],B225)),"")</f>
        <v>6929.4783801671574</v>
      </c>
      <c r="E225" s="9">
        <f t="shared" si="8"/>
        <v>0.79327760307802531</v>
      </c>
      <c r="F225" t="str">
        <f t="shared" si="9"/>
        <v>Moderate</v>
      </c>
    </row>
    <row r="226" spans="1:6" ht="15" hidden="1" customHeight="1" x14ac:dyDescent="0.3">
      <c r="A226" t="s">
        <v>61</v>
      </c>
      <c r="B226" s="2">
        <v>45536</v>
      </c>
      <c r="C226" cm="1">
        <f t="array" ref="C226">IFERROR(IF(SUMPRODUCT((measured[Site Name]=A226)*(measured[Date]=B226)*ISNUMBER(measured[Measured Value (kWh)]))=0,"",SUMIFS(measured[Measured Value (kWh)],measured[Site Name],A226,measured[Date],B226)),"")</f>
        <v>2600</v>
      </c>
      <c r="D226" cm="1">
        <f t="array" ref="D226">IFERROR(IF(SUMPRODUCT((expected_production[Site Name]=A226)*(expected_production[Date]=B226)*ISNUMBER(expected_production[Expected Production (kWh)]))=0,"",SUMIFS(expected_production[Expected Production (kWh)],expected_production[Site Name],A226,expected_production[Date],B226)),"")</f>
        <v>8900.6932348559858</v>
      </c>
      <c r="E226" s="9">
        <f t="shared" si="8"/>
        <v>0.29211207839611253</v>
      </c>
      <c r="F226" t="str">
        <f t="shared" si="9"/>
        <v>Poor</v>
      </c>
    </row>
    <row r="227" spans="1:6" ht="15" hidden="1" customHeight="1" x14ac:dyDescent="0.3">
      <c r="A227" t="s">
        <v>61</v>
      </c>
      <c r="B227" s="2">
        <v>45566</v>
      </c>
      <c r="C227" cm="1">
        <f t="array" ref="C227">IFERROR(IF(SUMPRODUCT((measured[Site Name]=A227)*(measured[Date]=B227)*ISNUMBER(measured[Measured Value (kWh)]))=0,"",SUMIFS(measured[Measured Value (kWh)],measured[Site Name],A227,measured[Date],B227)),"")</f>
        <v>8200</v>
      </c>
      <c r="D227" cm="1">
        <f t="array" ref="D227">IFERROR(IF(SUMPRODUCT((expected_production[Site Name]=A227)*(expected_production[Date]=B227)*ISNUMBER(expected_production[Expected Production (kWh)]))=0,"",SUMIFS(expected_production[Expected Production (kWh)],expected_production[Site Name],A227,expected_production[Date],B227)),"")</f>
        <v>11251.003144805998</v>
      </c>
      <c r="E227" s="9">
        <f t="shared" si="8"/>
        <v>0.72882390080794823</v>
      </c>
      <c r="F227" t="str">
        <f t="shared" si="9"/>
        <v>Moderate</v>
      </c>
    </row>
    <row r="228" spans="1:6" ht="15" hidden="1" customHeight="1" x14ac:dyDescent="0.3">
      <c r="A228" t="s">
        <v>61</v>
      </c>
      <c r="B228" s="2">
        <v>45597</v>
      </c>
      <c r="C228" cm="1">
        <f t="array" ref="C228">IFERROR(IF(SUMPRODUCT((measured[Site Name]=A228)*(measured[Date]=B228)*ISNUMBER(measured[Measured Value (kWh)]))=0,"",SUMIFS(measured[Measured Value (kWh)],measured[Site Name],A228,measured[Date],B228)),"")</f>
        <v>6700</v>
      </c>
      <c r="D228" cm="1">
        <f t="array" ref="D228">IFERROR(IF(SUMPRODUCT((expected_production[Site Name]=A228)*(expected_production[Date]=B228)*ISNUMBER(expected_production[Expected Production (kWh)]))=0,"",SUMIFS(expected_production[Expected Production (kWh)],expected_production[Site Name],A228,expected_production[Date],B228)),"")</f>
        <v>12634.182561402256</v>
      </c>
      <c r="E228" s="9">
        <f t="shared" si="8"/>
        <v>0.53030736000828949</v>
      </c>
      <c r="F228" t="str">
        <f t="shared" si="9"/>
        <v>Poor</v>
      </c>
    </row>
    <row r="229" spans="1:6" ht="15" hidden="1" customHeight="1" x14ac:dyDescent="0.3">
      <c r="A229" t="s">
        <v>61</v>
      </c>
      <c r="B229" s="2">
        <v>45627</v>
      </c>
      <c r="C229" cm="1">
        <f t="array" ref="C229">IFERROR(IF(SUMPRODUCT((measured[Site Name]=A229)*(measured[Date]=B229)*ISNUMBER(measured[Measured Value (kWh)]))=0,"",SUMIFS(measured[Measured Value (kWh)],measured[Site Name],A229,measured[Date],B229)),"")</f>
        <v>8100</v>
      </c>
      <c r="D229" cm="1">
        <f t="array" ref="D229">IFERROR(IF(SUMPRODUCT((expected_production[Site Name]=A229)*(expected_production[Date]=B229)*ISNUMBER(expected_production[Expected Production (kWh)]))=0,"",SUMIFS(expected_production[Expected Production (kWh)],expected_production[Site Name],A229,expected_production[Date],B229)),"")</f>
        <v>13784.464785257167</v>
      </c>
      <c r="E229" s="9">
        <f t="shared" si="8"/>
        <v>0.58761802697360832</v>
      </c>
      <c r="F229" t="str">
        <f t="shared" si="9"/>
        <v>Poor</v>
      </c>
    </row>
    <row r="230" spans="1:6" ht="15" hidden="1" customHeight="1" x14ac:dyDescent="0.3">
      <c r="A230" t="s">
        <v>61</v>
      </c>
      <c r="B230" s="2">
        <v>45658</v>
      </c>
      <c r="C230" cm="1">
        <f t="array" ref="C230">IFERROR(IF(SUMPRODUCT((measured[Site Name]=A230)*(measured[Date]=B230)*ISNUMBER(measured[Measured Value (kWh)]))=0,"",SUMIFS(measured[Measured Value (kWh)],measured[Site Name],A230,measured[Date],B230)),"")</f>
        <v>9900</v>
      </c>
      <c r="D230" cm="1">
        <f t="array" ref="D230">IFERROR(IF(SUMPRODUCT((expected_production[Site Name]=A230)*(expected_production[Date]=B230)*ISNUMBER(expected_production[Expected Production (kWh)]))=0,"",SUMIFS(expected_production[Expected Production (kWh)],expected_production[Site Name],A230,expected_production[Date],B230)),"")</f>
        <v>13685.127869566877</v>
      </c>
      <c r="E230" s="9">
        <f t="shared" si="8"/>
        <v>0.72341304329466427</v>
      </c>
      <c r="F230" t="str">
        <f t="shared" si="9"/>
        <v>Moderate</v>
      </c>
    </row>
    <row r="231" spans="1:6" ht="15" hidden="1" customHeight="1" x14ac:dyDescent="0.3">
      <c r="A231" t="s">
        <v>61</v>
      </c>
      <c r="B231" s="2">
        <v>45689</v>
      </c>
      <c r="C231" cm="1">
        <f t="array" ref="C231">IFERROR(IF(SUMPRODUCT((measured[Site Name]=A231)*(measured[Date]=B231)*ISNUMBER(measured[Measured Value (kWh)]))=0,"",SUMIFS(measured[Measured Value (kWh)],measured[Site Name],A231,measured[Date],B231)),"")</f>
        <v>9200</v>
      </c>
      <c r="D231" cm="1">
        <f t="array" ref="D231">IFERROR(IF(SUMPRODUCT((expected_production[Site Name]=A231)*(expected_production[Date]=B231)*ISNUMBER(expected_production[Expected Production (kWh)]))=0,"",SUMIFS(expected_production[Expected Production (kWh)],expected_production[Site Name],A231,expected_production[Date],B231)),"")</f>
        <v>11269.060014482968</v>
      </c>
      <c r="E231" s="9">
        <f t="shared" si="8"/>
        <v>0.81639462281469644</v>
      </c>
      <c r="F231" t="str">
        <f t="shared" si="9"/>
        <v>Moderate</v>
      </c>
    </row>
    <row r="232" spans="1:6" ht="15" hidden="1" customHeight="1" x14ac:dyDescent="0.3">
      <c r="A232" t="s">
        <v>61</v>
      </c>
      <c r="B232" s="2">
        <v>45717</v>
      </c>
      <c r="C232" cm="1">
        <f t="array" ref="C232">IFERROR(IF(SUMPRODUCT((measured[Site Name]=A232)*(measured[Date]=B232)*ISNUMBER(measured[Measured Value (kWh)]))=0,"",SUMIFS(measured[Measured Value (kWh)],measured[Site Name],A232,measured[Date],B232)),"")</f>
        <v>4480</v>
      </c>
      <c r="D232" cm="1">
        <f t="array" ref="D232">IFERROR(IF(SUMPRODUCT((expected_production[Site Name]=A232)*(expected_production[Date]=B232)*ISNUMBER(expected_production[Expected Production (kWh)]))=0,"",SUMIFS(expected_production[Expected Production (kWh)],expected_production[Site Name],A232,expected_production[Date],B232)),"")</f>
        <v>10788.273468893984</v>
      </c>
      <c r="E232" s="9">
        <f t="shared" si="8"/>
        <v>0.41526570613150121</v>
      </c>
      <c r="F232" t="str">
        <f t="shared" si="9"/>
        <v>Poor</v>
      </c>
    </row>
    <row r="233" spans="1:6" ht="15" hidden="1" customHeight="1" x14ac:dyDescent="0.3">
      <c r="A233" t="s">
        <v>61</v>
      </c>
      <c r="B233" s="2">
        <v>45748</v>
      </c>
      <c r="C233" cm="1">
        <f t="array" ref="C233">IFERROR(IF(SUMPRODUCT((measured[Site Name]=A233)*(measured[Date]=B233)*ISNUMBER(measured[Measured Value (kWh)]))=0,"",SUMIFS(measured[Measured Value (kWh)],measured[Site Name],A233,measured[Date],B233)),"")</f>
        <v>4096</v>
      </c>
      <c r="D233" cm="1">
        <f t="array" ref="D233">IFERROR(IF(SUMPRODUCT((expected_production[Site Name]=A233)*(expected_production[Date]=B233)*ISNUMBER(expected_production[Expected Production (kWh)]))=0,"",SUMIFS(expected_production[Expected Production (kWh)],expected_production[Site Name],A233,expected_production[Date],B233)),"")</f>
        <v>7756.8630093509491</v>
      </c>
      <c r="E233" s="9">
        <f t="shared" si="8"/>
        <v>0.52804851588357882</v>
      </c>
      <c r="F233" t="str">
        <f t="shared" si="9"/>
        <v>Poor</v>
      </c>
    </row>
    <row r="234" spans="1:6" ht="15" hidden="1" customHeight="1" x14ac:dyDescent="0.3">
      <c r="A234" t="s">
        <v>61</v>
      </c>
      <c r="B234" s="2">
        <v>45778</v>
      </c>
      <c r="C234" cm="1">
        <f t="array" ref="C234">IFERROR(IF(SUMPRODUCT((measured[Site Name]=A234)*(measured[Date]=B234)*ISNUMBER(measured[Measured Value (kWh)]))=0,"",SUMIFS(measured[Measured Value (kWh)],measured[Site Name],A234,measured[Date],B234)),"")</f>
        <v>3388</v>
      </c>
      <c r="D234" cm="1">
        <f t="array" ref="D234">IFERROR(IF(SUMPRODUCT((expected_production[Site Name]=A234)*(expected_production[Date]=B234)*ISNUMBER(expected_production[Expected Production (kWh)]))=0,"",SUMIFS(expected_production[Expected Production (kWh)],expected_production[Site Name],A234,expected_production[Date],B234)),"")</f>
        <v>5895.8441069250384</v>
      </c>
      <c r="E234" s="9">
        <f t="shared" si="8"/>
        <v>0.57464205948399849</v>
      </c>
      <c r="F234" t="str">
        <f t="shared" si="9"/>
        <v>Poor</v>
      </c>
    </row>
    <row r="235" spans="1:6" ht="15" hidden="1" customHeight="1" x14ac:dyDescent="0.3">
      <c r="A235" t="s">
        <v>61</v>
      </c>
      <c r="B235" s="2">
        <v>45809</v>
      </c>
      <c r="C235" cm="1">
        <f t="array" ref="C235">IFERROR(IF(SUMPRODUCT((measured[Site Name]=A235)*(measured[Date]=B235)*ISNUMBER(measured[Measured Value (kWh)]))=0,"",SUMIFS(measured[Measured Value (kWh)],measured[Site Name],A235,measured[Date],B235)),"")</f>
        <v>2306.13</v>
      </c>
      <c r="D235" cm="1">
        <f t="array" ref="D235">IFERROR(IF(SUMPRODUCT((expected_production[Site Name]=A235)*(expected_production[Date]=B235)*ISNUMBER(expected_production[Expected Production (kWh)]))=0,"",SUMIFS(expected_production[Expected Production (kWh)],expected_production[Site Name],A235,expected_production[Date],B235)),"")</f>
        <v>5112.9213010528811</v>
      </c>
      <c r="E235" s="9">
        <f t="shared" si="8"/>
        <v>0.45103960421317441</v>
      </c>
      <c r="F235" t="str">
        <f t="shared" si="9"/>
        <v>Poor</v>
      </c>
    </row>
    <row r="236" spans="1:6" ht="15" hidden="1" customHeight="1" x14ac:dyDescent="0.3">
      <c r="A236" t="s">
        <v>61</v>
      </c>
      <c r="B236" s="2">
        <v>45839</v>
      </c>
      <c r="C236" cm="1">
        <f t="array" ref="C236">IFERROR(IF(SUMPRODUCT((measured[Site Name]=A236)*(measured[Date]=B236)*ISNUMBER(measured[Measured Value (kWh)]))=0,"",SUMIFS(measured[Measured Value (kWh)],measured[Site Name],A236,measured[Date],B236)),"")</f>
        <v>2919</v>
      </c>
      <c r="D236" cm="1">
        <f t="array" ref="D236">IFERROR(IF(SUMPRODUCT((expected_production[Site Name]=A236)*(expected_production[Date]=B236)*ISNUMBER(expected_production[Expected Production (kWh)]))=0,"",SUMIFS(expected_production[Expected Production (kWh)],expected_production[Site Name],A236,expected_production[Date],B236)),"")</f>
        <v>5504.3480467322433</v>
      </c>
      <c r="E236" s="9">
        <f t="shared" si="8"/>
        <v>0.53030803561430273</v>
      </c>
      <c r="F236" t="str">
        <f t="shared" si="9"/>
        <v>Poor</v>
      </c>
    </row>
    <row r="237" spans="1:6" ht="15" hidden="1" customHeight="1" x14ac:dyDescent="0.3">
      <c r="A237" t="s">
        <v>61</v>
      </c>
      <c r="B237" s="2">
        <v>45870</v>
      </c>
      <c r="C237" cm="1">
        <f t="array" ref="C237">IFERROR(IF(SUMPRODUCT((measured[Site Name]=A237)*(measured[Date]=B237)*ISNUMBER(measured[Measured Value (kWh)]))=0,"",SUMIFS(measured[Measured Value (kWh)],measured[Site Name],A237,measured[Date],B237)),"")</f>
        <v>5355</v>
      </c>
      <c r="D237" cm="1">
        <f t="array" ref="D237">IFERROR(IF(SUMPRODUCT((expected_production[Site Name]=A237)*(expected_production[Date]=B237)*ISNUMBER(expected_production[Expected Production (kWh)]))=0,"",SUMIFS(expected_production[Expected Production (kWh)],expected_production[Site Name],A237,expected_production[Date],B237)),"")</f>
        <v>6881.0051158968945</v>
      </c>
      <c r="E237" s="9">
        <f t="shared" si="8"/>
        <v>0.77822932984435234</v>
      </c>
      <c r="F237" t="str">
        <f t="shared" si="9"/>
        <v>Moderate</v>
      </c>
    </row>
    <row r="238" spans="1:6" ht="15" hidden="1" customHeight="1" x14ac:dyDescent="0.3">
      <c r="A238" t="s">
        <v>61</v>
      </c>
      <c r="B238" s="2">
        <v>45901</v>
      </c>
      <c r="C238" cm="1">
        <f t="array" ref="C238">IFERROR(IF(SUMPRODUCT((measured[Site Name]=A238)*(measured[Date]=B238)*ISNUMBER(measured[Measured Value (kWh)]))=0,"",SUMIFS(measured[Measured Value (kWh)],measured[Site Name],A238,measured[Date],B238)),"")</f>
        <v>8600</v>
      </c>
      <c r="D238" cm="1">
        <f t="array" ref="D238">IFERROR(IF(SUMPRODUCT((expected_production[Site Name]=A238)*(expected_production[Date]=B238)*ISNUMBER(expected_production[Expected Production (kWh)]))=0,"",SUMIFS(expected_production[Expected Production (kWh)],expected_production[Site Name],A238,expected_production[Date],B238)),"")</f>
        <v>8838.4308780534102</v>
      </c>
      <c r="E238" s="9">
        <f t="shared" si="8"/>
        <v>0.97302339280092642</v>
      </c>
      <c r="F238" t="str">
        <f t="shared" si="9"/>
        <v>Expected</v>
      </c>
    </row>
    <row r="239" spans="1:6" ht="15" hidden="1" customHeight="1" x14ac:dyDescent="0.3">
      <c r="A239" t="s">
        <v>61</v>
      </c>
      <c r="B239" s="2">
        <v>45931</v>
      </c>
      <c r="C239" cm="1">
        <f t="array" ref="C239">IFERROR(IF(SUMPRODUCT((measured[Site Name]=A239)*(measured[Date]=B239)*ISNUMBER(measured[Measured Value (kWh)]))=0,"",SUMIFS(measured[Measured Value (kWh)],measured[Site Name],A239,measured[Date],B239)),"")</f>
        <v>10599</v>
      </c>
      <c r="D239" cm="1">
        <f t="array" ref="D239">IFERROR(IF(SUMPRODUCT((expected_production[Site Name]=A239)*(expected_production[Date]=B239)*ISNUMBER(expected_production[Expected Production (kWh)]))=0,"",SUMIFS(expected_production[Expected Production (kWh)],expected_production[Site Name],A239,expected_production[Date],B239)),"")</f>
        <v>11172.299840051539</v>
      </c>
      <c r="E239" s="9">
        <f t="shared" si="8"/>
        <v>0.94868560204620378</v>
      </c>
      <c r="F239" t="str">
        <f t="shared" si="9"/>
        <v>Expected</v>
      </c>
    </row>
    <row r="240" spans="1:6" ht="15" hidden="1" customHeight="1" x14ac:dyDescent="0.3">
      <c r="A240" t="s">
        <v>61</v>
      </c>
      <c r="B240" s="2">
        <v>45962</v>
      </c>
      <c r="C240" cm="1">
        <f t="array" ref="C240">IFERROR(IF(SUMPRODUCT((measured[Site Name]=A240)*(measured[Date]=B240)*ISNUMBER(measured[Measured Value (kWh)]))=0,"",SUMIFS(measured[Measured Value (kWh)],measured[Site Name],A240,measured[Date],B240)),"")</f>
        <v>12569</v>
      </c>
      <c r="D240" cm="1">
        <f t="array" ref="D240">IFERROR(IF(SUMPRODUCT((expected_production[Site Name]=A240)*(expected_production[Date]=B240)*ISNUMBER(expected_production[Expected Production (kWh)]))=0,"",SUMIFS(expected_production[Expected Production (kWh)],expected_production[Site Name],A240,expected_production[Date],B240)),"")</f>
        <v>12545.803604641182</v>
      </c>
      <c r="E240" s="9">
        <f t="shared" si="8"/>
        <v>1.0018489365918526</v>
      </c>
      <c r="F240" t="str">
        <f t="shared" si="9"/>
        <v>Expected</v>
      </c>
    </row>
    <row r="241" spans="1:7" ht="15" hidden="1" customHeight="1" x14ac:dyDescent="0.3">
      <c r="A241" t="s">
        <v>61</v>
      </c>
      <c r="B241" s="2">
        <v>45992</v>
      </c>
      <c r="C241" cm="1">
        <f t="array" ref="C241">IFERROR(IF(SUMPRODUCT((measured[Site Name]=A241)*(measured[Date]=B241)*ISNUMBER(measured[Measured Value (kWh)]))=0,"",SUMIFS(measured[Measured Value (kWh)],measured[Site Name],A241,measured[Date],B241)),"")</f>
        <v>13572</v>
      </c>
      <c r="D241" cm="1">
        <f t="array" ref="D241">IFERROR(IF(SUMPRODUCT((expected_production[Site Name]=A241)*(expected_production[Date]=B241)*ISNUMBER(expected_production[Expected Production (kWh)]))=0,"",SUMIFS(expected_production[Expected Production (kWh)],expected_production[Site Name],A241,expected_production[Date],B241)),"")</f>
        <v>13688.039344884588</v>
      </c>
      <c r="E241" s="9">
        <f t="shared" si="8"/>
        <v>0.99152257368927321</v>
      </c>
      <c r="F241" t="str">
        <f t="shared" si="9"/>
        <v>Expected</v>
      </c>
    </row>
    <row r="242" spans="1:7" ht="15" hidden="1" customHeight="1" x14ac:dyDescent="0.3">
      <c r="A242" t="s">
        <v>61</v>
      </c>
      <c r="B242" s="2">
        <v>46023</v>
      </c>
      <c r="C242" cm="1">
        <f t="array" ref="C242">IFERROR(IF(SUMPRODUCT((measured[Site Name]=A242)*(measured[Date]=B242)*ISNUMBER(measured[Measured Value (kWh)]))=0,"",SUMIFS(measured[Measured Value (kWh)],measured[Site Name],A242,measured[Date],B242)),"")</f>
        <v>13416</v>
      </c>
      <c r="D242" cm="1">
        <f t="array" ref="D242">IFERROR(IF(SUMPRODUCT((expected_production[Site Name]=A242)*(expected_production[Date]=B242)*ISNUMBER(expected_production[Expected Production (kWh)]))=0,"",SUMIFS(expected_production[Expected Production (kWh)],expected_production[Site Name],A242,expected_production[Date],B242)),"")</f>
        <v>13589.397313325808</v>
      </c>
      <c r="E242" s="9">
        <f t="shared" si="8"/>
        <v>0.98724024992957016</v>
      </c>
      <c r="F242" t="str">
        <f t="shared" si="9"/>
        <v>Expected</v>
      </c>
    </row>
    <row r="243" spans="1:7" ht="15" hidden="1" customHeight="1" x14ac:dyDescent="0.3">
      <c r="A243" t="s">
        <v>61</v>
      </c>
      <c r="B243" s="2">
        <v>46054</v>
      </c>
      <c r="C243" cm="1">
        <f t="array" ref="C243">IFERROR(IF(SUMPRODUCT((measured[Site Name]=A243)*(measured[Date]=B243)*ISNUMBER(measured[Measured Value (kWh)]))=0,"",SUMIFS(measured[Measured Value (kWh)],measured[Site Name],A243,measured[Date],B243)),"")</f>
        <v>10034.177</v>
      </c>
      <c r="D243" cm="1">
        <f t="array" ref="D243">IFERROR(IF(SUMPRODUCT((expected_production[Site Name]=A243)*(expected_production[Date]=B243)*ISNUMBER(expected_production[Expected Production (kWh)]))=0,"",SUMIFS(expected_production[Expected Production (kWh)],expected_production[Site Name],A243,expected_production[Date],B243)),"")</f>
        <v>11190.230397852241</v>
      </c>
      <c r="E243" s="9">
        <f t="shared" si="8"/>
        <v>0.89669083148867745</v>
      </c>
      <c r="F243" t="str">
        <f t="shared" si="9"/>
        <v>Moderate</v>
      </c>
    </row>
    <row r="244" spans="1:7" ht="15" hidden="1" customHeight="1" x14ac:dyDescent="0.3">
      <c r="A244" t="s">
        <v>61</v>
      </c>
      <c r="B244" s="2">
        <v>46082</v>
      </c>
      <c r="C244" cm="1">
        <f t="array" ref="C244">IFERROR(IF(SUMPRODUCT((measured[Site Name]=A244)*(measured[Date]=B244)*ISNUMBER(measured[Measured Value (kWh)]))=0,"",SUMIFS(measured[Measured Value (kWh)],measured[Site Name],A244,measured[Date],B244)),"")</f>
        <v>10400</v>
      </c>
      <c r="D244" cm="1">
        <f t="array" ref="D244">IFERROR(IF(SUMPRODUCT((expected_production[Site Name]=A244)*(expected_production[Date]=B244)*ISNUMBER(expected_production[Expected Production (kWh)]))=0,"",SUMIFS(expected_production[Expected Production (kWh)],expected_production[Site Name],A244,expected_production[Date],B244)),"")</f>
        <v>10712.807062595022</v>
      </c>
      <c r="E244" s="9">
        <f t="shared" si="8"/>
        <v>0.97080064442799274</v>
      </c>
      <c r="F244" t="str">
        <f t="shared" si="9"/>
        <v>Expected</v>
      </c>
    </row>
    <row r="245" spans="1:7" ht="15" hidden="1" customHeight="1" x14ac:dyDescent="0.3">
      <c r="A245" t="s">
        <v>61</v>
      </c>
      <c r="B245" s="2">
        <v>46113</v>
      </c>
      <c r="C245" cm="1">
        <f t="array" ref="C245">IFERROR(IF(SUMPRODUCT((measured[Site Name]=A245)*(measured[Date]=B245)*ISNUMBER(measured[Measured Value (kWh)]))=0,"",SUMIFS(measured[Measured Value (kWh)],measured[Site Name],A245,measured[Date],B245)),"")</f>
        <v>7344.6</v>
      </c>
      <c r="D245" cm="1">
        <f t="array" ref="D245">IFERROR(IF(SUMPRODUCT((expected_production[Site Name]=A245)*(expected_production[Date]=B245)*ISNUMBER(expected_production[Expected Production (kWh)]))=0,"",SUMIFS(expected_production[Expected Production (kWh)],expected_production[Site Name],A245,expected_production[Date],B245)),"")</f>
        <v>7702.6020029761194</v>
      </c>
      <c r="E245" s="9">
        <f t="shared" si="8"/>
        <v>0.9535219393605181</v>
      </c>
      <c r="F245" t="str">
        <f t="shared" si="9"/>
        <v>Expected</v>
      </c>
    </row>
    <row r="246" spans="1:7" ht="15" hidden="1" customHeight="1" x14ac:dyDescent="0.3">
      <c r="A246" t="s">
        <v>61</v>
      </c>
      <c r="B246" s="2">
        <v>46143</v>
      </c>
      <c r="C246" cm="1">
        <f t="array" ref="C246">IFERROR(IF(SUMPRODUCT((measured[Site Name]=A246)*(measured[Date]=B246)*ISNUMBER(measured[Measured Value (kWh)]))=0,"",SUMIFS(measured[Measured Value (kWh)],measured[Site Name],A246,measured[Date],B246)),"")</f>
        <v>5508.9</v>
      </c>
      <c r="D246" cm="1">
        <f t="array" ref="D246">IFERROR(IF(SUMPRODUCT((expected_production[Site Name]=A246)*(expected_production[Date]=B246)*ISNUMBER(expected_production[Expected Production (kWh)]))=0,"",SUMIFS(expected_production[Expected Production (kWh)],expected_production[Site Name],A246,expected_production[Date],B246)),"")</f>
        <v>5854.601347540839</v>
      </c>
      <c r="E246" s="9">
        <f t="shared" si="8"/>
        <v>0.94095219690986354</v>
      </c>
      <c r="F246" t="str">
        <f t="shared" si="9"/>
        <v>Expected</v>
      </c>
    </row>
    <row r="247" spans="1:7" ht="15" hidden="1" customHeight="1" x14ac:dyDescent="0.3">
      <c r="A247" t="s">
        <v>61</v>
      </c>
      <c r="B247" s="2">
        <v>46174</v>
      </c>
      <c r="C247" cm="1">
        <f t="array" ref="C247">IFERROR(IF(SUMPRODUCT((measured[Site Name]=A247)*(measured[Date]=B247)*ISNUMBER(measured[Measured Value (kWh)]))=0,"",SUMIFS(measured[Measured Value (kWh)],measured[Site Name],A247,measured[Date],B247)),"")</f>
        <v>5030.25</v>
      </c>
      <c r="D247" cm="1">
        <f t="array" ref="D247">IFERROR(IF(SUMPRODUCT((expected_production[Site Name]=A247)*(expected_production[Date]=B247)*ISNUMBER(expected_production[Expected Production (kWh)]))=0,"",SUMIFS(expected_production[Expected Production (kWh)],expected_production[Site Name],A247,expected_production[Date],B247)),"")</f>
        <v>5077.1552632904531</v>
      </c>
      <c r="E247" s="9">
        <f t="shared" si="8"/>
        <v>0.99076150701366295</v>
      </c>
      <c r="F247" t="str">
        <f t="shared" si="9"/>
        <v>Expected</v>
      </c>
    </row>
    <row r="248" spans="1:7" ht="15" hidden="1" customHeight="1" x14ac:dyDescent="0.3">
      <c r="A248" t="s">
        <v>61</v>
      </c>
      <c r="B248" s="2">
        <v>46204</v>
      </c>
      <c r="C248" cm="1">
        <f t="array" ref="C248">IFERROR(IF(SUMPRODUCT((measured[Site Name]=A248)*(measured[Date]=B248)*ISNUMBER(measured[Measured Value (kWh)]))=0,"",SUMIFS(measured[Measured Value (kWh)],measured[Site Name],A248,measured[Date],B248)),"")</f>
        <v>5251.38</v>
      </c>
      <c r="D248" cm="1">
        <f t="array" ref="D248">IFERROR(IF(SUMPRODUCT((expected_production[Site Name]=A248)*(expected_production[Date]=B248)*ISNUMBER(expected_production[Expected Production (kWh)]))=0,"",SUMIFS(expected_production[Expected Production (kWh)],expected_production[Site Name],A248,expected_production[Date],B248)),"")</f>
        <v>5465.8438905942567</v>
      </c>
      <c r="E248" s="9">
        <f t="shared" si="8"/>
        <v>0.96076289500998913</v>
      </c>
      <c r="F248" t="str">
        <f t="shared" si="9"/>
        <v>Expected</v>
      </c>
      <c r="G248" t="s">
        <v>874</v>
      </c>
    </row>
    <row r="249" spans="1:7" ht="15" hidden="1" customHeight="1" x14ac:dyDescent="0.3">
      <c r="A249" t="s">
        <v>61</v>
      </c>
      <c r="B249" s="2">
        <v>46235</v>
      </c>
      <c r="C249" cm="1">
        <f t="array" ref="C249">IFERROR(IF(SUMPRODUCT((measured[Site Name]=A249)*(measured[Date]=B249)*ISNUMBER(measured[Measured Value (kWh)]))=0,"",SUMIFS(measured[Measured Value (kWh)],measured[Site Name],A249,measured[Date],B249)),"")</f>
        <v>6385.91</v>
      </c>
      <c r="D249" cm="1">
        <f t="array" ref="D249">IFERROR(IF(SUMPRODUCT((expected_production[Site Name]=A249)*(expected_production[Date]=B249)*ISNUMBER(expected_production[Expected Production (kWh)]))=0,"",SUMIFS(expected_production[Expected Production (kWh)],expected_production[Site Name],A249,expected_production[Date],B249)),"")</f>
        <v>6832.8709330437468</v>
      </c>
      <c r="E249" s="9">
        <f t="shared" si="8"/>
        <v>0.93458665655716622</v>
      </c>
      <c r="F249" t="str">
        <f t="shared" si="9"/>
        <v>Expected</v>
      </c>
      <c r="G249" t="s">
        <v>874</v>
      </c>
    </row>
    <row r="250" spans="1:7" ht="15" customHeight="1" x14ac:dyDescent="0.3">
      <c r="A250" t="s">
        <v>61</v>
      </c>
      <c r="B250" s="2">
        <v>46266</v>
      </c>
      <c r="C250" cm="1">
        <f t="array" ref="C250">IFERROR(IF(SUMPRODUCT((measured[Site Name]=A250)*(measured[Date]=B250)*ISNUMBER(measured[Measured Value (kWh)]))=0,"",SUMIFS(measured[Measured Value (kWh)],measured[Site Name],A250,measured[Date],B250)),"")</f>
        <v>8881.77</v>
      </c>
      <c r="D250" cm="1">
        <f t="array" ref="D250">IFERROR(IF(SUMPRODUCT((expected_production[Site Name]=A250)*(expected_production[Date]=B250)*ISNUMBER(expected_production[Expected Production (kWh)]))=0,"",SUMIFS(expected_production[Expected Production (kWh)],expected_production[Site Name],A250,expected_production[Date],B250)),"")</f>
        <v>8776.6040604804548</v>
      </c>
      <c r="E250" s="9">
        <f t="shared" si="8"/>
        <v>1.0119825320585087</v>
      </c>
      <c r="F250" t="str">
        <f t="shared" si="9"/>
        <v>Expected</v>
      </c>
      <c r="G250" t="s">
        <v>874</v>
      </c>
    </row>
    <row r="251" spans="1:7" ht="15" hidden="1" customHeight="1" x14ac:dyDescent="0.3">
      <c r="A251" t="s">
        <v>61</v>
      </c>
      <c r="B251" s="2">
        <v>46296</v>
      </c>
      <c r="C251" t="str" cm="1">
        <f t="array" ref="C251">IFERROR(IF(SUMPRODUCT((measured[Site Name]=A251)*(measured[Date]=B251)*ISNUMBER(measured[Measured Value (kWh)]))=0,"",SUMIFS(measured[Measured Value (kWh)],measured[Site Name],A251,measured[Date],B251)),"")</f>
        <v/>
      </c>
      <c r="D251" cm="1">
        <f t="array" ref="D251">IFERROR(IF(SUMPRODUCT((expected_production[Site Name]=A251)*(expected_production[Date]=B251)*ISNUMBER(expected_production[Expected Production (kWh)]))=0,"",SUMIFS(expected_production[Expected Production (kWh)],expected_production[Site Name],A251,expected_production[Date],B251)),"")</f>
        <v>11094.147082666015</v>
      </c>
      <c r="E251" s="9" t="str">
        <f t="shared" si="8"/>
        <v/>
      </c>
      <c r="F251" t="str">
        <f t="shared" si="9"/>
        <v/>
      </c>
    </row>
    <row r="252" spans="1:7" ht="15" hidden="1" customHeight="1" x14ac:dyDescent="0.3">
      <c r="A252" t="s">
        <v>61</v>
      </c>
      <c r="B252" s="2">
        <v>46327</v>
      </c>
      <c r="C252" t="str" cm="1">
        <f t="array" ref="C252">IFERROR(IF(SUMPRODUCT((measured[Site Name]=A252)*(measured[Date]=B252)*ISNUMBER(measured[Measured Value (kWh)]))=0,"",SUMIFS(measured[Measured Value (kWh)],measured[Site Name],A252,measured[Date],B252)),"")</f>
        <v/>
      </c>
      <c r="D252" cm="1">
        <f t="array" ref="D252">IFERROR(IF(SUMPRODUCT((expected_production[Site Name]=A252)*(expected_production[Date]=B252)*ISNUMBER(expected_production[Expected Production (kWh)]))=0,"",SUMIFS(expected_production[Expected Production (kWh)],expected_production[Site Name],A252,expected_production[Date],B252)),"")</f>
        <v>12458.042878617254</v>
      </c>
      <c r="E252" s="9" t="str">
        <f t="shared" si="8"/>
        <v/>
      </c>
      <c r="F252" t="str">
        <f t="shared" si="9"/>
        <v/>
      </c>
    </row>
    <row r="253" spans="1:7" ht="15" hidden="1" customHeight="1" x14ac:dyDescent="0.3">
      <c r="A253" t="s">
        <v>61</v>
      </c>
      <c r="B253" s="2">
        <v>46357</v>
      </c>
      <c r="C253" t="str" cm="1">
        <f t="array" ref="C253">IFERROR(IF(SUMPRODUCT((measured[Site Name]=A253)*(measured[Date]=B253)*ISNUMBER(measured[Measured Value (kWh)]))=0,"",SUMIFS(measured[Measured Value (kWh)],measured[Site Name],A253,measured[Date],B253)),"")</f>
        <v/>
      </c>
      <c r="D253" cm="1">
        <f t="array" ref="D253">IFERROR(IF(SUMPRODUCT((expected_production[Site Name]=A253)*(expected_production[Date]=B253)*ISNUMBER(expected_production[Expected Production (kWh)]))=0,"",SUMIFS(expected_production[Expected Production (kWh)],expected_production[Site Name],A253,expected_production[Date],B253)),"")</f>
        <v>13592.288422216965</v>
      </c>
      <c r="E253" s="9" t="str">
        <f t="shared" si="8"/>
        <v/>
      </c>
      <c r="F253" t="str">
        <f t="shared" si="9"/>
        <v/>
      </c>
    </row>
    <row r="254" spans="1:7" ht="15" hidden="1" customHeight="1" x14ac:dyDescent="0.3">
      <c r="A254" t="s">
        <v>66</v>
      </c>
      <c r="B254" s="2">
        <v>45292</v>
      </c>
      <c r="C254" t="str" cm="1">
        <f t="array" ref="C254">IFERROR(IF(SUMPRODUCT((measured[Site Name]=A254)*(measured[Date]=B254)*ISNUMBER(measured[Measured Value (kWh)]))=0,"",SUMIFS(measured[Measured Value (kWh)],measured[Site Name],A254,measured[Date],B254)),"")</f>
        <v/>
      </c>
      <c r="D254" cm="1">
        <f t="array" ref="D254">IFERROR(IF(SUMPRODUCT((expected_production[Site Name]=A254)*(expected_production[Date]=B254)*ISNUMBER(expected_production[Expected Production (kWh)]))=0,"",SUMIFS(expected_production[Expected Production (kWh)],expected_production[Site Name],A254,expected_production[Date],B254)),"")</f>
        <v>2197.6880972262297</v>
      </c>
      <c r="E254" s="9" t="str">
        <f t="shared" si="8"/>
        <v/>
      </c>
      <c r="F254" t="str">
        <f t="shared" si="9"/>
        <v/>
      </c>
    </row>
    <row r="255" spans="1:7" ht="15" hidden="1" customHeight="1" x14ac:dyDescent="0.3">
      <c r="A255" t="s">
        <v>66</v>
      </c>
      <c r="B255" s="2">
        <v>45323</v>
      </c>
      <c r="C255" t="str" cm="1">
        <f t="array" ref="C255">IFERROR(IF(SUMPRODUCT((measured[Site Name]=A255)*(measured[Date]=B255)*ISNUMBER(measured[Measured Value (kWh)]))=0,"",SUMIFS(measured[Measured Value (kWh)],measured[Site Name],A255,measured[Date],B255)),"")</f>
        <v/>
      </c>
      <c r="D255" cm="1">
        <f t="array" ref="D255">IFERROR(IF(SUMPRODUCT((expected_production[Site Name]=A255)*(expected_production[Date]=B255)*ISNUMBER(expected_production[Expected Production (kWh)]))=0,"",SUMIFS(expected_production[Expected Production (kWh)],expected_production[Site Name],A255,expected_production[Date],B255)),"")</f>
        <v>1978.2662839742304</v>
      </c>
      <c r="E255" s="9" t="str">
        <f t="shared" si="8"/>
        <v/>
      </c>
      <c r="F255" t="str">
        <f t="shared" si="9"/>
        <v/>
      </c>
    </row>
    <row r="256" spans="1:7" ht="15" hidden="1" customHeight="1" x14ac:dyDescent="0.3">
      <c r="A256" t="s">
        <v>66</v>
      </c>
      <c r="B256" s="2">
        <v>45352</v>
      </c>
      <c r="C256" t="str" cm="1">
        <f t="array" ref="C256">IFERROR(IF(SUMPRODUCT((measured[Site Name]=A256)*(measured[Date]=B256)*ISNUMBER(measured[Measured Value (kWh)]))=0,"",SUMIFS(measured[Measured Value (kWh)],measured[Site Name],A256,measured[Date],B256)),"")</f>
        <v/>
      </c>
      <c r="D256" cm="1">
        <f t="array" ref="D256">IFERROR(IF(SUMPRODUCT((expected_production[Site Name]=A256)*(expected_production[Date]=B256)*ISNUMBER(expected_production[Expected Production (kWh)]))=0,"",SUMIFS(expected_production[Expected Production (kWh)],expected_production[Site Name],A256,expected_production[Date],B256)),"")</f>
        <v>2120.6959585642708</v>
      </c>
      <c r="E256" s="9" t="str">
        <f t="shared" si="8"/>
        <v/>
      </c>
      <c r="F256" t="str">
        <f t="shared" si="9"/>
        <v/>
      </c>
    </row>
    <row r="257" spans="1:6" ht="15" hidden="1" customHeight="1" x14ac:dyDescent="0.3">
      <c r="A257" t="s">
        <v>66</v>
      </c>
      <c r="B257" s="2">
        <v>45383</v>
      </c>
      <c r="C257" t="str" cm="1">
        <f t="array" ref="C257">IFERROR(IF(SUMPRODUCT((measured[Site Name]=A257)*(measured[Date]=B257)*ISNUMBER(measured[Measured Value (kWh)]))=0,"",SUMIFS(measured[Measured Value (kWh)],measured[Site Name],A257,measured[Date],B257)),"")</f>
        <v/>
      </c>
      <c r="D257" cm="1">
        <f t="array" ref="D257">IFERROR(IF(SUMPRODUCT((expected_production[Site Name]=A257)*(expected_production[Date]=B257)*ISNUMBER(expected_production[Expected Production (kWh)]))=0,"",SUMIFS(expected_production[Expected Production (kWh)],expected_production[Site Name],A257,expected_production[Date],B257)),"")</f>
        <v>1760.8140398606968</v>
      </c>
      <c r="E257" s="9" t="str">
        <f t="shared" si="8"/>
        <v/>
      </c>
      <c r="F257" t="str">
        <f t="shared" si="9"/>
        <v/>
      </c>
    </row>
    <row r="258" spans="1:6" ht="15" hidden="1" customHeight="1" x14ac:dyDescent="0.3">
      <c r="A258" t="s">
        <v>66</v>
      </c>
      <c r="B258" s="2">
        <v>45413</v>
      </c>
      <c r="C258" t="str" cm="1">
        <f t="array" ref="C258">IFERROR(IF(SUMPRODUCT((measured[Site Name]=A258)*(measured[Date]=B258)*ISNUMBER(measured[Measured Value (kWh)]))=0,"",SUMIFS(measured[Measured Value (kWh)],measured[Site Name],A258,measured[Date],B258)),"")</f>
        <v/>
      </c>
      <c r="D258" cm="1">
        <f t="array" ref="D258">IFERROR(IF(SUMPRODUCT((expected_production[Site Name]=A258)*(expected_production[Date]=B258)*ISNUMBER(expected_production[Expected Production (kWh)]))=0,"",SUMIFS(expected_production[Expected Production (kWh)],expected_production[Site Name],A258,expected_production[Date],B258)),"")</f>
        <v>1624.4982131402362</v>
      </c>
      <c r="E258" s="9" t="str">
        <f t="shared" si="8"/>
        <v/>
      </c>
      <c r="F258" t="str">
        <f t="shared" si="9"/>
        <v/>
      </c>
    </row>
    <row r="259" spans="1:6" ht="15" hidden="1" customHeight="1" x14ac:dyDescent="0.3">
      <c r="A259" t="s">
        <v>66</v>
      </c>
      <c r="B259" s="2">
        <v>45444</v>
      </c>
      <c r="C259" t="str" cm="1">
        <f t="array" ref="C259">IFERROR(IF(SUMPRODUCT((measured[Site Name]=A259)*(measured[Date]=B259)*ISNUMBER(measured[Measured Value (kWh)]))=0,"",SUMIFS(measured[Measured Value (kWh)],measured[Site Name],A259,measured[Date],B259)),"")</f>
        <v/>
      </c>
      <c r="D259" cm="1">
        <f t="array" ref="D259">IFERROR(IF(SUMPRODUCT((expected_production[Site Name]=A259)*(expected_production[Date]=B259)*ISNUMBER(expected_production[Expected Production (kWh)]))=0,"",SUMIFS(expected_production[Expected Production (kWh)],expected_production[Site Name],A259,expected_production[Date],B259)),"")</f>
        <v>1473.0870397442143</v>
      </c>
      <c r="E259" s="9" t="str">
        <f t="shared" si="8"/>
        <v/>
      </c>
      <c r="F259" t="str">
        <f t="shared" si="9"/>
        <v/>
      </c>
    </row>
    <row r="260" spans="1:6" ht="15" hidden="1" customHeight="1" x14ac:dyDescent="0.3">
      <c r="A260" t="s">
        <v>66</v>
      </c>
      <c r="B260" s="2">
        <v>45474</v>
      </c>
      <c r="C260" t="str" cm="1">
        <f t="array" ref="C260">IFERROR(IF(SUMPRODUCT((measured[Site Name]=A260)*(measured[Date]=B260)*ISNUMBER(measured[Measured Value (kWh)]))=0,"",SUMIFS(measured[Measured Value (kWh)],measured[Site Name],A260,measured[Date],B260)),"")</f>
        <v/>
      </c>
      <c r="D260" cm="1">
        <f t="array" ref="D260">IFERROR(IF(SUMPRODUCT((expected_production[Site Name]=A260)*(expected_production[Date]=B260)*ISNUMBER(expected_production[Expected Production (kWh)]))=0,"",SUMIFS(expected_production[Expected Production (kWh)],expected_production[Site Name],A260,expected_production[Date],B260)),"")</f>
        <v>1603.7989934098734</v>
      </c>
      <c r="E260" s="9" t="str">
        <f t="shared" si="8"/>
        <v/>
      </c>
      <c r="F260" t="str">
        <f t="shared" si="9"/>
        <v/>
      </c>
    </row>
    <row r="261" spans="1:6" ht="15" hidden="1" customHeight="1" x14ac:dyDescent="0.3">
      <c r="A261" t="s">
        <v>66</v>
      </c>
      <c r="B261" s="2">
        <v>45505</v>
      </c>
      <c r="C261" t="str" cm="1">
        <f t="array" ref="C261">IFERROR(IF(SUMPRODUCT((measured[Site Name]=A261)*(measured[Date]=B261)*ISNUMBER(measured[Measured Value (kWh)]))=0,"",SUMIFS(measured[Measured Value (kWh)],measured[Site Name],A261,measured[Date],B261)),"")</f>
        <v/>
      </c>
      <c r="D261" cm="1">
        <f t="array" ref="D261">IFERROR(IF(SUMPRODUCT((expected_production[Site Name]=A261)*(expected_production[Date]=B261)*ISNUMBER(expected_production[Expected Production (kWh)]))=0,"",SUMIFS(expected_production[Expected Production (kWh)],expected_production[Site Name],A261,expected_production[Date],B261)),"")</f>
        <v>1753.1096285789904</v>
      </c>
      <c r="E261" s="9" t="str">
        <f t="shared" si="8"/>
        <v/>
      </c>
      <c r="F261" t="str">
        <f t="shared" si="9"/>
        <v/>
      </c>
    </row>
    <row r="262" spans="1:6" ht="15" hidden="1" customHeight="1" x14ac:dyDescent="0.3">
      <c r="A262" t="s">
        <v>66</v>
      </c>
      <c r="B262" s="2">
        <v>45536</v>
      </c>
      <c r="C262" t="str" cm="1">
        <f t="array" ref="C262">IFERROR(IF(SUMPRODUCT((measured[Site Name]=A262)*(measured[Date]=B262)*ISNUMBER(measured[Measured Value (kWh)]))=0,"",SUMIFS(measured[Measured Value (kWh)],measured[Site Name],A262,measured[Date],B262)),"")</f>
        <v/>
      </c>
      <c r="D262" cm="1">
        <f t="array" ref="D262">IFERROR(IF(SUMPRODUCT((expected_production[Site Name]=A262)*(expected_production[Date]=B262)*ISNUMBER(expected_production[Expected Production (kWh)]))=0,"",SUMIFS(expected_production[Expected Production (kWh)],expected_production[Site Name],A262,expected_production[Date],B262)),"")</f>
        <v>1855.7583582252032</v>
      </c>
      <c r="E262" s="9" t="str">
        <f t="shared" si="8"/>
        <v/>
      </c>
      <c r="F262" t="str">
        <f t="shared" si="9"/>
        <v/>
      </c>
    </row>
    <row r="263" spans="1:6" ht="15" hidden="1" customHeight="1" x14ac:dyDescent="0.3">
      <c r="A263" t="s">
        <v>66</v>
      </c>
      <c r="B263" s="2">
        <v>45566</v>
      </c>
      <c r="C263" t="str" cm="1">
        <f t="array" ref="C263">IFERROR(IF(SUMPRODUCT((measured[Site Name]=A263)*(measured[Date]=B263)*ISNUMBER(measured[Measured Value (kWh)]))=0,"",SUMIFS(measured[Measured Value (kWh)],measured[Site Name],A263,measured[Date],B263)),"")</f>
        <v/>
      </c>
      <c r="D263" cm="1">
        <f t="array" ref="D263">IFERROR(IF(SUMPRODUCT((expected_production[Site Name]=A263)*(expected_production[Date]=B263)*ISNUMBER(expected_production[Expected Production (kWh)]))=0,"",SUMIFS(expected_production[Expected Production (kWh)],expected_production[Site Name],A263,expected_production[Date],B263)),"")</f>
        <v>1886.8501681365194</v>
      </c>
      <c r="E263" s="9" t="str">
        <f t="shared" si="8"/>
        <v/>
      </c>
      <c r="F263" t="str">
        <f t="shared" si="9"/>
        <v/>
      </c>
    </row>
    <row r="264" spans="1:6" ht="15" hidden="1" customHeight="1" x14ac:dyDescent="0.3">
      <c r="A264" t="s">
        <v>66</v>
      </c>
      <c r="B264" s="2">
        <v>45597</v>
      </c>
      <c r="C264" t="str" cm="1">
        <f t="array" ref="C264">IFERROR(IF(SUMPRODUCT((measured[Site Name]=A264)*(measured[Date]=B264)*ISNUMBER(measured[Measured Value (kWh)]))=0,"",SUMIFS(measured[Measured Value (kWh)],measured[Site Name],A264,measured[Date],B264)),"")</f>
        <v/>
      </c>
      <c r="D264" cm="1">
        <f t="array" ref="D264">IFERROR(IF(SUMPRODUCT((expected_production[Site Name]=A264)*(expected_production[Date]=B264)*ISNUMBER(expected_production[Expected Production (kWh)]))=0,"",SUMIFS(expected_production[Expected Production (kWh)],expected_production[Site Name],A264,expected_production[Date],B264)),"")</f>
        <v>1820.5465970618491</v>
      </c>
      <c r="E264" s="9" t="str">
        <f t="shared" si="8"/>
        <v/>
      </c>
      <c r="F264" t="str">
        <f t="shared" si="9"/>
        <v/>
      </c>
    </row>
    <row r="265" spans="1:6" ht="15" hidden="1" customHeight="1" x14ac:dyDescent="0.3">
      <c r="A265" t="s">
        <v>66</v>
      </c>
      <c r="B265" s="2">
        <v>45627</v>
      </c>
      <c r="C265" t="str" cm="1">
        <f t="array" ref="C265">IFERROR(IF(SUMPRODUCT((measured[Site Name]=A265)*(measured[Date]=B265)*ISNUMBER(measured[Measured Value (kWh)]))=0,"",SUMIFS(measured[Measured Value (kWh)],measured[Site Name],A265,measured[Date],B265)),"")</f>
        <v/>
      </c>
      <c r="D265" cm="1">
        <f t="array" ref="D265">IFERROR(IF(SUMPRODUCT((expected_production[Site Name]=A265)*(expected_production[Date]=B265)*ISNUMBER(expected_production[Expected Production (kWh)]))=0,"",SUMIFS(expected_production[Expected Production (kWh)],expected_production[Site Name],A265,expected_production[Date],B265)),"")</f>
        <v>1969.4108740325444</v>
      </c>
      <c r="E265" s="9" t="str">
        <f t="shared" si="8"/>
        <v/>
      </c>
      <c r="F265" t="str">
        <f t="shared" si="9"/>
        <v/>
      </c>
    </row>
    <row r="266" spans="1:6" ht="15" hidden="1" customHeight="1" x14ac:dyDescent="0.3">
      <c r="A266" t="s">
        <v>66</v>
      </c>
      <c r="B266" s="2">
        <v>45658</v>
      </c>
      <c r="C266" t="str" cm="1">
        <f t="array" ref="C266">IFERROR(IF(SUMPRODUCT((measured[Site Name]=A266)*(measured[Date]=B266)*ISNUMBER(measured[Measured Value (kWh)]))=0,"",SUMIFS(measured[Measured Value (kWh)],measured[Site Name],A266,measured[Date],B266)),"")</f>
        <v/>
      </c>
      <c r="D266" cm="1">
        <f t="array" ref="D266">IFERROR(IF(SUMPRODUCT((expected_production[Site Name]=A266)*(expected_production[Date]=B266)*ISNUMBER(expected_production[Expected Production (kWh)]))=0,"",SUMIFS(expected_production[Expected Production (kWh)],expected_production[Site Name],A266,expected_production[Date],B266)),"")</f>
        <v>2182.2728026469072</v>
      </c>
      <c r="E266" s="9" t="str">
        <f t="shared" si="8"/>
        <v/>
      </c>
      <c r="F266" t="str">
        <f t="shared" si="9"/>
        <v/>
      </c>
    </row>
    <row r="267" spans="1:6" ht="15" hidden="1" customHeight="1" x14ac:dyDescent="0.3">
      <c r="A267" t="s">
        <v>66</v>
      </c>
      <c r="B267" s="2">
        <v>45689</v>
      </c>
      <c r="C267" t="str" cm="1">
        <f t="array" ref="C267">IFERROR(IF(SUMPRODUCT((measured[Site Name]=A267)*(measured[Date]=B267)*ISNUMBER(measured[Measured Value (kWh)]))=0,"",SUMIFS(measured[Measured Value (kWh)],measured[Site Name],A267,measured[Date],B267)),"")</f>
        <v/>
      </c>
      <c r="D267" cm="1">
        <f t="array" ref="D267">IFERROR(IF(SUMPRODUCT((expected_production[Site Name]=A267)*(expected_production[Date]=B267)*ISNUMBER(expected_production[Expected Production (kWh)]))=0,"",SUMIFS(expected_production[Expected Production (kWh)],expected_production[Site Name],A267,expected_production[Date],B267)),"")</f>
        <v>1964.3900849074503</v>
      </c>
      <c r="E267" s="9" t="str">
        <f t="shared" si="8"/>
        <v/>
      </c>
      <c r="F267" t="str">
        <f t="shared" si="9"/>
        <v/>
      </c>
    </row>
    <row r="268" spans="1:6" ht="15" hidden="1" customHeight="1" x14ac:dyDescent="0.3">
      <c r="A268" t="s">
        <v>66</v>
      </c>
      <c r="B268" s="2">
        <v>45717</v>
      </c>
      <c r="C268" t="str" cm="1">
        <f t="array" ref="C268">IFERROR(IF(SUMPRODUCT((measured[Site Name]=A268)*(measured[Date]=B268)*ISNUMBER(measured[Measured Value (kWh)]))=0,"",SUMIFS(measured[Measured Value (kWh)],measured[Site Name],A268,measured[Date],B268)),"")</f>
        <v/>
      </c>
      <c r="D268" cm="1">
        <f t="array" ref="D268">IFERROR(IF(SUMPRODUCT((expected_production[Site Name]=A268)*(expected_production[Date]=B268)*ISNUMBER(expected_production[Expected Production (kWh)]))=0,"",SUMIFS(expected_production[Expected Production (kWh)],expected_production[Site Name],A268,expected_production[Date],B268)),"")</f>
        <v>2105.8612119936515</v>
      </c>
      <c r="E268" s="9" t="str">
        <f t="shared" si="8"/>
        <v/>
      </c>
      <c r="F268" t="str">
        <f t="shared" si="9"/>
        <v/>
      </c>
    </row>
    <row r="269" spans="1:6" ht="15" hidden="1" customHeight="1" x14ac:dyDescent="0.3">
      <c r="A269" t="s">
        <v>66</v>
      </c>
      <c r="B269" s="2">
        <v>45748</v>
      </c>
      <c r="C269" t="str" cm="1">
        <f t="array" ref="C269">IFERROR(IF(SUMPRODUCT((measured[Site Name]=A269)*(measured[Date]=B269)*ISNUMBER(measured[Measured Value (kWh)]))=0,"",SUMIFS(measured[Measured Value (kWh)],measured[Site Name],A269,measured[Date],B269)),"")</f>
        <v/>
      </c>
      <c r="D269" cm="1">
        <f t="array" ref="D269">IFERROR(IF(SUMPRODUCT((expected_production[Site Name]=A269)*(expected_production[Date]=B269)*ISNUMBER(expected_production[Expected Production (kWh)]))=0,"",SUMIFS(expected_production[Expected Production (kWh)],expected_production[Site Name],A269,expected_production[Date],B269)),"")</f>
        <v>1748.4967484857439</v>
      </c>
      <c r="E269" s="9" t="str">
        <f t="shared" si="8"/>
        <v/>
      </c>
      <c r="F269" t="str">
        <f t="shared" si="9"/>
        <v/>
      </c>
    </row>
    <row r="270" spans="1:6" ht="15" hidden="1" customHeight="1" x14ac:dyDescent="0.3">
      <c r="A270" t="s">
        <v>66</v>
      </c>
      <c r="B270" s="2">
        <v>45778</v>
      </c>
      <c r="C270" t="str" cm="1">
        <f t="array" ref="C270">IFERROR(IF(SUMPRODUCT((measured[Site Name]=A270)*(measured[Date]=B270)*ISNUMBER(measured[Measured Value (kWh)]))=0,"",SUMIFS(measured[Measured Value (kWh)],measured[Site Name],A270,measured[Date],B270)),"")</f>
        <v/>
      </c>
      <c r="D270" cm="1">
        <f t="array" ref="D270">IFERROR(IF(SUMPRODUCT((expected_production[Site Name]=A270)*(expected_production[Date]=B270)*ISNUMBER(expected_production[Expected Production (kWh)]))=0,"",SUMIFS(expected_production[Expected Production (kWh)],expected_production[Site Name],A270,expected_production[Date],B270)),"")</f>
        <v>1613.1344817203517</v>
      </c>
      <c r="E270" s="9" t="str">
        <f t="shared" si="8"/>
        <v/>
      </c>
      <c r="F270" t="str">
        <f t="shared" si="9"/>
        <v/>
      </c>
    </row>
    <row r="271" spans="1:6" ht="15" hidden="1" customHeight="1" x14ac:dyDescent="0.3">
      <c r="A271" t="s">
        <v>66</v>
      </c>
      <c r="B271" s="2">
        <v>45809</v>
      </c>
      <c r="C271" t="str" cm="1">
        <f t="array" ref="C271">IFERROR(IF(SUMPRODUCT((measured[Site Name]=A271)*(measured[Date]=B271)*ISNUMBER(measured[Measured Value (kWh)]))=0,"",SUMIFS(measured[Measured Value (kWh)],measured[Site Name],A271,measured[Date],B271)),"")</f>
        <v/>
      </c>
      <c r="D271" cm="1">
        <f t="array" ref="D271">IFERROR(IF(SUMPRODUCT((expected_production[Site Name]=A271)*(expected_production[Date]=B271)*ISNUMBER(expected_production[Expected Production (kWh)]))=0,"",SUMIFS(expected_production[Expected Production (kWh)],expected_production[Site Name],A271,expected_production[Date],B271)),"")</f>
        <v>1462.7824636342737</v>
      </c>
      <c r="E271" s="9" t="str">
        <f t="shared" si="8"/>
        <v/>
      </c>
      <c r="F271" t="str">
        <f t="shared" si="9"/>
        <v/>
      </c>
    </row>
    <row r="272" spans="1:6" ht="15" hidden="1" customHeight="1" x14ac:dyDescent="0.3">
      <c r="A272" t="s">
        <v>66</v>
      </c>
      <c r="B272" s="2">
        <v>45839</v>
      </c>
      <c r="C272" t="str" cm="1">
        <f t="array" ref="C272">IFERROR(IF(SUMPRODUCT((measured[Site Name]=A272)*(measured[Date]=B272)*ISNUMBER(measured[Measured Value (kWh)]))=0,"",SUMIFS(measured[Measured Value (kWh)],measured[Site Name],A272,measured[Date],B272)),"")</f>
        <v/>
      </c>
      <c r="D272" cm="1">
        <f t="array" ref="D272">IFERROR(IF(SUMPRODUCT((expected_production[Site Name]=A272)*(expected_production[Date]=B272)*ISNUMBER(expected_production[Expected Production (kWh)]))=0,"",SUMIFS(expected_production[Expected Production (kWh)],expected_production[Site Name],A272,expected_production[Date],B272)),"")</f>
        <v>1592.5800577008824</v>
      </c>
      <c r="E272" s="9" t="str">
        <f t="shared" si="8"/>
        <v/>
      </c>
      <c r="F272" t="str">
        <f t="shared" si="9"/>
        <v/>
      </c>
    </row>
    <row r="273" spans="1:7" ht="15" hidden="1" customHeight="1" x14ac:dyDescent="0.3">
      <c r="A273" t="s">
        <v>66</v>
      </c>
      <c r="B273" s="2">
        <v>45870</v>
      </c>
      <c r="C273" t="str" cm="1">
        <f t="array" ref="C273">IFERROR(IF(SUMPRODUCT((measured[Site Name]=A273)*(measured[Date]=B273)*ISNUMBER(measured[Measured Value (kWh)]))=0,"",SUMIFS(measured[Measured Value (kWh)],measured[Site Name],A273,measured[Date],B273)),"")</f>
        <v/>
      </c>
      <c r="D273" cm="1">
        <f t="array" ref="D273">IFERROR(IF(SUMPRODUCT((expected_production[Site Name]=A273)*(expected_production[Date]=B273)*ISNUMBER(expected_production[Expected Production (kWh)]))=0,"",SUMIFS(expected_production[Expected Production (kWh)],expected_production[Site Name],A273,expected_production[Date],B273)),"")</f>
        <v>1740.8462312987465</v>
      </c>
      <c r="E273" s="9" t="str">
        <f t="shared" si="8"/>
        <v/>
      </c>
      <c r="F273" t="str">
        <f t="shared" si="9"/>
        <v/>
      </c>
    </row>
    <row r="274" spans="1:7" ht="15" hidden="1" customHeight="1" x14ac:dyDescent="0.3">
      <c r="A274" t="s">
        <v>66</v>
      </c>
      <c r="B274" s="2">
        <v>45901</v>
      </c>
      <c r="C274" t="str" cm="1">
        <f t="array" ref="C274">IFERROR(IF(SUMPRODUCT((measured[Site Name]=A274)*(measured[Date]=B274)*ISNUMBER(measured[Measured Value (kWh)]))=0,"",SUMIFS(measured[Measured Value (kWh)],measured[Site Name],A274,measured[Date],B274)),"")</f>
        <v/>
      </c>
      <c r="D274" cm="1">
        <f t="array" ref="D274">IFERROR(IF(SUMPRODUCT((expected_production[Site Name]=A274)*(expected_production[Date]=B274)*ISNUMBER(expected_production[Expected Production (kWh)]))=0,"",SUMIFS(expected_production[Expected Production (kWh)],expected_production[Site Name],A274,expected_production[Date],B274)),"")</f>
        <v>1842.7769099278164</v>
      </c>
      <c r="E274" s="9" t="str">
        <f t="shared" si="8"/>
        <v/>
      </c>
      <c r="F274" t="str">
        <f t="shared" si="9"/>
        <v/>
      </c>
    </row>
    <row r="275" spans="1:7" ht="15" hidden="1" customHeight="1" x14ac:dyDescent="0.3">
      <c r="A275" t="s">
        <v>66</v>
      </c>
      <c r="B275" s="2">
        <v>45931</v>
      </c>
      <c r="C275" cm="1">
        <f t="array" ref="C275">IFERROR(IF(SUMPRODUCT((measured[Site Name]=A275)*(measured[Date]=B275)*ISNUMBER(measured[Measured Value (kWh)]))=0,"",SUMIFS(measured[Measured Value (kWh)],measured[Site Name],A275,measured[Date],B275)),"")</f>
        <v>1109</v>
      </c>
      <c r="D275" cm="1">
        <f t="array" ref="D275">IFERROR(IF(SUMPRODUCT((expected_production[Site Name]=A275)*(expected_production[Date]=B275)*ISNUMBER(expected_production[Expected Production (kWh)]))=0,"",SUMIFS(expected_production[Expected Production (kWh)],expected_production[Site Name],A275,expected_production[Date],B275)),"")</f>
        <v>1873.6512256157887</v>
      </c>
      <c r="E275" s="9">
        <f t="shared" si="8"/>
        <v>0.59189244232769056</v>
      </c>
      <c r="F275" t="str">
        <f t="shared" si="9"/>
        <v>Poor</v>
      </c>
    </row>
    <row r="276" spans="1:7" ht="15" hidden="1" customHeight="1" x14ac:dyDescent="0.3">
      <c r="A276" t="s">
        <v>66</v>
      </c>
      <c r="B276" s="2">
        <v>45962</v>
      </c>
      <c r="C276" t="str" cm="1">
        <f t="array" ref="C276">IFERROR(IF(SUMPRODUCT((measured[Site Name]=A276)*(measured[Date]=B276)*ISNUMBER(measured[Measured Value (kWh)]))=0,"",SUMIFS(measured[Measured Value (kWh)],measured[Site Name],A276,measured[Date],B276)),"")</f>
        <v/>
      </c>
      <c r="D276" cm="1">
        <f t="array" ref="D276">IFERROR(IF(SUMPRODUCT((expected_production[Site Name]=A276)*(expected_production[Date]=B276)*ISNUMBER(expected_production[Expected Production (kWh)]))=0,"",SUMIFS(expected_production[Expected Production (kWh)],expected_production[Site Name],A276,expected_production[Date],B276)),"")</f>
        <v>1807.8114629761033</v>
      </c>
      <c r="E276" s="9" t="str">
        <f t="shared" si="8"/>
        <v/>
      </c>
      <c r="F276" t="str">
        <f t="shared" si="9"/>
        <v/>
      </c>
    </row>
    <row r="277" spans="1:7" ht="15" hidden="1" customHeight="1" x14ac:dyDescent="0.3">
      <c r="A277" t="s">
        <v>66</v>
      </c>
      <c r="B277" s="2">
        <v>45992</v>
      </c>
      <c r="C277" t="str" cm="1">
        <f t="array" ref="C277">IFERROR(IF(SUMPRODUCT((measured[Site Name]=A277)*(measured[Date]=B277)*ISNUMBER(measured[Measured Value (kWh)]))=0,"",SUMIFS(measured[Measured Value (kWh)],measured[Site Name],A277,measured[Date],B277)),"")</f>
        <v/>
      </c>
      <c r="D277" cm="1">
        <f t="array" ref="D277">IFERROR(IF(SUMPRODUCT((expected_production[Site Name]=A277)*(expected_production[Date]=B277)*ISNUMBER(expected_production[Expected Production (kWh)]))=0,"",SUMIFS(expected_production[Expected Production (kWh)],expected_production[Site Name],A277,expected_production[Date],B277)),"")</f>
        <v>1955.634400751823</v>
      </c>
      <c r="E277" s="9" t="str">
        <f t="shared" si="8"/>
        <v/>
      </c>
      <c r="F277" t="str">
        <f t="shared" si="9"/>
        <v/>
      </c>
    </row>
    <row r="278" spans="1:7" ht="15" hidden="1" customHeight="1" x14ac:dyDescent="0.3">
      <c r="A278" t="s">
        <v>66</v>
      </c>
      <c r="B278" s="2">
        <v>46023</v>
      </c>
      <c r="C278" t="str" cm="1">
        <f t="array" ref="C278">IFERROR(IF(SUMPRODUCT((measured[Site Name]=A278)*(measured[Date]=B278)*ISNUMBER(measured[Measured Value (kWh)]))=0,"",SUMIFS(measured[Measured Value (kWh)],measured[Site Name],A278,measured[Date],B278)),"")</f>
        <v/>
      </c>
      <c r="D278" cm="1">
        <f t="array" ref="D278">IFERROR(IF(SUMPRODUCT((expected_production[Site Name]=A278)*(expected_production[Date]=B278)*ISNUMBER(expected_production[Expected Production (kWh)]))=0,"",SUMIFS(expected_production[Expected Production (kWh)],expected_production[Site Name],A278,expected_production[Date],B278)),"")</f>
        <v>2167.0073121627652</v>
      </c>
      <c r="E278" s="9" t="str">
        <f t="shared" ref="E278:E341" si="10">IF(OR(C278="",D278="",D278=0),"",C278/D278)</f>
        <v/>
      </c>
      <c r="F278" t="str">
        <f t="shared" ref="F278:F341" si="11">IF(E278="","",IF(E278&gt;=0.9,"Expected",IF(E278&gt;=0.7,"Moderate","Poor")))</f>
        <v/>
      </c>
    </row>
    <row r="279" spans="1:7" ht="15" hidden="1" customHeight="1" x14ac:dyDescent="0.3">
      <c r="A279" t="s">
        <v>66</v>
      </c>
      <c r="B279" s="2">
        <v>46054</v>
      </c>
      <c r="C279" t="str" cm="1">
        <f t="array" ref="C279">IFERROR(IF(SUMPRODUCT((measured[Site Name]=A279)*(measured[Date]=B279)*ISNUMBER(measured[Measured Value (kWh)]))=0,"",SUMIFS(measured[Measured Value (kWh)],measured[Site Name],A279,measured[Date],B279)),"")</f>
        <v/>
      </c>
      <c r="D279" cm="1">
        <f t="array" ref="D279">IFERROR(IF(SUMPRODUCT((expected_production[Site Name]=A279)*(expected_production[Date]=B279)*ISNUMBER(expected_production[Expected Production (kWh)]))=0,"",SUMIFS(expected_production[Expected Production (kWh)],expected_production[Site Name],A279,expected_production[Date],B279)),"")</f>
        <v>1950.6487331791395</v>
      </c>
      <c r="E279" s="9" t="str">
        <f t="shared" si="10"/>
        <v/>
      </c>
      <c r="F279" t="str">
        <f t="shared" si="11"/>
        <v/>
      </c>
    </row>
    <row r="280" spans="1:7" ht="15" hidden="1" customHeight="1" x14ac:dyDescent="0.3">
      <c r="A280" t="s">
        <v>66</v>
      </c>
      <c r="B280" s="2">
        <v>46082</v>
      </c>
      <c r="C280" t="str" cm="1">
        <f t="array" ref="C280">IFERROR(IF(SUMPRODUCT((measured[Site Name]=A280)*(measured[Date]=B280)*ISNUMBER(measured[Measured Value (kWh)]))=0,"",SUMIFS(measured[Measured Value (kWh)],measured[Site Name],A280,measured[Date],B280)),"")</f>
        <v/>
      </c>
      <c r="D280" cm="1">
        <f t="array" ref="D280">IFERROR(IF(SUMPRODUCT((expected_production[Site Name]=A280)*(expected_production[Date]=B280)*ISNUMBER(expected_production[Expected Production (kWh)]))=0,"",SUMIFS(expected_production[Expected Production (kWh)],expected_production[Site Name],A280,expected_production[Date],B280)),"")</f>
        <v>2091.1302378213936</v>
      </c>
      <c r="E280" s="9" t="str">
        <f t="shared" si="10"/>
        <v/>
      </c>
      <c r="F280" t="str">
        <f t="shared" si="11"/>
        <v/>
      </c>
    </row>
    <row r="281" spans="1:7" ht="15" hidden="1" customHeight="1" x14ac:dyDescent="0.3">
      <c r="A281" t="s">
        <v>66</v>
      </c>
      <c r="B281" s="2">
        <v>46113</v>
      </c>
      <c r="C281" t="str" cm="1">
        <f t="array" ref="C281">IFERROR(IF(SUMPRODUCT((measured[Site Name]=A281)*(measured[Date]=B281)*ISNUMBER(measured[Measured Value (kWh)]))=0,"",SUMIFS(measured[Measured Value (kWh)],measured[Site Name],A281,measured[Date],B281)),"")</f>
        <v/>
      </c>
      <c r="D281" cm="1">
        <f t="array" ref="D281">IFERROR(IF(SUMPRODUCT((expected_production[Site Name]=A281)*(expected_production[Date]=B281)*ISNUMBER(expected_production[Expected Production (kWh)]))=0,"",SUMIFS(expected_production[Expected Production (kWh)],expected_production[Site Name],A281,expected_production[Date],B281)),"")</f>
        <v>1736.2656193422251</v>
      </c>
      <c r="E281" s="9" t="str">
        <f t="shared" si="10"/>
        <v/>
      </c>
      <c r="F281" t="str">
        <f t="shared" si="11"/>
        <v/>
      </c>
    </row>
    <row r="282" spans="1:7" ht="15" hidden="1" customHeight="1" x14ac:dyDescent="0.3">
      <c r="A282" t="s">
        <v>66</v>
      </c>
      <c r="B282" s="2">
        <v>46143</v>
      </c>
      <c r="C282" t="str" cm="1">
        <f t="array" ref="C282">IFERROR(IF(SUMPRODUCT((measured[Site Name]=A282)*(measured[Date]=B282)*ISNUMBER(measured[Measured Value (kWh)]))=0,"",SUMIFS(measured[Measured Value (kWh)],measured[Site Name],A282,measured[Date],B282)),"")</f>
        <v/>
      </c>
      <c r="D282" cm="1">
        <f t="array" ref="D282">IFERROR(IF(SUMPRODUCT((expected_production[Site Name]=A282)*(expected_production[Date]=B282)*ISNUMBER(expected_production[Expected Production (kWh)]))=0,"",SUMIFS(expected_production[Expected Production (kWh)],expected_production[Site Name],A282,expected_production[Date],B282)),"")</f>
        <v>1601.8502421649325</v>
      </c>
      <c r="E282" s="9" t="str">
        <f t="shared" si="10"/>
        <v/>
      </c>
      <c r="F282" t="str">
        <f t="shared" si="11"/>
        <v/>
      </c>
    </row>
    <row r="283" spans="1:7" ht="15" hidden="1" customHeight="1" x14ac:dyDescent="0.3">
      <c r="A283" t="s">
        <v>66</v>
      </c>
      <c r="B283" s="2">
        <v>46174</v>
      </c>
      <c r="C283" t="str" cm="1">
        <f t="array" ref="C283">IFERROR(IF(SUMPRODUCT((measured[Site Name]=A283)*(measured[Date]=B283)*ISNUMBER(measured[Measured Value (kWh)]))=0,"",SUMIFS(measured[Measured Value (kWh)],measured[Site Name],A283,measured[Date],B283)),"")</f>
        <v/>
      </c>
      <c r="D283" cm="1">
        <f t="array" ref="D283">IFERROR(IF(SUMPRODUCT((expected_production[Site Name]=A283)*(expected_production[Date]=B283)*ISNUMBER(expected_production[Expected Production (kWh)]))=0,"",SUMIFS(expected_production[Expected Production (kWh)],expected_production[Site Name],A283,expected_production[Date],B283)),"")</f>
        <v>1452.5499703585042</v>
      </c>
      <c r="E283" s="9" t="str">
        <f t="shared" si="10"/>
        <v/>
      </c>
      <c r="F283" t="str">
        <f t="shared" si="11"/>
        <v/>
      </c>
    </row>
    <row r="284" spans="1:7" ht="15" hidden="1" customHeight="1" x14ac:dyDescent="0.3">
      <c r="A284" t="s">
        <v>64</v>
      </c>
      <c r="B284" s="2">
        <v>46204</v>
      </c>
      <c r="C284" cm="1">
        <f t="array" ref="C284">IFERROR(IF(SUMPRODUCT((measured[Site Name]=A284)*(measured[Date]=B284)*ISNUMBER(measured[Measured Value (kWh)]))=0,"",SUMIFS(measured[Measured Value (kWh)],measured[Site Name],A284,measured[Date],B284)),"")</f>
        <v>3615</v>
      </c>
      <c r="D284" cm="1">
        <f t="array" ref="D284">IFERROR(IF(SUMPRODUCT((expected_production[Site Name]=A284)*(expected_production[Date]=B284)*ISNUMBER(expected_production[Expected Production (kWh)]))=0,"",SUMIFS(expected_production[Expected Production (kWh)],expected_production[Site Name],A284,expected_production[Date],B284)),"")</f>
        <v>5299.5111726470905</v>
      </c>
      <c r="E284" s="9">
        <f t="shared" si="10"/>
        <v>0.68213838639655477</v>
      </c>
      <c r="F284" t="str">
        <f t="shared" si="11"/>
        <v>Poor</v>
      </c>
      <c r="G284" t="s">
        <v>874</v>
      </c>
    </row>
    <row r="285" spans="1:7" ht="15" hidden="1" customHeight="1" x14ac:dyDescent="0.3">
      <c r="A285" t="s">
        <v>66</v>
      </c>
      <c r="B285" s="2">
        <v>46235</v>
      </c>
      <c r="C285" cm="1">
        <f t="array" ref="C285">IFERROR(IF(SUMPRODUCT((measured[Site Name]=A285)*(measured[Date]=B285)*ISNUMBER(measured[Measured Value (kWh)]))=0,"",SUMIFS(measured[Measured Value (kWh)],measured[Site Name],A285,measured[Date],B285)),"")</f>
        <v>926</v>
      </c>
      <c r="D285" cm="1">
        <f t="array" ref="D285">IFERROR(IF(SUMPRODUCT((expected_production[Site Name]=A285)*(expected_production[Date]=B285)*ISNUMBER(expected_production[Expected Production (kWh)]))=0,"",SUMIFS(expected_production[Expected Production (kWh)],expected_production[Site Name],A285,expected_production[Date],B285)),"")</f>
        <v>1728.6686192485884</v>
      </c>
      <c r="E285" s="9">
        <f t="shared" si="10"/>
        <v>0.53567236061849177</v>
      </c>
      <c r="F285" t="str">
        <f t="shared" si="11"/>
        <v>Poor</v>
      </c>
      <c r="G285" t="s">
        <v>875</v>
      </c>
    </row>
    <row r="286" spans="1:7" ht="15" customHeight="1" x14ac:dyDescent="0.3">
      <c r="A286" t="s">
        <v>66</v>
      </c>
      <c r="B286" s="2">
        <v>46266</v>
      </c>
      <c r="C286" cm="1">
        <f t="array" ref="C286">IFERROR(IF(SUMPRODUCT((measured[Site Name]=A286)*(measured[Date]=B286)*ISNUMBER(measured[Measured Value (kWh)]))=0,"",SUMIFS(measured[Measured Value (kWh)],measured[Site Name],A286,measured[Date],B286)),"")</f>
        <v>668.4</v>
      </c>
      <c r="D286" cm="1">
        <f t="array" ref="D286">IFERROR(IF(SUMPRODUCT((expected_production[Site Name]=A286)*(expected_production[Date]=B286)*ISNUMBER(expected_production[Expected Production (kWh)]))=0,"",SUMIFS(expected_production[Expected Production (kWh)],expected_production[Site Name],A286,expected_production[Date],B286)),"")</f>
        <v>1829.8862697893426</v>
      </c>
      <c r="E286" s="9">
        <f t="shared" si="10"/>
        <v>0.36526860222681845</v>
      </c>
      <c r="F286" t="str">
        <f t="shared" si="11"/>
        <v>Poor</v>
      </c>
      <c r="G286" t="s">
        <v>874</v>
      </c>
    </row>
    <row r="287" spans="1:7" ht="15" hidden="1" customHeight="1" x14ac:dyDescent="0.3">
      <c r="A287" t="s">
        <v>66</v>
      </c>
      <c r="B287" s="2">
        <v>46296</v>
      </c>
      <c r="C287" t="str" cm="1">
        <f t="array" ref="C287">IFERROR(IF(SUMPRODUCT((measured[Site Name]=A287)*(measured[Date]=B287)*ISNUMBER(measured[Measured Value (kWh)]))=0,"",SUMIFS(measured[Measured Value (kWh)],measured[Site Name],A287,measured[Date],B287)),"")</f>
        <v/>
      </c>
      <c r="D287" cm="1">
        <f t="array" ref="D287">IFERROR(IF(SUMPRODUCT((expected_production[Site Name]=A287)*(expected_production[Date]=B287)*ISNUMBER(expected_production[Expected Production (kWh)]))=0,"",SUMIFS(expected_production[Expected Production (kWh)],expected_production[Site Name],A287,expected_production[Date],B287)),"")</f>
        <v>1860.544612675121</v>
      </c>
      <c r="E287" s="9" t="str">
        <f t="shared" si="10"/>
        <v/>
      </c>
      <c r="F287" t="str">
        <f t="shared" si="11"/>
        <v/>
      </c>
    </row>
    <row r="288" spans="1:7" ht="15" hidden="1" customHeight="1" x14ac:dyDescent="0.3">
      <c r="A288" t="s">
        <v>66</v>
      </c>
      <c r="B288" s="2">
        <v>46327</v>
      </c>
      <c r="C288" t="str" cm="1">
        <f t="array" ref="C288">IFERROR(IF(SUMPRODUCT((measured[Site Name]=A288)*(measured[Date]=B288)*ISNUMBER(measured[Measured Value (kWh)]))=0,"",SUMIFS(measured[Measured Value (kWh)],measured[Site Name],A288,measured[Date],B288)),"")</f>
        <v/>
      </c>
      <c r="D288" cm="1">
        <f t="array" ref="D288">IFERROR(IF(SUMPRODUCT((expected_production[Site Name]=A288)*(expected_production[Date]=B288)*ISNUMBER(expected_production[Expected Production (kWh)]))=0,"",SUMIFS(expected_production[Expected Production (kWh)],expected_production[Site Name],A288,expected_production[Date],B288)),"")</f>
        <v>1795.1654140258015</v>
      </c>
      <c r="E288" s="9" t="str">
        <f t="shared" si="10"/>
        <v/>
      </c>
      <c r="F288" t="str">
        <f t="shared" si="11"/>
        <v/>
      </c>
    </row>
    <row r="289" spans="1:6" ht="15" hidden="1" customHeight="1" x14ac:dyDescent="0.3">
      <c r="A289" t="s">
        <v>66</v>
      </c>
      <c r="B289" s="2">
        <v>46357</v>
      </c>
      <c r="C289" t="str" cm="1">
        <f t="array" ref="C289">IFERROR(IF(SUMPRODUCT((measured[Site Name]=A289)*(measured[Date]=B289)*ISNUMBER(measured[Measured Value (kWh)]))=0,"",SUMIFS(measured[Measured Value (kWh)],measured[Site Name],A289,measured[Date],B289)),"")</f>
        <v/>
      </c>
      <c r="D289" cm="1">
        <f t="array" ref="D289">IFERROR(IF(SUMPRODUCT((expected_production[Site Name]=A289)*(expected_production[Date]=B289)*ISNUMBER(expected_production[Expected Production (kWh)]))=0,"",SUMIFS(expected_production[Expected Production (kWh)],expected_production[Site Name],A289,expected_production[Date],B289)),"")</f>
        <v>1941.9542970090977</v>
      </c>
      <c r="E289" s="9" t="str">
        <f t="shared" si="10"/>
        <v/>
      </c>
      <c r="F289" t="str">
        <f t="shared" si="11"/>
        <v/>
      </c>
    </row>
    <row r="290" spans="1:6" ht="15" hidden="1" customHeight="1" x14ac:dyDescent="0.3">
      <c r="A290" t="s">
        <v>71</v>
      </c>
      <c r="B290" s="2">
        <v>45292</v>
      </c>
      <c r="C290" t="str" cm="1">
        <f t="array" ref="C290">IFERROR(IF(SUMPRODUCT((measured[Site Name]=A290)*(measured[Date]=B290)*ISNUMBER(measured[Measured Value (kWh)]))=0,"",SUMIFS(measured[Measured Value (kWh)],measured[Site Name],A290,measured[Date],B290)),"")</f>
        <v/>
      </c>
      <c r="D290" cm="1">
        <f t="array" ref="D290">IFERROR(IF(SUMPRODUCT((expected_production[Site Name]=A290)*(expected_production[Date]=B290)*ISNUMBER(expected_production[Expected Production (kWh)]))=0,"",SUMIFS(expected_production[Expected Production (kWh)],expected_production[Site Name],A290,expected_production[Date],B290)),"")</f>
        <v>26689.5</v>
      </c>
      <c r="E290" s="9" t="str">
        <f t="shared" si="10"/>
        <v/>
      </c>
      <c r="F290" t="str">
        <f t="shared" si="11"/>
        <v/>
      </c>
    </row>
    <row r="291" spans="1:6" ht="15" hidden="1" customHeight="1" x14ac:dyDescent="0.3">
      <c r="A291" t="s">
        <v>71</v>
      </c>
      <c r="B291" s="2">
        <v>45323</v>
      </c>
      <c r="C291" t="str" cm="1">
        <f t="array" ref="C291">IFERROR(IF(SUMPRODUCT((measured[Site Name]=A291)*(measured[Date]=B291)*ISNUMBER(measured[Measured Value (kWh)]))=0,"",SUMIFS(measured[Measured Value (kWh)],measured[Site Name],A291,measured[Date],B291)),"")</f>
        <v/>
      </c>
      <c r="D291" cm="1">
        <f t="array" ref="D291">IFERROR(IF(SUMPRODUCT((expected_production[Site Name]=A291)*(expected_production[Date]=B291)*ISNUMBER(expected_production[Expected Production (kWh)]))=0,"",SUMIFS(expected_production[Expected Production (kWh)],expected_production[Site Name],A291,expected_production[Date],B291)),"")</f>
        <v>20674.8</v>
      </c>
      <c r="E291" s="9" t="str">
        <f t="shared" si="10"/>
        <v/>
      </c>
      <c r="F291" t="str">
        <f t="shared" si="11"/>
        <v/>
      </c>
    </row>
    <row r="292" spans="1:6" ht="15" hidden="1" customHeight="1" x14ac:dyDescent="0.3">
      <c r="A292" t="s">
        <v>71</v>
      </c>
      <c r="B292" s="2">
        <v>45352</v>
      </c>
      <c r="C292" t="str" cm="1">
        <f t="array" ref="C292">IFERROR(IF(SUMPRODUCT((measured[Site Name]=A292)*(measured[Date]=B292)*ISNUMBER(measured[Measured Value (kWh)]))=0,"",SUMIFS(measured[Measured Value (kWh)],measured[Site Name],A292,measured[Date],B292)),"")</f>
        <v/>
      </c>
      <c r="D292" cm="1">
        <f t="array" ref="D292">IFERROR(IF(SUMPRODUCT((expected_production[Site Name]=A292)*(expected_production[Date]=B292)*ISNUMBER(expected_production[Expected Production (kWh)]))=0,"",SUMIFS(expected_production[Expected Production (kWh)],expected_production[Site Name],A292,expected_production[Date],B292)),"")</f>
        <v>20095.2</v>
      </c>
      <c r="E292" s="9" t="str">
        <f t="shared" si="10"/>
        <v/>
      </c>
      <c r="F292" t="str">
        <f t="shared" si="11"/>
        <v/>
      </c>
    </row>
    <row r="293" spans="1:6" ht="15" hidden="1" customHeight="1" x14ac:dyDescent="0.3">
      <c r="A293" t="s">
        <v>71</v>
      </c>
      <c r="B293" s="2">
        <v>45383</v>
      </c>
      <c r="C293" t="str" cm="1">
        <f t="array" ref="C293">IFERROR(IF(SUMPRODUCT((measured[Site Name]=A293)*(measured[Date]=B293)*ISNUMBER(measured[Measured Value (kWh)]))=0,"",SUMIFS(measured[Measured Value (kWh)],measured[Site Name],A293,measured[Date],B293)),"")</f>
        <v/>
      </c>
      <c r="D293" cm="1">
        <f t="array" ref="D293">IFERROR(IF(SUMPRODUCT((expected_production[Site Name]=A293)*(expected_production[Date]=B293)*ISNUMBER(expected_production[Expected Production (kWh)]))=0,"",SUMIFS(expected_production[Expected Production (kWh)],expected_production[Site Name],A293,expected_production[Date],B293)),"")</f>
        <v>16286.4</v>
      </c>
      <c r="E293" s="9" t="str">
        <f t="shared" si="10"/>
        <v/>
      </c>
      <c r="F293" t="str">
        <f t="shared" si="11"/>
        <v/>
      </c>
    </row>
    <row r="294" spans="1:6" ht="15" hidden="1" customHeight="1" x14ac:dyDescent="0.3">
      <c r="A294" t="s">
        <v>71</v>
      </c>
      <c r="B294" s="2">
        <v>45413</v>
      </c>
      <c r="C294" t="str" cm="1">
        <f t="array" ref="C294">IFERROR(IF(SUMPRODUCT((measured[Site Name]=A294)*(measured[Date]=B294)*ISNUMBER(measured[Measured Value (kWh)]))=0,"",SUMIFS(measured[Measured Value (kWh)],measured[Site Name],A294,measured[Date],B294)),"")</f>
        <v/>
      </c>
      <c r="D294" cm="1">
        <f t="array" ref="D294">IFERROR(IF(SUMPRODUCT((expected_production[Site Name]=A294)*(expected_production[Date]=B294)*ISNUMBER(expected_production[Expected Production (kWh)]))=0,"",SUMIFS(expected_production[Expected Production (kWh)],expected_production[Site Name],A294,expected_production[Date],B294)),"")</f>
        <v>13518.9</v>
      </c>
      <c r="E294" s="9" t="str">
        <f t="shared" si="10"/>
        <v/>
      </c>
      <c r="F294" t="str">
        <f t="shared" si="11"/>
        <v/>
      </c>
    </row>
    <row r="295" spans="1:6" ht="15" hidden="1" customHeight="1" x14ac:dyDescent="0.3">
      <c r="A295" t="s">
        <v>71</v>
      </c>
      <c r="B295" s="2">
        <v>45444</v>
      </c>
      <c r="C295" t="str" cm="1">
        <f t="array" ref="C295">IFERROR(IF(SUMPRODUCT((measured[Site Name]=A295)*(measured[Date]=B295)*ISNUMBER(measured[Measured Value (kWh)]))=0,"",SUMIFS(measured[Measured Value (kWh)],measured[Site Name],A295,measured[Date],B295)),"")</f>
        <v/>
      </c>
      <c r="D295" cm="1">
        <f t="array" ref="D295">IFERROR(IF(SUMPRODUCT((expected_production[Site Name]=A295)*(expected_production[Date]=B295)*ISNUMBER(expected_production[Expected Production (kWh)]))=0,"",SUMIFS(expected_production[Expected Production (kWh)],expected_production[Site Name],A295,expected_production[Date],B295)),"")</f>
        <v>11864.7</v>
      </c>
      <c r="E295" s="9" t="str">
        <f t="shared" si="10"/>
        <v/>
      </c>
      <c r="F295" t="str">
        <f t="shared" si="11"/>
        <v/>
      </c>
    </row>
    <row r="296" spans="1:6" ht="15" hidden="1" customHeight="1" x14ac:dyDescent="0.3">
      <c r="A296" t="s">
        <v>71</v>
      </c>
      <c r="B296" s="2">
        <v>45474</v>
      </c>
      <c r="C296" t="str" cm="1">
        <f t="array" ref="C296">IFERROR(IF(SUMPRODUCT((measured[Site Name]=A296)*(measured[Date]=B296)*ISNUMBER(measured[Measured Value (kWh)]))=0,"",SUMIFS(measured[Measured Value (kWh)],measured[Site Name],A296,measured[Date],B296)),"")</f>
        <v/>
      </c>
      <c r="D296" cm="1">
        <f t="array" ref="D296">IFERROR(IF(SUMPRODUCT((expected_production[Site Name]=A296)*(expected_production[Date]=B296)*ISNUMBER(expected_production[Expected Production (kWh)]))=0,"",SUMIFS(expected_production[Expected Production (kWh)],expected_production[Site Name],A296,expected_production[Date],B296)),"")</f>
        <v>13582.567813144922</v>
      </c>
      <c r="E296" s="9" t="str">
        <f t="shared" si="10"/>
        <v/>
      </c>
      <c r="F296" t="str">
        <f t="shared" si="11"/>
        <v/>
      </c>
    </row>
    <row r="297" spans="1:6" ht="15" hidden="1" customHeight="1" x14ac:dyDescent="0.3">
      <c r="A297" t="s">
        <v>71</v>
      </c>
      <c r="B297" s="2">
        <v>45505</v>
      </c>
      <c r="C297" t="str" cm="1">
        <f t="array" ref="C297">IFERROR(IF(SUMPRODUCT((measured[Site Name]=A297)*(measured[Date]=B297)*ISNUMBER(measured[Measured Value (kWh)]))=0,"",SUMIFS(measured[Measured Value (kWh)],measured[Site Name],A297,measured[Date],B297)),"")</f>
        <v/>
      </c>
      <c r="D297" cm="1">
        <f t="array" ref="D297">IFERROR(IF(SUMPRODUCT((expected_production[Site Name]=A297)*(expected_production[Date]=B297)*ISNUMBER(expected_production[Expected Production (kWh)]))=0,"",SUMIFS(expected_production[Expected Production (kWh)],expected_production[Site Name],A297,expected_production[Date],B297)),"")</f>
        <v>17090.583330160298</v>
      </c>
      <c r="E297" s="9" t="str">
        <f t="shared" si="10"/>
        <v/>
      </c>
      <c r="F297" t="str">
        <f t="shared" si="11"/>
        <v/>
      </c>
    </row>
    <row r="298" spans="1:6" ht="15" hidden="1" customHeight="1" x14ac:dyDescent="0.3">
      <c r="A298" t="s">
        <v>71</v>
      </c>
      <c r="B298" s="2">
        <v>45536</v>
      </c>
      <c r="C298" t="str" cm="1">
        <f t="array" ref="C298">IFERROR(IF(SUMPRODUCT((measured[Site Name]=A298)*(measured[Date]=B298)*ISNUMBER(measured[Measured Value (kWh)]))=0,"",SUMIFS(measured[Measured Value (kWh)],measured[Site Name],A298,measured[Date],B298)),"")</f>
        <v/>
      </c>
      <c r="D298" cm="1">
        <f t="array" ref="D298">IFERROR(IF(SUMPRODUCT((expected_production[Site Name]=A298)*(expected_production[Date]=B298)*ISNUMBER(expected_production[Expected Production (kWh)]))=0,"",SUMIFS(expected_production[Expected Production (kWh)],expected_production[Site Name],A298,expected_production[Date],B298)),"")</f>
        <v>19473.98856975685</v>
      </c>
      <c r="E298" s="9" t="str">
        <f t="shared" si="10"/>
        <v/>
      </c>
      <c r="F298" t="str">
        <f t="shared" si="11"/>
        <v/>
      </c>
    </row>
    <row r="299" spans="1:6" ht="15" hidden="1" customHeight="1" x14ac:dyDescent="0.3">
      <c r="A299" t="s">
        <v>71</v>
      </c>
      <c r="B299" s="2">
        <v>45566</v>
      </c>
      <c r="C299" t="str" cm="1">
        <f t="array" ref="C299">IFERROR(IF(SUMPRODUCT((measured[Site Name]=A299)*(measured[Date]=B299)*ISNUMBER(measured[Measured Value (kWh)]))=0,"",SUMIFS(measured[Measured Value (kWh)],measured[Site Name],A299,measured[Date],B299)),"")</f>
        <v/>
      </c>
      <c r="D299" cm="1">
        <f t="array" ref="D299">IFERROR(IF(SUMPRODUCT((expected_production[Site Name]=A299)*(expected_production[Date]=B299)*ISNUMBER(expected_production[Expected Production (kWh)]))=0,"",SUMIFS(expected_production[Expected Production (kWh)],expected_production[Site Name],A299,expected_production[Date],B299)),"")</f>
        <v>24027.17354820438</v>
      </c>
      <c r="E299" s="9" t="str">
        <f t="shared" si="10"/>
        <v/>
      </c>
      <c r="F299" t="str">
        <f t="shared" si="11"/>
        <v/>
      </c>
    </row>
    <row r="300" spans="1:6" ht="15" hidden="1" customHeight="1" x14ac:dyDescent="0.3">
      <c r="A300" t="s">
        <v>71</v>
      </c>
      <c r="B300" s="2">
        <v>45597</v>
      </c>
      <c r="C300" t="str" cm="1">
        <f t="array" ref="C300">IFERROR(IF(SUMPRODUCT((measured[Site Name]=A300)*(measured[Date]=B300)*ISNUMBER(measured[Measured Value (kWh)]))=0,"",SUMIFS(measured[Measured Value (kWh)],measured[Site Name],A300,measured[Date],B300)),"")</f>
        <v/>
      </c>
      <c r="D300" cm="1">
        <f t="array" ref="D300">IFERROR(IF(SUMPRODUCT((expected_production[Site Name]=A300)*(expected_production[Date]=B300)*ISNUMBER(expected_production[Expected Production (kWh)]))=0,"",SUMIFS(expected_production[Expected Production (kWh)],expected_production[Site Name],A300,expected_production[Date],B300)),"")</f>
        <v>25815.813514643996</v>
      </c>
      <c r="E300" s="9" t="str">
        <f t="shared" si="10"/>
        <v/>
      </c>
      <c r="F300" t="str">
        <f t="shared" si="11"/>
        <v/>
      </c>
    </row>
    <row r="301" spans="1:6" ht="15" hidden="1" customHeight="1" x14ac:dyDescent="0.3">
      <c r="A301" t="s">
        <v>71</v>
      </c>
      <c r="B301" s="2">
        <v>45627</v>
      </c>
      <c r="C301" t="str" cm="1">
        <f t="array" ref="C301">IFERROR(IF(SUMPRODUCT((measured[Site Name]=A301)*(measured[Date]=B301)*ISNUMBER(measured[Measured Value (kWh)]))=0,"",SUMIFS(measured[Measured Value (kWh)],measured[Site Name],A301,measured[Date],B301)),"")</f>
        <v/>
      </c>
      <c r="D301" cm="1">
        <f t="array" ref="D301">IFERROR(IF(SUMPRODUCT((expected_production[Site Name]=A301)*(expected_production[Date]=B301)*ISNUMBER(expected_production[Expected Production (kWh)]))=0,"",SUMIFS(expected_production[Expected Production (kWh)],expected_production[Site Name],A301,expected_production[Date],B301)),"")</f>
        <v>27897.034811915462</v>
      </c>
      <c r="E301" s="9" t="str">
        <f t="shared" si="10"/>
        <v/>
      </c>
      <c r="F301" t="str">
        <f t="shared" si="11"/>
        <v/>
      </c>
    </row>
    <row r="302" spans="1:6" ht="15" hidden="1" customHeight="1" x14ac:dyDescent="0.3">
      <c r="A302" t="s">
        <v>71</v>
      </c>
      <c r="B302" s="2">
        <v>45658</v>
      </c>
      <c r="C302" cm="1">
        <f t="array" ref="C302">IFERROR(IF(SUMPRODUCT((measured[Site Name]=A302)*(measured[Date]=B302)*ISNUMBER(measured[Measured Value (kWh)]))=0,"",SUMIFS(measured[Measured Value (kWh)],measured[Site Name],A302,measured[Date],B302)),"")</f>
        <v>31100</v>
      </c>
      <c r="D302" cm="1">
        <f t="array" ref="D302">IFERROR(IF(SUMPRODUCT((expected_production[Site Name]=A302)*(expected_production[Date]=B302)*ISNUMBER(expected_production[Expected Production (kWh)]))=0,"",SUMIFS(expected_production[Expected Production (kWh)],expected_production[Site Name],A302,expected_production[Date],B302)),"")</f>
        <v>26582.435257205358</v>
      </c>
      <c r="E302" s="9">
        <f t="shared" si="10"/>
        <v>1.1699454808817835</v>
      </c>
      <c r="F302" t="str">
        <f t="shared" si="11"/>
        <v>Expected</v>
      </c>
    </row>
    <row r="303" spans="1:6" ht="15" hidden="1" customHeight="1" x14ac:dyDescent="0.3">
      <c r="A303" t="s">
        <v>71</v>
      </c>
      <c r="B303" s="2">
        <v>45689</v>
      </c>
      <c r="C303" cm="1">
        <f t="array" ref="C303">IFERROR(IF(SUMPRODUCT((measured[Site Name]=A303)*(measured[Date]=B303)*ISNUMBER(measured[Measured Value (kWh)]))=0,"",SUMIFS(measured[Measured Value (kWh)],measured[Site Name],A303,measured[Date],B303)),"")</f>
        <v>23180</v>
      </c>
      <c r="D303" cm="1">
        <f t="array" ref="D303">IFERROR(IF(SUMPRODUCT((expected_production[Site Name]=A303)*(expected_production[Date]=B303)*ISNUMBER(expected_production[Expected Production (kWh)]))=0,"",SUMIFS(expected_production[Expected Production (kWh)],expected_production[Site Name],A303,expected_production[Date],B303)),"")</f>
        <v>20579.58991733415</v>
      </c>
      <c r="E303" s="9">
        <f t="shared" si="10"/>
        <v>1.1263586929142611</v>
      </c>
      <c r="F303" t="str">
        <f t="shared" si="11"/>
        <v>Expected</v>
      </c>
    </row>
    <row r="304" spans="1:6" ht="15" hidden="1" customHeight="1" x14ac:dyDescent="0.3">
      <c r="A304" t="s">
        <v>71</v>
      </c>
      <c r="B304" s="2">
        <v>45717</v>
      </c>
      <c r="C304" cm="1">
        <f t="array" ref="C304">IFERROR(IF(SUMPRODUCT((measured[Site Name]=A304)*(measured[Date]=B304)*ISNUMBER(measured[Measured Value (kWh)]))=0,"",SUMIFS(measured[Measured Value (kWh)],measured[Site Name],A304,measured[Date],B304)),"")</f>
        <v>20838</v>
      </c>
      <c r="D304" cm="1">
        <f t="array" ref="D304">IFERROR(IF(SUMPRODUCT((expected_production[Site Name]=A304)*(expected_production[Date]=B304)*ISNUMBER(expected_production[Expected Production (kWh)]))=0,"",SUMIFS(expected_production[Expected Production (kWh)],expected_production[Site Name],A304,expected_production[Date],B304)),"")</f>
        <v>19991.890402243298</v>
      </c>
      <c r="E304" s="9">
        <f t="shared" si="10"/>
        <v>1.042322640867507</v>
      </c>
      <c r="F304" t="str">
        <f t="shared" si="11"/>
        <v>Expected</v>
      </c>
    </row>
    <row r="305" spans="1:7" ht="15" hidden="1" customHeight="1" x14ac:dyDescent="0.3">
      <c r="A305" t="s">
        <v>71</v>
      </c>
      <c r="B305" s="2">
        <v>45748</v>
      </c>
      <c r="C305" cm="1">
        <f t="array" ref="C305">IFERROR(IF(SUMPRODUCT((measured[Site Name]=A305)*(measured[Date]=B305)*ISNUMBER(measured[Measured Value (kWh)]))=0,"",SUMIFS(measured[Measured Value (kWh)],measured[Site Name],A305,measured[Date],B305)),"")</f>
        <v>16626</v>
      </c>
      <c r="D305" cm="1">
        <f t="array" ref="D305">IFERROR(IF(SUMPRODUCT((expected_production[Site Name]=A305)*(expected_production[Date]=B305)*ISNUMBER(expected_production[Expected Production (kWh)]))=0,"",SUMIFS(expected_production[Expected Production (kWh)],expected_production[Site Name],A305,expected_production[Date],B305)),"")</f>
        <v>16193.014277565449</v>
      </c>
      <c r="E305" s="9">
        <f t="shared" si="10"/>
        <v>1.0267390440725066</v>
      </c>
      <c r="F305" t="str">
        <f t="shared" si="11"/>
        <v>Expected</v>
      </c>
    </row>
    <row r="306" spans="1:7" ht="15" hidden="1" customHeight="1" x14ac:dyDescent="0.3">
      <c r="A306" t="s">
        <v>71</v>
      </c>
      <c r="B306" s="2">
        <v>45778</v>
      </c>
      <c r="C306" cm="1">
        <f t="array" ref="C306">IFERROR(IF(SUMPRODUCT((measured[Site Name]=A306)*(measured[Date]=B306)*ISNUMBER(measured[Measured Value (kWh)]))=0,"",SUMIFS(measured[Measured Value (kWh)],measured[Site Name],A306,measured[Date],B306)),"")</f>
        <v>15218</v>
      </c>
      <c r="D306" cm="1">
        <f t="array" ref="D306">IFERROR(IF(SUMPRODUCT((expected_production[Site Name]=A306)*(expected_production[Date]=B306)*ISNUMBER(expected_production[Expected Production (kWh)]))=0,"",SUMIFS(expected_production[Expected Production (kWh)],expected_production[Site Name],A306,expected_production[Date],B306)),"")</f>
        <v>13433.629994778803</v>
      </c>
      <c r="E306" s="9">
        <f t="shared" si="10"/>
        <v>1.1328285806527887</v>
      </c>
      <c r="F306" t="str">
        <f t="shared" si="11"/>
        <v>Expected</v>
      </c>
    </row>
    <row r="307" spans="1:7" ht="15" hidden="1" customHeight="1" x14ac:dyDescent="0.3">
      <c r="A307" t="s">
        <v>71</v>
      </c>
      <c r="B307" s="2">
        <v>45809</v>
      </c>
      <c r="C307" cm="1">
        <f t="array" ref="C307">IFERROR(IF(SUMPRODUCT((measured[Site Name]=A307)*(measured[Date]=B307)*ISNUMBER(measured[Measured Value (kWh)]))=0,"",SUMIFS(measured[Measured Value (kWh)],measured[Site Name],A307,measured[Date],B307)),"")</f>
        <v>12425.8</v>
      </c>
      <c r="D307" cm="1">
        <f t="array" ref="D307">IFERROR(IF(SUMPRODUCT((expected_production[Site Name]=A307)*(expected_production[Date]=B307)*ISNUMBER(expected_production[Expected Production (kWh)]))=0,"",SUMIFS(expected_production[Expected Production (kWh)],expected_production[Site Name],A307,expected_production[Date],B307)),"")</f>
        <v>11782.836750899078</v>
      </c>
      <c r="E307" s="9">
        <f t="shared" si="10"/>
        <v>1.0545677804669458</v>
      </c>
      <c r="F307" t="str">
        <f t="shared" si="11"/>
        <v>Expected</v>
      </c>
    </row>
    <row r="308" spans="1:7" ht="15" hidden="1" customHeight="1" x14ac:dyDescent="0.3">
      <c r="A308" t="s">
        <v>71</v>
      </c>
      <c r="B308" s="2">
        <v>45839</v>
      </c>
      <c r="C308" cm="1">
        <f t="array" ref="C308">IFERROR(IF(SUMPRODUCT((measured[Site Name]=A308)*(measured[Date]=B308)*ISNUMBER(measured[Measured Value (kWh)]))=0,"",SUMIFS(measured[Measured Value (kWh)],measured[Site Name],A308,measured[Date],B308)),"")</f>
        <v>13246</v>
      </c>
      <c r="D308" cm="1">
        <f t="array" ref="D308">IFERROR(IF(SUMPRODUCT((expected_production[Site Name]=A308)*(expected_production[Date]=B308)*ISNUMBER(expected_production[Expected Production (kWh)]))=0,"",SUMIFS(expected_production[Expected Production (kWh)],expected_production[Site Name],A308,expected_production[Date],B308)),"")</f>
        <v>13487.554687631793</v>
      </c>
      <c r="E308" s="9">
        <f t="shared" si="10"/>
        <v>0.98209054990128786</v>
      </c>
      <c r="F308" t="str">
        <f t="shared" si="11"/>
        <v>Expected</v>
      </c>
    </row>
    <row r="309" spans="1:7" ht="15" hidden="1" customHeight="1" x14ac:dyDescent="0.3">
      <c r="A309" t="s">
        <v>71</v>
      </c>
      <c r="B309" s="2">
        <v>45870</v>
      </c>
      <c r="C309" cm="1">
        <f t="array" ref="C309">IFERROR(IF(SUMPRODUCT((measured[Site Name]=A309)*(measured[Date]=B309)*ISNUMBER(measured[Measured Value (kWh)]))=0,"",SUMIFS(measured[Measured Value (kWh)],measured[Site Name],A309,measured[Date],B309)),"")</f>
        <v>16953</v>
      </c>
      <c r="D309" cm="1">
        <f t="array" ref="D309">IFERROR(IF(SUMPRODUCT((expected_production[Site Name]=A309)*(expected_production[Date]=B309)*ISNUMBER(expected_production[Expected Production (kWh)]))=0,"",SUMIFS(expected_production[Expected Production (kWh)],expected_production[Site Name],A309,expected_production[Date],B309)),"")</f>
        <v>16971.030844843815</v>
      </c>
      <c r="E309" s="9">
        <f t="shared" si="10"/>
        <v>0.99893755158371578</v>
      </c>
      <c r="F309" t="str">
        <f t="shared" si="11"/>
        <v>Expected</v>
      </c>
    </row>
    <row r="310" spans="1:7" ht="15" hidden="1" customHeight="1" x14ac:dyDescent="0.3">
      <c r="A310" t="s">
        <v>71</v>
      </c>
      <c r="B310" s="2">
        <v>45901</v>
      </c>
      <c r="C310" cm="1">
        <f t="array" ref="C310">IFERROR(IF(SUMPRODUCT((measured[Site Name]=A310)*(measured[Date]=B310)*ISNUMBER(measured[Measured Value (kWh)]))=0,"",SUMIFS(measured[Measured Value (kWh)],measured[Site Name],A310,measured[Date],B310)),"")</f>
        <v>19367</v>
      </c>
      <c r="D310" cm="1">
        <f t="array" ref="D310">IFERROR(IF(SUMPRODUCT((expected_production[Site Name]=A310)*(expected_production[Date]=B310)*ISNUMBER(expected_production[Expected Production (kWh)]))=0,"",SUMIFS(expected_production[Expected Production (kWh)],expected_production[Site Name],A310,expected_production[Date],B310)),"")</f>
        <v>19337.763627192686</v>
      </c>
      <c r="E310" s="9">
        <f t="shared" si="10"/>
        <v>1.0015118797277158</v>
      </c>
      <c r="F310" t="str">
        <f t="shared" si="11"/>
        <v>Expected</v>
      </c>
    </row>
    <row r="311" spans="1:7" ht="15" hidden="1" customHeight="1" x14ac:dyDescent="0.3">
      <c r="A311" t="s">
        <v>71</v>
      </c>
      <c r="B311" s="2">
        <v>45931</v>
      </c>
      <c r="C311" cm="1">
        <f t="array" ref="C311">IFERROR(IF(SUMPRODUCT((measured[Site Name]=A311)*(measured[Date]=B311)*ISNUMBER(measured[Measured Value (kWh)]))=0,"",SUMIFS(measured[Measured Value (kWh)],measured[Site Name],A311,measured[Date],B311)),"")</f>
        <v>25648.18</v>
      </c>
      <c r="D311" cm="1">
        <f t="array" ref="D311">IFERROR(IF(SUMPRODUCT((expected_production[Site Name]=A311)*(expected_production[Date]=B311)*ISNUMBER(expected_production[Expected Production (kWh)]))=0,"",SUMIFS(expected_production[Expected Production (kWh)],expected_production[Site Name],A311,expected_production[Date],B311)),"")</f>
        <v>23859.098049707554</v>
      </c>
      <c r="E311" s="9">
        <f t="shared" si="10"/>
        <v>1.0749853136344514</v>
      </c>
      <c r="F311" t="str">
        <f t="shared" si="11"/>
        <v>Expected</v>
      </c>
    </row>
    <row r="312" spans="1:7" ht="15" hidden="1" customHeight="1" x14ac:dyDescent="0.3">
      <c r="A312" t="s">
        <v>71</v>
      </c>
      <c r="B312" s="2">
        <v>45962</v>
      </c>
      <c r="C312" cm="1">
        <f t="array" ref="C312">IFERROR(IF(SUMPRODUCT((measured[Site Name]=A312)*(measured[Date]=B312)*ISNUMBER(measured[Measured Value (kWh)]))=0,"",SUMIFS(measured[Measured Value (kWh)],measured[Site Name],A312,measured[Date],B312)),"")</f>
        <v>26677</v>
      </c>
      <c r="D312" cm="1">
        <f t="array" ref="D312">IFERROR(IF(SUMPRODUCT((expected_production[Site Name]=A312)*(expected_production[Date]=B312)*ISNUMBER(expected_production[Expected Production (kWh)]))=0,"",SUMIFS(expected_production[Expected Production (kWh)],expected_production[Site Name],A312,expected_production[Date],B312)),"")</f>
        <v>25635.226076139432</v>
      </c>
      <c r="E312" s="9">
        <f t="shared" si="10"/>
        <v>1.0406383747413184</v>
      </c>
      <c r="F312" t="str">
        <f t="shared" si="11"/>
        <v>Expected</v>
      </c>
    </row>
    <row r="313" spans="1:7" ht="15" hidden="1" customHeight="1" x14ac:dyDescent="0.3">
      <c r="A313" t="s">
        <v>71</v>
      </c>
      <c r="B313" s="2">
        <v>45992</v>
      </c>
      <c r="C313" cm="1">
        <f t="array" ref="C313">IFERROR(IF(SUMPRODUCT((measured[Site Name]=A313)*(measured[Date]=B313)*ISNUMBER(measured[Measured Value (kWh)]))=0,"",SUMIFS(measured[Measured Value (kWh)],measured[Site Name],A313,measured[Date],B313)),"")</f>
        <v>30286</v>
      </c>
      <c r="D313" cm="1">
        <f t="array" ref="D313">IFERROR(IF(SUMPRODUCT((expected_production[Site Name]=A313)*(expected_production[Date]=B313)*ISNUMBER(expected_production[Expected Production (kWh)]))=0,"",SUMIFS(expected_production[Expected Production (kWh)],expected_production[Site Name],A313,expected_production[Date],B313)),"")</f>
        <v>27701.888760999856</v>
      </c>
      <c r="E313" s="9">
        <f t="shared" si="10"/>
        <v>1.0932828537900343</v>
      </c>
      <c r="F313" t="str">
        <f t="shared" si="11"/>
        <v>Expected</v>
      </c>
    </row>
    <row r="314" spans="1:7" ht="15" hidden="1" customHeight="1" x14ac:dyDescent="0.3">
      <c r="A314" t="s">
        <v>71</v>
      </c>
      <c r="B314" s="2">
        <v>46023</v>
      </c>
      <c r="C314" cm="1">
        <f t="array" ref="C314">IFERROR(IF(SUMPRODUCT((measured[Site Name]=A314)*(measured[Date]=B314)*ISNUMBER(measured[Measured Value (kWh)]))=0,"",SUMIFS(measured[Measured Value (kWh)],measured[Site Name],A314,measured[Date],B314)),"")</f>
        <v>30117</v>
      </c>
      <c r="D314" cm="1">
        <f t="array" ref="D314">IFERROR(IF(SUMPRODUCT((expected_production[Site Name]=A314)*(expected_production[Date]=B314)*ISNUMBER(expected_production[Expected Production (kWh)]))=0,"",SUMIFS(expected_production[Expected Production (kWh)],expected_production[Site Name],A314,expected_production[Date],B314)),"")</f>
        <v>26396.485126693718</v>
      </c>
      <c r="E314" s="9">
        <f t="shared" si="10"/>
        <v>1.1409473592961008</v>
      </c>
      <c r="F314" t="str">
        <f t="shared" si="11"/>
        <v>Expected</v>
      </c>
    </row>
    <row r="315" spans="1:7" ht="15" hidden="1" customHeight="1" x14ac:dyDescent="0.3">
      <c r="A315" t="s">
        <v>71</v>
      </c>
      <c r="B315" s="2">
        <v>46054</v>
      </c>
      <c r="C315" cm="1">
        <f t="array" ref="C315">IFERROR(IF(SUMPRODUCT((measured[Site Name]=A315)*(measured[Date]=B315)*ISNUMBER(measured[Measured Value (kWh)]))=0,"",SUMIFS(measured[Measured Value (kWh)],measured[Site Name],A315,measured[Date],B315)),"")</f>
        <v>22084</v>
      </c>
      <c r="D315" cm="1">
        <f t="array" ref="D315">IFERROR(IF(SUMPRODUCT((expected_production[Site Name]=A315)*(expected_production[Date]=B315)*ISNUMBER(expected_production[Expected Production (kWh)]))=0,"",SUMIFS(expected_production[Expected Production (kWh)],expected_production[Site Name],A315,expected_production[Date],B315)),"")</f>
        <v>20435.631043966179</v>
      </c>
      <c r="E315" s="9">
        <f t="shared" si="10"/>
        <v>1.0806615148065377</v>
      </c>
      <c r="F315" t="str">
        <f t="shared" si="11"/>
        <v>Expected</v>
      </c>
    </row>
    <row r="316" spans="1:7" ht="15" hidden="1" customHeight="1" x14ac:dyDescent="0.3">
      <c r="A316" t="s">
        <v>71</v>
      </c>
      <c r="B316" s="2">
        <v>46082</v>
      </c>
      <c r="C316" cm="1">
        <f t="array" ref="C316">IFERROR(IF(SUMPRODUCT((measured[Site Name]=A316)*(measured[Date]=B316)*ISNUMBER(measured[Measured Value (kWh)]))=0,"",SUMIFS(measured[Measured Value (kWh)],measured[Site Name],A316,measured[Date],B316)),"")</f>
        <v>22201</v>
      </c>
      <c r="D316" cm="1">
        <f t="array" ref="D316">IFERROR(IF(SUMPRODUCT((expected_production[Site Name]=A316)*(expected_production[Date]=B316)*ISNUMBER(expected_production[Expected Production (kWh)]))=0,"",SUMIFS(expected_production[Expected Production (kWh)],expected_production[Site Name],A316,expected_production[Date],B316)),"")</f>
        <v>19852.042619543863</v>
      </c>
      <c r="E316" s="9">
        <f t="shared" si="10"/>
        <v>1.1183232086225547</v>
      </c>
      <c r="F316" t="str">
        <f t="shared" si="11"/>
        <v>Expected</v>
      </c>
    </row>
    <row r="317" spans="1:7" ht="15" hidden="1" customHeight="1" x14ac:dyDescent="0.3">
      <c r="A317" t="s">
        <v>71</v>
      </c>
      <c r="B317" s="2">
        <v>46113</v>
      </c>
      <c r="C317" cm="1">
        <f t="array" ref="C317">IFERROR(IF(SUMPRODUCT((measured[Site Name]=A317)*(measured[Date]=B317)*ISNUMBER(measured[Measured Value (kWh)]))=0,"",SUMIFS(measured[Measured Value (kWh)],measured[Site Name],A317,measured[Date],B317)),"")</f>
        <v>16660.7</v>
      </c>
      <c r="D317" cm="1">
        <f t="array" ref="D317">IFERROR(IF(SUMPRODUCT((expected_production[Site Name]=A317)*(expected_production[Date]=B317)*ISNUMBER(expected_production[Expected Production (kWh)]))=0,"",SUMIFS(expected_production[Expected Production (kWh)],expected_production[Site Name],A317,expected_production[Date],B317)),"")</f>
        <v>16079.740490225971</v>
      </c>
      <c r="E317" s="9">
        <f t="shared" si="10"/>
        <v>1.0361299058356797</v>
      </c>
      <c r="F317" t="str">
        <f t="shared" si="11"/>
        <v>Expected</v>
      </c>
    </row>
    <row r="318" spans="1:7" ht="15" hidden="1" customHeight="1" x14ac:dyDescent="0.3">
      <c r="A318" t="s">
        <v>71</v>
      </c>
      <c r="B318" s="2">
        <v>46143</v>
      </c>
      <c r="C318" cm="1">
        <f t="array" ref="C318">IFERROR(IF(SUMPRODUCT((measured[Site Name]=A318)*(measured[Date]=B318)*ISNUMBER(measured[Measured Value (kWh)]))=0,"",SUMIFS(measured[Measured Value (kWh)],measured[Site Name],A318,measured[Date],B318)),"")</f>
        <v>13372.29</v>
      </c>
      <c r="D318" cm="1">
        <f t="array" ref="D318">IFERROR(IF(SUMPRODUCT((expected_production[Site Name]=A318)*(expected_production[Date]=B318)*ISNUMBER(expected_production[Expected Production (kWh)]))=0,"",SUMIFS(expected_production[Expected Production (kWh)],expected_production[Site Name],A318,expected_production[Date],B318)),"")</f>
        <v>13339.658722899298</v>
      </c>
      <c r="E318" s="9">
        <f t="shared" si="10"/>
        <v>1.0024461853019289</v>
      </c>
      <c r="F318" t="str">
        <f t="shared" si="11"/>
        <v>Expected</v>
      </c>
    </row>
    <row r="319" spans="1:7" ht="15" hidden="1" customHeight="1" x14ac:dyDescent="0.3">
      <c r="A319" t="s">
        <v>71</v>
      </c>
      <c r="B319" s="2">
        <v>46174</v>
      </c>
      <c r="C319" cm="1">
        <f t="array" ref="C319">IFERROR(IF(SUMPRODUCT((measured[Site Name]=A319)*(measured[Date]=B319)*ISNUMBER(measured[Measured Value (kWh)]))=0,"",SUMIFS(measured[Measured Value (kWh)],measured[Site Name],A319,measured[Date],B319)),"")</f>
        <v>9763.7000000000007</v>
      </c>
      <c r="D319" cm="1">
        <f t="array" ref="D319">IFERROR(IF(SUMPRODUCT((expected_production[Site Name]=A319)*(expected_production[Date]=B319)*ISNUMBER(expected_production[Expected Production (kWh)]))=0,"",SUMIFS(expected_production[Expected Production (kWh)],expected_production[Site Name],A319,expected_production[Date],B319)),"")</f>
        <v>11700.413150110542</v>
      </c>
      <c r="E319" s="9">
        <f t="shared" si="10"/>
        <v>0.83447480655054951</v>
      </c>
      <c r="F319" t="str">
        <f t="shared" si="11"/>
        <v>Moderate</v>
      </c>
    </row>
    <row r="320" spans="1:7" ht="15" hidden="1" customHeight="1" x14ac:dyDescent="0.3">
      <c r="A320" t="s">
        <v>66</v>
      </c>
      <c r="B320" s="2">
        <v>46204</v>
      </c>
      <c r="C320" cm="1">
        <f t="array" ref="C320">IFERROR(IF(SUMPRODUCT((measured[Site Name]=A320)*(measured[Date]=B320)*ISNUMBER(measured[Measured Value (kWh)]))=0,"",SUMIFS(measured[Measured Value (kWh)],measured[Site Name],A320,measured[Date],B320)),"")</f>
        <v>719</v>
      </c>
      <c r="D320" cm="1">
        <f t="array" ref="D320">IFERROR(IF(SUMPRODUCT((expected_production[Site Name]=A320)*(expected_production[Date]=B320)*ISNUMBER(expected_production[Expected Production (kWh)]))=0,"",SUMIFS(expected_production[Expected Production (kWh)],expected_production[Site Name],A320,expected_production[Date],B320)),"")</f>
        <v>1581.4396009776995</v>
      </c>
      <c r="E320" s="9">
        <f t="shared" si="10"/>
        <v>0.45464904227482977</v>
      </c>
      <c r="F320" t="str">
        <f t="shared" si="11"/>
        <v>Poor</v>
      </c>
      <c r="G320" t="s">
        <v>874</v>
      </c>
    </row>
    <row r="321" spans="1:7" ht="15" hidden="1" customHeight="1" x14ac:dyDescent="0.3">
      <c r="A321" t="s">
        <v>71</v>
      </c>
      <c r="B321" s="2">
        <v>46235</v>
      </c>
      <c r="C321" cm="1">
        <f t="array" ref="C321">IFERROR(IF(SUMPRODUCT((measured[Site Name]=A321)*(measured[Date]=B321)*ISNUMBER(measured[Measured Value (kWh)]))=0,"",SUMIFS(measured[Measured Value (kWh)],measured[Site Name],A321,measured[Date],B321)),"")</f>
        <v>12651.55</v>
      </c>
      <c r="D321" cm="1">
        <f t="array" ref="D321">IFERROR(IF(SUMPRODUCT((expected_production[Site Name]=A321)*(expected_production[Date]=B321)*ISNUMBER(expected_production[Expected Production (kWh)]))=0,"",SUMIFS(expected_production[Expected Production (kWh)],expected_production[Site Name],A321,expected_production[Date],B321)),"")</f>
        <v>16852.314656128172</v>
      </c>
      <c r="E321" s="9">
        <f t="shared" si="10"/>
        <v>0.75073070128081143</v>
      </c>
      <c r="F321" t="str">
        <f t="shared" si="11"/>
        <v>Moderate</v>
      </c>
      <c r="G321" t="s">
        <v>875</v>
      </c>
    </row>
    <row r="322" spans="1:7" ht="15" customHeight="1" x14ac:dyDescent="0.3">
      <c r="A322" t="s">
        <v>1004</v>
      </c>
      <c r="B322" s="2">
        <v>46266</v>
      </c>
      <c r="C322" cm="1">
        <f t="array" ref="C322">IFERROR(IF(SUMPRODUCT((measured[Site Name]=A322)*(measured[Date]=B322)*ISNUMBER(measured[Measured Value (kWh)]))=0,"",SUMIFS(measured[Measured Value (kWh)],measured[Site Name],A322,measured[Date],B322)),"")</f>
        <v>4005.8959</v>
      </c>
      <c r="D322" cm="1">
        <f t="array" ref="D322">IFERROR(IF(SUMPRODUCT((expected_production[Site Name]=A322)*(expected_production[Date]=B322)*ISNUMBER(expected_production[Expected Production (kWh)]))=0,"",SUMIFS(expected_production[Expected Production (kWh)],expected_production[Site Name],A322,expected_production[Date],B322)),"")</f>
        <v>5558.7337440819219</v>
      </c>
      <c r="E322" s="9">
        <f t="shared" si="10"/>
        <v>0.72064899749243383</v>
      </c>
      <c r="F322" t="str">
        <f t="shared" si="11"/>
        <v>Moderate</v>
      </c>
      <c r="G322" t="s">
        <v>874</v>
      </c>
    </row>
    <row r="323" spans="1:7" ht="15" hidden="1" customHeight="1" x14ac:dyDescent="0.3">
      <c r="A323" t="s">
        <v>71</v>
      </c>
      <c r="B323" s="2">
        <v>46296</v>
      </c>
      <c r="C323" t="str" cm="1">
        <f t="array" ref="C323">IFERROR(IF(SUMPRODUCT((measured[Site Name]=A323)*(measured[Date]=B323)*ISNUMBER(measured[Measured Value (kWh)]))=0,"",SUMIFS(measured[Measured Value (kWh)],measured[Site Name],A323,measured[Date],B323)),"")</f>
        <v/>
      </c>
      <c r="D323" cm="1">
        <f t="array" ref="D323">IFERROR(IF(SUMPRODUCT((expected_production[Site Name]=A323)*(expected_production[Date]=B323)*ISNUMBER(expected_production[Expected Production (kWh)]))=0,"",SUMIFS(expected_production[Expected Production (kWh)],expected_production[Site Name],A323,expected_production[Date],B323)),"")</f>
        <v>23692.198277233525</v>
      </c>
      <c r="E323" s="9" t="str">
        <f t="shared" si="10"/>
        <v/>
      </c>
      <c r="F323" t="str">
        <f t="shared" si="11"/>
        <v/>
      </c>
    </row>
    <row r="324" spans="1:7" ht="15" hidden="1" customHeight="1" x14ac:dyDescent="0.3">
      <c r="A324" t="s">
        <v>71</v>
      </c>
      <c r="B324" s="2">
        <v>46327</v>
      </c>
      <c r="C324" t="str" cm="1">
        <f t="array" ref="C324">IFERROR(IF(SUMPRODUCT((measured[Site Name]=A324)*(measured[Date]=B324)*ISNUMBER(measured[Measured Value (kWh)]))=0,"",SUMIFS(measured[Measured Value (kWh)],measured[Site Name],A324,measured[Date],B324)),"")</f>
        <v/>
      </c>
      <c r="D324" cm="1">
        <f t="array" ref="D324">IFERROR(IF(SUMPRODUCT((expected_production[Site Name]=A324)*(expected_production[Date]=B324)*ISNUMBER(expected_production[Expected Production (kWh)]))=0,"",SUMIFS(expected_production[Expected Production (kWh)],expected_production[Site Name],A324,expected_production[Date],B324)),"")</f>
        <v>25455.901887500193</v>
      </c>
      <c r="E324" s="9" t="str">
        <f t="shared" si="10"/>
        <v/>
      </c>
      <c r="F324" t="str">
        <f t="shared" si="11"/>
        <v/>
      </c>
    </row>
    <row r="325" spans="1:7" ht="15" hidden="1" customHeight="1" x14ac:dyDescent="0.3">
      <c r="A325" t="s">
        <v>71</v>
      </c>
      <c r="B325" s="2">
        <v>46357</v>
      </c>
      <c r="C325" t="str" cm="1">
        <f t="array" ref="C325">IFERROR(IF(SUMPRODUCT((measured[Site Name]=A325)*(measured[Date]=B325)*ISNUMBER(measured[Measured Value (kWh)]))=0,"",SUMIFS(measured[Measured Value (kWh)],measured[Site Name],A325,measured[Date],B325)),"")</f>
        <v/>
      </c>
      <c r="D325" cm="1">
        <f t="array" ref="D325">IFERROR(IF(SUMPRODUCT((expected_production[Site Name]=A325)*(expected_production[Date]=B325)*ISNUMBER(expected_production[Expected Production (kWh)]))=0,"",SUMIFS(expected_production[Expected Production (kWh)],expected_production[Site Name],A325,expected_production[Date],B325)),"")</f>
        <v>27508.107800727204</v>
      </c>
      <c r="E325" s="9" t="str">
        <f t="shared" si="10"/>
        <v/>
      </c>
      <c r="F325" t="str">
        <f t="shared" si="11"/>
        <v/>
      </c>
    </row>
    <row r="326" spans="1:7" ht="15" hidden="1" customHeight="1" x14ac:dyDescent="0.3">
      <c r="A326" t="s">
        <v>77</v>
      </c>
      <c r="B326" s="2">
        <v>45292</v>
      </c>
      <c r="C326" t="str" cm="1">
        <f t="array" ref="C326">IFERROR(IF(SUMPRODUCT((measured[Site Name]=A326)*(measured[Date]=B326)*ISNUMBER(measured[Measured Value (kWh)]))=0,"",SUMIFS(measured[Measured Value (kWh)],measured[Site Name],A326,measured[Date],B326)),"")</f>
        <v/>
      </c>
      <c r="D326" cm="1">
        <f t="array" ref="D326">IFERROR(IF(SUMPRODUCT((expected_production[Site Name]=A326)*(expected_production[Date]=B326)*ISNUMBER(expected_production[Expected Production (kWh)]))=0,"",SUMIFS(expected_production[Expected Production (kWh)],expected_production[Site Name],A326,expected_production[Date],B326)),"")</f>
        <v>21105</v>
      </c>
      <c r="E326" s="9" t="str">
        <f t="shared" si="10"/>
        <v/>
      </c>
      <c r="F326" t="str">
        <f t="shared" si="11"/>
        <v/>
      </c>
    </row>
    <row r="327" spans="1:7" ht="15" hidden="1" customHeight="1" x14ac:dyDescent="0.3">
      <c r="A327" t="s">
        <v>77</v>
      </c>
      <c r="B327" s="2">
        <v>45323</v>
      </c>
      <c r="C327" t="str" cm="1">
        <f t="array" ref="C327">IFERROR(IF(SUMPRODUCT((measured[Site Name]=A327)*(measured[Date]=B327)*ISNUMBER(measured[Measured Value (kWh)]))=0,"",SUMIFS(measured[Measured Value (kWh)],measured[Site Name],A327,measured[Date],B327)),"")</f>
        <v/>
      </c>
      <c r="D327" cm="1">
        <f t="array" ref="D327">IFERROR(IF(SUMPRODUCT((expected_production[Site Name]=A327)*(expected_production[Date]=B327)*ISNUMBER(expected_production[Expected Production (kWh)]))=0,"",SUMIFS(expected_production[Expected Production (kWh)],expected_production[Site Name],A327,expected_production[Date],B327)),"")</f>
        <v>18220.5</v>
      </c>
      <c r="E327" s="9" t="str">
        <f t="shared" si="10"/>
        <v/>
      </c>
      <c r="F327" t="str">
        <f t="shared" si="11"/>
        <v/>
      </c>
    </row>
    <row r="328" spans="1:7" ht="15" hidden="1" customHeight="1" x14ac:dyDescent="0.3">
      <c r="A328" t="s">
        <v>77</v>
      </c>
      <c r="B328" s="2">
        <v>45352</v>
      </c>
      <c r="C328" t="str" cm="1">
        <f t="array" ref="C328">IFERROR(IF(SUMPRODUCT((measured[Site Name]=A328)*(measured[Date]=B328)*ISNUMBER(measured[Measured Value (kWh)]))=0,"",SUMIFS(measured[Measured Value (kWh)],measured[Site Name],A328,measured[Date],B328)),"")</f>
        <v/>
      </c>
      <c r="D328" cm="1">
        <f t="array" ref="D328">IFERROR(IF(SUMPRODUCT((expected_production[Site Name]=A328)*(expected_production[Date]=B328)*ISNUMBER(expected_production[Expected Production (kWh)]))=0,"",SUMIFS(expected_production[Expected Production (kWh)],expected_production[Site Name],A328,expected_production[Date],B328)),"")</f>
        <v>18368.099999999999</v>
      </c>
      <c r="E328" s="9" t="str">
        <f t="shared" si="10"/>
        <v/>
      </c>
      <c r="F328" t="str">
        <f t="shared" si="11"/>
        <v/>
      </c>
    </row>
    <row r="329" spans="1:7" ht="15" hidden="1" customHeight="1" x14ac:dyDescent="0.3">
      <c r="A329" t="s">
        <v>77</v>
      </c>
      <c r="B329" s="2">
        <v>45383</v>
      </c>
      <c r="C329" t="str" cm="1">
        <f t="array" ref="C329">IFERROR(IF(SUMPRODUCT((measured[Site Name]=A329)*(measured[Date]=B329)*ISNUMBER(measured[Measured Value (kWh)]))=0,"",SUMIFS(measured[Measured Value (kWh)],measured[Site Name],A329,measured[Date],B329)),"")</f>
        <v/>
      </c>
      <c r="D329" cm="1">
        <f t="array" ref="D329">IFERROR(IF(SUMPRODUCT((expected_production[Site Name]=A329)*(expected_production[Date]=B329)*ISNUMBER(expected_production[Expected Production (kWh)]))=0,"",SUMIFS(expected_production[Expected Production (kWh)],expected_production[Site Name],A329,expected_production[Date],B329)),"")</f>
        <v>15103.8</v>
      </c>
      <c r="E329" s="9" t="str">
        <f t="shared" si="10"/>
        <v/>
      </c>
      <c r="F329" t="str">
        <f t="shared" si="11"/>
        <v/>
      </c>
    </row>
    <row r="330" spans="1:7" ht="15" hidden="1" customHeight="1" x14ac:dyDescent="0.3">
      <c r="A330" t="s">
        <v>77</v>
      </c>
      <c r="B330" s="2">
        <v>45413</v>
      </c>
      <c r="C330" t="str" cm="1">
        <f t="array" ref="C330">IFERROR(IF(SUMPRODUCT((measured[Site Name]=A330)*(measured[Date]=B330)*ISNUMBER(measured[Measured Value (kWh)]))=0,"",SUMIFS(measured[Measured Value (kWh)],measured[Site Name],A330,measured[Date],B330)),"")</f>
        <v/>
      </c>
      <c r="D330" cm="1">
        <f t="array" ref="D330">IFERROR(IF(SUMPRODUCT((expected_production[Site Name]=A330)*(expected_production[Date]=B330)*ISNUMBER(expected_production[Expected Production (kWh)]))=0,"",SUMIFS(expected_production[Expected Production (kWh)],expected_production[Site Name],A330,expected_production[Date],B330)),"")</f>
        <v>14130</v>
      </c>
      <c r="E330" s="9" t="str">
        <f t="shared" si="10"/>
        <v/>
      </c>
      <c r="F330" t="str">
        <f t="shared" si="11"/>
        <v/>
      </c>
    </row>
    <row r="331" spans="1:7" ht="15" hidden="1" customHeight="1" x14ac:dyDescent="0.3">
      <c r="A331" t="s">
        <v>77</v>
      </c>
      <c r="B331" s="2">
        <v>45444</v>
      </c>
      <c r="C331" t="str" cm="1">
        <f t="array" ref="C331">IFERROR(IF(SUMPRODUCT((measured[Site Name]=A331)*(measured[Date]=B331)*ISNUMBER(measured[Measured Value (kWh)]))=0,"",SUMIFS(measured[Measured Value (kWh)],measured[Site Name],A331,measured[Date],B331)),"")</f>
        <v/>
      </c>
      <c r="D331" cm="1">
        <f t="array" ref="D331">IFERROR(IF(SUMPRODUCT((expected_production[Site Name]=A331)*(expected_production[Date]=B331)*ISNUMBER(expected_production[Expected Production (kWh)]))=0,"",SUMIFS(expected_production[Expected Production (kWh)],expected_production[Site Name],A331,expected_production[Date],B331)),"")</f>
        <v>12619.8</v>
      </c>
      <c r="E331" s="9" t="str">
        <f t="shared" si="10"/>
        <v/>
      </c>
      <c r="F331" t="str">
        <f t="shared" si="11"/>
        <v/>
      </c>
    </row>
    <row r="332" spans="1:7" ht="15" hidden="1" customHeight="1" x14ac:dyDescent="0.3">
      <c r="A332" t="s">
        <v>77</v>
      </c>
      <c r="B332" s="2">
        <v>45474</v>
      </c>
      <c r="C332" t="str" cm="1">
        <f t="array" ref="C332">IFERROR(IF(SUMPRODUCT((measured[Site Name]=A332)*(measured[Date]=B332)*ISNUMBER(measured[Measured Value (kWh)]))=0,"",SUMIFS(measured[Measured Value (kWh)],measured[Site Name],A332,measured[Date],B332)),"")</f>
        <v/>
      </c>
      <c r="D332" cm="1">
        <f t="array" ref="D332">IFERROR(IF(SUMPRODUCT((expected_production[Site Name]=A332)*(expected_production[Date]=B332)*ISNUMBER(expected_production[Expected Production (kWh)]))=0,"",SUMIFS(expected_production[Expected Production (kWh)],expected_production[Site Name],A332,expected_production[Date],B332)),"")</f>
        <v>14002.2</v>
      </c>
      <c r="E332" s="9" t="str">
        <f t="shared" si="10"/>
        <v/>
      </c>
      <c r="F332" t="str">
        <f t="shared" si="11"/>
        <v/>
      </c>
    </row>
    <row r="333" spans="1:7" ht="15" hidden="1" customHeight="1" x14ac:dyDescent="0.3">
      <c r="A333" t="s">
        <v>77</v>
      </c>
      <c r="B333" s="2">
        <v>45505</v>
      </c>
      <c r="C333" t="str" cm="1">
        <f t="array" ref="C333">IFERROR(IF(SUMPRODUCT((measured[Site Name]=A333)*(measured[Date]=B333)*ISNUMBER(measured[Measured Value (kWh)]))=0,"",SUMIFS(measured[Measured Value (kWh)],measured[Site Name],A333,measured[Date],B333)),"")</f>
        <v/>
      </c>
      <c r="D333" cm="1">
        <f t="array" ref="D333">IFERROR(IF(SUMPRODUCT((expected_production[Site Name]=A333)*(expected_production[Date]=B333)*ISNUMBER(expected_production[Expected Production (kWh)]))=0,"",SUMIFS(expected_production[Expected Production (kWh)],expected_production[Site Name],A333,expected_production[Date],B333)),"")</f>
        <v>16641.900000000001</v>
      </c>
      <c r="E333" s="9" t="str">
        <f t="shared" si="10"/>
        <v/>
      </c>
      <c r="F333" t="str">
        <f t="shared" si="11"/>
        <v/>
      </c>
    </row>
    <row r="334" spans="1:7" ht="15" hidden="1" customHeight="1" x14ac:dyDescent="0.3">
      <c r="A334" t="s">
        <v>77</v>
      </c>
      <c r="B334" s="2">
        <v>45536</v>
      </c>
      <c r="C334" t="str" cm="1">
        <f t="array" ref="C334">IFERROR(IF(SUMPRODUCT((measured[Site Name]=A334)*(measured[Date]=B334)*ISNUMBER(measured[Measured Value (kWh)]))=0,"",SUMIFS(measured[Measured Value (kWh)],measured[Site Name],A334,measured[Date],B334)),"")</f>
        <v/>
      </c>
      <c r="D334" cm="1">
        <f t="array" ref="D334">IFERROR(IF(SUMPRODUCT((expected_production[Site Name]=A334)*(expected_production[Date]=B334)*ISNUMBER(expected_production[Expected Production (kWh)]))=0,"",SUMIFS(expected_production[Expected Production (kWh)],expected_production[Site Name],A334,expected_production[Date],B334)),"")</f>
        <v>18626.400000000001</v>
      </c>
      <c r="E334" s="9" t="str">
        <f t="shared" si="10"/>
        <v/>
      </c>
      <c r="F334" t="str">
        <f t="shared" si="11"/>
        <v/>
      </c>
    </row>
    <row r="335" spans="1:7" ht="15" hidden="1" customHeight="1" x14ac:dyDescent="0.3">
      <c r="A335" t="s">
        <v>77</v>
      </c>
      <c r="B335" s="2">
        <v>45566</v>
      </c>
      <c r="C335" t="str" cm="1">
        <f t="array" ref="C335">IFERROR(IF(SUMPRODUCT((measured[Site Name]=A335)*(measured[Date]=B335)*ISNUMBER(measured[Measured Value (kWh)]))=0,"",SUMIFS(measured[Measured Value (kWh)],measured[Site Name],A335,measured[Date],B335)),"")</f>
        <v/>
      </c>
      <c r="D335" cm="1">
        <f t="array" ref="D335">IFERROR(IF(SUMPRODUCT((expected_production[Site Name]=A335)*(expected_production[Date]=B335)*ISNUMBER(expected_production[Expected Production (kWh)]))=0,"",SUMIFS(expected_production[Expected Production (kWh)],expected_production[Site Name],A335,expected_production[Date],B335)),"")</f>
        <v>20503.8</v>
      </c>
      <c r="E335" s="9" t="str">
        <f t="shared" si="10"/>
        <v/>
      </c>
      <c r="F335" t="str">
        <f t="shared" si="11"/>
        <v/>
      </c>
    </row>
    <row r="336" spans="1:7" ht="15" hidden="1" customHeight="1" x14ac:dyDescent="0.3">
      <c r="A336" t="s">
        <v>77</v>
      </c>
      <c r="B336" s="2">
        <v>45597</v>
      </c>
      <c r="C336" t="str" cm="1">
        <f t="array" ref="C336">IFERROR(IF(SUMPRODUCT((measured[Site Name]=A336)*(measured[Date]=B336)*ISNUMBER(measured[Measured Value (kWh)]))=0,"",SUMIFS(measured[Measured Value (kWh)],measured[Site Name],A336,measured[Date],B336)),"")</f>
        <v/>
      </c>
      <c r="D336" cm="1">
        <f t="array" ref="D336">IFERROR(IF(SUMPRODUCT((expected_production[Site Name]=A336)*(expected_production[Date]=B336)*ISNUMBER(expected_production[Expected Production (kWh)]))=0,"",SUMIFS(expected_production[Expected Production (kWh)],expected_production[Site Name],A336,expected_production[Date],B336)),"")</f>
        <v>20601</v>
      </c>
      <c r="E336" s="9" t="str">
        <f t="shared" si="10"/>
        <v/>
      </c>
      <c r="F336" t="str">
        <f t="shared" si="11"/>
        <v/>
      </c>
    </row>
    <row r="337" spans="1:6" ht="15" hidden="1" customHeight="1" x14ac:dyDescent="0.3">
      <c r="A337" t="s">
        <v>77</v>
      </c>
      <c r="B337" s="2">
        <v>45627</v>
      </c>
      <c r="C337" t="str" cm="1">
        <f t="array" ref="C337">IFERROR(IF(SUMPRODUCT((measured[Site Name]=A337)*(measured[Date]=B337)*ISNUMBER(measured[Measured Value (kWh)]))=0,"",SUMIFS(measured[Measured Value (kWh)],measured[Site Name],A337,measured[Date],B337)),"")</f>
        <v/>
      </c>
      <c r="D337" cm="1">
        <f t="array" ref="D337">IFERROR(IF(SUMPRODUCT((expected_production[Site Name]=A337)*(expected_production[Date]=B337)*ISNUMBER(expected_production[Expected Production (kWh)]))=0,"",SUMIFS(expected_production[Expected Production (kWh)],expected_production[Site Name],A337,expected_production[Date],B337)),"")</f>
        <v>22024.799999999999</v>
      </c>
      <c r="E337" s="9" t="str">
        <f t="shared" si="10"/>
        <v/>
      </c>
      <c r="F337" t="str">
        <f t="shared" si="11"/>
        <v/>
      </c>
    </row>
    <row r="338" spans="1:6" ht="15" hidden="1" customHeight="1" x14ac:dyDescent="0.3">
      <c r="A338" t="s">
        <v>77</v>
      </c>
      <c r="B338" s="2">
        <v>45658</v>
      </c>
      <c r="C338" t="str" cm="1">
        <f t="array" ref="C338">IFERROR(IF(SUMPRODUCT((measured[Site Name]=A338)*(measured[Date]=B338)*ISNUMBER(measured[Measured Value (kWh)]))=0,"",SUMIFS(measured[Measured Value (kWh)],measured[Site Name],A338,measured[Date],B338)),"")</f>
        <v/>
      </c>
      <c r="D338" cm="1">
        <f t="array" ref="D338">IFERROR(IF(SUMPRODUCT((expected_production[Site Name]=A338)*(expected_production[Date]=B338)*ISNUMBER(expected_production[Expected Production (kWh)]))=0,"",SUMIFS(expected_production[Expected Production (kWh)],expected_production[Site Name],A338,expected_production[Date],B338)),"")</f>
        <v>21105</v>
      </c>
      <c r="E338" s="9" t="str">
        <f t="shared" si="10"/>
        <v/>
      </c>
      <c r="F338" t="str">
        <f t="shared" si="11"/>
        <v/>
      </c>
    </row>
    <row r="339" spans="1:6" ht="15" hidden="1" customHeight="1" x14ac:dyDescent="0.3">
      <c r="A339" t="s">
        <v>77</v>
      </c>
      <c r="B339" s="2">
        <v>45689</v>
      </c>
      <c r="C339" t="str" cm="1">
        <f t="array" ref="C339">IFERROR(IF(SUMPRODUCT((measured[Site Name]=A339)*(measured[Date]=B339)*ISNUMBER(measured[Measured Value (kWh)]))=0,"",SUMIFS(measured[Measured Value (kWh)],measured[Site Name],A339,measured[Date],B339)),"")</f>
        <v/>
      </c>
      <c r="D339" cm="1">
        <f t="array" ref="D339">IFERROR(IF(SUMPRODUCT((expected_production[Site Name]=A339)*(expected_production[Date]=B339)*ISNUMBER(expected_production[Expected Production (kWh)]))=0,"",SUMIFS(expected_production[Expected Production (kWh)],expected_production[Site Name],A339,expected_production[Date],B339)),"")</f>
        <v>18220.5</v>
      </c>
      <c r="E339" s="9" t="str">
        <f t="shared" si="10"/>
        <v/>
      </c>
      <c r="F339" t="str">
        <f t="shared" si="11"/>
        <v/>
      </c>
    </row>
    <row r="340" spans="1:6" ht="15" hidden="1" customHeight="1" x14ac:dyDescent="0.3">
      <c r="A340" t="s">
        <v>77</v>
      </c>
      <c r="B340" s="2">
        <v>45717</v>
      </c>
      <c r="C340" cm="1">
        <f t="array" ref="C340">IFERROR(IF(SUMPRODUCT((measured[Site Name]=A340)*(measured[Date]=B340)*ISNUMBER(measured[Measured Value (kWh)]))=0,"",SUMIFS(measured[Measured Value (kWh)],measured[Site Name],A340,measured[Date],B340)),"")</f>
        <v>17913</v>
      </c>
      <c r="D340" cm="1">
        <f t="array" ref="D340">IFERROR(IF(SUMPRODUCT((expected_production[Site Name]=A340)*(expected_production[Date]=B340)*ISNUMBER(expected_production[Expected Production (kWh)]))=0,"",SUMIFS(expected_production[Expected Production (kWh)],expected_production[Site Name],A340,expected_production[Date],B340)),"")</f>
        <v>18368.099999999999</v>
      </c>
      <c r="E340" s="9">
        <f t="shared" si="10"/>
        <v>0.97522334917601716</v>
      </c>
      <c r="F340" t="str">
        <f t="shared" si="11"/>
        <v>Expected</v>
      </c>
    </row>
    <row r="341" spans="1:6" ht="15" hidden="1" customHeight="1" x14ac:dyDescent="0.3">
      <c r="A341" t="s">
        <v>77</v>
      </c>
      <c r="B341" s="2">
        <v>45748</v>
      </c>
      <c r="C341" cm="1">
        <f t="array" ref="C341">IFERROR(IF(SUMPRODUCT((measured[Site Name]=A341)*(measured[Date]=B341)*ISNUMBER(measured[Measured Value (kWh)]))=0,"",SUMIFS(measured[Measured Value (kWh)],measured[Site Name],A341,measured[Date],B341)),"")</f>
        <v>14938</v>
      </c>
      <c r="D341" cm="1">
        <f t="array" ref="D341">IFERROR(IF(SUMPRODUCT((expected_production[Site Name]=A341)*(expected_production[Date]=B341)*ISNUMBER(expected_production[Expected Production (kWh)]))=0,"",SUMIFS(expected_production[Expected Production (kWh)],expected_production[Site Name],A341,expected_production[Date],B341)),"")</f>
        <v>15103.8</v>
      </c>
      <c r="E341" s="9">
        <f t="shared" si="10"/>
        <v>0.98902263006660585</v>
      </c>
      <c r="F341" t="str">
        <f t="shared" si="11"/>
        <v>Expected</v>
      </c>
    </row>
    <row r="342" spans="1:6" ht="15" hidden="1" customHeight="1" x14ac:dyDescent="0.3">
      <c r="A342" t="s">
        <v>77</v>
      </c>
      <c r="B342" s="2">
        <v>45778</v>
      </c>
      <c r="C342" cm="1">
        <f t="array" ref="C342">IFERROR(IF(SUMPRODUCT((measured[Site Name]=A342)*(measured[Date]=B342)*ISNUMBER(measured[Measured Value (kWh)]))=0,"",SUMIFS(measured[Measured Value (kWh)],measured[Site Name],A342,measured[Date],B342)),"")</f>
        <v>18066</v>
      </c>
      <c r="D342" cm="1">
        <f t="array" ref="D342">IFERROR(IF(SUMPRODUCT((expected_production[Site Name]=A342)*(expected_production[Date]=B342)*ISNUMBER(expected_production[Expected Production (kWh)]))=0,"",SUMIFS(expected_production[Expected Production (kWh)],expected_production[Site Name],A342,expected_production[Date],B342)),"")</f>
        <v>14130</v>
      </c>
      <c r="E342" s="9">
        <f t="shared" ref="E342:E405" si="12">IF(OR(C342="",D342="",D342=0),"",C342/D342)</f>
        <v>1.278556263269639</v>
      </c>
      <c r="F342" t="str">
        <f t="shared" ref="F342:F405" si="13">IF(E342="","",IF(E342&gt;=0.9,"Expected",IF(E342&gt;=0.7,"Moderate","Poor")))</f>
        <v>Expected</v>
      </c>
    </row>
    <row r="343" spans="1:6" ht="15" hidden="1" customHeight="1" x14ac:dyDescent="0.3">
      <c r="A343" t="s">
        <v>77</v>
      </c>
      <c r="B343" s="2">
        <v>45809</v>
      </c>
      <c r="C343" cm="1">
        <f t="array" ref="C343">IFERROR(IF(SUMPRODUCT((measured[Site Name]=A343)*(measured[Date]=B343)*ISNUMBER(measured[Measured Value (kWh)]))=0,"",SUMIFS(measured[Measured Value (kWh)],measured[Site Name],A343,measured[Date],B343)),"")</f>
        <v>12974.1</v>
      </c>
      <c r="D343" cm="1">
        <f t="array" ref="D343">IFERROR(IF(SUMPRODUCT((expected_production[Site Name]=A343)*(expected_production[Date]=B343)*ISNUMBER(expected_production[Expected Production (kWh)]))=0,"",SUMIFS(expected_production[Expected Production (kWh)],expected_production[Site Name],A343,expected_production[Date],B343)),"")</f>
        <v>12619.8</v>
      </c>
      <c r="E343" s="9">
        <f t="shared" si="12"/>
        <v>1.0280749298721059</v>
      </c>
      <c r="F343" t="str">
        <f t="shared" si="13"/>
        <v>Expected</v>
      </c>
    </row>
    <row r="344" spans="1:6" ht="15" hidden="1" customHeight="1" x14ac:dyDescent="0.3">
      <c r="A344" t="s">
        <v>77</v>
      </c>
      <c r="B344" s="2">
        <v>45839</v>
      </c>
      <c r="C344" cm="1">
        <f t="array" ref="C344">IFERROR(IF(SUMPRODUCT((measured[Site Name]=A344)*(measured[Date]=B344)*ISNUMBER(measured[Measured Value (kWh)]))=0,"",SUMIFS(measured[Measured Value (kWh)],measured[Site Name],A344,measured[Date],B344)),"")</f>
        <v>13938</v>
      </c>
      <c r="D344" cm="1">
        <f t="array" ref="D344">IFERROR(IF(SUMPRODUCT((expected_production[Site Name]=A344)*(expected_production[Date]=B344)*ISNUMBER(expected_production[Expected Production (kWh)]))=0,"",SUMIFS(expected_production[Expected Production (kWh)],expected_production[Site Name],A344,expected_production[Date],B344)),"")</f>
        <v>14002.2</v>
      </c>
      <c r="E344" s="9">
        <f t="shared" si="12"/>
        <v>0.99541500621330925</v>
      </c>
      <c r="F344" t="str">
        <f t="shared" si="13"/>
        <v>Expected</v>
      </c>
    </row>
    <row r="345" spans="1:6" ht="15" hidden="1" customHeight="1" x14ac:dyDescent="0.3">
      <c r="A345" t="s">
        <v>77</v>
      </c>
      <c r="B345" s="2">
        <v>45870</v>
      </c>
      <c r="C345" cm="1">
        <f t="array" ref="C345">IFERROR(IF(SUMPRODUCT((measured[Site Name]=A345)*(measured[Date]=B345)*ISNUMBER(measured[Measured Value (kWh)]))=0,"",SUMIFS(measured[Measured Value (kWh)],measured[Site Name],A345,measured[Date],B345)),"")</f>
        <v>18460</v>
      </c>
      <c r="D345" cm="1">
        <f t="array" ref="D345">IFERROR(IF(SUMPRODUCT((expected_production[Site Name]=A345)*(expected_production[Date]=B345)*ISNUMBER(expected_production[Expected Production (kWh)]))=0,"",SUMIFS(expected_production[Expected Production (kWh)],expected_production[Site Name],A345,expected_production[Date],B345)),"")</f>
        <v>16641.900000000001</v>
      </c>
      <c r="E345" s="9">
        <f t="shared" si="12"/>
        <v>1.109248343037754</v>
      </c>
      <c r="F345" t="str">
        <f t="shared" si="13"/>
        <v>Expected</v>
      </c>
    </row>
    <row r="346" spans="1:6" ht="15" hidden="1" customHeight="1" x14ac:dyDescent="0.3">
      <c r="A346" t="s">
        <v>77</v>
      </c>
      <c r="B346" s="2">
        <v>45901</v>
      </c>
      <c r="C346" cm="1">
        <f t="array" ref="C346">IFERROR(IF(SUMPRODUCT((measured[Site Name]=A346)*(measured[Date]=B346)*ISNUMBER(measured[Measured Value (kWh)]))=0,"",SUMIFS(measured[Measured Value (kWh)],measured[Site Name],A346,measured[Date],B346)),"")</f>
        <v>17970</v>
      </c>
      <c r="D346" cm="1">
        <f t="array" ref="D346">IFERROR(IF(SUMPRODUCT((expected_production[Site Name]=A346)*(expected_production[Date]=B346)*ISNUMBER(expected_production[Expected Production (kWh)]))=0,"",SUMIFS(expected_production[Expected Production (kWh)],expected_production[Site Name],A346,expected_production[Date],B346)),"")</f>
        <v>18626.400000000001</v>
      </c>
      <c r="E346" s="9">
        <f t="shared" si="12"/>
        <v>0.96475969591547472</v>
      </c>
      <c r="F346" t="str">
        <f t="shared" si="13"/>
        <v>Expected</v>
      </c>
    </row>
    <row r="347" spans="1:6" ht="15" hidden="1" customHeight="1" x14ac:dyDescent="0.3">
      <c r="A347" t="s">
        <v>77</v>
      </c>
      <c r="B347" s="2">
        <v>45931</v>
      </c>
      <c r="C347" cm="1">
        <f t="array" ref="C347">IFERROR(IF(SUMPRODUCT((measured[Site Name]=A347)*(measured[Date]=B347)*ISNUMBER(measured[Measured Value (kWh)]))=0,"",SUMIFS(measured[Measured Value (kWh)],measured[Site Name],A347,measured[Date],B347)),"")</f>
        <v>22232</v>
      </c>
      <c r="D347" cm="1">
        <f t="array" ref="D347">IFERROR(IF(SUMPRODUCT((expected_production[Site Name]=A347)*(expected_production[Date]=B347)*ISNUMBER(expected_production[Expected Production (kWh)]))=0,"",SUMIFS(expected_production[Expected Production (kWh)],expected_production[Site Name],A347,expected_production[Date],B347)),"")</f>
        <v>20503.8</v>
      </c>
      <c r="E347" s="9">
        <f t="shared" si="12"/>
        <v>1.084286815126952</v>
      </c>
      <c r="F347" t="str">
        <f t="shared" si="13"/>
        <v>Expected</v>
      </c>
    </row>
    <row r="348" spans="1:6" ht="15" hidden="1" customHeight="1" x14ac:dyDescent="0.3">
      <c r="A348" t="s">
        <v>77</v>
      </c>
      <c r="B348" s="2">
        <v>45962</v>
      </c>
      <c r="C348" cm="1">
        <f t="array" ref="C348">IFERROR(IF(SUMPRODUCT((measured[Site Name]=A348)*(measured[Date]=B348)*ISNUMBER(measured[Measured Value (kWh)]))=0,"",SUMIFS(measured[Measured Value (kWh)],measured[Site Name],A348,measured[Date],B348)),"")</f>
        <v>17351</v>
      </c>
      <c r="D348" cm="1">
        <f t="array" ref="D348">IFERROR(IF(SUMPRODUCT((expected_production[Site Name]=A348)*(expected_production[Date]=B348)*ISNUMBER(expected_production[Expected Production (kWh)]))=0,"",SUMIFS(expected_production[Expected Production (kWh)],expected_production[Site Name],A348,expected_production[Date],B348)),"")</f>
        <v>20601</v>
      </c>
      <c r="E348" s="9">
        <f t="shared" si="12"/>
        <v>0.8422406679287413</v>
      </c>
      <c r="F348" t="str">
        <f t="shared" si="13"/>
        <v>Moderate</v>
      </c>
    </row>
    <row r="349" spans="1:6" ht="15" hidden="1" customHeight="1" x14ac:dyDescent="0.3">
      <c r="A349" t="s">
        <v>77</v>
      </c>
      <c r="B349" s="2">
        <v>45992</v>
      </c>
      <c r="C349" cm="1">
        <f t="array" ref="C349">IFERROR(IF(SUMPRODUCT((measured[Site Name]=A349)*(measured[Date]=B349)*ISNUMBER(measured[Measured Value (kWh)]))=0,"",SUMIFS(measured[Measured Value (kWh)],measured[Site Name],A349,measured[Date],B349)),"")</f>
        <v>21073</v>
      </c>
      <c r="D349" cm="1">
        <f t="array" ref="D349">IFERROR(IF(SUMPRODUCT((expected_production[Site Name]=A349)*(expected_production[Date]=B349)*ISNUMBER(expected_production[Expected Production (kWh)]))=0,"",SUMIFS(expected_production[Expected Production (kWh)],expected_production[Site Name],A349,expected_production[Date],B349)),"")</f>
        <v>22024.799999999999</v>
      </c>
      <c r="E349" s="9">
        <f t="shared" si="12"/>
        <v>0.95678507863862561</v>
      </c>
      <c r="F349" t="str">
        <f t="shared" si="13"/>
        <v>Expected</v>
      </c>
    </row>
    <row r="350" spans="1:6" ht="15" hidden="1" customHeight="1" x14ac:dyDescent="0.3">
      <c r="A350" t="s">
        <v>77</v>
      </c>
      <c r="B350" s="2">
        <v>46023</v>
      </c>
      <c r="C350" cm="1">
        <f t="array" ref="C350">IFERROR(IF(SUMPRODUCT((measured[Site Name]=A350)*(measured[Date]=B350)*ISNUMBER(measured[Measured Value (kWh)]))=0,"",SUMIFS(measured[Measured Value (kWh)],measured[Site Name],A350,measured[Date],B350)),"")</f>
        <v>22123</v>
      </c>
      <c r="D350" cm="1">
        <f t="array" ref="D350">IFERROR(IF(SUMPRODUCT((expected_production[Site Name]=A350)*(expected_production[Date]=B350)*ISNUMBER(expected_production[Expected Production (kWh)]))=0,"",SUMIFS(expected_production[Expected Production (kWh)],expected_production[Site Name],A350,expected_production[Date],B350)),"")</f>
        <v>21105</v>
      </c>
      <c r="E350" s="9">
        <f t="shared" si="12"/>
        <v>1.0482350153991946</v>
      </c>
      <c r="F350" t="str">
        <f t="shared" si="13"/>
        <v>Expected</v>
      </c>
    </row>
    <row r="351" spans="1:6" ht="15" hidden="1" customHeight="1" x14ac:dyDescent="0.3">
      <c r="A351" t="s">
        <v>77</v>
      </c>
      <c r="B351" s="2">
        <v>46054</v>
      </c>
      <c r="C351" cm="1">
        <f t="array" ref="C351">IFERROR(IF(SUMPRODUCT((measured[Site Name]=A351)*(measured[Date]=B351)*ISNUMBER(measured[Measured Value (kWh)]))=0,"",SUMIFS(measured[Measured Value (kWh)],measured[Site Name],A351,measured[Date],B351)),"")</f>
        <v>16600</v>
      </c>
      <c r="D351" cm="1">
        <f t="array" ref="D351">IFERROR(IF(SUMPRODUCT((expected_production[Site Name]=A351)*(expected_production[Date]=B351)*ISNUMBER(expected_production[Expected Production (kWh)]))=0,"",SUMIFS(expected_production[Expected Production (kWh)],expected_production[Site Name],A351,expected_production[Date],B351)),"")</f>
        <v>18220.5</v>
      </c>
      <c r="E351" s="9">
        <f t="shared" si="12"/>
        <v>0.91106171619878706</v>
      </c>
      <c r="F351" t="str">
        <f t="shared" si="13"/>
        <v>Expected</v>
      </c>
    </row>
    <row r="352" spans="1:6" ht="15" hidden="1" customHeight="1" x14ac:dyDescent="0.3">
      <c r="A352" t="s">
        <v>77</v>
      </c>
      <c r="B352" s="2">
        <v>46082</v>
      </c>
      <c r="C352" cm="1">
        <f t="array" ref="C352">IFERROR(IF(SUMPRODUCT((measured[Site Name]=A352)*(measured[Date]=B352)*ISNUMBER(measured[Measured Value (kWh)]))=0,"",SUMIFS(measured[Measured Value (kWh)],measured[Site Name],A352,measured[Date],B352)),"")</f>
        <v>17500</v>
      </c>
      <c r="D352" cm="1">
        <f t="array" ref="D352">IFERROR(IF(SUMPRODUCT((expected_production[Site Name]=A352)*(expected_production[Date]=B352)*ISNUMBER(expected_production[Expected Production (kWh)]))=0,"",SUMIFS(expected_production[Expected Production (kWh)],expected_production[Site Name],A352,expected_production[Date],B352)),"")</f>
        <v>18368.099999999999</v>
      </c>
      <c r="E352" s="9">
        <f t="shared" si="12"/>
        <v>0.95273871549044276</v>
      </c>
      <c r="F352" t="str">
        <f t="shared" si="13"/>
        <v>Expected</v>
      </c>
    </row>
    <row r="353" spans="1:7" ht="15" hidden="1" customHeight="1" x14ac:dyDescent="0.3">
      <c r="A353" t="s">
        <v>77</v>
      </c>
      <c r="B353" s="2">
        <v>46113</v>
      </c>
      <c r="C353" cm="1">
        <f t="array" ref="C353">IFERROR(IF(SUMPRODUCT((measured[Site Name]=A353)*(measured[Date]=B353)*ISNUMBER(measured[Measured Value (kWh)]))=0,"",SUMIFS(measured[Measured Value (kWh)],measured[Site Name],A353,measured[Date],B353)),"")</f>
        <v>15400</v>
      </c>
      <c r="D353" cm="1">
        <f t="array" ref="D353">IFERROR(IF(SUMPRODUCT((expected_production[Site Name]=A353)*(expected_production[Date]=B353)*ISNUMBER(expected_production[Expected Production (kWh)]))=0,"",SUMIFS(expected_production[Expected Production (kWh)],expected_production[Site Name],A353,expected_production[Date],B353)),"")</f>
        <v>15103.8</v>
      </c>
      <c r="E353" s="9">
        <f t="shared" si="12"/>
        <v>1.0196109588315523</v>
      </c>
      <c r="F353" t="str">
        <f t="shared" si="13"/>
        <v>Expected</v>
      </c>
    </row>
    <row r="354" spans="1:7" ht="15" hidden="1" customHeight="1" x14ac:dyDescent="0.3">
      <c r="A354" t="s">
        <v>77</v>
      </c>
      <c r="B354" s="2">
        <v>46143</v>
      </c>
      <c r="C354" cm="1">
        <f t="array" ref="C354">IFERROR(IF(SUMPRODUCT((measured[Site Name]=A354)*(measured[Date]=B354)*ISNUMBER(measured[Measured Value (kWh)]))=0,"",SUMIFS(measured[Measured Value (kWh)],measured[Site Name],A354,measured[Date],B354)),"")</f>
        <v>15615</v>
      </c>
      <c r="D354" cm="1">
        <f t="array" ref="D354">IFERROR(IF(SUMPRODUCT((expected_production[Site Name]=A354)*(expected_production[Date]=B354)*ISNUMBER(expected_production[Expected Production (kWh)]))=0,"",SUMIFS(expected_production[Expected Production (kWh)],expected_production[Site Name],A354,expected_production[Date],B354)),"")</f>
        <v>14130</v>
      </c>
      <c r="E354" s="9">
        <f t="shared" si="12"/>
        <v>1.105095541401274</v>
      </c>
      <c r="F354" t="str">
        <f t="shared" si="13"/>
        <v>Expected</v>
      </c>
    </row>
    <row r="355" spans="1:7" ht="15" hidden="1" customHeight="1" x14ac:dyDescent="0.3">
      <c r="A355" t="s">
        <v>77</v>
      </c>
      <c r="B355" s="2">
        <v>46174</v>
      </c>
      <c r="C355" cm="1">
        <f t="array" ref="C355">IFERROR(IF(SUMPRODUCT((measured[Site Name]=A355)*(measured[Date]=B355)*ISNUMBER(measured[Measured Value (kWh)]))=0,"",SUMIFS(measured[Measured Value (kWh)],measured[Site Name],A355,measured[Date],B355)),"")</f>
        <v>12373.57</v>
      </c>
      <c r="D355" cm="1">
        <f t="array" ref="D355">IFERROR(IF(SUMPRODUCT((expected_production[Site Name]=A355)*(expected_production[Date]=B355)*ISNUMBER(expected_production[Expected Production (kWh)]))=0,"",SUMIFS(expected_production[Expected Production (kWh)],expected_production[Site Name],A355,expected_production[Date],B355)),"")</f>
        <v>12619.8</v>
      </c>
      <c r="E355" s="9">
        <f t="shared" si="12"/>
        <v>0.98048859728363369</v>
      </c>
      <c r="F355" t="str">
        <f t="shared" si="13"/>
        <v>Expected</v>
      </c>
    </row>
    <row r="356" spans="1:7" ht="15" hidden="1" customHeight="1" x14ac:dyDescent="0.3">
      <c r="A356" t="s">
        <v>71</v>
      </c>
      <c r="B356" s="2">
        <v>46204</v>
      </c>
      <c r="C356" cm="1">
        <f t="array" ref="C356">IFERROR(IF(SUMPRODUCT((measured[Site Name]=A356)*(measured[Date]=B356)*ISNUMBER(measured[Measured Value (kWh)]))=0,"",SUMIFS(measured[Measured Value (kWh)],measured[Site Name],A356,measured[Date],B356)),"")</f>
        <v>8756.0499999999993</v>
      </c>
      <c r="D356" cm="1">
        <f t="array" ref="D356">IFERROR(IF(SUMPRODUCT((expected_production[Site Name]=A356)*(expected_production[Date]=B356)*ISNUMBER(expected_production[Expected Production (kWh)]))=0,"",SUMIFS(expected_production[Expected Production (kWh)],expected_production[Site Name],A356,expected_production[Date],B356)),"")</f>
        <v>13393.206200362622</v>
      </c>
      <c r="E356" s="9">
        <f t="shared" si="12"/>
        <v>0.65376802753644825</v>
      </c>
      <c r="F356" t="str">
        <f t="shared" si="13"/>
        <v>Poor</v>
      </c>
      <c r="G356" t="s">
        <v>875</v>
      </c>
    </row>
    <row r="357" spans="1:7" ht="15" hidden="1" customHeight="1" x14ac:dyDescent="0.3">
      <c r="A357" t="s">
        <v>77</v>
      </c>
      <c r="B357" s="2">
        <v>46235</v>
      </c>
      <c r="C357" cm="1">
        <f t="array" ref="C357">IFERROR(IF(SUMPRODUCT((measured[Site Name]=A357)*(measured[Date]=B357)*ISNUMBER(measured[Measured Value (kWh)]))=0,"",SUMIFS(measured[Measured Value (kWh)],measured[Site Name],A357,measured[Date],B357)),"")</f>
        <v>15825</v>
      </c>
      <c r="D357" cm="1">
        <f t="array" ref="D357">IFERROR(IF(SUMPRODUCT((expected_production[Site Name]=A357)*(expected_production[Date]=B357)*ISNUMBER(expected_production[Expected Production (kWh)]))=0,"",SUMIFS(expected_production[Expected Production (kWh)],expected_production[Site Name],A357,expected_production[Date],B357)),"")</f>
        <v>16641.900000000001</v>
      </c>
      <c r="E357" s="9">
        <f t="shared" si="12"/>
        <v>0.95091305680240834</v>
      </c>
      <c r="F357" t="str">
        <f t="shared" si="13"/>
        <v>Expected</v>
      </c>
      <c r="G357" t="s">
        <v>874</v>
      </c>
    </row>
    <row r="358" spans="1:7" ht="15" customHeight="1" x14ac:dyDescent="0.3">
      <c r="A358" t="s">
        <v>77</v>
      </c>
      <c r="B358" s="2">
        <v>46266</v>
      </c>
      <c r="C358" cm="1">
        <f t="array" ref="C358">IFERROR(IF(SUMPRODUCT((measured[Site Name]=A358)*(measured[Date]=B358)*ISNUMBER(measured[Measured Value (kWh)]))=0,"",SUMIFS(measured[Measured Value (kWh)],measured[Site Name],A358,measured[Date],B358)),"")</f>
        <v>18200</v>
      </c>
      <c r="D358" cm="1">
        <f t="array" ref="D358">IFERROR(IF(SUMPRODUCT((expected_production[Site Name]=A358)*(expected_production[Date]=B358)*ISNUMBER(expected_production[Expected Production (kWh)]))=0,"",SUMIFS(expected_production[Expected Production (kWh)],expected_production[Site Name],A358,expected_production[Date],B358)),"")</f>
        <v>18626.400000000001</v>
      </c>
      <c r="E358" s="9">
        <f t="shared" si="12"/>
        <v>0.97710776102735897</v>
      </c>
      <c r="F358" t="str">
        <f t="shared" si="13"/>
        <v>Expected</v>
      </c>
      <c r="G358" t="s">
        <v>874</v>
      </c>
    </row>
    <row r="359" spans="1:7" ht="15" hidden="1" customHeight="1" x14ac:dyDescent="0.3">
      <c r="A359" t="s">
        <v>77</v>
      </c>
      <c r="B359" s="2">
        <v>46296</v>
      </c>
      <c r="C359" t="str" cm="1">
        <f t="array" ref="C359">IFERROR(IF(SUMPRODUCT((measured[Site Name]=A359)*(measured[Date]=B359)*ISNUMBER(measured[Measured Value (kWh)]))=0,"",SUMIFS(measured[Measured Value (kWh)],measured[Site Name],A359,measured[Date],B359)),"")</f>
        <v/>
      </c>
      <c r="D359" cm="1">
        <f t="array" ref="D359">IFERROR(IF(SUMPRODUCT((expected_production[Site Name]=A359)*(expected_production[Date]=B359)*ISNUMBER(expected_production[Expected Production (kWh)]))=0,"",SUMIFS(expected_production[Expected Production (kWh)],expected_production[Site Name],A359,expected_production[Date],B359)),"")</f>
        <v>20503.8</v>
      </c>
      <c r="E359" s="9" t="str">
        <f t="shared" si="12"/>
        <v/>
      </c>
      <c r="F359" t="str">
        <f t="shared" si="13"/>
        <v/>
      </c>
    </row>
    <row r="360" spans="1:7" ht="15" hidden="1" customHeight="1" x14ac:dyDescent="0.3">
      <c r="A360" t="s">
        <v>77</v>
      </c>
      <c r="B360" s="2">
        <v>46327</v>
      </c>
      <c r="C360" t="str" cm="1">
        <f t="array" ref="C360">IFERROR(IF(SUMPRODUCT((measured[Site Name]=A360)*(measured[Date]=B360)*ISNUMBER(measured[Measured Value (kWh)]))=0,"",SUMIFS(measured[Measured Value (kWh)],measured[Site Name],A360,measured[Date],B360)),"")</f>
        <v/>
      </c>
      <c r="D360" cm="1">
        <f t="array" ref="D360">IFERROR(IF(SUMPRODUCT((expected_production[Site Name]=A360)*(expected_production[Date]=B360)*ISNUMBER(expected_production[Expected Production (kWh)]))=0,"",SUMIFS(expected_production[Expected Production (kWh)],expected_production[Site Name],A360,expected_production[Date],B360)),"")</f>
        <v>20601</v>
      </c>
      <c r="E360" s="9" t="str">
        <f t="shared" si="12"/>
        <v/>
      </c>
      <c r="F360" t="str">
        <f t="shared" si="13"/>
        <v/>
      </c>
    </row>
    <row r="361" spans="1:7" ht="15" hidden="1" customHeight="1" x14ac:dyDescent="0.3">
      <c r="A361" t="s">
        <v>77</v>
      </c>
      <c r="B361" s="2">
        <v>46357</v>
      </c>
      <c r="C361" t="str" cm="1">
        <f t="array" ref="C361">IFERROR(IF(SUMPRODUCT((measured[Site Name]=A361)*(measured[Date]=B361)*ISNUMBER(measured[Measured Value (kWh)]))=0,"",SUMIFS(measured[Measured Value (kWh)],measured[Site Name],A361,measured[Date],B361)),"")</f>
        <v/>
      </c>
      <c r="D361" cm="1">
        <f t="array" ref="D361">IFERROR(IF(SUMPRODUCT((expected_production[Site Name]=A361)*(expected_production[Date]=B361)*ISNUMBER(expected_production[Expected Production (kWh)]))=0,"",SUMIFS(expected_production[Expected Production (kWh)],expected_production[Site Name],A361,expected_production[Date],B361)),"")</f>
        <v>22024.799999999999</v>
      </c>
      <c r="E361" s="9" t="str">
        <f t="shared" si="12"/>
        <v/>
      </c>
      <c r="F361" t="str">
        <f t="shared" si="13"/>
        <v/>
      </c>
    </row>
    <row r="362" spans="1:7" ht="15" hidden="1" customHeight="1" x14ac:dyDescent="0.3">
      <c r="A362" t="s">
        <v>80</v>
      </c>
      <c r="B362" s="2">
        <v>45292</v>
      </c>
      <c r="C362" t="str" cm="1">
        <f t="array" ref="C362">IFERROR(IF(SUMPRODUCT((measured[Site Name]=A362)*(measured[Date]=B362)*ISNUMBER(measured[Measured Value (kWh)]))=0,"",SUMIFS(measured[Measured Value (kWh)],measured[Site Name],A362,measured[Date],B362)),"")</f>
        <v/>
      </c>
      <c r="D362" cm="1">
        <f t="array" ref="D362">IFERROR(IF(SUMPRODUCT((expected_production[Site Name]=A362)*(expected_production[Date]=B362)*ISNUMBER(expected_production[Expected Production (kWh)]))=0,"",SUMIFS(expected_production[Expected Production (kWh)],expected_production[Site Name],A362,expected_production[Date],B362)),"")</f>
        <v>21105</v>
      </c>
      <c r="E362" s="9" t="str">
        <f t="shared" si="12"/>
        <v/>
      </c>
      <c r="F362" t="str">
        <f t="shared" si="13"/>
        <v/>
      </c>
    </row>
    <row r="363" spans="1:7" ht="15" hidden="1" customHeight="1" x14ac:dyDescent="0.3">
      <c r="A363" t="s">
        <v>80</v>
      </c>
      <c r="B363" s="2">
        <v>45323</v>
      </c>
      <c r="C363" t="str" cm="1">
        <f t="array" ref="C363">IFERROR(IF(SUMPRODUCT((measured[Site Name]=A363)*(measured[Date]=B363)*ISNUMBER(measured[Measured Value (kWh)]))=0,"",SUMIFS(measured[Measured Value (kWh)],measured[Site Name],A363,measured[Date],B363)),"")</f>
        <v/>
      </c>
      <c r="D363" cm="1">
        <f t="array" ref="D363">IFERROR(IF(SUMPRODUCT((expected_production[Site Name]=A363)*(expected_production[Date]=B363)*ISNUMBER(expected_production[Expected Production (kWh)]))=0,"",SUMIFS(expected_production[Expected Production (kWh)],expected_production[Site Name],A363,expected_production[Date],B363)),"")</f>
        <v>18220.5</v>
      </c>
      <c r="E363" s="9" t="str">
        <f t="shared" si="12"/>
        <v/>
      </c>
      <c r="F363" t="str">
        <f t="shared" si="13"/>
        <v/>
      </c>
    </row>
    <row r="364" spans="1:7" ht="15" hidden="1" customHeight="1" x14ac:dyDescent="0.3">
      <c r="A364" t="s">
        <v>80</v>
      </c>
      <c r="B364" s="2">
        <v>45352</v>
      </c>
      <c r="C364" t="str" cm="1">
        <f t="array" ref="C364">IFERROR(IF(SUMPRODUCT((measured[Site Name]=A364)*(measured[Date]=B364)*ISNUMBER(measured[Measured Value (kWh)]))=0,"",SUMIFS(measured[Measured Value (kWh)],measured[Site Name],A364,measured[Date],B364)),"")</f>
        <v/>
      </c>
      <c r="D364" cm="1">
        <f t="array" ref="D364">IFERROR(IF(SUMPRODUCT((expected_production[Site Name]=A364)*(expected_production[Date]=B364)*ISNUMBER(expected_production[Expected Production (kWh)]))=0,"",SUMIFS(expected_production[Expected Production (kWh)],expected_production[Site Name],A364,expected_production[Date],B364)),"")</f>
        <v>18368.099999999999</v>
      </c>
      <c r="E364" s="9" t="str">
        <f t="shared" si="12"/>
        <v/>
      </c>
      <c r="F364" t="str">
        <f t="shared" si="13"/>
        <v/>
      </c>
    </row>
    <row r="365" spans="1:7" ht="15" hidden="1" customHeight="1" x14ac:dyDescent="0.3">
      <c r="A365" t="s">
        <v>80</v>
      </c>
      <c r="B365" s="2">
        <v>45383</v>
      </c>
      <c r="C365" t="str" cm="1">
        <f t="array" ref="C365">IFERROR(IF(SUMPRODUCT((measured[Site Name]=A365)*(measured[Date]=B365)*ISNUMBER(measured[Measured Value (kWh)]))=0,"",SUMIFS(measured[Measured Value (kWh)],measured[Site Name],A365,measured[Date],B365)),"")</f>
        <v/>
      </c>
      <c r="D365" cm="1">
        <f t="array" ref="D365">IFERROR(IF(SUMPRODUCT((expected_production[Site Name]=A365)*(expected_production[Date]=B365)*ISNUMBER(expected_production[Expected Production (kWh)]))=0,"",SUMIFS(expected_production[Expected Production (kWh)],expected_production[Site Name],A365,expected_production[Date],B365)),"")</f>
        <v>15103.8</v>
      </c>
      <c r="E365" s="9" t="str">
        <f t="shared" si="12"/>
        <v/>
      </c>
      <c r="F365" t="str">
        <f t="shared" si="13"/>
        <v/>
      </c>
    </row>
    <row r="366" spans="1:7" ht="15" hidden="1" customHeight="1" x14ac:dyDescent="0.3">
      <c r="A366" t="s">
        <v>80</v>
      </c>
      <c r="B366" s="2">
        <v>45413</v>
      </c>
      <c r="C366" t="str" cm="1">
        <f t="array" ref="C366">IFERROR(IF(SUMPRODUCT((measured[Site Name]=A366)*(measured[Date]=B366)*ISNUMBER(measured[Measured Value (kWh)]))=0,"",SUMIFS(measured[Measured Value (kWh)],measured[Site Name],A366,measured[Date],B366)),"")</f>
        <v/>
      </c>
      <c r="D366" cm="1">
        <f t="array" ref="D366">IFERROR(IF(SUMPRODUCT((expected_production[Site Name]=A366)*(expected_production[Date]=B366)*ISNUMBER(expected_production[Expected Production (kWh)]))=0,"",SUMIFS(expected_production[Expected Production (kWh)],expected_production[Site Name],A366,expected_production[Date],B366)),"")</f>
        <v>14130</v>
      </c>
      <c r="E366" s="9" t="str">
        <f t="shared" si="12"/>
        <v/>
      </c>
      <c r="F366" t="str">
        <f t="shared" si="13"/>
        <v/>
      </c>
    </row>
    <row r="367" spans="1:7" ht="15" hidden="1" customHeight="1" x14ac:dyDescent="0.3">
      <c r="A367" t="s">
        <v>80</v>
      </c>
      <c r="B367" s="2">
        <v>45444</v>
      </c>
      <c r="C367" t="str" cm="1">
        <f t="array" ref="C367">IFERROR(IF(SUMPRODUCT((measured[Site Name]=A367)*(measured[Date]=B367)*ISNUMBER(measured[Measured Value (kWh)]))=0,"",SUMIFS(measured[Measured Value (kWh)],measured[Site Name],A367,measured[Date],B367)),"")</f>
        <v/>
      </c>
      <c r="D367" cm="1">
        <f t="array" ref="D367">IFERROR(IF(SUMPRODUCT((expected_production[Site Name]=A367)*(expected_production[Date]=B367)*ISNUMBER(expected_production[Expected Production (kWh)]))=0,"",SUMIFS(expected_production[Expected Production (kWh)],expected_production[Site Name],A367,expected_production[Date],B367)),"")</f>
        <v>12619.8</v>
      </c>
      <c r="E367" s="9" t="str">
        <f t="shared" si="12"/>
        <v/>
      </c>
      <c r="F367" t="str">
        <f t="shared" si="13"/>
        <v/>
      </c>
    </row>
    <row r="368" spans="1:7" ht="15" hidden="1" customHeight="1" x14ac:dyDescent="0.3">
      <c r="A368" t="s">
        <v>80</v>
      </c>
      <c r="B368" s="2">
        <v>45474</v>
      </c>
      <c r="C368" t="str" cm="1">
        <f t="array" ref="C368">IFERROR(IF(SUMPRODUCT((measured[Site Name]=A368)*(measured[Date]=B368)*ISNUMBER(measured[Measured Value (kWh)]))=0,"",SUMIFS(measured[Measured Value (kWh)],measured[Site Name],A368,measured[Date],B368)),"")</f>
        <v/>
      </c>
      <c r="D368" cm="1">
        <f t="array" ref="D368">IFERROR(IF(SUMPRODUCT((expected_production[Site Name]=A368)*(expected_production[Date]=B368)*ISNUMBER(expected_production[Expected Production (kWh)]))=0,"",SUMIFS(expected_production[Expected Production (kWh)],expected_production[Site Name],A368,expected_production[Date],B368)),"")</f>
        <v>14002.2</v>
      </c>
      <c r="E368" s="9" t="str">
        <f t="shared" si="12"/>
        <v/>
      </c>
      <c r="F368" t="str">
        <f t="shared" si="13"/>
        <v/>
      </c>
    </row>
    <row r="369" spans="1:6" ht="15" hidden="1" customHeight="1" x14ac:dyDescent="0.3">
      <c r="A369" t="s">
        <v>80</v>
      </c>
      <c r="B369" s="2">
        <v>45505</v>
      </c>
      <c r="C369" t="str" cm="1">
        <f t="array" ref="C369">IFERROR(IF(SUMPRODUCT((measured[Site Name]=A369)*(measured[Date]=B369)*ISNUMBER(measured[Measured Value (kWh)]))=0,"",SUMIFS(measured[Measured Value (kWh)],measured[Site Name],A369,measured[Date],B369)),"")</f>
        <v/>
      </c>
      <c r="D369" cm="1">
        <f t="array" ref="D369">IFERROR(IF(SUMPRODUCT((expected_production[Site Name]=A369)*(expected_production[Date]=B369)*ISNUMBER(expected_production[Expected Production (kWh)]))=0,"",SUMIFS(expected_production[Expected Production (kWh)],expected_production[Site Name],A369,expected_production[Date],B369)),"")</f>
        <v>16641.900000000001</v>
      </c>
      <c r="E369" s="9" t="str">
        <f t="shared" si="12"/>
        <v/>
      </c>
      <c r="F369" t="str">
        <f t="shared" si="13"/>
        <v/>
      </c>
    </row>
    <row r="370" spans="1:6" ht="15" hidden="1" customHeight="1" x14ac:dyDescent="0.3">
      <c r="A370" t="s">
        <v>80</v>
      </c>
      <c r="B370" s="2">
        <v>45536</v>
      </c>
      <c r="C370" t="str" cm="1">
        <f t="array" ref="C370">IFERROR(IF(SUMPRODUCT((measured[Site Name]=A370)*(measured[Date]=B370)*ISNUMBER(measured[Measured Value (kWh)]))=0,"",SUMIFS(measured[Measured Value (kWh)],measured[Site Name],A370,measured[Date],B370)),"")</f>
        <v/>
      </c>
      <c r="D370" cm="1">
        <f t="array" ref="D370">IFERROR(IF(SUMPRODUCT((expected_production[Site Name]=A370)*(expected_production[Date]=B370)*ISNUMBER(expected_production[Expected Production (kWh)]))=0,"",SUMIFS(expected_production[Expected Production (kWh)],expected_production[Site Name],A370,expected_production[Date],B370)),"")</f>
        <v>18626.400000000001</v>
      </c>
      <c r="E370" s="9" t="str">
        <f t="shared" si="12"/>
        <v/>
      </c>
      <c r="F370" t="str">
        <f t="shared" si="13"/>
        <v/>
      </c>
    </row>
    <row r="371" spans="1:6" ht="15" hidden="1" customHeight="1" x14ac:dyDescent="0.3">
      <c r="A371" t="s">
        <v>80</v>
      </c>
      <c r="B371" s="2">
        <v>45566</v>
      </c>
      <c r="C371" t="str" cm="1">
        <f t="array" ref="C371">IFERROR(IF(SUMPRODUCT((measured[Site Name]=A371)*(measured[Date]=B371)*ISNUMBER(measured[Measured Value (kWh)]))=0,"",SUMIFS(measured[Measured Value (kWh)],measured[Site Name],A371,measured[Date],B371)),"")</f>
        <v/>
      </c>
      <c r="D371" cm="1">
        <f t="array" ref="D371">IFERROR(IF(SUMPRODUCT((expected_production[Site Name]=A371)*(expected_production[Date]=B371)*ISNUMBER(expected_production[Expected Production (kWh)]))=0,"",SUMIFS(expected_production[Expected Production (kWh)],expected_production[Site Name],A371,expected_production[Date],B371)),"")</f>
        <v>20503.8</v>
      </c>
      <c r="E371" s="9" t="str">
        <f t="shared" si="12"/>
        <v/>
      </c>
      <c r="F371" t="str">
        <f t="shared" si="13"/>
        <v/>
      </c>
    </row>
    <row r="372" spans="1:6" ht="15" hidden="1" customHeight="1" x14ac:dyDescent="0.3">
      <c r="A372" t="s">
        <v>80</v>
      </c>
      <c r="B372" s="2">
        <v>45597</v>
      </c>
      <c r="C372" t="str" cm="1">
        <f t="array" ref="C372">IFERROR(IF(SUMPRODUCT((measured[Site Name]=A372)*(measured[Date]=B372)*ISNUMBER(measured[Measured Value (kWh)]))=0,"",SUMIFS(measured[Measured Value (kWh)],measured[Site Name],A372,measured[Date],B372)),"")</f>
        <v/>
      </c>
      <c r="D372" cm="1">
        <f t="array" ref="D372">IFERROR(IF(SUMPRODUCT((expected_production[Site Name]=A372)*(expected_production[Date]=B372)*ISNUMBER(expected_production[Expected Production (kWh)]))=0,"",SUMIFS(expected_production[Expected Production (kWh)],expected_production[Site Name],A372,expected_production[Date],B372)),"")</f>
        <v>20601</v>
      </c>
      <c r="E372" s="9" t="str">
        <f t="shared" si="12"/>
        <v/>
      </c>
      <c r="F372" t="str">
        <f t="shared" si="13"/>
        <v/>
      </c>
    </row>
    <row r="373" spans="1:6" ht="15" hidden="1" customHeight="1" x14ac:dyDescent="0.3">
      <c r="A373" t="s">
        <v>80</v>
      </c>
      <c r="B373" s="2">
        <v>45627</v>
      </c>
      <c r="C373" t="str" cm="1">
        <f t="array" ref="C373">IFERROR(IF(SUMPRODUCT((measured[Site Name]=A373)*(measured[Date]=B373)*ISNUMBER(measured[Measured Value (kWh)]))=0,"",SUMIFS(measured[Measured Value (kWh)],measured[Site Name],A373,measured[Date],B373)),"")</f>
        <v/>
      </c>
      <c r="D373" cm="1">
        <f t="array" ref="D373">IFERROR(IF(SUMPRODUCT((expected_production[Site Name]=A373)*(expected_production[Date]=B373)*ISNUMBER(expected_production[Expected Production (kWh)]))=0,"",SUMIFS(expected_production[Expected Production (kWh)],expected_production[Site Name],A373,expected_production[Date],B373)),"")</f>
        <v>22024.799999999999</v>
      </c>
      <c r="E373" s="9" t="str">
        <f t="shared" si="12"/>
        <v/>
      </c>
      <c r="F373" t="str">
        <f t="shared" si="13"/>
        <v/>
      </c>
    </row>
    <row r="374" spans="1:6" ht="15" hidden="1" customHeight="1" x14ac:dyDescent="0.3">
      <c r="A374" t="s">
        <v>80</v>
      </c>
      <c r="B374" s="2">
        <v>45658</v>
      </c>
      <c r="C374" t="str" cm="1">
        <f t="array" ref="C374">IFERROR(IF(SUMPRODUCT((measured[Site Name]=A374)*(measured[Date]=B374)*ISNUMBER(measured[Measured Value (kWh)]))=0,"",SUMIFS(measured[Measured Value (kWh)],measured[Site Name],A374,measured[Date],B374)),"")</f>
        <v/>
      </c>
      <c r="D374" cm="1">
        <f t="array" ref="D374">IFERROR(IF(SUMPRODUCT((expected_production[Site Name]=A374)*(expected_production[Date]=B374)*ISNUMBER(expected_production[Expected Production (kWh)]))=0,"",SUMIFS(expected_production[Expected Production (kWh)],expected_production[Site Name],A374,expected_production[Date],B374)),"")</f>
        <v>21105</v>
      </c>
      <c r="E374" s="9" t="str">
        <f t="shared" si="12"/>
        <v/>
      </c>
      <c r="F374" t="str">
        <f t="shared" si="13"/>
        <v/>
      </c>
    </row>
    <row r="375" spans="1:6" ht="15" hidden="1" customHeight="1" x14ac:dyDescent="0.3">
      <c r="A375" t="s">
        <v>80</v>
      </c>
      <c r="B375" s="2">
        <v>45689</v>
      </c>
      <c r="C375" t="str" cm="1">
        <f t="array" ref="C375">IFERROR(IF(SUMPRODUCT((measured[Site Name]=A375)*(measured[Date]=B375)*ISNUMBER(measured[Measured Value (kWh)]))=0,"",SUMIFS(measured[Measured Value (kWh)],measured[Site Name],A375,measured[Date],B375)),"")</f>
        <v/>
      </c>
      <c r="D375" cm="1">
        <f t="array" ref="D375">IFERROR(IF(SUMPRODUCT((expected_production[Site Name]=A375)*(expected_production[Date]=B375)*ISNUMBER(expected_production[Expected Production (kWh)]))=0,"",SUMIFS(expected_production[Expected Production (kWh)],expected_production[Site Name],A375,expected_production[Date],B375)),"")</f>
        <v>18220.5</v>
      </c>
      <c r="E375" s="9" t="str">
        <f t="shared" si="12"/>
        <v/>
      </c>
      <c r="F375" t="str">
        <f t="shared" si="13"/>
        <v/>
      </c>
    </row>
    <row r="376" spans="1:6" ht="15" hidden="1" customHeight="1" x14ac:dyDescent="0.3">
      <c r="A376" t="s">
        <v>80</v>
      </c>
      <c r="B376" s="2">
        <v>45717</v>
      </c>
      <c r="C376" cm="1">
        <f t="array" ref="C376">IFERROR(IF(SUMPRODUCT((measured[Site Name]=A376)*(measured[Date]=B376)*ISNUMBER(measured[Measured Value (kWh)]))=0,"",SUMIFS(measured[Measured Value (kWh)],measured[Site Name],A376,measured[Date],B376)),"")</f>
        <v>16558</v>
      </c>
      <c r="D376" cm="1">
        <f t="array" ref="D376">IFERROR(IF(SUMPRODUCT((expected_production[Site Name]=A376)*(expected_production[Date]=B376)*ISNUMBER(expected_production[Expected Production (kWh)]))=0,"",SUMIFS(expected_production[Expected Production (kWh)],expected_production[Site Name],A376,expected_production[Date],B376)),"")</f>
        <v>18368.099999999999</v>
      </c>
      <c r="E376" s="9">
        <f t="shared" si="12"/>
        <v>0.90145415149090002</v>
      </c>
      <c r="F376" t="str">
        <f t="shared" si="13"/>
        <v>Expected</v>
      </c>
    </row>
    <row r="377" spans="1:6" ht="15" hidden="1" customHeight="1" x14ac:dyDescent="0.3">
      <c r="A377" t="s">
        <v>80</v>
      </c>
      <c r="B377" s="2">
        <v>45748</v>
      </c>
      <c r="C377" cm="1">
        <f t="array" ref="C377">IFERROR(IF(SUMPRODUCT((measured[Site Name]=A377)*(measured[Date]=B377)*ISNUMBER(measured[Measured Value (kWh)]))=0,"",SUMIFS(measured[Measured Value (kWh)],measured[Site Name],A377,measured[Date],B377)),"")</f>
        <v>13087</v>
      </c>
      <c r="D377" cm="1">
        <f t="array" ref="D377">IFERROR(IF(SUMPRODUCT((expected_production[Site Name]=A377)*(expected_production[Date]=B377)*ISNUMBER(expected_production[Expected Production (kWh)]))=0,"",SUMIFS(expected_production[Expected Production (kWh)],expected_production[Site Name],A377,expected_production[Date],B377)),"")</f>
        <v>15103.8</v>
      </c>
      <c r="E377" s="9">
        <f t="shared" si="12"/>
        <v>0.86647068949535888</v>
      </c>
      <c r="F377" t="str">
        <f t="shared" si="13"/>
        <v>Moderate</v>
      </c>
    </row>
    <row r="378" spans="1:6" ht="15" hidden="1" customHeight="1" x14ac:dyDescent="0.3">
      <c r="A378" t="s">
        <v>80</v>
      </c>
      <c r="B378" s="2">
        <v>45778</v>
      </c>
      <c r="C378" cm="1">
        <f t="array" ref="C378">IFERROR(IF(SUMPRODUCT((measured[Site Name]=A378)*(measured[Date]=B378)*ISNUMBER(measured[Measured Value (kWh)]))=0,"",SUMIFS(measured[Measured Value (kWh)],measured[Site Name],A378,measured[Date],B378)),"")</f>
        <v>15171</v>
      </c>
      <c r="D378" cm="1">
        <f t="array" ref="D378">IFERROR(IF(SUMPRODUCT((expected_production[Site Name]=A378)*(expected_production[Date]=B378)*ISNUMBER(expected_production[Expected Production (kWh)]))=0,"",SUMIFS(expected_production[Expected Production (kWh)],expected_production[Site Name],A378,expected_production[Date],B378)),"")</f>
        <v>14130</v>
      </c>
      <c r="E378" s="9">
        <f t="shared" si="12"/>
        <v>1.0736730360934184</v>
      </c>
      <c r="F378" t="str">
        <f t="shared" si="13"/>
        <v>Expected</v>
      </c>
    </row>
    <row r="379" spans="1:6" ht="15" hidden="1" customHeight="1" x14ac:dyDescent="0.3">
      <c r="A379" t="s">
        <v>80</v>
      </c>
      <c r="B379" s="2">
        <v>45809</v>
      </c>
      <c r="C379" cm="1">
        <f t="array" ref="C379">IFERROR(IF(SUMPRODUCT((measured[Site Name]=A379)*(measured[Date]=B379)*ISNUMBER(measured[Measured Value (kWh)]))=0,"",SUMIFS(measured[Measured Value (kWh)],measured[Site Name],A379,measured[Date],B379)),"")</f>
        <v>9655.7000000000007</v>
      </c>
      <c r="D379" cm="1">
        <f t="array" ref="D379">IFERROR(IF(SUMPRODUCT((expected_production[Site Name]=A379)*(expected_production[Date]=B379)*ISNUMBER(expected_production[Expected Production (kWh)]))=0,"",SUMIFS(expected_production[Expected Production (kWh)],expected_production[Site Name],A379,expected_production[Date],B379)),"")</f>
        <v>12619.8</v>
      </c>
      <c r="E379" s="9">
        <f t="shared" si="12"/>
        <v>0.76512306058733115</v>
      </c>
      <c r="F379" t="str">
        <f t="shared" si="13"/>
        <v>Moderate</v>
      </c>
    </row>
    <row r="380" spans="1:6" ht="15" hidden="1" customHeight="1" x14ac:dyDescent="0.3">
      <c r="A380" t="s">
        <v>80</v>
      </c>
      <c r="B380" s="2">
        <v>45839</v>
      </c>
      <c r="C380" cm="1">
        <f t="array" ref="C380">IFERROR(IF(SUMPRODUCT((measured[Site Name]=A380)*(measured[Date]=B380)*ISNUMBER(measured[Measured Value (kWh)]))=0,"",SUMIFS(measured[Measured Value (kWh)],measured[Site Name],A380,measured[Date],B380)),"")</f>
        <v>10531.6</v>
      </c>
      <c r="D380" cm="1">
        <f t="array" ref="D380">IFERROR(IF(SUMPRODUCT((expected_production[Site Name]=A380)*(expected_production[Date]=B380)*ISNUMBER(expected_production[Expected Production (kWh)]))=0,"",SUMIFS(expected_production[Expected Production (kWh)],expected_production[Site Name],A380,expected_production[Date],B380)),"")</f>
        <v>14002.2</v>
      </c>
      <c r="E380" s="9">
        <f t="shared" si="12"/>
        <v>0.75213894959363525</v>
      </c>
      <c r="F380" t="str">
        <f t="shared" si="13"/>
        <v>Moderate</v>
      </c>
    </row>
    <row r="381" spans="1:6" ht="15" hidden="1" customHeight="1" x14ac:dyDescent="0.3">
      <c r="A381" t="s">
        <v>80</v>
      </c>
      <c r="B381" s="2">
        <v>45870</v>
      </c>
      <c r="C381" cm="1">
        <f t="array" ref="C381">IFERROR(IF(SUMPRODUCT((measured[Site Name]=A381)*(measured[Date]=B381)*ISNUMBER(measured[Measured Value (kWh)]))=0,"",SUMIFS(measured[Measured Value (kWh)],measured[Site Name],A381,measured[Date],B381)),"")</f>
        <v>14730</v>
      </c>
      <c r="D381" cm="1">
        <f t="array" ref="D381">IFERROR(IF(SUMPRODUCT((expected_production[Site Name]=A381)*(expected_production[Date]=B381)*ISNUMBER(expected_production[Expected Production (kWh)]))=0,"",SUMIFS(expected_production[Expected Production (kWh)],expected_production[Site Name],A381,expected_production[Date],B381)),"")</f>
        <v>16641.900000000001</v>
      </c>
      <c r="E381" s="9">
        <f t="shared" si="12"/>
        <v>0.88511528130802364</v>
      </c>
      <c r="F381" t="str">
        <f t="shared" si="13"/>
        <v>Moderate</v>
      </c>
    </row>
    <row r="382" spans="1:6" ht="15" hidden="1" customHeight="1" x14ac:dyDescent="0.3">
      <c r="A382" t="s">
        <v>80</v>
      </c>
      <c r="B382" s="2">
        <v>45901</v>
      </c>
      <c r="C382" cm="1">
        <f t="array" ref="C382">IFERROR(IF(SUMPRODUCT((measured[Site Name]=A382)*(measured[Date]=B382)*ISNUMBER(measured[Measured Value (kWh)]))=0,"",SUMIFS(measured[Measured Value (kWh)],measured[Site Name],A382,measured[Date],B382)),"")</f>
        <v>12165</v>
      </c>
      <c r="D382" cm="1">
        <f t="array" ref="D382">IFERROR(IF(SUMPRODUCT((expected_production[Site Name]=A382)*(expected_production[Date]=B382)*ISNUMBER(expected_production[Expected Production (kWh)]))=0,"",SUMIFS(expected_production[Expected Production (kWh)],expected_production[Site Name],A382,expected_production[Date],B382)),"")</f>
        <v>18626.400000000001</v>
      </c>
      <c r="E382" s="9">
        <f t="shared" si="12"/>
        <v>0.65310526993944074</v>
      </c>
      <c r="F382" t="str">
        <f t="shared" si="13"/>
        <v>Poor</v>
      </c>
    </row>
    <row r="383" spans="1:6" ht="15" hidden="1" customHeight="1" x14ac:dyDescent="0.3">
      <c r="A383" t="s">
        <v>80</v>
      </c>
      <c r="B383" s="2">
        <v>45931</v>
      </c>
      <c r="C383" cm="1">
        <f t="array" ref="C383">IFERROR(IF(SUMPRODUCT((measured[Site Name]=A383)*(measured[Date]=B383)*ISNUMBER(measured[Measured Value (kWh)]))=0,"",SUMIFS(measured[Measured Value (kWh)],measured[Site Name],A383,measured[Date],B383)),"")</f>
        <v>20277</v>
      </c>
      <c r="D383" cm="1">
        <f t="array" ref="D383">IFERROR(IF(SUMPRODUCT((expected_production[Site Name]=A383)*(expected_production[Date]=B383)*ISNUMBER(expected_production[Expected Production (kWh)]))=0,"",SUMIFS(expected_production[Expected Production (kWh)],expected_production[Site Name],A383,expected_production[Date],B383)),"")</f>
        <v>20503.8</v>
      </c>
      <c r="E383" s="9">
        <f t="shared" si="12"/>
        <v>0.98893863576507768</v>
      </c>
      <c r="F383" t="str">
        <f t="shared" si="13"/>
        <v>Expected</v>
      </c>
    </row>
    <row r="384" spans="1:6" ht="15" hidden="1" customHeight="1" x14ac:dyDescent="0.3">
      <c r="A384" t="s">
        <v>80</v>
      </c>
      <c r="B384" s="2">
        <v>45962</v>
      </c>
      <c r="C384" cm="1">
        <f t="array" ref="C384">IFERROR(IF(SUMPRODUCT((measured[Site Name]=A384)*(measured[Date]=B384)*ISNUMBER(measured[Measured Value (kWh)]))=0,"",SUMIFS(measured[Measured Value (kWh)],measured[Site Name],A384,measured[Date],B384)),"")</f>
        <v>15371</v>
      </c>
      <c r="D384" cm="1">
        <f t="array" ref="D384">IFERROR(IF(SUMPRODUCT((expected_production[Site Name]=A384)*(expected_production[Date]=B384)*ISNUMBER(expected_production[Expected Production (kWh)]))=0,"",SUMIFS(expected_production[Expected Production (kWh)],expected_production[Site Name],A384,expected_production[Date],B384)),"")</f>
        <v>20601</v>
      </c>
      <c r="E384" s="9">
        <f t="shared" si="12"/>
        <v>0.74612882869763608</v>
      </c>
      <c r="F384" t="str">
        <f t="shared" si="13"/>
        <v>Moderate</v>
      </c>
    </row>
    <row r="385" spans="1:7" ht="15" hidden="1" customHeight="1" x14ac:dyDescent="0.3">
      <c r="A385" t="s">
        <v>80</v>
      </c>
      <c r="B385" s="2">
        <v>45992</v>
      </c>
      <c r="C385" cm="1">
        <f t="array" ref="C385">IFERROR(IF(SUMPRODUCT((measured[Site Name]=A385)*(measured[Date]=B385)*ISNUMBER(measured[Measured Value (kWh)]))=0,"",SUMIFS(measured[Measured Value (kWh)],measured[Site Name],A385,measured[Date],B385)),"")</f>
        <v>13568</v>
      </c>
      <c r="D385" cm="1">
        <f t="array" ref="D385">IFERROR(IF(SUMPRODUCT((expected_production[Site Name]=A385)*(expected_production[Date]=B385)*ISNUMBER(expected_production[Expected Production (kWh)]))=0,"",SUMIFS(expected_production[Expected Production (kWh)],expected_production[Site Name],A385,expected_production[Date],B385)),"")</f>
        <v>22024.799999999999</v>
      </c>
      <c r="E385" s="9">
        <f t="shared" si="12"/>
        <v>0.61603283571246958</v>
      </c>
      <c r="F385" t="str">
        <f t="shared" si="13"/>
        <v>Poor</v>
      </c>
    </row>
    <row r="386" spans="1:7" ht="15" hidden="1" customHeight="1" x14ac:dyDescent="0.3">
      <c r="A386" t="s">
        <v>80</v>
      </c>
      <c r="B386" s="2">
        <v>46023</v>
      </c>
      <c r="C386" cm="1">
        <f t="array" ref="C386">IFERROR(IF(SUMPRODUCT((measured[Site Name]=A386)*(measured[Date]=B386)*ISNUMBER(measured[Measured Value (kWh)]))=0,"",SUMIFS(measured[Measured Value (kWh)],measured[Site Name],A386,measured[Date],B386)),"")</f>
        <v>21287</v>
      </c>
      <c r="D386" cm="1">
        <f t="array" ref="D386">IFERROR(IF(SUMPRODUCT((expected_production[Site Name]=A386)*(expected_production[Date]=B386)*ISNUMBER(expected_production[Expected Production (kWh)]))=0,"",SUMIFS(expected_production[Expected Production (kWh)],expected_production[Site Name],A386,expected_production[Date],B386)),"")</f>
        <v>21105</v>
      </c>
      <c r="E386" s="9">
        <f t="shared" si="12"/>
        <v>1.0086235489220563</v>
      </c>
      <c r="F386" t="str">
        <f t="shared" si="13"/>
        <v>Expected</v>
      </c>
    </row>
    <row r="387" spans="1:7" ht="15" hidden="1" customHeight="1" x14ac:dyDescent="0.3">
      <c r="A387" t="s">
        <v>80</v>
      </c>
      <c r="B387" s="2">
        <v>46054</v>
      </c>
      <c r="C387" cm="1">
        <f t="array" ref="C387">IFERROR(IF(SUMPRODUCT((measured[Site Name]=A387)*(measured[Date]=B387)*ISNUMBER(measured[Measured Value (kWh)]))=0,"",SUMIFS(measured[Measured Value (kWh)],measured[Site Name],A387,measured[Date],B387)),"")</f>
        <v>19200</v>
      </c>
      <c r="D387" cm="1">
        <f t="array" ref="D387">IFERROR(IF(SUMPRODUCT((expected_production[Site Name]=A387)*(expected_production[Date]=B387)*ISNUMBER(expected_production[Expected Production (kWh)]))=0,"",SUMIFS(expected_production[Expected Production (kWh)],expected_production[Site Name],A387,expected_production[Date],B387)),"")</f>
        <v>18220.5</v>
      </c>
      <c r="E387" s="9">
        <f t="shared" si="12"/>
        <v>1.0537581295793199</v>
      </c>
      <c r="F387" t="str">
        <f t="shared" si="13"/>
        <v>Expected</v>
      </c>
    </row>
    <row r="388" spans="1:7" ht="15" hidden="1" customHeight="1" x14ac:dyDescent="0.3">
      <c r="A388" t="s">
        <v>80</v>
      </c>
      <c r="B388" s="2">
        <v>46082</v>
      </c>
      <c r="C388" cm="1">
        <f t="array" ref="C388">IFERROR(IF(SUMPRODUCT((measured[Site Name]=A388)*(measured[Date]=B388)*ISNUMBER(measured[Measured Value (kWh)]))=0,"",SUMIFS(measured[Measured Value (kWh)],measured[Site Name],A388,measured[Date],B388)),"")</f>
        <v>16030</v>
      </c>
      <c r="D388" cm="1">
        <f t="array" ref="D388">IFERROR(IF(SUMPRODUCT((expected_production[Site Name]=A388)*(expected_production[Date]=B388)*ISNUMBER(expected_production[Expected Production (kWh)]))=0,"",SUMIFS(expected_production[Expected Production (kWh)],expected_production[Site Name],A388,expected_production[Date],B388)),"")</f>
        <v>18368.099999999999</v>
      </c>
      <c r="E388" s="9">
        <f t="shared" si="12"/>
        <v>0.87270866338924558</v>
      </c>
      <c r="F388" t="str">
        <f t="shared" si="13"/>
        <v>Moderate</v>
      </c>
    </row>
    <row r="389" spans="1:7" ht="15" hidden="1" customHeight="1" x14ac:dyDescent="0.3">
      <c r="A389" t="s">
        <v>80</v>
      </c>
      <c r="B389" s="2">
        <v>46113</v>
      </c>
      <c r="C389" cm="1">
        <f t="array" ref="C389">IFERROR(IF(SUMPRODUCT((measured[Site Name]=A389)*(measured[Date]=B389)*ISNUMBER(measured[Measured Value (kWh)]))=0,"",SUMIFS(measured[Measured Value (kWh)],measured[Site Name],A389,measured[Date],B389)),"")</f>
        <v>13700</v>
      </c>
      <c r="D389" cm="1">
        <f t="array" ref="D389">IFERROR(IF(SUMPRODUCT((expected_production[Site Name]=A389)*(expected_production[Date]=B389)*ISNUMBER(expected_production[Expected Production (kWh)]))=0,"",SUMIFS(expected_production[Expected Production (kWh)],expected_production[Site Name],A389,expected_production[Date],B389)),"")</f>
        <v>15103.8</v>
      </c>
      <c r="E389" s="9">
        <f t="shared" si="12"/>
        <v>0.90705650233716018</v>
      </c>
      <c r="F389" t="str">
        <f t="shared" si="13"/>
        <v>Expected</v>
      </c>
    </row>
    <row r="390" spans="1:7" ht="15" hidden="1" customHeight="1" x14ac:dyDescent="0.3">
      <c r="A390" t="s">
        <v>80</v>
      </c>
      <c r="B390" s="2">
        <v>46143</v>
      </c>
      <c r="C390" cm="1">
        <f t="array" ref="C390">IFERROR(IF(SUMPRODUCT((measured[Site Name]=A390)*(measured[Date]=B390)*ISNUMBER(measured[Measured Value (kWh)]))=0,"",SUMIFS(measured[Measured Value (kWh)],measured[Site Name],A390,measured[Date],B390)),"")</f>
        <v>13287</v>
      </c>
      <c r="D390" cm="1">
        <f t="array" ref="D390">IFERROR(IF(SUMPRODUCT((expected_production[Site Name]=A390)*(expected_production[Date]=B390)*ISNUMBER(expected_production[Expected Production (kWh)]))=0,"",SUMIFS(expected_production[Expected Production (kWh)],expected_production[Site Name],A390,expected_production[Date],B390)),"")</f>
        <v>14130</v>
      </c>
      <c r="E390" s="9">
        <f t="shared" si="12"/>
        <v>0.94033970276008494</v>
      </c>
      <c r="F390" t="str">
        <f t="shared" si="13"/>
        <v>Expected</v>
      </c>
    </row>
    <row r="391" spans="1:7" ht="15" hidden="1" customHeight="1" x14ac:dyDescent="0.3">
      <c r="A391" t="s">
        <v>80</v>
      </c>
      <c r="B391" s="2">
        <v>46174</v>
      </c>
      <c r="C391" cm="1">
        <f t="array" ref="C391">IFERROR(IF(SUMPRODUCT((measured[Site Name]=A391)*(measured[Date]=B391)*ISNUMBER(measured[Measured Value (kWh)]))=0,"",SUMIFS(measured[Measured Value (kWh)],measured[Site Name],A391,measured[Date],B391)),"")</f>
        <v>10602.24</v>
      </c>
      <c r="D391" cm="1">
        <f t="array" ref="D391">IFERROR(IF(SUMPRODUCT((expected_production[Site Name]=A391)*(expected_production[Date]=B391)*ISNUMBER(expected_production[Expected Production (kWh)]))=0,"",SUMIFS(expected_production[Expected Production (kWh)],expected_production[Site Name],A391,expected_production[Date],B391)),"")</f>
        <v>12619.8</v>
      </c>
      <c r="E391" s="9">
        <f t="shared" si="12"/>
        <v>0.84012741881804787</v>
      </c>
      <c r="F391" t="str">
        <f t="shared" si="13"/>
        <v>Moderate</v>
      </c>
    </row>
    <row r="392" spans="1:7" ht="15" hidden="1" customHeight="1" x14ac:dyDescent="0.3">
      <c r="A392" t="s">
        <v>251</v>
      </c>
      <c r="B392" s="2">
        <v>46204</v>
      </c>
      <c r="C392" cm="1">
        <f t="array" ref="C392">IFERROR(IF(SUMPRODUCT((measured[Site Name]=A392)*(measured[Date]=B392)*ISNUMBER(measured[Measured Value (kWh)]))=0,"",SUMIFS(measured[Measured Value (kWh)],measured[Site Name],A392,measured[Date],B392)),"")</f>
        <v>16617.160800000001</v>
      </c>
      <c r="D392" cm="1">
        <f t="array" ref="D392">IFERROR(IF(SUMPRODUCT((expected_production[Site Name]=A392)*(expected_production[Date]=B392)*ISNUMBER(expected_production[Expected Production (kWh)]))=0,"",SUMIFS(expected_production[Expected Production (kWh)],expected_production[Site Name],A392,expected_production[Date],B392)),"")</f>
        <v>18234.678845348881</v>
      </c>
      <c r="E392" s="9">
        <f t="shared" si="12"/>
        <v>0.91129440452078703</v>
      </c>
      <c r="F392" t="str">
        <f t="shared" si="13"/>
        <v>Expected</v>
      </c>
      <c r="G392" t="s">
        <v>875</v>
      </c>
    </row>
    <row r="393" spans="1:7" ht="15" hidden="1" customHeight="1" x14ac:dyDescent="0.3">
      <c r="A393" t="s">
        <v>80</v>
      </c>
      <c r="B393" s="2">
        <v>46235</v>
      </c>
      <c r="C393" cm="1">
        <f t="array" ref="C393">IFERROR(IF(SUMPRODUCT((measured[Site Name]=A393)*(measured[Date]=B393)*ISNUMBER(measured[Measured Value (kWh)]))=0,"",SUMIFS(measured[Measured Value (kWh)],measured[Site Name],A393,measured[Date],B393)),"")</f>
        <v>18200</v>
      </c>
      <c r="D393" cm="1">
        <f t="array" ref="D393">IFERROR(IF(SUMPRODUCT((expected_production[Site Name]=A393)*(expected_production[Date]=B393)*ISNUMBER(expected_production[Expected Production (kWh)]))=0,"",SUMIFS(expected_production[Expected Production (kWh)],expected_production[Site Name],A393,expected_production[Date],B393)),"")</f>
        <v>16641.900000000001</v>
      </c>
      <c r="E393" s="9">
        <f t="shared" si="12"/>
        <v>1.0936251269386308</v>
      </c>
      <c r="F393" t="str">
        <f t="shared" si="13"/>
        <v>Expected</v>
      </c>
      <c r="G393" t="s">
        <v>874</v>
      </c>
    </row>
    <row r="394" spans="1:7" ht="15" customHeight="1" x14ac:dyDescent="0.3">
      <c r="A394" t="s">
        <v>199</v>
      </c>
      <c r="B394" s="2">
        <v>46266</v>
      </c>
      <c r="C394" cm="1">
        <f t="array" ref="C394">IFERROR(IF(SUMPRODUCT((measured[Site Name]=A394)*(measured[Date]=B394)*ISNUMBER(measured[Measured Value (kWh)]))=0,"",SUMIFS(measured[Measured Value (kWh)],measured[Site Name],A394,measured[Date],B394)),"")</f>
        <v>2619.92</v>
      </c>
      <c r="D394" cm="1">
        <f t="array" ref="D394">IFERROR(IF(SUMPRODUCT((expected_production[Site Name]=A394)*(expected_production[Date]=B394)*ISNUMBER(expected_production[Expected Production (kWh)]))=0,"",SUMIFS(expected_production[Expected Production (kWh)],expected_production[Site Name],A394,expected_production[Date],B394)),"")</f>
        <v>3588.8101474897517</v>
      </c>
      <c r="E394" s="9">
        <f t="shared" si="12"/>
        <v>0.7300246857116538</v>
      </c>
      <c r="F394" t="str">
        <f t="shared" si="13"/>
        <v>Moderate</v>
      </c>
      <c r="G394" t="s">
        <v>874</v>
      </c>
    </row>
    <row r="395" spans="1:7" ht="15" hidden="1" customHeight="1" x14ac:dyDescent="0.3">
      <c r="A395" t="s">
        <v>80</v>
      </c>
      <c r="B395" s="2">
        <v>46296</v>
      </c>
      <c r="C395" t="str" cm="1">
        <f t="array" ref="C395">IFERROR(IF(SUMPRODUCT((measured[Site Name]=A395)*(measured[Date]=B395)*ISNUMBER(measured[Measured Value (kWh)]))=0,"",SUMIFS(measured[Measured Value (kWh)],measured[Site Name],A395,measured[Date],B395)),"")</f>
        <v/>
      </c>
      <c r="D395" cm="1">
        <f t="array" ref="D395">IFERROR(IF(SUMPRODUCT((expected_production[Site Name]=A395)*(expected_production[Date]=B395)*ISNUMBER(expected_production[Expected Production (kWh)]))=0,"",SUMIFS(expected_production[Expected Production (kWh)],expected_production[Site Name],A395,expected_production[Date],B395)),"")</f>
        <v>20503.8</v>
      </c>
      <c r="E395" s="9" t="str">
        <f t="shared" si="12"/>
        <v/>
      </c>
      <c r="F395" t="str">
        <f t="shared" si="13"/>
        <v/>
      </c>
    </row>
    <row r="396" spans="1:7" ht="15" hidden="1" customHeight="1" x14ac:dyDescent="0.3">
      <c r="A396" t="s">
        <v>80</v>
      </c>
      <c r="B396" s="2">
        <v>46327</v>
      </c>
      <c r="C396" t="str" cm="1">
        <f t="array" ref="C396">IFERROR(IF(SUMPRODUCT((measured[Site Name]=A396)*(measured[Date]=B396)*ISNUMBER(measured[Measured Value (kWh)]))=0,"",SUMIFS(measured[Measured Value (kWh)],measured[Site Name],A396,measured[Date],B396)),"")</f>
        <v/>
      </c>
      <c r="D396" cm="1">
        <f t="array" ref="D396">IFERROR(IF(SUMPRODUCT((expected_production[Site Name]=A396)*(expected_production[Date]=B396)*ISNUMBER(expected_production[Expected Production (kWh)]))=0,"",SUMIFS(expected_production[Expected Production (kWh)],expected_production[Site Name],A396,expected_production[Date],B396)),"")</f>
        <v>20601</v>
      </c>
      <c r="E396" s="9" t="str">
        <f t="shared" si="12"/>
        <v/>
      </c>
      <c r="F396" t="str">
        <f t="shared" si="13"/>
        <v/>
      </c>
    </row>
    <row r="397" spans="1:7" ht="15" hidden="1" customHeight="1" x14ac:dyDescent="0.3">
      <c r="A397" t="s">
        <v>80</v>
      </c>
      <c r="B397" s="2">
        <v>46357</v>
      </c>
      <c r="C397" t="str" cm="1">
        <f t="array" ref="C397">IFERROR(IF(SUMPRODUCT((measured[Site Name]=A397)*(measured[Date]=B397)*ISNUMBER(measured[Measured Value (kWh)]))=0,"",SUMIFS(measured[Measured Value (kWh)],measured[Site Name],A397,measured[Date],B397)),"")</f>
        <v/>
      </c>
      <c r="D397" cm="1">
        <f t="array" ref="D397">IFERROR(IF(SUMPRODUCT((expected_production[Site Name]=A397)*(expected_production[Date]=B397)*ISNUMBER(expected_production[Expected Production (kWh)]))=0,"",SUMIFS(expected_production[Expected Production (kWh)],expected_production[Site Name],A397,expected_production[Date],B397)),"")</f>
        <v>22024.799999999999</v>
      </c>
      <c r="E397" s="9" t="str">
        <f t="shared" si="12"/>
        <v/>
      </c>
      <c r="F397" t="str">
        <f t="shared" si="13"/>
        <v/>
      </c>
    </row>
    <row r="398" spans="1:7" ht="15" hidden="1" customHeight="1" x14ac:dyDescent="0.3">
      <c r="A398" t="s">
        <v>81</v>
      </c>
      <c r="B398" s="2">
        <v>45292</v>
      </c>
      <c r="C398" t="str" cm="1">
        <f t="array" ref="C398">IFERROR(IF(SUMPRODUCT((measured[Site Name]=A398)*(measured[Date]=B398)*ISNUMBER(measured[Measured Value (kWh)]))=0,"",SUMIFS(measured[Measured Value (kWh)],measured[Site Name],A398,measured[Date],B398)),"")</f>
        <v/>
      </c>
      <c r="D398" cm="1">
        <f t="array" ref="D398">IFERROR(IF(SUMPRODUCT((expected_production[Site Name]=A398)*(expected_production[Date]=B398)*ISNUMBER(expected_production[Expected Production (kWh)]))=0,"",SUMIFS(expected_production[Expected Production (kWh)],expected_production[Site Name],A398,expected_production[Date],B398)),"")</f>
        <v>8664.2999999999993</v>
      </c>
      <c r="E398" s="9" t="str">
        <f t="shared" si="12"/>
        <v/>
      </c>
      <c r="F398" t="str">
        <f t="shared" si="13"/>
        <v/>
      </c>
    </row>
    <row r="399" spans="1:7" ht="15" hidden="1" customHeight="1" x14ac:dyDescent="0.3">
      <c r="A399" t="s">
        <v>81</v>
      </c>
      <c r="B399" s="2">
        <v>45323</v>
      </c>
      <c r="C399" t="str" cm="1">
        <f t="array" ref="C399">IFERROR(IF(SUMPRODUCT((measured[Site Name]=A399)*(measured[Date]=B399)*ISNUMBER(measured[Measured Value (kWh)]))=0,"",SUMIFS(measured[Measured Value (kWh)],measured[Site Name],A399,measured[Date],B399)),"")</f>
        <v/>
      </c>
      <c r="D399" cm="1">
        <f t="array" ref="D399">IFERROR(IF(SUMPRODUCT((expected_production[Site Name]=A399)*(expected_production[Date]=B399)*ISNUMBER(expected_production[Expected Production (kWh)]))=0,"",SUMIFS(expected_production[Expected Production (kWh)],expected_production[Site Name],A399,expected_production[Date],B399)),"")</f>
        <v>8100</v>
      </c>
      <c r="E399" s="9" t="str">
        <f t="shared" si="12"/>
        <v/>
      </c>
      <c r="F399" t="str">
        <f t="shared" si="13"/>
        <v/>
      </c>
    </row>
    <row r="400" spans="1:7" ht="15" hidden="1" customHeight="1" x14ac:dyDescent="0.3">
      <c r="A400" t="s">
        <v>81</v>
      </c>
      <c r="B400" s="2">
        <v>45352</v>
      </c>
      <c r="C400" t="str" cm="1">
        <f t="array" ref="C400">IFERROR(IF(SUMPRODUCT((measured[Site Name]=A400)*(measured[Date]=B400)*ISNUMBER(measured[Measured Value (kWh)]))=0,"",SUMIFS(measured[Measured Value (kWh)],measured[Site Name],A400,measured[Date],B400)),"")</f>
        <v/>
      </c>
      <c r="D400" cm="1">
        <f t="array" ref="D400">IFERROR(IF(SUMPRODUCT((expected_production[Site Name]=A400)*(expected_production[Date]=B400)*ISNUMBER(expected_production[Expected Production (kWh)]))=0,"",SUMIFS(expected_production[Expected Production (kWh)],expected_production[Site Name],A400,expected_production[Date],B400)),"")</f>
        <v>7805.7</v>
      </c>
      <c r="E400" s="9" t="str">
        <f t="shared" si="12"/>
        <v/>
      </c>
      <c r="F400" t="str">
        <f t="shared" si="13"/>
        <v/>
      </c>
    </row>
    <row r="401" spans="1:6" ht="15" hidden="1" customHeight="1" x14ac:dyDescent="0.3">
      <c r="A401" t="s">
        <v>81</v>
      </c>
      <c r="B401" s="2">
        <v>45383</v>
      </c>
      <c r="C401" t="str" cm="1">
        <f t="array" ref="C401">IFERROR(IF(SUMPRODUCT((measured[Site Name]=A401)*(measured[Date]=B401)*ISNUMBER(measured[Measured Value (kWh)]))=0,"",SUMIFS(measured[Measured Value (kWh)],measured[Site Name],A401,measured[Date],B401)),"")</f>
        <v/>
      </c>
      <c r="D401" cm="1">
        <f t="array" ref="D401">IFERROR(IF(SUMPRODUCT((expected_production[Site Name]=A401)*(expected_production[Date]=B401)*ISNUMBER(expected_production[Expected Production (kWh)]))=0,"",SUMIFS(expected_production[Expected Production (kWh)],expected_production[Site Name],A401,expected_production[Date],B401)),"")</f>
        <v>6534</v>
      </c>
      <c r="E401" s="9" t="str">
        <f t="shared" si="12"/>
        <v/>
      </c>
      <c r="F401" t="str">
        <f t="shared" si="13"/>
        <v/>
      </c>
    </row>
    <row r="402" spans="1:6" ht="15" hidden="1" customHeight="1" x14ac:dyDescent="0.3">
      <c r="A402" t="s">
        <v>81</v>
      </c>
      <c r="B402" s="2">
        <v>45413</v>
      </c>
      <c r="C402" t="str" cm="1">
        <f t="array" ref="C402">IFERROR(IF(SUMPRODUCT((measured[Site Name]=A402)*(measured[Date]=B402)*ISNUMBER(measured[Measured Value (kWh)]))=0,"",SUMIFS(measured[Measured Value (kWh)],measured[Site Name],A402,measured[Date],B402)),"")</f>
        <v/>
      </c>
      <c r="D402" cm="1">
        <f t="array" ref="D402">IFERROR(IF(SUMPRODUCT((expected_production[Site Name]=A402)*(expected_production[Date]=B402)*ISNUMBER(expected_production[Expected Production (kWh)]))=0,"",SUMIFS(expected_production[Expected Production (kWh)],expected_production[Site Name],A402,expected_production[Date],B402)),"")</f>
        <v>5592.6</v>
      </c>
      <c r="E402" s="9" t="str">
        <f t="shared" si="12"/>
        <v/>
      </c>
      <c r="F402" t="str">
        <f t="shared" si="13"/>
        <v/>
      </c>
    </row>
    <row r="403" spans="1:6" ht="15" hidden="1" customHeight="1" x14ac:dyDescent="0.3">
      <c r="A403" t="s">
        <v>81</v>
      </c>
      <c r="B403" s="2">
        <v>45444</v>
      </c>
      <c r="C403" t="str" cm="1">
        <f t="array" ref="C403">IFERROR(IF(SUMPRODUCT((measured[Site Name]=A403)*(measured[Date]=B403)*ISNUMBER(measured[Measured Value (kWh)]))=0,"",SUMIFS(measured[Measured Value (kWh)],measured[Site Name],A403,measured[Date],B403)),"")</f>
        <v/>
      </c>
      <c r="D403" cm="1">
        <f t="array" ref="D403">IFERROR(IF(SUMPRODUCT((expected_production[Site Name]=A403)*(expected_production[Date]=B403)*ISNUMBER(expected_production[Expected Production (kWh)]))=0,"",SUMIFS(expected_production[Expected Production (kWh)],expected_production[Site Name],A403,expected_production[Date],B403)),"")</f>
        <v>5059.8</v>
      </c>
      <c r="E403" s="9" t="str">
        <f t="shared" si="12"/>
        <v/>
      </c>
      <c r="F403" t="str">
        <f t="shared" si="13"/>
        <v/>
      </c>
    </row>
    <row r="404" spans="1:6" ht="15" hidden="1" customHeight="1" x14ac:dyDescent="0.3">
      <c r="A404" t="s">
        <v>81</v>
      </c>
      <c r="B404" s="2">
        <v>45474</v>
      </c>
      <c r="C404" t="str" cm="1">
        <f t="array" ref="C404">IFERROR(IF(SUMPRODUCT((measured[Site Name]=A404)*(measured[Date]=B404)*ISNUMBER(measured[Measured Value (kWh)]))=0,"",SUMIFS(measured[Measured Value (kWh)],measured[Site Name],A404,measured[Date],B404)),"")</f>
        <v/>
      </c>
      <c r="D404" cm="1">
        <f t="array" ref="D404">IFERROR(IF(SUMPRODUCT((expected_production[Site Name]=A404)*(expected_production[Date]=B404)*ISNUMBER(expected_production[Expected Production (kWh)]))=0,"",SUMIFS(expected_production[Expected Production (kWh)],expected_production[Site Name],A404,expected_production[Date],B404)),"")</f>
        <v>5371.7900546589817</v>
      </c>
      <c r="E404" s="9" t="str">
        <f t="shared" si="12"/>
        <v/>
      </c>
      <c r="F404" t="str">
        <f t="shared" si="13"/>
        <v/>
      </c>
    </row>
    <row r="405" spans="1:6" ht="15" hidden="1" customHeight="1" x14ac:dyDescent="0.3">
      <c r="A405" t="s">
        <v>81</v>
      </c>
      <c r="B405" s="2">
        <v>45505</v>
      </c>
      <c r="C405" t="str" cm="1">
        <f t="array" ref="C405">IFERROR(IF(SUMPRODUCT((measured[Site Name]=A405)*(measured[Date]=B405)*ISNUMBER(measured[Measured Value (kWh)]))=0,"",SUMIFS(measured[Measured Value (kWh)],measured[Site Name],A405,measured[Date],B405)),"")</f>
        <v/>
      </c>
      <c r="D405" cm="1">
        <f t="array" ref="D405">IFERROR(IF(SUMPRODUCT((expected_production[Site Name]=A405)*(expected_production[Date]=B405)*ISNUMBER(expected_production[Expected Production (kWh)]))=0,"",SUMIFS(expected_production[Expected Production (kWh)],expected_production[Site Name],A405,expected_production[Date],B405)),"")</f>
        <v>6481.1605843598109</v>
      </c>
      <c r="E405" s="9" t="str">
        <f t="shared" si="12"/>
        <v/>
      </c>
      <c r="F405" t="str">
        <f t="shared" si="13"/>
        <v/>
      </c>
    </row>
    <row r="406" spans="1:6" ht="15" hidden="1" customHeight="1" x14ac:dyDescent="0.3">
      <c r="A406" t="s">
        <v>81</v>
      </c>
      <c r="B406" s="2">
        <v>45536</v>
      </c>
      <c r="C406" t="str" cm="1">
        <f t="array" ref="C406">IFERROR(IF(SUMPRODUCT((measured[Site Name]=A406)*(measured[Date]=B406)*ISNUMBER(measured[Measured Value (kWh)]))=0,"",SUMIFS(measured[Measured Value (kWh)],measured[Site Name],A406,measured[Date],B406)),"")</f>
        <v/>
      </c>
      <c r="D406" cm="1">
        <f t="array" ref="D406">IFERROR(IF(SUMPRODUCT((expected_production[Site Name]=A406)*(expected_production[Date]=B406)*ISNUMBER(expected_production[Expected Production (kWh)]))=0,"",SUMIFS(expected_production[Expected Production (kWh)],expected_production[Site Name],A406,expected_production[Date],B406)),"")</f>
        <v>6906.0613163681255</v>
      </c>
      <c r="E406" s="9" t="str">
        <f t="shared" ref="E406:E469" si="14">IF(OR(C406="",D406="",D406=0),"",C406/D406)</f>
        <v/>
      </c>
      <c r="F406" t="str">
        <f t="shared" ref="F406:F469" si="15">IF(E406="","",IF(E406&gt;=0.9,"Expected",IF(E406&gt;=0.7,"Moderate","Poor")))</f>
        <v/>
      </c>
    </row>
    <row r="407" spans="1:6" ht="15" hidden="1" customHeight="1" x14ac:dyDescent="0.3">
      <c r="A407" t="s">
        <v>81</v>
      </c>
      <c r="B407" s="2">
        <v>45566</v>
      </c>
      <c r="C407" t="str" cm="1">
        <f t="array" ref="C407">IFERROR(IF(SUMPRODUCT((measured[Site Name]=A407)*(measured[Date]=B407)*ISNUMBER(measured[Measured Value (kWh)]))=0,"",SUMIFS(measured[Measured Value (kWh)],measured[Site Name],A407,measured[Date],B407)),"")</f>
        <v/>
      </c>
      <c r="D407" cm="1">
        <f t="array" ref="D407">IFERROR(IF(SUMPRODUCT((expected_production[Site Name]=A407)*(expected_production[Date]=B407)*ISNUMBER(expected_production[Expected Production (kWh)]))=0,"",SUMIFS(expected_production[Expected Production (kWh)],expected_production[Site Name],A407,expected_production[Date],B407)),"")</f>
        <v>8018.735792003773</v>
      </c>
      <c r="E407" s="9" t="str">
        <f t="shared" si="14"/>
        <v/>
      </c>
      <c r="F407" t="str">
        <f t="shared" si="15"/>
        <v/>
      </c>
    </row>
    <row r="408" spans="1:6" ht="15" hidden="1" customHeight="1" x14ac:dyDescent="0.3">
      <c r="A408" t="s">
        <v>81</v>
      </c>
      <c r="B408" s="2">
        <v>45597</v>
      </c>
      <c r="C408" t="str" cm="1">
        <f t="array" ref="C408">IFERROR(IF(SUMPRODUCT((measured[Site Name]=A408)*(measured[Date]=B408)*ISNUMBER(measured[Measured Value (kWh)]))=0,"",SUMIFS(measured[Measured Value (kWh)],measured[Site Name],A408,measured[Date],B408)),"")</f>
        <v/>
      </c>
      <c r="D408" cm="1">
        <f t="array" ref="D408">IFERROR(IF(SUMPRODUCT((expected_production[Site Name]=A408)*(expected_production[Date]=B408)*ISNUMBER(expected_production[Expected Production (kWh)]))=0,"",SUMIFS(expected_production[Expected Production (kWh)],expected_production[Site Name],A408,expected_production[Date],B408)),"")</f>
        <v>7993.306525441717</v>
      </c>
      <c r="E408" s="9" t="str">
        <f t="shared" si="14"/>
        <v/>
      </c>
      <c r="F408" t="str">
        <f t="shared" si="15"/>
        <v/>
      </c>
    </row>
    <row r="409" spans="1:6" ht="15" hidden="1" customHeight="1" x14ac:dyDescent="0.3">
      <c r="A409" t="s">
        <v>81</v>
      </c>
      <c r="B409" s="2">
        <v>45627</v>
      </c>
      <c r="C409" t="str" cm="1">
        <f t="array" ref="C409">IFERROR(IF(SUMPRODUCT((measured[Site Name]=A409)*(measured[Date]=B409)*ISNUMBER(measured[Measured Value (kWh)]))=0,"",SUMIFS(measured[Measured Value (kWh)],measured[Site Name],A409,measured[Date],B409)),"")</f>
        <v/>
      </c>
      <c r="D409" cm="1">
        <f t="array" ref="D409">IFERROR(IF(SUMPRODUCT((expected_production[Site Name]=A409)*(expected_production[Date]=B409)*ISNUMBER(expected_production[Expected Production (kWh)]))=0,"",SUMIFS(expected_production[Expected Production (kWh)],expected_production[Site Name],A409,expected_production[Date],B409)),"")</f>
        <v>8521.6944262435154</v>
      </c>
      <c r="E409" s="9" t="str">
        <f t="shared" si="14"/>
        <v/>
      </c>
      <c r="F409" t="str">
        <f t="shared" si="15"/>
        <v/>
      </c>
    </row>
    <row r="410" spans="1:6" ht="15" hidden="1" customHeight="1" x14ac:dyDescent="0.3">
      <c r="A410" t="s">
        <v>81</v>
      </c>
      <c r="B410" s="2">
        <v>45658</v>
      </c>
      <c r="C410" cm="1">
        <f t="array" ref="C410">IFERROR(IF(SUMPRODUCT((measured[Site Name]=A410)*(measured[Date]=B410)*ISNUMBER(measured[Measured Value (kWh)]))=0,"",SUMIFS(measured[Measured Value (kWh)],measured[Site Name],A410,measured[Date],B410)),"")</f>
        <v>8900</v>
      </c>
      <c r="D410" cm="1">
        <f t="array" ref="D410">IFERROR(IF(SUMPRODUCT((expected_production[Site Name]=A410)*(expected_production[Date]=B410)*ISNUMBER(expected_production[Expected Production (kWh)]))=0,"",SUMIFS(expected_production[Expected Production (kWh)],expected_production[Site Name],A410,expected_production[Date],B410)),"")</f>
        <v>8633.1952538683454</v>
      </c>
      <c r="E410" s="9">
        <f t="shared" si="14"/>
        <v>1.030904518927926</v>
      </c>
      <c r="F410" t="str">
        <f t="shared" si="15"/>
        <v>Expected</v>
      </c>
    </row>
    <row r="411" spans="1:6" ht="15" hidden="1" customHeight="1" x14ac:dyDescent="0.3">
      <c r="A411" t="s">
        <v>81</v>
      </c>
      <c r="B411" s="2">
        <v>45689</v>
      </c>
      <c r="C411" cm="1">
        <f t="array" ref="C411">IFERROR(IF(SUMPRODUCT((measured[Site Name]=A411)*(measured[Date]=B411)*ISNUMBER(measured[Measured Value (kWh)]))=0,"",SUMIFS(measured[Measured Value (kWh)],measured[Site Name],A411,measured[Date],B411)),"")</f>
        <v>5390</v>
      </c>
      <c r="D411" cm="1">
        <f t="array" ref="D411">IFERROR(IF(SUMPRODUCT((expected_production[Site Name]=A411)*(expected_production[Date]=B411)*ISNUMBER(expected_production[Expected Production (kWh)]))=0,"",SUMIFS(expected_production[Expected Production (kWh)],expected_production[Site Name],A411,expected_production[Date],B411)),"")</f>
        <v>8066.1106135647369</v>
      </c>
      <c r="E411" s="9">
        <f t="shared" si="14"/>
        <v>0.66822788060154603</v>
      </c>
      <c r="F411" t="str">
        <f t="shared" si="15"/>
        <v>Poor</v>
      </c>
    </row>
    <row r="412" spans="1:6" ht="15" hidden="1" customHeight="1" x14ac:dyDescent="0.3">
      <c r="A412" t="s">
        <v>81</v>
      </c>
      <c r="B412" s="2">
        <v>45717</v>
      </c>
      <c r="C412" cm="1">
        <f t="array" ref="C412">IFERROR(IF(SUMPRODUCT((measured[Site Name]=A412)*(measured[Date]=B412)*ISNUMBER(measured[Measured Value (kWh)]))=0,"",SUMIFS(measured[Measured Value (kWh)],measured[Site Name],A412,measured[Date],B412)),"")</f>
        <v>5378</v>
      </c>
      <c r="D412" cm="1">
        <f t="array" ref="D412">IFERROR(IF(SUMPRODUCT((expected_production[Site Name]=A412)*(expected_production[Date]=B412)*ISNUMBER(expected_production[Expected Production (kWh)]))=0,"",SUMIFS(expected_production[Expected Production (kWh)],expected_production[Site Name],A412,expected_production[Date],B412)),"")</f>
        <v>7768.8572271571275</v>
      </c>
      <c r="E412" s="9">
        <f t="shared" si="14"/>
        <v>0.69225110498883269</v>
      </c>
      <c r="F412" t="str">
        <f t="shared" si="15"/>
        <v>Poor</v>
      </c>
    </row>
    <row r="413" spans="1:6" ht="15" hidden="1" customHeight="1" x14ac:dyDescent="0.3">
      <c r="A413" t="s">
        <v>81</v>
      </c>
      <c r="B413" s="2">
        <v>45748</v>
      </c>
      <c r="C413" cm="1">
        <f t="array" ref="C413">IFERROR(IF(SUMPRODUCT((measured[Site Name]=A413)*(measured[Date]=B413)*ISNUMBER(measured[Measured Value (kWh)]))=0,"",SUMIFS(measured[Measured Value (kWh)],measured[Site Name],A413,measured[Date],B413)),"")</f>
        <v>3410</v>
      </c>
      <c r="D413" cm="1">
        <f t="array" ref="D413">IFERROR(IF(SUMPRODUCT((expected_production[Site Name]=A413)*(expected_production[Date]=B413)*ISNUMBER(expected_production[Expected Production (kWh)]))=0,"",SUMIFS(expected_production[Expected Production (kWh)],expected_production[Site Name],A413,expected_production[Date],B413)),"")</f>
        <v>6499.2835835504202</v>
      </c>
      <c r="E413" s="9">
        <f t="shared" si="14"/>
        <v>0.52467321300314607</v>
      </c>
      <c r="F413" t="str">
        <f t="shared" si="15"/>
        <v>Poor</v>
      </c>
    </row>
    <row r="414" spans="1:6" ht="15" hidden="1" customHeight="1" x14ac:dyDescent="0.3">
      <c r="A414" t="s">
        <v>81</v>
      </c>
      <c r="B414" s="2">
        <v>45778</v>
      </c>
      <c r="C414" cm="1">
        <f t="array" ref="C414">IFERROR(IF(SUMPRODUCT((measured[Site Name]=A414)*(measured[Date]=B414)*ISNUMBER(measured[Measured Value (kWh)]))=0,"",SUMIFS(measured[Measured Value (kWh)],measured[Site Name],A414,measured[Date],B414)),"")</f>
        <v>3628</v>
      </c>
      <c r="D414" cm="1">
        <f t="array" ref="D414">IFERROR(IF(SUMPRODUCT((expected_production[Site Name]=A414)*(expected_production[Date]=B414)*ISNUMBER(expected_production[Expected Production (kWh)]))=0,"",SUMIFS(expected_production[Expected Production (kWh)],expected_production[Site Name],A414,expected_production[Date],B414)),"")</f>
        <v>5559.6767307455766</v>
      </c>
      <c r="E414" s="9">
        <f t="shared" si="14"/>
        <v>0.65255592648701888</v>
      </c>
      <c r="F414" t="str">
        <f t="shared" si="15"/>
        <v>Poor</v>
      </c>
    </row>
    <row r="415" spans="1:6" ht="15" hidden="1" customHeight="1" x14ac:dyDescent="0.3">
      <c r="A415" t="s">
        <v>81</v>
      </c>
      <c r="B415" s="2">
        <v>45809</v>
      </c>
      <c r="C415" cm="1">
        <f t="array" ref="C415">IFERROR(IF(SUMPRODUCT((measured[Site Name]=A415)*(measured[Date]=B415)*ISNUMBER(measured[Measured Value (kWh)]))=0,"",SUMIFS(measured[Measured Value (kWh)],measured[Site Name],A415,measured[Date],B415)),"")</f>
        <v>5836</v>
      </c>
      <c r="D415" cm="1">
        <f t="array" ref="D415">IFERROR(IF(SUMPRODUCT((expected_production[Site Name]=A415)*(expected_production[Date]=B415)*ISNUMBER(expected_production[Expected Production (kWh)]))=0,"",SUMIFS(expected_production[Expected Production (kWh)],expected_production[Site Name],A415,expected_production[Date],B415)),"")</f>
        <v>5027.01527531387</v>
      </c>
      <c r="E415" s="9">
        <f t="shared" si="14"/>
        <v>1.1609274450902916</v>
      </c>
      <c r="F415" t="str">
        <f t="shared" si="15"/>
        <v>Expected</v>
      </c>
    </row>
    <row r="416" spans="1:6" ht="15" hidden="1" customHeight="1" x14ac:dyDescent="0.3">
      <c r="A416" t="s">
        <v>81</v>
      </c>
      <c r="B416" s="2">
        <v>45839</v>
      </c>
      <c r="C416" cm="1">
        <f t="array" ref="C416">IFERROR(IF(SUMPRODUCT((measured[Site Name]=A416)*(measured[Date]=B416)*ISNUMBER(measured[Measured Value (kWh)]))=0,"",SUMIFS(measured[Measured Value (kWh)],measured[Site Name],A416,measured[Date],B416)),"")</f>
        <v>6830</v>
      </c>
      <c r="D416" cm="1">
        <f t="array" ref="D416">IFERROR(IF(SUMPRODUCT((expected_production[Site Name]=A416)*(expected_production[Date]=B416)*ISNUMBER(expected_production[Expected Production (kWh)]))=0,"",SUMIFS(expected_production[Expected Production (kWh)],expected_production[Site Name],A416,expected_production[Date],B416)),"")</f>
        <v>5334.2131715750957</v>
      </c>
      <c r="E416" s="9">
        <f t="shared" si="14"/>
        <v>1.2804137705623837</v>
      </c>
      <c r="F416" t="str">
        <f t="shared" si="15"/>
        <v>Expected</v>
      </c>
    </row>
    <row r="417" spans="1:7" ht="15" hidden="1" customHeight="1" x14ac:dyDescent="0.3">
      <c r="A417" t="s">
        <v>81</v>
      </c>
      <c r="B417" s="2">
        <v>45870</v>
      </c>
      <c r="C417" cm="1">
        <f t="array" ref="C417">IFERROR(IF(SUMPRODUCT((measured[Site Name]=A417)*(measured[Date]=B417)*ISNUMBER(measured[Measured Value (kWh)]))=0,"",SUMIFS(measured[Measured Value (kWh)],measured[Site Name],A417,measured[Date],B417)),"")</f>
        <v>7659</v>
      </c>
      <c r="D417" cm="1">
        <f t="array" ref="D417">IFERROR(IF(SUMPRODUCT((expected_production[Site Name]=A417)*(expected_production[Date]=B417)*ISNUMBER(expected_production[Expected Production (kWh)]))=0,"",SUMIFS(expected_production[Expected Production (kWh)],expected_production[Site Name],A417,expected_production[Date],B417)),"")</f>
        <v>6435.8234041929973</v>
      </c>
      <c r="E417" s="9">
        <f t="shared" si="14"/>
        <v>1.1900575138544187</v>
      </c>
      <c r="F417" t="str">
        <f t="shared" si="15"/>
        <v>Expected</v>
      </c>
    </row>
    <row r="418" spans="1:7" ht="15" hidden="1" customHeight="1" x14ac:dyDescent="0.3">
      <c r="A418" t="s">
        <v>81</v>
      </c>
      <c r="B418" s="2">
        <v>45901</v>
      </c>
      <c r="C418" cm="1">
        <f t="array" ref="C418">IFERROR(IF(SUMPRODUCT((measured[Site Name]=A418)*(measured[Date]=B418)*ISNUMBER(measured[Measured Value (kWh)]))=0,"",SUMIFS(measured[Measured Value (kWh)],measured[Site Name],A418,measured[Date],B418)),"")</f>
        <v>5799</v>
      </c>
      <c r="D418" cm="1">
        <f t="array" ref="D418">IFERROR(IF(SUMPRODUCT((expected_production[Site Name]=A418)*(expected_production[Date]=B418)*ISNUMBER(expected_production[Expected Production (kWh)]))=0,"",SUMIFS(expected_production[Expected Production (kWh)],expected_production[Site Name],A418,expected_production[Date],B418)),"")</f>
        <v>6857.7518597410481</v>
      </c>
      <c r="E418" s="9">
        <f t="shared" si="14"/>
        <v>0.84561239872843297</v>
      </c>
      <c r="F418" t="str">
        <f t="shared" si="15"/>
        <v>Moderate</v>
      </c>
    </row>
    <row r="419" spans="1:7" ht="15" hidden="1" customHeight="1" x14ac:dyDescent="0.3">
      <c r="A419" t="s">
        <v>81</v>
      </c>
      <c r="B419" s="2">
        <v>45931</v>
      </c>
      <c r="C419" cm="1">
        <f t="array" ref="C419">IFERROR(IF(SUMPRODUCT((measured[Site Name]=A419)*(measured[Date]=B419)*ISNUMBER(measured[Measured Value (kWh)]))=0,"",SUMIFS(measured[Measured Value (kWh)],measured[Site Name],A419,measured[Date],B419)),"")</f>
        <v>6484.6</v>
      </c>
      <c r="D419" cm="1">
        <f t="array" ref="D419">IFERROR(IF(SUMPRODUCT((expected_production[Site Name]=A419)*(expected_production[Date]=B419)*ISNUMBER(expected_production[Expected Production (kWh)]))=0,"",SUMIFS(expected_production[Expected Production (kWh)],expected_production[Site Name],A419,expected_production[Date],B419)),"")</f>
        <v>7962.6429264467215</v>
      </c>
      <c r="E419" s="9">
        <f t="shared" si="14"/>
        <v>0.81437784663963475</v>
      </c>
      <c r="F419" t="str">
        <f t="shared" si="15"/>
        <v>Moderate</v>
      </c>
    </row>
    <row r="420" spans="1:7" ht="15" hidden="1" customHeight="1" x14ac:dyDescent="0.3">
      <c r="A420" t="s">
        <v>81</v>
      </c>
      <c r="B420" s="2">
        <v>45962</v>
      </c>
      <c r="C420" cm="1">
        <f t="array" ref="C420">IFERROR(IF(SUMPRODUCT((measured[Site Name]=A420)*(measured[Date]=B420)*ISNUMBER(measured[Measured Value (kWh)]))=0,"",SUMIFS(measured[Measured Value (kWh)],measured[Site Name],A420,measured[Date],B420)),"")</f>
        <v>7636</v>
      </c>
      <c r="D420" cm="1">
        <f t="array" ref="D420">IFERROR(IF(SUMPRODUCT((expected_production[Site Name]=A420)*(expected_production[Date]=B420)*ISNUMBER(expected_production[Expected Production (kWh)]))=0,"",SUMIFS(expected_production[Expected Production (kWh)],expected_production[Site Name],A420,expected_production[Date],B420)),"")</f>
        <v>7937.391543340048</v>
      </c>
      <c r="E420" s="9">
        <f t="shared" si="14"/>
        <v>0.962028893031876</v>
      </c>
      <c r="F420" t="str">
        <f t="shared" si="15"/>
        <v>Expected</v>
      </c>
    </row>
    <row r="421" spans="1:7" ht="15" hidden="1" customHeight="1" x14ac:dyDescent="0.3">
      <c r="A421" t="s">
        <v>81</v>
      </c>
      <c r="B421" s="2">
        <v>45992</v>
      </c>
      <c r="C421" cm="1">
        <f t="array" ref="C421">IFERROR(IF(SUMPRODUCT((measured[Site Name]=A421)*(measured[Date]=B421)*ISNUMBER(measured[Measured Value (kWh)]))=0,"",SUMIFS(measured[Measured Value (kWh)],measured[Site Name],A421,measured[Date],B421)),"")</f>
        <v>7000</v>
      </c>
      <c r="D421" cm="1">
        <f t="array" ref="D421">IFERROR(IF(SUMPRODUCT((expected_production[Site Name]=A421)*(expected_production[Date]=B421)*ISNUMBER(expected_production[Expected Production (kWh)]))=0,"",SUMIFS(expected_production[Expected Production (kWh)],expected_production[Site Name],A421,expected_production[Date],B421)),"")</f>
        <v>8462.0832515934871</v>
      </c>
      <c r="E421" s="9">
        <f t="shared" si="14"/>
        <v>0.82721946734355711</v>
      </c>
      <c r="F421" t="str">
        <f t="shared" si="15"/>
        <v>Moderate</v>
      </c>
    </row>
    <row r="422" spans="1:7" ht="15" hidden="1" customHeight="1" x14ac:dyDescent="0.3">
      <c r="A422" t="s">
        <v>81</v>
      </c>
      <c r="B422" s="2">
        <v>46023</v>
      </c>
      <c r="C422" cm="1">
        <f t="array" ref="C422">IFERROR(IF(SUMPRODUCT((measured[Site Name]=A422)*(measured[Date]=B422)*ISNUMBER(measured[Measured Value (kWh)]))=0,"",SUMIFS(measured[Measured Value (kWh)],measured[Site Name],A422,measured[Date],B422)),"")</f>
        <v>6305</v>
      </c>
      <c r="D422" cm="1">
        <f t="array" ref="D422">IFERROR(IF(SUMPRODUCT((expected_production[Site Name]=A422)*(expected_production[Date]=B422)*ISNUMBER(expected_production[Expected Production (kWh)]))=0,"",SUMIFS(expected_production[Expected Production (kWh)],expected_production[Site Name],A422,expected_production[Date],B422)),"")</f>
        <v>8572.8041057791525</v>
      </c>
      <c r="E422" s="9">
        <f t="shared" si="14"/>
        <v>0.73546530659083109</v>
      </c>
      <c r="F422" t="str">
        <f t="shared" si="15"/>
        <v>Moderate</v>
      </c>
    </row>
    <row r="423" spans="1:7" ht="15" hidden="1" customHeight="1" x14ac:dyDescent="0.3">
      <c r="A423" t="s">
        <v>81</v>
      </c>
      <c r="B423" s="2">
        <v>46054</v>
      </c>
      <c r="C423" cm="1">
        <f t="array" ref="C423">IFERROR(IF(SUMPRODUCT((measured[Site Name]=A423)*(measured[Date]=B423)*ISNUMBER(measured[Measured Value (kWh)]))=0,"",SUMIFS(measured[Measured Value (kWh)],measured[Site Name],A423,measured[Date],B423)),"")</f>
        <v>4373.4359000000004</v>
      </c>
      <c r="D423" cm="1">
        <f t="array" ref="D423">IFERROR(IF(SUMPRODUCT((expected_production[Site Name]=A423)*(expected_production[Date]=B423)*ISNUMBER(expected_production[Expected Production (kWh)]))=0,"",SUMIFS(expected_production[Expected Production (kWh)],expected_production[Site Name],A423,expected_production[Date],B423)),"")</f>
        <v>8009.6863504450848</v>
      </c>
      <c r="E423" s="9">
        <f t="shared" si="14"/>
        <v>0.54601837183761581</v>
      </c>
      <c r="F423" t="str">
        <f t="shared" si="15"/>
        <v>Poor</v>
      </c>
    </row>
    <row r="424" spans="1:7" ht="15" hidden="1" customHeight="1" x14ac:dyDescent="0.3">
      <c r="A424" t="s">
        <v>81</v>
      </c>
      <c r="B424" s="2">
        <v>46082</v>
      </c>
      <c r="C424" cm="1">
        <f t="array" ref="C424">IFERROR(IF(SUMPRODUCT((measured[Site Name]=A424)*(measured[Date]=B424)*ISNUMBER(measured[Measured Value (kWh)]))=0,"",SUMIFS(measured[Measured Value (kWh)],measured[Site Name],A424,measured[Date],B424)),"")</f>
        <v>4958</v>
      </c>
      <c r="D424" cm="1">
        <f t="array" ref="D424">IFERROR(IF(SUMPRODUCT((expected_production[Site Name]=A424)*(expected_production[Date]=B424)*ISNUMBER(expected_production[Expected Production (kWh)]))=0,"",SUMIFS(expected_production[Expected Production (kWh)],expected_production[Site Name],A424,expected_production[Date],B424)),"")</f>
        <v>7714.5123185233488</v>
      </c>
      <c r="E424" s="9">
        <f t="shared" si="14"/>
        <v>0.64268482507900404</v>
      </c>
      <c r="F424" t="str">
        <f t="shared" si="15"/>
        <v>Poor</v>
      </c>
    </row>
    <row r="425" spans="1:7" ht="15" hidden="1" customHeight="1" x14ac:dyDescent="0.3">
      <c r="A425" t="s">
        <v>81</v>
      </c>
      <c r="B425" s="2">
        <v>46113</v>
      </c>
      <c r="C425" cm="1">
        <f t="array" ref="C425">IFERROR(IF(SUMPRODUCT((measured[Site Name]=A425)*(measured[Date]=B425)*ISNUMBER(measured[Measured Value (kWh)]))=0,"",SUMIFS(measured[Measured Value (kWh)],measured[Site Name],A425,measured[Date],B425)),"")</f>
        <v>6980.52</v>
      </c>
      <c r="D425" cm="1">
        <f t="array" ref="D425">IFERROR(IF(SUMPRODUCT((expected_production[Site Name]=A425)*(expected_production[Date]=B425)*ISNUMBER(expected_production[Expected Production (kWh)]))=0,"",SUMIFS(expected_production[Expected Production (kWh)],expected_production[Site Name],A425,expected_production[Date],B425)),"")</f>
        <v>6453.8196289164762</v>
      </c>
      <c r="E425" s="9">
        <f t="shared" si="14"/>
        <v>1.0816106432109804</v>
      </c>
      <c r="F425" t="str">
        <f t="shared" si="15"/>
        <v>Expected</v>
      </c>
    </row>
    <row r="426" spans="1:7" ht="15" hidden="1" customHeight="1" x14ac:dyDescent="0.3">
      <c r="A426" t="s">
        <v>81</v>
      </c>
      <c r="B426" s="2">
        <v>46143</v>
      </c>
      <c r="C426" cm="1">
        <f t="array" ref="C426">IFERROR(IF(SUMPRODUCT((measured[Site Name]=A426)*(measured[Date]=B426)*ISNUMBER(measured[Measured Value (kWh)]))=0,"",SUMIFS(measured[Measured Value (kWh)],measured[Site Name],A426,measured[Date],B426)),"")</f>
        <v>6633.98</v>
      </c>
      <c r="D426" cm="1">
        <f t="array" ref="D426">IFERROR(IF(SUMPRODUCT((expected_production[Site Name]=A426)*(expected_production[Date]=B426)*ISNUMBER(expected_production[Expected Production (kWh)]))=0,"",SUMIFS(expected_production[Expected Production (kWh)],expected_production[Site Name],A426,expected_production[Date],B426)),"")</f>
        <v>5520.7855379830762</v>
      </c>
      <c r="E426" s="9">
        <f t="shared" si="14"/>
        <v>1.2016369689346074</v>
      </c>
      <c r="F426" t="str">
        <f t="shared" si="15"/>
        <v>Expected</v>
      </c>
    </row>
    <row r="427" spans="1:7" ht="15" hidden="1" customHeight="1" x14ac:dyDescent="0.3">
      <c r="A427" t="s">
        <v>81</v>
      </c>
      <c r="B427" s="2">
        <v>46174</v>
      </c>
      <c r="C427" cm="1">
        <f t="array" ref="C427">IFERROR(IF(SUMPRODUCT((measured[Site Name]=A427)*(measured[Date]=B427)*ISNUMBER(measured[Measured Value (kWh)]))=0,"",SUMIFS(measured[Measured Value (kWh)],measured[Site Name],A427,measured[Date],B427)),"")</f>
        <v>5387.22</v>
      </c>
      <c r="D427" cm="1">
        <f t="array" ref="D427">IFERROR(IF(SUMPRODUCT((expected_production[Site Name]=A427)*(expected_production[Date]=B427)*ISNUMBER(expected_production[Expected Production (kWh)]))=0,"",SUMIFS(expected_production[Expected Production (kWh)],expected_production[Site Name],A427,expected_production[Date],B427)),"")</f>
        <v>4991.8501695782979</v>
      </c>
      <c r="E427" s="9">
        <f t="shared" si="14"/>
        <v>1.079203064393077</v>
      </c>
      <c r="F427" t="str">
        <f t="shared" si="15"/>
        <v>Expected</v>
      </c>
    </row>
    <row r="428" spans="1:7" ht="15" hidden="1" customHeight="1" x14ac:dyDescent="0.3">
      <c r="A428" t="s">
        <v>77</v>
      </c>
      <c r="B428" s="2">
        <v>46204</v>
      </c>
      <c r="C428" cm="1">
        <f t="array" ref="C428">IFERROR(IF(SUMPRODUCT((measured[Site Name]=A428)*(measured[Date]=B428)*ISNUMBER(measured[Measured Value (kWh)]))=0,"",SUMIFS(measured[Measured Value (kWh)],measured[Site Name],A428,measured[Date],B428)),"")</f>
        <v>16600</v>
      </c>
      <c r="D428" cm="1">
        <f t="array" ref="D428">IFERROR(IF(SUMPRODUCT((expected_production[Site Name]=A428)*(expected_production[Date]=B428)*ISNUMBER(expected_production[Expected Production (kWh)]))=0,"",SUMIFS(expected_production[Expected Production (kWh)],expected_production[Site Name],A428,expected_production[Date],B428)),"")</f>
        <v>14002.2</v>
      </c>
      <c r="E428" s="9">
        <f t="shared" si="14"/>
        <v>1.1855279884589565</v>
      </c>
      <c r="F428" t="str">
        <f t="shared" si="15"/>
        <v>Expected</v>
      </c>
      <c r="G428" t="s">
        <v>874</v>
      </c>
    </row>
    <row r="429" spans="1:7" ht="15" hidden="1" customHeight="1" x14ac:dyDescent="0.3">
      <c r="A429" t="s">
        <v>81</v>
      </c>
      <c r="B429" s="2">
        <v>46235</v>
      </c>
      <c r="C429" cm="1">
        <f t="array" ref="C429">IFERROR(IF(SUMPRODUCT((measured[Site Name]=A429)*(measured[Date]=B429)*ISNUMBER(measured[Measured Value (kWh)]))=0,"",SUMIFS(measured[Measured Value (kWh)],measured[Site Name],A429,measured[Date],B429)),"")</f>
        <v>6595.107</v>
      </c>
      <c r="D429" cm="1">
        <f t="array" ref="D429">IFERROR(IF(SUMPRODUCT((expected_production[Site Name]=A429)*(expected_production[Date]=B429)*ISNUMBER(expected_production[Expected Production (kWh)]))=0,"",SUMIFS(expected_production[Expected Production (kWh)],expected_production[Site Name],A429,expected_production[Date],B429)),"")</f>
        <v>6390.8033678276242</v>
      </c>
      <c r="E429" s="9">
        <f t="shared" si="14"/>
        <v>1.0319683802510455</v>
      </c>
      <c r="F429" t="str">
        <f t="shared" si="15"/>
        <v>Expected</v>
      </c>
      <c r="G429" t="s">
        <v>874</v>
      </c>
    </row>
    <row r="430" spans="1:7" ht="15" customHeight="1" x14ac:dyDescent="0.3">
      <c r="A430" t="s">
        <v>211</v>
      </c>
      <c r="B430" s="2">
        <v>46266</v>
      </c>
      <c r="C430" cm="1">
        <f t="array" ref="C430">IFERROR(IF(SUMPRODUCT((measured[Site Name]=A430)*(measured[Date]=B430)*ISNUMBER(measured[Measured Value (kWh)]))=0,"",SUMIFS(measured[Measured Value (kWh)],measured[Site Name],A430,measured[Date],B430)),"")</f>
        <v>3820.9749139999999</v>
      </c>
      <c r="D430" cm="1">
        <f t="array" ref="D430">IFERROR(IF(SUMPRODUCT((expected_production[Site Name]=A430)*(expected_production[Date]=B430)*ISNUMBER(expected_production[Expected Production (kWh)]))=0,"",SUMIFS(expected_production[Expected Production (kWh)],expected_production[Site Name],A430,expected_production[Date],B430)),"")</f>
        <v>5210.7544290851401</v>
      </c>
      <c r="E430" s="9">
        <f t="shared" si="14"/>
        <v>0.73328631506260677</v>
      </c>
      <c r="F430" t="str">
        <f t="shared" si="15"/>
        <v>Moderate</v>
      </c>
      <c r="G430" t="s">
        <v>874</v>
      </c>
    </row>
    <row r="431" spans="1:7" ht="15" hidden="1" customHeight="1" x14ac:dyDescent="0.3">
      <c r="A431" t="s">
        <v>81</v>
      </c>
      <c r="B431" s="2">
        <v>46296</v>
      </c>
      <c r="C431" t="str" cm="1">
        <f t="array" ref="C431">IFERROR(IF(SUMPRODUCT((measured[Site Name]=A431)*(measured[Date]=B431)*ISNUMBER(measured[Measured Value (kWh)]))=0,"",SUMIFS(measured[Measured Value (kWh)],measured[Site Name],A431,measured[Date],B431)),"")</f>
        <v/>
      </c>
      <c r="D431" cm="1">
        <f t="array" ref="D431">IFERROR(IF(SUMPRODUCT((expected_production[Site Name]=A431)*(expected_production[Date]=B431)*ISNUMBER(expected_production[Expected Production (kWh)]))=0,"",SUMIFS(expected_production[Expected Production (kWh)],expected_production[Site Name],A431,expected_production[Date],B431)),"")</f>
        <v>7906.9424431364505</v>
      </c>
      <c r="E431" s="9" t="str">
        <f t="shared" si="14"/>
        <v/>
      </c>
      <c r="F431" t="str">
        <f t="shared" si="15"/>
        <v/>
      </c>
    </row>
    <row r="432" spans="1:7" ht="15" hidden="1" customHeight="1" x14ac:dyDescent="0.3">
      <c r="A432" t="s">
        <v>81</v>
      </c>
      <c r="B432" s="2">
        <v>46327</v>
      </c>
      <c r="C432" t="str" cm="1">
        <f t="array" ref="C432">IFERROR(IF(SUMPRODUCT((measured[Site Name]=A432)*(measured[Date]=B432)*ISNUMBER(measured[Measured Value (kWh)]))=0,"",SUMIFS(measured[Measured Value (kWh)],measured[Site Name],A432,measured[Date],B432)),"")</f>
        <v/>
      </c>
      <c r="D432" cm="1">
        <f t="array" ref="D432">IFERROR(IF(SUMPRODUCT((expected_production[Site Name]=A432)*(expected_production[Date]=B432)*ISNUMBER(expected_production[Expected Production (kWh)]))=0,"",SUMIFS(expected_production[Expected Production (kWh)],expected_production[Site Name],A432,expected_production[Date],B432)),"")</f>
        <v>7881.8676991502653</v>
      </c>
      <c r="E432" s="9" t="str">
        <f t="shared" si="14"/>
        <v/>
      </c>
      <c r="F432" t="str">
        <f t="shared" si="15"/>
        <v/>
      </c>
    </row>
    <row r="433" spans="1:6" ht="15" hidden="1" customHeight="1" x14ac:dyDescent="0.3">
      <c r="A433" t="s">
        <v>81</v>
      </c>
      <c r="B433" s="2">
        <v>46357</v>
      </c>
      <c r="C433" t="str" cm="1">
        <f t="array" ref="C433">IFERROR(IF(SUMPRODUCT((measured[Site Name]=A433)*(measured[Date]=B433)*ISNUMBER(measured[Measured Value (kWh)]))=0,"",SUMIFS(measured[Measured Value (kWh)],measured[Site Name],A433,measured[Date],B433)),"")</f>
        <v/>
      </c>
      <c r="D433" cm="1">
        <f t="array" ref="D433">IFERROR(IF(SUMPRODUCT((expected_production[Site Name]=A433)*(expected_production[Date]=B433)*ISNUMBER(expected_production[Expected Production (kWh)]))=0,"",SUMIFS(expected_production[Expected Production (kWh)],expected_production[Site Name],A433,expected_production[Date],B433)),"")</f>
        <v>8402.8890705559315</v>
      </c>
      <c r="E433" s="9" t="str">
        <f t="shared" si="14"/>
        <v/>
      </c>
      <c r="F433" t="str">
        <f t="shared" si="15"/>
        <v/>
      </c>
    </row>
    <row r="434" spans="1:6" ht="15" hidden="1" customHeight="1" x14ac:dyDescent="0.3">
      <c r="A434" t="s">
        <v>85</v>
      </c>
      <c r="B434" s="2">
        <v>45292</v>
      </c>
      <c r="C434" cm="1">
        <f t="array" ref="C434">IFERROR(IF(SUMPRODUCT((measured[Site Name]=A434)*(measured[Date]=B434)*ISNUMBER(measured[Measured Value (kWh)]))=0,"",SUMIFS(measured[Measured Value (kWh)],measured[Site Name],A434,measured[Date],B434)),"")</f>
        <v>3578</v>
      </c>
      <c r="D434" cm="1">
        <f t="array" ref="D434">IFERROR(IF(SUMPRODUCT((expected_production[Site Name]=A434)*(expected_production[Date]=B434)*ISNUMBER(expected_production[Expected Production (kWh)]))=0,"",SUMIFS(expected_production[Expected Production (kWh)],expected_production[Site Name],A434,expected_production[Date],B434)),"")</f>
        <v>5698.072798844687</v>
      </c>
      <c r="E434" s="9">
        <f t="shared" si="14"/>
        <v>0.62793160535356052</v>
      </c>
      <c r="F434" t="str">
        <f t="shared" si="15"/>
        <v>Poor</v>
      </c>
    </row>
    <row r="435" spans="1:6" ht="15" hidden="1" customHeight="1" x14ac:dyDescent="0.3">
      <c r="A435" t="s">
        <v>85</v>
      </c>
      <c r="B435" s="2">
        <v>45323</v>
      </c>
      <c r="C435" cm="1">
        <f t="array" ref="C435">IFERROR(IF(SUMPRODUCT((measured[Site Name]=A435)*(measured[Date]=B435)*ISNUMBER(measured[Measured Value (kWh)]))=0,"",SUMIFS(measured[Measured Value (kWh)],measured[Site Name],A435,measured[Date],B435)),"")</f>
        <v>3594</v>
      </c>
      <c r="D435" cm="1">
        <f t="array" ref="D435">IFERROR(IF(SUMPRODUCT((expected_production[Site Name]=A435)*(expected_production[Date]=B435)*ISNUMBER(expected_production[Expected Production (kWh)]))=0,"",SUMIFS(expected_production[Expected Production (kWh)],expected_production[Site Name],A435,expected_production[Date],B435)),"")</f>
        <v>4767.7808962866084</v>
      </c>
      <c r="E435" s="9">
        <f t="shared" si="14"/>
        <v>0.75380980757718774</v>
      </c>
      <c r="F435" t="str">
        <f t="shared" si="15"/>
        <v>Moderate</v>
      </c>
    </row>
    <row r="436" spans="1:6" ht="15" hidden="1" customHeight="1" x14ac:dyDescent="0.3">
      <c r="A436" t="s">
        <v>85</v>
      </c>
      <c r="B436" s="2">
        <v>45352</v>
      </c>
      <c r="C436" cm="1">
        <f t="array" ref="C436">IFERROR(IF(SUMPRODUCT((measured[Site Name]=A436)*(measured[Date]=B436)*ISNUMBER(measured[Measured Value (kWh)]))=0,"",SUMIFS(measured[Measured Value (kWh)],measured[Site Name],A436,measured[Date],B436)),"")</f>
        <v>3674</v>
      </c>
      <c r="D436" cm="1">
        <f t="array" ref="D436">IFERROR(IF(SUMPRODUCT((expected_production[Site Name]=A436)*(expected_production[Date]=B436)*ISNUMBER(expected_production[Expected Production (kWh)]))=0,"",SUMIFS(expected_production[Expected Production (kWh)],expected_production[Site Name],A436,expected_production[Date],B436)),"")</f>
        <v>4848.6120289080909</v>
      </c>
      <c r="E436" s="9">
        <f t="shared" si="14"/>
        <v>0.75774262368180989</v>
      </c>
      <c r="F436" t="str">
        <f t="shared" si="15"/>
        <v>Moderate</v>
      </c>
    </row>
    <row r="437" spans="1:6" ht="15" hidden="1" customHeight="1" x14ac:dyDescent="0.3">
      <c r="A437" t="s">
        <v>85</v>
      </c>
      <c r="B437" s="2">
        <v>45383</v>
      </c>
      <c r="C437" cm="1">
        <f t="array" ref="C437">IFERROR(IF(SUMPRODUCT((measured[Site Name]=A437)*(measured[Date]=B437)*ISNUMBER(measured[Measured Value (kWh)]))=0,"",SUMIFS(measured[Measured Value (kWh)],measured[Site Name],A437,measured[Date],B437)),"")</f>
        <v>3533</v>
      </c>
      <c r="D437" cm="1">
        <f t="array" ref="D437">IFERROR(IF(SUMPRODUCT((expected_production[Site Name]=A437)*(expected_production[Date]=B437)*ISNUMBER(expected_production[Expected Production (kWh)]))=0,"",SUMIFS(expected_production[Expected Production (kWh)],expected_production[Site Name],A437,expected_production[Date],B437)),"")</f>
        <v>4092.9885990737762</v>
      </c>
      <c r="E437" s="9">
        <f t="shared" si="14"/>
        <v>0.86318344517243495</v>
      </c>
      <c r="F437" t="str">
        <f t="shared" si="15"/>
        <v>Moderate</v>
      </c>
    </row>
    <row r="438" spans="1:6" ht="15" hidden="1" customHeight="1" x14ac:dyDescent="0.3">
      <c r="A438" t="s">
        <v>85</v>
      </c>
      <c r="B438" s="2">
        <v>45413</v>
      </c>
      <c r="C438" cm="1">
        <f t="array" ref="C438">IFERROR(IF(SUMPRODUCT((measured[Site Name]=A438)*(measured[Date]=B438)*ISNUMBER(measured[Measured Value (kWh)]))=0,"",SUMIFS(measured[Measured Value (kWh)],measured[Site Name],A438,measured[Date],B438)),"")</f>
        <v>3191</v>
      </c>
      <c r="D438" cm="1">
        <f t="array" ref="D438">IFERROR(IF(SUMPRODUCT((expected_production[Site Name]=A438)*(expected_production[Date]=B438)*ISNUMBER(expected_production[Expected Production (kWh)]))=0,"",SUMIFS(expected_production[Expected Production (kWh)],expected_production[Site Name],A438,expected_production[Date],B438)),"")</f>
        <v>3881.2614166993731</v>
      </c>
      <c r="E438" s="9">
        <f t="shared" si="14"/>
        <v>0.82215539161328333</v>
      </c>
      <c r="F438" t="str">
        <f t="shared" si="15"/>
        <v>Moderate</v>
      </c>
    </row>
    <row r="439" spans="1:6" ht="15" hidden="1" customHeight="1" x14ac:dyDescent="0.3">
      <c r="A439" t="s">
        <v>85</v>
      </c>
      <c r="B439" s="2">
        <v>45444</v>
      </c>
      <c r="C439" cm="1">
        <f t="array" ref="C439">IFERROR(IF(SUMPRODUCT((measured[Site Name]=A439)*(measured[Date]=B439)*ISNUMBER(measured[Measured Value (kWh)]))=0,"",SUMIFS(measured[Measured Value (kWh)],measured[Site Name],A439,measured[Date],B439)),"")</f>
        <v>2884</v>
      </c>
      <c r="D439" cm="1">
        <f t="array" ref="D439">IFERROR(IF(SUMPRODUCT((expected_production[Site Name]=A439)*(expected_production[Date]=B439)*ISNUMBER(expected_production[Expected Production (kWh)]))=0,"",SUMIFS(expected_production[Expected Production (kWh)],expected_production[Site Name],A439,expected_production[Date],B439)),"")</f>
        <v>3411.7010836351374</v>
      </c>
      <c r="E439" s="9">
        <f t="shared" si="14"/>
        <v>0.84532610838436162</v>
      </c>
      <c r="F439" t="str">
        <f t="shared" si="15"/>
        <v>Moderate</v>
      </c>
    </row>
    <row r="440" spans="1:6" ht="15" hidden="1" customHeight="1" x14ac:dyDescent="0.3">
      <c r="A440" t="s">
        <v>85</v>
      </c>
      <c r="B440" s="2">
        <v>45474</v>
      </c>
      <c r="C440" cm="1">
        <f t="array" ref="C440">IFERROR(IF(SUMPRODUCT((measured[Site Name]=A440)*(measured[Date]=B440)*ISNUMBER(measured[Measured Value (kWh)]))=0,"",SUMIFS(measured[Measured Value (kWh)],measured[Site Name],A440,measured[Date],B440)),"")</f>
        <v>3894</v>
      </c>
      <c r="D440" cm="1">
        <f t="array" ref="D440">IFERROR(IF(SUMPRODUCT((expected_production[Site Name]=A440)*(expected_production[Date]=B440)*ISNUMBER(expected_production[Expected Production (kWh)]))=0,"",SUMIFS(expected_production[Expected Production (kWh)],expected_production[Site Name],A440,expected_production[Date],B440)),"")</f>
        <v>3814.6833236232887</v>
      </c>
      <c r="E440" s="9">
        <f t="shared" si="14"/>
        <v>1.0207924668046557</v>
      </c>
      <c r="F440" t="str">
        <f t="shared" si="15"/>
        <v>Expected</v>
      </c>
    </row>
    <row r="441" spans="1:6" ht="15" hidden="1" customHeight="1" x14ac:dyDescent="0.3">
      <c r="A441" t="s">
        <v>85</v>
      </c>
      <c r="B441" s="2">
        <v>45505</v>
      </c>
      <c r="C441" cm="1">
        <f t="array" ref="C441">IFERROR(IF(SUMPRODUCT((measured[Site Name]=A441)*(measured[Date]=B441)*ISNUMBER(measured[Measured Value (kWh)]))=0,"",SUMIFS(measured[Measured Value (kWh)],measured[Site Name],A441,measured[Date],B441)),"")</f>
        <v>4058</v>
      </c>
      <c r="D441" cm="1">
        <f t="array" ref="D441">IFERROR(IF(SUMPRODUCT((expected_production[Site Name]=A441)*(expected_production[Date]=B441)*ISNUMBER(expected_production[Expected Production (kWh)]))=0,"",SUMIFS(expected_production[Expected Production (kWh)],expected_production[Site Name],A441,expected_production[Date],B441)),"")</f>
        <v>4487.2194731216714</v>
      </c>
      <c r="E441" s="9">
        <f t="shared" si="14"/>
        <v>0.90434622694684652</v>
      </c>
      <c r="F441" t="str">
        <f t="shared" si="15"/>
        <v>Expected</v>
      </c>
    </row>
    <row r="442" spans="1:6" ht="15" hidden="1" customHeight="1" x14ac:dyDescent="0.3">
      <c r="A442" t="s">
        <v>85</v>
      </c>
      <c r="B442" s="2">
        <v>45536</v>
      </c>
      <c r="C442" cm="1">
        <f t="array" ref="C442">IFERROR(IF(SUMPRODUCT((measured[Site Name]=A442)*(measured[Date]=B442)*ISNUMBER(measured[Measured Value (kWh)]))=0,"",SUMIFS(measured[Measured Value (kWh)],measured[Site Name],A442,measured[Date],B442)),"")</f>
        <v>3726</v>
      </c>
      <c r="D442" cm="1">
        <f t="array" ref="D442">IFERROR(IF(SUMPRODUCT((expected_production[Site Name]=A442)*(expected_production[Date]=B442)*ISNUMBER(expected_production[Expected Production (kWh)]))=0,"",SUMIFS(expected_production[Expected Production (kWh)],expected_production[Site Name],A442,expected_production[Date],B442)),"")</f>
        <v>4950.0809277091321</v>
      </c>
      <c r="E442" s="9">
        <f t="shared" si="14"/>
        <v>0.75271496656608616</v>
      </c>
      <c r="F442" t="str">
        <f t="shared" si="15"/>
        <v>Moderate</v>
      </c>
    </row>
    <row r="443" spans="1:6" ht="15" hidden="1" customHeight="1" x14ac:dyDescent="0.3">
      <c r="A443" t="s">
        <v>85</v>
      </c>
      <c r="B443" s="2">
        <v>45566</v>
      </c>
      <c r="C443" cm="1">
        <f t="array" ref="C443">IFERROR(IF(SUMPRODUCT((measured[Site Name]=A443)*(measured[Date]=B443)*ISNUMBER(measured[Measured Value (kWh)]))=0,"",SUMIFS(measured[Measured Value (kWh)],measured[Site Name],A443,measured[Date],B443)),"")</f>
        <v>4063</v>
      </c>
      <c r="D443" cm="1">
        <f t="array" ref="D443">IFERROR(IF(SUMPRODUCT((expected_production[Site Name]=A443)*(expected_production[Date]=B443)*ISNUMBER(expected_production[Expected Production (kWh)]))=0,"",SUMIFS(expected_production[Expected Production (kWh)],expected_production[Site Name],A443,expected_production[Date],B443)),"")</f>
        <v>5516.8687105743365</v>
      </c>
      <c r="E443" s="9">
        <f t="shared" si="14"/>
        <v>0.73646849565448858</v>
      </c>
      <c r="F443" t="str">
        <f t="shared" si="15"/>
        <v>Moderate</v>
      </c>
    </row>
    <row r="444" spans="1:6" ht="15" hidden="1" customHeight="1" x14ac:dyDescent="0.3">
      <c r="A444" t="s">
        <v>85</v>
      </c>
      <c r="B444" s="2">
        <v>45597</v>
      </c>
      <c r="C444" cm="1">
        <f t="array" ref="C444">IFERROR(IF(SUMPRODUCT((measured[Site Name]=A444)*(measured[Date]=B444)*ISNUMBER(measured[Measured Value (kWh)]))=0,"",SUMIFS(measured[Measured Value (kWh)],measured[Site Name],A444,measured[Date],B444)),"")</f>
        <v>3998</v>
      </c>
      <c r="D444" cm="1">
        <f t="array" ref="D444">IFERROR(IF(SUMPRODUCT((expected_production[Site Name]=A444)*(expected_production[Date]=B444)*ISNUMBER(expected_production[Expected Production (kWh)]))=0,"",SUMIFS(expected_production[Expected Production (kWh)],expected_production[Site Name],A444,expected_production[Date],B444)),"")</f>
        <v>5610.8217974448889</v>
      </c>
      <c r="E444" s="9">
        <f t="shared" si="14"/>
        <v>0.71255159125186407</v>
      </c>
      <c r="F444" t="str">
        <f t="shared" si="15"/>
        <v>Moderate</v>
      </c>
    </row>
    <row r="445" spans="1:6" ht="15" hidden="1" customHeight="1" x14ac:dyDescent="0.3">
      <c r="A445" t="s">
        <v>85</v>
      </c>
      <c r="B445" s="2">
        <v>45627</v>
      </c>
      <c r="C445" cm="1">
        <f t="array" ref="C445">IFERROR(IF(SUMPRODUCT((measured[Site Name]=A445)*(measured[Date]=B445)*ISNUMBER(measured[Measured Value (kWh)]))=0,"",SUMIFS(measured[Measured Value (kWh)],measured[Site Name],A445,measured[Date],B445)),"")</f>
        <v>3593</v>
      </c>
      <c r="D445" cm="1">
        <f t="array" ref="D445">IFERROR(IF(SUMPRODUCT((expected_production[Site Name]=A445)*(expected_production[Date]=B445)*ISNUMBER(expected_production[Expected Production (kWh)]))=0,"",SUMIFS(expected_production[Expected Production (kWh)],expected_production[Site Name],A445,expected_production[Date],B445)),"")</f>
        <v>5916.8110569194505</v>
      </c>
      <c r="E445" s="9">
        <f t="shared" si="14"/>
        <v>0.60725278624507439</v>
      </c>
      <c r="F445" t="str">
        <f t="shared" si="15"/>
        <v>Poor</v>
      </c>
    </row>
    <row r="446" spans="1:6" ht="15" hidden="1" customHeight="1" x14ac:dyDescent="0.3">
      <c r="A446" t="s">
        <v>85</v>
      </c>
      <c r="B446" s="2">
        <v>45658</v>
      </c>
      <c r="C446" cm="1">
        <f t="array" ref="C446">IFERROR(IF(SUMPRODUCT((measured[Site Name]=A446)*(measured[Date]=B446)*ISNUMBER(measured[Measured Value (kWh)]))=0,"",SUMIFS(measured[Measured Value (kWh)],measured[Site Name],A446,measured[Date],B446)),"")</f>
        <v>3726</v>
      </c>
      <c r="D446" cm="1">
        <f t="array" ref="D446">IFERROR(IF(SUMPRODUCT((expected_production[Site Name]=A446)*(expected_production[Date]=B446)*ISNUMBER(expected_production[Expected Production (kWh)]))=0,"",SUMIFS(expected_production[Expected Production (kWh)],expected_production[Site Name],A446,expected_production[Date],B446)),"")</f>
        <v>5658.1046746875436</v>
      </c>
      <c r="E446" s="9">
        <f t="shared" si="14"/>
        <v>0.65852440246799782</v>
      </c>
      <c r="F446" t="str">
        <f t="shared" si="15"/>
        <v>Poor</v>
      </c>
    </row>
    <row r="447" spans="1:6" ht="15" hidden="1" customHeight="1" x14ac:dyDescent="0.3">
      <c r="A447" t="s">
        <v>85</v>
      </c>
      <c r="B447" s="2">
        <v>45689</v>
      </c>
      <c r="C447" cm="1">
        <f t="array" ref="C447">IFERROR(IF(SUMPRODUCT((measured[Site Name]=A447)*(measured[Date]=B447)*ISNUMBER(measured[Measured Value (kWh)]))=0,"",SUMIFS(measured[Measured Value (kWh)],measured[Site Name],A447,measured[Date],B447)),"")</f>
        <v>3060</v>
      </c>
      <c r="D447" cm="1">
        <f t="array" ref="D447">IFERROR(IF(SUMPRODUCT((expected_production[Site Name]=A447)*(expected_production[Date]=B447)*ISNUMBER(expected_production[Expected Production (kWh)]))=0,"",SUMIFS(expected_production[Expected Production (kWh)],expected_production[Site Name],A447,expected_production[Date],B447)),"")</f>
        <v>4734.3381401927445</v>
      </c>
      <c r="E447" s="9">
        <f t="shared" si="14"/>
        <v>0.64634166580155195</v>
      </c>
      <c r="F447" t="str">
        <f t="shared" si="15"/>
        <v>Poor</v>
      </c>
    </row>
    <row r="448" spans="1:6" ht="15" hidden="1" customHeight="1" x14ac:dyDescent="0.3">
      <c r="A448" t="s">
        <v>85</v>
      </c>
      <c r="B448" s="2">
        <v>45717</v>
      </c>
      <c r="C448" cm="1">
        <f t="array" ref="C448">IFERROR(IF(SUMPRODUCT((measured[Site Name]=A448)*(measured[Date]=B448)*ISNUMBER(measured[Measured Value (kWh)]))=0,"",SUMIFS(measured[Measured Value (kWh)],measured[Site Name],A448,measured[Date],B448)),"")</f>
        <v>3350</v>
      </c>
      <c r="D448" cm="1">
        <f t="array" ref="D448">IFERROR(IF(SUMPRODUCT((expected_production[Site Name]=A448)*(expected_production[Date]=B448)*ISNUMBER(expected_production[Expected Production (kWh)]))=0,"",SUMIFS(expected_production[Expected Production (kWh)],expected_production[Site Name],A448,expected_production[Date],B448)),"")</f>
        <v>4814.6948941214514</v>
      </c>
      <c r="E448" s="9">
        <f t="shared" si="14"/>
        <v>0.69578656045063525</v>
      </c>
      <c r="F448" t="str">
        <f t="shared" si="15"/>
        <v>Poor</v>
      </c>
    </row>
    <row r="449" spans="1:7" ht="15" hidden="1" customHeight="1" x14ac:dyDescent="0.3">
      <c r="A449" t="s">
        <v>85</v>
      </c>
      <c r="B449" s="2">
        <v>45748</v>
      </c>
      <c r="C449" cm="1">
        <f t="array" ref="C449">IFERROR(IF(SUMPRODUCT((measured[Site Name]=A449)*(measured[Date]=B449)*ISNUMBER(measured[Measured Value (kWh)]))=0,"",SUMIFS(measured[Measured Value (kWh)],measured[Site Name],A449,measured[Date],B449)),"")</f>
        <v>2383</v>
      </c>
      <c r="D449" cm="1">
        <f t="array" ref="D449">IFERROR(IF(SUMPRODUCT((expected_production[Site Name]=A449)*(expected_production[Date]=B449)*ISNUMBER(expected_production[Expected Production (kWh)]))=0,"",SUMIFS(expected_production[Expected Production (kWh)],expected_production[Site Name],A449,expected_production[Date],B449)),"")</f>
        <v>4064.3572206159233</v>
      </c>
      <c r="E449" s="9">
        <f t="shared" si="14"/>
        <v>0.58631657372844648</v>
      </c>
      <c r="F449" t="str">
        <f t="shared" si="15"/>
        <v>Poor</v>
      </c>
    </row>
    <row r="450" spans="1:7" ht="15" hidden="1" customHeight="1" x14ac:dyDescent="0.3">
      <c r="A450" t="s">
        <v>85</v>
      </c>
      <c r="B450" s="2">
        <v>45778</v>
      </c>
      <c r="C450" cm="1">
        <f t="array" ref="C450">IFERROR(IF(SUMPRODUCT((measured[Site Name]=A450)*(measured[Date]=B450)*ISNUMBER(measured[Measured Value (kWh)]))=0,"",SUMIFS(measured[Measured Value (kWh)],measured[Site Name],A450,measured[Date],B450)),"")</f>
        <v>3026</v>
      </c>
      <c r="D450" cm="1">
        <f t="array" ref="D450">IFERROR(IF(SUMPRODUCT((expected_production[Site Name]=A450)*(expected_production[Date]=B450)*ISNUMBER(expected_production[Expected Production (kWh)]))=0,"",SUMIFS(expected_production[Expected Production (kWh)],expected_production[Site Name],A450,expected_production[Date],B450)),"")</f>
        <v>3854.1111176390414</v>
      </c>
      <c r="E450" s="9">
        <f t="shared" si="14"/>
        <v>0.78513564026500426</v>
      </c>
      <c r="F450" t="str">
        <f t="shared" si="15"/>
        <v>Moderate</v>
      </c>
    </row>
    <row r="451" spans="1:7" ht="15" hidden="1" customHeight="1" x14ac:dyDescent="0.3">
      <c r="A451" t="s">
        <v>85</v>
      </c>
      <c r="B451" s="2">
        <v>45809</v>
      </c>
      <c r="C451" cm="1">
        <f t="array" ref="C451">IFERROR(IF(SUMPRODUCT((measured[Site Name]=A451)*(measured[Date]=B451)*ISNUMBER(measured[Measured Value (kWh)]))=0,"",SUMIFS(measured[Measured Value (kWh)],measured[Site Name],A451,measured[Date],B451)),"")</f>
        <v>2637.9</v>
      </c>
      <c r="D451" cm="1">
        <f t="array" ref="D451">IFERROR(IF(SUMPRODUCT((expected_production[Site Name]=A451)*(expected_production[Date]=B451)*ISNUMBER(expected_production[Expected Production (kWh)]))=0,"",SUMIFS(expected_production[Expected Production (kWh)],expected_production[Site Name],A451,expected_production[Date],B451)),"")</f>
        <v>3387.8354650177953</v>
      </c>
      <c r="E451" s="9">
        <f t="shared" si="14"/>
        <v>0.77863875835721674</v>
      </c>
      <c r="F451" t="str">
        <f t="shared" si="15"/>
        <v>Moderate</v>
      </c>
    </row>
    <row r="452" spans="1:7" ht="15" hidden="1" customHeight="1" x14ac:dyDescent="0.3">
      <c r="A452" t="s">
        <v>85</v>
      </c>
      <c r="B452" s="2">
        <v>45839</v>
      </c>
      <c r="C452" cm="1">
        <f t="array" ref="C452">IFERROR(IF(SUMPRODUCT((measured[Site Name]=A452)*(measured[Date]=B452)*ISNUMBER(measured[Measured Value (kWh)]))=0,"",SUMIFS(measured[Measured Value (kWh)],measured[Site Name],A452,measured[Date],B452)),"")</f>
        <v>2506</v>
      </c>
      <c r="D452" cm="1">
        <f t="array" ref="D452">IFERROR(IF(SUMPRODUCT((expected_production[Site Name]=A452)*(expected_production[Date]=B452)*ISNUMBER(expected_production[Expected Production (kWh)]))=0,"",SUMIFS(expected_production[Expected Production (kWh)],expected_production[Site Name],A452,expected_production[Date],B452)),"")</f>
        <v>3787.9987533412623</v>
      </c>
      <c r="E452" s="9">
        <f t="shared" si="14"/>
        <v>0.66156304771471863</v>
      </c>
      <c r="F452" t="str">
        <f t="shared" si="15"/>
        <v>Poor</v>
      </c>
    </row>
    <row r="453" spans="1:7" ht="15" hidden="1" customHeight="1" x14ac:dyDescent="0.3">
      <c r="A453" t="s">
        <v>85</v>
      </c>
      <c r="B453" s="2">
        <v>45870</v>
      </c>
      <c r="C453" cm="1">
        <f t="array" ref="C453">IFERROR(IF(SUMPRODUCT((measured[Site Name]=A453)*(measured[Date]=B453)*ISNUMBER(measured[Measured Value (kWh)]))=0,"",SUMIFS(measured[Measured Value (kWh)],measured[Site Name],A453,measured[Date],B453)),"")</f>
        <v>2144</v>
      </c>
      <c r="D453" cm="1">
        <f t="array" ref="D453">IFERROR(IF(SUMPRODUCT((expected_production[Site Name]=A453)*(expected_production[Date]=B453)*ISNUMBER(expected_production[Expected Production (kWh)]))=0,"",SUMIFS(expected_production[Expected Production (kWh)],expected_production[Site Name],A453,expected_production[Date],B453)),"")</f>
        <v>4455.8303607778298</v>
      </c>
      <c r="E453" s="9">
        <f t="shared" si="14"/>
        <v>0.48116733053224531</v>
      </c>
      <c r="F453" t="str">
        <f t="shared" si="15"/>
        <v>Poor</v>
      </c>
    </row>
    <row r="454" spans="1:7" ht="15" hidden="1" customHeight="1" x14ac:dyDescent="0.3">
      <c r="A454" t="s">
        <v>85</v>
      </c>
      <c r="B454" s="2">
        <v>45901</v>
      </c>
      <c r="C454" cm="1">
        <f t="array" ref="C454">IFERROR(IF(SUMPRODUCT((measured[Site Name]=A454)*(measured[Date]=B454)*ISNUMBER(measured[Measured Value (kWh)]))=0,"",SUMIFS(measured[Measured Value (kWh)],measured[Site Name],A454,measured[Date],B454)),"")</f>
        <v>2520</v>
      </c>
      <c r="D454" cm="1">
        <f t="array" ref="D454">IFERROR(IF(SUMPRODUCT((expected_production[Site Name]=A454)*(expected_production[Date]=B454)*ISNUMBER(expected_production[Expected Production (kWh)]))=0,"",SUMIFS(expected_production[Expected Production (kWh)],expected_production[Site Name],A454,expected_production[Date],B454)),"")</f>
        <v>4915.4539950882317</v>
      </c>
      <c r="E454" s="9">
        <f t="shared" si="14"/>
        <v>0.51266882011674009</v>
      </c>
      <c r="F454" t="str">
        <f t="shared" si="15"/>
        <v>Poor</v>
      </c>
    </row>
    <row r="455" spans="1:7" ht="15" hidden="1" customHeight="1" x14ac:dyDescent="0.3">
      <c r="A455" t="s">
        <v>85</v>
      </c>
      <c r="B455" s="2">
        <v>45931</v>
      </c>
      <c r="C455" cm="1">
        <f t="array" ref="C455">IFERROR(IF(SUMPRODUCT((measured[Site Name]=A455)*(measured[Date]=B455)*ISNUMBER(measured[Measured Value (kWh)]))=0,"",SUMIFS(measured[Measured Value (kWh)],measured[Site Name],A455,measured[Date],B455)),"")</f>
        <v>2989</v>
      </c>
      <c r="D455" cm="1">
        <f t="array" ref="D455">IFERROR(IF(SUMPRODUCT((expected_production[Site Name]=A455)*(expected_production[Date]=B455)*ISNUMBER(expected_production[Expected Production (kWh)]))=0,"",SUMIFS(expected_production[Expected Production (kWh)],expected_production[Site Name],A455,expected_production[Date],B455)),"")</f>
        <v>5478.2769695686356</v>
      </c>
      <c r="E455" s="9">
        <f t="shared" si="14"/>
        <v>0.545609507625051</v>
      </c>
      <c r="F455" t="str">
        <f t="shared" si="15"/>
        <v>Poor</v>
      </c>
    </row>
    <row r="456" spans="1:7" ht="15" hidden="1" customHeight="1" x14ac:dyDescent="0.3">
      <c r="A456" t="s">
        <v>85</v>
      </c>
      <c r="B456" s="2">
        <v>45962</v>
      </c>
      <c r="C456" cm="1">
        <f t="array" ref="C456">IFERROR(IF(SUMPRODUCT((measured[Site Name]=A456)*(measured[Date]=B456)*ISNUMBER(measured[Measured Value (kWh)]))=0,"",SUMIFS(measured[Measured Value (kWh)],measured[Site Name],A456,measured[Date],B456)),"")</f>
        <v>2384</v>
      </c>
      <c r="D456" cm="1">
        <f t="array" ref="D456">IFERROR(IF(SUMPRODUCT((expected_production[Site Name]=A456)*(expected_production[Date]=B456)*ISNUMBER(expected_production[Expected Production (kWh)]))=0,"",SUMIFS(expected_production[Expected Production (kWh)],expected_production[Site Name],A456,expected_production[Date],B456)),"")</f>
        <v>5571.5728334046362</v>
      </c>
      <c r="E456" s="9">
        <f t="shared" si="14"/>
        <v>0.42788635656104357</v>
      </c>
      <c r="F456" t="str">
        <f t="shared" si="15"/>
        <v>Poor</v>
      </c>
    </row>
    <row r="457" spans="1:7" ht="15" hidden="1" customHeight="1" x14ac:dyDescent="0.3">
      <c r="A457" t="s">
        <v>85</v>
      </c>
      <c r="B457" s="2">
        <v>45992</v>
      </c>
      <c r="C457" cm="1">
        <f t="array" ref="C457">IFERROR(IF(SUMPRODUCT((measured[Site Name]=A457)*(measured[Date]=B457)*ISNUMBER(measured[Measured Value (kWh)]))=0,"",SUMIFS(measured[Measured Value (kWh)],measured[Site Name],A457,measured[Date],B457)),"")</f>
        <v>2166</v>
      </c>
      <c r="D457" cm="1">
        <f t="array" ref="D457">IFERROR(IF(SUMPRODUCT((expected_production[Site Name]=A457)*(expected_production[Date]=B457)*ISNUMBER(expected_production[Expected Production (kWh)]))=0,"",SUMIFS(expected_production[Expected Production (kWh)],expected_production[Site Name],A457,expected_production[Date],B457)),"")</f>
        <v>5875.4216289907708</v>
      </c>
      <c r="E457" s="9">
        <f t="shared" si="14"/>
        <v>0.36865439397785937</v>
      </c>
      <c r="F457" t="str">
        <f t="shared" si="15"/>
        <v>Poor</v>
      </c>
    </row>
    <row r="458" spans="1:7" ht="15" hidden="1" customHeight="1" x14ac:dyDescent="0.3">
      <c r="A458" t="s">
        <v>85</v>
      </c>
      <c r="B458" s="2">
        <v>46023</v>
      </c>
      <c r="C458" cm="1">
        <f t="array" ref="C458">IFERROR(IF(SUMPRODUCT((measured[Site Name]=A458)*(measured[Date]=B458)*ISNUMBER(measured[Measured Value (kWh)]))=0,"",SUMIFS(measured[Measured Value (kWh)],measured[Site Name],A458,measured[Date],B458)),"")</f>
        <v>2756</v>
      </c>
      <c r="D458" cm="1">
        <f t="array" ref="D458">IFERROR(IF(SUMPRODUCT((expected_production[Site Name]=A458)*(expected_production[Date]=B458)*ISNUMBER(expected_production[Expected Production (kWh)]))=0,"",SUMIFS(expected_production[Expected Production (kWh)],expected_production[Site Name],A458,expected_production[Date],B458)),"")</f>
        <v>5618.5249562559347</v>
      </c>
      <c r="E458" s="9">
        <f t="shared" si="14"/>
        <v>0.49052020262566204</v>
      </c>
      <c r="F458" t="str">
        <f t="shared" si="15"/>
        <v>Poor</v>
      </c>
    </row>
    <row r="459" spans="1:7" ht="15" hidden="1" customHeight="1" x14ac:dyDescent="0.3">
      <c r="A459" t="s">
        <v>85</v>
      </c>
      <c r="B459" s="2">
        <v>46054</v>
      </c>
      <c r="C459" cm="1">
        <f t="array" ref="C459">IFERROR(IF(SUMPRODUCT((measured[Site Name]=A459)*(measured[Date]=B459)*ISNUMBER(measured[Measured Value (kWh)]))=0,"",SUMIFS(measured[Measured Value (kWh)],measured[Site Name],A459,measured[Date],B459)),"")</f>
        <v>1526</v>
      </c>
      <c r="D459" cm="1">
        <f t="array" ref="D459">IFERROR(IF(SUMPRODUCT((expected_production[Site Name]=A459)*(expected_production[Date]=B459)*ISNUMBER(expected_production[Expected Production (kWh)]))=0,"",SUMIFS(expected_production[Expected Production (kWh)],expected_production[Site Name],A459,expected_production[Date],B459)),"")</f>
        <v>4701.2203770330862</v>
      </c>
      <c r="E459" s="9">
        <f t="shared" si="14"/>
        <v>0.32459656804326414</v>
      </c>
      <c r="F459" t="str">
        <f t="shared" si="15"/>
        <v>Poor</v>
      </c>
    </row>
    <row r="460" spans="1:7" ht="15" hidden="1" customHeight="1" x14ac:dyDescent="0.3">
      <c r="A460" t="s">
        <v>85</v>
      </c>
      <c r="B460" s="2">
        <v>46082</v>
      </c>
      <c r="C460" cm="1">
        <f t="array" ref="C460">IFERROR(IF(SUMPRODUCT((measured[Site Name]=A460)*(measured[Date]=B460)*ISNUMBER(measured[Measured Value (kWh)]))=0,"",SUMIFS(measured[Measured Value (kWh)],measured[Site Name],A460,measured[Date],B460)),"")</f>
        <v>1909</v>
      </c>
      <c r="D460" cm="1">
        <f t="array" ref="D460">IFERROR(IF(SUMPRODUCT((expected_production[Site Name]=A460)*(expected_production[Date]=B460)*ISNUMBER(expected_production[Expected Production (kWh)]))=0,"",SUMIFS(expected_production[Expected Production (kWh)],expected_production[Site Name],A460,expected_production[Date],B460)),"")</f>
        <v>4781.0150173429338</v>
      </c>
      <c r="E460" s="9">
        <f t="shared" si="14"/>
        <v>0.39928759752378556</v>
      </c>
      <c r="F460" t="str">
        <f t="shared" si="15"/>
        <v>Poor</v>
      </c>
    </row>
    <row r="461" spans="1:7" ht="15" hidden="1" customHeight="1" x14ac:dyDescent="0.3">
      <c r="A461" t="s">
        <v>85</v>
      </c>
      <c r="B461" s="2">
        <v>46113</v>
      </c>
      <c r="C461" s="5" cm="1">
        <f t="array" ref="C461">IFERROR(IF(SUMPRODUCT((measured[Site Name]=A461)*(measured[Date]=B461)*ISNUMBER(measured[Measured Value (kWh)]))=0,"",SUMIFS(measured[Measured Value (kWh)],measured[Site Name],A461,measured[Date],B461)),"")</f>
        <v>2190.9</v>
      </c>
      <c r="D461" cm="1">
        <f t="array" ref="D461">IFERROR(IF(SUMPRODUCT((expected_production[Site Name]=A461)*(expected_production[Date]=B461)*ISNUMBER(expected_production[Expected Production (kWh)]))=0,"",SUMIFS(expected_production[Expected Production (kWh)],expected_production[Site Name],A461,expected_production[Date],B461)),"")</f>
        <v>4035.9261251084272</v>
      </c>
      <c r="E461" s="9">
        <f t="shared" si="14"/>
        <v>0.54284938130306848</v>
      </c>
      <c r="F461" t="str">
        <f t="shared" si="15"/>
        <v>Poor</v>
      </c>
    </row>
    <row r="462" spans="1:7" ht="15" hidden="1" customHeight="1" x14ac:dyDescent="0.3">
      <c r="A462" t="s">
        <v>85</v>
      </c>
      <c r="B462" s="2">
        <v>46143</v>
      </c>
      <c r="C462" s="5" cm="1">
        <f t="array" ref="C462">IFERROR(IF(SUMPRODUCT((measured[Site Name]=A462)*(measured[Date]=B462)*ISNUMBER(measured[Measured Value (kWh)]))=0,"",SUMIFS(measured[Measured Value (kWh)],measured[Site Name],A462,measured[Date],B462)),"")</f>
        <v>2313.3000000000002</v>
      </c>
      <c r="D462" cm="1">
        <f t="array" ref="D462">IFERROR(IF(SUMPRODUCT((expected_production[Site Name]=A462)*(expected_production[Date]=B462)*ISNUMBER(expected_production[Expected Production (kWh)]))=0,"",SUMIFS(expected_production[Expected Production (kWh)],expected_production[Site Name],A462,expected_production[Date],B462)),"")</f>
        <v>3827.1507410446102</v>
      </c>
      <c r="E462" s="9">
        <f t="shared" si="14"/>
        <v>0.60444444353623539</v>
      </c>
      <c r="F462" t="str">
        <f t="shared" si="15"/>
        <v>Poor</v>
      </c>
    </row>
    <row r="463" spans="1:7" ht="15" hidden="1" customHeight="1" x14ac:dyDescent="0.3">
      <c r="A463" t="s">
        <v>85</v>
      </c>
      <c r="B463" s="2">
        <v>46174</v>
      </c>
      <c r="C463" cm="1">
        <f t="array" ref="C463">IFERROR(IF(SUMPRODUCT((measured[Site Name]=A463)*(measured[Date]=B463)*ISNUMBER(measured[Measured Value (kWh)]))=0,"",SUMIFS(measured[Measured Value (kWh)],measured[Site Name],A463,measured[Date],B463)),"")</f>
        <v>1184</v>
      </c>
      <c r="D463" cm="1">
        <f t="array" ref="D463">IFERROR(IF(SUMPRODUCT((expected_production[Site Name]=A463)*(expected_production[Date]=B463)*ISNUMBER(expected_production[Expected Production (kWh)]))=0,"",SUMIFS(expected_production[Expected Production (kWh)],expected_production[Site Name],A463,expected_production[Date],B463)),"")</f>
        <v>3364.1367917857683</v>
      </c>
      <c r="E463" s="9">
        <f t="shared" si="14"/>
        <v>0.35194763866052636</v>
      </c>
      <c r="F463" t="str">
        <f t="shared" si="15"/>
        <v>Poor</v>
      </c>
    </row>
    <row r="464" spans="1:7" ht="15" hidden="1" customHeight="1" x14ac:dyDescent="0.3">
      <c r="A464" t="s">
        <v>80</v>
      </c>
      <c r="B464" s="2">
        <v>46204</v>
      </c>
      <c r="C464" cm="1">
        <f t="array" ref="C464">IFERROR(IF(SUMPRODUCT((measured[Site Name]=A464)*(measured[Date]=B464)*ISNUMBER(measured[Measured Value (kWh)]))=0,"",SUMIFS(measured[Measured Value (kWh)],measured[Site Name],A464,measured[Date],B464)),"")</f>
        <v>14345</v>
      </c>
      <c r="D464" cm="1">
        <f t="array" ref="D464">IFERROR(IF(SUMPRODUCT((expected_production[Site Name]=A464)*(expected_production[Date]=B464)*ISNUMBER(expected_production[Expected Production (kWh)]))=0,"",SUMIFS(expected_production[Expected Production (kWh)],expected_production[Site Name],A464,expected_production[Date],B464)),"")</f>
        <v>14002.2</v>
      </c>
      <c r="E464" s="9">
        <f t="shared" si="14"/>
        <v>1.0244818671351643</v>
      </c>
      <c r="F464" t="str">
        <f t="shared" si="15"/>
        <v>Expected</v>
      </c>
      <c r="G464" t="s">
        <v>874</v>
      </c>
    </row>
    <row r="465" spans="1:7" ht="15" hidden="1" customHeight="1" x14ac:dyDescent="0.3">
      <c r="A465" t="s">
        <v>85</v>
      </c>
      <c r="B465" s="2">
        <v>46235</v>
      </c>
      <c r="C465" cm="1">
        <f t="array" ref="C465">IFERROR(IF(SUMPRODUCT((measured[Site Name]=A465)*(measured[Date]=B465)*ISNUMBER(measured[Measured Value (kWh)]))=0,"",SUMIFS(measured[Measured Value (kWh)],measured[Site Name],A465,measured[Date],B465)),"")</f>
        <v>4021</v>
      </c>
      <c r="D465" cm="1">
        <f t="array" ref="D465">IFERROR(IF(SUMPRODUCT((expected_production[Site Name]=A465)*(expected_production[Date]=B465)*ISNUMBER(expected_production[Expected Production (kWh)]))=0,"",SUMIFS(expected_production[Expected Production (kWh)],expected_production[Site Name],A465,expected_production[Date],B465)),"")</f>
        <v>4424.6608223549047</v>
      </c>
      <c r="E465" s="9">
        <f t="shared" si="14"/>
        <v>0.90877022249581896</v>
      </c>
      <c r="F465" t="str">
        <f t="shared" si="15"/>
        <v>Expected</v>
      </c>
      <c r="G465" t="s">
        <v>874</v>
      </c>
    </row>
    <row r="466" spans="1:7" ht="15" customHeight="1" x14ac:dyDescent="0.3">
      <c r="A466" t="s">
        <v>120</v>
      </c>
      <c r="B466" s="2">
        <v>46266</v>
      </c>
      <c r="C466" cm="1">
        <f t="array" ref="C466">IFERROR(IF(SUMPRODUCT((measured[Site Name]=A466)*(measured[Date]=B466)*ISNUMBER(measured[Measured Value (kWh)]))=0,"",SUMIFS(measured[Measured Value (kWh)],measured[Site Name],A466,measured[Date],B466)),"")</f>
        <v>7912.61</v>
      </c>
      <c r="D466" cm="1">
        <f t="array" ref="D466">IFERROR(IF(SUMPRODUCT((expected_production[Site Name]=A466)*(expected_production[Date]=B466)*ISNUMBER(expected_production[Expected Production (kWh)]))=0,"",SUMIFS(expected_production[Expected Production (kWh)],expected_production[Site Name],A466,expected_production[Date],B466)),"")</f>
        <v>10701.9</v>
      </c>
      <c r="E466" s="9">
        <f t="shared" si="14"/>
        <v>0.73936497257496336</v>
      </c>
      <c r="F466" t="str">
        <f t="shared" si="15"/>
        <v>Moderate</v>
      </c>
      <c r="G466" t="s">
        <v>874</v>
      </c>
    </row>
    <row r="467" spans="1:7" ht="15" hidden="1" customHeight="1" x14ac:dyDescent="0.3">
      <c r="A467" t="s">
        <v>85</v>
      </c>
      <c r="B467" s="2">
        <v>46296</v>
      </c>
      <c r="C467" t="str" cm="1">
        <f t="array" ref="C467">IFERROR(IF(SUMPRODUCT((measured[Site Name]=A467)*(measured[Date]=B467)*ISNUMBER(measured[Measured Value (kWh)]))=0,"",SUMIFS(measured[Measured Value (kWh)],measured[Site Name],A467,measured[Date],B467)),"")</f>
        <v/>
      </c>
      <c r="D467" cm="1">
        <f t="array" ref="D467">IFERROR(IF(SUMPRODUCT((expected_production[Site Name]=A467)*(expected_production[Date]=B467)*ISNUMBER(expected_production[Expected Production (kWh)]))=0,"",SUMIFS(expected_production[Expected Production (kWh)],expected_production[Site Name],A467,expected_production[Date],B467)),"")</f>
        <v>5439.9551864959558</v>
      </c>
      <c r="E467" s="9" t="str">
        <f t="shared" si="14"/>
        <v/>
      </c>
      <c r="F467" t="str">
        <f t="shared" si="15"/>
        <v/>
      </c>
    </row>
    <row r="468" spans="1:7" ht="15" hidden="1" customHeight="1" x14ac:dyDescent="0.3">
      <c r="A468" t="s">
        <v>85</v>
      </c>
      <c r="B468" s="2">
        <v>46327</v>
      </c>
      <c r="C468" t="str" cm="1">
        <f t="array" ref="C468">IFERROR(IF(SUMPRODUCT((measured[Site Name]=A468)*(measured[Date]=B468)*ISNUMBER(measured[Measured Value (kWh)]))=0,"",SUMIFS(measured[Measured Value (kWh)],measured[Site Name],A468,measured[Date],B468)),"")</f>
        <v/>
      </c>
      <c r="D468" cm="1">
        <f t="array" ref="D468">IFERROR(IF(SUMPRODUCT((expected_production[Site Name]=A468)*(expected_production[Date]=B468)*ISNUMBER(expected_production[Expected Production (kWh)]))=0,"",SUMIFS(expected_production[Expected Production (kWh)],expected_production[Site Name],A468,expected_production[Date],B468)),"")</f>
        <v>5532.5984247207707</v>
      </c>
      <c r="E468" s="9" t="str">
        <f t="shared" si="14"/>
        <v/>
      </c>
      <c r="F468" t="str">
        <f t="shared" si="15"/>
        <v/>
      </c>
    </row>
    <row r="469" spans="1:7" ht="15" hidden="1" customHeight="1" x14ac:dyDescent="0.3">
      <c r="A469" t="s">
        <v>85</v>
      </c>
      <c r="B469" s="2">
        <v>46357</v>
      </c>
      <c r="C469" t="str" cm="1">
        <f t="array" ref="C469">IFERROR(IF(SUMPRODUCT((measured[Site Name]=A469)*(measured[Date]=B469)*ISNUMBER(measured[Measured Value (kWh)]))=0,"",SUMIFS(measured[Measured Value (kWh)],measured[Site Name],A469,measured[Date],B469)),"")</f>
        <v/>
      </c>
      <c r="D469" cm="1">
        <f t="array" ref="D469">IFERROR(IF(SUMPRODUCT((expected_production[Site Name]=A469)*(expected_production[Date]=B469)*ISNUMBER(expected_production[Expected Production (kWh)]))=0,"",SUMIFS(expected_production[Expected Production (kWh)],expected_production[Site Name],A469,expected_production[Date],B469)),"")</f>
        <v>5834.3217294461801</v>
      </c>
      <c r="E469" s="9" t="str">
        <f t="shared" si="14"/>
        <v/>
      </c>
      <c r="F469" t="str">
        <f t="shared" si="15"/>
        <v/>
      </c>
    </row>
    <row r="470" spans="1:7" ht="15" hidden="1" customHeight="1" x14ac:dyDescent="0.3">
      <c r="A470" t="s">
        <v>90</v>
      </c>
      <c r="B470" s="2">
        <v>45292</v>
      </c>
      <c r="C470" cm="1">
        <f t="array" ref="C470">IFERROR(IF(SUMPRODUCT((measured[Site Name]=A470)*(measured[Date]=B470)*ISNUMBER(measured[Measured Value (kWh)]))=0,"",SUMIFS(measured[Measured Value (kWh)],measured[Site Name],A470,measured[Date],B470)),"")</f>
        <v>5665</v>
      </c>
      <c r="D470" cm="1">
        <f t="array" ref="D470">IFERROR(IF(SUMPRODUCT((expected_production[Site Name]=A470)*(expected_production[Date]=B470)*ISNUMBER(expected_production[Expected Production (kWh)]))=0,"",SUMIFS(expected_production[Expected Production (kWh)],expected_production[Site Name],A470,expected_production[Date],B470)),"")</f>
        <v>4836.2762911961117</v>
      </c>
      <c r="E470" s="9">
        <f t="shared" ref="E470:E533" si="16">IF(OR(C470="",D470="",D470=0),"",C470/D470)</f>
        <v>1.1713557412574804</v>
      </c>
      <c r="F470" t="str">
        <f t="shared" ref="F470:F533" si="17">IF(E470="","",IF(E470&gt;=0.9,"Expected",IF(E470&gt;=0.7,"Moderate","Poor")))</f>
        <v>Expected</v>
      </c>
    </row>
    <row r="471" spans="1:7" ht="15" hidden="1" customHeight="1" x14ac:dyDescent="0.3">
      <c r="A471" t="s">
        <v>90</v>
      </c>
      <c r="B471" s="2">
        <v>45323</v>
      </c>
      <c r="C471" cm="1">
        <f t="array" ref="C471">IFERROR(IF(SUMPRODUCT((measured[Site Name]=A471)*(measured[Date]=B471)*ISNUMBER(measured[Measured Value (kWh)]))=0,"",SUMIFS(measured[Measured Value (kWh)],measured[Site Name],A471,measured[Date],B471)),"")</f>
        <v>3554</v>
      </c>
      <c r="D471" cm="1">
        <f t="array" ref="D471">IFERROR(IF(SUMPRODUCT((expected_production[Site Name]=A471)*(expected_production[Date]=B471)*ISNUMBER(expected_production[Expected Production (kWh)]))=0,"",SUMIFS(expected_production[Expected Production (kWh)],expected_production[Site Name],A471,expected_production[Date],B471)),"")</f>
        <v>4437.8259590564821</v>
      </c>
      <c r="E471" s="9">
        <f t="shared" si="16"/>
        <v>0.8008425821087426</v>
      </c>
      <c r="F471" t="str">
        <f t="shared" si="17"/>
        <v>Moderate</v>
      </c>
    </row>
    <row r="472" spans="1:7" ht="15" hidden="1" customHeight="1" x14ac:dyDescent="0.3">
      <c r="A472" t="s">
        <v>90</v>
      </c>
      <c r="B472" s="2">
        <v>45352</v>
      </c>
      <c r="C472" cm="1">
        <f t="array" ref="C472">IFERROR(IF(SUMPRODUCT((measured[Site Name]=A472)*(measured[Date]=B472)*ISNUMBER(measured[Measured Value (kWh)]))=0,"",SUMIFS(measured[Measured Value (kWh)],measured[Site Name],A472,measured[Date],B472)),"")</f>
        <v>1</v>
      </c>
      <c r="D472" cm="1">
        <f t="array" ref="D472">IFERROR(IF(SUMPRODUCT((expected_production[Site Name]=A472)*(expected_production[Date]=B472)*ISNUMBER(expected_production[Expected Production (kWh)]))=0,"",SUMIFS(expected_production[Expected Production (kWh)],expected_production[Site Name],A472,expected_production[Date],B472)),"")</f>
        <v>4487.0023832756824</v>
      </c>
      <c r="E472" s="9">
        <f t="shared" si="16"/>
        <v>2.2286593912391951E-4</v>
      </c>
      <c r="F472" t="str">
        <f t="shared" si="17"/>
        <v>Poor</v>
      </c>
    </row>
    <row r="473" spans="1:7" ht="15" hidden="1" customHeight="1" x14ac:dyDescent="0.3">
      <c r="A473" t="s">
        <v>90</v>
      </c>
      <c r="B473" s="2">
        <v>45383</v>
      </c>
      <c r="C473" cm="1">
        <f t="array" ref="C473">IFERROR(IF(SUMPRODUCT((measured[Site Name]=A473)*(measured[Date]=B473)*ISNUMBER(measured[Measured Value (kWh)]))=0,"",SUMIFS(measured[Measured Value (kWh)],measured[Site Name],A473,measured[Date],B473)),"")</f>
        <v>1</v>
      </c>
      <c r="D473" cm="1">
        <f t="array" ref="D473">IFERROR(IF(SUMPRODUCT((expected_production[Site Name]=A473)*(expected_production[Date]=B473)*ISNUMBER(expected_production[Expected Production (kWh)]))=0,"",SUMIFS(expected_production[Expected Production (kWh)],expected_production[Site Name],A473,expected_production[Date],B473)),"")</f>
        <v>3751.4232495172655</v>
      </c>
      <c r="E473" s="9">
        <f t="shared" si="16"/>
        <v>2.665654962096533E-4</v>
      </c>
      <c r="F473" t="str">
        <f t="shared" si="17"/>
        <v>Poor</v>
      </c>
    </row>
    <row r="474" spans="1:7" ht="15" hidden="1" customHeight="1" x14ac:dyDescent="0.3">
      <c r="A474" t="s">
        <v>90</v>
      </c>
      <c r="B474" s="2">
        <v>45413</v>
      </c>
      <c r="C474" cm="1">
        <f t="array" ref="C474">IFERROR(IF(SUMPRODUCT((measured[Site Name]=A474)*(measured[Date]=B474)*ISNUMBER(measured[Measured Value (kWh)]))=0,"",SUMIFS(measured[Measured Value (kWh)],measured[Site Name],A474,measured[Date],B474)),"")</f>
        <v>1</v>
      </c>
      <c r="D474" cm="1">
        <f t="array" ref="D474">IFERROR(IF(SUMPRODUCT((expected_production[Site Name]=A474)*(expected_production[Date]=B474)*ISNUMBER(expected_production[Expected Production (kWh)]))=0,"",SUMIFS(expected_production[Expected Production (kWh)],expected_production[Site Name],A474,expected_production[Date],B474)),"")</f>
        <v>3470.7889431050885</v>
      </c>
      <c r="E474" s="9">
        <f t="shared" si="16"/>
        <v>2.8811893099594963E-4</v>
      </c>
      <c r="F474" t="str">
        <f t="shared" si="17"/>
        <v>Poor</v>
      </c>
    </row>
    <row r="475" spans="1:7" ht="15" hidden="1" customHeight="1" x14ac:dyDescent="0.3">
      <c r="A475" t="s">
        <v>90</v>
      </c>
      <c r="B475" s="2">
        <v>45444</v>
      </c>
      <c r="C475" cm="1">
        <f t="array" ref="C475">IFERROR(IF(SUMPRODUCT((measured[Site Name]=A475)*(measured[Date]=B475)*ISNUMBER(measured[Measured Value (kWh)]))=0,"",SUMIFS(measured[Measured Value (kWh)],measured[Site Name],A475,measured[Date],B475)),"")</f>
        <v>3309</v>
      </c>
      <c r="D475" cm="1">
        <f t="array" ref="D475">IFERROR(IF(SUMPRODUCT((expected_production[Site Name]=A475)*(expected_production[Date]=B475)*ISNUMBER(expected_production[Expected Production (kWh)]))=0,"",SUMIFS(expected_production[Expected Production (kWh)],expected_production[Site Name],A475,expected_production[Date],B475)),"")</f>
        <v>3139.1910035860551</v>
      </c>
      <c r="E475" s="9">
        <f t="shared" si="16"/>
        <v>1.054093234919431</v>
      </c>
      <c r="F475" t="str">
        <f t="shared" si="17"/>
        <v>Expected</v>
      </c>
    </row>
    <row r="476" spans="1:7" ht="15" hidden="1" customHeight="1" x14ac:dyDescent="0.3">
      <c r="A476" t="s">
        <v>90</v>
      </c>
      <c r="B476" s="2">
        <v>45474</v>
      </c>
      <c r="C476" cm="1">
        <f t="array" ref="C476">IFERROR(IF(SUMPRODUCT((measured[Site Name]=A476)*(measured[Date]=B476)*ISNUMBER(measured[Measured Value (kWh)]))=0,"",SUMIFS(measured[Measured Value (kWh)],measured[Site Name],A476,measured[Date],B476)),"")</f>
        <v>2293</v>
      </c>
      <c r="D476" cm="1">
        <f t="array" ref="D476">IFERROR(IF(SUMPRODUCT((expected_production[Site Name]=A476)*(expected_production[Date]=B476)*ISNUMBER(expected_production[Expected Production (kWh)]))=0,"",SUMIFS(expected_production[Expected Production (kWh)],expected_production[Site Name],A476,expected_production[Date],B476)),"")</f>
        <v>3361.9867879769108</v>
      </c>
      <c r="E476" s="9">
        <f t="shared" si="16"/>
        <v>0.68203718354878551</v>
      </c>
      <c r="F476" t="str">
        <f t="shared" si="17"/>
        <v>Poor</v>
      </c>
    </row>
    <row r="477" spans="1:7" ht="15" hidden="1" customHeight="1" x14ac:dyDescent="0.3">
      <c r="A477" t="s">
        <v>90</v>
      </c>
      <c r="B477" s="2">
        <v>45505</v>
      </c>
      <c r="C477" cm="1">
        <f t="array" ref="C477">IFERROR(IF(SUMPRODUCT((measured[Site Name]=A477)*(measured[Date]=B477)*ISNUMBER(measured[Measured Value (kWh)]))=0,"",SUMIFS(measured[Measured Value (kWh)],measured[Site Name],A477,measured[Date],B477)),"")</f>
        <v>1967</v>
      </c>
      <c r="D477" cm="1">
        <f t="array" ref="D477">IFERROR(IF(SUMPRODUCT((expected_production[Site Name]=A477)*(expected_production[Date]=B477)*ISNUMBER(expected_production[Expected Production (kWh)]))=0,"",SUMIFS(expected_production[Expected Production (kWh)],expected_production[Site Name],A477,expected_production[Date],B477)),"")</f>
        <v>3793.628931443428</v>
      </c>
      <c r="E477" s="9">
        <f t="shared" si="16"/>
        <v>0.51850089598815385</v>
      </c>
      <c r="F477" t="str">
        <f t="shared" si="17"/>
        <v>Poor</v>
      </c>
    </row>
    <row r="478" spans="1:7" ht="15" hidden="1" customHeight="1" x14ac:dyDescent="0.3">
      <c r="A478" t="s">
        <v>90</v>
      </c>
      <c r="B478" s="2">
        <v>45536</v>
      </c>
      <c r="C478" cm="1">
        <f t="array" ref="C478">IFERROR(IF(SUMPRODUCT((measured[Site Name]=A478)*(measured[Date]=B478)*ISNUMBER(measured[Measured Value (kWh)]))=0,"",SUMIFS(measured[Measured Value (kWh)],measured[Site Name],A478,measured[Date],B478)),"")</f>
        <v>3009</v>
      </c>
      <c r="D478" cm="1">
        <f t="array" ref="D478">IFERROR(IF(SUMPRODUCT((expected_production[Site Name]=A478)*(expected_production[Date]=B478)*ISNUMBER(expected_production[Expected Production (kWh)]))=0,"",SUMIFS(expected_production[Expected Production (kWh)],expected_production[Site Name],A478,expected_production[Date],B478)),"")</f>
        <v>3740.9020430466321</v>
      </c>
      <c r="E478" s="9">
        <f t="shared" si="16"/>
        <v>0.80435145464259128</v>
      </c>
      <c r="F478" t="str">
        <f t="shared" si="17"/>
        <v>Moderate</v>
      </c>
    </row>
    <row r="479" spans="1:7" ht="15" hidden="1" customHeight="1" x14ac:dyDescent="0.3">
      <c r="A479" t="s">
        <v>90</v>
      </c>
      <c r="B479" s="2">
        <v>45566</v>
      </c>
      <c r="C479" cm="1">
        <f t="array" ref="C479">IFERROR(IF(SUMPRODUCT((measured[Site Name]=A479)*(measured[Date]=B479)*ISNUMBER(measured[Measured Value (kWh)]))=0,"",SUMIFS(measured[Measured Value (kWh)],measured[Site Name],A479,measured[Date],B479)),"")</f>
        <v>4500</v>
      </c>
      <c r="D479" cm="1">
        <f t="array" ref="D479">IFERROR(IF(SUMPRODUCT((expected_production[Site Name]=A479)*(expected_production[Date]=B479)*ISNUMBER(expected_production[Expected Production (kWh)]))=0,"",SUMIFS(expected_production[Expected Production (kWh)],expected_production[Site Name],A479,expected_production[Date],B479)),"")</f>
        <v>4164.1158912418659</v>
      </c>
      <c r="E479" s="9">
        <f t="shared" si="16"/>
        <v>1.0806615659916139</v>
      </c>
      <c r="F479" t="str">
        <f t="shared" si="17"/>
        <v>Expected</v>
      </c>
    </row>
    <row r="480" spans="1:7" ht="15" hidden="1" customHeight="1" x14ac:dyDescent="0.3">
      <c r="A480" t="s">
        <v>90</v>
      </c>
      <c r="B480" s="2">
        <v>45597</v>
      </c>
      <c r="C480" cm="1">
        <f t="array" ref="C480">IFERROR(IF(SUMPRODUCT((measured[Site Name]=A480)*(measured[Date]=B480)*ISNUMBER(measured[Measured Value (kWh)]))=0,"",SUMIFS(measured[Measured Value (kWh)],measured[Site Name],A480,measured[Date],B480)),"")</f>
        <v>3918</v>
      </c>
      <c r="D480" cm="1">
        <f t="array" ref="D480">IFERROR(IF(SUMPRODUCT((expected_production[Site Name]=A480)*(expected_production[Date]=B480)*ISNUMBER(expected_production[Expected Production (kWh)]))=0,"",SUMIFS(expected_production[Expected Production (kWh)],expected_production[Site Name],A480,expected_production[Date],B480)),"")</f>
        <v>4256.5219322670373</v>
      </c>
      <c r="E480" s="9">
        <f t="shared" si="16"/>
        <v>0.92046982544578615</v>
      </c>
      <c r="F480" t="str">
        <f t="shared" si="17"/>
        <v>Expected</v>
      </c>
    </row>
    <row r="481" spans="1:6" ht="15" hidden="1" customHeight="1" x14ac:dyDescent="0.3">
      <c r="A481" t="s">
        <v>90</v>
      </c>
      <c r="B481" s="2">
        <v>45627</v>
      </c>
      <c r="C481" cm="1">
        <f t="array" ref="C481">IFERROR(IF(SUMPRODUCT((measured[Site Name]=A481)*(measured[Date]=B481)*ISNUMBER(measured[Measured Value (kWh)]))=0,"",SUMIFS(measured[Measured Value (kWh)],measured[Site Name],A481,measured[Date],B481)),"")</f>
        <v>2583</v>
      </c>
      <c r="D481" cm="1">
        <f t="array" ref="D481">IFERROR(IF(SUMPRODUCT((expected_production[Site Name]=A481)*(expected_production[Date]=B481)*ISNUMBER(expected_production[Expected Production (kWh)]))=0,"",SUMIFS(expected_production[Expected Production (kWh)],expected_production[Site Name],A481,expected_production[Date],B481)),"")</f>
        <v>4963.1890876120324</v>
      </c>
      <c r="E481" s="9">
        <f t="shared" si="16"/>
        <v>0.52043151175664226</v>
      </c>
      <c r="F481" t="str">
        <f t="shared" si="17"/>
        <v>Poor</v>
      </c>
    </row>
    <row r="482" spans="1:6" ht="15" hidden="1" customHeight="1" x14ac:dyDescent="0.3">
      <c r="A482" t="s">
        <v>90</v>
      </c>
      <c r="B482" s="2">
        <v>45658</v>
      </c>
      <c r="C482" cm="1">
        <f t="array" ref="C482">IFERROR(IF(SUMPRODUCT((measured[Site Name]=A482)*(measured[Date]=B482)*ISNUMBER(measured[Measured Value (kWh)]))=0,"",SUMIFS(measured[Measured Value (kWh)],measured[Site Name],A482,measured[Date],B482)),"")</f>
        <v>3426</v>
      </c>
      <c r="D482" cm="1">
        <f t="array" ref="D482">IFERROR(IF(SUMPRODUCT((expected_production[Site Name]=A482)*(expected_production[Date]=B482)*ISNUMBER(expected_production[Expected Production (kWh)]))=0,"",SUMIFS(expected_production[Expected Production (kWh)],expected_production[Site Name],A482,expected_production[Date],B482)),"")</f>
        <v>4802.3530862654961</v>
      </c>
      <c r="E482" s="9">
        <f t="shared" si="16"/>
        <v>0.71340027242024306</v>
      </c>
      <c r="F482" t="str">
        <f t="shared" si="17"/>
        <v>Moderate</v>
      </c>
    </row>
    <row r="483" spans="1:6" ht="15" hidden="1" customHeight="1" x14ac:dyDescent="0.3">
      <c r="A483" t="s">
        <v>90</v>
      </c>
      <c r="B483" s="2">
        <v>45689</v>
      </c>
      <c r="C483" cm="1">
        <f t="array" ref="C483">IFERROR(IF(SUMPRODUCT((measured[Site Name]=A483)*(measured[Date]=B483)*ISNUMBER(measured[Measured Value (kWh)]))=0,"",SUMIFS(measured[Measured Value (kWh)],measured[Site Name],A483,measured[Date],B483)),"")</f>
        <v>3380.46</v>
      </c>
      <c r="D483" cm="1">
        <f t="array" ref="D483">IFERROR(IF(SUMPRODUCT((expected_production[Site Name]=A483)*(expected_production[Date]=B483)*ISNUMBER(expected_production[Expected Production (kWh)]))=0,"",SUMIFS(expected_production[Expected Production (kWh)],expected_production[Site Name],A483,expected_production[Date],B483)),"")</f>
        <v>4406.6976135296709</v>
      </c>
      <c r="E483" s="9">
        <f t="shared" si="16"/>
        <v>0.7671186671899467</v>
      </c>
      <c r="F483" t="str">
        <f t="shared" si="17"/>
        <v>Moderate</v>
      </c>
    </row>
    <row r="484" spans="1:6" ht="15" hidden="1" customHeight="1" x14ac:dyDescent="0.3">
      <c r="A484" t="s">
        <v>90</v>
      </c>
      <c r="B484" s="2">
        <v>45717</v>
      </c>
      <c r="C484" cm="1">
        <f t="array" ref="C484">IFERROR(IF(SUMPRODUCT((measured[Site Name]=A484)*(measured[Date]=B484)*ISNUMBER(measured[Measured Value (kWh)]))=0,"",SUMIFS(measured[Measured Value (kWh)],measured[Site Name],A484,measured[Date],B484)),"")</f>
        <v>3717</v>
      </c>
      <c r="D484" cm="1">
        <f t="array" ref="D484">IFERROR(IF(SUMPRODUCT((expected_production[Site Name]=A484)*(expected_production[Date]=B484)*ISNUMBER(expected_production[Expected Production (kWh)]))=0,"",SUMIFS(expected_production[Expected Production (kWh)],expected_production[Site Name],A484,expected_production[Date],B484)),"")</f>
        <v>4455.6147895242784</v>
      </c>
      <c r="E484" s="9">
        <f t="shared" si="16"/>
        <v>0.83422831092560867</v>
      </c>
      <c r="F484" t="str">
        <f t="shared" si="17"/>
        <v>Moderate</v>
      </c>
    </row>
    <row r="485" spans="1:6" ht="15" hidden="1" customHeight="1" x14ac:dyDescent="0.3">
      <c r="A485" t="s">
        <v>90</v>
      </c>
      <c r="B485" s="2">
        <v>45748</v>
      </c>
      <c r="C485" cm="1">
        <f t="array" ref="C485">IFERROR(IF(SUMPRODUCT((measured[Site Name]=A485)*(measured[Date]=B485)*ISNUMBER(measured[Measured Value (kWh)]))=0,"",SUMIFS(measured[Measured Value (kWh)],measured[Site Name],A485,measured[Date],B485)),"")</f>
        <v>2027</v>
      </c>
      <c r="D485" cm="1">
        <f t="array" ref="D485">IFERROR(IF(SUMPRODUCT((expected_production[Site Name]=A485)*(expected_production[Date]=B485)*ISNUMBER(expected_production[Expected Production (kWh)]))=0,"",SUMIFS(expected_production[Expected Production (kWh)],expected_production[Site Name],A485,expected_production[Date],B485)),"")</f>
        <v>3725.181197722442</v>
      </c>
      <c r="E485" s="9">
        <f t="shared" si="16"/>
        <v>0.54413460511378564</v>
      </c>
      <c r="F485" t="str">
        <f t="shared" si="17"/>
        <v>Poor</v>
      </c>
    </row>
    <row r="486" spans="1:6" ht="15" hidden="1" customHeight="1" x14ac:dyDescent="0.3">
      <c r="A486" t="s">
        <v>90</v>
      </c>
      <c r="B486" s="2">
        <v>45778</v>
      </c>
      <c r="C486" cm="1">
        <f t="array" ref="C486">IFERROR(IF(SUMPRODUCT((measured[Site Name]=A486)*(measured[Date]=B486)*ISNUMBER(measured[Measured Value (kWh)]))=0,"",SUMIFS(measured[Measured Value (kWh)],measured[Site Name],A486,measured[Date],B486)),"")</f>
        <v>3199</v>
      </c>
      <c r="D486" cm="1">
        <f t="array" ref="D486">IFERROR(IF(SUMPRODUCT((expected_production[Site Name]=A486)*(expected_production[Date]=B486)*ISNUMBER(expected_production[Expected Production (kWh)]))=0,"",SUMIFS(expected_production[Expected Production (kWh)],expected_production[Site Name],A486,expected_production[Date],B486)),"")</f>
        <v>3446.5099915829996</v>
      </c>
      <c r="E486" s="9">
        <f t="shared" si="16"/>
        <v>0.92818532597106529</v>
      </c>
      <c r="F486" t="str">
        <f t="shared" si="17"/>
        <v>Expected</v>
      </c>
    </row>
    <row r="487" spans="1:6" ht="15" hidden="1" customHeight="1" x14ac:dyDescent="0.3">
      <c r="A487" t="s">
        <v>90</v>
      </c>
      <c r="B487" s="2">
        <v>45809</v>
      </c>
      <c r="C487" cm="1">
        <f t="array" ref="C487">IFERROR(IF(SUMPRODUCT((measured[Site Name]=A487)*(measured[Date]=B487)*ISNUMBER(measured[Measured Value (kWh)]))=0,"",SUMIFS(measured[Measured Value (kWh)],measured[Site Name],A487,measured[Date],B487)),"")</f>
        <v>2899.41</v>
      </c>
      <c r="D487" cm="1">
        <f t="array" ref="D487">IFERROR(IF(SUMPRODUCT((expected_production[Site Name]=A487)*(expected_production[Date]=B487)*ISNUMBER(expected_production[Expected Production (kWh)]))=0,"",SUMIFS(expected_production[Expected Production (kWh)],expected_production[Site Name],A487,expected_production[Date],B487)),"")</f>
        <v>3117.2316544455521</v>
      </c>
      <c r="E487" s="9">
        <f t="shared" si="16"/>
        <v>0.93012336630968317</v>
      </c>
      <c r="F487" t="str">
        <f t="shared" si="17"/>
        <v>Expected</v>
      </c>
    </row>
    <row r="488" spans="1:6" ht="15" hidden="1" customHeight="1" x14ac:dyDescent="0.3">
      <c r="A488" t="s">
        <v>90</v>
      </c>
      <c r="B488" s="2">
        <v>45839</v>
      </c>
      <c r="C488" cm="1">
        <f t="array" ref="C488">IFERROR(IF(SUMPRODUCT((measured[Site Name]=A488)*(measured[Date]=B488)*ISNUMBER(measured[Measured Value (kWh)]))=0,"",SUMIFS(measured[Measured Value (kWh)],measured[Site Name],A488,measured[Date],B488)),"")</f>
        <v>3705</v>
      </c>
      <c r="D488" cm="1">
        <f t="array" ref="D488">IFERROR(IF(SUMPRODUCT((expected_production[Site Name]=A488)*(expected_production[Date]=B488)*ISNUMBER(expected_production[Expected Production (kWh)]))=0,"",SUMIFS(expected_production[Expected Production (kWh)],expected_production[Site Name],A488,expected_production[Date],B488)),"")</f>
        <v>3338.4689320711673</v>
      </c>
      <c r="E488" s="9">
        <f t="shared" si="16"/>
        <v>1.1097901689027967</v>
      </c>
      <c r="F488" t="str">
        <f t="shared" si="17"/>
        <v>Expected</v>
      </c>
    </row>
    <row r="489" spans="1:6" ht="15" hidden="1" customHeight="1" x14ac:dyDescent="0.3">
      <c r="A489" t="s">
        <v>90</v>
      </c>
      <c r="B489" s="2">
        <v>45870</v>
      </c>
      <c r="C489" cm="1">
        <f t="array" ref="C489">IFERROR(IF(SUMPRODUCT((measured[Site Name]=A489)*(measured[Date]=B489)*ISNUMBER(measured[Measured Value (kWh)]))=0,"",SUMIFS(measured[Measured Value (kWh)],measured[Site Name],A489,measured[Date],B489)),"")</f>
        <v>4242</v>
      </c>
      <c r="D489" cm="1">
        <f t="array" ref="D489">IFERROR(IF(SUMPRODUCT((expected_production[Site Name]=A489)*(expected_production[Date]=B489)*ISNUMBER(expected_production[Expected Production (kWh)]))=0,"",SUMIFS(expected_production[Expected Production (kWh)],expected_production[Site Name],A489,expected_production[Date],B489)),"")</f>
        <v>3767.0916413836912</v>
      </c>
      <c r="E489" s="9">
        <f t="shared" si="16"/>
        <v>1.1260676415192996</v>
      </c>
      <c r="F489" t="str">
        <f t="shared" si="17"/>
        <v>Expected</v>
      </c>
    </row>
    <row r="490" spans="1:6" ht="15" hidden="1" customHeight="1" x14ac:dyDescent="0.3">
      <c r="A490" t="s">
        <v>90</v>
      </c>
      <c r="B490" s="2">
        <v>45901</v>
      </c>
      <c r="C490" cm="1">
        <f t="array" ref="C490">IFERROR(IF(SUMPRODUCT((measured[Site Name]=A490)*(measured[Date]=B490)*ISNUMBER(measured[Measured Value (kWh)]))=0,"",SUMIFS(measured[Measured Value (kWh)],measured[Site Name],A490,measured[Date],B490)),"")</f>
        <v>3928</v>
      </c>
      <c r="D490" cm="1">
        <f t="array" ref="D490">IFERROR(IF(SUMPRODUCT((expected_production[Site Name]=A490)*(expected_production[Date]=B490)*ISNUMBER(expected_production[Expected Production (kWh)]))=0,"",SUMIFS(expected_production[Expected Production (kWh)],expected_production[Site Name],A490,expected_production[Date],B490)),"")</f>
        <v>3714.7335894642156</v>
      </c>
      <c r="E490" s="9">
        <f t="shared" si="16"/>
        <v>1.0574109570443098</v>
      </c>
      <c r="F490" t="str">
        <f t="shared" si="17"/>
        <v>Expected</v>
      </c>
    </row>
    <row r="491" spans="1:6" ht="15" hidden="1" customHeight="1" x14ac:dyDescent="0.3">
      <c r="A491" t="s">
        <v>90</v>
      </c>
      <c r="B491" s="2">
        <v>45931</v>
      </c>
      <c r="C491" cm="1">
        <f t="array" ref="C491">IFERROR(IF(SUMPRODUCT((measured[Site Name]=A491)*(measured[Date]=B491)*ISNUMBER(measured[Measured Value (kWh)]))=0,"",SUMIFS(measured[Measured Value (kWh)],measured[Site Name],A491,measured[Date],B491)),"")</f>
        <v>4810</v>
      </c>
      <c r="D491" cm="1">
        <f t="array" ref="D491">IFERROR(IF(SUMPRODUCT((expected_production[Site Name]=A491)*(expected_production[Date]=B491)*ISNUMBER(expected_production[Expected Production (kWh)]))=0,"",SUMIFS(expected_production[Expected Production (kWh)],expected_production[Site Name],A491,expected_production[Date],B491)),"")</f>
        <v>4134.9869613319497</v>
      </c>
      <c r="E491" s="9">
        <f t="shared" si="16"/>
        <v>1.1632442967729739</v>
      </c>
      <c r="F491" t="str">
        <f t="shared" si="17"/>
        <v>Expected</v>
      </c>
    </row>
    <row r="492" spans="1:6" ht="15" hidden="1" customHeight="1" x14ac:dyDescent="0.3">
      <c r="A492" t="s">
        <v>90</v>
      </c>
      <c r="B492" s="2">
        <v>45962</v>
      </c>
      <c r="C492" cm="1">
        <f t="array" ref="C492">IFERROR(IF(SUMPRODUCT((measured[Site Name]=A492)*(measured[Date]=B492)*ISNUMBER(measured[Measured Value (kWh)]))=0,"",SUMIFS(measured[Measured Value (kWh)],measured[Site Name],A492,measured[Date],B492)),"")</f>
        <v>5556</v>
      </c>
      <c r="D492" cm="1">
        <f t="array" ref="D492">IFERROR(IF(SUMPRODUCT((expected_production[Site Name]=A492)*(expected_production[Date]=B492)*ISNUMBER(expected_production[Expected Production (kWh)]))=0,"",SUMIFS(expected_production[Expected Production (kWh)],expected_production[Site Name],A492,expected_production[Date],B492)),"")</f>
        <v>4226.7466012572058</v>
      </c>
      <c r="E492" s="9">
        <f t="shared" si="16"/>
        <v>1.3144861814870616</v>
      </c>
      <c r="F492" t="str">
        <f t="shared" si="17"/>
        <v>Expected</v>
      </c>
    </row>
    <row r="493" spans="1:6" ht="15" hidden="1" customHeight="1" x14ac:dyDescent="0.3">
      <c r="A493" t="s">
        <v>90</v>
      </c>
      <c r="B493" s="2">
        <v>45992</v>
      </c>
      <c r="C493" cm="1">
        <f t="array" ref="C493">IFERROR(IF(SUMPRODUCT((measured[Site Name]=A493)*(measured[Date]=B493)*ISNUMBER(measured[Measured Value (kWh)]))=0,"",SUMIFS(measured[Measured Value (kWh)],measured[Site Name],A493,measured[Date],B493)),"")</f>
        <v>5696</v>
      </c>
      <c r="D493" cm="1">
        <f t="array" ref="D493">IFERROR(IF(SUMPRODUCT((expected_production[Site Name]=A493)*(expected_production[Date]=B493)*ISNUMBER(expected_production[Expected Production (kWh)]))=0,"",SUMIFS(expected_production[Expected Production (kWh)],expected_production[Site Name],A493,expected_production[Date],B493)),"")</f>
        <v>4928.4704604559583</v>
      </c>
      <c r="E493" s="9">
        <f t="shared" si="16"/>
        <v>1.155733821619179</v>
      </c>
      <c r="F493" t="str">
        <f t="shared" si="17"/>
        <v>Expected</v>
      </c>
    </row>
    <row r="494" spans="1:6" ht="15" hidden="1" customHeight="1" x14ac:dyDescent="0.3">
      <c r="A494" t="s">
        <v>90</v>
      </c>
      <c r="B494" s="2">
        <v>46023</v>
      </c>
      <c r="C494" cm="1">
        <f t="array" ref="C494">IFERROR(IF(SUMPRODUCT((measured[Site Name]=A494)*(measured[Date]=B494)*ISNUMBER(measured[Measured Value (kWh)]))=0,"",SUMIFS(measured[Measured Value (kWh)],measured[Site Name],A494,measured[Date],B494)),"")</f>
        <v>5960</v>
      </c>
      <c r="D494" cm="1">
        <f t="array" ref="D494">IFERROR(IF(SUMPRODUCT((expected_production[Site Name]=A494)*(expected_production[Date]=B494)*ISNUMBER(expected_production[Expected Production (kWh)]))=0,"",SUMIFS(expected_production[Expected Production (kWh)],expected_production[Site Name],A494,expected_production[Date],B494)),"")</f>
        <v>4768.7595432167273</v>
      </c>
      <c r="E494" s="9">
        <f t="shared" si="16"/>
        <v>1.2498009065015117</v>
      </c>
      <c r="F494" t="str">
        <f t="shared" si="17"/>
        <v>Expected</v>
      </c>
    </row>
    <row r="495" spans="1:6" ht="15" hidden="1" customHeight="1" x14ac:dyDescent="0.3">
      <c r="A495" t="s">
        <v>90</v>
      </c>
      <c r="B495" s="2">
        <v>46054</v>
      </c>
      <c r="C495" cm="1">
        <f t="array" ref="C495">IFERROR(IF(SUMPRODUCT((measured[Site Name]=A495)*(measured[Date]=B495)*ISNUMBER(measured[Measured Value (kWh)]))=0,"",SUMIFS(measured[Measured Value (kWh)],measured[Site Name],A495,measured[Date],B495)),"")</f>
        <v>5548</v>
      </c>
      <c r="D495" cm="1">
        <f t="array" ref="D495">IFERROR(IF(SUMPRODUCT((expected_production[Site Name]=A495)*(expected_production[Date]=B495)*ISNUMBER(expected_production[Expected Production (kWh)]))=0,"",SUMIFS(expected_production[Expected Production (kWh)],expected_production[Site Name],A495,expected_production[Date],B495)),"")</f>
        <v>4375.8717697560442</v>
      </c>
      <c r="E495" s="9">
        <f t="shared" si="16"/>
        <v>1.267861649499227</v>
      </c>
      <c r="F495" t="str">
        <f t="shared" si="17"/>
        <v>Expected</v>
      </c>
    </row>
    <row r="496" spans="1:6" ht="15" hidden="1" customHeight="1" x14ac:dyDescent="0.3">
      <c r="A496" t="s">
        <v>90</v>
      </c>
      <c r="B496" s="2">
        <v>46082</v>
      </c>
      <c r="C496" cm="1">
        <f t="array" ref="C496">IFERROR(IF(SUMPRODUCT((measured[Site Name]=A496)*(measured[Date]=B496)*ISNUMBER(measured[Measured Value (kWh)]))=0,"",SUMIFS(measured[Measured Value (kWh)],measured[Site Name],A496,measured[Date],B496)),"")</f>
        <v>5036</v>
      </c>
      <c r="D496" cm="1">
        <f t="array" ref="D496">IFERROR(IF(SUMPRODUCT((expected_production[Site Name]=A496)*(expected_production[Date]=B496)*ISNUMBER(expected_production[Expected Production (kWh)]))=0,"",SUMIFS(expected_production[Expected Production (kWh)],expected_production[Site Name],A496,expected_production[Date],B496)),"")</f>
        <v>4424.4467590708964</v>
      </c>
      <c r="E496" s="9">
        <f t="shared" si="16"/>
        <v>1.1382214035405245</v>
      </c>
      <c r="F496" t="str">
        <f t="shared" si="17"/>
        <v>Expected</v>
      </c>
    </row>
    <row r="497" spans="1:7" ht="15" hidden="1" customHeight="1" x14ac:dyDescent="0.3">
      <c r="A497" t="s">
        <v>90</v>
      </c>
      <c r="B497" s="2">
        <v>46113</v>
      </c>
      <c r="C497" s="5" cm="1">
        <f t="array" ref="C497">IFERROR(IF(SUMPRODUCT((measured[Site Name]=A497)*(measured[Date]=B497)*ISNUMBER(measured[Measured Value (kWh)]))=0,"",SUMIFS(measured[Measured Value (kWh)],measured[Site Name],A497,measured[Date],B497)),"")</f>
        <v>4183.2700000000004</v>
      </c>
      <c r="D497" cm="1">
        <f t="array" ref="D497">IFERROR(IF(SUMPRODUCT((expected_production[Site Name]=A497)*(expected_production[Date]=B497)*ISNUMBER(expected_production[Expected Production (kWh)]))=0,"",SUMIFS(expected_production[Expected Production (kWh)],expected_production[Site Name],A497,expected_production[Date],B497)),"")</f>
        <v>3699.1227149990341</v>
      </c>
      <c r="E497" s="9">
        <f t="shared" si="16"/>
        <v>1.1308816501377119</v>
      </c>
      <c r="F497" t="str">
        <f t="shared" si="17"/>
        <v>Expected</v>
      </c>
    </row>
    <row r="498" spans="1:7" ht="15" hidden="1" customHeight="1" x14ac:dyDescent="0.3">
      <c r="A498" t="s">
        <v>90</v>
      </c>
      <c r="B498" s="2">
        <v>46143</v>
      </c>
      <c r="C498" s="5" cm="1">
        <f t="array" ref="C498">IFERROR(IF(SUMPRODUCT((measured[Site Name]=A498)*(measured[Date]=B498)*ISNUMBER(measured[Measured Value (kWh)]))=0,"",SUMIFS(measured[Measured Value (kWh)],measured[Site Name],A498,measured[Date],B498)),"")</f>
        <v>4320</v>
      </c>
      <c r="D498" cm="1">
        <f t="array" ref="D498">IFERROR(IF(SUMPRODUCT((expected_production[Site Name]=A498)*(expected_production[Date]=B498)*ISNUMBER(expected_production[Expected Production (kWh)]))=0,"",SUMIFS(expected_production[Expected Production (kWh)],expected_production[Site Name],A498,expected_production[Date],B498)),"")</f>
        <v>3422.4008768031263</v>
      </c>
      <c r="E498" s="9">
        <f t="shared" si="16"/>
        <v>1.2622717663733547</v>
      </c>
      <c r="F498" t="str">
        <f t="shared" si="17"/>
        <v>Expected</v>
      </c>
    </row>
    <row r="499" spans="1:7" ht="15" hidden="1" customHeight="1" x14ac:dyDescent="0.3">
      <c r="A499" t="s">
        <v>90</v>
      </c>
      <c r="B499" s="2">
        <v>46174</v>
      </c>
      <c r="C499" cm="1">
        <f t="array" ref="C499">IFERROR(IF(SUMPRODUCT((measured[Site Name]=A499)*(measured[Date]=B499)*ISNUMBER(measured[Measured Value (kWh)]))=0,"",SUMIFS(measured[Measured Value (kWh)],measured[Site Name],A499,measured[Date],B499)),"")</f>
        <v>3510</v>
      </c>
      <c r="D499" cm="1">
        <f t="array" ref="D499">IFERROR(IF(SUMPRODUCT((expected_production[Site Name]=A499)*(expected_production[Date]=B499)*ISNUMBER(expected_production[Expected Production (kWh)]))=0,"",SUMIFS(expected_production[Expected Production (kWh)],expected_production[Site Name],A499,expected_production[Date],B499)),"")</f>
        <v>3095.4259159053991</v>
      </c>
      <c r="E499" s="9">
        <f t="shared" si="16"/>
        <v>1.1339311924618747</v>
      </c>
      <c r="F499" t="str">
        <f t="shared" si="17"/>
        <v>Expected</v>
      </c>
    </row>
    <row r="500" spans="1:7" ht="15" hidden="1" customHeight="1" x14ac:dyDescent="0.3">
      <c r="A500" t="s">
        <v>81</v>
      </c>
      <c r="B500" s="2">
        <v>46204</v>
      </c>
      <c r="C500" cm="1">
        <f t="array" ref="C500">IFERROR(IF(SUMPRODUCT((measured[Site Name]=A500)*(measured[Date]=B500)*ISNUMBER(measured[Measured Value (kWh)]))=0,"",SUMIFS(measured[Measured Value (kWh)],measured[Site Name],A500,measured[Date],B500)),"")</f>
        <v>5573.8</v>
      </c>
      <c r="D500" cm="1">
        <f t="array" ref="D500">IFERROR(IF(SUMPRODUCT((expected_production[Site Name]=A500)*(expected_production[Date]=B500)*ISNUMBER(expected_production[Expected Production (kWh)]))=0,"",SUMIFS(expected_production[Expected Production (kWh)],expected_production[Site Name],A500,expected_production[Date],B500)),"")</f>
        <v>5296.8991472641583</v>
      </c>
      <c r="E500" s="9">
        <f t="shared" si="16"/>
        <v>1.0522760288684863</v>
      </c>
      <c r="F500" t="str">
        <f t="shared" si="17"/>
        <v>Expected</v>
      </c>
      <c r="G500" t="s">
        <v>874</v>
      </c>
    </row>
    <row r="501" spans="1:7" ht="15" hidden="1" customHeight="1" x14ac:dyDescent="0.3">
      <c r="A501" t="s">
        <v>90</v>
      </c>
      <c r="B501" s="2">
        <v>46235</v>
      </c>
      <c r="C501" cm="1">
        <f t="array" ref="C501">IFERROR(IF(SUMPRODUCT((measured[Site Name]=A501)*(measured[Date]=B501)*ISNUMBER(measured[Measured Value (kWh)]))=0,"",SUMIFS(measured[Measured Value (kWh)],measured[Site Name],A501,measured[Date],B501)),"")</f>
        <v>4690</v>
      </c>
      <c r="D501" cm="1">
        <f t="array" ref="D501">IFERROR(IF(SUMPRODUCT((expected_production[Site Name]=A501)*(expected_production[Date]=B501)*ISNUMBER(expected_production[Expected Production (kWh)]))=0,"",SUMIFS(expected_production[Expected Production (kWh)],expected_production[Site Name],A501,expected_production[Date],B501)),"")</f>
        <v>3740.7399856536267</v>
      </c>
      <c r="E501" s="9">
        <f t="shared" si="16"/>
        <v>1.253762629315843</v>
      </c>
      <c r="F501" t="str">
        <f t="shared" si="17"/>
        <v>Expected</v>
      </c>
      <c r="G501" t="s">
        <v>874</v>
      </c>
    </row>
    <row r="502" spans="1:7" ht="15" customHeight="1" x14ac:dyDescent="0.3">
      <c r="A502" t="s">
        <v>90</v>
      </c>
      <c r="B502" s="2">
        <v>46266</v>
      </c>
      <c r="C502" cm="1">
        <f t="array" ref="C502">IFERROR(IF(SUMPRODUCT((measured[Site Name]=A502)*(measured[Date]=B502)*ISNUMBER(measured[Measured Value (kWh)]))=0,"",SUMIFS(measured[Measured Value (kWh)],measured[Site Name],A502,measured[Date],B502)),"")</f>
        <v>3950.63</v>
      </c>
      <c r="D502" cm="1">
        <f t="array" ref="D502">IFERROR(IF(SUMPRODUCT((expected_production[Site Name]=A502)*(expected_production[Date]=B502)*ISNUMBER(expected_production[Expected Production (kWh)]))=0,"",SUMIFS(expected_production[Expected Production (kWh)],expected_production[Site Name],A502,expected_production[Date],B502)),"")</f>
        <v>3688.7481901171182</v>
      </c>
      <c r="E502" s="9">
        <f t="shared" si="16"/>
        <v>1.0709947647238471</v>
      </c>
      <c r="F502" t="str">
        <f t="shared" si="17"/>
        <v>Expected</v>
      </c>
      <c r="G502" t="s">
        <v>874</v>
      </c>
    </row>
    <row r="503" spans="1:7" ht="15" hidden="1" customHeight="1" x14ac:dyDescent="0.3">
      <c r="A503" t="s">
        <v>90</v>
      </c>
      <c r="B503" s="2">
        <v>46296</v>
      </c>
      <c r="C503" t="str" cm="1">
        <f t="array" ref="C503">IFERROR(IF(SUMPRODUCT((measured[Site Name]=A503)*(measured[Date]=B503)*ISNUMBER(measured[Measured Value (kWh)]))=0,"",SUMIFS(measured[Measured Value (kWh)],measured[Site Name],A503,measured[Date],B503)),"")</f>
        <v/>
      </c>
      <c r="D503" cm="1">
        <f t="array" ref="D503">IFERROR(IF(SUMPRODUCT((expected_production[Site Name]=A503)*(expected_production[Date]=B503)*ISNUMBER(expected_production[Expected Production (kWh)]))=0,"",SUMIFS(expected_production[Expected Production (kWh)],expected_production[Site Name],A503,expected_production[Date],B503)),"")</f>
        <v>4106.0617948570243</v>
      </c>
      <c r="E503" s="9" t="str">
        <f t="shared" si="16"/>
        <v/>
      </c>
      <c r="F503" t="str">
        <f t="shared" si="17"/>
        <v/>
      </c>
    </row>
    <row r="504" spans="1:7" ht="15" hidden="1" customHeight="1" x14ac:dyDescent="0.3">
      <c r="A504" t="s">
        <v>90</v>
      </c>
      <c r="B504" s="2">
        <v>46327</v>
      </c>
      <c r="C504" t="str" cm="1">
        <f t="array" ref="C504">IFERROR(IF(SUMPRODUCT((measured[Site Name]=A504)*(measured[Date]=B504)*ISNUMBER(measured[Measured Value (kWh)]))=0,"",SUMIFS(measured[Measured Value (kWh)],measured[Site Name],A504,measured[Date],B504)),"")</f>
        <v/>
      </c>
      <c r="D504" cm="1">
        <f t="array" ref="D504">IFERROR(IF(SUMPRODUCT((expected_production[Site Name]=A504)*(expected_production[Date]=B504)*ISNUMBER(expected_production[Expected Production (kWh)]))=0,"",SUMIFS(expected_production[Expected Production (kWh)],expected_production[Site Name],A504,expected_production[Date],B504)),"")</f>
        <v>4197.179555403859</v>
      </c>
      <c r="E504" s="9" t="str">
        <f t="shared" si="16"/>
        <v/>
      </c>
      <c r="F504" t="str">
        <f t="shared" si="17"/>
        <v/>
      </c>
    </row>
    <row r="505" spans="1:7" ht="15" hidden="1" customHeight="1" x14ac:dyDescent="0.3">
      <c r="A505" t="s">
        <v>90</v>
      </c>
      <c r="B505" s="2">
        <v>46357</v>
      </c>
      <c r="C505" t="str" cm="1">
        <f t="array" ref="C505">IFERROR(IF(SUMPRODUCT((measured[Site Name]=A505)*(measured[Date]=B505)*ISNUMBER(measured[Measured Value (kWh)]))=0,"",SUMIFS(measured[Measured Value (kWh)],measured[Site Name],A505,measured[Date],B505)),"")</f>
        <v/>
      </c>
      <c r="D505" cm="1">
        <f t="array" ref="D505">IFERROR(IF(SUMPRODUCT((expected_production[Site Name]=A505)*(expected_production[Date]=B505)*ISNUMBER(expected_production[Expected Production (kWh)]))=0,"",SUMIFS(expected_production[Expected Production (kWh)],expected_production[Site Name],A505,expected_production[Date],B505)),"")</f>
        <v>4893.994697927913</v>
      </c>
      <c r="E505" s="9" t="str">
        <f t="shared" si="16"/>
        <v/>
      </c>
      <c r="F505" t="str">
        <f t="shared" si="17"/>
        <v/>
      </c>
    </row>
    <row r="506" spans="1:7" ht="15" hidden="1" customHeight="1" x14ac:dyDescent="0.3">
      <c r="A506" t="s">
        <v>93</v>
      </c>
      <c r="B506" s="2">
        <v>45292</v>
      </c>
      <c r="C506" t="str" cm="1">
        <f t="array" ref="C506">IFERROR(IF(SUMPRODUCT((measured[Site Name]=A506)*(measured[Date]=B506)*ISNUMBER(measured[Measured Value (kWh)]))=0,"",SUMIFS(measured[Measured Value (kWh)],measured[Site Name],A506,measured[Date],B506)),"")</f>
        <v/>
      </c>
      <c r="D506" cm="1">
        <f t="array" ref="D506">IFERROR(IF(SUMPRODUCT((expected_production[Site Name]=A506)*(expected_production[Date]=B506)*ISNUMBER(expected_production[Expected Production (kWh)]))=0,"",SUMIFS(expected_production[Expected Production (kWh)],expected_production[Site Name],A506,expected_production[Date],B506)),"")</f>
        <v>11798.1</v>
      </c>
      <c r="E506" s="9" t="str">
        <f t="shared" si="16"/>
        <v/>
      </c>
      <c r="F506" t="str">
        <f t="shared" si="17"/>
        <v/>
      </c>
    </row>
    <row r="507" spans="1:7" ht="15" hidden="1" customHeight="1" x14ac:dyDescent="0.3">
      <c r="A507" t="s">
        <v>93</v>
      </c>
      <c r="B507" s="2">
        <v>45323</v>
      </c>
      <c r="C507" t="str" cm="1">
        <f t="array" ref="C507">IFERROR(IF(SUMPRODUCT((measured[Site Name]=A507)*(measured[Date]=B507)*ISNUMBER(measured[Measured Value (kWh)]))=0,"",SUMIFS(measured[Measured Value (kWh)],measured[Site Name],A507,measured[Date],B507)),"")</f>
        <v/>
      </c>
      <c r="D507" cm="1">
        <f t="array" ref="D507">IFERROR(IF(SUMPRODUCT((expected_production[Site Name]=A507)*(expected_production[Date]=B507)*ISNUMBER(expected_production[Expected Production (kWh)]))=0,"",SUMIFS(expected_production[Expected Production (kWh)],expected_production[Site Name],A507,expected_production[Date],B507)),"")</f>
        <v>10269.9</v>
      </c>
      <c r="E507" s="9" t="str">
        <f t="shared" si="16"/>
        <v/>
      </c>
      <c r="F507" t="str">
        <f t="shared" si="17"/>
        <v/>
      </c>
    </row>
    <row r="508" spans="1:7" ht="15" hidden="1" customHeight="1" x14ac:dyDescent="0.3">
      <c r="A508" t="s">
        <v>93</v>
      </c>
      <c r="B508" s="2">
        <v>45352</v>
      </c>
      <c r="C508" t="str" cm="1">
        <f t="array" ref="C508">IFERROR(IF(SUMPRODUCT((measured[Site Name]=A508)*(measured[Date]=B508)*ISNUMBER(measured[Measured Value (kWh)]))=0,"",SUMIFS(measured[Measured Value (kWh)],measured[Site Name],A508,measured[Date],B508)),"")</f>
        <v/>
      </c>
      <c r="D508" cm="1">
        <f t="array" ref="D508">IFERROR(IF(SUMPRODUCT((expected_production[Site Name]=A508)*(expected_production[Date]=B508)*ISNUMBER(expected_production[Expected Production (kWh)]))=0,"",SUMIFS(expected_production[Expected Production (kWh)],expected_production[Site Name],A508,expected_production[Date],B508)),"")</f>
        <v>10571.4</v>
      </c>
      <c r="E508" s="9" t="str">
        <f t="shared" si="16"/>
        <v/>
      </c>
      <c r="F508" t="str">
        <f t="shared" si="17"/>
        <v/>
      </c>
    </row>
    <row r="509" spans="1:7" ht="15" hidden="1" customHeight="1" x14ac:dyDescent="0.3">
      <c r="A509" t="s">
        <v>93</v>
      </c>
      <c r="B509" s="2">
        <v>45383</v>
      </c>
      <c r="C509" t="str" cm="1">
        <f t="array" ref="C509">IFERROR(IF(SUMPRODUCT((measured[Site Name]=A509)*(measured[Date]=B509)*ISNUMBER(measured[Measured Value (kWh)]))=0,"",SUMIFS(measured[Measured Value (kWh)],measured[Site Name],A509,measured[Date],B509)),"")</f>
        <v/>
      </c>
      <c r="D509" cm="1">
        <f t="array" ref="D509">IFERROR(IF(SUMPRODUCT((expected_production[Site Name]=A509)*(expected_production[Date]=B509)*ISNUMBER(expected_production[Expected Production (kWh)]))=0,"",SUMIFS(expected_production[Expected Production (kWh)],expected_production[Site Name],A509,expected_production[Date],B509)),"")</f>
        <v>8335.7999999999993</v>
      </c>
      <c r="E509" s="9" t="str">
        <f t="shared" si="16"/>
        <v/>
      </c>
      <c r="F509" t="str">
        <f t="shared" si="17"/>
        <v/>
      </c>
    </row>
    <row r="510" spans="1:7" ht="15" hidden="1" customHeight="1" x14ac:dyDescent="0.3">
      <c r="A510" t="s">
        <v>93</v>
      </c>
      <c r="B510" s="2">
        <v>45413</v>
      </c>
      <c r="C510" t="str" cm="1">
        <f t="array" ref="C510">IFERROR(IF(SUMPRODUCT((measured[Site Name]=A510)*(measured[Date]=B510)*ISNUMBER(measured[Measured Value (kWh)]))=0,"",SUMIFS(measured[Measured Value (kWh)],measured[Site Name],A510,measured[Date],B510)),"")</f>
        <v/>
      </c>
      <c r="D510" cm="1">
        <f t="array" ref="D510">IFERROR(IF(SUMPRODUCT((expected_production[Site Name]=A510)*(expected_production[Date]=B510)*ISNUMBER(expected_production[Expected Production (kWh)]))=0,"",SUMIFS(expected_production[Expected Production (kWh)],expected_production[Site Name],A510,expected_production[Date],B510)),"")</f>
        <v>6723.9</v>
      </c>
      <c r="E510" s="9" t="str">
        <f t="shared" si="16"/>
        <v/>
      </c>
      <c r="F510" t="str">
        <f t="shared" si="17"/>
        <v/>
      </c>
    </row>
    <row r="511" spans="1:7" ht="15" hidden="1" customHeight="1" x14ac:dyDescent="0.3">
      <c r="A511" t="s">
        <v>93</v>
      </c>
      <c r="B511" s="2">
        <v>45444</v>
      </c>
      <c r="C511" t="str" cm="1">
        <f t="array" ref="C511">IFERROR(IF(SUMPRODUCT((measured[Site Name]=A511)*(measured[Date]=B511)*ISNUMBER(measured[Measured Value (kWh)]))=0,"",SUMIFS(measured[Measured Value (kWh)],measured[Site Name],A511,measured[Date],B511)),"")</f>
        <v/>
      </c>
      <c r="D511" cm="1">
        <f t="array" ref="D511">IFERROR(IF(SUMPRODUCT((expected_production[Site Name]=A511)*(expected_production[Date]=B511)*ISNUMBER(expected_production[Expected Production (kWh)]))=0,"",SUMIFS(expected_production[Expected Production (kWh)],expected_production[Site Name],A511,expected_production[Date],B511)),"")</f>
        <v>5859.9</v>
      </c>
      <c r="E511" s="9" t="str">
        <f t="shared" si="16"/>
        <v/>
      </c>
      <c r="F511" t="str">
        <f t="shared" si="17"/>
        <v/>
      </c>
    </row>
    <row r="512" spans="1:7" ht="15" hidden="1" customHeight="1" x14ac:dyDescent="0.3">
      <c r="A512" t="s">
        <v>93</v>
      </c>
      <c r="B512" s="2">
        <v>45474</v>
      </c>
      <c r="C512" t="str" cm="1">
        <f t="array" ref="C512">IFERROR(IF(SUMPRODUCT((measured[Site Name]=A512)*(measured[Date]=B512)*ISNUMBER(measured[Measured Value (kWh)]))=0,"",SUMIFS(measured[Measured Value (kWh)],measured[Site Name],A512,measured[Date],B512)),"")</f>
        <v/>
      </c>
      <c r="D512" cm="1">
        <f t="array" ref="D512">IFERROR(IF(SUMPRODUCT((expected_production[Site Name]=A512)*(expected_production[Date]=B512)*ISNUMBER(expected_production[Expected Production (kWh)]))=0,"",SUMIFS(expected_production[Expected Production (kWh)],expected_production[Site Name],A512,expected_production[Date],B512)),"")</f>
        <v>6453</v>
      </c>
      <c r="E512" s="9" t="str">
        <f t="shared" si="16"/>
        <v/>
      </c>
      <c r="F512" t="str">
        <f t="shared" si="17"/>
        <v/>
      </c>
    </row>
    <row r="513" spans="1:6" ht="15" hidden="1" customHeight="1" x14ac:dyDescent="0.3">
      <c r="A513" t="s">
        <v>93</v>
      </c>
      <c r="B513" s="2">
        <v>45505</v>
      </c>
      <c r="C513" t="str" cm="1">
        <f t="array" ref="C513">IFERROR(IF(SUMPRODUCT((measured[Site Name]=A513)*(measured[Date]=B513)*ISNUMBER(measured[Measured Value (kWh)]))=0,"",SUMIFS(measured[Measured Value (kWh)],measured[Site Name],A513,measured[Date],B513)),"")</f>
        <v/>
      </c>
      <c r="D513" cm="1">
        <f t="array" ref="D513">IFERROR(IF(SUMPRODUCT((expected_production[Site Name]=A513)*(expected_production[Date]=B513)*ISNUMBER(expected_production[Expected Production (kWh)]))=0,"",SUMIFS(expected_production[Expected Production (kWh)],expected_production[Site Name],A513,expected_production[Date],B513)),"")</f>
        <v>7491.6</v>
      </c>
      <c r="E513" s="9" t="str">
        <f t="shared" si="16"/>
        <v/>
      </c>
      <c r="F513" t="str">
        <f t="shared" si="17"/>
        <v/>
      </c>
    </row>
    <row r="514" spans="1:6" ht="15" hidden="1" customHeight="1" x14ac:dyDescent="0.3">
      <c r="A514" t="s">
        <v>93</v>
      </c>
      <c r="B514" s="2">
        <v>45536</v>
      </c>
      <c r="C514" t="str" cm="1">
        <f t="array" ref="C514">IFERROR(IF(SUMPRODUCT((measured[Site Name]=A514)*(measured[Date]=B514)*ISNUMBER(measured[Measured Value (kWh)]))=0,"",SUMIFS(measured[Measured Value (kWh)],measured[Site Name],A514,measured[Date],B514)),"")</f>
        <v/>
      </c>
      <c r="D514" cm="1">
        <f t="array" ref="D514">IFERROR(IF(SUMPRODUCT((expected_production[Site Name]=A514)*(expected_production[Date]=B514)*ISNUMBER(expected_production[Expected Production (kWh)]))=0,"",SUMIFS(expected_production[Expected Production (kWh)],expected_production[Site Name],A514,expected_production[Date],B514)),"")</f>
        <v>8859.4983036745452</v>
      </c>
      <c r="E514" s="9" t="str">
        <f t="shared" si="16"/>
        <v/>
      </c>
      <c r="F514" t="str">
        <f t="shared" si="17"/>
        <v/>
      </c>
    </row>
    <row r="515" spans="1:6" ht="15" hidden="1" customHeight="1" x14ac:dyDescent="0.3">
      <c r="A515" t="s">
        <v>93</v>
      </c>
      <c r="B515" s="2">
        <v>45566</v>
      </c>
      <c r="C515" t="str" cm="1">
        <f t="array" ref="C515">IFERROR(IF(SUMPRODUCT((measured[Site Name]=A515)*(measured[Date]=B515)*ISNUMBER(measured[Measured Value (kWh)]))=0,"",SUMIFS(measured[Measured Value (kWh)],measured[Site Name],A515,measured[Date],B515)),"")</f>
        <v/>
      </c>
      <c r="D515" cm="1">
        <f t="array" ref="D515">IFERROR(IF(SUMPRODUCT((expected_production[Site Name]=A515)*(expected_production[Date]=B515)*ISNUMBER(expected_production[Expected Production (kWh)]))=0,"",SUMIFS(expected_production[Expected Production (kWh)],expected_production[Site Name],A515,expected_production[Date],B515)),"")</f>
        <v>10350.347274334015</v>
      </c>
      <c r="E515" s="9" t="str">
        <f t="shared" si="16"/>
        <v/>
      </c>
      <c r="F515" t="str">
        <f t="shared" si="17"/>
        <v/>
      </c>
    </row>
    <row r="516" spans="1:6" ht="15" hidden="1" customHeight="1" x14ac:dyDescent="0.3">
      <c r="A516" t="s">
        <v>93</v>
      </c>
      <c r="B516" s="2">
        <v>45597</v>
      </c>
      <c r="C516" t="str" cm="1">
        <f t="array" ref="C516">IFERROR(IF(SUMPRODUCT((measured[Site Name]=A516)*(measured[Date]=B516)*ISNUMBER(measured[Measured Value (kWh)]))=0,"",SUMIFS(measured[Measured Value (kWh)],measured[Site Name],A516,measured[Date],B516)),"")</f>
        <v/>
      </c>
      <c r="D516" cm="1">
        <f t="array" ref="D516">IFERROR(IF(SUMPRODUCT((expected_production[Site Name]=A516)*(expected_production[Date]=B516)*ISNUMBER(expected_production[Expected Production (kWh)]))=0,"",SUMIFS(expected_production[Expected Production (kWh)],expected_production[Site Name],A516,expected_production[Date],B516)),"")</f>
        <v>10954.244828381175</v>
      </c>
      <c r="E516" s="9" t="str">
        <f t="shared" si="16"/>
        <v/>
      </c>
      <c r="F516" t="str">
        <f t="shared" si="17"/>
        <v/>
      </c>
    </row>
    <row r="517" spans="1:6" ht="15" hidden="1" customHeight="1" x14ac:dyDescent="0.3">
      <c r="A517" t="s">
        <v>93</v>
      </c>
      <c r="B517" s="2">
        <v>45627</v>
      </c>
      <c r="C517" t="str" cm="1">
        <f t="array" ref="C517">IFERROR(IF(SUMPRODUCT((measured[Site Name]=A517)*(measured[Date]=B517)*ISNUMBER(measured[Measured Value (kWh)]))=0,"",SUMIFS(measured[Measured Value (kWh)],measured[Site Name],A517,measured[Date],B517)),"")</f>
        <v/>
      </c>
      <c r="D517" cm="1">
        <f t="array" ref="D517">IFERROR(IF(SUMPRODUCT((expected_production[Site Name]=A517)*(expected_production[Date]=B517)*ISNUMBER(expected_production[Expected Production (kWh)]))=0,"",SUMIFS(expected_production[Expected Production (kWh)],expected_production[Site Name],A517,expected_production[Date],B517)),"")</f>
        <v>11604.335019475791</v>
      </c>
      <c r="E517" s="9" t="str">
        <f t="shared" si="16"/>
        <v/>
      </c>
      <c r="F517" t="str">
        <f t="shared" si="17"/>
        <v/>
      </c>
    </row>
    <row r="518" spans="1:6" ht="15" hidden="1" customHeight="1" x14ac:dyDescent="0.3">
      <c r="A518" t="s">
        <v>93</v>
      </c>
      <c r="B518" s="2">
        <v>45658</v>
      </c>
      <c r="C518" t="str" cm="1">
        <f t="array" ref="C518">IFERROR(IF(SUMPRODUCT((measured[Site Name]=A518)*(measured[Date]=B518)*ISNUMBER(measured[Measured Value (kWh)]))=0,"",SUMIFS(measured[Measured Value (kWh)],measured[Site Name],A518,measured[Date],B518)),"")</f>
        <v/>
      </c>
      <c r="D518" cm="1">
        <f t="array" ref="D518">IFERROR(IF(SUMPRODUCT((expected_production[Site Name]=A518)*(expected_production[Date]=B518)*ISNUMBER(expected_production[Expected Production (kWh)]))=0,"",SUMIFS(expected_production[Expected Production (kWh)],expected_production[Site Name],A518,expected_production[Date],B518)),"")</f>
        <v>11764.339526685373</v>
      </c>
      <c r="E518" s="9" t="str">
        <f t="shared" si="16"/>
        <v/>
      </c>
      <c r="F518" t="str">
        <f t="shared" si="17"/>
        <v/>
      </c>
    </row>
    <row r="519" spans="1:6" ht="15" hidden="1" customHeight="1" x14ac:dyDescent="0.3">
      <c r="A519" t="s">
        <v>93</v>
      </c>
      <c r="B519" s="2">
        <v>45689</v>
      </c>
      <c r="C519" t="str" cm="1">
        <f t="array" ref="C519">IFERROR(IF(SUMPRODUCT((measured[Site Name]=A519)*(measured[Date]=B519)*ISNUMBER(measured[Measured Value (kWh)]))=0,"",SUMIFS(measured[Measured Value (kWh)],measured[Site Name],A519,measured[Date],B519)),"")</f>
        <v/>
      </c>
      <c r="D519" cm="1">
        <f t="array" ref="D519">IFERROR(IF(SUMPRODUCT((expected_production[Site Name]=A519)*(expected_production[Date]=B519)*ISNUMBER(expected_production[Expected Production (kWh)]))=0,"",SUMIFS(expected_production[Expected Production (kWh)],expected_production[Site Name],A519,expected_production[Date],B519)),"")</f>
        <v>10234.408895926763</v>
      </c>
      <c r="E519" s="9" t="str">
        <f t="shared" si="16"/>
        <v/>
      </c>
      <c r="F519" t="str">
        <f t="shared" si="17"/>
        <v/>
      </c>
    </row>
    <row r="520" spans="1:6" ht="15" hidden="1" customHeight="1" x14ac:dyDescent="0.3">
      <c r="A520" t="s">
        <v>93</v>
      </c>
      <c r="B520" s="2">
        <v>45717</v>
      </c>
      <c r="C520" t="str" cm="1">
        <f t="array" ref="C520">IFERROR(IF(SUMPRODUCT((measured[Site Name]=A520)*(measured[Date]=B520)*ISNUMBER(measured[Measured Value (kWh)]))=0,"",SUMIFS(measured[Measured Value (kWh)],measured[Site Name],A520,measured[Date],B520)),"")</f>
        <v/>
      </c>
      <c r="D520" cm="1">
        <f t="array" ref="D520">IFERROR(IF(SUMPRODUCT((expected_production[Site Name]=A520)*(expected_production[Date]=B520)*ISNUMBER(expected_production[Expected Production (kWh)]))=0,"",SUMIFS(expected_production[Expected Production (kWh)],expected_production[Site Name],A520,expected_production[Date],B520)),"")</f>
        <v>10529.19540195075</v>
      </c>
      <c r="E520" s="9" t="str">
        <f t="shared" si="16"/>
        <v/>
      </c>
      <c r="F520" t="str">
        <f t="shared" si="17"/>
        <v/>
      </c>
    </row>
    <row r="521" spans="1:6" ht="15" hidden="1" customHeight="1" x14ac:dyDescent="0.3">
      <c r="A521" t="s">
        <v>93</v>
      </c>
      <c r="B521" s="2">
        <v>45748</v>
      </c>
      <c r="C521" t="str" cm="1">
        <f t="array" ref="C521">IFERROR(IF(SUMPRODUCT((measured[Site Name]=A521)*(measured[Date]=B521)*ISNUMBER(measured[Measured Value (kWh)]))=0,"",SUMIFS(measured[Measured Value (kWh)],measured[Site Name],A521,measured[Date],B521)),"")</f>
        <v/>
      </c>
      <c r="D521" cm="1">
        <f t="array" ref="D521">IFERROR(IF(SUMPRODUCT((expected_production[Site Name]=A521)*(expected_production[Date]=B521)*ISNUMBER(expected_production[Expected Production (kWh)]))=0,"",SUMIFS(expected_production[Expected Production (kWh)],expected_production[Site Name],A521,expected_production[Date],B521)),"")</f>
        <v>8297.5721614143913</v>
      </c>
      <c r="E521" s="9" t="str">
        <f t="shared" si="16"/>
        <v/>
      </c>
      <c r="F521" t="str">
        <f t="shared" si="17"/>
        <v/>
      </c>
    </row>
    <row r="522" spans="1:6" ht="15" hidden="1" customHeight="1" x14ac:dyDescent="0.3">
      <c r="A522" t="s">
        <v>93</v>
      </c>
      <c r="B522" s="2">
        <v>45778</v>
      </c>
      <c r="C522" t="str" cm="1">
        <f t="array" ref="C522">IFERROR(IF(SUMPRODUCT((measured[Site Name]=A522)*(measured[Date]=B522)*ISNUMBER(measured[Measured Value (kWh)]))=0,"",SUMIFS(measured[Measured Value (kWh)],measured[Site Name],A522,measured[Date],B522)),"")</f>
        <v/>
      </c>
      <c r="D522" cm="1">
        <f t="array" ref="D522">IFERROR(IF(SUMPRODUCT((expected_production[Site Name]=A522)*(expected_production[Date]=B522)*ISNUMBER(expected_production[Expected Production (kWh)]))=0,"",SUMIFS(expected_production[Expected Production (kWh)],expected_production[Site Name],A522,expected_production[Date],B522)),"")</f>
        <v>6689.2037213651092</v>
      </c>
      <c r="E522" s="9" t="str">
        <f t="shared" si="16"/>
        <v/>
      </c>
      <c r="F522" t="str">
        <f t="shared" si="17"/>
        <v/>
      </c>
    </row>
    <row r="523" spans="1:6" ht="15" hidden="1" customHeight="1" x14ac:dyDescent="0.3">
      <c r="A523" t="s">
        <v>93</v>
      </c>
      <c r="B523" s="2">
        <v>45809</v>
      </c>
      <c r="C523" t="str" cm="1">
        <f t="array" ref="C523">IFERROR(IF(SUMPRODUCT((measured[Site Name]=A523)*(measured[Date]=B523)*ISNUMBER(measured[Measured Value (kWh)]))=0,"",SUMIFS(measured[Measured Value (kWh)],measured[Site Name],A523,measured[Date],B523)),"")</f>
        <v/>
      </c>
      <c r="D523" cm="1">
        <f t="array" ref="D523">IFERROR(IF(SUMPRODUCT((expected_production[Site Name]=A523)*(expected_production[Date]=B523)*ISNUMBER(expected_production[Expected Production (kWh)]))=0,"",SUMIFS(expected_production[Expected Production (kWh)],expected_production[Site Name],A523,expected_production[Date],B523)),"")</f>
        <v>5826.1874592226204</v>
      </c>
      <c r="E523" s="9" t="str">
        <f t="shared" si="16"/>
        <v/>
      </c>
      <c r="F523" t="str">
        <f t="shared" si="17"/>
        <v/>
      </c>
    </row>
    <row r="524" spans="1:6" ht="15" hidden="1" customHeight="1" x14ac:dyDescent="0.3">
      <c r="A524" t="s">
        <v>93</v>
      </c>
      <c r="B524" s="2">
        <v>45839</v>
      </c>
      <c r="C524" t="str" cm="1">
        <f t="array" ref="C524">IFERROR(IF(SUMPRODUCT((measured[Site Name]=A524)*(measured[Date]=B524)*ISNUMBER(measured[Measured Value (kWh)]))=0,"",SUMIFS(measured[Measured Value (kWh)],measured[Site Name],A524,measured[Date],B524)),"")</f>
        <v/>
      </c>
      <c r="D524" cm="1">
        <f t="array" ref="D524">IFERROR(IF(SUMPRODUCT((expected_production[Site Name]=A524)*(expected_production[Date]=B524)*ISNUMBER(expected_production[Expected Production (kWh)]))=0,"",SUMIFS(expected_production[Expected Production (kWh)],expected_production[Site Name],A524,expected_production[Date],B524)),"")</f>
        <v>6412.1745980594787</v>
      </c>
      <c r="E524" s="9" t="str">
        <f t="shared" si="16"/>
        <v/>
      </c>
      <c r="F524" t="str">
        <f t="shared" si="17"/>
        <v/>
      </c>
    </row>
    <row r="525" spans="1:6" ht="15" hidden="1" customHeight="1" x14ac:dyDescent="0.3">
      <c r="A525" t="s">
        <v>93</v>
      </c>
      <c r="B525" s="2">
        <v>45870</v>
      </c>
      <c r="C525" t="str" cm="1">
        <f t="array" ref="C525">IFERROR(IF(SUMPRODUCT((measured[Site Name]=A525)*(measured[Date]=B525)*ISNUMBER(measured[Measured Value (kWh)]))=0,"",SUMIFS(measured[Measured Value (kWh)],measured[Site Name],A525,measured[Date],B525)),"")</f>
        <v/>
      </c>
      <c r="D525" cm="1">
        <f t="array" ref="D525">IFERROR(IF(SUMPRODUCT((expected_production[Site Name]=A525)*(expected_production[Date]=B525)*ISNUMBER(expected_production[Expected Production (kWh)]))=0,"",SUMIFS(expected_production[Expected Production (kWh)],expected_production[Site Name],A525,expected_production[Date],B525)),"")</f>
        <v>7439.7668829227187</v>
      </c>
      <c r="E525" s="9" t="str">
        <f t="shared" si="16"/>
        <v/>
      </c>
      <c r="F525" t="str">
        <f t="shared" si="17"/>
        <v/>
      </c>
    </row>
    <row r="526" spans="1:6" ht="15" hidden="1" customHeight="1" x14ac:dyDescent="0.3">
      <c r="A526" t="s">
        <v>93</v>
      </c>
      <c r="B526" s="2">
        <v>45901</v>
      </c>
      <c r="C526" cm="1">
        <f t="array" ref="C526">IFERROR(IF(SUMPRODUCT((measured[Site Name]=A526)*(measured[Date]=B526)*ISNUMBER(measured[Measured Value (kWh)]))=0,"",SUMIFS(measured[Measured Value (kWh)],measured[Site Name],A526,measured[Date],B526)),"")</f>
        <v>8715</v>
      </c>
      <c r="D526" cm="1">
        <f t="array" ref="D526">IFERROR(IF(SUMPRODUCT((expected_production[Site Name]=A526)*(expected_production[Date]=B526)*ISNUMBER(expected_production[Expected Production (kWh)]))=0,"",SUMIFS(expected_production[Expected Production (kWh)],expected_production[Site Name],A526,expected_production[Date],B526)),"")</f>
        <v>8797.5241147074394</v>
      </c>
      <c r="E526" s="9">
        <f t="shared" si="16"/>
        <v>0.9906196205169272</v>
      </c>
      <c r="F526" t="str">
        <f t="shared" si="17"/>
        <v>Expected</v>
      </c>
    </row>
    <row r="527" spans="1:6" ht="15" hidden="1" customHeight="1" x14ac:dyDescent="0.3">
      <c r="A527" t="s">
        <v>93</v>
      </c>
      <c r="B527" s="2">
        <v>45931</v>
      </c>
      <c r="C527" cm="1">
        <f t="array" ref="C527">IFERROR(IF(SUMPRODUCT((measured[Site Name]=A527)*(measured[Date]=B527)*ISNUMBER(measured[Measured Value (kWh)]))=0,"",SUMIFS(measured[Measured Value (kWh)],measured[Site Name],A527,measured[Date],B527)),"")</f>
        <v>11487.6</v>
      </c>
      <c r="D527" cm="1">
        <f t="array" ref="D527">IFERROR(IF(SUMPRODUCT((expected_production[Site Name]=A527)*(expected_production[Date]=B527)*ISNUMBER(expected_production[Expected Production (kWh)]))=0,"",SUMIFS(expected_production[Expected Production (kWh)],expected_production[Site Name],A527,expected_production[Date],B527)),"")</f>
        <v>10277.944260543865</v>
      </c>
      <c r="E527" s="9">
        <f t="shared" si="16"/>
        <v>1.117694327658489</v>
      </c>
      <c r="F527" t="str">
        <f t="shared" si="17"/>
        <v>Expected</v>
      </c>
    </row>
    <row r="528" spans="1:6" ht="15" hidden="1" customHeight="1" x14ac:dyDescent="0.3">
      <c r="A528" t="s">
        <v>93</v>
      </c>
      <c r="B528" s="2">
        <v>45962</v>
      </c>
      <c r="C528" cm="1">
        <f t="array" ref="C528">IFERROR(IF(SUMPRODUCT((measured[Site Name]=A528)*(measured[Date]=B528)*ISNUMBER(measured[Measured Value (kWh)]))=0,"",SUMIFS(measured[Measured Value (kWh)],measured[Site Name],A528,measured[Date],B528)),"")</f>
        <v>11643</v>
      </c>
      <c r="D528" cm="1">
        <f t="array" ref="D528">IFERROR(IF(SUMPRODUCT((expected_production[Site Name]=A528)*(expected_production[Date]=B528)*ISNUMBER(expected_production[Expected Production (kWh)]))=0,"",SUMIFS(expected_production[Expected Production (kWh)],expected_production[Site Name],A528,expected_production[Date],B528)),"")</f>
        <v>10877.617414986393</v>
      </c>
      <c r="E528" s="9">
        <f t="shared" si="16"/>
        <v>1.0703630727036895</v>
      </c>
      <c r="F528" t="str">
        <f t="shared" si="17"/>
        <v>Expected</v>
      </c>
    </row>
    <row r="529" spans="1:7" ht="15" hidden="1" customHeight="1" x14ac:dyDescent="0.3">
      <c r="A529" t="s">
        <v>93</v>
      </c>
      <c r="B529" s="2">
        <v>45992</v>
      </c>
      <c r="C529" cm="1">
        <f t="array" ref="C529">IFERROR(IF(SUMPRODUCT((measured[Site Name]=A529)*(measured[Date]=B529)*ISNUMBER(measured[Measured Value (kWh)]))=0,"",SUMIFS(measured[Measured Value (kWh)],measured[Site Name],A529,measured[Date],B529)),"")</f>
        <v>11559</v>
      </c>
      <c r="D529" cm="1">
        <f t="array" ref="D529">IFERROR(IF(SUMPRODUCT((expected_production[Site Name]=A529)*(expected_production[Date]=B529)*ISNUMBER(expected_production[Expected Production (kWh)]))=0,"",SUMIFS(expected_production[Expected Production (kWh)],expected_production[Site Name],A529,expected_production[Date],B529)),"")</f>
        <v>11523.160078561099</v>
      </c>
      <c r="E529" s="9">
        <f t="shared" si="16"/>
        <v>1.0031102511112018</v>
      </c>
      <c r="F529" t="str">
        <f t="shared" si="17"/>
        <v>Expected</v>
      </c>
    </row>
    <row r="530" spans="1:7" ht="15" hidden="1" customHeight="1" x14ac:dyDescent="0.3">
      <c r="A530" t="s">
        <v>93</v>
      </c>
      <c r="B530" s="2">
        <v>46023</v>
      </c>
      <c r="C530" cm="1">
        <f t="array" ref="C530">IFERROR(IF(SUMPRODUCT((measured[Site Name]=A530)*(measured[Date]=B530)*ISNUMBER(measured[Measured Value (kWh)]))=0,"",SUMIFS(measured[Measured Value (kWh)],measured[Site Name],A530,measured[Date],B530)),"")</f>
        <v>12880</v>
      </c>
      <c r="D530" cm="1">
        <f t="array" ref="D530">IFERROR(IF(SUMPRODUCT((expected_production[Site Name]=A530)*(expected_production[Date]=B530)*ISNUMBER(expected_production[Expected Production (kWh)]))=0,"",SUMIFS(expected_production[Expected Production (kWh)],expected_production[Site Name],A530,expected_production[Date],B530)),"")</f>
        <v>11682.045318152412</v>
      </c>
      <c r="E530" s="9">
        <f t="shared" si="16"/>
        <v>1.1025466559341384</v>
      </c>
      <c r="F530" t="str">
        <f t="shared" si="17"/>
        <v>Expected</v>
      </c>
    </row>
    <row r="531" spans="1:7" ht="15" hidden="1" customHeight="1" x14ac:dyDescent="0.3">
      <c r="A531" t="s">
        <v>93</v>
      </c>
      <c r="B531" s="2">
        <v>46054</v>
      </c>
      <c r="C531" cm="1">
        <f t="array" ref="C531">IFERROR(IF(SUMPRODUCT((measured[Site Name]=A531)*(measured[Date]=B531)*ISNUMBER(measured[Measured Value (kWh)]))=0,"",SUMIFS(measured[Measured Value (kWh)],measured[Site Name],A531,measured[Date],B531)),"")</f>
        <v>9660</v>
      </c>
      <c r="D531" cm="1">
        <f t="array" ref="D531">IFERROR(IF(SUMPRODUCT((expected_production[Site Name]=A531)*(expected_production[Date]=B531)*ISNUMBER(expected_production[Expected Production (kWh)]))=0,"",SUMIFS(expected_production[Expected Production (kWh)],expected_production[Site Name],A531,expected_production[Date],B531)),"")</f>
        <v>10162.816897244429</v>
      </c>
      <c r="E531" s="9">
        <f t="shared" si="16"/>
        <v>0.95052386534871414</v>
      </c>
      <c r="F531" t="str">
        <f t="shared" si="17"/>
        <v>Expected</v>
      </c>
    </row>
    <row r="532" spans="1:7" ht="15" hidden="1" customHeight="1" x14ac:dyDescent="0.3">
      <c r="A532" t="s">
        <v>93</v>
      </c>
      <c r="B532" s="2">
        <v>46082</v>
      </c>
      <c r="C532" cm="1">
        <f t="array" ref="C532">IFERROR(IF(SUMPRODUCT((measured[Site Name]=A532)*(measured[Date]=B532)*ISNUMBER(measured[Measured Value (kWh)]))=0,"",SUMIFS(measured[Measured Value (kWh)],measured[Site Name],A532,measured[Date],B532)),"")</f>
        <v>9967</v>
      </c>
      <c r="D532" cm="1">
        <f t="array" ref="D532">IFERROR(IF(SUMPRODUCT((expected_production[Site Name]=A532)*(expected_production[Date]=B532)*ISNUMBER(expected_production[Expected Production (kWh)]))=0,"",SUMIFS(expected_production[Expected Production (kWh)],expected_production[Site Name],A532,expected_production[Date],B532)),"")</f>
        <v>10455.541305167251</v>
      </c>
      <c r="E532" s="9">
        <f t="shared" si="16"/>
        <v>0.95327441297316584</v>
      </c>
      <c r="F532" t="str">
        <f t="shared" si="17"/>
        <v>Expected</v>
      </c>
    </row>
    <row r="533" spans="1:7" ht="15" hidden="1" customHeight="1" x14ac:dyDescent="0.3">
      <c r="A533" t="s">
        <v>93</v>
      </c>
      <c r="B533" s="2">
        <v>46113</v>
      </c>
      <c r="C533" cm="1">
        <f t="array" ref="C533">IFERROR(IF(SUMPRODUCT((measured[Site Name]=A533)*(measured[Date]=B533)*ISNUMBER(measured[Measured Value (kWh)]))=0,"",SUMIFS(measured[Measured Value (kWh)],measured[Site Name],A533,measured[Date],B533)),"")</f>
        <v>4183</v>
      </c>
      <c r="D533" cm="1">
        <f t="array" ref="D533">IFERROR(IF(SUMPRODUCT((expected_production[Site Name]=A533)*(expected_production[Date]=B533)*ISNUMBER(expected_production[Expected Production (kWh)]))=0,"",SUMIFS(expected_production[Expected Production (kWh)],expected_production[Site Name],A533,expected_production[Date],B533)),"")</f>
        <v>8239.5287725594699</v>
      </c>
      <c r="E533" s="9">
        <f t="shared" si="16"/>
        <v>0.5076746638631644</v>
      </c>
      <c r="F533" t="str">
        <f t="shared" si="17"/>
        <v>Poor</v>
      </c>
    </row>
    <row r="534" spans="1:7" ht="15" hidden="1" customHeight="1" x14ac:dyDescent="0.3">
      <c r="A534" t="s">
        <v>93</v>
      </c>
      <c r="B534" s="2">
        <v>46143</v>
      </c>
      <c r="C534" t="str" cm="1">
        <f t="array" ref="C534">IFERROR(IF(SUMPRODUCT((measured[Site Name]=A534)*(measured[Date]=B534)*ISNUMBER(measured[Measured Value (kWh)]))=0,"",SUMIFS(measured[Measured Value (kWh)],measured[Site Name],A534,measured[Date],B534)),"")</f>
        <v/>
      </c>
      <c r="D534" cm="1">
        <f t="array" ref="D534">IFERROR(IF(SUMPRODUCT((expected_production[Site Name]=A534)*(expected_production[Date]=B534)*ISNUMBER(expected_production[Expected Production (kWh)]))=0,"",SUMIFS(expected_production[Expected Production (kWh)],expected_production[Site Name],A534,expected_production[Date],B534)),"")</f>
        <v>6642.4112325290971</v>
      </c>
      <c r="E534" s="9" t="str">
        <f t="shared" ref="E534:E597" si="18">IF(OR(C534="",D534="",D534=0),"",C534/D534)</f>
        <v/>
      </c>
      <c r="F534" t="str">
        <f t="shared" ref="F534:F597" si="19">IF(E534="","",IF(E534&gt;=0.9,"Expected",IF(E534&gt;=0.7,"Moderate","Poor")))</f>
        <v/>
      </c>
    </row>
    <row r="535" spans="1:7" ht="15" hidden="1" customHeight="1" x14ac:dyDescent="0.3">
      <c r="A535" t="s">
        <v>93</v>
      </c>
      <c r="B535" s="2">
        <v>46174</v>
      </c>
      <c r="C535" t="str" cm="1">
        <f t="array" ref="C535">IFERROR(IF(SUMPRODUCT((measured[Site Name]=A535)*(measured[Date]=B535)*ISNUMBER(measured[Measured Value (kWh)]))=0,"",SUMIFS(measured[Measured Value (kWh)],measured[Site Name],A535,measured[Date],B535)),"")</f>
        <v/>
      </c>
      <c r="D535" cm="1">
        <f t="array" ref="D535">IFERROR(IF(SUMPRODUCT((expected_production[Site Name]=A535)*(expected_production[Date]=B535)*ISNUMBER(expected_production[Expected Production (kWh)]))=0,"",SUMIFS(expected_production[Expected Production (kWh)],expected_production[Site Name],A535,expected_production[Date],B535)),"")</f>
        <v>5785.43196380073</v>
      </c>
      <c r="E535" s="9" t="str">
        <f t="shared" si="18"/>
        <v/>
      </c>
      <c r="F535" t="str">
        <f t="shared" si="19"/>
        <v/>
      </c>
    </row>
    <row r="536" spans="1:7" ht="15" hidden="1" customHeight="1" x14ac:dyDescent="0.3">
      <c r="A536" t="s">
        <v>85</v>
      </c>
      <c r="B536" s="2">
        <v>46204</v>
      </c>
      <c r="C536" cm="1">
        <f t="array" ref="C536">IFERROR(IF(SUMPRODUCT((measured[Site Name]=A536)*(measured[Date]=B536)*ISNUMBER(measured[Measured Value (kWh)]))=0,"",SUMIFS(measured[Measured Value (kWh)],measured[Site Name],A536,measured[Date],B536)),"")</f>
        <v>3646</v>
      </c>
      <c r="D536" cm="1">
        <f t="array" ref="D536">IFERROR(IF(SUMPRODUCT((expected_production[Site Name]=A536)*(expected_production[Date]=B536)*ISNUMBER(expected_production[Expected Production (kWh)]))=0,"",SUMIFS(expected_production[Expected Production (kWh)],expected_production[Site Name],A536,expected_production[Date],B536)),"")</f>
        <v>3761.5008476472831</v>
      </c>
      <c r="E536" s="9">
        <f t="shared" si="18"/>
        <v>0.9692939461333564</v>
      </c>
      <c r="F536" t="str">
        <f t="shared" si="19"/>
        <v>Expected</v>
      </c>
      <c r="G536" t="s">
        <v>874</v>
      </c>
    </row>
    <row r="537" spans="1:7" ht="15" hidden="1" customHeight="1" x14ac:dyDescent="0.3">
      <c r="A537" t="s">
        <v>93</v>
      </c>
      <c r="B537" s="2">
        <v>46235</v>
      </c>
      <c r="C537" t="str" cm="1">
        <f t="array" ref="C537">IFERROR(IF(SUMPRODUCT((measured[Site Name]=A537)*(measured[Date]=B537)*ISNUMBER(measured[Measured Value (kWh)]))=0,"",SUMIFS(measured[Measured Value (kWh)],measured[Site Name],A537,measured[Date],B537)),"")</f>
        <v/>
      </c>
      <c r="D537" cm="1">
        <f t="array" ref="D537">IFERROR(IF(SUMPRODUCT((expected_production[Site Name]=A537)*(expected_production[Date]=B537)*ISNUMBER(expected_production[Expected Production (kWh)]))=0,"",SUMIFS(expected_production[Expected Production (kWh)],expected_production[Site Name],A537,expected_production[Date],B537)),"")</f>
        <v>7387.7240354758997</v>
      </c>
      <c r="E537" s="9" t="str">
        <f t="shared" si="18"/>
        <v/>
      </c>
      <c r="F537" t="str">
        <f t="shared" si="19"/>
        <v/>
      </c>
      <c r="G537" t="s">
        <v>875</v>
      </c>
    </row>
    <row r="538" spans="1:7" ht="15" customHeight="1" x14ac:dyDescent="0.3">
      <c r="A538" t="s">
        <v>93</v>
      </c>
      <c r="B538" s="2">
        <v>46266</v>
      </c>
      <c r="C538" t="str" cm="1">
        <f t="array" ref="C538">IFERROR(IF(SUMPRODUCT((measured[Site Name]=A538)*(measured[Date]=B538)*ISNUMBER(measured[Measured Value (kWh)]))=0,"",SUMIFS(measured[Measured Value (kWh)],measured[Site Name],A538,measured[Date],B538)),"")</f>
        <v/>
      </c>
      <c r="D538" cm="1">
        <f t="array" ref="D538">IFERROR(IF(SUMPRODUCT((expected_production[Site Name]=A538)*(expected_production[Date]=B538)*ISNUMBER(expected_production[Expected Production (kWh)]))=0,"",SUMIFS(expected_production[Expected Production (kWh)],expected_production[Site Name],A538,expected_production[Date],B538)),"")</f>
        <v>8735.9834491709462</v>
      </c>
      <c r="E538" s="9" t="str">
        <f t="shared" si="18"/>
        <v/>
      </c>
      <c r="F538" t="str">
        <f t="shared" si="19"/>
        <v/>
      </c>
      <c r="G538" t="s">
        <v>874</v>
      </c>
    </row>
    <row r="539" spans="1:7" ht="15" hidden="1" customHeight="1" x14ac:dyDescent="0.3">
      <c r="A539" t="s">
        <v>93</v>
      </c>
      <c r="B539" s="2">
        <v>46296</v>
      </c>
      <c r="C539" t="str" cm="1">
        <f t="array" ref="C539">IFERROR(IF(SUMPRODUCT((measured[Site Name]=A539)*(measured[Date]=B539)*ISNUMBER(measured[Measured Value (kWh)]))=0,"",SUMIFS(measured[Measured Value (kWh)],measured[Site Name],A539,measured[Date],B539)),"")</f>
        <v/>
      </c>
      <c r="D539" cm="1">
        <f t="array" ref="D539">IFERROR(IF(SUMPRODUCT((expected_production[Site Name]=A539)*(expected_production[Date]=B539)*ISNUMBER(expected_production[Expected Production (kWh)]))=0,"",SUMIFS(expected_production[Expected Production (kWh)],expected_production[Site Name],A539,expected_production[Date],B539)),"")</f>
        <v>10206.047722166275</v>
      </c>
      <c r="E539" s="9" t="str">
        <f t="shared" si="18"/>
        <v/>
      </c>
      <c r="F539" t="str">
        <f t="shared" si="19"/>
        <v/>
      </c>
    </row>
    <row r="540" spans="1:7" ht="15" hidden="1" customHeight="1" x14ac:dyDescent="0.3">
      <c r="A540" t="s">
        <v>93</v>
      </c>
      <c r="B540" s="2">
        <v>46327</v>
      </c>
      <c r="C540" t="str" cm="1">
        <f t="array" ref="C540">IFERROR(IF(SUMPRODUCT((measured[Site Name]=A540)*(measured[Date]=B540)*ISNUMBER(measured[Measured Value (kWh)]))=0,"",SUMIFS(measured[Measured Value (kWh)],measured[Site Name],A540,measured[Date],B540)),"")</f>
        <v/>
      </c>
      <c r="D540" cm="1">
        <f t="array" ref="D540">IFERROR(IF(SUMPRODUCT((expected_production[Site Name]=A540)*(expected_production[Date]=B540)*ISNUMBER(expected_production[Expected Production (kWh)]))=0,"",SUMIFS(expected_production[Expected Production (kWh)],expected_production[Site Name],A540,expected_production[Date],B540)),"")</f>
        <v>10801.526027632251</v>
      </c>
      <c r="E540" s="9" t="str">
        <f t="shared" si="18"/>
        <v/>
      </c>
      <c r="F540" t="str">
        <f t="shared" si="19"/>
        <v/>
      </c>
    </row>
    <row r="541" spans="1:7" ht="15" hidden="1" customHeight="1" x14ac:dyDescent="0.3">
      <c r="A541" t="s">
        <v>93</v>
      </c>
      <c r="B541" s="2">
        <v>46357</v>
      </c>
      <c r="C541" t="str" cm="1">
        <f t="array" ref="C541">IFERROR(IF(SUMPRODUCT((measured[Site Name]=A541)*(measured[Date]=B541)*ISNUMBER(measured[Measured Value (kWh)]))=0,"",SUMIFS(measured[Measured Value (kWh)],measured[Site Name],A541,measured[Date],B541)),"")</f>
        <v/>
      </c>
      <c r="D541" cm="1">
        <f t="array" ref="D541">IFERROR(IF(SUMPRODUCT((expected_production[Site Name]=A541)*(expected_production[Date]=B541)*ISNUMBER(expected_production[Expected Production (kWh)]))=0,"",SUMIFS(expected_production[Expected Production (kWh)],expected_production[Site Name],A541,expected_production[Date],B541)),"")</f>
        <v>11442.552974667782</v>
      </c>
      <c r="E541" s="9" t="str">
        <f t="shared" si="18"/>
        <v/>
      </c>
      <c r="F541" t="str">
        <f t="shared" si="19"/>
        <v/>
      </c>
    </row>
    <row r="542" spans="1:7" ht="15" hidden="1" customHeight="1" x14ac:dyDescent="0.3">
      <c r="A542" t="s">
        <v>95</v>
      </c>
      <c r="B542" s="2">
        <v>45292</v>
      </c>
      <c r="C542" t="str" cm="1">
        <f t="array" ref="C542">IFERROR(IF(SUMPRODUCT((measured[Site Name]=A542)*(measured[Date]=B542)*ISNUMBER(measured[Measured Value (kWh)]))=0,"",SUMIFS(measured[Measured Value (kWh)],measured[Site Name],A542,measured[Date],B542)),"")</f>
        <v/>
      </c>
      <c r="D542" cm="1">
        <f t="array" ref="D542">IFERROR(IF(SUMPRODUCT((expected_production[Site Name]=A542)*(expected_production[Date]=B542)*ISNUMBER(expected_production[Expected Production (kWh)]))=0,"",SUMIFS(expected_production[Expected Production (kWh)],expected_production[Site Name],A542,expected_production[Date],B542)),"")</f>
        <v>33516</v>
      </c>
      <c r="E542" s="9" t="str">
        <f t="shared" si="18"/>
        <v/>
      </c>
      <c r="F542" t="str">
        <f t="shared" si="19"/>
        <v/>
      </c>
    </row>
    <row r="543" spans="1:7" ht="15" hidden="1" customHeight="1" x14ac:dyDescent="0.3">
      <c r="A543" t="s">
        <v>95</v>
      </c>
      <c r="B543" s="2">
        <v>45323</v>
      </c>
      <c r="C543" t="str" cm="1">
        <f t="array" ref="C543">IFERROR(IF(SUMPRODUCT((measured[Site Name]=A543)*(measured[Date]=B543)*ISNUMBER(measured[Measured Value (kWh)]))=0,"",SUMIFS(measured[Measured Value (kWh)],measured[Site Name],A543,measured[Date],B543)),"")</f>
        <v/>
      </c>
      <c r="D543" cm="1">
        <f t="array" ref="D543">IFERROR(IF(SUMPRODUCT((expected_production[Site Name]=A543)*(expected_production[Date]=B543)*ISNUMBER(expected_production[Expected Production (kWh)]))=0,"",SUMIFS(expected_production[Expected Production (kWh)],expected_production[Site Name],A543,expected_production[Date],B543)),"")</f>
        <v>28776.799999999999</v>
      </c>
      <c r="E543" s="9" t="str">
        <f t="shared" si="18"/>
        <v/>
      </c>
      <c r="F543" t="str">
        <f t="shared" si="19"/>
        <v/>
      </c>
    </row>
    <row r="544" spans="1:7" ht="15" hidden="1" customHeight="1" x14ac:dyDescent="0.3">
      <c r="A544" t="s">
        <v>95</v>
      </c>
      <c r="B544" s="2">
        <v>45352</v>
      </c>
      <c r="C544" t="str" cm="1">
        <f t="array" ref="C544">IFERROR(IF(SUMPRODUCT((measured[Site Name]=A544)*(measured[Date]=B544)*ISNUMBER(measured[Measured Value (kWh)]))=0,"",SUMIFS(measured[Measured Value (kWh)],measured[Site Name],A544,measured[Date],B544)),"")</f>
        <v/>
      </c>
      <c r="D544" cm="1">
        <f t="array" ref="D544">IFERROR(IF(SUMPRODUCT((expected_production[Site Name]=A544)*(expected_production[Date]=B544)*ISNUMBER(expected_production[Expected Production (kWh)]))=0,"",SUMIFS(expected_production[Expected Production (kWh)],expected_production[Site Name],A544,expected_production[Date],B544)),"")</f>
        <v>29186.400000000001</v>
      </c>
      <c r="E544" s="9" t="str">
        <f t="shared" si="18"/>
        <v/>
      </c>
      <c r="F544" t="str">
        <f t="shared" si="19"/>
        <v/>
      </c>
    </row>
    <row r="545" spans="1:6" ht="15" hidden="1" customHeight="1" x14ac:dyDescent="0.3">
      <c r="A545" t="s">
        <v>95</v>
      </c>
      <c r="B545" s="2">
        <v>45383</v>
      </c>
      <c r="C545" t="str" cm="1">
        <f t="array" ref="C545">IFERROR(IF(SUMPRODUCT((measured[Site Name]=A545)*(measured[Date]=B545)*ISNUMBER(measured[Measured Value (kWh)]))=0,"",SUMIFS(measured[Measured Value (kWh)],measured[Site Name],A545,measured[Date],B545)),"")</f>
        <v/>
      </c>
      <c r="D545" cm="1">
        <f t="array" ref="D545">IFERROR(IF(SUMPRODUCT((expected_production[Site Name]=A545)*(expected_production[Date]=B545)*ISNUMBER(expected_production[Expected Production (kWh)]))=0,"",SUMIFS(expected_production[Expected Production (kWh)],expected_production[Site Name],A545,expected_production[Date],B545)),"")</f>
        <v>24678.400000000001</v>
      </c>
      <c r="E545" s="9" t="str">
        <f t="shared" si="18"/>
        <v/>
      </c>
      <c r="F545" t="str">
        <f t="shared" si="19"/>
        <v/>
      </c>
    </row>
    <row r="546" spans="1:6" ht="15" hidden="1" customHeight="1" x14ac:dyDescent="0.3">
      <c r="A546" t="s">
        <v>95</v>
      </c>
      <c r="B546" s="2">
        <v>45413</v>
      </c>
      <c r="C546" t="str" cm="1">
        <f t="array" ref="C546">IFERROR(IF(SUMPRODUCT((measured[Site Name]=A546)*(measured[Date]=B546)*ISNUMBER(measured[Measured Value (kWh)]))=0,"",SUMIFS(measured[Measured Value (kWh)],measured[Site Name],A546,measured[Date],B546)),"")</f>
        <v/>
      </c>
      <c r="D546" cm="1">
        <f t="array" ref="D546">IFERROR(IF(SUMPRODUCT((expected_production[Site Name]=A546)*(expected_production[Date]=B546)*ISNUMBER(expected_production[Expected Production (kWh)]))=0,"",SUMIFS(expected_production[Expected Production (kWh)],expected_production[Site Name],A546,expected_production[Date],B546)),"")</f>
        <v>23380.799999999999</v>
      </c>
      <c r="E546" s="9" t="str">
        <f t="shared" si="18"/>
        <v/>
      </c>
      <c r="F546" t="str">
        <f t="shared" si="19"/>
        <v/>
      </c>
    </row>
    <row r="547" spans="1:6" ht="15" hidden="1" customHeight="1" x14ac:dyDescent="0.3">
      <c r="A547" t="s">
        <v>95</v>
      </c>
      <c r="B547" s="2">
        <v>45444</v>
      </c>
      <c r="C547" t="str" cm="1">
        <f t="array" ref="C547">IFERROR(IF(SUMPRODUCT((measured[Site Name]=A547)*(measured[Date]=B547)*ISNUMBER(measured[Measured Value (kWh)]))=0,"",SUMIFS(measured[Measured Value (kWh)],measured[Site Name],A547,measured[Date],B547)),"")</f>
        <v/>
      </c>
      <c r="D547" cm="1">
        <f t="array" ref="D547">IFERROR(IF(SUMPRODUCT((expected_production[Site Name]=A547)*(expected_production[Date]=B547)*ISNUMBER(expected_production[Expected Production (kWh)]))=0,"",SUMIFS(expected_production[Expected Production (kWh)],expected_production[Site Name],A547,expected_production[Date],B547)),"")</f>
        <v>20986.400000000001</v>
      </c>
      <c r="E547" s="9" t="str">
        <f t="shared" si="18"/>
        <v/>
      </c>
      <c r="F547" t="str">
        <f t="shared" si="19"/>
        <v/>
      </c>
    </row>
    <row r="548" spans="1:6" ht="15" hidden="1" customHeight="1" x14ac:dyDescent="0.3">
      <c r="A548" t="s">
        <v>95</v>
      </c>
      <c r="B548" s="2">
        <v>45474</v>
      </c>
      <c r="C548" t="str" cm="1">
        <f t="array" ref="C548">IFERROR(IF(SUMPRODUCT((measured[Site Name]=A548)*(measured[Date]=B548)*ISNUMBER(measured[Measured Value (kWh)]))=0,"",SUMIFS(measured[Measured Value (kWh)],measured[Site Name],A548,measured[Date],B548)),"")</f>
        <v/>
      </c>
      <c r="D548" cm="1">
        <f t="array" ref="D548">IFERROR(IF(SUMPRODUCT((expected_production[Site Name]=A548)*(expected_production[Date]=B548)*ISNUMBER(expected_production[Expected Production (kWh)]))=0,"",SUMIFS(expected_production[Expected Production (kWh)],expected_production[Site Name],A548,expected_production[Date],B548)),"")</f>
        <v>23248.939313654326</v>
      </c>
      <c r="E548" s="9" t="str">
        <f t="shared" si="18"/>
        <v/>
      </c>
      <c r="F548" t="str">
        <f t="shared" si="19"/>
        <v/>
      </c>
    </row>
    <row r="549" spans="1:6" ht="15" hidden="1" customHeight="1" x14ac:dyDescent="0.3">
      <c r="A549" t="s">
        <v>95</v>
      </c>
      <c r="B549" s="2">
        <v>45505</v>
      </c>
      <c r="C549" t="str" cm="1">
        <f t="array" ref="C549">IFERROR(IF(SUMPRODUCT((measured[Site Name]=A549)*(measured[Date]=B549)*ISNUMBER(measured[Measured Value (kWh)]))=0,"",SUMIFS(measured[Measured Value (kWh)],measured[Site Name],A549,measured[Date],B549)),"")</f>
        <v/>
      </c>
      <c r="D549" cm="1">
        <f t="array" ref="D549">IFERROR(IF(SUMPRODUCT((expected_production[Site Name]=A549)*(expected_production[Date]=B549)*ISNUMBER(expected_production[Expected Production (kWh)]))=0,"",SUMIFS(expected_production[Expected Production (kWh)],expected_production[Site Name],A549,expected_production[Date],B549)),"")</f>
        <v>27282.777745618896</v>
      </c>
      <c r="E549" s="9" t="str">
        <f t="shared" si="18"/>
        <v/>
      </c>
      <c r="F549" t="str">
        <f t="shared" si="19"/>
        <v/>
      </c>
    </row>
    <row r="550" spans="1:6" ht="15" hidden="1" customHeight="1" x14ac:dyDescent="0.3">
      <c r="A550" t="s">
        <v>95</v>
      </c>
      <c r="B550" s="2">
        <v>45536</v>
      </c>
      <c r="C550" t="str" cm="1">
        <f t="array" ref="C550">IFERROR(IF(SUMPRODUCT((measured[Site Name]=A550)*(measured[Date]=B550)*ISNUMBER(measured[Measured Value (kWh)]))=0,"",SUMIFS(measured[Measured Value (kWh)],measured[Site Name],A550,measured[Date],B550)),"")</f>
        <v/>
      </c>
      <c r="D550" cm="1">
        <f t="array" ref="D550">IFERROR(IF(SUMPRODUCT((expected_production[Site Name]=A550)*(expected_production[Date]=B550)*ISNUMBER(expected_production[Expected Production (kWh)]))=0,"",SUMIFS(expected_production[Expected Production (kWh)],expected_production[Site Name],A550,expected_production[Date],B550)),"")</f>
        <v>30267.726574391487</v>
      </c>
      <c r="E550" s="9" t="str">
        <f t="shared" si="18"/>
        <v/>
      </c>
      <c r="F550" t="str">
        <f t="shared" si="19"/>
        <v/>
      </c>
    </row>
    <row r="551" spans="1:6" ht="15" hidden="1" customHeight="1" x14ac:dyDescent="0.3">
      <c r="A551" t="s">
        <v>95</v>
      </c>
      <c r="B551" s="2">
        <v>45566</v>
      </c>
      <c r="C551" t="str" cm="1">
        <f t="array" ref="C551">IFERROR(IF(SUMPRODUCT((measured[Site Name]=A551)*(measured[Date]=B551)*ISNUMBER(measured[Measured Value (kWh)]))=0,"",SUMIFS(measured[Measured Value (kWh)],measured[Site Name],A551,measured[Date],B551)),"")</f>
        <v/>
      </c>
      <c r="D551" cm="1">
        <f t="array" ref="D551">IFERROR(IF(SUMPRODUCT((expected_production[Site Name]=A551)*(expected_production[Date]=B551)*ISNUMBER(expected_production[Expected Production (kWh)]))=0,"",SUMIFS(expected_production[Expected Production (kWh)],expected_production[Site Name],A551,expected_production[Date],B551)),"")</f>
        <v>32956.74489861964</v>
      </c>
      <c r="E551" s="9" t="str">
        <f t="shared" si="18"/>
        <v/>
      </c>
      <c r="F551" t="str">
        <f t="shared" si="19"/>
        <v/>
      </c>
    </row>
    <row r="552" spans="1:6" ht="15" hidden="1" customHeight="1" x14ac:dyDescent="0.3">
      <c r="A552" t="s">
        <v>95</v>
      </c>
      <c r="B552" s="2">
        <v>45597</v>
      </c>
      <c r="C552" t="str" cm="1">
        <f t="array" ref="C552">IFERROR(IF(SUMPRODUCT((measured[Site Name]=A552)*(measured[Date]=B552)*ISNUMBER(measured[Measured Value (kWh)]))=0,"",SUMIFS(measured[Measured Value (kWh)],measured[Site Name],A552,measured[Date],B552)),"")</f>
        <v/>
      </c>
      <c r="D552" cm="1">
        <f t="array" ref="D552">IFERROR(IF(SUMPRODUCT((expected_production[Site Name]=A552)*(expected_production[Date]=B552)*ISNUMBER(expected_production[Expected Production (kWh)]))=0,"",SUMIFS(expected_production[Expected Production (kWh)],expected_production[Site Name],A552,expected_production[Date],B552)),"")</f>
        <v>33127.000840496046</v>
      </c>
      <c r="E552" s="9" t="str">
        <f t="shared" si="18"/>
        <v/>
      </c>
      <c r="F552" t="str">
        <f t="shared" si="19"/>
        <v/>
      </c>
    </row>
    <row r="553" spans="1:6" ht="15" hidden="1" customHeight="1" x14ac:dyDescent="0.3">
      <c r="A553" t="s">
        <v>95</v>
      </c>
      <c r="B553" s="2">
        <v>45627</v>
      </c>
      <c r="C553" t="str" cm="1">
        <f t="array" ref="C553">IFERROR(IF(SUMPRODUCT((measured[Site Name]=A553)*(measured[Date]=B553)*ISNUMBER(measured[Measured Value (kWh)]))=0,"",SUMIFS(measured[Measured Value (kWh)],measured[Site Name],A553,measured[Date],B553)),"")</f>
        <v/>
      </c>
      <c r="D553" cm="1">
        <f t="array" ref="D553">IFERROR(IF(SUMPRODUCT((expected_production[Site Name]=A553)*(expected_production[Date]=B553)*ISNUMBER(expected_production[Expected Production (kWh)]))=0,"",SUMIFS(expected_production[Expected Production (kWh)],expected_production[Site Name],A553,expected_production[Date],B553)),"")</f>
        <v>34953.954338271164</v>
      </c>
      <c r="E553" s="9" t="str">
        <f t="shared" si="18"/>
        <v/>
      </c>
      <c r="F553" t="str">
        <f t="shared" si="19"/>
        <v/>
      </c>
    </row>
    <row r="554" spans="1:6" ht="15" hidden="1" customHeight="1" x14ac:dyDescent="0.3">
      <c r="A554" t="s">
        <v>95</v>
      </c>
      <c r="B554" s="2">
        <v>45658</v>
      </c>
      <c r="C554" cm="1">
        <f t="array" ref="C554">IFERROR(IF(SUMPRODUCT((measured[Site Name]=A554)*(measured[Date]=B554)*ISNUMBER(measured[Measured Value (kWh)]))=0,"",SUMIFS(measured[Measured Value (kWh)],measured[Site Name],A554,measured[Date],B554)),"")</f>
        <v>17200</v>
      </c>
      <c r="D554" cm="1">
        <f t="array" ref="D554">IFERROR(IF(SUMPRODUCT((expected_production[Site Name]=A554)*(expected_production[Date]=B554)*ISNUMBER(expected_production[Expected Production (kWh)]))=0,"",SUMIFS(expected_production[Expected Production (kWh)],expected_production[Site Name],A554,expected_production[Date],B554)),"")</f>
        <v>33388.61360865723</v>
      </c>
      <c r="E554" s="9">
        <f t="shared" si="18"/>
        <v>0.51514567815239465</v>
      </c>
      <c r="F554" t="str">
        <f t="shared" si="19"/>
        <v>Poor</v>
      </c>
    </row>
    <row r="555" spans="1:6" ht="15" hidden="1" customHeight="1" x14ac:dyDescent="0.3">
      <c r="A555" t="s">
        <v>95</v>
      </c>
      <c r="B555" s="2">
        <v>45689</v>
      </c>
      <c r="C555" cm="1">
        <f t="array" ref="C555">IFERROR(IF(SUMPRODUCT((measured[Site Name]=A555)*(measured[Date]=B555)*ISNUMBER(measured[Measured Value (kWh)]))=0,"",SUMIFS(measured[Measured Value (kWh)],measured[Site Name],A555,measured[Date],B555)),"")</f>
        <v>15760</v>
      </c>
      <c r="D555" cm="1">
        <f t="array" ref="D555">IFERROR(IF(SUMPRODUCT((expected_production[Site Name]=A555)*(expected_production[Date]=B555)*ISNUMBER(expected_production[Expected Production (kWh)]))=0,"",SUMIFS(expected_production[Expected Production (kWh)],expected_production[Site Name],A555,expected_production[Date],B555)),"")</f>
        <v>28650.339682314825</v>
      </c>
      <c r="E555" s="9">
        <f t="shared" si="18"/>
        <v>0.5500807381257079</v>
      </c>
      <c r="F555" t="str">
        <f t="shared" si="19"/>
        <v>Poor</v>
      </c>
    </row>
    <row r="556" spans="1:6" ht="15" hidden="1" customHeight="1" x14ac:dyDescent="0.3">
      <c r="A556" t="s">
        <v>95</v>
      </c>
      <c r="B556" s="2">
        <v>45717</v>
      </c>
      <c r="C556" cm="1">
        <f t="array" ref="C556">IFERROR(IF(SUMPRODUCT((measured[Site Name]=A556)*(measured[Date]=B556)*ISNUMBER(measured[Measured Value (kWh)]))=0,"",SUMIFS(measured[Measured Value (kWh)],measured[Site Name],A556,measured[Date],B556)),"")</f>
        <v>15700</v>
      </c>
      <c r="D556" cm="1">
        <f t="array" ref="D556">IFERROR(IF(SUMPRODUCT((expected_production[Site Name]=A556)*(expected_production[Date]=B556)*ISNUMBER(expected_production[Expected Production (kWh)]))=0,"",SUMIFS(expected_production[Expected Production (kWh)],expected_production[Site Name],A556,expected_production[Date],B556)),"")</f>
        <v>29042.495923331029</v>
      </c>
      <c r="E556" s="9">
        <f t="shared" si="18"/>
        <v>0.54058714655401041</v>
      </c>
      <c r="F556" t="str">
        <f t="shared" si="19"/>
        <v>Poor</v>
      </c>
    </row>
    <row r="557" spans="1:6" ht="15" hidden="1" customHeight="1" x14ac:dyDescent="0.3">
      <c r="A557" t="s">
        <v>95</v>
      </c>
      <c r="B557" s="2">
        <v>45748</v>
      </c>
      <c r="C557" cm="1">
        <f t="array" ref="C557">IFERROR(IF(SUMPRODUCT((measured[Site Name]=A557)*(measured[Date]=B557)*ISNUMBER(measured[Measured Value (kWh)]))=0,"",SUMIFS(measured[Measured Value (kWh)],measured[Site Name],A557,measured[Date],B557)),"")</f>
        <v>10223</v>
      </c>
      <c r="D557" cm="1">
        <f t="array" ref="D557">IFERROR(IF(SUMPRODUCT((expected_production[Site Name]=A557)*(expected_production[Date]=B557)*ISNUMBER(expected_production[Expected Production (kWh)]))=0,"",SUMIFS(expected_production[Expected Production (kWh)],expected_production[Site Name],A557,expected_production[Date],B557)),"")</f>
        <v>24542.086276807619</v>
      </c>
      <c r="E557" s="9">
        <f t="shared" si="18"/>
        <v>0.41654975394902677</v>
      </c>
      <c r="F557" t="str">
        <f t="shared" si="19"/>
        <v>Poor</v>
      </c>
    </row>
    <row r="558" spans="1:6" ht="15" hidden="1" customHeight="1" x14ac:dyDescent="0.3">
      <c r="A558" t="s">
        <v>95</v>
      </c>
      <c r="B558" s="2">
        <v>45778</v>
      </c>
      <c r="C558" cm="1">
        <f t="array" ref="C558">IFERROR(IF(SUMPRODUCT((measured[Site Name]=A558)*(measured[Date]=B558)*ISNUMBER(measured[Measured Value (kWh)]))=0,"",SUMIFS(measured[Measured Value (kWh)],measured[Site Name],A558,measured[Date],B558)),"")</f>
        <v>14225</v>
      </c>
      <c r="D558" cm="1">
        <f t="array" ref="D558">IFERROR(IF(SUMPRODUCT((expected_production[Site Name]=A558)*(expected_production[Date]=B558)*ISNUMBER(expected_production[Expected Production (kWh)]))=0,"",SUMIFS(expected_production[Expected Production (kWh)],expected_production[Site Name],A558,expected_production[Date],B558)),"")</f>
        <v>23238.242058995816</v>
      </c>
      <c r="E558" s="9">
        <f t="shared" si="18"/>
        <v>0.61213752588885373</v>
      </c>
      <c r="F558" t="str">
        <f t="shared" si="19"/>
        <v>Poor</v>
      </c>
    </row>
    <row r="559" spans="1:6" ht="15" hidden="1" customHeight="1" x14ac:dyDescent="0.3">
      <c r="A559" t="s">
        <v>95</v>
      </c>
      <c r="B559" s="2">
        <v>45809</v>
      </c>
      <c r="C559" cm="1">
        <f t="array" ref="C559">IFERROR(IF(SUMPRODUCT((measured[Site Name]=A559)*(measured[Date]=B559)*ISNUMBER(measured[Measured Value (kWh)]))=0,"",SUMIFS(measured[Measured Value (kWh)],measured[Site Name],A559,measured[Date],B559)),"")</f>
        <v>14376.5</v>
      </c>
      <c r="D559" cm="1">
        <f t="array" ref="D559">IFERROR(IF(SUMPRODUCT((expected_production[Site Name]=A559)*(expected_production[Date]=B559)*ISNUMBER(expected_production[Expected Production (kWh)]))=0,"",SUMIFS(expected_production[Expected Production (kWh)],expected_production[Site Name],A559,expected_production[Date],B559)),"")</f>
        <v>20846.009094556142</v>
      </c>
      <c r="E559" s="9">
        <f t="shared" si="18"/>
        <v>0.68965239028675129</v>
      </c>
      <c r="F559" t="str">
        <f t="shared" si="19"/>
        <v>Poor</v>
      </c>
    </row>
    <row r="560" spans="1:6" ht="15" hidden="1" customHeight="1" x14ac:dyDescent="0.3">
      <c r="A560" t="s">
        <v>95</v>
      </c>
      <c r="B560" s="2">
        <v>45839</v>
      </c>
      <c r="C560" cm="1">
        <f t="array" ref="C560">IFERROR(IF(SUMPRODUCT((measured[Site Name]=A560)*(measured[Date]=B560)*ISNUMBER(measured[Measured Value (kWh)]))=0,"",SUMIFS(measured[Measured Value (kWh)],measured[Site Name],A560,measured[Date],B560)),"")</f>
        <v>15177.99</v>
      </c>
      <c r="D560" cm="1">
        <f t="array" ref="D560">IFERROR(IF(SUMPRODUCT((expected_production[Site Name]=A560)*(expected_production[Date]=B560)*ISNUMBER(expected_production[Expected Production (kWh)]))=0,"",SUMIFS(expected_production[Expected Production (kWh)],expected_production[Site Name],A560,expected_production[Date],B560)),"")</f>
        <v>23086.307739165324</v>
      </c>
      <c r="E560" s="9">
        <f t="shared" si="18"/>
        <v>0.65744553747981671</v>
      </c>
      <c r="F560" t="str">
        <f t="shared" si="19"/>
        <v>Poor</v>
      </c>
    </row>
    <row r="561" spans="1:7" ht="15" hidden="1" customHeight="1" x14ac:dyDescent="0.3">
      <c r="A561" t="s">
        <v>95</v>
      </c>
      <c r="B561" s="2">
        <v>45870</v>
      </c>
      <c r="C561" cm="1">
        <f t="array" ref="C561">IFERROR(IF(SUMPRODUCT((measured[Site Name]=A561)*(measured[Date]=B561)*ISNUMBER(measured[Measured Value (kWh)]))=0,"",SUMIFS(measured[Measured Value (kWh)],measured[Site Name],A561,measured[Date],B561)),"")</f>
        <v>16924</v>
      </c>
      <c r="D561" cm="1">
        <f t="array" ref="D561">IFERROR(IF(SUMPRODUCT((expected_production[Site Name]=A561)*(expected_production[Date]=B561)*ISNUMBER(expected_production[Expected Production (kWh)]))=0,"",SUMIFS(expected_production[Expected Production (kWh)],expected_production[Site Name],A561,expected_production[Date],B561)),"")</f>
        <v>27091.928561432782</v>
      </c>
      <c r="E561" s="9">
        <f t="shared" si="18"/>
        <v>0.62468790147676956</v>
      </c>
      <c r="F561" t="str">
        <f t="shared" si="19"/>
        <v>Poor</v>
      </c>
    </row>
    <row r="562" spans="1:7" ht="15" hidden="1" customHeight="1" x14ac:dyDescent="0.3">
      <c r="A562" t="s">
        <v>95</v>
      </c>
      <c r="B562" s="2">
        <v>45901</v>
      </c>
      <c r="C562" cm="1">
        <f t="array" ref="C562">IFERROR(IF(SUMPRODUCT((measured[Site Name]=A562)*(measured[Date]=B562)*ISNUMBER(measured[Measured Value (kWh)]))=0,"",SUMIFS(measured[Measured Value (kWh)],measured[Site Name],A562,measured[Date],B562)),"")</f>
        <v>16705</v>
      </c>
      <c r="D562" cm="1">
        <f t="array" ref="D562">IFERROR(IF(SUMPRODUCT((expected_production[Site Name]=A562)*(expected_production[Date]=B562)*ISNUMBER(expected_production[Expected Production (kWh)]))=0,"",SUMIFS(expected_production[Expected Production (kWh)],expected_production[Site Name],A562,expected_production[Date],B562)),"")</f>
        <v>30055.996999868283</v>
      </c>
      <c r="E562" s="9">
        <f t="shared" si="18"/>
        <v>0.55579590322933581</v>
      </c>
      <c r="F562" t="str">
        <f t="shared" si="19"/>
        <v>Poor</v>
      </c>
    </row>
    <row r="563" spans="1:7" ht="15" hidden="1" customHeight="1" x14ac:dyDescent="0.3">
      <c r="A563" t="s">
        <v>95</v>
      </c>
      <c r="B563" s="2">
        <v>45931</v>
      </c>
      <c r="C563" cm="1">
        <f t="array" ref="C563">IFERROR(IF(SUMPRODUCT((measured[Site Name]=A563)*(measured[Date]=B563)*ISNUMBER(measured[Measured Value (kWh)]))=0,"",SUMIFS(measured[Measured Value (kWh)],measured[Site Name],A563,measured[Date],B563)),"")</f>
        <v>21308.400000000001</v>
      </c>
      <c r="D563" cm="1">
        <f t="array" ref="D563">IFERROR(IF(SUMPRODUCT((expected_production[Site Name]=A563)*(expected_production[Date]=B563)*ISNUMBER(expected_production[Expected Production (kWh)]))=0,"",SUMIFS(expected_production[Expected Production (kWh)],expected_production[Site Name],A563,expected_production[Date],B563)),"")</f>
        <v>32726.2050343882</v>
      </c>
      <c r="E563" s="9">
        <f t="shared" si="18"/>
        <v>0.65111124182010893</v>
      </c>
      <c r="F563" t="str">
        <f t="shared" si="19"/>
        <v>Poor</v>
      </c>
    </row>
    <row r="564" spans="1:7" ht="15" hidden="1" customHeight="1" x14ac:dyDescent="0.3">
      <c r="A564" t="s">
        <v>95</v>
      </c>
      <c r="B564" s="2">
        <v>45962</v>
      </c>
      <c r="C564" cm="1">
        <f t="array" ref="C564">IFERROR(IF(SUMPRODUCT((measured[Site Name]=A564)*(measured[Date]=B564)*ISNUMBER(measured[Measured Value (kWh)]))=0,"",SUMIFS(measured[Measured Value (kWh)],measured[Site Name],A564,measured[Date],B564)),"")</f>
        <v>12744</v>
      </c>
      <c r="D564" cm="1">
        <f t="array" ref="D564">IFERROR(IF(SUMPRODUCT((expected_production[Site Name]=A564)*(expected_production[Date]=B564)*ISNUMBER(expected_production[Expected Production (kWh)]))=0,"",SUMIFS(expected_production[Expected Production (kWh)],expected_production[Site Name],A564,expected_production[Date],B564)),"")</f>
        <v>32895.269997548552</v>
      </c>
      <c r="E564" s="9">
        <f t="shared" si="18"/>
        <v>0.38741132086618285</v>
      </c>
      <c r="F564" t="str">
        <f t="shared" si="19"/>
        <v>Poor</v>
      </c>
    </row>
    <row r="565" spans="1:7" ht="15" hidden="1" customHeight="1" x14ac:dyDescent="0.3">
      <c r="A565" t="s">
        <v>95</v>
      </c>
      <c r="B565" s="2">
        <v>45992</v>
      </c>
      <c r="C565" cm="1">
        <f t="array" ref="C565">IFERROR(IF(SUMPRODUCT((measured[Site Name]=A565)*(measured[Date]=B565)*ISNUMBER(measured[Measured Value (kWh)]))=0,"",SUMIFS(measured[Measured Value (kWh)],measured[Site Name],A565,measured[Date],B565)),"")</f>
        <v>7631</v>
      </c>
      <c r="D565" cm="1">
        <f t="array" ref="D565">IFERROR(IF(SUMPRODUCT((expected_production[Site Name]=A565)*(expected_production[Date]=B565)*ISNUMBER(expected_production[Expected Production (kWh)]))=0,"",SUMIFS(expected_production[Expected Production (kWh)],expected_production[Site Name],A565,expected_production[Date],B565)),"")</f>
        <v>34709.443543522306</v>
      </c>
      <c r="E565" s="9">
        <f t="shared" si="18"/>
        <v>0.2198537118704153</v>
      </c>
      <c r="F565" t="str">
        <f t="shared" si="19"/>
        <v>Poor</v>
      </c>
    </row>
    <row r="566" spans="1:7" ht="15" hidden="1" customHeight="1" x14ac:dyDescent="0.3">
      <c r="A566" t="s">
        <v>95</v>
      </c>
      <c r="B566" s="2">
        <v>46023</v>
      </c>
      <c r="C566" cm="1">
        <f t="array" ref="C566">IFERROR(IF(SUMPRODUCT((measured[Site Name]=A566)*(measured[Date]=B566)*ISNUMBER(measured[Measured Value (kWh)]))=0,"",SUMIFS(measured[Measured Value (kWh)],measured[Site Name],A566,measured[Date],B566)),"")</f>
        <v>7744.97</v>
      </c>
      <c r="D566" cm="1">
        <f t="array" ref="D566">IFERROR(IF(SUMPRODUCT((expected_production[Site Name]=A566)*(expected_production[Date]=B566)*ISNUMBER(expected_production[Expected Production (kWh)]))=0,"",SUMIFS(expected_production[Expected Production (kWh)],expected_production[Site Name],A566,expected_production[Date],B566)),"")</f>
        <v>33155.052725387526</v>
      </c>
      <c r="E566" s="9">
        <f t="shared" si="18"/>
        <v>0.2335984823836372</v>
      </c>
      <c r="F566" t="str">
        <f t="shared" si="19"/>
        <v>Poor</v>
      </c>
    </row>
    <row r="567" spans="1:7" ht="15" hidden="1" customHeight="1" x14ac:dyDescent="0.3">
      <c r="A567" t="s">
        <v>95</v>
      </c>
      <c r="B567" s="2">
        <v>46054</v>
      </c>
      <c r="C567" cm="1">
        <f t="array" ref="C567">IFERROR(IF(SUMPRODUCT((measured[Site Name]=A567)*(measured[Date]=B567)*ISNUMBER(measured[Measured Value (kWh)]))=0,"",SUMIFS(measured[Measured Value (kWh)],measured[Site Name],A567,measured[Date],B567)),"")</f>
        <v>13221</v>
      </c>
      <c r="D567" cm="1">
        <f t="array" ref="D567">IFERROR(IF(SUMPRODUCT((expected_production[Site Name]=A567)*(expected_production[Date]=B567)*ISNUMBER(expected_production[Expected Production (kWh)]))=0,"",SUMIFS(expected_production[Expected Production (kWh)],expected_production[Site Name],A567,expected_production[Date],B567)),"")</f>
        <v>28449.924093916648</v>
      </c>
      <c r="E567" s="9">
        <f t="shared" si="18"/>
        <v>0.46471125744855685</v>
      </c>
      <c r="F567" t="str">
        <f t="shared" si="19"/>
        <v>Poor</v>
      </c>
    </row>
    <row r="568" spans="1:7" ht="15" hidden="1" customHeight="1" x14ac:dyDescent="0.3">
      <c r="A568" t="s">
        <v>95</v>
      </c>
      <c r="B568" s="2">
        <v>46082</v>
      </c>
      <c r="C568" cm="1">
        <f t="array" ref="C568">IFERROR(IF(SUMPRODUCT((measured[Site Name]=A568)*(measured[Date]=B568)*ISNUMBER(measured[Measured Value (kWh)]))=0,"",SUMIFS(measured[Measured Value (kWh)],measured[Site Name],A568,measured[Date],B568)),"")</f>
        <v>14695</v>
      </c>
      <c r="D568" cm="1">
        <f t="array" ref="D568">IFERROR(IF(SUMPRODUCT((expected_production[Site Name]=A568)*(expected_production[Date]=B568)*ISNUMBER(expected_production[Expected Production (kWh)]))=0,"",SUMIFS(expected_production[Expected Production (kWh)],expected_production[Site Name],A568,expected_production[Date],B568)),"")</f>
        <v>28839.33711357287</v>
      </c>
      <c r="E568" s="9">
        <f t="shared" si="18"/>
        <v>0.5095470794675091</v>
      </c>
      <c r="F568" t="str">
        <f t="shared" si="19"/>
        <v>Poor</v>
      </c>
    </row>
    <row r="569" spans="1:7" ht="15" hidden="1" customHeight="1" x14ac:dyDescent="0.3">
      <c r="A569" t="s">
        <v>95</v>
      </c>
      <c r="B569" s="2">
        <v>46113</v>
      </c>
      <c r="C569" cm="1">
        <f t="array" ref="C569">IFERROR(IF(SUMPRODUCT((measured[Site Name]=A569)*(measured[Date]=B569)*ISNUMBER(measured[Measured Value (kWh)]))=0,"",SUMIFS(measured[Measured Value (kWh)],measured[Site Name],A569,measured[Date],B569)),"")</f>
        <v>14798.11</v>
      </c>
      <c r="D569" cm="1">
        <f t="array" ref="D569">IFERROR(IF(SUMPRODUCT((expected_production[Site Name]=A569)*(expected_production[Date]=B569)*ISNUMBER(expected_production[Expected Production (kWh)]))=0,"",SUMIFS(expected_production[Expected Production (kWh)],expected_production[Site Name],A569,expected_production[Date],B569)),"")</f>
        <v>24370.408847631399</v>
      </c>
      <c r="E569" s="9">
        <f t="shared" si="18"/>
        <v>0.60721632092923439</v>
      </c>
      <c r="F569" t="str">
        <f t="shared" si="19"/>
        <v>Poor</v>
      </c>
    </row>
    <row r="570" spans="1:7" ht="15" hidden="1" customHeight="1" x14ac:dyDescent="0.3">
      <c r="A570" t="s">
        <v>95</v>
      </c>
      <c r="B570" s="2">
        <v>46143</v>
      </c>
      <c r="C570" cm="1">
        <f t="array" ref="C570">IFERROR(IF(SUMPRODUCT((measured[Site Name]=A570)*(measured[Date]=B570)*ISNUMBER(measured[Measured Value (kWh)]))=0,"",SUMIFS(measured[Measured Value (kWh)],measured[Site Name],A570,measured[Date],B570)),"")</f>
        <v>13154.32</v>
      </c>
      <c r="D570" cm="1">
        <f t="array" ref="D570">IFERROR(IF(SUMPRODUCT((expected_production[Site Name]=A570)*(expected_production[Date]=B570)*ISNUMBER(expected_production[Expected Production (kWh)]))=0,"",SUMIFS(expected_production[Expected Production (kWh)],expected_production[Site Name],A570,expected_production[Date],B570)),"")</f>
        <v>23075.685314216011</v>
      </c>
      <c r="E570" s="9">
        <f t="shared" si="18"/>
        <v>0.57005110881348975</v>
      </c>
      <c r="F570" t="str">
        <f t="shared" si="19"/>
        <v>Poor</v>
      </c>
    </row>
    <row r="571" spans="1:7" ht="15" hidden="1" customHeight="1" x14ac:dyDescent="0.3">
      <c r="A571" t="s">
        <v>95</v>
      </c>
      <c r="B571" s="2">
        <v>46174</v>
      </c>
      <c r="C571" cm="1">
        <f t="array" ref="C571">IFERROR(IF(SUMPRODUCT((measured[Site Name]=A571)*(measured[Date]=B571)*ISNUMBER(measured[Measured Value (kWh)]))=0,"",SUMIFS(measured[Measured Value (kWh)],measured[Site Name],A571,measured[Date],B571)),"")</f>
        <v>11956.63</v>
      </c>
      <c r="D571" cm="1">
        <f t="array" ref="D571">IFERROR(IF(SUMPRODUCT((expected_production[Site Name]=A571)*(expected_production[Date]=B571)*ISNUMBER(expected_production[Expected Production (kWh)]))=0,"",SUMIFS(expected_production[Expected Production (kWh)],expected_production[Site Name],A571,expected_production[Date],B571)),"")</f>
        <v>20700.18655895046</v>
      </c>
      <c r="E571" s="9">
        <f t="shared" si="18"/>
        <v>0.57760977013176373</v>
      </c>
      <c r="F571" t="str">
        <f t="shared" si="19"/>
        <v>Poor</v>
      </c>
    </row>
    <row r="572" spans="1:7" ht="15" hidden="1" customHeight="1" x14ac:dyDescent="0.3">
      <c r="A572" t="s">
        <v>90</v>
      </c>
      <c r="B572" s="2">
        <v>46204</v>
      </c>
      <c r="C572" cm="1">
        <f t="array" ref="C572">IFERROR(IF(SUMPRODUCT((measured[Site Name]=A572)*(measured[Date]=B572)*ISNUMBER(measured[Measured Value (kWh)]))=0,"",SUMIFS(measured[Measured Value (kWh)],measured[Site Name],A572,measured[Date],B572)),"")</f>
        <v>3547</v>
      </c>
      <c r="D572" cm="1">
        <f t="array" ref="D572">IFERROR(IF(SUMPRODUCT((expected_production[Site Name]=A572)*(expected_production[Date]=B572)*ISNUMBER(expected_production[Expected Production (kWh)]))=0,"",SUMIFS(expected_production[Expected Production (kWh)],expected_production[Site Name],A572,expected_production[Date],B572)),"")</f>
        <v>3315.115588872131</v>
      </c>
      <c r="E572" s="9">
        <f t="shared" si="18"/>
        <v>1.0699476096417986</v>
      </c>
      <c r="F572" t="str">
        <f t="shared" si="19"/>
        <v>Expected</v>
      </c>
      <c r="G572" t="s">
        <v>874</v>
      </c>
    </row>
    <row r="573" spans="1:7" ht="15" hidden="1" customHeight="1" x14ac:dyDescent="0.3">
      <c r="A573" t="s">
        <v>95</v>
      </c>
      <c r="B573" s="2">
        <v>46235</v>
      </c>
      <c r="C573" cm="1">
        <f t="array" ref="C573">IFERROR(IF(SUMPRODUCT((measured[Site Name]=A573)*(measured[Date]=B573)*ISNUMBER(measured[Measured Value (kWh)]))=0,"",SUMIFS(measured[Measured Value (kWh)],measured[Site Name],A573,measured[Date],B573)),"")</f>
        <v>14955</v>
      </c>
      <c r="D573" cm="1">
        <f t="array" ref="D573">IFERROR(IF(SUMPRODUCT((expected_production[Site Name]=A573)*(expected_production[Date]=B573)*ISNUMBER(expected_production[Expected Production (kWh)]))=0,"",SUMIFS(expected_production[Expected Production (kWh)],expected_production[Site Name],A573,expected_production[Date],B573)),"")</f>
        <v>26902.414410337657</v>
      </c>
      <c r="E573" s="9">
        <f t="shared" si="18"/>
        <v>0.55589806074258219</v>
      </c>
      <c r="F573" t="str">
        <f t="shared" si="19"/>
        <v>Poor</v>
      </c>
      <c r="G573" t="s">
        <v>874</v>
      </c>
    </row>
    <row r="574" spans="1:7" ht="15" customHeight="1" x14ac:dyDescent="0.3">
      <c r="A574" t="s">
        <v>95</v>
      </c>
      <c r="B574" s="2">
        <v>46266</v>
      </c>
      <c r="C574" cm="1">
        <f t="array" ref="C574">IFERROR(IF(SUMPRODUCT((measured[Site Name]=A574)*(measured[Date]=B574)*ISNUMBER(measured[Measured Value (kWh)]))=0,"",SUMIFS(measured[Measured Value (kWh)],measured[Site Name],A574,measured[Date],B574)),"")</f>
        <v>18244.509999999998</v>
      </c>
      <c r="D574" cm="1">
        <f t="array" ref="D574">IFERROR(IF(SUMPRODUCT((expected_production[Site Name]=A574)*(expected_production[Date]=B574)*ISNUMBER(expected_production[Expected Production (kWh)]))=0,"",SUMIFS(expected_production[Expected Production (kWh)],expected_production[Site Name],A574,expected_production[Date],B574)),"")</f>
        <v>29845.74852147622</v>
      </c>
      <c r="E574" s="9">
        <f t="shared" si="18"/>
        <v>0.61129343051563023</v>
      </c>
      <c r="F574" t="str">
        <f t="shared" si="19"/>
        <v>Poor</v>
      </c>
      <c r="G574" t="s">
        <v>874</v>
      </c>
    </row>
    <row r="575" spans="1:7" ht="15" hidden="1" customHeight="1" x14ac:dyDescent="0.3">
      <c r="A575" t="s">
        <v>95</v>
      </c>
      <c r="B575" s="2">
        <v>46296</v>
      </c>
      <c r="C575" t="str" cm="1">
        <f t="array" ref="C575">IFERROR(IF(SUMPRODUCT((measured[Site Name]=A575)*(measured[Date]=B575)*ISNUMBER(measured[Measured Value (kWh)]))=0,"",SUMIFS(measured[Measured Value (kWh)],measured[Site Name],A575,measured[Date],B575)),"")</f>
        <v/>
      </c>
      <c r="D575" cm="1">
        <f t="array" ref="D575">IFERROR(IF(SUMPRODUCT((expected_production[Site Name]=A575)*(expected_production[Date]=B575)*ISNUMBER(expected_production[Expected Production (kWh)]))=0,"",SUMIFS(expected_production[Expected Production (kWh)],expected_production[Site Name],A575,expected_production[Date],B575)),"")</f>
        <v>32497.277848507227</v>
      </c>
      <c r="E575" s="9" t="str">
        <f t="shared" si="18"/>
        <v/>
      </c>
      <c r="F575" t="str">
        <f t="shared" si="19"/>
        <v/>
      </c>
    </row>
    <row r="576" spans="1:7" ht="15" hidden="1" customHeight="1" x14ac:dyDescent="0.3">
      <c r="A576" t="s">
        <v>95</v>
      </c>
      <c r="B576" s="2">
        <v>46327</v>
      </c>
      <c r="C576" t="str" cm="1">
        <f t="array" ref="C576">IFERROR(IF(SUMPRODUCT((measured[Site Name]=A576)*(measured[Date]=B576)*ISNUMBER(measured[Measured Value (kWh)]))=0,"",SUMIFS(measured[Measured Value (kWh)],measured[Site Name],A576,measured[Date],B576)),"")</f>
        <v/>
      </c>
      <c r="D576" cm="1">
        <f t="array" ref="D576">IFERROR(IF(SUMPRODUCT((expected_production[Site Name]=A576)*(expected_production[Date]=B576)*ISNUMBER(expected_production[Expected Production (kWh)]))=0,"",SUMIFS(expected_production[Expected Production (kWh)],expected_production[Site Name],A576,expected_production[Date],B576)),"")</f>
        <v>32665.160164116278</v>
      </c>
      <c r="E576" s="9" t="str">
        <f t="shared" si="18"/>
        <v/>
      </c>
      <c r="F576" t="str">
        <f t="shared" si="19"/>
        <v/>
      </c>
    </row>
    <row r="577" spans="1:6" ht="15" hidden="1" customHeight="1" x14ac:dyDescent="0.3">
      <c r="A577" t="s">
        <v>95</v>
      </c>
      <c r="B577" s="2">
        <v>46357</v>
      </c>
      <c r="C577" t="str" cm="1">
        <f t="array" ref="C577">IFERROR(IF(SUMPRODUCT((measured[Site Name]=A577)*(measured[Date]=B577)*ISNUMBER(measured[Measured Value (kWh)]))=0,"",SUMIFS(measured[Measured Value (kWh)],measured[Site Name],A577,measured[Date],B577)),"")</f>
        <v/>
      </c>
      <c r="D577" cm="1">
        <f t="array" ref="D577">IFERROR(IF(SUMPRODUCT((expected_production[Site Name]=A577)*(expected_production[Date]=B577)*ISNUMBER(expected_production[Expected Production (kWh)]))=0,"",SUMIFS(expected_production[Expected Production (kWh)],expected_production[Site Name],A577,expected_production[Date],B577)),"")</f>
        <v>34466.643156934137</v>
      </c>
      <c r="E577" s="9" t="str">
        <f t="shared" si="18"/>
        <v/>
      </c>
      <c r="F577" t="str">
        <f t="shared" si="19"/>
        <v/>
      </c>
    </row>
    <row r="578" spans="1:6" ht="15" hidden="1" customHeight="1" x14ac:dyDescent="0.3">
      <c r="A578" t="s">
        <v>239</v>
      </c>
      <c r="B578" s="2">
        <v>45292</v>
      </c>
      <c r="C578" t="str" cm="1">
        <f t="array" ref="C578">IFERROR(IF(SUMPRODUCT((measured[Site Name]=A578)*(measured[Date]=B578)*ISNUMBER(measured[Measured Value (kWh)]))=0,"",SUMIFS(measured[Measured Value (kWh)],measured[Site Name],A578,measured[Date],B578)),"")</f>
        <v/>
      </c>
      <c r="D578" cm="1">
        <f t="array" ref="D578">IFERROR(IF(SUMPRODUCT((expected_production[Site Name]=A578)*(expected_production[Date]=B578)*ISNUMBER(expected_production[Expected Production (kWh)]))=0,"",SUMIFS(expected_production[Expected Production (kWh)],expected_production[Site Name],A578,expected_production[Date],B578)),"")</f>
        <v>2461.5</v>
      </c>
      <c r="E578" s="9" t="str">
        <f t="shared" si="18"/>
        <v/>
      </c>
      <c r="F578" t="str">
        <f t="shared" si="19"/>
        <v/>
      </c>
    </row>
    <row r="579" spans="1:6" ht="15" hidden="1" customHeight="1" x14ac:dyDescent="0.3">
      <c r="A579" t="s">
        <v>239</v>
      </c>
      <c r="B579" s="2">
        <v>45323</v>
      </c>
      <c r="C579" t="str" cm="1">
        <f t="array" ref="C579">IFERROR(IF(SUMPRODUCT((measured[Site Name]=A579)*(measured[Date]=B579)*ISNUMBER(measured[Measured Value (kWh)]))=0,"",SUMIFS(measured[Measured Value (kWh)],measured[Site Name],A579,measured[Date],B579)),"")</f>
        <v/>
      </c>
      <c r="D579" cm="1">
        <f t="array" ref="D579">IFERROR(IF(SUMPRODUCT((expected_production[Site Name]=A579)*(expected_production[Date]=B579)*ISNUMBER(expected_production[Expected Production (kWh)]))=0,"",SUMIFS(expected_production[Expected Production (kWh)],expected_production[Site Name],A579,expected_production[Date],B579)),"")</f>
        <v>2300.4</v>
      </c>
      <c r="E579" s="9" t="str">
        <f t="shared" si="18"/>
        <v/>
      </c>
      <c r="F579" t="str">
        <f t="shared" si="19"/>
        <v/>
      </c>
    </row>
    <row r="580" spans="1:6" ht="15" hidden="1" customHeight="1" x14ac:dyDescent="0.3">
      <c r="A580" t="s">
        <v>239</v>
      </c>
      <c r="B580" s="2">
        <v>45352</v>
      </c>
      <c r="C580" t="str" cm="1">
        <f t="array" ref="C580">IFERROR(IF(SUMPRODUCT((measured[Site Name]=A580)*(measured[Date]=B580)*ISNUMBER(measured[Measured Value (kWh)]))=0,"",SUMIFS(measured[Measured Value (kWh)],measured[Site Name],A580,measured[Date],B580)),"")</f>
        <v/>
      </c>
      <c r="D580" cm="1">
        <f t="array" ref="D580">IFERROR(IF(SUMPRODUCT((expected_production[Site Name]=A580)*(expected_production[Date]=B580)*ISNUMBER(expected_production[Expected Production (kWh)]))=0,"",SUMIFS(expected_production[Expected Production (kWh)],expected_production[Site Name],A580,expected_production[Date],B580)),"")</f>
        <v>2281.5</v>
      </c>
      <c r="E580" s="9" t="str">
        <f t="shared" si="18"/>
        <v/>
      </c>
      <c r="F580" t="str">
        <f t="shared" si="19"/>
        <v/>
      </c>
    </row>
    <row r="581" spans="1:6" ht="15" hidden="1" customHeight="1" x14ac:dyDescent="0.3">
      <c r="A581" t="s">
        <v>239</v>
      </c>
      <c r="B581" s="2">
        <v>45383</v>
      </c>
      <c r="C581" t="str" cm="1">
        <f t="array" ref="C581">IFERROR(IF(SUMPRODUCT((measured[Site Name]=A581)*(measured[Date]=B581)*ISNUMBER(measured[Measured Value (kWh)]))=0,"",SUMIFS(measured[Measured Value (kWh)],measured[Site Name],A581,measured[Date],B581)),"")</f>
        <v/>
      </c>
      <c r="D581" cm="1">
        <f t="array" ref="D581">IFERROR(IF(SUMPRODUCT((expected_production[Site Name]=A581)*(expected_production[Date]=B581)*ISNUMBER(expected_production[Expected Production (kWh)]))=0,"",SUMIFS(expected_production[Expected Production (kWh)],expected_production[Site Name],A581,expected_production[Date],B581)),"")</f>
        <v>2197.8000000000002</v>
      </c>
      <c r="E581" s="9" t="str">
        <f t="shared" si="18"/>
        <v/>
      </c>
      <c r="F581" t="str">
        <f t="shared" si="19"/>
        <v/>
      </c>
    </row>
    <row r="582" spans="1:6" ht="15" hidden="1" customHeight="1" x14ac:dyDescent="0.3">
      <c r="A582" t="s">
        <v>239</v>
      </c>
      <c r="B582" s="2">
        <v>45413</v>
      </c>
      <c r="C582" t="str" cm="1">
        <f t="array" ref="C582">IFERROR(IF(SUMPRODUCT((measured[Site Name]=A582)*(measured[Date]=B582)*ISNUMBER(measured[Measured Value (kWh)]))=0,"",SUMIFS(measured[Measured Value (kWh)],measured[Site Name],A582,measured[Date],B582)),"")</f>
        <v/>
      </c>
      <c r="D582" cm="1">
        <f t="array" ref="D582">IFERROR(IF(SUMPRODUCT((expected_production[Site Name]=A582)*(expected_production[Date]=B582)*ISNUMBER(expected_production[Expected Production (kWh)]))=0,"",SUMIFS(expected_production[Expected Production (kWh)],expected_production[Site Name],A582,expected_production[Date],B582)),"")</f>
        <v>2226.6</v>
      </c>
      <c r="E582" s="9" t="str">
        <f t="shared" si="18"/>
        <v/>
      </c>
      <c r="F582" t="str">
        <f t="shared" si="19"/>
        <v/>
      </c>
    </row>
    <row r="583" spans="1:6" ht="15" hidden="1" customHeight="1" x14ac:dyDescent="0.3">
      <c r="A583" t="s">
        <v>239</v>
      </c>
      <c r="B583" s="2">
        <v>45444</v>
      </c>
      <c r="C583" t="str" cm="1">
        <f t="array" ref="C583">IFERROR(IF(SUMPRODUCT((measured[Site Name]=A583)*(measured[Date]=B583)*ISNUMBER(measured[Measured Value (kWh)]))=0,"",SUMIFS(measured[Measured Value (kWh)],measured[Site Name],A583,measured[Date],B583)),"")</f>
        <v/>
      </c>
      <c r="D583" cm="1">
        <f t="array" ref="D583">IFERROR(IF(SUMPRODUCT((expected_production[Site Name]=A583)*(expected_production[Date]=B583)*ISNUMBER(expected_production[Expected Production (kWh)]))=0,"",SUMIFS(expected_production[Expected Production (kWh)],expected_production[Site Name],A583,expected_production[Date],B583)),"")</f>
        <v>2480.4</v>
      </c>
      <c r="E583" s="9" t="str">
        <f t="shared" si="18"/>
        <v/>
      </c>
      <c r="F583" t="str">
        <f t="shared" si="19"/>
        <v/>
      </c>
    </row>
    <row r="584" spans="1:6" ht="15" hidden="1" customHeight="1" x14ac:dyDescent="0.3">
      <c r="A584" t="s">
        <v>239</v>
      </c>
      <c r="B584" s="2">
        <v>45474</v>
      </c>
      <c r="C584" t="str" cm="1">
        <f t="array" ref="C584">IFERROR(IF(SUMPRODUCT((measured[Site Name]=A584)*(measured[Date]=B584)*ISNUMBER(measured[Measured Value (kWh)]))=0,"",SUMIFS(measured[Measured Value (kWh)],measured[Site Name],A584,measured[Date],B584)),"")</f>
        <v/>
      </c>
      <c r="D584" cm="1">
        <f t="array" ref="D584">IFERROR(IF(SUMPRODUCT((expected_production[Site Name]=A584)*(expected_production[Date]=B584)*ISNUMBER(expected_production[Expected Production (kWh)]))=0,"",SUMIFS(expected_production[Expected Production (kWh)],expected_production[Site Name],A584,expected_production[Date],B584)),"")</f>
        <v>2349.9</v>
      </c>
      <c r="E584" s="9" t="str">
        <f t="shared" si="18"/>
        <v/>
      </c>
      <c r="F584" t="str">
        <f t="shared" si="19"/>
        <v/>
      </c>
    </row>
    <row r="585" spans="1:6" ht="15" hidden="1" customHeight="1" x14ac:dyDescent="0.3">
      <c r="A585" t="s">
        <v>239</v>
      </c>
      <c r="B585" s="2">
        <v>45505</v>
      </c>
      <c r="C585" t="str" cm="1">
        <f t="array" ref="C585">IFERROR(IF(SUMPRODUCT((measured[Site Name]=A585)*(measured[Date]=B585)*ISNUMBER(measured[Measured Value (kWh)]))=0,"",SUMIFS(measured[Measured Value (kWh)],measured[Site Name],A585,measured[Date],B585)),"")</f>
        <v/>
      </c>
      <c r="D585" cm="1">
        <f t="array" ref="D585">IFERROR(IF(SUMPRODUCT((expected_production[Site Name]=A585)*(expected_production[Date]=B585)*ISNUMBER(expected_production[Expected Production (kWh)]))=0,"",SUMIFS(expected_production[Expected Production (kWh)],expected_production[Site Name],A585,expected_production[Date],B585)),"")</f>
        <v>2520</v>
      </c>
      <c r="E585" s="9" t="str">
        <f t="shared" si="18"/>
        <v/>
      </c>
      <c r="F585" t="str">
        <f t="shared" si="19"/>
        <v/>
      </c>
    </row>
    <row r="586" spans="1:6" ht="15" hidden="1" customHeight="1" x14ac:dyDescent="0.3">
      <c r="A586" t="s">
        <v>239</v>
      </c>
      <c r="B586" s="2">
        <v>45536</v>
      </c>
      <c r="C586" t="str" cm="1">
        <f t="array" ref="C586">IFERROR(IF(SUMPRODUCT((measured[Site Name]=A586)*(measured[Date]=B586)*ISNUMBER(measured[Measured Value (kWh)]))=0,"",SUMIFS(measured[Measured Value (kWh)],measured[Site Name],A586,measured[Date],B586)),"")</f>
        <v/>
      </c>
      <c r="D586" cm="1">
        <f t="array" ref="D586">IFERROR(IF(SUMPRODUCT((expected_production[Site Name]=A586)*(expected_production[Date]=B586)*ISNUMBER(expected_production[Expected Production (kWh)]))=0,"",SUMIFS(expected_production[Expected Production (kWh)],expected_production[Site Name],A586,expected_production[Date],B586)),"")</f>
        <v>2436.3000000000002</v>
      </c>
      <c r="E586" s="9" t="str">
        <f t="shared" si="18"/>
        <v/>
      </c>
      <c r="F586" t="str">
        <f t="shared" si="19"/>
        <v/>
      </c>
    </row>
    <row r="587" spans="1:6" ht="15" hidden="1" customHeight="1" x14ac:dyDescent="0.3">
      <c r="A587" t="s">
        <v>239</v>
      </c>
      <c r="B587" s="2">
        <v>45566</v>
      </c>
      <c r="C587" t="str" cm="1">
        <f t="array" ref="C587">IFERROR(IF(SUMPRODUCT((measured[Site Name]=A587)*(measured[Date]=B587)*ISNUMBER(measured[Measured Value (kWh)]))=0,"",SUMIFS(measured[Measured Value (kWh)],measured[Site Name],A587,measured[Date],B587)),"")</f>
        <v/>
      </c>
      <c r="D587" cm="1">
        <f t="array" ref="D587">IFERROR(IF(SUMPRODUCT((expected_production[Site Name]=A587)*(expected_production[Date]=B587)*ISNUMBER(expected_production[Expected Production (kWh)]))=0,"",SUMIFS(expected_production[Expected Production (kWh)],expected_production[Site Name],A587,expected_production[Date],B587)),"")</f>
        <v>2425.5</v>
      </c>
      <c r="E587" s="9" t="str">
        <f t="shared" si="18"/>
        <v/>
      </c>
      <c r="F587" t="str">
        <f t="shared" si="19"/>
        <v/>
      </c>
    </row>
    <row r="588" spans="1:6" ht="15" hidden="1" customHeight="1" x14ac:dyDescent="0.3">
      <c r="A588" t="s">
        <v>239</v>
      </c>
      <c r="B588" s="2">
        <v>45597</v>
      </c>
      <c r="C588" t="str" cm="1">
        <f t="array" ref="C588">IFERROR(IF(SUMPRODUCT((measured[Site Name]=A588)*(measured[Date]=B588)*ISNUMBER(measured[Measured Value (kWh)]))=0,"",SUMIFS(measured[Measured Value (kWh)],measured[Site Name],A588,measured[Date],B588)),"")</f>
        <v/>
      </c>
      <c r="D588" cm="1">
        <f t="array" ref="D588">IFERROR(IF(SUMPRODUCT((expected_production[Site Name]=A588)*(expected_production[Date]=B588)*ISNUMBER(expected_production[Expected Production (kWh)]))=0,"",SUMIFS(expected_production[Expected Production (kWh)],expected_production[Site Name],A588,expected_production[Date],B588)),"")</f>
        <v>2356.1999999999998</v>
      </c>
      <c r="E588" s="9" t="str">
        <f t="shared" si="18"/>
        <v/>
      </c>
      <c r="F588" t="str">
        <f t="shared" si="19"/>
        <v/>
      </c>
    </row>
    <row r="589" spans="1:6" ht="15" hidden="1" customHeight="1" x14ac:dyDescent="0.3">
      <c r="A589" t="s">
        <v>239</v>
      </c>
      <c r="B589" s="2">
        <v>45627</v>
      </c>
      <c r="C589" t="str" cm="1">
        <f t="array" ref="C589">IFERROR(IF(SUMPRODUCT((measured[Site Name]=A589)*(measured[Date]=B589)*ISNUMBER(measured[Measured Value (kWh)]))=0,"",SUMIFS(measured[Measured Value (kWh)],measured[Site Name],A589,measured[Date],B589)),"")</f>
        <v/>
      </c>
      <c r="D589" cm="1">
        <f t="array" ref="D589">IFERROR(IF(SUMPRODUCT((expected_production[Site Name]=A589)*(expected_production[Date]=B589)*ISNUMBER(expected_production[Expected Production (kWh)]))=0,"",SUMIFS(expected_production[Expected Production (kWh)],expected_production[Site Name],A589,expected_production[Date],B589)),"")</f>
        <v>2437.1999999999998</v>
      </c>
      <c r="E589" s="9" t="str">
        <f t="shared" si="18"/>
        <v/>
      </c>
      <c r="F589" t="str">
        <f t="shared" si="19"/>
        <v/>
      </c>
    </row>
    <row r="590" spans="1:6" ht="15" hidden="1" customHeight="1" x14ac:dyDescent="0.3">
      <c r="A590" t="s">
        <v>239</v>
      </c>
      <c r="B590" s="2">
        <v>45658</v>
      </c>
      <c r="C590" t="str" cm="1">
        <f t="array" ref="C590">IFERROR(IF(SUMPRODUCT((measured[Site Name]=A590)*(measured[Date]=B590)*ISNUMBER(measured[Measured Value (kWh)]))=0,"",SUMIFS(measured[Measured Value (kWh)],measured[Site Name],A590,measured[Date],B590)),"")</f>
        <v/>
      </c>
      <c r="D590" cm="1">
        <f t="array" ref="D590">IFERROR(IF(SUMPRODUCT((expected_production[Site Name]=A590)*(expected_production[Date]=B590)*ISNUMBER(expected_production[Expected Production (kWh)]))=0,"",SUMIFS(expected_production[Expected Production (kWh)],expected_production[Site Name],A590,expected_production[Date],B590)),"")</f>
        <v>2461.5</v>
      </c>
      <c r="E590" s="9" t="str">
        <f t="shared" si="18"/>
        <v/>
      </c>
      <c r="F590" t="str">
        <f t="shared" si="19"/>
        <v/>
      </c>
    </row>
    <row r="591" spans="1:6" ht="15" hidden="1" customHeight="1" x14ac:dyDescent="0.3">
      <c r="A591" t="s">
        <v>239</v>
      </c>
      <c r="B591" s="2">
        <v>45689</v>
      </c>
      <c r="C591" t="str" cm="1">
        <f t="array" ref="C591">IFERROR(IF(SUMPRODUCT((measured[Site Name]=A591)*(measured[Date]=B591)*ISNUMBER(measured[Measured Value (kWh)]))=0,"",SUMIFS(measured[Measured Value (kWh)],measured[Site Name],A591,measured[Date],B591)),"")</f>
        <v/>
      </c>
      <c r="D591" cm="1">
        <f t="array" ref="D591">IFERROR(IF(SUMPRODUCT((expected_production[Site Name]=A591)*(expected_production[Date]=B591)*ISNUMBER(expected_production[Expected Production (kWh)]))=0,"",SUMIFS(expected_production[Expected Production (kWh)],expected_production[Site Name],A591,expected_production[Date],B591)),"")</f>
        <v>2300.4</v>
      </c>
      <c r="E591" s="9" t="str">
        <f t="shared" si="18"/>
        <v/>
      </c>
      <c r="F591" t="str">
        <f t="shared" si="19"/>
        <v/>
      </c>
    </row>
    <row r="592" spans="1:6" ht="15" hidden="1" customHeight="1" x14ac:dyDescent="0.3">
      <c r="A592" t="s">
        <v>239</v>
      </c>
      <c r="B592" s="2">
        <v>45717</v>
      </c>
      <c r="C592" t="str" cm="1">
        <f t="array" ref="C592">IFERROR(IF(SUMPRODUCT((measured[Site Name]=A592)*(measured[Date]=B592)*ISNUMBER(measured[Measured Value (kWh)]))=0,"",SUMIFS(measured[Measured Value (kWh)],measured[Site Name],A592,measured[Date],B592)),"")</f>
        <v/>
      </c>
      <c r="D592" cm="1">
        <f t="array" ref="D592">IFERROR(IF(SUMPRODUCT((expected_production[Site Name]=A592)*(expected_production[Date]=B592)*ISNUMBER(expected_production[Expected Production (kWh)]))=0,"",SUMIFS(expected_production[Expected Production (kWh)],expected_production[Site Name],A592,expected_production[Date],B592)),"")</f>
        <v>2281.5</v>
      </c>
      <c r="E592" s="9" t="str">
        <f t="shared" si="18"/>
        <v/>
      </c>
      <c r="F592" t="str">
        <f t="shared" si="19"/>
        <v/>
      </c>
    </row>
    <row r="593" spans="1:7" ht="15" hidden="1" customHeight="1" x14ac:dyDescent="0.3">
      <c r="A593" t="s">
        <v>239</v>
      </c>
      <c r="B593" s="2">
        <v>45748</v>
      </c>
      <c r="C593" t="str" cm="1">
        <f t="array" ref="C593">IFERROR(IF(SUMPRODUCT((measured[Site Name]=A593)*(measured[Date]=B593)*ISNUMBER(measured[Measured Value (kWh)]))=0,"",SUMIFS(measured[Measured Value (kWh)],measured[Site Name],A593,measured[Date],B593)),"")</f>
        <v/>
      </c>
      <c r="D593" cm="1">
        <f t="array" ref="D593">IFERROR(IF(SUMPRODUCT((expected_production[Site Name]=A593)*(expected_production[Date]=B593)*ISNUMBER(expected_production[Expected Production (kWh)]))=0,"",SUMIFS(expected_production[Expected Production (kWh)],expected_production[Site Name],A593,expected_production[Date],B593)),"")</f>
        <v>2197.8000000000002</v>
      </c>
      <c r="E593" s="9" t="str">
        <f t="shared" si="18"/>
        <v/>
      </c>
      <c r="F593" t="str">
        <f t="shared" si="19"/>
        <v/>
      </c>
    </row>
    <row r="594" spans="1:7" ht="15" hidden="1" customHeight="1" x14ac:dyDescent="0.3">
      <c r="A594" t="s">
        <v>239</v>
      </c>
      <c r="B594" s="2">
        <v>45778</v>
      </c>
      <c r="C594" t="str" cm="1">
        <f t="array" ref="C594">IFERROR(IF(SUMPRODUCT((measured[Site Name]=A594)*(measured[Date]=B594)*ISNUMBER(measured[Measured Value (kWh)]))=0,"",SUMIFS(measured[Measured Value (kWh)],measured[Site Name],A594,measured[Date],B594)),"")</f>
        <v/>
      </c>
      <c r="D594" cm="1">
        <f t="array" ref="D594">IFERROR(IF(SUMPRODUCT((expected_production[Site Name]=A594)*(expected_production[Date]=B594)*ISNUMBER(expected_production[Expected Production (kWh)]))=0,"",SUMIFS(expected_production[Expected Production (kWh)],expected_production[Site Name],A594,expected_production[Date],B594)),"")</f>
        <v>2226.6</v>
      </c>
      <c r="E594" s="9" t="str">
        <f t="shared" si="18"/>
        <v/>
      </c>
      <c r="F594" t="str">
        <f t="shared" si="19"/>
        <v/>
      </c>
    </row>
    <row r="595" spans="1:7" ht="15" hidden="1" customHeight="1" x14ac:dyDescent="0.3">
      <c r="A595" t="s">
        <v>239</v>
      </c>
      <c r="B595" s="2">
        <v>45809</v>
      </c>
      <c r="C595" t="str" cm="1">
        <f t="array" ref="C595">IFERROR(IF(SUMPRODUCT((measured[Site Name]=A595)*(measured[Date]=B595)*ISNUMBER(measured[Measured Value (kWh)]))=0,"",SUMIFS(measured[Measured Value (kWh)],measured[Site Name],A595,measured[Date],B595)),"")</f>
        <v/>
      </c>
      <c r="D595" cm="1">
        <f t="array" ref="D595">IFERROR(IF(SUMPRODUCT((expected_production[Site Name]=A595)*(expected_production[Date]=B595)*ISNUMBER(expected_production[Expected Production (kWh)]))=0,"",SUMIFS(expected_production[Expected Production (kWh)],expected_production[Site Name],A595,expected_production[Date],B595)),"")</f>
        <v>2480.4</v>
      </c>
      <c r="E595" s="9" t="str">
        <f t="shared" si="18"/>
        <v/>
      </c>
      <c r="F595" t="str">
        <f t="shared" si="19"/>
        <v/>
      </c>
    </row>
    <row r="596" spans="1:7" ht="15" hidden="1" customHeight="1" x14ac:dyDescent="0.3">
      <c r="A596" t="s">
        <v>239</v>
      </c>
      <c r="B596" s="2">
        <v>45839</v>
      </c>
      <c r="C596" t="str" cm="1">
        <f t="array" ref="C596">IFERROR(IF(SUMPRODUCT((measured[Site Name]=A596)*(measured[Date]=B596)*ISNUMBER(measured[Measured Value (kWh)]))=0,"",SUMIFS(measured[Measured Value (kWh)],measured[Site Name],A596,measured[Date],B596)),"")</f>
        <v/>
      </c>
      <c r="D596" cm="1">
        <f t="array" ref="D596">IFERROR(IF(SUMPRODUCT((expected_production[Site Name]=A596)*(expected_production[Date]=B596)*ISNUMBER(expected_production[Expected Production (kWh)]))=0,"",SUMIFS(expected_production[Expected Production (kWh)],expected_production[Site Name],A596,expected_production[Date],B596)),"")</f>
        <v>2349.9</v>
      </c>
      <c r="E596" s="9" t="str">
        <f t="shared" si="18"/>
        <v/>
      </c>
      <c r="F596" t="str">
        <f t="shared" si="19"/>
        <v/>
      </c>
    </row>
    <row r="597" spans="1:7" ht="15" hidden="1" customHeight="1" x14ac:dyDescent="0.3">
      <c r="A597" t="s">
        <v>239</v>
      </c>
      <c r="B597" s="2">
        <v>45870</v>
      </c>
      <c r="C597" t="str" cm="1">
        <f t="array" ref="C597">IFERROR(IF(SUMPRODUCT((measured[Site Name]=A597)*(measured[Date]=B597)*ISNUMBER(measured[Measured Value (kWh)]))=0,"",SUMIFS(measured[Measured Value (kWh)],measured[Site Name],A597,measured[Date],B597)),"")</f>
        <v/>
      </c>
      <c r="D597" cm="1">
        <f t="array" ref="D597">IFERROR(IF(SUMPRODUCT((expected_production[Site Name]=A597)*(expected_production[Date]=B597)*ISNUMBER(expected_production[Expected Production (kWh)]))=0,"",SUMIFS(expected_production[Expected Production (kWh)],expected_production[Site Name],A597,expected_production[Date],B597)),"")</f>
        <v>2520</v>
      </c>
      <c r="E597" s="9" t="str">
        <f t="shared" si="18"/>
        <v/>
      </c>
      <c r="F597" t="str">
        <f t="shared" si="19"/>
        <v/>
      </c>
    </row>
    <row r="598" spans="1:7" ht="15" hidden="1" customHeight="1" x14ac:dyDescent="0.3">
      <c r="A598" t="s">
        <v>239</v>
      </c>
      <c r="B598" s="2">
        <v>45901</v>
      </c>
      <c r="C598" t="str" cm="1">
        <f t="array" ref="C598">IFERROR(IF(SUMPRODUCT((measured[Site Name]=A598)*(measured[Date]=B598)*ISNUMBER(measured[Measured Value (kWh)]))=0,"",SUMIFS(measured[Measured Value (kWh)],measured[Site Name],A598,measured[Date],B598)),"")</f>
        <v/>
      </c>
      <c r="D598" cm="1">
        <f t="array" ref="D598">IFERROR(IF(SUMPRODUCT((expected_production[Site Name]=A598)*(expected_production[Date]=B598)*ISNUMBER(expected_production[Expected Production (kWh)]))=0,"",SUMIFS(expected_production[Expected Production (kWh)],expected_production[Site Name],A598,expected_production[Date],B598)),"")</f>
        <v>2436.3000000000002</v>
      </c>
      <c r="E598" s="9" t="str">
        <f t="shared" ref="E598:E661" si="20">IF(OR(C598="",D598="",D598=0),"",C598/D598)</f>
        <v/>
      </c>
      <c r="F598" t="str">
        <f t="shared" ref="F598:F661" si="21">IF(E598="","",IF(E598&gt;=0.9,"Expected",IF(E598&gt;=0.7,"Moderate","Poor")))</f>
        <v/>
      </c>
    </row>
    <row r="599" spans="1:7" ht="15" hidden="1" customHeight="1" x14ac:dyDescent="0.3">
      <c r="A599" t="s">
        <v>239</v>
      </c>
      <c r="B599" s="2">
        <v>45931</v>
      </c>
      <c r="C599" t="str" cm="1">
        <f t="array" ref="C599">IFERROR(IF(SUMPRODUCT((measured[Site Name]=A599)*(measured[Date]=B599)*ISNUMBER(measured[Measured Value (kWh)]))=0,"",SUMIFS(measured[Measured Value (kWh)],measured[Site Name],A599,measured[Date],B599)),"")</f>
        <v/>
      </c>
      <c r="D599" cm="1">
        <f t="array" ref="D599">IFERROR(IF(SUMPRODUCT((expected_production[Site Name]=A599)*(expected_production[Date]=B599)*ISNUMBER(expected_production[Expected Production (kWh)]))=0,"",SUMIFS(expected_production[Expected Production (kWh)],expected_production[Site Name],A599,expected_production[Date],B599)),"")</f>
        <v>2425.5</v>
      </c>
      <c r="E599" s="9" t="str">
        <f t="shared" si="20"/>
        <v/>
      </c>
      <c r="F599" t="str">
        <f t="shared" si="21"/>
        <v/>
      </c>
    </row>
    <row r="600" spans="1:7" ht="15" hidden="1" customHeight="1" x14ac:dyDescent="0.3">
      <c r="A600" t="s">
        <v>239</v>
      </c>
      <c r="B600" s="2">
        <v>45962</v>
      </c>
      <c r="C600" t="str" cm="1">
        <f t="array" ref="C600">IFERROR(IF(SUMPRODUCT((measured[Site Name]=A600)*(measured[Date]=B600)*ISNUMBER(measured[Measured Value (kWh)]))=0,"",SUMIFS(measured[Measured Value (kWh)],measured[Site Name],A600,measured[Date],B600)),"")</f>
        <v/>
      </c>
      <c r="D600" cm="1">
        <f t="array" ref="D600">IFERROR(IF(SUMPRODUCT((expected_production[Site Name]=A600)*(expected_production[Date]=B600)*ISNUMBER(expected_production[Expected Production (kWh)]))=0,"",SUMIFS(expected_production[Expected Production (kWh)],expected_production[Site Name],A600,expected_production[Date],B600)),"")</f>
        <v>2355.7015848932997</v>
      </c>
      <c r="E600" s="9" t="str">
        <f t="shared" si="20"/>
        <v/>
      </c>
      <c r="F600" t="str">
        <f t="shared" si="21"/>
        <v/>
      </c>
    </row>
    <row r="601" spans="1:7" ht="15" hidden="1" customHeight="1" x14ac:dyDescent="0.3">
      <c r="A601" t="s">
        <v>239</v>
      </c>
      <c r="B601" s="2">
        <v>45992</v>
      </c>
      <c r="C601" t="str" cm="1">
        <f t="array" ref="C601">IFERROR(IF(SUMPRODUCT((measured[Site Name]=A601)*(measured[Date]=B601)*ISNUMBER(measured[Measured Value (kWh)]))=0,"",SUMIFS(measured[Measured Value (kWh)],measured[Site Name],A601,measured[Date],B601)),"")</f>
        <v/>
      </c>
      <c r="D601" cm="1">
        <f t="array" ref="D601">IFERROR(IF(SUMPRODUCT((expected_production[Site Name]=A601)*(expected_production[Date]=B601)*ISNUMBER(expected_production[Expected Production (kWh)]))=0,"",SUMIFS(expected_production[Expected Production (kWh)],expected_production[Site Name],A601,expected_production[Date],B601)),"")</f>
        <v>2435.2789613203981</v>
      </c>
      <c r="E601" s="9" t="str">
        <f t="shared" si="20"/>
        <v/>
      </c>
      <c r="F601" t="str">
        <f t="shared" si="21"/>
        <v/>
      </c>
    </row>
    <row r="602" spans="1:7" ht="15" hidden="1" customHeight="1" x14ac:dyDescent="0.3">
      <c r="A602" t="s">
        <v>239</v>
      </c>
      <c r="B602" s="2">
        <v>46023</v>
      </c>
      <c r="C602" cm="1">
        <f t="array" ref="C602">IFERROR(IF(SUMPRODUCT((measured[Site Name]=A602)*(measured[Date]=B602)*ISNUMBER(measured[Measured Value (kWh)]))=0,"",SUMIFS(measured[Measured Value (kWh)],measured[Site Name],A602,measured[Date],B602)),"")</f>
        <v>3245</v>
      </c>
      <c r="D602" cm="1">
        <f t="array" ref="D602">IFERROR(IF(SUMPRODUCT((expected_production[Site Name]=A602)*(expected_production[Date]=B602)*ISNUMBER(expected_production[Expected Production (kWh)]))=0,"",SUMIFS(expected_production[Expected Production (kWh)],expected_production[Site Name],A602,expected_production[Date],B602)),"")</f>
        <v>2458.0938483539485</v>
      </c>
      <c r="E602" s="9">
        <f t="shared" si="20"/>
        <v>1.3201286037850017</v>
      </c>
      <c r="F602" t="str">
        <f t="shared" si="21"/>
        <v>Expected</v>
      </c>
    </row>
    <row r="603" spans="1:7" ht="15" hidden="1" customHeight="1" x14ac:dyDescent="0.3">
      <c r="A603" t="s">
        <v>239</v>
      </c>
      <c r="B603" s="2">
        <v>46054</v>
      </c>
      <c r="C603" cm="1">
        <f t="array" ref="C603">IFERROR(IF(SUMPRODUCT((measured[Site Name]=A603)*(measured[Date]=B603)*ISNUMBER(measured[Measured Value (kWh)]))=0,"",SUMIFS(measured[Measured Value (kWh)],measured[Site Name],A603,measured[Date],B603)),"")</f>
        <v>3122</v>
      </c>
      <c r="D603" cm="1">
        <f t="array" ref="D603">IFERROR(IF(SUMPRODUCT((expected_production[Site Name]=A603)*(expected_production[Date]=B603)*ISNUMBER(expected_production[Expected Production (kWh)]))=0,"",SUMIFS(expected_production[Expected Production (kWh)],expected_production[Site Name],A603,expected_production[Date],B603)),"")</f>
        <v>2295.8475750067523</v>
      </c>
      <c r="E603" s="9">
        <f t="shared" si="20"/>
        <v>1.3598463739435394</v>
      </c>
      <c r="F603" t="str">
        <f t="shared" si="21"/>
        <v>Expected</v>
      </c>
    </row>
    <row r="604" spans="1:7" ht="15" hidden="1" customHeight="1" x14ac:dyDescent="0.3">
      <c r="A604" t="s">
        <v>239</v>
      </c>
      <c r="B604" s="2">
        <v>46082</v>
      </c>
      <c r="C604" cm="1">
        <f t="array" ref="C604">IFERROR(IF(SUMPRODUCT((measured[Site Name]=A604)*(measured[Date]=B604)*ISNUMBER(measured[Measured Value (kWh)]))=0,"",SUMIFS(measured[Measured Value (kWh)],measured[Site Name],A604,measured[Date],B604)),"")</f>
        <v>2817</v>
      </c>
      <c r="D604" cm="1">
        <f t="array" ref="D604">IFERROR(IF(SUMPRODUCT((expected_production[Site Name]=A604)*(expected_production[Date]=B604)*ISNUMBER(expected_production[Expected Production (kWh)]))=0,"",SUMIFS(expected_production[Expected Production (kWh)],expected_production[Site Name],A604,expected_production[Date],B604)),"")</f>
        <v>2275.759138190163</v>
      </c>
      <c r="E604" s="9">
        <f t="shared" si="20"/>
        <v>1.2378287107484793</v>
      </c>
      <c r="F604" t="str">
        <f t="shared" si="21"/>
        <v>Expected</v>
      </c>
    </row>
    <row r="605" spans="1:7" ht="15" hidden="1" customHeight="1" x14ac:dyDescent="0.3">
      <c r="A605" t="s">
        <v>239</v>
      </c>
      <c r="B605" s="2">
        <v>46113</v>
      </c>
      <c r="C605" cm="1">
        <f t="array" ref="C605">IFERROR(IF(SUMPRODUCT((measured[Site Name]=A605)*(measured[Date]=B605)*ISNUMBER(measured[Measured Value (kWh)]))=0,"",SUMIFS(measured[Measured Value (kWh)],measured[Site Name],A605,measured[Date],B605)),"")</f>
        <v>2735.53</v>
      </c>
      <c r="D605" cm="1">
        <f t="array" ref="D605">IFERROR(IF(SUMPRODUCT((expected_production[Site Name]=A605)*(expected_production[Date]=B605)*ISNUMBER(expected_production[Expected Production (kWh)]))=0,"",SUMIFS(expected_production[Expected Production (kWh)],expected_production[Site Name],A605,expected_production[Date],B605)),"")</f>
        <v>2190.9631019355493</v>
      </c>
      <c r="E605" s="9">
        <f t="shared" si="20"/>
        <v>1.2485513779686055</v>
      </c>
      <c r="F605" t="str">
        <f t="shared" si="21"/>
        <v>Expected</v>
      </c>
    </row>
    <row r="606" spans="1:7" ht="15" hidden="1" customHeight="1" x14ac:dyDescent="0.3">
      <c r="A606" t="s">
        <v>239</v>
      </c>
      <c r="B606" s="2">
        <v>46143</v>
      </c>
      <c r="C606" cm="1">
        <f t="array" ref="C606">IFERROR(IF(SUMPRODUCT((measured[Site Name]=A606)*(measured[Date]=B606)*ISNUMBER(measured[Measured Value (kWh)]))=0,"",SUMIFS(measured[Measured Value (kWh)],measured[Site Name],A606,measured[Date],B606)),"")</f>
        <v>3239.91</v>
      </c>
      <c r="D606" cm="1">
        <f t="array" ref="D606">IFERROR(IF(SUMPRODUCT((expected_production[Site Name]=A606)*(expected_production[Date]=B606)*ISNUMBER(expected_production[Expected Production (kWh)]))=0,"",SUMIFS(expected_production[Expected Production (kWh)],expected_production[Site Name],A606,expected_production[Date],B606)),"")</f>
        <v>2218.3931945502663</v>
      </c>
      <c r="E606" s="9">
        <f t="shared" si="20"/>
        <v>1.4604759913432863</v>
      </c>
      <c r="F606" t="str">
        <f t="shared" si="21"/>
        <v>Expected</v>
      </c>
    </row>
    <row r="607" spans="1:7" ht="15" hidden="1" customHeight="1" x14ac:dyDescent="0.3">
      <c r="A607" t="s">
        <v>239</v>
      </c>
      <c r="B607" s="2">
        <v>46174</v>
      </c>
      <c r="C607" cm="1">
        <f t="array" ref="C607">IFERROR(IF(SUMPRODUCT((measured[Site Name]=A607)*(measured[Date]=B607)*ISNUMBER(measured[Measured Value (kWh)]))=0,"",SUMIFS(measured[Measured Value (kWh)],measured[Site Name],A607,measured[Date],B607)),"")</f>
        <v>2723</v>
      </c>
      <c r="D607" cm="1">
        <f t="array" ref="D607">IFERROR(IF(SUMPRODUCT((expected_production[Site Name]=A607)*(expected_production[Date]=B607)*ISNUMBER(expected_production[Expected Production (kWh)]))=0,"",SUMIFS(expected_production[Expected Production (kWh)],expected_production[Site Name],A607,expected_production[Date],B607)),"")</f>
        <v>2469.7848065578564</v>
      </c>
      <c r="E607" s="9">
        <f t="shared" si="20"/>
        <v>1.1025252049368017</v>
      </c>
      <c r="F607" t="str">
        <f t="shared" si="21"/>
        <v>Expected</v>
      </c>
    </row>
    <row r="608" spans="1:7" ht="15" hidden="1" customHeight="1" x14ac:dyDescent="0.3">
      <c r="A608" t="s">
        <v>93</v>
      </c>
      <c r="B608" s="2">
        <v>46204</v>
      </c>
      <c r="C608" cm="1">
        <f t="array" ref="C608">IFERROR(IF(SUMPRODUCT((measured[Site Name]=A608)*(measured[Date]=B608)*ISNUMBER(measured[Measured Value (kWh)]))=0,"",SUMIFS(measured[Measured Value (kWh)],measured[Site Name],A608,measured[Date],B608)),"")</f>
        <v>0</v>
      </c>
      <c r="D608" cm="1">
        <f t="array" ref="D608">IFERROR(IF(SUMPRODUCT((expected_production[Site Name]=A608)*(expected_production[Date]=B608)*ISNUMBER(expected_production[Expected Production (kWh)]))=0,"",SUMIFS(expected_production[Expected Production (kWh)],expected_production[Site Name],A608,expected_production[Date],B608)),"")</f>
        <v>6367.3199904271933</v>
      </c>
      <c r="E608" s="9">
        <f t="shared" si="20"/>
        <v>0</v>
      </c>
      <c r="F608" t="str">
        <f t="shared" si="21"/>
        <v>Poor</v>
      </c>
      <c r="G608" t="s">
        <v>875</v>
      </c>
    </row>
    <row r="609" spans="1:7" ht="15" hidden="1" customHeight="1" x14ac:dyDescent="0.3">
      <c r="A609" t="s">
        <v>239</v>
      </c>
      <c r="B609" s="2">
        <v>46235</v>
      </c>
      <c r="C609" cm="1">
        <f t="array" ref="C609">IFERROR(IF(SUMPRODUCT((measured[Site Name]=A609)*(measured[Date]=B609)*ISNUMBER(measured[Measured Value (kWh)]))=0,"",SUMIFS(measured[Measured Value (kWh)],measured[Site Name],A609,measured[Date],B609)),"")</f>
        <v>3368.28</v>
      </c>
      <c r="D609" cm="1">
        <f t="array" ref="D609">IFERROR(IF(SUMPRODUCT((expected_production[Site Name]=A609)*(expected_production[Date]=B609)*ISNUMBER(expected_production[Expected Production (kWh)]))=0,"",SUMIFS(expected_production[Expected Production (kWh)],expected_production[Site Name],A609,expected_production[Date],B609)),"")</f>
        <v>2506.2733151276416</v>
      </c>
      <c r="E609" s="9">
        <f t="shared" si="20"/>
        <v>1.343939617307244</v>
      </c>
      <c r="F609" t="str">
        <f t="shared" si="21"/>
        <v>Expected</v>
      </c>
      <c r="G609" t="s">
        <v>874</v>
      </c>
    </row>
    <row r="610" spans="1:7" ht="15" customHeight="1" x14ac:dyDescent="0.3">
      <c r="A610" t="s">
        <v>239</v>
      </c>
      <c r="B610" s="2">
        <v>46266</v>
      </c>
      <c r="C610" cm="1">
        <f t="array" ref="C610">IFERROR(IF(SUMPRODUCT((measured[Site Name]=A610)*(measured[Date]=B610)*ISNUMBER(measured[Measured Value (kWh)]))=0,"",SUMIFS(measured[Measured Value (kWh)],measured[Site Name],A610,measured[Date],B610)),"")</f>
        <v>2640.395</v>
      </c>
      <c r="D610" cm="1">
        <f t="array" ref="D610">IFERROR(IF(SUMPRODUCT((expected_production[Site Name]=A610)*(expected_production[Date]=B610)*ISNUMBER(expected_production[Expected Production (kWh)]))=0,"",SUMIFS(expected_production[Expected Production (kWh)],expected_production[Site Name],A610,expected_production[Date],B610)),"")</f>
        <v>2421.5850509659558</v>
      </c>
      <c r="E610" s="9">
        <f t="shared" si="20"/>
        <v>1.0903581515531582</v>
      </c>
      <c r="F610" t="str">
        <f t="shared" si="21"/>
        <v>Expected</v>
      </c>
      <c r="G610" t="s">
        <v>874</v>
      </c>
    </row>
    <row r="611" spans="1:7" ht="15" hidden="1" customHeight="1" x14ac:dyDescent="0.3">
      <c r="A611" t="s">
        <v>239</v>
      </c>
      <c r="B611" s="2">
        <v>46296</v>
      </c>
      <c r="C611" t="str" cm="1">
        <f t="array" ref="C611">IFERROR(IF(SUMPRODUCT((measured[Site Name]=A611)*(measured[Date]=B611)*ISNUMBER(measured[Measured Value (kWh)]))=0,"",SUMIFS(measured[Measured Value (kWh)],measured[Site Name],A611,measured[Date],B611)),"")</f>
        <v/>
      </c>
      <c r="D611" cm="1">
        <f t="array" ref="D611">IFERROR(IF(SUMPRODUCT((expected_production[Site Name]=A611)*(expected_production[Date]=B611)*ISNUMBER(expected_production[Expected Production (kWh)]))=0,"",SUMIFS(expected_production[Expected Production (kWh)],expected_production[Site Name],A611,expected_production[Date],B611)),"")</f>
        <v>2409.4596935115142</v>
      </c>
      <c r="E611" s="9" t="str">
        <f t="shared" si="20"/>
        <v/>
      </c>
      <c r="F611" t="str">
        <f t="shared" si="21"/>
        <v/>
      </c>
    </row>
    <row r="612" spans="1:7" ht="15" hidden="1" customHeight="1" x14ac:dyDescent="0.3">
      <c r="A612" t="s">
        <v>239</v>
      </c>
      <c r="B612" s="2">
        <v>46327</v>
      </c>
      <c r="C612" t="str" cm="1">
        <f t="array" ref="C612">IFERROR(IF(SUMPRODUCT((measured[Site Name]=A612)*(measured[Date]=B612)*ISNUMBER(measured[Measured Value (kWh)]))=0,"",SUMIFS(measured[Measured Value (kWh)],measured[Site Name],A612,measured[Date],B612)),"")</f>
        <v/>
      </c>
      <c r="D612" cm="1">
        <f t="array" ref="D612">IFERROR(IF(SUMPRODUCT((expected_production[Site Name]=A612)*(expected_production[Date]=B612)*ISNUMBER(expected_production[Expected Production (kWh)]))=0,"",SUMIFS(expected_production[Expected Production (kWh)],expected_production[Site Name],A612,expected_production[Date],B612)),"")</f>
        <v>2339.2229209590523</v>
      </c>
      <c r="E612" s="9" t="str">
        <f t="shared" si="20"/>
        <v/>
      </c>
      <c r="F612" t="str">
        <f t="shared" si="21"/>
        <v/>
      </c>
    </row>
    <row r="613" spans="1:7" ht="15" hidden="1" customHeight="1" x14ac:dyDescent="0.3">
      <c r="A613" t="s">
        <v>239</v>
      </c>
      <c r="B613" s="2">
        <v>46357</v>
      </c>
      <c r="C613" t="str" cm="1">
        <f t="array" ref="C613">IFERROR(IF(SUMPRODUCT((measured[Site Name]=A613)*(measured[Date]=B613)*ISNUMBER(measured[Measured Value (kWh)]))=0,"",SUMIFS(measured[Measured Value (kWh)],measured[Site Name],A613,measured[Date],B613)),"")</f>
        <v/>
      </c>
      <c r="D613" cm="1">
        <f t="array" ref="D613">IFERROR(IF(SUMPRODUCT((expected_production[Site Name]=A613)*(expected_production[Date]=B613)*ISNUMBER(expected_production[Expected Production (kWh)]))=0,"",SUMIFS(expected_production[Expected Production (kWh)],expected_production[Site Name],A613,expected_production[Date],B613)),"")</f>
        <v>2418.2436356887092</v>
      </c>
      <c r="E613" s="9" t="str">
        <f t="shared" si="20"/>
        <v/>
      </c>
      <c r="F613" t="str">
        <f t="shared" si="21"/>
        <v/>
      </c>
    </row>
    <row r="614" spans="1:7" ht="15" hidden="1" customHeight="1" x14ac:dyDescent="0.3">
      <c r="A614" t="s">
        <v>98</v>
      </c>
      <c r="B614" s="2">
        <v>45292</v>
      </c>
      <c r="C614" cm="1">
        <f t="array" ref="C614">IFERROR(IF(SUMPRODUCT((measured[Site Name]=A614)*(measured[Date]=B614)*ISNUMBER(measured[Measured Value (kWh)]))=0,"",SUMIFS(measured[Measured Value (kWh)],measured[Site Name],A614,measured[Date],B614)),"")</f>
        <v>9736</v>
      </c>
      <c r="D614" cm="1">
        <f t="array" ref="D614">IFERROR(IF(SUMPRODUCT((expected_production[Site Name]=A614)*(expected_production[Date]=B614)*ISNUMBER(expected_production[Expected Production (kWh)]))=0,"",SUMIFS(expected_production[Expected Production (kWh)],expected_production[Site Name],A614,expected_production[Date],B614)),"")</f>
        <v>13373.253850471365</v>
      </c>
      <c r="E614" s="9">
        <f t="shared" si="20"/>
        <v>0.72802027904800726</v>
      </c>
      <c r="F614" t="str">
        <f t="shared" si="21"/>
        <v>Moderate</v>
      </c>
    </row>
    <row r="615" spans="1:7" ht="15" hidden="1" customHeight="1" x14ac:dyDescent="0.3">
      <c r="A615" t="s">
        <v>98</v>
      </c>
      <c r="B615" s="2">
        <v>45323</v>
      </c>
      <c r="C615" cm="1">
        <f t="array" ref="C615">IFERROR(IF(SUMPRODUCT((measured[Site Name]=A615)*(measured[Date]=B615)*ISNUMBER(measured[Measured Value (kWh)]))=0,"",SUMIFS(measured[Measured Value (kWh)],measured[Site Name],A615,measured[Date],B615)),"")</f>
        <v>8912</v>
      </c>
      <c r="D615" cm="1">
        <f t="array" ref="D615">IFERROR(IF(SUMPRODUCT((expected_production[Site Name]=A615)*(expected_production[Date]=B615)*ISNUMBER(expected_production[Expected Production (kWh)]))=0,"",SUMIFS(expected_production[Expected Production (kWh)],expected_production[Site Name],A615,expected_production[Date],B615)),"")</f>
        <v>12244.8976669889</v>
      </c>
      <c r="E615" s="9">
        <f t="shared" si="20"/>
        <v>0.72781335070083264</v>
      </c>
      <c r="F615" t="str">
        <f t="shared" si="21"/>
        <v>Moderate</v>
      </c>
    </row>
    <row r="616" spans="1:7" ht="15" hidden="1" customHeight="1" x14ac:dyDescent="0.3">
      <c r="A616" t="s">
        <v>98</v>
      </c>
      <c r="B616" s="2">
        <v>45352</v>
      </c>
      <c r="C616" cm="1">
        <f t="array" ref="C616">IFERROR(IF(SUMPRODUCT((measured[Site Name]=A616)*(measured[Date]=B616)*ISNUMBER(measured[Measured Value (kWh)]))=0,"",SUMIFS(measured[Measured Value (kWh)],measured[Site Name],A616,measured[Date],B616)),"")</f>
        <v>9597</v>
      </c>
      <c r="D616" cm="1">
        <f t="array" ref="D616">IFERROR(IF(SUMPRODUCT((expected_production[Site Name]=A616)*(expected_production[Date]=B616)*ISNUMBER(expected_production[Expected Production (kWh)]))=0,"",SUMIFS(expected_production[Expected Production (kWh)],expected_production[Site Name],A616,expected_production[Date],B616)),"")</f>
        <v>12529.92850174657</v>
      </c>
      <c r="E616" s="9">
        <f t="shared" si="20"/>
        <v>0.76592615821089927</v>
      </c>
      <c r="F616" t="str">
        <f t="shared" si="21"/>
        <v>Moderate</v>
      </c>
    </row>
    <row r="617" spans="1:7" ht="15" hidden="1" customHeight="1" x14ac:dyDescent="0.3">
      <c r="A617" t="s">
        <v>98</v>
      </c>
      <c r="B617" s="2">
        <v>45383</v>
      </c>
      <c r="C617" cm="1">
        <f t="array" ref="C617">IFERROR(IF(SUMPRODUCT((measured[Site Name]=A617)*(measured[Date]=B617)*ISNUMBER(measured[Measured Value (kWh)]))=0,"",SUMIFS(measured[Measured Value (kWh)],measured[Site Name],A617,measured[Date],B617)),"")</f>
        <v>7950</v>
      </c>
      <c r="D617" cm="1">
        <f t="array" ref="D617">IFERROR(IF(SUMPRODUCT((expected_production[Site Name]=A617)*(expected_production[Date]=B617)*ISNUMBER(expected_production[Expected Production (kWh)]))=0,"",SUMIFS(expected_production[Expected Production (kWh)],expected_production[Site Name],A617,expected_production[Date],B617)),"")</f>
        <v>10753.248885365214</v>
      </c>
      <c r="E617" s="9">
        <f t="shared" si="20"/>
        <v>0.73931144761465206</v>
      </c>
      <c r="F617" t="str">
        <f t="shared" si="21"/>
        <v>Moderate</v>
      </c>
    </row>
    <row r="618" spans="1:7" ht="15" hidden="1" customHeight="1" x14ac:dyDescent="0.3">
      <c r="A618" t="s">
        <v>98</v>
      </c>
      <c r="B618" s="2">
        <v>45413</v>
      </c>
      <c r="C618" cm="1">
        <f t="array" ref="C618">IFERROR(IF(SUMPRODUCT((measured[Site Name]=A618)*(measured[Date]=B618)*ISNUMBER(measured[Measured Value (kWh)]))=0,"",SUMIFS(measured[Measured Value (kWh)],measured[Site Name],A618,measured[Date],B618)),"")</f>
        <v>7482</v>
      </c>
      <c r="D618" cm="1">
        <f t="array" ref="D618">IFERROR(IF(SUMPRODUCT((expected_production[Site Name]=A618)*(expected_production[Date]=B618)*ISNUMBER(expected_production[Expected Production (kWh)]))=0,"",SUMIFS(expected_production[Expected Production (kWh)],expected_production[Site Name],A618,expected_production[Date],B618)),"")</f>
        <v>9705.3671355063398</v>
      </c>
      <c r="E618" s="9">
        <f t="shared" si="20"/>
        <v>0.7709136496884984</v>
      </c>
      <c r="F618" t="str">
        <f t="shared" si="21"/>
        <v>Moderate</v>
      </c>
    </row>
    <row r="619" spans="1:7" ht="15" hidden="1" customHeight="1" x14ac:dyDescent="0.3">
      <c r="A619" t="s">
        <v>98</v>
      </c>
      <c r="B619" s="2">
        <v>45444</v>
      </c>
      <c r="C619" cm="1">
        <f t="array" ref="C619">IFERROR(IF(SUMPRODUCT((measured[Site Name]=A619)*(measured[Date]=B619)*ISNUMBER(measured[Measured Value (kWh)]))=0,"",SUMIFS(measured[Measured Value (kWh)],measured[Site Name],A619,measured[Date],B619)),"")</f>
        <v>6656</v>
      </c>
      <c r="D619" cm="1">
        <f t="array" ref="D619">IFERROR(IF(SUMPRODUCT((expected_production[Site Name]=A619)*(expected_production[Date]=B619)*ISNUMBER(expected_production[Expected Production (kWh)]))=0,"",SUMIFS(expected_production[Expected Production (kWh)],expected_production[Site Name],A619,expected_production[Date],B619)),"")</f>
        <v>9065.0685311587258</v>
      </c>
      <c r="E619" s="9">
        <f t="shared" si="20"/>
        <v>0.73424706907860615</v>
      </c>
      <c r="F619" t="str">
        <f t="shared" si="21"/>
        <v>Moderate</v>
      </c>
    </row>
    <row r="620" spans="1:7" ht="15" hidden="1" customHeight="1" x14ac:dyDescent="0.3">
      <c r="A620" t="s">
        <v>98</v>
      </c>
      <c r="B620" s="2">
        <v>45474</v>
      </c>
      <c r="C620" cm="1">
        <f t="array" ref="C620">IFERROR(IF(SUMPRODUCT((measured[Site Name]=A620)*(measured[Date]=B620)*ISNUMBER(measured[Measured Value (kWh)]))=0,"",SUMIFS(measured[Measured Value (kWh)],measured[Site Name],A620,measured[Date],B620)),"")</f>
        <v>11170</v>
      </c>
      <c r="D620" cm="1">
        <f t="array" ref="D620">IFERROR(IF(SUMPRODUCT((expected_production[Site Name]=A620)*(expected_production[Date]=B620)*ISNUMBER(expected_production[Expected Production (kWh)]))=0,"",SUMIFS(expected_production[Expected Production (kWh)],expected_production[Site Name],A620,expected_production[Date],B620)),"")</f>
        <v>9571.160807468832</v>
      </c>
      <c r="E620" s="9">
        <f t="shared" si="20"/>
        <v>1.1670475739247341</v>
      </c>
      <c r="F620" t="str">
        <f t="shared" si="21"/>
        <v>Expected</v>
      </c>
    </row>
    <row r="621" spans="1:7" ht="15" hidden="1" customHeight="1" x14ac:dyDescent="0.3">
      <c r="A621" t="s">
        <v>98</v>
      </c>
      <c r="B621" s="2">
        <v>45505</v>
      </c>
      <c r="C621" cm="1">
        <f t="array" ref="C621">IFERROR(IF(SUMPRODUCT((measured[Site Name]=A621)*(measured[Date]=B621)*ISNUMBER(measured[Measured Value (kWh)]))=0,"",SUMIFS(measured[Measured Value (kWh)],measured[Site Name],A621,measured[Date],B621)),"")</f>
        <v>11290</v>
      </c>
      <c r="D621" cm="1">
        <f t="array" ref="D621">IFERROR(IF(SUMPRODUCT((expected_production[Site Name]=A621)*(expected_production[Date]=B621)*ISNUMBER(expected_production[Expected Production (kWh)]))=0,"",SUMIFS(expected_production[Expected Production (kWh)],expected_production[Site Name],A621,expected_production[Date],B621)),"")</f>
        <v>10610.941351257774</v>
      </c>
      <c r="E621" s="9">
        <f t="shared" si="20"/>
        <v>1.0639960797315813</v>
      </c>
      <c r="F621" t="str">
        <f t="shared" si="21"/>
        <v>Expected</v>
      </c>
    </row>
    <row r="622" spans="1:7" ht="15" hidden="1" customHeight="1" x14ac:dyDescent="0.3">
      <c r="A622" t="s">
        <v>98</v>
      </c>
      <c r="B622" s="2">
        <v>45536</v>
      </c>
      <c r="C622" cm="1">
        <f t="array" ref="C622">IFERROR(IF(SUMPRODUCT((measured[Site Name]=A622)*(measured[Date]=B622)*ISNUMBER(measured[Measured Value (kWh)]))=0,"",SUMIFS(measured[Measured Value (kWh)],measured[Site Name],A622,measured[Date],B622)),"")</f>
        <v>8578</v>
      </c>
      <c r="D622" cm="1">
        <f t="array" ref="D622">IFERROR(IF(SUMPRODUCT((expected_production[Site Name]=A622)*(expected_production[Date]=B622)*ISNUMBER(expected_production[Expected Production (kWh)]))=0,"",SUMIFS(expected_production[Expected Production (kWh)],expected_production[Site Name],A622,expected_production[Date],B622)),"")</f>
        <v>10696.019857201443</v>
      </c>
      <c r="E622" s="9">
        <f t="shared" si="20"/>
        <v>0.8019805604815311</v>
      </c>
      <c r="F622" t="str">
        <f t="shared" si="21"/>
        <v>Moderate</v>
      </c>
    </row>
    <row r="623" spans="1:7" ht="15" hidden="1" customHeight="1" x14ac:dyDescent="0.3">
      <c r="A623" t="s">
        <v>98</v>
      </c>
      <c r="B623" s="2">
        <v>45566</v>
      </c>
      <c r="C623" cm="1">
        <f t="array" ref="C623">IFERROR(IF(SUMPRODUCT((measured[Site Name]=A623)*(measured[Date]=B623)*ISNUMBER(measured[Measured Value (kWh)]))=0,"",SUMIFS(measured[Measured Value (kWh)],measured[Site Name],A623,measured[Date],B623)),"")</f>
        <v>12704</v>
      </c>
      <c r="D623" cm="1">
        <f t="array" ref="D623">IFERROR(IF(SUMPRODUCT((expected_production[Site Name]=A623)*(expected_production[Date]=B623)*ISNUMBER(expected_production[Expected Production (kWh)]))=0,"",SUMIFS(expected_production[Expected Production (kWh)],expected_production[Site Name],A623,expected_production[Date],B623)),"")</f>
        <v>11882.103275215313</v>
      </c>
      <c r="E623" s="9">
        <f t="shared" si="20"/>
        <v>1.0691709797287376</v>
      </c>
      <c r="F623" t="str">
        <f t="shared" si="21"/>
        <v>Expected</v>
      </c>
    </row>
    <row r="624" spans="1:7" ht="15" hidden="1" customHeight="1" x14ac:dyDescent="0.3">
      <c r="A624" t="s">
        <v>98</v>
      </c>
      <c r="B624" s="2">
        <v>45597</v>
      </c>
      <c r="C624" cm="1">
        <f t="array" ref="C624">IFERROR(IF(SUMPRODUCT((measured[Site Name]=A624)*(measured[Date]=B624)*ISNUMBER(measured[Measured Value (kWh)]))=0,"",SUMIFS(measured[Measured Value (kWh)],measured[Site Name],A624,measured[Date],B624)),"")</f>
        <v>5700</v>
      </c>
      <c r="D624" cm="1">
        <f t="array" ref="D624">IFERROR(IF(SUMPRODUCT((expected_production[Site Name]=A624)*(expected_production[Date]=B624)*ISNUMBER(expected_production[Expected Production (kWh)]))=0,"",SUMIFS(expected_production[Expected Production (kWh)],expected_production[Site Name],A624,expected_production[Date],B624)),"")</f>
        <v>12063.78830829477</v>
      </c>
      <c r="E624" s="9">
        <f t="shared" si="20"/>
        <v>0.4724883970386663</v>
      </c>
      <c r="F624" t="str">
        <f t="shared" si="21"/>
        <v>Poor</v>
      </c>
    </row>
    <row r="625" spans="1:6" ht="15" hidden="1" customHeight="1" x14ac:dyDescent="0.3">
      <c r="A625" t="s">
        <v>98</v>
      </c>
      <c r="B625" s="2">
        <v>45627</v>
      </c>
      <c r="C625" t="str" cm="1">
        <f t="array" ref="C625">IFERROR(IF(SUMPRODUCT((measured[Site Name]=A625)*(measured[Date]=B625)*ISNUMBER(measured[Measured Value (kWh)]))=0,"",SUMIFS(measured[Measured Value (kWh)],measured[Site Name],A625,measured[Date],B625)),"")</f>
        <v/>
      </c>
      <c r="D625" cm="1">
        <f t="array" ref="D625">IFERROR(IF(SUMPRODUCT((expected_production[Site Name]=A625)*(expected_production[Date]=B625)*ISNUMBER(expected_production[Expected Production (kWh)]))=0,"",SUMIFS(expected_production[Expected Production (kWh)],expected_production[Site Name],A625,expected_production[Date],B625)),"")</f>
        <v>13179.67124819018</v>
      </c>
      <c r="E625" s="9" t="str">
        <f t="shared" si="20"/>
        <v/>
      </c>
      <c r="F625" t="str">
        <f t="shared" si="21"/>
        <v/>
      </c>
    </row>
    <row r="626" spans="1:6" ht="15" hidden="1" customHeight="1" x14ac:dyDescent="0.3">
      <c r="A626" t="s">
        <v>98</v>
      </c>
      <c r="B626" s="2">
        <v>45658</v>
      </c>
      <c r="C626" t="str" cm="1">
        <f t="array" ref="C626">IFERROR(IF(SUMPRODUCT((measured[Site Name]=A626)*(measured[Date]=B626)*ISNUMBER(measured[Measured Value (kWh)]))=0,"",SUMIFS(measured[Measured Value (kWh)],measured[Site Name],A626,measured[Date],B626)),"")</f>
        <v/>
      </c>
      <c r="D626" cm="1">
        <f t="array" ref="D626">IFERROR(IF(SUMPRODUCT((expected_production[Site Name]=A626)*(expected_production[Date]=B626)*ISNUMBER(expected_production[Expected Production (kWh)]))=0,"",SUMIFS(expected_production[Expected Production (kWh)],expected_production[Site Name],A626,expected_production[Date],B626)),"")</f>
        <v>13279.449525895341</v>
      </c>
      <c r="E626" s="9" t="str">
        <f t="shared" si="20"/>
        <v/>
      </c>
      <c r="F626" t="str">
        <f t="shared" si="21"/>
        <v/>
      </c>
    </row>
    <row r="627" spans="1:6" ht="15" hidden="1" customHeight="1" x14ac:dyDescent="0.3">
      <c r="A627" t="s">
        <v>98</v>
      </c>
      <c r="B627" s="2">
        <v>45689</v>
      </c>
      <c r="C627" t="str" cm="1">
        <f t="array" ref="C627">IFERROR(IF(SUMPRODUCT((measured[Site Name]=A627)*(measured[Date]=B627)*ISNUMBER(measured[Measured Value (kWh)]))=0,"",SUMIFS(measured[Measured Value (kWh)],measured[Site Name],A627,measured[Date],B627)),"")</f>
        <v/>
      </c>
      <c r="D627" cm="1">
        <f t="array" ref="D627">IFERROR(IF(SUMPRODUCT((expected_production[Site Name]=A627)*(expected_production[Date]=B627)*ISNUMBER(expected_production[Expected Production (kWh)]))=0,"",SUMIFS(expected_production[Expected Production (kWh)],expected_production[Site Name],A627,expected_production[Date],B627)),"")</f>
        <v>12159.007997354465</v>
      </c>
      <c r="E627" s="9" t="str">
        <f t="shared" si="20"/>
        <v/>
      </c>
      <c r="F627" t="str">
        <f t="shared" si="21"/>
        <v/>
      </c>
    </row>
    <row r="628" spans="1:6" ht="15" hidden="1" customHeight="1" x14ac:dyDescent="0.3">
      <c r="A628" t="s">
        <v>98</v>
      </c>
      <c r="B628" s="2">
        <v>45717</v>
      </c>
      <c r="C628" cm="1">
        <f t="array" ref="C628">IFERROR(IF(SUMPRODUCT((measured[Site Name]=A628)*(measured[Date]=B628)*ISNUMBER(measured[Measured Value (kWh)]))=0,"",SUMIFS(measured[Measured Value (kWh)],measured[Site Name],A628,measured[Date],B628)),"")</f>
        <v>6684</v>
      </c>
      <c r="D628" cm="1">
        <f t="array" ref="D628">IFERROR(IF(SUMPRODUCT((expected_production[Site Name]=A628)*(expected_production[Date]=B628)*ISNUMBER(expected_production[Expected Production (kWh)]))=0,"",SUMIFS(expected_production[Expected Production (kWh)],expected_production[Site Name],A628,expected_production[Date],B628)),"")</f>
        <v>12442.278825648149</v>
      </c>
      <c r="E628" s="9">
        <f t="shared" si="20"/>
        <v>0.53720062808926916</v>
      </c>
      <c r="F628" t="str">
        <f t="shared" si="21"/>
        <v>Poor</v>
      </c>
    </row>
    <row r="629" spans="1:6" ht="15" hidden="1" customHeight="1" x14ac:dyDescent="0.3">
      <c r="A629" t="s">
        <v>98</v>
      </c>
      <c r="B629" s="2">
        <v>45748</v>
      </c>
      <c r="C629" cm="1">
        <f t="array" ref="C629">IFERROR(IF(SUMPRODUCT((measured[Site Name]=A629)*(measured[Date]=B629)*ISNUMBER(measured[Measured Value (kWh)]))=0,"",SUMIFS(measured[Measured Value (kWh)],measured[Site Name],A629,measured[Date],B629)),"")</f>
        <v>3992</v>
      </c>
      <c r="D629" cm="1">
        <f t="array" ref="D629">IFERROR(IF(SUMPRODUCT((expected_production[Site Name]=A629)*(expected_production[Date]=B629)*ISNUMBER(expected_production[Expected Production (kWh)]))=0,"",SUMIFS(expected_production[Expected Production (kWh)],expected_production[Site Name],A629,expected_production[Date],B629)),"")</f>
        <v>10678.027483928119</v>
      </c>
      <c r="E629" s="9">
        <f t="shared" si="20"/>
        <v>0.37385181916870902</v>
      </c>
      <c r="F629" t="str">
        <f t="shared" si="21"/>
        <v>Poor</v>
      </c>
    </row>
    <row r="630" spans="1:6" ht="15" hidden="1" customHeight="1" x14ac:dyDescent="0.3">
      <c r="A630" t="s">
        <v>98</v>
      </c>
      <c r="B630" s="2">
        <v>45778</v>
      </c>
      <c r="C630" cm="1">
        <f t="array" ref="C630">IFERROR(IF(SUMPRODUCT((measured[Site Name]=A630)*(measured[Date]=B630)*ISNUMBER(measured[Measured Value (kWh)]))=0,"",SUMIFS(measured[Measured Value (kWh)],measured[Site Name],A630,measured[Date],B630)),"")</f>
        <v>6009</v>
      </c>
      <c r="D630" cm="1">
        <f t="array" ref="D630">IFERROR(IF(SUMPRODUCT((expected_production[Site Name]=A630)*(expected_production[Date]=B630)*ISNUMBER(expected_production[Expected Production (kWh)]))=0,"",SUMIFS(expected_production[Expected Production (kWh)],expected_production[Site Name],A630,expected_production[Date],B630)),"")</f>
        <v>9637.4759032678794</v>
      </c>
      <c r="E630" s="9">
        <f t="shared" si="20"/>
        <v>0.62350350447698299</v>
      </c>
      <c r="F630" t="str">
        <f t="shared" si="21"/>
        <v>Poor</v>
      </c>
    </row>
    <row r="631" spans="1:6" ht="15" hidden="1" customHeight="1" x14ac:dyDescent="0.3">
      <c r="A631" t="s">
        <v>98</v>
      </c>
      <c r="B631" s="2">
        <v>45809</v>
      </c>
      <c r="C631" cm="1">
        <f t="array" ref="C631">IFERROR(IF(SUMPRODUCT((measured[Site Name]=A631)*(measured[Date]=B631)*ISNUMBER(measured[Measured Value (kWh)]))=0,"",SUMIFS(measured[Measured Value (kWh)],measured[Site Name],A631,measured[Date],B631)),"")</f>
        <v>5530.9</v>
      </c>
      <c r="D631" cm="1">
        <f t="array" ref="D631">IFERROR(IF(SUMPRODUCT((expected_production[Site Name]=A631)*(expected_production[Date]=B631)*ISNUMBER(expected_production[Expected Production (kWh)]))=0,"",SUMIFS(expected_production[Expected Production (kWh)],expected_production[Site Name],A631,expected_production[Date],B631)),"")</f>
        <v>9001.6563320823079</v>
      </c>
      <c r="E631" s="9">
        <f t="shared" si="20"/>
        <v>0.61443136640171692</v>
      </c>
      <c r="F631" t="str">
        <f t="shared" si="21"/>
        <v>Poor</v>
      </c>
    </row>
    <row r="632" spans="1:6" ht="15" hidden="1" customHeight="1" x14ac:dyDescent="0.3">
      <c r="A632" t="s">
        <v>98</v>
      </c>
      <c r="B632" s="2">
        <v>45839</v>
      </c>
      <c r="C632" cm="1">
        <f t="array" ref="C632">IFERROR(IF(SUMPRODUCT((measured[Site Name]=A632)*(measured[Date]=B632)*ISNUMBER(measured[Measured Value (kWh)]))=0,"",SUMIFS(measured[Measured Value (kWh)],measured[Site Name],A632,measured[Date],B632)),"")</f>
        <v>6694</v>
      </c>
      <c r="D632" cm="1">
        <f t="array" ref="D632">IFERROR(IF(SUMPRODUCT((expected_production[Site Name]=A632)*(expected_production[Date]=B632)*ISNUMBER(expected_production[Expected Production (kWh)]))=0,"",SUMIFS(expected_production[Expected Production (kWh)],expected_production[Site Name],A632,expected_production[Date],B632)),"")</f>
        <v>9504.2083787663378</v>
      </c>
      <c r="E632" s="9">
        <f t="shared" si="20"/>
        <v>0.70431957436405579</v>
      </c>
      <c r="F632" t="str">
        <f t="shared" si="21"/>
        <v>Moderate</v>
      </c>
    </row>
    <row r="633" spans="1:6" ht="15" hidden="1" customHeight="1" x14ac:dyDescent="0.3">
      <c r="A633" t="s">
        <v>98</v>
      </c>
      <c r="B633" s="2">
        <v>45870</v>
      </c>
      <c r="C633" cm="1">
        <f t="array" ref="C633">IFERROR(IF(SUMPRODUCT((measured[Site Name]=A633)*(measured[Date]=B633)*ISNUMBER(measured[Measured Value (kWh)]))=0,"",SUMIFS(measured[Measured Value (kWh)],measured[Site Name],A633,measured[Date],B633)),"")</f>
        <v>7750</v>
      </c>
      <c r="D633" cm="1">
        <f t="array" ref="D633">IFERROR(IF(SUMPRODUCT((expected_production[Site Name]=A633)*(expected_production[Date]=B633)*ISNUMBER(expected_production[Expected Production (kWh)]))=0,"",SUMIFS(expected_production[Expected Production (kWh)],expected_production[Site Name],A633,expected_production[Date],B633)),"")</f>
        <v>10536.7154231204</v>
      </c>
      <c r="E633" s="9">
        <f t="shared" si="20"/>
        <v>0.73552332855022406</v>
      </c>
      <c r="F633" t="str">
        <f t="shared" si="21"/>
        <v>Moderate</v>
      </c>
    </row>
    <row r="634" spans="1:6" ht="15" hidden="1" customHeight="1" x14ac:dyDescent="0.3">
      <c r="A634" t="s">
        <v>98</v>
      </c>
      <c r="B634" s="2">
        <v>45901</v>
      </c>
      <c r="C634" cm="1">
        <f t="array" ref="C634">IFERROR(IF(SUMPRODUCT((measured[Site Name]=A634)*(measured[Date]=B634)*ISNUMBER(measured[Measured Value (kWh)]))=0,"",SUMIFS(measured[Measured Value (kWh)],measured[Site Name],A634,measured[Date],B634)),"")</f>
        <v>7031</v>
      </c>
      <c r="D634" cm="1">
        <f t="array" ref="D634">IFERROR(IF(SUMPRODUCT((expected_production[Site Name]=A634)*(expected_production[Date]=B634)*ISNUMBER(expected_production[Expected Production (kWh)]))=0,"",SUMIFS(expected_production[Expected Production (kWh)],expected_production[Site Name],A634,expected_production[Date],B634)),"")</f>
        <v>10621.198785724833</v>
      </c>
      <c r="E634" s="9">
        <f t="shared" si="20"/>
        <v>0.66197800661163098</v>
      </c>
      <c r="F634" t="str">
        <f t="shared" si="21"/>
        <v>Poor</v>
      </c>
    </row>
    <row r="635" spans="1:6" ht="15" hidden="1" customHeight="1" x14ac:dyDescent="0.3">
      <c r="A635" t="s">
        <v>98</v>
      </c>
      <c r="B635" s="2">
        <v>45931</v>
      </c>
      <c r="C635" cm="1">
        <f t="array" ref="C635">IFERROR(IF(SUMPRODUCT((measured[Site Name]=A635)*(measured[Date]=B635)*ISNUMBER(measured[Measured Value (kWh)]))=0,"",SUMIFS(measured[Measured Value (kWh)],measured[Site Name],A635,measured[Date],B635)),"")</f>
        <v>9805</v>
      </c>
      <c r="D635" cm="1">
        <f t="array" ref="D635">IFERROR(IF(SUMPRODUCT((expected_production[Site Name]=A635)*(expected_production[Date]=B635)*ISNUMBER(expected_production[Expected Production (kWh)]))=0,"",SUMIFS(expected_production[Expected Production (kWh)],expected_production[Site Name],A635,expected_production[Date],B635)),"")</f>
        <v>11798.985282698803</v>
      </c>
      <c r="E635" s="9">
        <f t="shared" si="20"/>
        <v>0.83100366388094049</v>
      </c>
      <c r="F635" t="str">
        <f t="shared" si="21"/>
        <v>Moderate</v>
      </c>
    </row>
    <row r="636" spans="1:6" ht="15" hidden="1" customHeight="1" x14ac:dyDescent="0.3">
      <c r="A636" t="s">
        <v>98</v>
      </c>
      <c r="B636" s="2">
        <v>45962</v>
      </c>
      <c r="C636" cm="1">
        <f t="array" ref="C636">IFERROR(IF(SUMPRODUCT((measured[Site Name]=A636)*(measured[Date]=B636)*ISNUMBER(measured[Measured Value (kWh)]))=0,"",SUMIFS(measured[Measured Value (kWh)],measured[Site Name],A636,measured[Date],B636)),"")</f>
        <v>9365</v>
      </c>
      <c r="D636" cm="1">
        <f t="array" ref="D636">IFERROR(IF(SUMPRODUCT((expected_production[Site Name]=A636)*(expected_production[Date]=B636)*ISNUMBER(expected_production[Expected Production (kWh)]))=0,"",SUMIFS(expected_production[Expected Production (kWh)],expected_production[Site Name],A636,expected_production[Date],B636)),"")</f>
        <v>11979.399387991311</v>
      </c>
      <c r="E636" s="9">
        <f t="shared" si="20"/>
        <v>0.78175872568268301</v>
      </c>
      <c r="F636" t="str">
        <f t="shared" si="21"/>
        <v>Moderate</v>
      </c>
    </row>
    <row r="637" spans="1:6" ht="15" hidden="1" customHeight="1" x14ac:dyDescent="0.3">
      <c r="A637" t="s">
        <v>98</v>
      </c>
      <c r="B637" s="2">
        <v>45992</v>
      </c>
      <c r="C637" cm="1">
        <f t="array" ref="C637">IFERROR(IF(SUMPRODUCT((measured[Site Name]=A637)*(measured[Date]=B637)*ISNUMBER(measured[Measured Value (kWh)]))=0,"",SUMIFS(measured[Measured Value (kWh)],measured[Site Name],A637,measured[Date],B637)),"")</f>
        <v>5379</v>
      </c>
      <c r="D637" cm="1">
        <f t="array" ref="D637">IFERROR(IF(SUMPRODUCT((expected_production[Site Name]=A637)*(expected_production[Date]=B637)*ISNUMBER(expected_production[Expected Production (kWh)]))=0,"",SUMIFS(expected_production[Expected Production (kWh)],expected_production[Site Name],A637,expected_production[Date],B637)),"")</f>
        <v>13087.476475025551</v>
      </c>
      <c r="E637" s="9">
        <f t="shared" si="20"/>
        <v>0.41100360411455855</v>
      </c>
      <c r="F637" t="str">
        <f t="shared" si="21"/>
        <v>Poor</v>
      </c>
    </row>
    <row r="638" spans="1:6" ht="15" hidden="1" customHeight="1" x14ac:dyDescent="0.3">
      <c r="A638" t="s">
        <v>98</v>
      </c>
      <c r="B638" s="2">
        <v>46023</v>
      </c>
      <c r="C638" cm="1">
        <f t="array" ref="C638">IFERROR(IF(SUMPRODUCT((measured[Site Name]=A638)*(measured[Date]=B638)*ISNUMBER(measured[Measured Value (kWh)]))=0,"",SUMIFS(measured[Measured Value (kWh)],measured[Site Name],A638,measured[Date],B638)),"")</f>
        <v>4979.16</v>
      </c>
      <c r="D638" cm="1">
        <f t="array" ref="D638">IFERROR(IF(SUMPRODUCT((expected_production[Site Name]=A638)*(expected_production[Date]=B638)*ISNUMBER(expected_production[Expected Production (kWh)]))=0,"",SUMIFS(expected_production[Expected Production (kWh)],expected_production[Site Name],A638,expected_production[Date],B638)),"")</f>
        <v>13186.556781172352</v>
      </c>
      <c r="E638" s="9">
        <f t="shared" si="20"/>
        <v>0.37759364196643053</v>
      </c>
      <c r="F638" t="str">
        <f t="shared" si="21"/>
        <v>Poor</v>
      </c>
    </row>
    <row r="639" spans="1:6" ht="15" hidden="1" customHeight="1" x14ac:dyDescent="0.3">
      <c r="A639" t="s">
        <v>98</v>
      </c>
      <c r="B639" s="2">
        <v>46054</v>
      </c>
      <c r="C639" cm="1">
        <f t="array" ref="C639">IFERROR(IF(SUMPRODUCT((measured[Site Name]=A639)*(measured[Date]=B639)*ISNUMBER(measured[Measured Value (kWh)]))=0,"",SUMIFS(measured[Measured Value (kWh)],measured[Site Name],A639,measured[Date],B639)),"")</f>
        <v>2172.67</v>
      </c>
      <c r="D639" cm="1">
        <f t="array" ref="D639">IFERROR(IF(SUMPRODUCT((expected_production[Site Name]=A639)*(expected_production[Date]=B639)*ISNUMBER(expected_production[Expected Production (kWh)]))=0,"",SUMIFS(expected_production[Expected Production (kWh)],expected_production[Site Name],A639,expected_production[Date],B639)),"")</f>
        <v>12073.952993848447</v>
      </c>
      <c r="E639" s="9">
        <f t="shared" si="20"/>
        <v>0.17994686587789044</v>
      </c>
      <c r="F639" t="str">
        <f t="shared" si="21"/>
        <v>Poor</v>
      </c>
    </row>
    <row r="640" spans="1:6" ht="15" hidden="1" customHeight="1" x14ac:dyDescent="0.3">
      <c r="A640" t="s">
        <v>98</v>
      </c>
      <c r="B640" s="2">
        <v>46082</v>
      </c>
      <c r="C640" cm="1">
        <f t="array" ref="C640">IFERROR(IF(SUMPRODUCT((measured[Site Name]=A640)*(measured[Date]=B640)*ISNUMBER(measured[Measured Value (kWh)]))=0,"",SUMIFS(measured[Measured Value (kWh)],measured[Site Name],A640,measured[Date],B640)),"")</f>
        <v>350</v>
      </c>
      <c r="D640" cm="1">
        <f t="array" ref="D640">IFERROR(IF(SUMPRODUCT((expected_production[Site Name]=A640)*(expected_production[Date]=B640)*ISNUMBER(expected_production[Expected Production (kWh)]))=0,"",SUMIFS(expected_production[Expected Production (kWh)],expected_production[Site Name],A640,expected_production[Date],B640)),"")</f>
        <v>12355.242278804144</v>
      </c>
      <c r="E640" s="9">
        <f t="shared" si="20"/>
        <v>2.8328056391126979E-2</v>
      </c>
      <c r="F640" t="str">
        <f t="shared" si="21"/>
        <v>Poor</v>
      </c>
    </row>
    <row r="641" spans="1:7" ht="15" hidden="1" customHeight="1" x14ac:dyDescent="0.3">
      <c r="A641" t="s">
        <v>98</v>
      </c>
      <c r="B641" s="2">
        <v>46113</v>
      </c>
      <c r="C641" cm="1">
        <f t="array" ref="C641">IFERROR(IF(SUMPRODUCT((measured[Site Name]=A641)*(measured[Date]=B641)*ISNUMBER(measured[Measured Value (kWh)]))=0,"",SUMIFS(measured[Measured Value (kWh)],measured[Site Name],A641,measured[Date],B641)),"")</f>
        <v>194.99</v>
      </c>
      <c r="D641" cm="1">
        <f t="array" ref="D641">IFERROR(IF(SUMPRODUCT((expected_production[Site Name]=A641)*(expected_production[Date]=B641)*ISNUMBER(expected_production[Expected Production (kWh)]))=0,"",SUMIFS(expected_production[Expected Production (kWh)],expected_production[Site Name],A641,expected_production[Date],B641)),"")</f>
        <v>10603.332273160886</v>
      </c>
      <c r="E641" s="9">
        <f t="shared" si="20"/>
        <v>1.838950199585445E-2</v>
      </c>
      <c r="F641" t="str">
        <f t="shared" si="21"/>
        <v>Poor</v>
      </c>
    </row>
    <row r="642" spans="1:7" ht="15" hidden="1" customHeight="1" x14ac:dyDescent="0.3">
      <c r="A642" t="s">
        <v>98</v>
      </c>
      <c r="B642" s="2">
        <v>46143</v>
      </c>
      <c r="C642" t="str" cm="1">
        <f t="array" ref="C642">IFERROR(IF(SUMPRODUCT((measured[Site Name]=A642)*(measured[Date]=B642)*ISNUMBER(measured[Measured Value (kWh)]))=0,"",SUMIFS(measured[Measured Value (kWh)],measured[Site Name],A642,measured[Date],B642)),"")</f>
        <v/>
      </c>
      <c r="D642" cm="1">
        <f t="array" ref="D642">IFERROR(IF(SUMPRODUCT((expected_production[Site Name]=A642)*(expected_production[Date]=B642)*ISNUMBER(expected_production[Expected Production (kWh)]))=0,"",SUMIFS(expected_production[Expected Production (kWh)],expected_production[Site Name],A642,expected_production[Date],B642)),"")</f>
        <v>9570.0595855123538</v>
      </c>
      <c r="E642" s="9" t="str">
        <f t="shared" si="20"/>
        <v/>
      </c>
      <c r="F642" t="str">
        <f t="shared" si="21"/>
        <v/>
      </c>
    </row>
    <row r="643" spans="1:7" ht="15" hidden="1" customHeight="1" x14ac:dyDescent="0.3">
      <c r="A643" t="s">
        <v>98</v>
      </c>
      <c r="B643" s="2">
        <v>46174</v>
      </c>
      <c r="C643" cm="1">
        <f t="array" ref="C643">IFERROR(IF(SUMPRODUCT((measured[Site Name]=A643)*(measured[Date]=B643)*ISNUMBER(measured[Measured Value (kWh)]))=0,"",SUMIFS(measured[Measured Value (kWh)],measured[Site Name],A643,measured[Date],B643)),"")</f>
        <v>3521</v>
      </c>
      <c r="D643" cm="1">
        <f t="array" ref="D643">IFERROR(IF(SUMPRODUCT((expected_production[Site Name]=A643)*(expected_production[Date]=B643)*ISNUMBER(expected_production[Expected Production (kWh)]))=0,"",SUMIFS(expected_production[Expected Production (kWh)],expected_production[Site Name],A643,expected_production[Date],B643)),"")</f>
        <v>8938.6877156415721</v>
      </c>
      <c r="E643" s="9">
        <f t="shared" si="20"/>
        <v>0.39390569533363334</v>
      </c>
      <c r="F643" t="str">
        <f t="shared" si="21"/>
        <v>Poor</v>
      </c>
    </row>
    <row r="644" spans="1:7" ht="15" hidden="1" customHeight="1" x14ac:dyDescent="0.3">
      <c r="A644" t="s">
        <v>95</v>
      </c>
      <c r="B644" s="2">
        <v>46204</v>
      </c>
      <c r="C644" cm="1">
        <f t="array" ref="C644">IFERROR(IF(SUMPRODUCT((measured[Site Name]=A644)*(measured[Date]=B644)*ISNUMBER(measured[Measured Value (kWh)]))=0,"",SUMIFS(measured[Measured Value (kWh)],measured[Site Name],A644,measured[Date],B644)),"")</f>
        <v>12633</v>
      </c>
      <c r="D644" cm="1">
        <f t="array" ref="D644">IFERROR(IF(SUMPRODUCT((expected_production[Site Name]=A644)*(expected_production[Date]=B644)*ISNUMBER(expected_production[Expected Production (kWh)]))=0,"",SUMIFS(expected_production[Expected Production (kWh)],expected_production[Site Name],A644,expected_production[Date],B644)),"")</f>
        <v>22924.813809222767</v>
      </c>
      <c r="E644" s="9">
        <f t="shared" si="20"/>
        <v>0.55106227274647179</v>
      </c>
      <c r="F644" t="str">
        <f t="shared" si="21"/>
        <v>Poor</v>
      </c>
      <c r="G644" t="s">
        <v>874</v>
      </c>
    </row>
    <row r="645" spans="1:7" ht="15" hidden="1" customHeight="1" x14ac:dyDescent="0.3">
      <c r="A645" t="s">
        <v>98</v>
      </c>
      <c r="B645" s="2">
        <v>46235</v>
      </c>
      <c r="C645" cm="1">
        <f t="array" ref="C645">IFERROR(IF(SUMPRODUCT((measured[Site Name]=A645)*(measured[Date]=B645)*ISNUMBER(measured[Measured Value (kWh)]))=0,"",SUMIFS(measured[Measured Value (kWh)],measured[Site Name],A645,measured[Date],B645)),"")</f>
        <v>4981</v>
      </c>
      <c r="D645" cm="1">
        <f t="array" ref="D645">IFERROR(IF(SUMPRODUCT((expected_production[Site Name]=A645)*(expected_production[Date]=B645)*ISNUMBER(expected_production[Expected Production (kWh)]))=0,"",SUMIFS(expected_production[Expected Production (kWh)],expected_production[Site Name],A645,expected_production[Date],B645)),"")</f>
        <v>10463.008722092616</v>
      </c>
      <c r="E645" s="9">
        <f t="shared" si="20"/>
        <v>0.47605809498014001</v>
      </c>
      <c r="F645" t="str">
        <f t="shared" si="21"/>
        <v>Poor</v>
      </c>
      <c r="G645" t="s">
        <v>874</v>
      </c>
    </row>
    <row r="646" spans="1:7" ht="15" customHeight="1" x14ac:dyDescent="0.3">
      <c r="A646" t="s">
        <v>98</v>
      </c>
      <c r="B646" s="2">
        <v>46266</v>
      </c>
      <c r="C646" cm="1">
        <f t="array" ref="C646">IFERROR(IF(SUMPRODUCT((measured[Site Name]=A646)*(measured[Date]=B646)*ISNUMBER(measured[Measured Value (kWh)]))=0,"",SUMIFS(measured[Measured Value (kWh)],measured[Site Name],A646,measured[Date],B646)),"")</f>
        <v>5324.6800499999999</v>
      </c>
      <c r="D646" cm="1">
        <f t="array" ref="D646">IFERROR(IF(SUMPRODUCT((expected_production[Site Name]=A646)*(expected_production[Date]=B646)*ISNUMBER(expected_production[Expected Production (kWh)]))=0,"",SUMIFS(expected_production[Expected Production (kWh)],expected_production[Site Name],A646,expected_production[Date],B646)),"")</f>
        <v>10546.901104519713</v>
      </c>
      <c r="E646" s="9">
        <f t="shared" si="20"/>
        <v>0.50485730331899958</v>
      </c>
      <c r="F646" t="str">
        <f t="shared" si="21"/>
        <v>Poor</v>
      </c>
      <c r="G646" t="s">
        <v>874</v>
      </c>
    </row>
    <row r="647" spans="1:7" ht="15" hidden="1" customHeight="1" x14ac:dyDescent="0.3">
      <c r="A647" t="s">
        <v>98</v>
      </c>
      <c r="B647" s="2">
        <v>46296</v>
      </c>
      <c r="C647" t="str" cm="1">
        <f t="array" ref="C647">IFERROR(IF(SUMPRODUCT((measured[Site Name]=A647)*(measured[Date]=B647)*ISNUMBER(measured[Measured Value (kWh)]))=0,"",SUMIFS(measured[Measured Value (kWh)],measured[Site Name],A647,measured[Date],B647)),"")</f>
        <v/>
      </c>
      <c r="D647" cm="1">
        <f t="array" ref="D647">IFERROR(IF(SUMPRODUCT((expected_production[Site Name]=A647)*(expected_production[Date]=B647)*ISNUMBER(expected_production[Expected Production (kWh)]))=0,"",SUMIFS(expected_production[Expected Production (kWh)],expected_production[Site Name],A647,expected_production[Date],B647)),"")</f>
        <v>11716.44871928789</v>
      </c>
      <c r="E647" s="9" t="str">
        <f t="shared" si="20"/>
        <v/>
      </c>
      <c r="F647" t="str">
        <f t="shared" si="21"/>
        <v/>
      </c>
    </row>
    <row r="648" spans="1:7" ht="15" hidden="1" customHeight="1" x14ac:dyDescent="0.3">
      <c r="A648" t="s">
        <v>98</v>
      </c>
      <c r="B648" s="2">
        <v>46327</v>
      </c>
      <c r="C648" t="str" cm="1">
        <f t="array" ref="C648">IFERROR(IF(SUMPRODUCT((measured[Site Name]=A648)*(measured[Date]=B648)*ISNUMBER(measured[Measured Value (kWh)]))=0,"",SUMIFS(measured[Measured Value (kWh)],measured[Site Name],A648,measured[Date],B648)),"")</f>
        <v/>
      </c>
      <c r="D648" cm="1">
        <f t="array" ref="D648">IFERROR(IF(SUMPRODUCT((expected_production[Site Name]=A648)*(expected_production[Date]=B648)*ISNUMBER(expected_production[Expected Production (kWh)]))=0,"",SUMIFS(expected_production[Expected Production (kWh)],expected_production[Site Name],A648,expected_production[Date],B648)),"")</f>
        <v>11895.600787219988</v>
      </c>
      <c r="E648" s="9" t="str">
        <f t="shared" si="20"/>
        <v/>
      </c>
      <c r="F648" t="str">
        <f t="shared" si="21"/>
        <v/>
      </c>
    </row>
    <row r="649" spans="1:7" ht="15" hidden="1" customHeight="1" x14ac:dyDescent="0.3">
      <c r="A649" t="s">
        <v>98</v>
      </c>
      <c r="B649" s="2">
        <v>46357</v>
      </c>
      <c r="C649" t="str" cm="1">
        <f t="array" ref="C649">IFERROR(IF(SUMPRODUCT((measured[Site Name]=A649)*(measured[Date]=B649)*ISNUMBER(measured[Measured Value (kWh)]))=0,"",SUMIFS(measured[Measured Value (kWh)],measured[Site Name],A649,measured[Date],B649)),"")</f>
        <v/>
      </c>
      <c r="D649" cm="1">
        <f t="array" ref="D649">IFERROR(IF(SUMPRODUCT((expected_production[Site Name]=A649)*(expected_production[Date]=B649)*ISNUMBER(expected_production[Expected Production (kWh)]))=0,"",SUMIFS(expected_production[Expected Production (kWh)],expected_production[Site Name],A649,expected_production[Date],B649)),"")</f>
        <v>12995.9266250945</v>
      </c>
      <c r="E649" s="9" t="str">
        <f t="shared" si="20"/>
        <v/>
      </c>
      <c r="F649" t="str">
        <f t="shared" si="21"/>
        <v/>
      </c>
    </row>
    <row r="650" spans="1:7" ht="15" hidden="1" customHeight="1" x14ac:dyDescent="0.3">
      <c r="A650" t="s">
        <v>102</v>
      </c>
      <c r="B650" s="2">
        <v>45292</v>
      </c>
      <c r="C650" cm="1">
        <f t="array" ref="C650">IFERROR(IF(SUMPRODUCT((measured[Site Name]=A650)*(measured[Date]=B650)*ISNUMBER(measured[Measured Value (kWh)]))=0,"",SUMIFS(measured[Measured Value (kWh)],measured[Site Name],A650,measured[Date],B650)),"")</f>
        <v>4830</v>
      </c>
      <c r="D650" cm="1">
        <f t="array" ref="D650">IFERROR(IF(SUMPRODUCT((expected_production[Site Name]=A650)*(expected_production[Date]=B650)*ISNUMBER(expected_production[Expected Production (kWh)]))=0,"",SUMIFS(expected_production[Expected Production (kWh)],expected_production[Site Name],A650,expected_production[Date],B650)),"")</f>
        <v>11208.000597572332</v>
      </c>
      <c r="E650" s="9">
        <f t="shared" si="20"/>
        <v>0.43094216117780937</v>
      </c>
      <c r="F650" t="str">
        <f t="shared" si="21"/>
        <v>Poor</v>
      </c>
    </row>
    <row r="651" spans="1:7" ht="15" hidden="1" customHeight="1" x14ac:dyDescent="0.3">
      <c r="A651" t="s">
        <v>102</v>
      </c>
      <c r="B651" s="2">
        <v>45323</v>
      </c>
      <c r="C651" cm="1">
        <f t="array" ref="C651">IFERROR(IF(SUMPRODUCT((measured[Site Name]=A651)*(measured[Date]=B651)*ISNUMBER(measured[Measured Value (kWh)]))=0,"",SUMIFS(measured[Measured Value (kWh)],measured[Site Name],A651,measured[Date],B651)),"")</f>
        <v>7231</v>
      </c>
      <c r="D651" cm="1">
        <f t="array" ref="D651">IFERROR(IF(SUMPRODUCT((expected_production[Site Name]=A651)*(expected_production[Date]=B651)*ISNUMBER(expected_production[Expected Production (kWh)]))=0,"",SUMIFS(expected_production[Expected Production (kWh)],expected_production[Site Name],A651,expected_production[Date],B651)),"")</f>
        <v>9980.2771793698976</v>
      </c>
      <c r="E651" s="9">
        <f t="shared" si="20"/>
        <v>0.72452897550251483</v>
      </c>
      <c r="F651" t="str">
        <f t="shared" si="21"/>
        <v>Moderate</v>
      </c>
    </row>
    <row r="652" spans="1:7" ht="15" hidden="1" customHeight="1" x14ac:dyDescent="0.3">
      <c r="A652" t="s">
        <v>102</v>
      </c>
      <c r="B652" s="2">
        <v>45352</v>
      </c>
      <c r="C652" cm="1">
        <f t="array" ref="C652">IFERROR(IF(SUMPRODUCT((measured[Site Name]=A652)*(measured[Date]=B652)*ISNUMBER(measured[Measured Value (kWh)]))=0,"",SUMIFS(measured[Measured Value (kWh)],measured[Site Name],A652,measured[Date],B652)),"")</f>
        <v>5436</v>
      </c>
      <c r="D652" cm="1">
        <f t="array" ref="D652">IFERROR(IF(SUMPRODUCT((expected_production[Site Name]=A652)*(expected_production[Date]=B652)*ISNUMBER(expected_production[Expected Production (kWh)]))=0,"",SUMIFS(expected_production[Expected Production (kWh)],expected_production[Site Name],A652,expected_production[Date],B652)),"")</f>
        <v>10223.327896526358</v>
      </c>
      <c r="E652" s="9">
        <f t="shared" si="20"/>
        <v>0.53172509529377632</v>
      </c>
      <c r="F652" t="str">
        <f t="shared" si="21"/>
        <v>Poor</v>
      </c>
    </row>
    <row r="653" spans="1:7" ht="15" hidden="1" customHeight="1" x14ac:dyDescent="0.3">
      <c r="A653" t="s">
        <v>102</v>
      </c>
      <c r="B653" s="2">
        <v>45383</v>
      </c>
      <c r="C653" cm="1">
        <f t="array" ref="C653">IFERROR(IF(SUMPRODUCT((measured[Site Name]=A653)*(measured[Date]=B653)*ISNUMBER(measured[Measured Value (kWh)]))=0,"",SUMIFS(measured[Measured Value (kWh)],measured[Site Name],A653,measured[Date],B653)),"")</f>
        <v>5158</v>
      </c>
      <c r="D653" cm="1">
        <f t="array" ref="D653">IFERROR(IF(SUMPRODUCT((expected_production[Site Name]=A653)*(expected_production[Date]=B653)*ISNUMBER(expected_production[Expected Production (kWh)]))=0,"",SUMIFS(expected_production[Expected Production (kWh)],expected_production[Site Name],A653,expected_production[Date],B653)),"")</f>
        <v>8689.8715195837885</v>
      </c>
      <c r="E653" s="9">
        <f t="shared" si="20"/>
        <v>0.59356458704547665</v>
      </c>
      <c r="F653" t="str">
        <f t="shared" si="21"/>
        <v>Poor</v>
      </c>
    </row>
    <row r="654" spans="1:7" ht="15" hidden="1" customHeight="1" x14ac:dyDescent="0.3">
      <c r="A654" t="s">
        <v>102</v>
      </c>
      <c r="B654" s="2">
        <v>45413</v>
      </c>
      <c r="C654" cm="1">
        <f t="array" ref="C654">IFERROR(IF(SUMPRODUCT((measured[Site Name]=A654)*(measured[Date]=B654)*ISNUMBER(measured[Measured Value (kWh)]))=0,"",SUMIFS(measured[Measured Value (kWh)],measured[Site Name],A654,measured[Date],B654)),"")</f>
        <v>3827</v>
      </c>
      <c r="D654" cm="1">
        <f t="array" ref="D654">IFERROR(IF(SUMPRODUCT((expected_production[Site Name]=A654)*(expected_production[Date]=B654)*ISNUMBER(expected_production[Expected Production (kWh)]))=0,"",SUMIFS(expected_production[Expected Production (kWh)],expected_production[Site Name],A654,expected_production[Date],B654)),"")</f>
        <v>7821.9496756705839</v>
      </c>
      <c r="E654" s="9">
        <f t="shared" si="20"/>
        <v>0.48926420632742146</v>
      </c>
      <c r="F654" t="str">
        <f t="shared" si="21"/>
        <v>Poor</v>
      </c>
    </row>
    <row r="655" spans="1:7" ht="15" hidden="1" customHeight="1" x14ac:dyDescent="0.3">
      <c r="A655" t="s">
        <v>102</v>
      </c>
      <c r="B655" s="2">
        <v>45444</v>
      </c>
      <c r="C655" cm="1">
        <f t="array" ref="C655">IFERROR(IF(SUMPRODUCT((measured[Site Name]=A655)*(measured[Date]=B655)*ISNUMBER(measured[Measured Value (kWh)]))=0,"",SUMIFS(measured[Measured Value (kWh)],measured[Site Name],A655,measured[Date],B655)),"")</f>
        <v>3220</v>
      </c>
      <c r="D655" cm="1">
        <f t="array" ref="D655">IFERROR(IF(SUMPRODUCT((expected_production[Site Name]=A655)*(expected_production[Date]=B655)*ISNUMBER(expected_production[Expected Production (kWh)]))=0,"",SUMIFS(expected_production[Expected Production (kWh)],expected_production[Site Name],A655,expected_production[Date],B655)),"")</f>
        <v>7228.9093968438665</v>
      </c>
      <c r="E655" s="9">
        <f t="shared" si="20"/>
        <v>0.44543371942188792</v>
      </c>
      <c r="F655" t="str">
        <f t="shared" si="21"/>
        <v>Poor</v>
      </c>
    </row>
    <row r="656" spans="1:7" ht="15" hidden="1" customHeight="1" x14ac:dyDescent="0.3">
      <c r="A656" t="s">
        <v>102</v>
      </c>
      <c r="B656" s="2">
        <v>45474</v>
      </c>
      <c r="C656" cm="1">
        <f t="array" ref="C656">IFERROR(IF(SUMPRODUCT((measured[Site Name]=A656)*(measured[Date]=B656)*ISNUMBER(measured[Measured Value (kWh)]))=0,"",SUMIFS(measured[Measured Value (kWh)],measured[Site Name],A656,measured[Date],B656)),"")</f>
        <v>5497</v>
      </c>
      <c r="D656" cm="1">
        <f t="array" ref="D656">IFERROR(IF(SUMPRODUCT((expected_production[Site Name]=A656)*(expected_production[Date]=B656)*ISNUMBER(expected_production[Expected Production (kWh)]))=0,"",SUMIFS(expected_production[Expected Production (kWh)],expected_production[Site Name],A656,expected_production[Date],B656)),"")</f>
        <v>7716.0964961217696</v>
      </c>
      <c r="E656" s="9">
        <f t="shared" si="20"/>
        <v>0.71240685011687943</v>
      </c>
      <c r="F656" t="str">
        <f t="shared" si="21"/>
        <v>Moderate</v>
      </c>
    </row>
    <row r="657" spans="1:6" ht="15" hidden="1" customHeight="1" x14ac:dyDescent="0.3">
      <c r="A657" t="s">
        <v>102</v>
      </c>
      <c r="B657" s="2">
        <v>45505</v>
      </c>
      <c r="C657" cm="1">
        <f t="array" ref="C657">IFERROR(IF(SUMPRODUCT((measured[Site Name]=A657)*(measured[Date]=B657)*ISNUMBER(measured[Measured Value (kWh)]))=0,"",SUMIFS(measured[Measured Value (kWh)],measured[Site Name],A657,measured[Date],B657)),"")</f>
        <v>4475</v>
      </c>
      <c r="D657" cm="1">
        <f t="array" ref="D657">IFERROR(IF(SUMPRODUCT((expected_production[Site Name]=A657)*(expected_production[Date]=B657)*ISNUMBER(expected_production[Expected Production (kWh)]))=0,"",SUMIFS(expected_production[Expected Production (kWh)],expected_production[Site Name],A657,expected_production[Date],B657)),"")</f>
        <v>8587.5884542056519</v>
      </c>
      <c r="E657" s="9">
        <f t="shared" si="20"/>
        <v>0.52110089157898931</v>
      </c>
      <c r="F657" t="str">
        <f t="shared" si="21"/>
        <v>Poor</v>
      </c>
    </row>
    <row r="658" spans="1:6" ht="15" hidden="1" customHeight="1" x14ac:dyDescent="0.3">
      <c r="A658" t="s">
        <v>102</v>
      </c>
      <c r="B658" s="2">
        <v>45536</v>
      </c>
      <c r="C658" cm="1">
        <f t="array" ref="C658">IFERROR(IF(SUMPRODUCT((measured[Site Name]=A658)*(measured[Date]=B658)*ISNUMBER(measured[Measured Value (kWh)]))=0,"",SUMIFS(measured[Measured Value (kWh)],measured[Site Name],A658,measured[Date],B658)),"")</f>
        <v>1847</v>
      </c>
      <c r="D658" cm="1">
        <f t="array" ref="D658">IFERROR(IF(SUMPRODUCT((expected_production[Site Name]=A658)*(expected_production[Date]=B658)*ISNUMBER(expected_production[Expected Production (kWh)]))=0,"",SUMIFS(expected_production[Expected Production (kWh)],expected_production[Site Name],A658,expected_production[Date],B658)),"")</f>
        <v>8776.1181573705107</v>
      </c>
      <c r="E658" s="9">
        <f t="shared" si="20"/>
        <v>0.21045751286391018</v>
      </c>
      <c r="F658" t="str">
        <f t="shared" si="21"/>
        <v>Poor</v>
      </c>
    </row>
    <row r="659" spans="1:6" ht="15" hidden="1" customHeight="1" x14ac:dyDescent="0.3">
      <c r="A659" t="s">
        <v>102</v>
      </c>
      <c r="B659" s="2">
        <v>45566</v>
      </c>
      <c r="C659" cm="1">
        <f t="array" ref="C659">IFERROR(IF(SUMPRODUCT((measured[Site Name]=A659)*(measured[Date]=B659)*ISNUMBER(measured[Measured Value (kWh)]))=0,"",SUMIFS(measured[Measured Value (kWh)],measured[Site Name],A659,measured[Date],B659)),"")</f>
        <v>1575</v>
      </c>
      <c r="D659" cm="1">
        <f t="array" ref="D659">IFERROR(IF(SUMPRODUCT((expected_production[Site Name]=A659)*(expected_production[Date]=B659)*ISNUMBER(expected_production[Expected Production (kWh)]))=0,"",SUMIFS(expected_production[Expected Production (kWh)],expected_production[Site Name],A659,expected_production[Date],B659)),"")</f>
        <v>9751.7385378843428</v>
      </c>
      <c r="E659" s="9">
        <f t="shared" si="20"/>
        <v>0.16150966249569884</v>
      </c>
      <c r="F659" t="str">
        <f t="shared" si="21"/>
        <v>Poor</v>
      </c>
    </row>
    <row r="660" spans="1:6" ht="15" hidden="1" customHeight="1" x14ac:dyDescent="0.3">
      <c r="A660" t="s">
        <v>102</v>
      </c>
      <c r="B660" s="2">
        <v>45597</v>
      </c>
      <c r="C660" cm="1">
        <f t="array" ref="C660">IFERROR(IF(SUMPRODUCT((measured[Site Name]=A660)*(measured[Date]=B660)*ISNUMBER(measured[Measured Value (kWh)]))=0,"",SUMIFS(measured[Measured Value (kWh)],measured[Site Name],A660,measured[Date],B660)),"")</f>
        <v>5700</v>
      </c>
      <c r="D660" cm="1">
        <f t="array" ref="D660">IFERROR(IF(SUMPRODUCT((expected_production[Site Name]=A660)*(expected_production[Date]=B660)*ISNUMBER(expected_production[Expected Production (kWh)]))=0,"",SUMIFS(expected_production[Expected Production (kWh)],expected_production[Site Name],A660,expected_production[Date],B660)),"")</f>
        <v>9796.735366810979</v>
      </c>
      <c r="E660" s="9">
        <f t="shared" si="20"/>
        <v>0.58182647449172209</v>
      </c>
      <c r="F660" t="str">
        <f t="shared" si="21"/>
        <v>Poor</v>
      </c>
    </row>
    <row r="661" spans="1:6" ht="15" hidden="1" customHeight="1" x14ac:dyDescent="0.3">
      <c r="A661" t="s">
        <v>102</v>
      </c>
      <c r="B661" s="2">
        <v>45627</v>
      </c>
      <c r="C661" cm="1">
        <f t="array" ref="C661">IFERROR(IF(SUMPRODUCT((measured[Site Name]=A661)*(measured[Date]=B661)*ISNUMBER(measured[Measured Value (kWh)]))=0,"",SUMIFS(measured[Measured Value (kWh)],measured[Site Name],A661,measured[Date],B661)),"")</f>
        <v>1938</v>
      </c>
      <c r="D661" cm="1">
        <f t="array" ref="D661">IFERROR(IF(SUMPRODUCT((expected_production[Site Name]=A661)*(expected_production[Date]=B661)*ISNUMBER(expected_production[Expected Production (kWh)]))=0,"",SUMIFS(expected_production[Expected Production (kWh)],expected_production[Site Name],A661,expected_production[Date],B661)),"")</f>
        <v>10878.642895552559</v>
      </c>
      <c r="E661" s="9">
        <f t="shared" si="20"/>
        <v>0.17814722099135172</v>
      </c>
      <c r="F661" t="str">
        <f t="shared" si="21"/>
        <v>Poor</v>
      </c>
    </row>
    <row r="662" spans="1:6" ht="15" hidden="1" customHeight="1" x14ac:dyDescent="0.3">
      <c r="A662" t="s">
        <v>102</v>
      </c>
      <c r="B662" s="2">
        <v>45658</v>
      </c>
      <c r="C662" cm="1">
        <f t="array" ref="C662">IFERROR(IF(SUMPRODUCT((measured[Site Name]=A662)*(measured[Date]=B662)*ISNUMBER(measured[Measured Value (kWh)]))=0,"",SUMIFS(measured[Measured Value (kWh)],measured[Site Name],A662,measured[Date],B662)),"")</f>
        <v>5227</v>
      </c>
      <c r="D662" cm="1">
        <f t="array" ref="D662">IFERROR(IF(SUMPRODUCT((expected_production[Site Name]=A662)*(expected_production[Date]=B662)*ISNUMBER(expected_production[Expected Production (kWh)]))=0,"",SUMIFS(expected_production[Expected Production (kWh)],expected_production[Site Name],A662,expected_production[Date],B662)),"")</f>
        <v>11129.384059094982</v>
      </c>
      <c r="E662" s="9">
        <f t="shared" ref="E662:E725" si="22">IF(OR(C662="",D662="",D662=0),"",C662/D662)</f>
        <v>0.4696576173708798</v>
      </c>
      <c r="F662" t="str">
        <f t="shared" ref="F662:F725" si="23">IF(E662="","",IF(E662&gt;=0.9,"Expected",IF(E662&gt;=0.7,"Moderate","Poor")))</f>
        <v>Poor</v>
      </c>
    </row>
    <row r="663" spans="1:6" ht="15" hidden="1" customHeight="1" x14ac:dyDescent="0.3">
      <c r="A663" t="s">
        <v>102</v>
      </c>
      <c r="B663" s="2">
        <v>45689</v>
      </c>
      <c r="C663" cm="1">
        <f t="array" ref="C663">IFERROR(IF(SUMPRODUCT((measured[Site Name]=A663)*(measured[Date]=B663)*ISNUMBER(measured[Measured Value (kWh)]))=0,"",SUMIFS(measured[Measured Value (kWh)],measured[Site Name],A663,measured[Date],B663)),"")</f>
        <v>5137</v>
      </c>
      <c r="D663" cm="1">
        <f t="array" ref="D663">IFERROR(IF(SUMPRODUCT((expected_production[Site Name]=A663)*(expected_production[Date]=B663)*ISNUMBER(expected_production[Expected Production (kWh)]))=0,"",SUMIFS(expected_production[Expected Production (kWh)],expected_production[Site Name],A663,expected_production[Date],B663)),"")</f>
        <v>9910.272289732713</v>
      </c>
      <c r="E663" s="9">
        <f t="shared" si="22"/>
        <v>0.51835104524040765</v>
      </c>
      <c r="F663" t="str">
        <f t="shared" si="23"/>
        <v>Poor</v>
      </c>
    </row>
    <row r="664" spans="1:6" ht="15" hidden="1" customHeight="1" x14ac:dyDescent="0.3">
      <c r="A664" t="s">
        <v>102</v>
      </c>
      <c r="B664" s="2">
        <v>45717</v>
      </c>
      <c r="C664" cm="1">
        <f t="array" ref="C664">IFERROR(IF(SUMPRODUCT((measured[Site Name]=A664)*(measured[Date]=B664)*ISNUMBER(measured[Measured Value (kWh)]))=0,"",SUMIFS(measured[Measured Value (kWh)],measured[Site Name],A664,measured[Date],B664)),"")</f>
        <v>5031</v>
      </c>
      <c r="D664" cm="1">
        <f t="array" ref="D664">IFERROR(IF(SUMPRODUCT((expected_production[Site Name]=A664)*(expected_production[Date]=B664)*ISNUMBER(expected_production[Expected Production (kWh)]))=0,"",SUMIFS(expected_production[Expected Production (kWh)],expected_production[Site Name],A664,expected_production[Date],B664)),"")</f>
        <v>10151.813411934241</v>
      </c>
      <c r="E664" s="9">
        <f t="shared" si="22"/>
        <v>0.49557648430433826</v>
      </c>
      <c r="F664" t="str">
        <f t="shared" si="23"/>
        <v>Poor</v>
      </c>
    </row>
    <row r="665" spans="1:6" ht="15" hidden="1" customHeight="1" x14ac:dyDescent="0.3">
      <c r="A665" t="s">
        <v>102</v>
      </c>
      <c r="B665" s="2">
        <v>45748</v>
      </c>
      <c r="C665" cm="1">
        <f t="array" ref="C665">IFERROR(IF(SUMPRODUCT((measured[Site Name]=A665)*(measured[Date]=B665)*ISNUMBER(measured[Measured Value (kWh)]))=0,"",SUMIFS(measured[Measured Value (kWh)],measured[Site Name],A665,measured[Date],B665)),"")</f>
        <v>3147</v>
      </c>
      <c r="D665" cm="1">
        <f t="array" ref="D665">IFERROR(IF(SUMPRODUCT((expected_production[Site Name]=A665)*(expected_production[Date]=B665)*ISNUMBER(expected_production[Expected Production (kWh)]))=0,"",SUMIFS(expected_production[Expected Production (kWh)],expected_production[Site Name],A665,expected_production[Date],B665)),"")</f>
        <v>8629.0839082321163</v>
      </c>
      <c r="E665" s="9">
        <f t="shared" si="22"/>
        <v>0.36469688248109083</v>
      </c>
      <c r="F665" t="str">
        <f t="shared" si="23"/>
        <v>Poor</v>
      </c>
    </row>
    <row r="666" spans="1:6" ht="15" hidden="1" customHeight="1" x14ac:dyDescent="0.3">
      <c r="A666" t="s">
        <v>102</v>
      </c>
      <c r="B666" s="2">
        <v>45778</v>
      </c>
      <c r="C666" cm="1">
        <f t="array" ref="C666">IFERROR(IF(SUMPRODUCT((measured[Site Name]=A666)*(measured[Date]=B666)*ISNUMBER(measured[Measured Value (kWh)]))=0,"",SUMIFS(measured[Measured Value (kWh)],measured[Site Name],A666,measured[Date],B666)),"")</f>
        <v>4797</v>
      </c>
      <c r="D666" cm="1">
        <f t="array" ref="D666">IFERROR(IF(SUMPRODUCT((expected_production[Site Name]=A666)*(expected_production[Date]=B666)*ISNUMBER(expected_production[Expected Production (kWh)]))=0,"",SUMIFS(expected_production[Expected Production (kWh)],expected_production[Site Name],A666,expected_production[Date],B666)),"")</f>
        <v>7767.2333733840151</v>
      </c>
      <c r="E666" s="9">
        <f t="shared" si="22"/>
        <v>0.61759442125659358</v>
      </c>
      <c r="F666" t="str">
        <f t="shared" si="23"/>
        <v>Poor</v>
      </c>
    </row>
    <row r="667" spans="1:6" ht="15" hidden="1" customHeight="1" x14ac:dyDescent="0.3">
      <c r="A667" t="s">
        <v>102</v>
      </c>
      <c r="B667" s="2">
        <v>45809</v>
      </c>
      <c r="C667" cm="1">
        <f t="array" ref="C667">IFERROR(IF(SUMPRODUCT((measured[Site Name]=A667)*(measured[Date]=B667)*ISNUMBER(measured[Measured Value (kWh)]))=0,"",SUMIFS(measured[Measured Value (kWh)],measured[Site Name],A667,measured[Date],B667)),"")</f>
        <v>3255.49</v>
      </c>
      <c r="D667" cm="1">
        <f t="array" ref="D667">IFERROR(IF(SUMPRODUCT((expected_production[Site Name]=A667)*(expected_production[Date]=B667)*ISNUMBER(expected_production[Expected Production (kWh)]))=0,"",SUMIFS(expected_production[Expected Production (kWh)],expected_production[Site Name],A667,expected_production[Date],B667)),"")</f>
        <v>7178.3415450728153</v>
      </c>
      <c r="E667" s="9">
        <f t="shared" si="22"/>
        <v>0.45351561771737581</v>
      </c>
      <c r="F667" t="str">
        <f t="shared" si="23"/>
        <v>Poor</v>
      </c>
    </row>
    <row r="668" spans="1:6" ht="15" hidden="1" customHeight="1" x14ac:dyDescent="0.3">
      <c r="A668" t="s">
        <v>102</v>
      </c>
      <c r="B668" s="2">
        <v>45839</v>
      </c>
      <c r="C668" cm="1">
        <f t="array" ref="C668">IFERROR(IF(SUMPRODUCT((measured[Site Name]=A668)*(measured[Date]=B668)*ISNUMBER(measured[Measured Value (kWh)]))=0,"",SUMIFS(measured[Measured Value (kWh)],measured[Site Name],A668,measured[Date],B668)),"")</f>
        <v>5212</v>
      </c>
      <c r="D668" cm="1">
        <f t="array" ref="D668">IFERROR(IF(SUMPRODUCT((expected_production[Site Name]=A668)*(expected_production[Date]=B668)*ISNUMBER(expected_production[Expected Production (kWh)]))=0,"",SUMIFS(expected_production[Expected Production (kWh)],expected_production[Site Name],A668,expected_production[Date],B668)),"")</f>
        <v>7662.1206607022013</v>
      </c>
      <c r="E668" s="9">
        <f t="shared" si="22"/>
        <v>0.68022943396487079</v>
      </c>
      <c r="F668" t="str">
        <f t="shared" si="23"/>
        <v>Poor</v>
      </c>
    </row>
    <row r="669" spans="1:6" ht="15" hidden="1" customHeight="1" x14ac:dyDescent="0.3">
      <c r="A669" t="s">
        <v>102</v>
      </c>
      <c r="B669" s="2">
        <v>45870</v>
      </c>
      <c r="C669" cm="1">
        <f t="array" ref="C669">IFERROR(IF(SUMPRODUCT((measured[Site Name]=A669)*(measured[Date]=B669)*ISNUMBER(measured[Measured Value (kWh)]))=0,"",SUMIFS(measured[Measured Value (kWh)],measured[Site Name],A669,measured[Date],B669)),"")</f>
        <v>1743.88</v>
      </c>
      <c r="D669" cm="1">
        <f t="array" ref="D669">IFERROR(IF(SUMPRODUCT((expected_production[Site Name]=A669)*(expected_production[Date]=B669)*ISNUMBER(expected_production[Expected Production (kWh)]))=0,"",SUMIFS(expected_production[Expected Production (kWh)],expected_production[Site Name],A669,expected_production[Date],B669)),"")</f>
        <v>8527.5163359670896</v>
      </c>
      <c r="E669" s="9">
        <f t="shared" si="22"/>
        <v>0.20450034116554172</v>
      </c>
      <c r="F669" t="str">
        <f t="shared" si="23"/>
        <v>Poor</v>
      </c>
    </row>
    <row r="670" spans="1:6" ht="15" hidden="1" customHeight="1" x14ac:dyDescent="0.3">
      <c r="A670" t="s">
        <v>102</v>
      </c>
      <c r="B670" s="2">
        <v>45901</v>
      </c>
      <c r="C670" cm="1">
        <f t="array" ref="C670">IFERROR(IF(SUMPRODUCT((measured[Site Name]=A670)*(measured[Date]=B670)*ISNUMBER(measured[Measured Value (kWh)]))=0,"",SUMIFS(measured[Measured Value (kWh)],measured[Site Name],A670,measured[Date],B670)),"")</f>
        <v>4503</v>
      </c>
      <c r="D670" cm="1">
        <f t="array" ref="D670">IFERROR(IF(SUMPRODUCT((expected_production[Site Name]=A670)*(expected_production[Date]=B670)*ISNUMBER(expected_production[Expected Production (kWh)]))=0,"",SUMIFS(expected_production[Expected Production (kWh)],expected_production[Site Name],A670,expected_production[Date],B670)),"")</f>
        <v>8714.7272313338817</v>
      </c>
      <c r="E670" s="9">
        <f t="shared" si="22"/>
        <v>0.51671152526833219</v>
      </c>
      <c r="F670" t="str">
        <f t="shared" si="23"/>
        <v>Poor</v>
      </c>
    </row>
    <row r="671" spans="1:6" ht="15" hidden="1" customHeight="1" x14ac:dyDescent="0.3">
      <c r="A671" t="s">
        <v>102</v>
      </c>
      <c r="B671" s="2">
        <v>45931</v>
      </c>
      <c r="C671" cm="1">
        <f t="array" ref="C671">IFERROR(IF(SUMPRODUCT((measured[Site Name]=A671)*(measured[Date]=B671)*ISNUMBER(measured[Measured Value (kWh)]))=0,"",SUMIFS(measured[Measured Value (kWh)],measured[Site Name],A671,measured[Date],B671)),"")</f>
        <v>6159</v>
      </c>
      <c r="D671" cm="1">
        <f t="array" ref="D671">IFERROR(IF(SUMPRODUCT((expected_production[Site Name]=A671)*(expected_production[Date]=B671)*ISNUMBER(expected_production[Expected Production (kWh)]))=0,"",SUMIFS(expected_production[Expected Production (kWh)],expected_production[Site Name],A671,expected_production[Date],B671)),"")</f>
        <v>9683.522927226797</v>
      </c>
      <c r="E671" s="9">
        <f t="shared" si="22"/>
        <v>0.63602885502371986</v>
      </c>
      <c r="F671" t="str">
        <f t="shared" si="23"/>
        <v>Poor</v>
      </c>
    </row>
    <row r="672" spans="1:6" ht="15" hidden="1" customHeight="1" x14ac:dyDescent="0.3">
      <c r="A672" t="s">
        <v>102</v>
      </c>
      <c r="B672" s="2">
        <v>45962</v>
      </c>
      <c r="C672" cm="1">
        <f t="array" ref="C672">IFERROR(IF(SUMPRODUCT((measured[Site Name]=A672)*(measured[Date]=B672)*ISNUMBER(measured[Measured Value (kWh)]))=0,"",SUMIFS(measured[Measured Value (kWh)],measured[Site Name],A672,measured[Date],B672)),"")</f>
        <v>6232</v>
      </c>
      <c r="D672" cm="1">
        <f t="array" ref="D672">IFERROR(IF(SUMPRODUCT((expected_production[Site Name]=A672)*(expected_production[Date]=B672)*ISNUMBER(expected_production[Expected Production (kWh)]))=0,"",SUMIFS(expected_production[Expected Production (kWh)],expected_production[Site Name],A672,expected_production[Date],B672)),"")</f>
        <v>9728.2049931856836</v>
      </c>
      <c r="E672" s="9">
        <f t="shared" si="22"/>
        <v>0.64061150072036199</v>
      </c>
      <c r="F672" t="str">
        <f t="shared" si="23"/>
        <v>Poor</v>
      </c>
    </row>
    <row r="673" spans="1:7" ht="15" hidden="1" customHeight="1" x14ac:dyDescent="0.3">
      <c r="A673" t="s">
        <v>102</v>
      </c>
      <c r="B673" s="2">
        <v>45992</v>
      </c>
      <c r="C673" cm="1">
        <f t="array" ref="C673">IFERROR(IF(SUMPRODUCT((measured[Site Name]=A673)*(measured[Date]=B673)*ISNUMBER(measured[Measured Value (kWh)]))=0,"",SUMIFS(measured[Measured Value (kWh)],measured[Site Name],A673,measured[Date],B673)),"")</f>
        <v>5380</v>
      </c>
      <c r="D673" cm="1">
        <f t="array" ref="D673">IFERROR(IF(SUMPRODUCT((expected_production[Site Name]=A673)*(expected_production[Date]=B673)*ISNUMBER(expected_production[Expected Production (kWh)]))=0,"",SUMIFS(expected_production[Expected Production (kWh)],expected_production[Site Name],A673,expected_production[Date],B673)),"")</f>
        <v>10802.544334730552</v>
      </c>
      <c r="E673" s="9">
        <f t="shared" si="22"/>
        <v>0.49803081878619232</v>
      </c>
      <c r="F673" t="str">
        <f t="shared" si="23"/>
        <v>Poor</v>
      </c>
    </row>
    <row r="674" spans="1:7" ht="15" hidden="1" customHeight="1" x14ac:dyDescent="0.3">
      <c r="A674" t="s">
        <v>102</v>
      </c>
      <c r="B674" s="2">
        <v>46023</v>
      </c>
      <c r="C674" cm="1">
        <f t="array" ref="C674">IFERROR(IF(SUMPRODUCT((measured[Site Name]=A674)*(measured[Date]=B674)*ISNUMBER(measured[Measured Value (kWh)]))=0,"",SUMIFS(measured[Measured Value (kWh)],measured[Site Name],A674,measured[Date],B674)),"")</f>
        <v>7601.5</v>
      </c>
      <c r="D674" cm="1">
        <f t="array" ref="D674">IFERROR(IF(SUMPRODUCT((expected_production[Site Name]=A674)*(expected_production[Date]=B674)*ISNUMBER(expected_production[Expected Production (kWh)]))=0,"",SUMIFS(expected_production[Expected Production (kWh)],expected_production[Site Name],A674,expected_production[Date],B674)),"")</f>
        <v>11051.531507277259</v>
      </c>
      <c r="E674" s="9">
        <f t="shared" si="22"/>
        <v>0.68782322115215722</v>
      </c>
      <c r="F674" t="str">
        <f t="shared" si="23"/>
        <v>Poor</v>
      </c>
    </row>
    <row r="675" spans="1:7" ht="15" hidden="1" customHeight="1" x14ac:dyDescent="0.3">
      <c r="A675" t="s">
        <v>102</v>
      </c>
      <c r="B675" s="2">
        <v>46054</v>
      </c>
      <c r="C675" cm="1">
        <f t="array" ref="C675">IFERROR(IF(SUMPRODUCT((measured[Site Name]=A675)*(measured[Date]=B675)*ISNUMBER(measured[Measured Value (kWh)]))=0,"",SUMIFS(measured[Measured Value (kWh)],measured[Site Name],A675,measured[Date],B675)),"")</f>
        <v>6347.07</v>
      </c>
      <c r="D675" cm="1">
        <f t="array" ref="D675">IFERROR(IF(SUMPRODUCT((expected_production[Site Name]=A675)*(expected_production[Date]=B675)*ISNUMBER(expected_production[Expected Production (kWh)]))=0,"",SUMIFS(expected_production[Expected Production (kWh)],expected_production[Site Name],A675,expected_production[Date],B675)),"")</f>
        <v>9840.9476997223919</v>
      </c>
      <c r="E675" s="9">
        <f t="shared" si="22"/>
        <v>0.64496532180320876</v>
      </c>
      <c r="F675" t="str">
        <f t="shared" si="23"/>
        <v>Poor</v>
      </c>
    </row>
    <row r="676" spans="1:7" ht="15" hidden="1" customHeight="1" x14ac:dyDescent="0.3">
      <c r="A676" t="s">
        <v>102</v>
      </c>
      <c r="B676" s="2">
        <v>46082</v>
      </c>
      <c r="C676" cm="1">
        <f t="array" ref="C676">IFERROR(IF(SUMPRODUCT((measured[Site Name]=A676)*(measured[Date]=B676)*ISNUMBER(measured[Measured Value (kWh)]))=0,"",SUMIFS(measured[Measured Value (kWh)],measured[Site Name],A676,measured[Date],B676)),"")</f>
        <v>7063</v>
      </c>
      <c r="D676" cm="1">
        <f t="array" ref="D676">IFERROR(IF(SUMPRODUCT((expected_production[Site Name]=A676)*(expected_production[Date]=B676)*ISNUMBER(expected_production[Expected Production (kWh)]))=0,"",SUMIFS(expected_production[Expected Production (kWh)],expected_production[Site Name],A676,expected_production[Date],B676)),"")</f>
        <v>10080.799187292527</v>
      </c>
      <c r="E676" s="9">
        <f t="shared" si="22"/>
        <v>0.70063889467249285</v>
      </c>
      <c r="F676" t="str">
        <f t="shared" si="23"/>
        <v>Moderate</v>
      </c>
    </row>
    <row r="677" spans="1:7" ht="15" hidden="1" customHeight="1" x14ac:dyDescent="0.3">
      <c r="A677" t="s">
        <v>102</v>
      </c>
      <c r="B677" s="2">
        <v>46113</v>
      </c>
      <c r="C677" cm="1">
        <f t="array" ref="C677">IFERROR(IF(SUMPRODUCT((measured[Site Name]=A677)*(measured[Date]=B677)*ISNUMBER(measured[Measured Value (kWh)]))=0,"",SUMIFS(measured[Measured Value (kWh)],measured[Site Name],A677,measured[Date],B677)),"")</f>
        <v>4736.87</v>
      </c>
      <c r="D677" cm="1">
        <f t="array" ref="D677">IFERROR(IF(SUMPRODUCT((expected_production[Site Name]=A677)*(expected_production[Date]=B677)*ISNUMBER(expected_production[Expected Production (kWh)]))=0,"",SUMIFS(expected_production[Expected Production (kWh)],expected_production[Site Name],A677,expected_production[Date],B677)),"")</f>
        <v>8568.7215199329967</v>
      </c>
      <c r="E677" s="9">
        <f t="shared" si="22"/>
        <v>0.55280942308381142</v>
      </c>
      <c r="F677" t="str">
        <f t="shared" si="23"/>
        <v>Poor</v>
      </c>
    </row>
    <row r="678" spans="1:7" ht="15" hidden="1" customHeight="1" x14ac:dyDescent="0.3">
      <c r="A678" t="s">
        <v>102</v>
      </c>
      <c r="B678" s="2">
        <v>46143</v>
      </c>
      <c r="C678" cm="1">
        <f t="array" ref="C678">IFERROR(IF(SUMPRODUCT((measured[Site Name]=A678)*(measured[Date]=B678)*ISNUMBER(measured[Measured Value (kWh)]))=0,"",SUMIFS(measured[Measured Value (kWh)],measured[Site Name],A678,measured[Date],B678)),"")</f>
        <v>4375.54</v>
      </c>
      <c r="D678" cm="1">
        <f t="array" ref="D678">IFERROR(IF(SUMPRODUCT((expected_production[Site Name]=A678)*(expected_production[Date]=B678)*ISNUMBER(expected_production[Expected Production (kWh)]))=0,"",SUMIFS(expected_production[Expected Production (kWh)],expected_production[Site Name],A678,expected_production[Date],B678)),"")</f>
        <v>7712.899823973652</v>
      </c>
      <c r="E678" s="9">
        <f t="shared" si="22"/>
        <v>0.56730154674117639</v>
      </c>
      <c r="F678" t="str">
        <f t="shared" si="23"/>
        <v>Poor</v>
      </c>
    </row>
    <row r="679" spans="1:7" ht="15" hidden="1" customHeight="1" x14ac:dyDescent="0.3">
      <c r="A679" t="s">
        <v>102</v>
      </c>
      <c r="B679" s="2">
        <v>46174</v>
      </c>
      <c r="C679" cm="1">
        <f t="array" ref="C679">IFERROR(IF(SUMPRODUCT((measured[Site Name]=A679)*(measured[Date]=B679)*ISNUMBER(measured[Measured Value (kWh)]))=0,"",SUMIFS(measured[Measured Value (kWh)],measured[Site Name],A679,measured[Date],B679)),"")</f>
        <v>3483</v>
      </c>
      <c r="D679" cm="1">
        <f t="array" ref="D679">IFERROR(IF(SUMPRODUCT((expected_production[Site Name]=A679)*(expected_production[Date]=B679)*ISNUMBER(expected_production[Expected Production (kWh)]))=0,"",SUMIFS(expected_production[Expected Production (kWh)],expected_production[Site Name],A679,expected_production[Date],B679)),"")</f>
        <v>7128.127426830898</v>
      </c>
      <c r="E679" s="9">
        <f t="shared" si="22"/>
        <v>0.4886276284693904</v>
      </c>
      <c r="F679" t="str">
        <f t="shared" si="23"/>
        <v>Poor</v>
      </c>
    </row>
    <row r="680" spans="1:7" ht="15" hidden="1" customHeight="1" x14ac:dyDescent="0.3">
      <c r="A680" t="s">
        <v>271</v>
      </c>
      <c r="B680" s="2">
        <v>46204</v>
      </c>
      <c r="C680" cm="1">
        <f t="array" ref="C680">IFERROR(IF(SUMPRODUCT((measured[Site Name]=A680)*(measured[Date]=B680)*ISNUMBER(measured[Measured Value (kWh)]))=0,"",SUMIFS(measured[Measured Value (kWh)],measured[Site Name],A680,measured[Date],B680)),"")</f>
        <v>6140</v>
      </c>
      <c r="D680" cm="1">
        <f t="array" ref="D680">IFERROR(IF(SUMPRODUCT((expected_production[Site Name]=A680)*(expected_production[Date]=B680)*ISNUMBER(expected_production[Expected Production (kWh)]))=0,"",SUMIFS(expected_production[Expected Production (kWh)],expected_production[Site Name],A680,expected_production[Date],B680)),"")</f>
        <v>10977.429304904283</v>
      </c>
      <c r="E680" s="9">
        <f t="shared" si="22"/>
        <v>0.55932949595556858</v>
      </c>
      <c r="F680" t="str">
        <f t="shared" si="23"/>
        <v>Poor</v>
      </c>
      <c r="G680" t="s">
        <v>875</v>
      </c>
    </row>
    <row r="681" spans="1:7" ht="15" hidden="1" customHeight="1" x14ac:dyDescent="0.3">
      <c r="A681" t="s">
        <v>102</v>
      </c>
      <c r="B681" s="2">
        <v>46235</v>
      </c>
      <c r="C681" cm="1">
        <f t="array" ref="C681">IFERROR(IF(SUMPRODUCT((measured[Site Name]=A681)*(measured[Date]=B681)*ISNUMBER(measured[Measured Value (kWh)]))=0,"",SUMIFS(measured[Measured Value (kWh)],measured[Site Name],A681,measured[Date],B681)),"")</f>
        <v>5110</v>
      </c>
      <c r="D681" cm="1">
        <f t="array" ref="D681">IFERROR(IF(SUMPRODUCT((expected_production[Site Name]=A681)*(expected_production[Date]=B681)*ISNUMBER(expected_production[Expected Production (kWh)]))=0,"",SUMIFS(expected_production[Expected Production (kWh)],expected_production[Site Name],A681,expected_production[Date],B681)),"")</f>
        <v>8467.8644357453668</v>
      </c>
      <c r="E681" s="9">
        <f t="shared" si="22"/>
        <v>0.60345793662321456</v>
      </c>
      <c r="F681" t="str">
        <f t="shared" si="23"/>
        <v>Poor</v>
      </c>
      <c r="G681" t="s">
        <v>874</v>
      </c>
    </row>
    <row r="682" spans="1:7" ht="15" customHeight="1" x14ac:dyDescent="0.3">
      <c r="A682" t="s">
        <v>102</v>
      </c>
      <c r="B682" s="2">
        <v>46266</v>
      </c>
      <c r="C682" cm="1">
        <f t="array" ref="C682">IFERROR(IF(SUMPRODUCT((measured[Site Name]=A682)*(measured[Date]=B682)*ISNUMBER(measured[Measured Value (kWh)]))=0,"",SUMIFS(measured[Measured Value (kWh)],measured[Site Name],A682,measured[Date],B682)),"")</f>
        <v>5755.15</v>
      </c>
      <c r="D682" cm="1">
        <f t="array" ref="D682">IFERROR(IF(SUMPRODUCT((expected_production[Site Name]=A682)*(expected_production[Date]=B682)*ISNUMBER(expected_production[Expected Production (kWh)]))=0,"",SUMIFS(expected_production[Expected Production (kWh)],expected_production[Site Name],A682,expected_production[Date],B682)),"")</f>
        <v>8653.7657486721055</v>
      </c>
      <c r="E682" s="9">
        <f t="shared" si="22"/>
        <v>0.6650457346714187</v>
      </c>
      <c r="F682" t="str">
        <f t="shared" si="23"/>
        <v>Poor</v>
      </c>
      <c r="G682" t="s">
        <v>874</v>
      </c>
    </row>
    <row r="683" spans="1:7" ht="15" hidden="1" customHeight="1" x14ac:dyDescent="0.3">
      <c r="A683" t="s">
        <v>102</v>
      </c>
      <c r="B683" s="2">
        <v>46296</v>
      </c>
      <c r="C683" t="str" cm="1">
        <f t="array" ref="C683">IFERROR(IF(SUMPRODUCT((measured[Site Name]=A683)*(measured[Date]=B683)*ISNUMBER(measured[Measured Value (kWh)]))=0,"",SUMIFS(measured[Measured Value (kWh)],measured[Site Name],A683,measured[Date],B683)),"")</f>
        <v/>
      </c>
      <c r="D683" cm="1">
        <f t="array" ref="D683">IFERROR(IF(SUMPRODUCT((expected_production[Site Name]=A683)*(expected_production[Date]=B683)*ISNUMBER(expected_production[Expected Production (kWh)]))=0,"",SUMIFS(expected_production[Expected Production (kWh)],expected_production[Site Name],A683,expected_production[Date],B683)),"")</f>
        <v>9615.784500152391</v>
      </c>
      <c r="E683" s="9" t="str">
        <f t="shared" si="22"/>
        <v/>
      </c>
      <c r="F683" t="str">
        <f t="shared" si="23"/>
        <v/>
      </c>
    </row>
    <row r="684" spans="1:7" ht="15" hidden="1" customHeight="1" x14ac:dyDescent="0.3">
      <c r="A684" t="s">
        <v>102</v>
      </c>
      <c r="B684" s="2">
        <v>46327</v>
      </c>
      <c r="C684" t="str" cm="1">
        <f t="array" ref="C684">IFERROR(IF(SUMPRODUCT((measured[Site Name]=A684)*(measured[Date]=B684)*ISNUMBER(measured[Measured Value (kWh)]))=0,"",SUMIFS(measured[Measured Value (kWh)],measured[Site Name],A684,measured[Date],B684)),"")</f>
        <v/>
      </c>
      <c r="D684" cm="1">
        <f t="array" ref="D684">IFERROR(IF(SUMPRODUCT((expected_production[Site Name]=A684)*(expected_production[Date]=B684)*ISNUMBER(expected_production[Expected Production (kWh)]))=0,"",SUMIFS(expected_production[Expected Production (kWh)],expected_production[Site Name],A684,expected_production[Date],B684)),"")</f>
        <v>9660.1540049814885</v>
      </c>
      <c r="E684" s="9" t="str">
        <f t="shared" si="22"/>
        <v/>
      </c>
      <c r="F684" t="str">
        <f t="shared" si="23"/>
        <v/>
      </c>
    </row>
    <row r="685" spans="1:7" ht="15" hidden="1" customHeight="1" x14ac:dyDescent="0.3">
      <c r="A685" t="s">
        <v>102</v>
      </c>
      <c r="B685" s="2">
        <v>46357</v>
      </c>
      <c r="C685" t="str" cm="1">
        <f t="array" ref="C685">IFERROR(IF(SUMPRODUCT((measured[Site Name]=A685)*(measured[Date]=B685)*ISNUMBER(measured[Measured Value (kWh)]))=0,"",SUMIFS(measured[Measured Value (kWh)],measured[Site Name],A685,measured[Date],B685)),"")</f>
        <v/>
      </c>
      <c r="D685" cm="1">
        <f t="array" ref="D685">IFERROR(IF(SUMPRODUCT((expected_production[Site Name]=A685)*(expected_production[Date]=B685)*ISNUMBER(expected_production[Expected Production (kWh)]))=0,"",SUMIFS(expected_production[Expected Production (kWh)],expected_production[Site Name],A685,expected_production[Date],B685)),"")</f>
        <v>10726.978100506152</v>
      </c>
      <c r="E685" s="9" t="str">
        <f t="shared" si="22"/>
        <v/>
      </c>
      <c r="F685" t="str">
        <f t="shared" si="23"/>
        <v/>
      </c>
    </row>
    <row r="686" spans="1:7" ht="15" hidden="1" customHeight="1" x14ac:dyDescent="0.3">
      <c r="A686" t="s">
        <v>104</v>
      </c>
      <c r="B686" s="2">
        <v>45292</v>
      </c>
      <c r="C686" cm="1">
        <f t="array" ref="C686">IFERROR(IF(SUMPRODUCT((measured[Site Name]=A686)*(measured[Date]=B686)*ISNUMBER(measured[Measured Value (kWh)]))=0,"",SUMIFS(measured[Measured Value (kWh)],measured[Site Name],A686,measured[Date],B686)),"")</f>
        <v>961</v>
      </c>
      <c r="D686" cm="1">
        <f t="array" ref="D686">IFERROR(IF(SUMPRODUCT((expected_production[Site Name]=A686)*(expected_production[Date]=B686)*ISNUMBER(expected_production[Expected Production (kWh)]))=0,"",SUMIFS(expected_production[Expected Production (kWh)],expected_production[Site Name],A686,expected_production[Date],B686)),"")</f>
        <v>4025.8080041982348</v>
      </c>
      <c r="E686" s="9">
        <f t="shared" si="22"/>
        <v>0.23870984383702354</v>
      </c>
      <c r="F686" t="str">
        <f t="shared" si="23"/>
        <v>Poor</v>
      </c>
    </row>
    <row r="687" spans="1:7" ht="15" hidden="1" customHeight="1" x14ac:dyDescent="0.3">
      <c r="A687" t="s">
        <v>104</v>
      </c>
      <c r="B687" s="2">
        <v>45323</v>
      </c>
      <c r="C687" cm="1">
        <f t="array" ref="C687">IFERROR(IF(SUMPRODUCT((measured[Site Name]=A687)*(measured[Date]=B687)*ISNUMBER(measured[Measured Value (kWh)]))=0,"",SUMIFS(measured[Measured Value (kWh)],measured[Site Name],A687,measured[Date],B687)),"")</f>
        <v>798</v>
      </c>
      <c r="D687" cm="1">
        <f t="array" ref="D687">IFERROR(IF(SUMPRODUCT((expected_production[Site Name]=A687)*(expected_production[Date]=B687)*ISNUMBER(expected_production[Expected Production (kWh)]))=0,"",SUMIFS(expected_production[Expected Production (kWh)],expected_production[Site Name],A687,expected_production[Date],B687)),"")</f>
        <v>3632.890686521524</v>
      </c>
      <c r="E687" s="9">
        <f t="shared" si="22"/>
        <v>0.21965978854268289</v>
      </c>
      <c r="F687" t="str">
        <f t="shared" si="23"/>
        <v>Poor</v>
      </c>
    </row>
    <row r="688" spans="1:7" ht="15" hidden="1" customHeight="1" x14ac:dyDescent="0.3">
      <c r="A688" t="s">
        <v>104</v>
      </c>
      <c r="B688" s="2">
        <v>45352</v>
      </c>
      <c r="C688" cm="1">
        <f t="array" ref="C688">IFERROR(IF(SUMPRODUCT((measured[Site Name]=A688)*(measured[Date]=B688)*ISNUMBER(measured[Measured Value (kWh)]))=0,"",SUMIFS(measured[Measured Value (kWh)],measured[Site Name],A688,measured[Date],B688)),"")</f>
        <v>398</v>
      </c>
      <c r="D688" cm="1">
        <f t="array" ref="D688">IFERROR(IF(SUMPRODUCT((expected_production[Site Name]=A688)*(expected_production[Date]=B688)*ISNUMBER(expected_production[Expected Production (kWh)]))=0,"",SUMIFS(expected_production[Expected Production (kWh)],expected_production[Site Name],A688,expected_production[Date],B688)),"")</f>
        <v>3936.1226885621295</v>
      </c>
      <c r="E688" s="9">
        <f t="shared" si="22"/>
        <v>0.10111473434416494</v>
      </c>
      <c r="F688" t="str">
        <f t="shared" si="23"/>
        <v>Poor</v>
      </c>
    </row>
    <row r="689" spans="1:6" ht="15" hidden="1" customHeight="1" x14ac:dyDescent="0.3">
      <c r="A689" t="s">
        <v>104</v>
      </c>
      <c r="B689" s="2">
        <v>45383</v>
      </c>
      <c r="C689" cm="1">
        <f t="array" ref="C689">IFERROR(IF(SUMPRODUCT((measured[Site Name]=A689)*(measured[Date]=B689)*ISNUMBER(measured[Measured Value (kWh)]))=0,"",SUMIFS(measured[Measured Value (kWh)],measured[Site Name],A689,measured[Date],B689)),"")</f>
        <v>1334</v>
      </c>
      <c r="D689" cm="1">
        <f t="array" ref="D689">IFERROR(IF(SUMPRODUCT((expected_production[Site Name]=A689)*(expected_production[Date]=B689)*ISNUMBER(expected_production[Expected Production (kWh)]))=0,"",SUMIFS(expected_production[Expected Production (kWh)],expected_production[Site Name],A689,expected_production[Date],B689)),"")</f>
        <v>3260.1051061337389</v>
      </c>
      <c r="E689" s="9">
        <f t="shared" si="22"/>
        <v>0.40918926125729504</v>
      </c>
      <c r="F689" t="str">
        <f t="shared" si="23"/>
        <v>Poor</v>
      </c>
    </row>
    <row r="690" spans="1:6" ht="15" hidden="1" customHeight="1" x14ac:dyDescent="0.3">
      <c r="A690" t="s">
        <v>104</v>
      </c>
      <c r="B690" s="2">
        <v>45413</v>
      </c>
      <c r="C690" cm="1">
        <f t="array" ref="C690">IFERROR(IF(SUMPRODUCT((measured[Site Name]=A690)*(measured[Date]=B690)*ISNUMBER(measured[Measured Value (kWh)]))=0,"",SUMIFS(measured[Measured Value (kWh)],measured[Site Name],A690,measured[Date],B690)),"")</f>
        <v>1953</v>
      </c>
      <c r="D690" cm="1">
        <f t="array" ref="D690">IFERROR(IF(SUMPRODUCT((expected_production[Site Name]=A690)*(expected_production[Date]=B690)*ISNUMBER(expected_production[Expected Production (kWh)]))=0,"",SUMIFS(expected_production[Expected Production (kWh)],expected_production[Site Name],A690,expected_production[Date],B690)),"")</f>
        <v>3030.2204686512691</v>
      </c>
      <c r="E690" s="9">
        <f t="shared" si="22"/>
        <v>0.64450755983087504</v>
      </c>
      <c r="F690" t="str">
        <f t="shared" si="23"/>
        <v>Poor</v>
      </c>
    </row>
    <row r="691" spans="1:6" ht="15" hidden="1" customHeight="1" x14ac:dyDescent="0.3">
      <c r="A691" t="s">
        <v>104</v>
      </c>
      <c r="B691" s="2">
        <v>45444</v>
      </c>
      <c r="C691" cm="1">
        <f t="array" ref="C691">IFERROR(IF(SUMPRODUCT((measured[Site Name]=A691)*(measured[Date]=B691)*ISNUMBER(measured[Measured Value (kWh)]))=0,"",SUMIFS(measured[Measured Value (kWh)],measured[Site Name],A691,measured[Date],B691)),"")</f>
        <v>1657</v>
      </c>
      <c r="D691" cm="1">
        <f t="array" ref="D691">IFERROR(IF(SUMPRODUCT((expected_production[Site Name]=A691)*(expected_production[Date]=B691)*ISNUMBER(expected_production[Expected Production (kWh)]))=0,"",SUMIFS(expected_production[Expected Production (kWh)],expected_production[Site Name],A691,expected_production[Date],B691)),"")</f>
        <v>2770.1636417490045</v>
      </c>
      <c r="E691" s="9">
        <f t="shared" si="22"/>
        <v>0.59815960870593776</v>
      </c>
      <c r="F691" t="str">
        <f t="shared" si="23"/>
        <v>Poor</v>
      </c>
    </row>
    <row r="692" spans="1:6" ht="15" hidden="1" customHeight="1" x14ac:dyDescent="0.3">
      <c r="A692" t="s">
        <v>104</v>
      </c>
      <c r="B692" s="2">
        <v>45474</v>
      </c>
      <c r="C692" cm="1">
        <f t="array" ref="C692">IFERROR(IF(SUMPRODUCT((measured[Site Name]=A692)*(measured[Date]=B692)*ISNUMBER(measured[Measured Value (kWh)]))=0,"",SUMIFS(measured[Measured Value (kWh)],measured[Site Name],A692,measured[Date],B692)),"")</f>
        <v>1845</v>
      </c>
      <c r="D692" cm="1">
        <f t="array" ref="D692">IFERROR(IF(SUMPRODUCT((expected_production[Site Name]=A692)*(expected_production[Date]=B692)*ISNUMBER(expected_production[Expected Production (kWh)]))=0,"",SUMIFS(expected_production[Expected Production (kWh)],expected_production[Site Name],A692,expected_production[Date],B692)),"")</f>
        <v>3021.3090652410133</v>
      </c>
      <c r="E692" s="9">
        <f t="shared" si="22"/>
        <v>0.61066245132813723</v>
      </c>
      <c r="F692" t="str">
        <f t="shared" si="23"/>
        <v>Poor</v>
      </c>
    </row>
    <row r="693" spans="1:6" ht="15" hidden="1" customHeight="1" x14ac:dyDescent="0.3">
      <c r="A693" t="s">
        <v>104</v>
      </c>
      <c r="B693" s="2">
        <v>45505</v>
      </c>
      <c r="C693" cm="1">
        <f t="array" ref="C693">IFERROR(IF(SUMPRODUCT((measured[Site Name]=A693)*(measured[Date]=B693)*ISNUMBER(measured[Measured Value (kWh)]))=0,"",SUMIFS(measured[Measured Value (kWh)],measured[Site Name],A693,measured[Date],B693)),"")</f>
        <v>2034</v>
      </c>
      <c r="D693" cm="1">
        <f t="array" ref="D693">IFERROR(IF(SUMPRODUCT((expected_production[Site Name]=A693)*(expected_production[Date]=B693)*ISNUMBER(expected_production[Expected Production (kWh)]))=0,"",SUMIFS(expected_production[Expected Production (kWh)],expected_production[Site Name],A693,expected_production[Date],B693)),"")</f>
        <v>3271.2083594890155</v>
      </c>
      <c r="E693" s="9">
        <f t="shared" si="22"/>
        <v>0.62178857977659496</v>
      </c>
      <c r="F693" t="str">
        <f t="shared" si="23"/>
        <v>Poor</v>
      </c>
    </row>
    <row r="694" spans="1:6" ht="15" hidden="1" customHeight="1" x14ac:dyDescent="0.3">
      <c r="A694" t="s">
        <v>104</v>
      </c>
      <c r="B694" s="2">
        <v>45536</v>
      </c>
      <c r="C694" cm="1">
        <f t="array" ref="C694">IFERROR(IF(SUMPRODUCT((measured[Site Name]=A694)*(measured[Date]=B694)*ISNUMBER(measured[Measured Value (kWh)]))=0,"",SUMIFS(measured[Measured Value (kWh)],measured[Site Name],A694,measured[Date],B694)),"")</f>
        <v>1982</v>
      </c>
      <c r="D694" cm="1">
        <f t="array" ref="D694">IFERROR(IF(SUMPRODUCT((expected_production[Site Name]=A694)*(expected_production[Date]=B694)*ISNUMBER(expected_production[Expected Production (kWh)]))=0,"",SUMIFS(expected_production[Expected Production (kWh)],expected_production[Site Name],A694,expected_production[Date],B694)),"")</f>
        <v>3461.935271821219</v>
      </c>
      <c r="E694" s="9">
        <f t="shared" si="22"/>
        <v>0.57251214837339526</v>
      </c>
      <c r="F694" t="str">
        <f t="shared" si="23"/>
        <v>Poor</v>
      </c>
    </row>
    <row r="695" spans="1:6" ht="15" hidden="1" customHeight="1" x14ac:dyDescent="0.3">
      <c r="A695" t="s">
        <v>104</v>
      </c>
      <c r="B695" s="2">
        <v>45566</v>
      </c>
      <c r="C695" cm="1">
        <f t="array" ref="C695">IFERROR(IF(SUMPRODUCT((measured[Site Name]=A695)*(measured[Date]=B695)*ISNUMBER(measured[Measured Value (kWh)]))=0,"",SUMIFS(measured[Measured Value (kWh)],measured[Site Name],A695,measured[Date],B695)),"")</f>
        <v>2181</v>
      </c>
      <c r="D695" cm="1">
        <f t="array" ref="D695">IFERROR(IF(SUMPRODUCT((expected_production[Site Name]=A695)*(expected_production[Date]=B695)*ISNUMBER(expected_production[Expected Production (kWh)]))=0,"",SUMIFS(expected_production[Expected Production (kWh)],expected_production[Site Name],A695,expected_production[Date],B695)),"")</f>
        <v>3475.9855384970474</v>
      </c>
      <c r="E695" s="9">
        <f t="shared" si="22"/>
        <v>0.62744794989654196</v>
      </c>
      <c r="F695" t="str">
        <f t="shared" si="23"/>
        <v>Poor</v>
      </c>
    </row>
    <row r="696" spans="1:6" ht="15" hidden="1" customHeight="1" x14ac:dyDescent="0.3">
      <c r="A696" t="s">
        <v>104</v>
      </c>
      <c r="B696" s="2">
        <v>45597</v>
      </c>
      <c r="C696" cm="1">
        <f t="array" ref="C696">IFERROR(IF(SUMPRODUCT((measured[Site Name]=A696)*(measured[Date]=B696)*ISNUMBER(measured[Measured Value (kWh)]))=0,"",SUMIFS(measured[Measured Value (kWh)],measured[Site Name],A696,measured[Date],B696)),"")</f>
        <v>1783</v>
      </c>
      <c r="D696" cm="1">
        <f t="array" ref="D696">IFERROR(IF(SUMPRODUCT((expected_production[Site Name]=A696)*(expected_production[Date]=B696)*ISNUMBER(expected_production[Expected Production (kWh)]))=0,"",SUMIFS(expected_production[Expected Production (kWh)],expected_production[Site Name],A696,expected_production[Date],B696)),"")</f>
        <v>3314.4291361504643</v>
      </c>
      <c r="E696" s="9">
        <f t="shared" si="22"/>
        <v>0.53795085873245163</v>
      </c>
      <c r="F696" t="str">
        <f t="shared" si="23"/>
        <v>Poor</v>
      </c>
    </row>
    <row r="697" spans="1:6" ht="15" hidden="1" customHeight="1" x14ac:dyDescent="0.3">
      <c r="A697" t="s">
        <v>104</v>
      </c>
      <c r="B697" s="2">
        <v>45627</v>
      </c>
      <c r="C697" cm="1">
        <f t="array" ref="C697">IFERROR(IF(SUMPRODUCT((measured[Site Name]=A697)*(measured[Date]=B697)*ISNUMBER(measured[Measured Value (kWh)]))=0,"",SUMIFS(measured[Measured Value (kWh)],measured[Site Name],A697,measured[Date],B697)),"")</f>
        <v>2366</v>
      </c>
      <c r="D697" cm="1">
        <f t="array" ref="D697">IFERROR(IF(SUMPRODUCT((expected_production[Site Name]=A697)*(expected_production[Date]=B697)*ISNUMBER(expected_production[Expected Production (kWh)]))=0,"",SUMIFS(expected_production[Expected Production (kWh)],expected_production[Site Name],A697,expected_production[Date],B697)),"")</f>
        <v>3553.8324688941616</v>
      </c>
      <c r="E697" s="9">
        <f t="shared" si="22"/>
        <v>0.66576013942948276</v>
      </c>
      <c r="F697" t="str">
        <f t="shared" si="23"/>
        <v>Poor</v>
      </c>
    </row>
    <row r="698" spans="1:6" ht="15" hidden="1" customHeight="1" x14ac:dyDescent="0.3">
      <c r="A698" t="s">
        <v>104</v>
      </c>
      <c r="B698" s="2">
        <v>45658</v>
      </c>
      <c r="C698" cm="1">
        <f t="array" ref="C698">IFERROR(IF(SUMPRODUCT((measured[Site Name]=A698)*(measured[Date]=B698)*ISNUMBER(measured[Measured Value (kWh)]))=0,"",SUMIFS(measured[Measured Value (kWh)],measured[Site Name],A698,measured[Date],B698)),"")</f>
        <v>2514</v>
      </c>
      <c r="D698" cm="1">
        <f t="array" ref="D698">IFERROR(IF(SUMPRODUCT((expected_production[Site Name]=A698)*(expected_production[Date]=B698)*ISNUMBER(expected_production[Expected Production (kWh)]))=0,"",SUMIFS(expected_production[Expected Production (kWh)],expected_production[Site Name],A698,expected_production[Date],B698)),"")</f>
        <v>3997.5696857658613</v>
      </c>
      <c r="E698" s="9">
        <f t="shared" si="22"/>
        <v>0.62888209527693661</v>
      </c>
      <c r="F698" t="str">
        <f t="shared" si="23"/>
        <v>Poor</v>
      </c>
    </row>
    <row r="699" spans="1:6" ht="15" hidden="1" customHeight="1" x14ac:dyDescent="0.3">
      <c r="A699" t="s">
        <v>104</v>
      </c>
      <c r="B699" s="2">
        <v>45689</v>
      </c>
      <c r="C699" cm="1">
        <f t="array" ref="C699">IFERROR(IF(SUMPRODUCT((measured[Site Name]=A699)*(measured[Date]=B699)*ISNUMBER(measured[Measured Value (kWh)]))=0,"",SUMIFS(measured[Measured Value (kWh)],measured[Site Name],A699,measured[Date],B699)),"")</f>
        <v>2930</v>
      </c>
      <c r="D699" cm="1">
        <f t="array" ref="D699">IFERROR(IF(SUMPRODUCT((expected_production[Site Name]=A699)*(expected_production[Date]=B699)*ISNUMBER(expected_production[Expected Production (kWh)]))=0,"",SUMIFS(expected_production[Expected Production (kWh)],expected_production[Site Name],A699,expected_production[Date],B699)),"")</f>
        <v>3607.408417141311</v>
      </c>
      <c r="E699" s="9">
        <f t="shared" si="22"/>
        <v>0.81221743179328643</v>
      </c>
      <c r="F699" t="str">
        <f t="shared" si="23"/>
        <v>Moderate</v>
      </c>
    </row>
    <row r="700" spans="1:6" ht="15" hidden="1" customHeight="1" x14ac:dyDescent="0.3">
      <c r="A700" t="s">
        <v>104</v>
      </c>
      <c r="B700" s="2">
        <v>45717</v>
      </c>
      <c r="C700" cm="1">
        <f t="array" ref="C700">IFERROR(IF(SUMPRODUCT((measured[Site Name]=A700)*(measured[Date]=B700)*ISNUMBER(measured[Measured Value (kWh)]))=0,"",SUMIFS(measured[Measured Value (kWh)],measured[Site Name],A700,measured[Date],B700)),"")</f>
        <v>1758</v>
      </c>
      <c r="D700" cm="1">
        <f t="array" ref="D700">IFERROR(IF(SUMPRODUCT((expected_production[Site Name]=A700)*(expected_production[Date]=B700)*ISNUMBER(expected_production[Expected Production (kWh)]))=0,"",SUMIFS(expected_production[Expected Production (kWh)],expected_production[Site Name],A700,expected_production[Date],B700)),"")</f>
        <v>3908.5886225307054</v>
      </c>
      <c r="E700" s="9">
        <f t="shared" si="22"/>
        <v>0.44977872316011158</v>
      </c>
      <c r="F700" t="str">
        <f t="shared" si="23"/>
        <v>Poor</v>
      </c>
    </row>
    <row r="701" spans="1:6" ht="15" hidden="1" customHeight="1" x14ac:dyDescent="0.3">
      <c r="A701" t="s">
        <v>104</v>
      </c>
      <c r="B701" s="2">
        <v>45748</v>
      </c>
      <c r="C701" cm="1">
        <f t="array" ref="C701">IFERROR(IF(SUMPRODUCT((measured[Site Name]=A701)*(measured[Date]=B701)*ISNUMBER(measured[Measured Value (kWh)]))=0,"",SUMIFS(measured[Measured Value (kWh)],measured[Site Name],A701,measured[Date],B701)),"")</f>
        <v>1646</v>
      </c>
      <c r="D701" cm="1">
        <f t="array" ref="D701">IFERROR(IF(SUMPRODUCT((expected_production[Site Name]=A701)*(expected_production[Date]=B701)*ISNUMBER(expected_production[Expected Production (kWh)]))=0,"",SUMIFS(expected_production[Expected Production (kWh)],expected_production[Site Name],A701,expected_production[Date],B701)),"")</f>
        <v>3237.299935572742</v>
      </c>
      <c r="E701" s="9">
        <f t="shared" si="22"/>
        <v>0.50844840847556194</v>
      </c>
      <c r="F701" t="str">
        <f t="shared" si="23"/>
        <v>Poor</v>
      </c>
    </row>
    <row r="702" spans="1:6" ht="15" hidden="1" customHeight="1" x14ac:dyDescent="0.3">
      <c r="A702" t="s">
        <v>104</v>
      </c>
      <c r="B702" s="2">
        <v>45778</v>
      </c>
      <c r="C702" cm="1">
        <f t="array" ref="C702">IFERROR(IF(SUMPRODUCT((measured[Site Name]=A702)*(measured[Date]=B702)*ISNUMBER(measured[Measured Value (kWh)]))=0,"",SUMIFS(measured[Measured Value (kWh)],measured[Site Name],A702,measured[Date],B702)),"")</f>
        <v>2386</v>
      </c>
      <c r="D702" cm="1">
        <f t="array" ref="D702">IFERROR(IF(SUMPRODUCT((expected_production[Site Name]=A702)*(expected_production[Date]=B702)*ISNUMBER(expected_production[Expected Production (kWh)]))=0,"",SUMIFS(expected_production[Expected Production (kWh)],expected_production[Site Name],A702,expected_production[Date],B702)),"")</f>
        <v>3009.0233929818378</v>
      </c>
      <c r="E702" s="9">
        <f t="shared" si="22"/>
        <v>0.79294830527573823</v>
      </c>
      <c r="F702" t="str">
        <f t="shared" si="23"/>
        <v>Moderate</v>
      </c>
    </row>
    <row r="703" spans="1:6" ht="15" hidden="1" customHeight="1" x14ac:dyDescent="0.3">
      <c r="A703" t="s">
        <v>104</v>
      </c>
      <c r="B703" s="2">
        <v>45809</v>
      </c>
      <c r="C703" cm="1">
        <f t="array" ref="C703">IFERROR(IF(SUMPRODUCT((measured[Site Name]=A703)*(measured[Date]=B703)*ISNUMBER(measured[Measured Value (kWh)]))=0,"",SUMIFS(measured[Measured Value (kWh)],measured[Site Name],A703,measured[Date],B703)),"")</f>
        <v>1228</v>
      </c>
      <c r="D703" cm="1">
        <f t="array" ref="D703">IFERROR(IF(SUMPRODUCT((expected_production[Site Name]=A703)*(expected_production[Date]=B703)*ISNUMBER(expected_production[Expected Production (kWh)]))=0,"",SUMIFS(expected_production[Expected Production (kWh)],expected_production[Site Name],A703,expected_production[Date],B703)),"")</f>
        <v>2750.785722241716</v>
      </c>
      <c r="E703" s="9">
        <f t="shared" si="22"/>
        <v>0.44641790528098924</v>
      </c>
      <c r="F703" t="str">
        <f t="shared" si="23"/>
        <v>Poor</v>
      </c>
    </row>
    <row r="704" spans="1:6" ht="15" hidden="1" customHeight="1" x14ac:dyDescent="0.3">
      <c r="A704" t="s">
        <v>104</v>
      </c>
      <c r="B704" s="2">
        <v>45839</v>
      </c>
      <c r="C704" cm="1">
        <f t="array" ref="C704">IFERROR(IF(SUMPRODUCT((measured[Site Name]=A704)*(measured[Date]=B704)*ISNUMBER(measured[Measured Value (kWh)]))=0,"",SUMIFS(measured[Measured Value (kWh)],measured[Site Name],A704,measured[Date],B704)),"")</f>
        <v>1684</v>
      </c>
      <c r="D704" cm="1">
        <f t="array" ref="D704">IFERROR(IF(SUMPRODUCT((expected_production[Site Name]=A704)*(expected_production[Date]=B704)*ISNUMBER(expected_production[Expected Production (kWh)]))=0,"",SUMIFS(expected_production[Expected Production (kWh)],expected_production[Site Name],A704,expected_production[Date],B704)),"")</f>
        <v>3000.1743268484774</v>
      </c>
      <c r="E704" s="9">
        <f t="shared" si="22"/>
        <v>0.56130071673833426</v>
      </c>
      <c r="F704" t="str">
        <f t="shared" si="23"/>
        <v>Poor</v>
      </c>
    </row>
    <row r="705" spans="1:7" ht="15" hidden="1" customHeight="1" x14ac:dyDescent="0.3">
      <c r="A705" t="s">
        <v>104</v>
      </c>
      <c r="B705" s="2">
        <v>45870</v>
      </c>
      <c r="C705" cm="1">
        <f t="array" ref="C705">IFERROR(IF(SUMPRODUCT((measured[Site Name]=A705)*(measured[Date]=B705)*ISNUMBER(measured[Measured Value (kWh)]))=0,"",SUMIFS(measured[Measured Value (kWh)],measured[Site Name],A705,measured[Date],B705)),"")</f>
        <v>1766.1</v>
      </c>
      <c r="D705" cm="1">
        <f t="array" ref="D705">IFERROR(IF(SUMPRODUCT((expected_production[Site Name]=A705)*(expected_production[Date]=B705)*ISNUMBER(expected_production[Expected Production (kWh)]))=0,"",SUMIFS(expected_production[Expected Production (kWh)],expected_production[Site Name],A705,expected_production[Date],B705)),"")</f>
        <v>3248.3255191663679</v>
      </c>
      <c r="E705" s="9">
        <f t="shared" si="22"/>
        <v>0.54369551006490324</v>
      </c>
      <c r="F705" t="str">
        <f t="shared" si="23"/>
        <v>Poor</v>
      </c>
    </row>
    <row r="706" spans="1:7" ht="15" hidden="1" customHeight="1" x14ac:dyDescent="0.3">
      <c r="A706" t="s">
        <v>104</v>
      </c>
      <c r="B706" s="2">
        <v>45901</v>
      </c>
      <c r="C706" cm="1">
        <f t="array" ref="C706">IFERROR(IF(SUMPRODUCT((measured[Site Name]=A706)*(measured[Date]=B706)*ISNUMBER(measured[Measured Value (kWh)]))=0,"",SUMIFS(measured[Measured Value (kWh)],measured[Site Name],A706,measured[Date],B706)),"")</f>
        <v>1960</v>
      </c>
      <c r="D706" cm="1">
        <f t="array" ref="D706">IFERROR(IF(SUMPRODUCT((expected_production[Site Name]=A706)*(expected_production[Date]=B706)*ISNUMBER(expected_production[Expected Production (kWh)]))=0,"",SUMIFS(expected_production[Expected Production (kWh)],expected_production[Site Name],A706,expected_production[Date],B706)),"")</f>
        <v>3437.7182537267799</v>
      </c>
      <c r="E706" s="9">
        <f t="shared" si="22"/>
        <v>0.57014561850005963</v>
      </c>
      <c r="F706" t="str">
        <f t="shared" si="23"/>
        <v>Poor</v>
      </c>
    </row>
    <row r="707" spans="1:7" ht="15" hidden="1" customHeight="1" x14ac:dyDescent="0.3">
      <c r="A707" t="s">
        <v>104</v>
      </c>
      <c r="B707" s="2">
        <v>45931</v>
      </c>
      <c r="C707" cm="1">
        <f t="array" ref="C707">IFERROR(IF(SUMPRODUCT((measured[Site Name]=A707)*(measured[Date]=B707)*ISNUMBER(measured[Measured Value (kWh)]))=0,"",SUMIFS(measured[Measured Value (kWh)],measured[Site Name],A707,measured[Date],B707)),"")</f>
        <v>2119</v>
      </c>
      <c r="D707" cm="1">
        <f t="array" ref="D707">IFERROR(IF(SUMPRODUCT((expected_production[Site Name]=A707)*(expected_production[Date]=B707)*ISNUMBER(expected_production[Expected Production (kWh)]))=0,"",SUMIFS(expected_production[Expected Production (kWh)],expected_production[Site Name],A707,expected_production[Date],B707)),"")</f>
        <v>3451.6702356180572</v>
      </c>
      <c r="E707" s="9">
        <f t="shared" si="22"/>
        <v>0.61390569068095557</v>
      </c>
      <c r="F707" t="str">
        <f t="shared" si="23"/>
        <v>Poor</v>
      </c>
    </row>
    <row r="708" spans="1:7" ht="15" hidden="1" customHeight="1" x14ac:dyDescent="0.3">
      <c r="A708" t="s">
        <v>104</v>
      </c>
      <c r="B708" s="2">
        <v>45962</v>
      </c>
      <c r="C708" cm="1">
        <f t="array" ref="C708">IFERROR(IF(SUMPRODUCT((measured[Site Name]=A708)*(measured[Date]=B708)*ISNUMBER(measured[Measured Value (kWh)]))=0,"",SUMIFS(measured[Measured Value (kWh)],measured[Site Name],A708,measured[Date],B708)),"")</f>
        <v>1774</v>
      </c>
      <c r="D708" cm="1">
        <f t="array" ref="D708">IFERROR(IF(SUMPRODUCT((expected_production[Site Name]=A708)*(expected_production[Date]=B708)*ISNUMBER(expected_production[Expected Production (kWh)]))=0,"",SUMIFS(expected_production[Expected Production (kWh)],expected_production[Site Name],A708,expected_production[Date],B708)),"")</f>
        <v>3291.2439567462675</v>
      </c>
      <c r="E708" s="9">
        <f t="shared" si="22"/>
        <v>0.53900592703367423</v>
      </c>
      <c r="F708" t="str">
        <f t="shared" si="23"/>
        <v>Poor</v>
      </c>
    </row>
    <row r="709" spans="1:7" ht="15" hidden="1" customHeight="1" x14ac:dyDescent="0.3">
      <c r="A709" t="s">
        <v>104</v>
      </c>
      <c r="B709" s="2">
        <v>45992</v>
      </c>
      <c r="C709" cm="1">
        <f t="array" ref="C709">IFERROR(IF(SUMPRODUCT((measured[Site Name]=A709)*(measured[Date]=B709)*ISNUMBER(measured[Measured Value (kWh)]))=0,"",SUMIFS(measured[Measured Value (kWh)],measured[Site Name],A709,measured[Date],B709)),"")</f>
        <v>2120</v>
      </c>
      <c r="D709" cm="1">
        <f t="array" ref="D709">IFERROR(IF(SUMPRODUCT((expected_production[Site Name]=A709)*(expected_production[Date]=B709)*ISNUMBER(expected_production[Expected Production (kWh)]))=0,"",SUMIFS(expected_production[Expected Production (kWh)],expected_production[Site Name],A709,expected_production[Date],B709)),"")</f>
        <v>3528.9726091780267</v>
      </c>
      <c r="E709" s="9">
        <f t="shared" si="22"/>
        <v>0.60074141535878722</v>
      </c>
      <c r="F709" t="str">
        <f t="shared" si="23"/>
        <v>Poor</v>
      </c>
    </row>
    <row r="710" spans="1:7" ht="15" hidden="1" customHeight="1" x14ac:dyDescent="0.3">
      <c r="A710" t="s">
        <v>104</v>
      </c>
      <c r="B710" s="2">
        <v>46023</v>
      </c>
      <c r="C710" cm="1">
        <f t="array" ref="C710">IFERROR(IF(SUMPRODUCT((measured[Site Name]=A710)*(measured[Date]=B710)*ISNUMBER(measured[Measured Value (kWh)]))=0,"",SUMIFS(measured[Measured Value (kWh)],measured[Site Name],A710,measured[Date],B710)),"")</f>
        <v>647</v>
      </c>
      <c r="D710" cm="1">
        <f t="array" ref="D710">IFERROR(IF(SUMPRODUCT((expected_production[Site Name]=A710)*(expected_production[Date]=B710)*ISNUMBER(expected_production[Expected Production (kWh)]))=0,"",SUMIFS(expected_production[Expected Production (kWh)],expected_production[Site Name],A710,expected_production[Date],B710)),"")</f>
        <v>3969.6057841291208</v>
      </c>
      <c r="E710" s="9">
        <f t="shared" si="22"/>
        <v>0.1629884767365995</v>
      </c>
      <c r="F710" t="str">
        <f t="shared" si="23"/>
        <v>Poor</v>
      </c>
    </row>
    <row r="711" spans="1:7" ht="15" hidden="1" customHeight="1" x14ac:dyDescent="0.3">
      <c r="A711" t="s">
        <v>104</v>
      </c>
      <c r="B711" s="2">
        <v>46054</v>
      </c>
      <c r="C711" cm="1">
        <f t="array" ref="C711">IFERROR(IF(SUMPRODUCT((measured[Site Name]=A711)*(measured[Date]=B711)*ISNUMBER(measured[Measured Value (kWh)]))=0,"",SUMIFS(measured[Measured Value (kWh)],measured[Site Name],A711,measured[Date],B711)),"")</f>
        <v>1429</v>
      </c>
      <c r="D711" cm="1">
        <f t="array" ref="D711">IFERROR(IF(SUMPRODUCT((expected_production[Site Name]=A711)*(expected_production[Date]=B711)*ISNUMBER(expected_production[Expected Production (kWh)]))=0,"",SUMIFS(expected_production[Expected Production (kWh)],expected_production[Site Name],A711,expected_production[Date],B711)),"")</f>
        <v>3582.17378158269</v>
      </c>
      <c r="E711" s="9">
        <f t="shared" si="22"/>
        <v>0.39891978645676807</v>
      </c>
      <c r="F711" t="str">
        <f t="shared" si="23"/>
        <v>Poor</v>
      </c>
    </row>
    <row r="712" spans="1:7" ht="15" hidden="1" customHeight="1" x14ac:dyDescent="0.3">
      <c r="A712" t="s">
        <v>104</v>
      </c>
      <c r="B712" s="2">
        <v>46082</v>
      </c>
      <c r="C712" cm="1">
        <f t="array" ref="C712">IFERROR(IF(SUMPRODUCT((measured[Site Name]=A712)*(measured[Date]=B712)*ISNUMBER(measured[Measured Value (kWh)]))=0,"",SUMIFS(measured[Measured Value (kWh)],measured[Site Name],A712,measured[Date],B712)),"")</f>
        <v>1816</v>
      </c>
      <c r="D712" cm="1">
        <f t="array" ref="D712">IFERROR(IF(SUMPRODUCT((expected_production[Site Name]=A712)*(expected_production[Date]=B712)*ISNUMBER(expected_production[Expected Production (kWh)]))=0,"",SUMIFS(expected_production[Expected Production (kWh)],expected_production[Site Name],A712,expected_production[Date],B712)),"")</f>
        <v>3881.2471635017068</v>
      </c>
      <c r="E712" s="9">
        <f t="shared" si="22"/>
        <v>0.46789084113921348</v>
      </c>
      <c r="F712" t="str">
        <f t="shared" si="23"/>
        <v>Poor</v>
      </c>
    </row>
    <row r="713" spans="1:7" ht="15" hidden="1" customHeight="1" x14ac:dyDescent="0.3">
      <c r="A713" t="s">
        <v>104</v>
      </c>
      <c r="B713" s="2">
        <v>46113</v>
      </c>
      <c r="C713" cm="1">
        <f t="array" ref="C713">IFERROR(IF(SUMPRODUCT((measured[Site Name]=A713)*(measured[Date]=B713)*ISNUMBER(measured[Measured Value (kWh)]))=0,"",SUMIFS(measured[Measured Value (kWh)],measured[Site Name],A713,measured[Date],B713)),"")</f>
        <v>3513.5</v>
      </c>
      <c r="D713" cm="1">
        <f t="array" ref="D713">IFERROR(IF(SUMPRODUCT((expected_production[Site Name]=A713)*(expected_production[Date]=B713)*ISNUMBER(expected_production[Expected Production (kWh)]))=0,"",SUMIFS(expected_production[Expected Production (kWh)],expected_production[Site Name],A713,expected_production[Date],B713)),"")</f>
        <v>3214.6542923237134</v>
      </c>
      <c r="E713" s="9">
        <f t="shared" si="22"/>
        <v>1.0929635601532337</v>
      </c>
      <c r="F713" t="str">
        <f t="shared" si="23"/>
        <v>Expected</v>
      </c>
    </row>
    <row r="714" spans="1:7" ht="15" hidden="1" customHeight="1" x14ac:dyDescent="0.3">
      <c r="A714" t="s">
        <v>104</v>
      </c>
      <c r="B714" s="2">
        <v>46143</v>
      </c>
      <c r="C714" cm="1">
        <f t="array" ref="C714">IFERROR(IF(SUMPRODUCT((measured[Site Name]=A714)*(measured[Date]=B714)*ISNUMBER(measured[Measured Value (kWh)]))=0,"",SUMIFS(measured[Measured Value (kWh)],measured[Site Name],A714,measured[Date],B714)),"")</f>
        <v>3029</v>
      </c>
      <c r="D714" cm="1">
        <f t="array" ref="D714">IFERROR(IF(SUMPRODUCT((expected_production[Site Name]=A714)*(expected_production[Date]=B714)*ISNUMBER(expected_production[Expected Production (kWh)]))=0,"",SUMIFS(expected_production[Expected Production (kWh)],expected_production[Site Name],A714,expected_production[Date],B714)),"")</f>
        <v>2987.9745956378893</v>
      </c>
      <c r="E714" s="9">
        <f t="shared" si="22"/>
        <v>1.0137301717430942</v>
      </c>
      <c r="F714" t="str">
        <f t="shared" si="23"/>
        <v>Expected</v>
      </c>
    </row>
    <row r="715" spans="1:7" ht="15" hidden="1" customHeight="1" x14ac:dyDescent="0.3">
      <c r="A715" t="s">
        <v>104</v>
      </c>
      <c r="B715" s="2">
        <v>46174</v>
      </c>
      <c r="C715" cm="1">
        <f t="array" ref="C715">IFERROR(IF(SUMPRODUCT((measured[Site Name]=A715)*(measured[Date]=B715)*ISNUMBER(measured[Measured Value (kWh)]))=0,"",SUMIFS(measured[Measured Value (kWh)],measured[Site Name],A715,measured[Date],B715)),"")</f>
        <v>2484</v>
      </c>
      <c r="D715" cm="1">
        <f t="array" ref="D715">IFERROR(IF(SUMPRODUCT((expected_production[Site Name]=A715)*(expected_production[Date]=B715)*ISNUMBER(expected_production[Expected Production (kWh)]))=0,"",SUMIFS(expected_production[Expected Production (kWh)],expected_production[Site Name],A715,expected_production[Date],B715)),"")</f>
        <v>2731.5433556522312</v>
      </c>
      <c r="E715" s="9">
        <f t="shared" si="22"/>
        <v>0.90937601076695218</v>
      </c>
      <c r="F715" t="str">
        <f t="shared" si="23"/>
        <v>Expected</v>
      </c>
    </row>
    <row r="716" spans="1:7" ht="15" hidden="1" customHeight="1" x14ac:dyDescent="0.3">
      <c r="A716" t="s">
        <v>239</v>
      </c>
      <c r="B716" s="2">
        <v>46204</v>
      </c>
      <c r="C716" cm="1">
        <f t="array" ref="C716">IFERROR(IF(SUMPRODUCT((measured[Site Name]=A716)*(measured[Date]=B716)*ISNUMBER(measured[Measured Value (kWh)]))=0,"",SUMIFS(measured[Measured Value (kWh)],measured[Site Name],A716,measured[Date],B716)),"")</f>
        <v>3388.4247999999998</v>
      </c>
      <c r="D716" cm="1">
        <f t="array" ref="D716">IFERROR(IF(SUMPRODUCT((expected_production[Site Name]=A716)*(expected_production[Date]=B716)*ISNUMBER(expected_production[Expected Production (kWh)]))=0,"",SUMIFS(expected_production[Expected Production (kWh)],expected_production[Site Name],A716,expected_production[Date],B716)),"")</f>
        <v>2338.4936672316417</v>
      </c>
      <c r="E716" s="9">
        <f t="shared" si="22"/>
        <v>1.4489775394650903</v>
      </c>
      <c r="F716" t="str">
        <f t="shared" si="23"/>
        <v>Expected</v>
      </c>
      <c r="G716" t="s">
        <v>874</v>
      </c>
    </row>
    <row r="717" spans="1:7" ht="15" hidden="1" customHeight="1" x14ac:dyDescent="0.3">
      <c r="A717" t="s">
        <v>104</v>
      </c>
      <c r="B717" s="2">
        <v>46235</v>
      </c>
      <c r="C717" cm="1">
        <f t="array" ref="C717">IFERROR(IF(SUMPRODUCT((measured[Site Name]=A717)*(measured[Date]=B717)*ISNUMBER(measured[Measured Value (kWh)]))=0,"",SUMIFS(measured[Measured Value (kWh)],measured[Site Name],A717,measured[Date],B717)),"")</f>
        <v>1628</v>
      </c>
      <c r="D717" cm="1">
        <f t="array" ref="D717">IFERROR(IF(SUMPRODUCT((expected_production[Site Name]=A717)*(expected_production[Date]=B717)*ISNUMBER(expected_production[Expected Production (kWh)]))=0,"",SUMIFS(expected_production[Expected Production (kWh)],expected_production[Site Name],A717,expected_production[Date],B717)),"")</f>
        <v>3225.6027494731907</v>
      </c>
      <c r="E717" s="9">
        <f t="shared" si="22"/>
        <v>0.50471187137532258</v>
      </c>
      <c r="F717" t="str">
        <f t="shared" si="23"/>
        <v>Poor</v>
      </c>
      <c r="G717" t="s">
        <v>874</v>
      </c>
    </row>
    <row r="718" spans="1:7" ht="15" customHeight="1" x14ac:dyDescent="0.3">
      <c r="A718" t="s">
        <v>104</v>
      </c>
      <c r="B718" s="2">
        <v>46266</v>
      </c>
      <c r="C718" cm="1">
        <f t="array" ref="C718">IFERROR(IF(SUMPRODUCT((measured[Site Name]=A718)*(measured[Date]=B718)*ISNUMBER(measured[Measured Value (kWh)]))=0,"",SUMIFS(measured[Measured Value (kWh)],measured[Site Name],A718,measured[Date],B718)),"")</f>
        <v>747.8</v>
      </c>
      <c r="D718" cm="1">
        <f t="array" ref="D718">IFERROR(IF(SUMPRODUCT((expected_production[Site Name]=A718)*(expected_production[Date]=B718)*ISNUMBER(expected_production[Expected Production (kWh)]))=0,"",SUMIFS(expected_production[Expected Production (kWh)],expected_production[Site Name],A718,expected_production[Date],B718)),"")</f>
        <v>3413.6706391362591</v>
      </c>
      <c r="E718" s="9">
        <f t="shared" si="22"/>
        <v>0.21906038368986042</v>
      </c>
      <c r="F718" t="str">
        <f t="shared" si="23"/>
        <v>Poor</v>
      </c>
      <c r="G718" t="s">
        <v>875</v>
      </c>
    </row>
    <row r="719" spans="1:7" ht="15" hidden="1" customHeight="1" x14ac:dyDescent="0.3">
      <c r="A719" t="s">
        <v>104</v>
      </c>
      <c r="B719" s="2">
        <v>46296</v>
      </c>
      <c r="C719" t="str" cm="1">
        <f t="array" ref="C719">IFERROR(IF(SUMPRODUCT((measured[Site Name]=A719)*(measured[Date]=B719)*ISNUMBER(measured[Measured Value (kWh)]))=0,"",SUMIFS(measured[Measured Value (kWh)],measured[Site Name],A719,measured[Date],B719)),"")</f>
        <v/>
      </c>
      <c r="D719" cm="1">
        <f t="array" ref="D719">IFERROR(IF(SUMPRODUCT((expected_production[Site Name]=A719)*(expected_production[Date]=B719)*ISNUMBER(expected_production[Expected Production (kWh)]))=0,"",SUMIFS(expected_production[Expected Production (kWh)],expected_production[Site Name],A719,expected_production[Date],B719)),"")</f>
        <v>3427.5250237672226</v>
      </c>
      <c r="E719" s="9" t="str">
        <f t="shared" si="22"/>
        <v/>
      </c>
      <c r="F719" t="str">
        <f t="shared" si="23"/>
        <v/>
      </c>
    </row>
    <row r="720" spans="1:7" ht="15" hidden="1" customHeight="1" x14ac:dyDescent="0.3">
      <c r="A720" t="s">
        <v>104</v>
      </c>
      <c r="B720" s="2">
        <v>46327</v>
      </c>
      <c r="C720" t="str" cm="1">
        <f t="array" ref="C720">IFERROR(IF(SUMPRODUCT((measured[Site Name]=A720)*(measured[Date]=B720)*ISNUMBER(measured[Measured Value (kWh)]))=0,"",SUMIFS(measured[Measured Value (kWh)],measured[Site Name],A720,measured[Date],B720)),"")</f>
        <v/>
      </c>
      <c r="D720" cm="1">
        <f t="array" ref="D720">IFERROR(IF(SUMPRODUCT((expected_production[Site Name]=A720)*(expected_production[Date]=B720)*ISNUMBER(expected_production[Expected Production (kWh)]))=0,"",SUMIFS(expected_production[Expected Production (kWh)],expected_production[Site Name],A720,expected_production[Date],B720)),"")</f>
        <v>3268.2209629016111</v>
      </c>
      <c r="E720" s="9" t="str">
        <f t="shared" si="22"/>
        <v/>
      </c>
      <c r="F720" t="str">
        <f t="shared" si="23"/>
        <v/>
      </c>
    </row>
    <row r="721" spans="1:6" ht="15" hidden="1" customHeight="1" x14ac:dyDescent="0.3">
      <c r="A721" t="s">
        <v>104</v>
      </c>
      <c r="B721" s="2">
        <v>46357</v>
      </c>
      <c r="C721" t="str" cm="1">
        <f t="array" ref="C721">IFERROR(IF(SUMPRODUCT((measured[Site Name]=A721)*(measured[Date]=B721)*ISNUMBER(measured[Measured Value (kWh)]))=0,"",SUMIFS(measured[Measured Value (kWh)],measured[Site Name],A721,measured[Date],B721)),"")</f>
        <v/>
      </c>
      <c r="D721" cm="1">
        <f t="array" ref="D721">IFERROR(IF(SUMPRODUCT((expected_production[Site Name]=A721)*(expected_production[Date]=B721)*ISNUMBER(expected_production[Expected Production (kWh)]))=0,"",SUMIFS(expected_production[Expected Production (kWh)],expected_production[Site Name],A721,expected_production[Date],B721)),"")</f>
        <v>3504.2866497879522</v>
      </c>
      <c r="E721" s="9" t="str">
        <f t="shared" si="22"/>
        <v/>
      </c>
      <c r="F721" t="str">
        <f t="shared" si="23"/>
        <v/>
      </c>
    </row>
    <row r="722" spans="1:6" ht="15" hidden="1" customHeight="1" x14ac:dyDescent="0.3">
      <c r="A722" t="s">
        <v>107</v>
      </c>
      <c r="B722" s="2">
        <v>45292</v>
      </c>
      <c r="C722" cm="1">
        <f t="array" ref="C722">IFERROR(IF(SUMPRODUCT((measured[Site Name]=A722)*(measured[Date]=B722)*ISNUMBER(measured[Measured Value (kWh)]))=0,"",SUMIFS(measured[Measured Value (kWh)],measured[Site Name],A722,measured[Date],B722)),"")</f>
        <v>1880</v>
      </c>
      <c r="D722" cm="1">
        <f t="array" ref="D722">IFERROR(IF(SUMPRODUCT((expected_production[Site Name]=A722)*(expected_production[Date]=B722)*ISNUMBER(expected_production[Expected Production (kWh)]))=0,"",SUMIFS(expected_production[Expected Production (kWh)],expected_production[Site Name],A722,expected_production[Date],B722)),"")</f>
        <v>3602.7241603741281</v>
      </c>
      <c r="E722" s="9">
        <f t="shared" si="22"/>
        <v>0.52182734961445665</v>
      </c>
      <c r="F722" t="str">
        <f t="shared" si="23"/>
        <v>Poor</v>
      </c>
    </row>
    <row r="723" spans="1:6" ht="15" hidden="1" customHeight="1" x14ac:dyDescent="0.3">
      <c r="A723" t="s">
        <v>107</v>
      </c>
      <c r="B723" s="2">
        <v>45323</v>
      </c>
      <c r="C723" cm="1">
        <f t="array" ref="C723">IFERROR(IF(SUMPRODUCT((measured[Site Name]=A723)*(measured[Date]=B723)*ISNUMBER(measured[Measured Value (kWh)]))=0,"",SUMIFS(measured[Measured Value (kWh)],measured[Site Name],A723,measured[Date],B723)),"")</f>
        <v>1559</v>
      </c>
      <c r="D723" cm="1">
        <f t="array" ref="D723">IFERROR(IF(SUMPRODUCT((expected_production[Site Name]=A723)*(expected_production[Date]=B723)*ISNUMBER(expected_production[Expected Production (kWh)]))=0,"",SUMIFS(expected_production[Expected Production (kWh)],expected_production[Site Name],A723,expected_production[Date],B723)),"")</f>
        <v>3238.7278300119797</v>
      </c>
      <c r="E723" s="9">
        <f t="shared" si="22"/>
        <v>0.4813618438552873</v>
      </c>
      <c r="F723" t="str">
        <f t="shared" si="23"/>
        <v>Poor</v>
      </c>
    </row>
    <row r="724" spans="1:6" ht="15" hidden="1" customHeight="1" x14ac:dyDescent="0.3">
      <c r="A724" t="s">
        <v>107</v>
      </c>
      <c r="B724" s="2">
        <v>45352</v>
      </c>
      <c r="C724" cm="1">
        <f t="array" ref="C724">IFERROR(IF(SUMPRODUCT((measured[Site Name]=A724)*(measured[Date]=B724)*ISNUMBER(measured[Measured Value (kWh)]))=0,"",SUMIFS(measured[Measured Value (kWh)],measured[Site Name],A724,measured[Date],B724)),"")</f>
        <v>1596</v>
      </c>
      <c r="D724" cm="1">
        <f t="array" ref="D724">IFERROR(IF(SUMPRODUCT((expected_production[Site Name]=A724)*(expected_production[Date]=B724)*ISNUMBER(expected_production[Expected Production (kWh)]))=0,"",SUMIFS(expected_production[Expected Production (kWh)],expected_production[Site Name],A724,expected_production[Date],B724)),"")</f>
        <v>3588.7223963015845</v>
      </c>
      <c r="E724" s="9">
        <f t="shared" si="22"/>
        <v>0.44472651371551708</v>
      </c>
      <c r="F724" t="str">
        <f t="shared" si="23"/>
        <v>Poor</v>
      </c>
    </row>
    <row r="725" spans="1:6" ht="15" hidden="1" customHeight="1" x14ac:dyDescent="0.3">
      <c r="A725" t="s">
        <v>107</v>
      </c>
      <c r="B725" s="2">
        <v>45383</v>
      </c>
      <c r="C725" cm="1">
        <f t="array" ref="C725">IFERROR(IF(SUMPRODUCT((measured[Site Name]=A725)*(measured[Date]=B725)*ISNUMBER(measured[Measured Value (kWh)]))=0,"",SUMIFS(measured[Measured Value (kWh)],measured[Site Name],A725,measured[Date],B725)),"")</f>
        <v>2170</v>
      </c>
      <c r="D725" cm="1">
        <f t="array" ref="D725">IFERROR(IF(SUMPRODUCT((expected_production[Site Name]=A725)*(expected_production[Date]=B725)*ISNUMBER(expected_production[Expected Production (kWh)]))=0,"",SUMIFS(expected_production[Expected Production (kWh)],expected_production[Site Name],A725,expected_production[Date],B725)),"")</f>
        <v>2945.1316149032314</v>
      </c>
      <c r="E725" s="9">
        <f t="shared" si="22"/>
        <v>0.73680917654720846</v>
      </c>
      <c r="F725" t="str">
        <f t="shared" si="23"/>
        <v>Moderate</v>
      </c>
    </row>
    <row r="726" spans="1:6" ht="15" hidden="1" customHeight="1" x14ac:dyDescent="0.3">
      <c r="A726" t="s">
        <v>107</v>
      </c>
      <c r="B726" s="2">
        <v>45413</v>
      </c>
      <c r="C726" cm="1">
        <f t="array" ref="C726">IFERROR(IF(SUMPRODUCT((measured[Site Name]=A726)*(measured[Date]=B726)*ISNUMBER(measured[Measured Value (kWh)]))=0,"",SUMIFS(measured[Measured Value (kWh)],measured[Site Name],A726,measured[Date],B726)),"")</f>
        <v>2876</v>
      </c>
      <c r="D726" cm="1">
        <f t="array" ref="D726">IFERROR(IF(SUMPRODUCT((expected_production[Site Name]=A726)*(expected_production[Date]=B726)*ISNUMBER(expected_production[Expected Production (kWh)]))=0,"",SUMIFS(expected_production[Expected Production (kWh)],expected_production[Site Name],A726,expected_production[Date],B726)),"")</f>
        <v>2705.5977544527836</v>
      </c>
      <c r="E726" s="9">
        <f t="shared" ref="E726:E789" si="24">IF(OR(C726="",D726="",D726=0),"",C726/D726)</f>
        <v>1.0629813671551043</v>
      </c>
      <c r="F726" t="str">
        <f t="shared" ref="F726:F789" si="25">IF(E726="","",IF(E726&gt;=0.9,"Expected",IF(E726&gt;=0.7,"Moderate","Poor")))</f>
        <v>Expected</v>
      </c>
    </row>
    <row r="727" spans="1:6" ht="15" hidden="1" customHeight="1" x14ac:dyDescent="0.3">
      <c r="A727" t="s">
        <v>107</v>
      </c>
      <c r="B727" s="2">
        <v>45444</v>
      </c>
      <c r="C727" cm="1">
        <f t="array" ref="C727">IFERROR(IF(SUMPRODUCT((measured[Site Name]=A727)*(measured[Date]=B727)*ISNUMBER(measured[Measured Value (kWh)]))=0,"",SUMIFS(measured[Measured Value (kWh)],measured[Site Name],A727,measured[Date],B727)),"")</f>
        <v>2499</v>
      </c>
      <c r="D727" cm="1">
        <f t="array" ref="D727">IFERROR(IF(SUMPRODUCT((expected_production[Site Name]=A727)*(expected_production[Date]=B727)*ISNUMBER(expected_production[Expected Production (kWh)]))=0,"",SUMIFS(expected_production[Expected Production (kWh)],expected_production[Site Name],A727,expected_production[Date],B727)),"")</f>
        <v>2443.9522095721845</v>
      </c>
      <c r="E727" s="9">
        <f t="shared" si="24"/>
        <v>1.022524086278042</v>
      </c>
      <c r="F727" t="str">
        <f t="shared" si="25"/>
        <v>Expected</v>
      </c>
    </row>
    <row r="728" spans="1:6" ht="15" hidden="1" customHeight="1" x14ac:dyDescent="0.3">
      <c r="A728" t="s">
        <v>107</v>
      </c>
      <c r="B728" s="2">
        <v>45474</v>
      </c>
      <c r="C728" cm="1">
        <f t="array" ref="C728">IFERROR(IF(SUMPRODUCT((measured[Site Name]=A728)*(measured[Date]=B728)*ISNUMBER(measured[Measured Value (kWh)]))=0,"",SUMIFS(measured[Measured Value (kWh)],measured[Site Name],A728,measured[Date],B728)),"")</f>
        <v>2895</v>
      </c>
      <c r="D728" cm="1">
        <f t="array" ref="D728">IFERROR(IF(SUMPRODUCT((expected_production[Site Name]=A728)*(expected_production[Date]=B728)*ISNUMBER(expected_production[Expected Production (kWh)]))=0,"",SUMIFS(expected_production[Expected Production (kWh)],expected_production[Site Name],A728,expected_production[Date],B728)),"")</f>
        <v>2680.9918352702748</v>
      </c>
      <c r="E728" s="9">
        <f t="shared" si="24"/>
        <v>1.0798242508292275</v>
      </c>
      <c r="F728" t="str">
        <f t="shared" si="25"/>
        <v>Expected</v>
      </c>
    </row>
    <row r="729" spans="1:6" ht="15" hidden="1" customHeight="1" x14ac:dyDescent="0.3">
      <c r="A729" t="s">
        <v>107</v>
      </c>
      <c r="B729" s="2">
        <v>45505</v>
      </c>
      <c r="C729" cm="1">
        <f t="array" ref="C729">IFERROR(IF(SUMPRODUCT((measured[Site Name]=A729)*(measured[Date]=B729)*ISNUMBER(measured[Measured Value (kWh)]))=0,"",SUMIFS(measured[Measured Value (kWh)],measured[Site Name],A729,measured[Date],B729)),"")</f>
        <v>3177</v>
      </c>
      <c r="D729" cm="1">
        <f t="array" ref="D729">IFERROR(IF(SUMPRODUCT((expected_production[Site Name]=A729)*(expected_production[Date]=B729)*ISNUMBER(expected_production[Expected Production (kWh)]))=0,"",SUMIFS(expected_production[Expected Production (kWh)],expected_production[Site Name],A729,expected_production[Date],B729)),"")</f>
        <v>2948.9398518814742</v>
      </c>
      <c r="E729" s="9">
        <f t="shared" si="24"/>
        <v>1.0773363173118027</v>
      </c>
      <c r="F729" t="str">
        <f t="shared" si="25"/>
        <v>Expected</v>
      </c>
    </row>
    <row r="730" spans="1:6" ht="15" hidden="1" customHeight="1" x14ac:dyDescent="0.3">
      <c r="A730" t="s">
        <v>107</v>
      </c>
      <c r="B730" s="2">
        <v>45536</v>
      </c>
      <c r="C730" cm="1">
        <f t="array" ref="C730">IFERROR(IF(SUMPRODUCT((measured[Site Name]=A730)*(measured[Date]=B730)*ISNUMBER(measured[Measured Value (kWh)]))=0,"",SUMIFS(measured[Measured Value (kWh)],measured[Site Name],A730,measured[Date],B730)),"")</f>
        <v>3048</v>
      </c>
      <c r="D730" cm="1">
        <f t="array" ref="D730">IFERROR(IF(SUMPRODUCT((expected_production[Site Name]=A730)*(expected_production[Date]=B730)*ISNUMBER(expected_production[Expected Production (kWh)]))=0,"",SUMIFS(expected_production[Expected Production (kWh)],expected_production[Site Name],A730,expected_production[Date],B730)),"")</f>
        <v>3119.3390398204524</v>
      </c>
      <c r="E730" s="9">
        <f t="shared" si="24"/>
        <v>0.9771300782281882</v>
      </c>
      <c r="F730" t="str">
        <f t="shared" si="25"/>
        <v>Expected</v>
      </c>
    </row>
    <row r="731" spans="1:6" ht="15" hidden="1" customHeight="1" x14ac:dyDescent="0.3">
      <c r="A731" t="s">
        <v>107</v>
      </c>
      <c r="B731" s="2">
        <v>45566</v>
      </c>
      <c r="C731" cm="1">
        <f t="array" ref="C731">IFERROR(IF(SUMPRODUCT((measured[Site Name]=A731)*(measured[Date]=B731)*ISNUMBER(measured[Measured Value (kWh)]))=0,"",SUMIFS(measured[Measured Value (kWh)],measured[Site Name],A731,measured[Date],B731)),"")</f>
        <v>3449</v>
      </c>
      <c r="D731" cm="1">
        <f t="array" ref="D731">IFERROR(IF(SUMPRODUCT((expected_production[Site Name]=A731)*(expected_production[Date]=B731)*ISNUMBER(expected_production[Expected Production (kWh)]))=0,"",SUMIFS(expected_production[Expected Production (kWh)],expected_production[Site Name],A731,expected_production[Date],B731)),"")</f>
        <v>3149.6334249601591</v>
      </c>
      <c r="E731" s="9">
        <f t="shared" si="24"/>
        <v>1.0950480689807982</v>
      </c>
      <c r="F731" t="str">
        <f t="shared" si="25"/>
        <v>Expected</v>
      </c>
    </row>
    <row r="732" spans="1:6" ht="15" hidden="1" customHeight="1" x14ac:dyDescent="0.3">
      <c r="A732" t="s">
        <v>107</v>
      </c>
      <c r="B732" s="2">
        <v>45597</v>
      </c>
      <c r="C732" cm="1">
        <f t="array" ref="C732">IFERROR(IF(SUMPRODUCT((measured[Site Name]=A732)*(measured[Date]=B732)*ISNUMBER(measured[Measured Value (kWh)]))=0,"",SUMIFS(measured[Measured Value (kWh)],measured[Site Name],A732,measured[Date],B732)),"")</f>
        <v>3441</v>
      </c>
      <c r="D732" cm="1">
        <f t="array" ref="D732">IFERROR(IF(SUMPRODUCT((expected_production[Site Name]=A732)*(expected_production[Date]=B732)*ISNUMBER(expected_production[Expected Production (kWh)]))=0,"",SUMIFS(expected_production[Expected Production (kWh)],expected_production[Site Name],A732,expected_production[Date],B732)),"")</f>
        <v>2982.9288532593705</v>
      </c>
      <c r="E732" s="9">
        <f t="shared" si="24"/>
        <v>1.1535642213658923</v>
      </c>
      <c r="F732" t="str">
        <f t="shared" si="25"/>
        <v>Expected</v>
      </c>
    </row>
    <row r="733" spans="1:6" ht="15" hidden="1" customHeight="1" x14ac:dyDescent="0.3">
      <c r="A733" t="s">
        <v>107</v>
      </c>
      <c r="B733" s="2">
        <v>45627</v>
      </c>
      <c r="C733" cm="1">
        <f t="array" ref="C733">IFERROR(IF(SUMPRODUCT((measured[Site Name]=A733)*(measured[Date]=B733)*ISNUMBER(measured[Measured Value (kWh)]))=0,"",SUMIFS(measured[Measured Value (kWh)],measured[Site Name],A733,measured[Date],B733)),"")</f>
        <v>3537</v>
      </c>
      <c r="D733" cm="1">
        <f t="array" ref="D733">IFERROR(IF(SUMPRODUCT((expected_production[Site Name]=A733)*(expected_production[Date]=B733)*ISNUMBER(expected_production[Expected Production (kWh)]))=0,"",SUMIFS(expected_production[Expected Production (kWh)],expected_production[Site Name],A733,expected_production[Date],B733)),"")</f>
        <v>3169.9825283880291</v>
      </c>
      <c r="E733" s="9">
        <f t="shared" si="24"/>
        <v>1.1157790203337818</v>
      </c>
      <c r="F733" t="str">
        <f t="shared" si="25"/>
        <v>Expected</v>
      </c>
    </row>
    <row r="734" spans="1:6" ht="15" hidden="1" customHeight="1" x14ac:dyDescent="0.3">
      <c r="A734" t="s">
        <v>107</v>
      </c>
      <c r="B734" s="2">
        <v>45658</v>
      </c>
      <c r="C734" cm="1">
        <f t="array" ref="C734">IFERROR(IF(SUMPRODUCT((measured[Site Name]=A734)*(measured[Date]=B734)*ISNUMBER(measured[Measured Value (kWh)]))=0,"",SUMIFS(measured[Measured Value (kWh)],measured[Site Name],A734,measured[Date],B734)),"")</f>
        <v>3700</v>
      </c>
      <c r="D734" cm="1">
        <f t="array" ref="D734">IFERROR(IF(SUMPRODUCT((expected_production[Site Name]=A734)*(expected_production[Date]=B734)*ISNUMBER(expected_production[Expected Production (kWh)]))=0,"",SUMIFS(expected_production[Expected Production (kWh)],expected_production[Site Name],A734,expected_production[Date],B734)),"")</f>
        <v>3577.4534887577579</v>
      </c>
      <c r="E734" s="9">
        <f t="shared" si="24"/>
        <v>1.034255235358712</v>
      </c>
      <c r="F734" t="str">
        <f t="shared" si="25"/>
        <v>Expected</v>
      </c>
    </row>
    <row r="735" spans="1:6" ht="15" hidden="1" customHeight="1" x14ac:dyDescent="0.3">
      <c r="A735" t="s">
        <v>107</v>
      </c>
      <c r="B735" s="2">
        <v>45689</v>
      </c>
      <c r="C735" cm="1">
        <f t="array" ref="C735">IFERROR(IF(SUMPRODUCT((measured[Site Name]=A735)*(measured[Date]=B735)*ISNUMBER(measured[Measured Value (kWh)]))=0,"",SUMIFS(measured[Measured Value (kWh)],measured[Site Name],A735,measured[Date],B735)),"")</f>
        <v>2900</v>
      </c>
      <c r="D735" cm="1">
        <f t="array" ref="D735">IFERROR(IF(SUMPRODUCT((expected_production[Site Name]=A735)*(expected_production[Date]=B735)*ISNUMBER(expected_production[Expected Production (kWh)]))=0,"",SUMIFS(expected_production[Expected Production (kWh)],expected_production[Site Name],A735,expected_production[Date],B735)),"")</f>
        <v>3216.0103462958432</v>
      </c>
      <c r="E735" s="9">
        <f t="shared" si="24"/>
        <v>0.90173839252108767</v>
      </c>
      <c r="F735" t="str">
        <f t="shared" si="25"/>
        <v>Expected</v>
      </c>
    </row>
    <row r="736" spans="1:6" ht="15" hidden="1" customHeight="1" x14ac:dyDescent="0.3">
      <c r="A736" t="s">
        <v>107</v>
      </c>
      <c r="B736" s="2">
        <v>45717</v>
      </c>
      <c r="C736" cm="1">
        <f t="array" ref="C736">IFERROR(IF(SUMPRODUCT((measured[Site Name]=A736)*(measured[Date]=B736)*ISNUMBER(measured[Measured Value (kWh)]))=0,"",SUMIFS(measured[Measured Value (kWh)],measured[Site Name],A736,measured[Date],B736)),"")</f>
        <v>3471</v>
      </c>
      <c r="D736" cm="1">
        <f t="array" ref="D736">IFERROR(IF(SUMPRODUCT((expected_production[Site Name]=A736)*(expected_production[Date]=B736)*ISNUMBER(expected_production[Expected Production (kWh)]))=0,"",SUMIFS(expected_production[Expected Production (kWh)],expected_production[Site Name],A736,expected_production[Date],B736)),"")</f>
        <v>3563.6184736735236</v>
      </c>
      <c r="E736" s="9">
        <f t="shared" si="24"/>
        <v>0.97400999170990132</v>
      </c>
      <c r="F736" t="str">
        <f t="shared" si="25"/>
        <v>Expected</v>
      </c>
    </row>
    <row r="737" spans="1:7" ht="15" hidden="1" customHeight="1" x14ac:dyDescent="0.3">
      <c r="A737" t="s">
        <v>107</v>
      </c>
      <c r="B737" s="2">
        <v>45748</v>
      </c>
      <c r="C737" cm="1">
        <f t="array" ref="C737">IFERROR(IF(SUMPRODUCT((measured[Site Name]=A737)*(measured[Date]=B737)*ISNUMBER(measured[Measured Value (kWh)]))=0,"",SUMIFS(measured[Measured Value (kWh)],measured[Site Name],A737,measured[Date],B737)),"")</f>
        <v>2668</v>
      </c>
      <c r="D737" cm="1">
        <f t="array" ref="D737">IFERROR(IF(SUMPRODUCT((expected_production[Site Name]=A737)*(expected_production[Date]=B737)*ISNUMBER(expected_production[Expected Production (kWh)]))=0,"",SUMIFS(expected_production[Expected Production (kWh)],expected_production[Site Name],A737,expected_production[Date],B737)),"")</f>
        <v>2924.5297549582597</v>
      </c>
      <c r="E737" s="9">
        <f t="shared" si="24"/>
        <v>0.91228341769361787</v>
      </c>
      <c r="F737" t="str">
        <f t="shared" si="25"/>
        <v>Expected</v>
      </c>
    </row>
    <row r="738" spans="1:7" ht="15" hidden="1" customHeight="1" x14ac:dyDescent="0.3">
      <c r="A738" t="s">
        <v>107</v>
      </c>
      <c r="B738" s="2">
        <v>45778</v>
      </c>
      <c r="C738" cm="1">
        <f t="array" ref="C738">IFERROR(IF(SUMPRODUCT((measured[Site Name]=A738)*(measured[Date]=B738)*ISNUMBER(measured[Measured Value (kWh)]))=0,"",SUMIFS(measured[Measured Value (kWh)],measured[Site Name],A738,measured[Date],B738)),"")</f>
        <v>3127</v>
      </c>
      <c r="D738" cm="1">
        <f t="array" ref="D738">IFERROR(IF(SUMPRODUCT((expected_production[Site Name]=A738)*(expected_production[Date]=B738)*ISNUMBER(expected_production[Expected Production (kWh)]))=0,"",SUMIFS(expected_production[Expected Production (kWh)],expected_production[Site Name],A738,expected_production[Date],B738)),"")</f>
        <v>2686.6714878905004</v>
      </c>
      <c r="E738" s="9">
        <f t="shared" si="24"/>
        <v>1.1638936930302681</v>
      </c>
      <c r="F738" t="str">
        <f t="shared" si="25"/>
        <v>Expected</v>
      </c>
    </row>
    <row r="739" spans="1:7" ht="15" hidden="1" customHeight="1" x14ac:dyDescent="0.3">
      <c r="A739" t="s">
        <v>107</v>
      </c>
      <c r="B739" s="2">
        <v>45809</v>
      </c>
      <c r="C739" cm="1">
        <f t="array" ref="C739">IFERROR(IF(SUMPRODUCT((measured[Site Name]=A739)*(measured[Date]=B739)*ISNUMBER(measured[Measured Value (kWh)]))=0,"",SUMIFS(measured[Measured Value (kWh)],measured[Site Name],A739,measured[Date],B739)),"")</f>
        <v>2748.4</v>
      </c>
      <c r="D739" cm="1">
        <f t="array" ref="D739">IFERROR(IF(SUMPRODUCT((expected_production[Site Name]=A739)*(expected_production[Date]=B739)*ISNUMBER(expected_production[Expected Production (kWh)]))=0,"",SUMIFS(expected_production[Expected Production (kWh)],expected_production[Site Name],A739,expected_production[Date],B739)),"")</f>
        <v>2426.8562126126521</v>
      </c>
      <c r="E739" s="9">
        <f t="shared" si="24"/>
        <v>1.1324939589400673</v>
      </c>
      <c r="F739" t="str">
        <f t="shared" si="25"/>
        <v>Expected</v>
      </c>
    </row>
    <row r="740" spans="1:7" ht="15" hidden="1" customHeight="1" x14ac:dyDescent="0.3">
      <c r="A740" t="s">
        <v>107</v>
      </c>
      <c r="B740" s="2">
        <v>45839</v>
      </c>
      <c r="C740" cm="1">
        <f t="array" ref="C740">IFERROR(IF(SUMPRODUCT((measured[Site Name]=A740)*(measured[Date]=B740)*ISNUMBER(measured[Measured Value (kWh)]))=0,"",SUMIFS(measured[Measured Value (kWh)],measured[Site Name],A740,measured[Date],B740)),"")</f>
        <v>2501</v>
      </c>
      <c r="D740" cm="1">
        <f t="array" ref="D740">IFERROR(IF(SUMPRODUCT((expected_production[Site Name]=A740)*(expected_production[Date]=B740)*ISNUMBER(expected_production[Expected Production (kWh)]))=0,"",SUMIFS(expected_production[Expected Production (kWh)],expected_production[Site Name],A740,expected_production[Date],B740)),"")</f>
        <v>2662.2376926627417</v>
      </c>
      <c r="E740" s="9">
        <f t="shared" si="24"/>
        <v>0.93943527540492699</v>
      </c>
      <c r="F740" t="str">
        <f t="shared" si="25"/>
        <v>Expected</v>
      </c>
    </row>
    <row r="741" spans="1:7" ht="15" hidden="1" customHeight="1" x14ac:dyDescent="0.3">
      <c r="A741" t="s">
        <v>107</v>
      </c>
      <c r="B741" s="2">
        <v>45870</v>
      </c>
      <c r="C741" cm="1">
        <f t="array" ref="C741">IFERROR(IF(SUMPRODUCT((measured[Site Name]=A741)*(measured[Date]=B741)*ISNUMBER(measured[Measured Value (kWh)]))=0,"",SUMIFS(measured[Measured Value (kWh)],measured[Site Name],A741,measured[Date],B741)),"")</f>
        <v>299.8</v>
      </c>
      <c r="D741" cm="1">
        <f t="array" ref="D741">IFERROR(IF(SUMPRODUCT((expected_production[Site Name]=A741)*(expected_production[Date]=B741)*ISNUMBER(expected_production[Expected Production (kWh)]))=0,"",SUMIFS(expected_production[Expected Production (kWh)],expected_production[Site Name],A741,expected_production[Date],B741)),"")</f>
        <v>2928.3113524598607</v>
      </c>
      <c r="E741" s="9">
        <f t="shared" si="24"/>
        <v>0.10237982369878801</v>
      </c>
      <c r="F741" t="str">
        <f t="shared" si="25"/>
        <v>Poor</v>
      </c>
    </row>
    <row r="742" spans="1:7" ht="15" hidden="1" customHeight="1" x14ac:dyDescent="0.3">
      <c r="A742" t="s">
        <v>107</v>
      </c>
      <c r="B742" s="2">
        <v>45901</v>
      </c>
      <c r="C742" cm="1">
        <f t="array" ref="C742">IFERROR(IF(SUMPRODUCT((measured[Site Name]=A742)*(measured[Date]=B742)*ISNUMBER(measured[Measured Value (kWh)]))=0,"",SUMIFS(measured[Measured Value (kWh)],measured[Site Name],A742,measured[Date],B742)),"")</f>
        <v>2705</v>
      </c>
      <c r="D742" cm="1">
        <f t="array" ref="D742">IFERROR(IF(SUMPRODUCT((expected_production[Site Name]=A742)*(expected_production[Date]=B742)*ISNUMBER(expected_production[Expected Production (kWh)]))=0,"",SUMIFS(expected_production[Expected Production (kWh)],expected_production[Site Name],A742,expected_production[Date],B742)),"")</f>
        <v>3097.5185596442643</v>
      </c>
      <c r="E742" s="9">
        <f t="shared" si="24"/>
        <v>0.87327967465371914</v>
      </c>
      <c r="F742" t="str">
        <f t="shared" si="25"/>
        <v>Moderate</v>
      </c>
    </row>
    <row r="743" spans="1:7" ht="15" hidden="1" customHeight="1" x14ac:dyDescent="0.3">
      <c r="A743" t="s">
        <v>107</v>
      </c>
      <c r="B743" s="2">
        <v>45931</v>
      </c>
      <c r="C743" cm="1">
        <f t="array" ref="C743">IFERROR(IF(SUMPRODUCT((measured[Site Name]=A743)*(measured[Date]=B743)*ISNUMBER(measured[Measured Value (kWh)]))=0,"",SUMIFS(measured[Measured Value (kWh)],measured[Site Name],A743,measured[Date],B743)),"")</f>
        <v>2939</v>
      </c>
      <c r="D743" cm="1">
        <f t="array" ref="D743">IFERROR(IF(SUMPRODUCT((expected_production[Site Name]=A743)*(expected_production[Date]=B743)*ISNUMBER(expected_production[Expected Production (kWh)]))=0,"",SUMIFS(expected_production[Expected Production (kWh)],expected_production[Site Name],A743,expected_production[Date],B743)),"")</f>
        <v>3127.60102872677</v>
      </c>
      <c r="E743" s="9">
        <f t="shared" si="24"/>
        <v>0.93969786203723416</v>
      </c>
      <c r="F743" t="str">
        <f t="shared" si="25"/>
        <v>Expected</v>
      </c>
    </row>
    <row r="744" spans="1:7" ht="15" hidden="1" customHeight="1" x14ac:dyDescent="0.3">
      <c r="A744" t="s">
        <v>107</v>
      </c>
      <c r="B744" s="2">
        <v>45962</v>
      </c>
      <c r="C744" cm="1">
        <f t="array" ref="C744">IFERROR(IF(SUMPRODUCT((measured[Site Name]=A744)*(measured[Date]=B744)*ISNUMBER(measured[Measured Value (kWh)]))=0,"",SUMIFS(measured[Measured Value (kWh)],measured[Site Name],A744,measured[Date],B744)),"")</f>
        <v>2609</v>
      </c>
      <c r="D744" cm="1">
        <f t="array" ref="D744">IFERROR(IF(SUMPRODUCT((expected_production[Site Name]=A744)*(expected_production[Date]=B744)*ISNUMBER(expected_production[Expected Production (kWh)]))=0,"",SUMIFS(expected_production[Expected Production (kWh)],expected_production[Site Name],A744,expected_production[Date],B744)),"")</f>
        <v>2962.0625931066188</v>
      </c>
      <c r="E744" s="9">
        <f t="shared" si="24"/>
        <v>0.88080515451352237</v>
      </c>
      <c r="F744" t="str">
        <f t="shared" si="25"/>
        <v>Moderate</v>
      </c>
    </row>
    <row r="745" spans="1:7" ht="15" hidden="1" customHeight="1" x14ac:dyDescent="0.3">
      <c r="A745" t="s">
        <v>107</v>
      </c>
      <c r="B745" s="2">
        <v>45992</v>
      </c>
      <c r="C745" cm="1">
        <f t="array" ref="C745">IFERROR(IF(SUMPRODUCT((measured[Site Name]=A745)*(measured[Date]=B745)*ISNUMBER(measured[Measured Value (kWh)]))=0,"",SUMIFS(measured[Measured Value (kWh)],measured[Site Name],A745,measured[Date],B745)),"")</f>
        <v>3364</v>
      </c>
      <c r="D745" cm="1">
        <f t="array" ref="D745">IFERROR(IF(SUMPRODUCT((expected_production[Site Name]=A745)*(expected_production[Date]=B745)*ISNUMBER(expected_production[Expected Production (kWh)]))=0,"",SUMIFS(expected_production[Expected Production (kWh)],expected_production[Site Name],A745,expected_production[Date],B745)),"")</f>
        <v>3147.8077855862539</v>
      </c>
      <c r="E745" s="9">
        <f t="shared" si="24"/>
        <v>1.0686802464253649</v>
      </c>
      <c r="F745" t="str">
        <f t="shared" si="25"/>
        <v>Expected</v>
      </c>
    </row>
    <row r="746" spans="1:7" ht="15" hidden="1" customHeight="1" x14ac:dyDescent="0.3">
      <c r="A746" t="s">
        <v>107</v>
      </c>
      <c r="B746" s="2">
        <v>46023</v>
      </c>
      <c r="C746" cm="1">
        <f t="array" ref="C746">IFERROR(IF(SUMPRODUCT((measured[Site Name]=A746)*(measured[Date]=B746)*ISNUMBER(measured[Measured Value (kWh)]))=0,"",SUMIFS(measured[Measured Value (kWh)],measured[Site Name],A746,measured[Date],B746)),"")</f>
        <v>3086</v>
      </c>
      <c r="D746" cm="1">
        <f t="array" ref="D746">IFERROR(IF(SUMPRODUCT((expected_production[Site Name]=A746)*(expected_production[Date]=B746)*ISNUMBER(expected_production[Expected Production (kWh)]))=0,"",SUMIFS(expected_production[Expected Production (kWh)],expected_production[Site Name],A746,expected_production[Date],B746)),"")</f>
        <v>3552.4283946797614</v>
      </c>
      <c r="E746" s="9">
        <f t="shared" si="24"/>
        <v>0.86870153515879434</v>
      </c>
      <c r="F746" t="str">
        <f t="shared" si="25"/>
        <v>Moderate</v>
      </c>
    </row>
    <row r="747" spans="1:7" ht="15" hidden="1" customHeight="1" x14ac:dyDescent="0.3">
      <c r="A747" t="s">
        <v>107</v>
      </c>
      <c r="B747" s="2">
        <v>46054</v>
      </c>
      <c r="C747" cm="1">
        <f t="array" ref="C747">IFERROR(IF(SUMPRODUCT((measured[Site Name]=A747)*(measured[Date]=B747)*ISNUMBER(measured[Measured Value (kWh)]))=0,"",SUMIFS(measured[Measured Value (kWh)],measured[Site Name],A747,measured[Date],B747)),"")</f>
        <v>3628</v>
      </c>
      <c r="D747" cm="1">
        <f t="array" ref="D747">IFERROR(IF(SUMPRODUCT((expected_production[Site Name]=A747)*(expected_production[Date]=B747)*ISNUMBER(expected_production[Expected Production (kWh)]))=0,"",SUMIFS(expected_production[Expected Production (kWh)],expected_production[Site Name],A747,expected_production[Date],B747)),"")</f>
        <v>3193.5136285258491</v>
      </c>
      <c r="E747" s="9">
        <f t="shared" si="24"/>
        <v>1.1360527688352824</v>
      </c>
      <c r="F747" t="str">
        <f t="shared" si="25"/>
        <v>Expected</v>
      </c>
    </row>
    <row r="748" spans="1:7" ht="15" hidden="1" customHeight="1" x14ac:dyDescent="0.3">
      <c r="A748" t="s">
        <v>107</v>
      </c>
      <c r="B748" s="2">
        <v>46082</v>
      </c>
      <c r="C748" cm="1">
        <f t="array" ref="C748">IFERROR(IF(SUMPRODUCT((measured[Site Name]=A748)*(measured[Date]=B748)*ISNUMBER(measured[Measured Value (kWh)]))=0,"",SUMIFS(measured[Measured Value (kWh)],measured[Site Name],A748,measured[Date],B748)),"")</f>
        <v>2909</v>
      </c>
      <c r="D748" cm="1">
        <f t="array" ref="D748">IFERROR(IF(SUMPRODUCT((expected_production[Site Name]=A748)*(expected_production[Date]=B748)*ISNUMBER(expected_production[Expected Production (kWh)]))=0,"",SUMIFS(expected_production[Expected Production (kWh)],expected_production[Site Name],A748,expected_production[Date],B748)),"")</f>
        <v>3538.6901586466429</v>
      </c>
      <c r="E748" s="9">
        <f t="shared" si="24"/>
        <v>0.82205558259797884</v>
      </c>
      <c r="F748" t="str">
        <f t="shared" si="25"/>
        <v>Moderate</v>
      </c>
    </row>
    <row r="749" spans="1:7" ht="15" hidden="1" customHeight="1" x14ac:dyDescent="0.3">
      <c r="A749" t="s">
        <v>107</v>
      </c>
      <c r="B749" s="2">
        <v>46113</v>
      </c>
      <c r="C749" cm="1">
        <f t="array" ref="C749">IFERROR(IF(SUMPRODUCT((measured[Site Name]=A749)*(measured[Date]=B749)*ISNUMBER(measured[Measured Value (kWh)]))=0,"",SUMIFS(measured[Measured Value (kWh)],measured[Site Name],A749,measured[Date],B749)),"")</f>
        <v>2558.1</v>
      </c>
      <c r="D749" cm="1">
        <f t="array" ref="D749">IFERROR(IF(SUMPRODUCT((expected_production[Site Name]=A749)*(expected_production[Date]=B749)*ISNUMBER(expected_production[Expected Production (kWh)]))=0,"",SUMIFS(expected_production[Expected Production (kWh)],expected_production[Site Name],A749,expected_production[Date],B749)),"")</f>
        <v>2904.0720096705231</v>
      </c>
      <c r="E749" s="9">
        <f t="shared" si="24"/>
        <v>0.88086658715126875</v>
      </c>
      <c r="F749" t="str">
        <f t="shared" si="25"/>
        <v>Moderate</v>
      </c>
    </row>
    <row r="750" spans="1:7" ht="15" hidden="1" customHeight="1" x14ac:dyDescent="0.3">
      <c r="A750" t="s">
        <v>107</v>
      </c>
      <c r="B750" s="2">
        <v>46143</v>
      </c>
      <c r="C750" cm="1">
        <f t="array" ref="C750">IFERROR(IF(SUMPRODUCT((measured[Site Name]=A750)*(measured[Date]=B750)*ISNUMBER(measured[Measured Value (kWh)]))=0,"",SUMIFS(measured[Measured Value (kWh)],measured[Site Name],A750,measured[Date],B750)),"")</f>
        <v>3029.6</v>
      </c>
      <c r="D750" cm="1">
        <f t="array" ref="D750">IFERROR(IF(SUMPRODUCT((expected_production[Site Name]=A750)*(expected_production[Date]=B750)*ISNUMBER(expected_production[Expected Production (kWh)]))=0,"",SUMIFS(expected_production[Expected Production (kWh)],expected_production[Site Name],A750,expected_production[Date],B750)),"")</f>
        <v>2667.8776148317966</v>
      </c>
      <c r="E750" s="9">
        <f t="shared" si="24"/>
        <v>1.1355843248420558</v>
      </c>
      <c r="F750" t="str">
        <f t="shared" si="25"/>
        <v>Expected</v>
      </c>
    </row>
    <row r="751" spans="1:7" ht="15" hidden="1" customHeight="1" x14ac:dyDescent="0.3">
      <c r="A751" t="s">
        <v>107</v>
      </c>
      <c r="B751" s="2">
        <v>46174</v>
      </c>
      <c r="C751" cm="1">
        <f t="array" ref="C751">IFERROR(IF(SUMPRODUCT((measured[Site Name]=A751)*(measured[Date]=B751)*ISNUMBER(measured[Measured Value (kWh)]))=0,"",SUMIFS(measured[Measured Value (kWh)],measured[Site Name],A751,measured[Date],B751)),"")</f>
        <v>2477</v>
      </c>
      <c r="D751" cm="1">
        <f t="array" ref="D751">IFERROR(IF(SUMPRODUCT((expected_production[Site Name]=A751)*(expected_production[Date]=B751)*ISNUMBER(expected_production[Expected Production (kWh)]))=0,"",SUMIFS(expected_production[Expected Production (kWh)],expected_production[Site Name],A751,expected_production[Date],B751)),"")</f>
        <v>2409.8798060079944</v>
      </c>
      <c r="E751" s="9">
        <f t="shared" si="24"/>
        <v>1.0278520919693466</v>
      </c>
      <c r="F751" t="str">
        <f t="shared" si="25"/>
        <v>Expected</v>
      </c>
    </row>
    <row r="752" spans="1:7" ht="15" hidden="1" customHeight="1" x14ac:dyDescent="0.3">
      <c r="A752" t="s">
        <v>98</v>
      </c>
      <c r="B752" s="2">
        <v>46204</v>
      </c>
      <c r="C752" cm="1">
        <f t="array" ref="C752">IFERROR(IF(SUMPRODUCT((measured[Site Name]=A752)*(measured[Date]=B752)*ISNUMBER(measured[Measured Value (kWh)]))=0,"",SUMIFS(measured[Measured Value (kWh)],measured[Site Name],A752,measured[Date],B752)),"")</f>
        <v>5136</v>
      </c>
      <c r="D752" cm="1">
        <f t="array" ref="D752">IFERROR(IF(SUMPRODUCT((expected_production[Site Name]=A752)*(expected_production[Date]=B752)*ISNUMBER(expected_production[Expected Production (kWh)]))=0,"",SUMIFS(expected_production[Expected Production (kWh)],expected_production[Site Name],A752,expected_production[Date],B752)),"")</f>
        <v>9437.7242974042911</v>
      </c>
      <c r="E752" s="9">
        <f t="shared" si="24"/>
        <v>0.54419898676342793</v>
      </c>
      <c r="F752" t="str">
        <f t="shared" si="25"/>
        <v>Poor</v>
      </c>
      <c r="G752" t="s">
        <v>874</v>
      </c>
    </row>
    <row r="753" spans="1:7" ht="15" hidden="1" customHeight="1" x14ac:dyDescent="0.3">
      <c r="A753" t="s">
        <v>107</v>
      </c>
      <c r="B753" s="2">
        <v>46235</v>
      </c>
      <c r="C753" t="str" cm="1">
        <f t="array" ref="C753">IFERROR(IF(SUMPRODUCT((measured[Site Name]=A753)*(measured[Date]=B753)*ISNUMBER(measured[Measured Value (kWh)]))=0,"",SUMIFS(measured[Measured Value (kWh)],measured[Site Name],A753,measured[Date],B753)),"")</f>
        <v/>
      </c>
      <c r="D753" cm="1">
        <f t="array" ref="D753">IFERROR(IF(SUMPRODUCT((expected_production[Site Name]=A753)*(expected_production[Date]=B753)*ISNUMBER(expected_production[Expected Production (kWh)]))=0,"",SUMIFS(expected_production[Expected Production (kWh)],expected_production[Site Name],A753,expected_production[Date],B753)),"")</f>
        <v>2907.8271540446294</v>
      </c>
      <c r="E753" s="9" t="str">
        <f t="shared" si="24"/>
        <v/>
      </c>
      <c r="F753" t="str">
        <f t="shared" si="25"/>
        <v/>
      </c>
      <c r="G753" t="s">
        <v>874</v>
      </c>
    </row>
    <row r="754" spans="1:7" ht="15" customHeight="1" x14ac:dyDescent="0.3">
      <c r="A754" t="s">
        <v>107</v>
      </c>
      <c r="B754" s="2">
        <v>46266</v>
      </c>
      <c r="C754" cm="1">
        <f t="array" ref="C754">IFERROR(IF(SUMPRODUCT((measured[Site Name]=A754)*(measured[Date]=B754)*ISNUMBER(measured[Measured Value (kWh)]))=0,"",SUMIFS(measured[Measured Value (kWh)],measured[Site Name],A754,measured[Date],B754)),"")</f>
        <v>0</v>
      </c>
      <c r="D754" cm="1">
        <f t="array" ref="D754">IFERROR(IF(SUMPRODUCT((expected_production[Site Name]=A754)*(expected_production[Date]=B754)*ISNUMBER(expected_production[Expected Production (kWh)]))=0,"",SUMIFS(expected_production[Expected Production (kWh)],expected_production[Site Name],A754,expected_production[Date],B754)),"")</f>
        <v>3075.8507186486977</v>
      </c>
      <c r="E754" s="9">
        <f t="shared" si="24"/>
        <v>0</v>
      </c>
      <c r="F754" t="str">
        <f t="shared" si="25"/>
        <v>Poor</v>
      </c>
      <c r="G754" t="s">
        <v>874</v>
      </c>
    </row>
    <row r="755" spans="1:7" ht="15" hidden="1" customHeight="1" x14ac:dyDescent="0.3">
      <c r="A755" t="s">
        <v>107</v>
      </c>
      <c r="B755" s="2">
        <v>46296</v>
      </c>
      <c r="C755" t="str" cm="1">
        <f t="array" ref="C755">IFERROR(IF(SUMPRODUCT((measured[Site Name]=A755)*(measured[Date]=B755)*ISNUMBER(measured[Measured Value (kWh)]))=0,"",SUMIFS(measured[Measured Value (kWh)],measured[Site Name],A755,measured[Date],B755)),"")</f>
        <v/>
      </c>
      <c r="D755" cm="1">
        <f t="array" ref="D755">IFERROR(IF(SUMPRODUCT((expected_production[Site Name]=A755)*(expected_production[Date]=B755)*ISNUMBER(expected_production[Expected Production (kWh)]))=0,"",SUMIFS(expected_production[Expected Production (kWh)],expected_production[Site Name],A755,expected_production[Date],B755)),"")</f>
        <v>3105.7227540746221</v>
      </c>
      <c r="E755" s="9" t="str">
        <f t="shared" si="24"/>
        <v/>
      </c>
      <c r="F755" t="str">
        <f t="shared" si="25"/>
        <v/>
      </c>
    </row>
    <row r="756" spans="1:7" ht="15" hidden="1" customHeight="1" x14ac:dyDescent="0.3">
      <c r="A756" t="s">
        <v>107</v>
      </c>
      <c r="B756" s="2">
        <v>46327</v>
      </c>
      <c r="C756" t="str" cm="1">
        <f t="array" ref="C756">IFERROR(IF(SUMPRODUCT((measured[Site Name]=A756)*(measured[Date]=B756)*ISNUMBER(measured[Measured Value (kWh)]))=0,"",SUMIFS(measured[Measured Value (kWh)],measured[Site Name],A756,measured[Date],B756)),"")</f>
        <v/>
      </c>
      <c r="D756" cm="1">
        <f t="array" ref="D756">IFERROR(IF(SUMPRODUCT((expected_production[Site Name]=A756)*(expected_production[Date]=B756)*ISNUMBER(expected_production[Expected Production (kWh)]))=0,"",SUMIFS(expected_production[Expected Production (kWh)],expected_production[Site Name],A756,expected_production[Date],B756)),"")</f>
        <v>2941.3422971501932</v>
      </c>
      <c r="E756" s="9" t="str">
        <f t="shared" si="24"/>
        <v/>
      </c>
      <c r="F756" t="str">
        <f t="shared" si="25"/>
        <v/>
      </c>
    </row>
    <row r="757" spans="1:7" ht="15" hidden="1" customHeight="1" x14ac:dyDescent="0.3">
      <c r="A757" t="s">
        <v>107</v>
      </c>
      <c r="B757" s="2">
        <v>46357</v>
      </c>
      <c r="C757" t="str" cm="1">
        <f t="array" ref="C757">IFERROR(IF(SUMPRODUCT((measured[Site Name]=A757)*(measured[Date]=B757)*ISNUMBER(measured[Measured Value (kWh)]))=0,"",SUMIFS(measured[Measured Value (kWh)],measured[Site Name],A757,measured[Date],B757)),"")</f>
        <v/>
      </c>
      <c r="D757" cm="1">
        <f t="array" ref="D757">IFERROR(IF(SUMPRODUCT((expected_production[Site Name]=A757)*(expected_production[Date]=B757)*ISNUMBER(expected_production[Expected Production (kWh)]))=0,"",SUMIFS(expected_production[Expected Production (kWh)],expected_production[Site Name],A757,expected_production[Date],B757)),"")</f>
        <v>3125.7881601120735</v>
      </c>
      <c r="E757" s="9" t="str">
        <f t="shared" si="24"/>
        <v/>
      </c>
      <c r="F757" t="str">
        <f t="shared" si="25"/>
        <v/>
      </c>
    </row>
    <row r="758" spans="1:7" ht="15" hidden="1" customHeight="1" x14ac:dyDescent="0.3">
      <c r="A758" t="s">
        <v>228</v>
      </c>
      <c r="B758" s="2">
        <v>45292</v>
      </c>
      <c r="C758" t="str" cm="1">
        <f t="array" ref="C758">IFERROR(IF(SUMPRODUCT((measured[Site Name]=A758)*(measured[Date]=B758)*ISNUMBER(measured[Measured Value (kWh)]))=0,"",SUMIFS(measured[Measured Value (kWh)],measured[Site Name],A758,measured[Date],B758)),"")</f>
        <v/>
      </c>
      <c r="D758" cm="1">
        <f t="array" ref="D758">IFERROR(IF(SUMPRODUCT((expected_production[Site Name]=A758)*(expected_production[Date]=B758)*ISNUMBER(expected_production[Expected Production (kWh)]))=0,"",SUMIFS(expected_production[Expected Production (kWh)],expected_production[Site Name],A758,expected_production[Date],B758)),"")</f>
        <v>29074.5</v>
      </c>
      <c r="E758" s="9" t="str">
        <f t="shared" si="24"/>
        <v/>
      </c>
      <c r="F758" t="str">
        <f t="shared" si="25"/>
        <v/>
      </c>
    </row>
    <row r="759" spans="1:7" ht="15" hidden="1" customHeight="1" x14ac:dyDescent="0.3">
      <c r="A759" t="s">
        <v>228</v>
      </c>
      <c r="B759" s="2">
        <v>45323</v>
      </c>
      <c r="C759" t="str" cm="1">
        <f t="array" ref="C759">IFERROR(IF(SUMPRODUCT((measured[Site Name]=A759)*(measured[Date]=B759)*ISNUMBER(measured[Measured Value (kWh)]))=0,"",SUMIFS(measured[Measured Value (kWh)],measured[Site Name],A759,measured[Date],B759)),"")</f>
        <v/>
      </c>
      <c r="D759" cm="1">
        <f t="array" ref="D759">IFERROR(IF(SUMPRODUCT((expected_production[Site Name]=A759)*(expected_production[Date]=B759)*ISNUMBER(expected_production[Expected Production (kWh)]))=0,"",SUMIFS(expected_production[Expected Production (kWh)],expected_production[Site Name],A759,expected_production[Date],B759)),"")</f>
        <v>26716.5</v>
      </c>
      <c r="E759" s="9" t="str">
        <f t="shared" si="24"/>
        <v/>
      </c>
      <c r="F759" t="str">
        <f t="shared" si="25"/>
        <v/>
      </c>
    </row>
    <row r="760" spans="1:7" ht="15" hidden="1" customHeight="1" x14ac:dyDescent="0.3">
      <c r="A760" t="s">
        <v>228</v>
      </c>
      <c r="B760" s="2">
        <v>45352</v>
      </c>
      <c r="C760" t="str" cm="1">
        <f t="array" ref="C760">IFERROR(IF(SUMPRODUCT((measured[Site Name]=A760)*(measured[Date]=B760)*ISNUMBER(measured[Measured Value (kWh)]))=0,"",SUMIFS(measured[Measured Value (kWh)],measured[Site Name],A760,measured[Date],B760)),"")</f>
        <v/>
      </c>
      <c r="D760" cm="1">
        <f t="array" ref="D760">IFERROR(IF(SUMPRODUCT((expected_production[Site Name]=A760)*(expected_production[Date]=B760)*ISNUMBER(expected_production[Expected Production (kWh)]))=0,"",SUMIFS(expected_production[Expected Production (kWh)],expected_production[Site Name],A760,expected_production[Date],B760)),"")</f>
        <v>27941.4</v>
      </c>
      <c r="E760" s="9" t="str">
        <f t="shared" si="24"/>
        <v/>
      </c>
      <c r="F760" t="str">
        <f t="shared" si="25"/>
        <v/>
      </c>
    </row>
    <row r="761" spans="1:7" ht="15" hidden="1" customHeight="1" x14ac:dyDescent="0.3">
      <c r="A761" t="s">
        <v>228</v>
      </c>
      <c r="B761" s="2">
        <v>45383</v>
      </c>
      <c r="C761" t="str" cm="1">
        <f t="array" ref="C761">IFERROR(IF(SUMPRODUCT((measured[Site Name]=A761)*(measured[Date]=B761)*ISNUMBER(measured[Measured Value (kWh)]))=0,"",SUMIFS(measured[Measured Value (kWh)],measured[Site Name],A761,measured[Date],B761)),"")</f>
        <v/>
      </c>
      <c r="D761" cm="1">
        <f t="array" ref="D761">IFERROR(IF(SUMPRODUCT((expected_production[Site Name]=A761)*(expected_production[Date]=B761)*ISNUMBER(expected_production[Expected Production (kWh)]))=0,"",SUMIFS(expected_production[Expected Production (kWh)],expected_production[Site Name],A761,expected_production[Date],B761)),"")</f>
        <v>25610.400000000001</v>
      </c>
      <c r="E761" s="9" t="str">
        <f t="shared" si="24"/>
        <v/>
      </c>
      <c r="F761" t="str">
        <f t="shared" si="25"/>
        <v/>
      </c>
    </row>
    <row r="762" spans="1:7" ht="15" hidden="1" customHeight="1" x14ac:dyDescent="0.3">
      <c r="A762" t="s">
        <v>228</v>
      </c>
      <c r="B762" s="2">
        <v>45413</v>
      </c>
      <c r="C762" t="str" cm="1">
        <f t="array" ref="C762">IFERROR(IF(SUMPRODUCT((measured[Site Name]=A762)*(measured[Date]=B762)*ISNUMBER(measured[Measured Value (kWh)]))=0,"",SUMIFS(measured[Measured Value (kWh)],measured[Site Name],A762,measured[Date],B762)),"")</f>
        <v/>
      </c>
      <c r="D762" cm="1">
        <f t="array" ref="D762">IFERROR(IF(SUMPRODUCT((expected_production[Site Name]=A762)*(expected_production[Date]=B762)*ISNUMBER(expected_production[Expected Production (kWh)]))=0,"",SUMIFS(expected_production[Expected Production (kWh)],expected_production[Site Name],A762,expected_production[Date],B762)),"")</f>
        <v>25802.1</v>
      </c>
      <c r="E762" s="9" t="str">
        <f t="shared" si="24"/>
        <v/>
      </c>
      <c r="F762" t="str">
        <f t="shared" si="25"/>
        <v/>
      </c>
    </row>
    <row r="763" spans="1:7" ht="15" hidden="1" customHeight="1" x14ac:dyDescent="0.3">
      <c r="A763" t="s">
        <v>228</v>
      </c>
      <c r="B763" s="2">
        <v>45444</v>
      </c>
      <c r="C763" t="str" cm="1">
        <f t="array" ref="C763">IFERROR(IF(SUMPRODUCT((measured[Site Name]=A763)*(measured[Date]=B763)*ISNUMBER(measured[Measured Value (kWh)]))=0,"",SUMIFS(measured[Measured Value (kWh)],measured[Site Name],A763,measured[Date],B763)),"")</f>
        <v/>
      </c>
      <c r="D763" cm="1">
        <f t="array" ref="D763">IFERROR(IF(SUMPRODUCT((expected_production[Site Name]=A763)*(expected_production[Date]=B763)*ISNUMBER(expected_production[Expected Production (kWh)]))=0,"",SUMIFS(expected_production[Expected Production (kWh)],expected_production[Site Name],A763,expected_production[Date],B763)),"")</f>
        <v>23428.799999999999</v>
      </c>
      <c r="E763" s="9" t="str">
        <f t="shared" si="24"/>
        <v/>
      </c>
      <c r="F763" t="str">
        <f t="shared" si="25"/>
        <v/>
      </c>
    </row>
    <row r="764" spans="1:7" ht="15" hidden="1" customHeight="1" x14ac:dyDescent="0.3">
      <c r="A764" t="s">
        <v>228</v>
      </c>
      <c r="B764" s="2">
        <v>45474</v>
      </c>
      <c r="C764" t="str" cm="1">
        <f t="array" ref="C764">IFERROR(IF(SUMPRODUCT((measured[Site Name]=A764)*(measured[Date]=B764)*ISNUMBER(measured[Measured Value (kWh)]))=0,"",SUMIFS(measured[Measured Value (kWh)],measured[Site Name],A764,measured[Date],B764)),"")</f>
        <v/>
      </c>
      <c r="D764" cm="1">
        <f t="array" ref="D764">IFERROR(IF(SUMPRODUCT((expected_production[Site Name]=A764)*(expected_production[Date]=B764)*ISNUMBER(expected_production[Expected Production (kWh)]))=0,"",SUMIFS(expected_production[Expected Production (kWh)],expected_production[Site Name],A764,expected_production[Date],B764)),"")</f>
        <v>25632</v>
      </c>
      <c r="E764" s="9" t="str">
        <f t="shared" si="24"/>
        <v/>
      </c>
      <c r="F764" t="str">
        <f t="shared" si="25"/>
        <v/>
      </c>
    </row>
    <row r="765" spans="1:7" ht="15" hidden="1" customHeight="1" x14ac:dyDescent="0.3">
      <c r="A765" t="s">
        <v>228</v>
      </c>
      <c r="B765" s="2">
        <v>45505</v>
      </c>
      <c r="C765" t="str" cm="1">
        <f t="array" ref="C765">IFERROR(IF(SUMPRODUCT((measured[Site Name]=A765)*(measured[Date]=B765)*ISNUMBER(measured[Measured Value (kWh)]))=0,"",SUMIFS(measured[Measured Value (kWh)],measured[Site Name],A765,measured[Date],B765)),"")</f>
        <v/>
      </c>
      <c r="D765" cm="1">
        <f t="array" ref="D765">IFERROR(IF(SUMPRODUCT((expected_production[Site Name]=A765)*(expected_production[Date]=B765)*ISNUMBER(expected_production[Expected Production (kWh)]))=0,"",SUMIFS(expected_production[Expected Production (kWh)],expected_production[Site Name],A765,expected_production[Date],B765)),"")</f>
        <v>28549.8</v>
      </c>
      <c r="E765" s="9" t="str">
        <f t="shared" si="24"/>
        <v/>
      </c>
      <c r="F765" t="str">
        <f t="shared" si="25"/>
        <v/>
      </c>
    </row>
    <row r="766" spans="1:7" ht="15" hidden="1" customHeight="1" x14ac:dyDescent="0.3">
      <c r="A766" t="s">
        <v>228</v>
      </c>
      <c r="B766" s="2">
        <v>45536</v>
      </c>
      <c r="C766" t="str" cm="1">
        <f t="array" ref="C766">IFERROR(IF(SUMPRODUCT((measured[Site Name]=A766)*(measured[Date]=B766)*ISNUMBER(measured[Measured Value (kWh)]))=0,"",SUMIFS(measured[Measured Value (kWh)],measured[Site Name],A766,measured[Date],B766)),"")</f>
        <v/>
      </c>
      <c r="D766" cm="1">
        <f t="array" ref="D766">IFERROR(IF(SUMPRODUCT((expected_production[Site Name]=A766)*(expected_production[Date]=B766)*ISNUMBER(expected_production[Expected Production (kWh)]))=0,"",SUMIFS(expected_production[Expected Production (kWh)],expected_production[Site Name],A766,expected_production[Date],B766)),"")</f>
        <v>29561.4</v>
      </c>
      <c r="E766" s="9" t="str">
        <f t="shared" si="24"/>
        <v/>
      </c>
      <c r="F766" t="str">
        <f t="shared" si="25"/>
        <v/>
      </c>
    </row>
    <row r="767" spans="1:7" ht="15" hidden="1" customHeight="1" x14ac:dyDescent="0.3">
      <c r="A767" t="s">
        <v>228</v>
      </c>
      <c r="B767" s="2">
        <v>45566</v>
      </c>
      <c r="C767" t="str" cm="1">
        <f t="array" ref="C767">IFERROR(IF(SUMPRODUCT((measured[Site Name]=A767)*(measured[Date]=B767)*ISNUMBER(measured[Measured Value (kWh)]))=0,"",SUMIFS(measured[Measured Value (kWh)],measured[Site Name],A767,measured[Date],B767)),"")</f>
        <v/>
      </c>
      <c r="D767" cm="1">
        <f t="array" ref="D767">IFERROR(IF(SUMPRODUCT((expected_production[Site Name]=A767)*(expected_production[Date]=B767)*ISNUMBER(expected_production[Expected Production (kWh)]))=0,"",SUMIFS(expected_production[Expected Production (kWh)],expected_production[Site Name],A767,expected_production[Date],B767)),"")</f>
        <v>31417.200000000001</v>
      </c>
      <c r="E767" s="9" t="str">
        <f t="shared" si="24"/>
        <v/>
      </c>
      <c r="F767" t="str">
        <f t="shared" si="25"/>
        <v/>
      </c>
    </row>
    <row r="768" spans="1:7" ht="15" hidden="1" customHeight="1" x14ac:dyDescent="0.3">
      <c r="A768" t="s">
        <v>228</v>
      </c>
      <c r="B768" s="2">
        <v>45597</v>
      </c>
      <c r="C768" t="str" cm="1">
        <f t="array" ref="C768">IFERROR(IF(SUMPRODUCT((measured[Site Name]=A768)*(measured[Date]=B768)*ISNUMBER(measured[Measured Value (kWh)]))=0,"",SUMIFS(measured[Measured Value (kWh)],measured[Site Name],A768,measured[Date],B768)),"")</f>
        <v/>
      </c>
      <c r="D768" cm="1">
        <f t="array" ref="D768">IFERROR(IF(SUMPRODUCT((expected_production[Site Name]=A768)*(expected_production[Date]=B768)*ISNUMBER(expected_production[Expected Production (kWh)]))=0,"",SUMIFS(expected_production[Expected Production (kWh)],expected_production[Site Name],A768,expected_production[Date],B768)),"")</f>
        <v>30121.200000000001</v>
      </c>
      <c r="E768" s="9" t="str">
        <f t="shared" si="24"/>
        <v/>
      </c>
      <c r="F768" t="str">
        <f t="shared" si="25"/>
        <v/>
      </c>
    </row>
    <row r="769" spans="1:6" ht="15" hidden="1" customHeight="1" x14ac:dyDescent="0.3">
      <c r="A769" t="s">
        <v>228</v>
      </c>
      <c r="B769" s="2">
        <v>45627</v>
      </c>
      <c r="C769" t="str" cm="1">
        <f t="array" ref="C769">IFERROR(IF(SUMPRODUCT((measured[Site Name]=A769)*(measured[Date]=B769)*ISNUMBER(measured[Measured Value (kWh)]))=0,"",SUMIFS(measured[Measured Value (kWh)],measured[Site Name],A769,measured[Date],B769)),"")</f>
        <v/>
      </c>
      <c r="D769" cm="1">
        <f t="array" ref="D769">IFERROR(IF(SUMPRODUCT((expected_production[Site Name]=A769)*(expected_production[Date]=B769)*ISNUMBER(expected_production[Expected Production (kWh)]))=0,"",SUMIFS(expected_production[Expected Production (kWh)],expected_production[Site Name],A769,expected_production[Date],B769)),"")</f>
        <v>29445.3</v>
      </c>
      <c r="E769" s="9" t="str">
        <f t="shared" si="24"/>
        <v/>
      </c>
      <c r="F769" t="str">
        <f t="shared" si="25"/>
        <v/>
      </c>
    </row>
    <row r="770" spans="1:6" ht="15" hidden="1" customHeight="1" x14ac:dyDescent="0.3">
      <c r="A770" t="s">
        <v>228</v>
      </c>
      <c r="B770" s="2">
        <v>45658</v>
      </c>
      <c r="C770" t="str" cm="1">
        <f t="array" ref="C770">IFERROR(IF(SUMPRODUCT((measured[Site Name]=A770)*(measured[Date]=B770)*ISNUMBER(measured[Measured Value (kWh)]))=0,"",SUMIFS(measured[Measured Value (kWh)],measured[Site Name],A770,measured[Date],B770)),"")</f>
        <v/>
      </c>
      <c r="D770" cm="1">
        <f t="array" ref="D770">IFERROR(IF(SUMPRODUCT((expected_production[Site Name]=A770)*(expected_production[Date]=B770)*ISNUMBER(expected_production[Expected Production (kWh)]))=0,"",SUMIFS(expected_production[Expected Production (kWh)],expected_production[Site Name],A770,expected_production[Date],B770)),"")</f>
        <v>29074.5</v>
      </c>
      <c r="E770" s="9" t="str">
        <f t="shared" si="24"/>
        <v/>
      </c>
      <c r="F770" t="str">
        <f t="shared" si="25"/>
        <v/>
      </c>
    </row>
    <row r="771" spans="1:6" ht="15" hidden="1" customHeight="1" x14ac:dyDescent="0.3">
      <c r="A771" t="s">
        <v>228</v>
      </c>
      <c r="B771" s="2">
        <v>45689</v>
      </c>
      <c r="C771" t="str" cm="1">
        <f t="array" ref="C771">IFERROR(IF(SUMPRODUCT((measured[Site Name]=A771)*(measured[Date]=B771)*ISNUMBER(measured[Measured Value (kWh)]))=0,"",SUMIFS(measured[Measured Value (kWh)],measured[Site Name],A771,measured[Date],B771)),"")</f>
        <v/>
      </c>
      <c r="D771" cm="1">
        <f t="array" ref="D771">IFERROR(IF(SUMPRODUCT((expected_production[Site Name]=A771)*(expected_production[Date]=B771)*ISNUMBER(expected_production[Expected Production (kWh)]))=0,"",SUMIFS(expected_production[Expected Production (kWh)],expected_production[Site Name],A771,expected_production[Date],B771)),"")</f>
        <v>26716.5</v>
      </c>
      <c r="E771" s="9" t="str">
        <f t="shared" si="24"/>
        <v/>
      </c>
      <c r="F771" t="str">
        <f t="shared" si="25"/>
        <v/>
      </c>
    </row>
    <row r="772" spans="1:6" ht="15" hidden="1" customHeight="1" x14ac:dyDescent="0.3">
      <c r="A772" t="s">
        <v>228</v>
      </c>
      <c r="B772" s="2">
        <v>45717</v>
      </c>
      <c r="C772" t="str" cm="1">
        <f t="array" ref="C772">IFERROR(IF(SUMPRODUCT((measured[Site Name]=A772)*(measured[Date]=B772)*ISNUMBER(measured[Measured Value (kWh)]))=0,"",SUMIFS(measured[Measured Value (kWh)],measured[Site Name],A772,measured[Date],B772)),"")</f>
        <v/>
      </c>
      <c r="D772" cm="1">
        <f t="array" ref="D772">IFERROR(IF(SUMPRODUCT((expected_production[Site Name]=A772)*(expected_production[Date]=B772)*ISNUMBER(expected_production[Expected Production (kWh)]))=0,"",SUMIFS(expected_production[Expected Production (kWh)],expected_production[Site Name],A772,expected_production[Date],B772)),"")</f>
        <v>27941.4</v>
      </c>
      <c r="E772" s="9" t="str">
        <f t="shared" si="24"/>
        <v/>
      </c>
      <c r="F772" t="str">
        <f t="shared" si="25"/>
        <v/>
      </c>
    </row>
    <row r="773" spans="1:6" ht="15" hidden="1" customHeight="1" x14ac:dyDescent="0.3">
      <c r="A773" t="s">
        <v>228</v>
      </c>
      <c r="B773" s="2">
        <v>45748</v>
      </c>
      <c r="C773" t="str" cm="1">
        <f t="array" ref="C773">IFERROR(IF(SUMPRODUCT((measured[Site Name]=A773)*(measured[Date]=B773)*ISNUMBER(measured[Measured Value (kWh)]))=0,"",SUMIFS(measured[Measured Value (kWh)],measured[Site Name],A773,measured[Date],B773)),"")</f>
        <v/>
      </c>
      <c r="D773" cm="1">
        <f t="array" ref="D773">IFERROR(IF(SUMPRODUCT((expected_production[Site Name]=A773)*(expected_production[Date]=B773)*ISNUMBER(expected_production[Expected Production (kWh)]))=0,"",SUMIFS(expected_production[Expected Production (kWh)],expected_production[Site Name],A773,expected_production[Date],B773)),"")</f>
        <v>25610.400000000001</v>
      </c>
      <c r="E773" s="9" t="str">
        <f t="shared" si="24"/>
        <v/>
      </c>
      <c r="F773" t="str">
        <f t="shared" si="25"/>
        <v/>
      </c>
    </row>
    <row r="774" spans="1:6" ht="15" hidden="1" customHeight="1" x14ac:dyDescent="0.3">
      <c r="A774" t="s">
        <v>228</v>
      </c>
      <c r="B774" s="2">
        <v>45778</v>
      </c>
      <c r="C774" t="str" cm="1">
        <f t="array" ref="C774">IFERROR(IF(SUMPRODUCT((measured[Site Name]=A774)*(measured[Date]=B774)*ISNUMBER(measured[Measured Value (kWh)]))=0,"",SUMIFS(measured[Measured Value (kWh)],measured[Site Name],A774,measured[Date],B774)),"")</f>
        <v/>
      </c>
      <c r="D774" cm="1">
        <f t="array" ref="D774">IFERROR(IF(SUMPRODUCT((expected_production[Site Name]=A774)*(expected_production[Date]=B774)*ISNUMBER(expected_production[Expected Production (kWh)]))=0,"",SUMIFS(expected_production[Expected Production (kWh)],expected_production[Site Name],A774,expected_production[Date],B774)),"")</f>
        <v>25802.1</v>
      </c>
      <c r="E774" s="9" t="str">
        <f t="shared" si="24"/>
        <v/>
      </c>
      <c r="F774" t="str">
        <f t="shared" si="25"/>
        <v/>
      </c>
    </row>
    <row r="775" spans="1:6" ht="15" hidden="1" customHeight="1" x14ac:dyDescent="0.3">
      <c r="A775" t="s">
        <v>228</v>
      </c>
      <c r="B775" s="2">
        <v>45809</v>
      </c>
      <c r="C775" t="str" cm="1">
        <f t="array" ref="C775">IFERROR(IF(SUMPRODUCT((measured[Site Name]=A775)*(measured[Date]=B775)*ISNUMBER(measured[Measured Value (kWh)]))=0,"",SUMIFS(measured[Measured Value (kWh)],measured[Site Name],A775,measured[Date],B775)),"")</f>
        <v/>
      </c>
      <c r="D775" cm="1">
        <f t="array" ref="D775">IFERROR(IF(SUMPRODUCT((expected_production[Site Name]=A775)*(expected_production[Date]=B775)*ISNUMBER(expected_production[Expected Production (kWh)]))=0,"",SUMIFS(expected_production[Expected Production (kWh)],expected_production[Site Name],A775,expected_production[Date],B775)),"")</f>
        <v>23428.799999999999</v>
      </c>
      <c r="E775" s="9" t="str">
        <f t="shared" si="24"/>
        <v/>
      </c>
      <c r="F775" t="str">
        <f t="shared" si="25"/>
        <v/>
      </c>
    </row>
    <row r="776" spans="1:6" ht="15" hidden="1" customHeight="1" x14ac:dyDescent="0.3">
      <c r="A776" t="s">
        <v>228</v>
      </c>
      <c r="B776" s="2">
        <v>45839</v>
      </c>
      <c r="C776" t="str" cm="1">
        <f t="array" ref="C776">IFERROR(IF(SUMPRODUCT((measured[Site Name]=A776)*(measured[Date]=B776)*ISNUMBER(measured[Measured Value (kWh)]))=0,"",SUMIFS(measured[Measured Value (kWh)],measured[Site Name],A776,measured[Date],B776)),"")</f>
        <v/>
      </c>
      <c r="D776" cm="1">
        <f t="array" ref="D776">IFERROR(IF(SUMPRODUCT((expected_production[Site Name]=A776)*(expected_production[Date]=B776)*ISNUMBER(expected_production[Expected Production (kWh)]))=0,"",SUMIFS(expected_production[Expected Production (kWh)],expected_production[Site Name],A776,expected_production[Date],B776)),"")</f>
        <v>25632</v>
      </c>
      <c r="E776" s="9" t="str">
        <f t="shared" si="24"/>
        <v/>
      </c>
      <c r="F776" t="str">
        <f t="shared" si="25"/>
        <v/>
      </c>
    </row>
    <row r="777" spans="1:6" ht="15" hidden="1" customHeight="1" x14ac:dyDescent="0.3">
      <c r="A777" t="s">
        <v>228</v>
      </c>
      <c r="B777" s="2">
        <v>45870</v>
      </c>
      <c r="C777" t="str" cm="1">
        <f t="array" ref="C777">IFERROR(IF(SUMPRODUCT((measured[Site Name]=A777)*(measured[Date]=B777)*ISNUMBER(measured[Measured Value (kWh)]))=0,"",SUMIFS(measured[Measured Value (kWh)],measured[Site Name],A777,measured[Date],B777)),"")</f>
        <v/>
      </c>
      <c r="D777" cm="1">
        <f t="array" ref="D777">IFERROR(IF(SUMPRODUCT((expected_production[Site Name]=A777)*(expected_production[Date]=B777)*ISNUMBER(expected_production[Expected Production (kWh)]))=0,"",SUMIFS(expected_production[Expected Production (kWh)],expected_production[Site Name],A777,expected_production[Date],B777)),"")</f>
        <v>28549.8</v>
      </c>
      <c r="E777" s="9" t="str">
        <f t="shared" si="24"/>
        <v/>
      </c>
      <c r="F777" t="str">
        <f t="shared" si="25"/>
        <v/>
      </c>
    </row>
    <row r="778" spans="1:6" ht="15" hidden="1" customHeight="1" x14ac:dyDescent="0.3">
      <c r="A778" t="s">
        <v>228</v>
      </c>
      <c r="B778" s="2">
        <v>45901</v>
      </c>
      <c r="C778" t="str" cm="1">
        <f t="array" ref="C778">IFERROR(IF(SUMPRODUCT((measured[Site Name]=A778)*(measured[Date]=B778)*ISNUMBER(measured[Measured Value (kWh)]))=0,"",SUMIFS(measured[Measured Value (kWh)],measured[Site Name],A778,measured[Date],B778)),"")</f>
        <v/>
      </c>
      <c r="D778" cm="1">
        <f t="array" ref="D778">IFERROR(IF(SUMPRODUCT((expected_production[Site Name]=A778)*(expected_production[Date]=B778)*ISNUMBER(expected_production[Expected Production (kWh)]))=0,"",SUMIFS(expected_production[Expected Production (kWh)],expected_production[Site Name],A778,expected_production[Date],B778)),"")</f>
        <v>29561.4</v>
      </c>
      <c r="E778" s="9" t="str">
        <f t="shared" si="24"/>
        <v/>
      </c>
      <c r="F778" t="str">
        <f t="shared" si="25"/>
        <v/>
      </c>
    </row>
    <row r="779" spans="1:6" ht="15" hidden="1" customHeight="1" x14ac:dyDescent="0.3">
      <c r="A779" t="s">
        <v>228</v>
      </c>
      <c r="B779" s="2">
        <v>45931</v>
      </c>
      <c r="C779" t="str" cm="1">
        <f t="array" ref="C779">IFERROR(IF(SUMPRODUCT((measured[Site Name]=A779)*(measured[Date]=B779)*ISNUMBER(measured[Measured Value (kWh)]))=0,"",SUMIFS(measured[Measured Value (kWh)],measured[Site Name],A779,measured[Date],B779)),"")</f>
        <v/>
      </c>
      <c r="D779" cm="1">
        <f t="array" ref="D779">IFERROR(IF(SUMPRODUCT((expected_production[Site Name]=A779)*(expected_production[Date]=B779)*ISNUMBER(expected_production[Expected Production (kWh)]))=0,"",SUMIFS(expected_production[Expected Production (kWh)],expected_production[Site Name],A779,expected_production[Date],B779)),"")</f>
        <v>31417.200000000001</v>
      </c>
      <c r="E779" s="9" t="str">
        <f t="shared" si="24"/>
        <v/>
      </c>
      <c r="F779" t="str">
        <f t="shared" si="25"/>
        <v/>
      </c>
    </row>
    <row r="780" spans="1:6" ht="15" hidden="1" customHeight="1" x14ac:dyDescent="0.3">
      <c r="A780" t="s">
        <v>228</v>
      </c>
      <c r="B780" s="2">
        <v>45962</v>
      </c>
      <c r="C780" t="str" cm="1">
        <f t="array" ref="C780">IFERROR(IF(SUMPRODUCT((measured[Site Name]=A780)*(measured[Date]=B780)*ISNUMBER(measured[Measured Value (kWh)]))=0,"",SUMIFS(measured[Measured Value (kWh)],measured[Site Name],A780,measured[Date],B780)),"")</f>
        <v/>
      </c>
      <c r="D780" cm="1">
        <f t="array" ref="D780">IFERROR(IF(SUMPRODUCT((expected_production[Site Name]=A780)*(expected_production[Date]=B780)*ISNUMBER(expected_production[Expected Production (kWh)]))=0,"",SUMIFS(expected_production[Expected Production (kWh)],expected_production[Site Name],A780,expected_production[Date],B780)),"")</f>
        <v>30121.200000000001</v>
      </c>
      <c r="E780" s="9" t="str">
        <f t="shared" si="24"/>
        <v/>
      </c>
      <c r="F780" t="str">
        <f t="shared" si="25"/>
        <v/>
      </c>
    </row>
    <row r="781" spans="1:6" ht="15" hidden="1" customHeight="1" x14ac:dyDescent="0.3">
      <c r="A781" t="s">
        <v>228</v>
      </c>
      <c r="B781" s="2">
        <v>45992</v>
      </c>
      <c r="C781" t="str" cm="1">
        <f t="array" ref="C781">IFERROR(IF(SUMPRODUCT((measured[Site Name]=A781)*(measured[Date]=B781)*ISNUMBER(measured[Measured Value (kWh)]))=0,"",SUMIFS(measured[Measured Value (kWh)],measured[Site Name],A781,measured[Date],B781)),"")</f>
        <v/>
      </c>
      <c r="D781" cm="1">
        <f t="array" ref="D781">IFERROR(IF(SUMPRODUCT((expected_production[Site Name]=A781)*(expected_production[Date]=B781)*ISNUMBER(expected_production[Expected Production (kWh)]))=0,"",SUMIFS(expected_production[Expected Production (kWh)],expected_production[Site Name],A781,expected_production[Date],B781)),"")</f>
        <v>29445.3</v>
      </c>
      <c r="E781" s="9" t="str">
        <f t="shared" si="24"/>
        <v/>
      </c>
      <c r="F781" t="str">
        <f t="shared" si="25"/>
        <v/>
      </c>
    </row>
    <row r="782" spans="1:6" ht="15" hidden="1" customHeight="1" x14ac:dyDescent="0.3">
      <c r="A782" t="s">
        <v>228</v>
      </c>
      <c r="B782" s="2">
        <v>46023</v>
      </c>
      <c r="C782" t="str" cm="1">
        <f t="array" ref="C782">IFERROR(IF(SUMPRODUCT((measured[Site Name]=A782)*(measured[Date]=B782)*ISNUMBER(measured[Measured Value (kWh)]))=0,"",SUMIFS(measured[Measured Value (kWh)],measured[Site Name],A782,measured[Date],B782)),"")</f>
        <v/>
      </c>
      <c r="D782" cm="1">
        <f t="array" ref="D782">IFERROR(IF(SUMPRODUCT((expected_production[Site Name]=A782)*(expected_production[Date]=B782)*ISNUMBER(expected_production[Expected Production (kWh)]))=0,"",SUMIFS(expected_production[Expected Production (kWh)],expected_production[Site Name],A782,expected_production[Date],B782)),"")</f>
        <v>29074.5</v>
      </c>
      <c r="E782" s="9" t="str">
        <f t="shared" si="24"/>
        <v/>
      </c>
      <c r="F782" t="str">
        <f t="shared" si="25"/>
        <v/>
      </c>
    </row>
    <row r="783" spans="1:6" ht="15" hidden="1" customHeight="1" x14ac:dyDescent="0.3">
      <c r="A783" t="s">
        <v>228</v>
      </c>
      <c r="B783" s="2">
        <v>46054</v>
      </c>
      <c r="C783" t="str" cm="1">
        <f t="array" ref="C783">IFERROR(IF(SUMPRODUCT((measured[Site Name]=A783)*(measured[Date]=B783)*ISNUMBER(measured[Measured Value (kWh)]))=0,"",SUMIFS(measured[Measured Value (kWh)],measured[Site Name],A783,measured[Date],B783)),"")</f>
        <v/>
      </c>
      <c r="D783" cm="1">
        <f t="array" ref="D783">IFERROR(IF(SUMPRODUCT((expected_production[Site Name]=A783)*(expected_production[Date]=B783)*ISNUMBER(expected_production[Expected Production (kWh)]))=0,"",SUMIFS(expected_production[Expected Production (kWh)],expected_production[Site Name],A783,expected_production[Date],B783)),"")</f>
        <v>26716.5</v>
      </c>
      <c r="E783" s="9" t="str">
        <f t="shared" si="24"/>
        <v/>
      </c>
      <c r="F783" t="str">
        <f t="shared" si="25"/>
        <v/>
      </c>
    </row>
    <row r="784" spans="1:6" ht="15" hidden="1" customHeight="1" x14ac:dyDescent="0.3">
      <c r="A784" t="s">
        <v>228</v>
      </c>
      <c r="B784" s="2">
        <v>46082</v>
      </c>
      <c r="C784" cm="1">
        <f t="array" ref="C784">IFERROR(IF(SUMPRODUCT((measured[Site Name]=A784)*(measured[Date]=B784)*ISNUMBER(measured[Measured Value (kWh)]))=0,"",SUMIFS(measured[Measured Value (kWh)],measured[Site Name],A784,measured[Date],B784)),"")</f>
        <v>2780</v>
      </c>
      <c r="D784" cm="1">
        <f t="array" ref="D784">IFERROR(IF(SUMPRODUCT((expected_production[Site Name]=A784)*(expected_production[Date]=B784)*ISNUMBER(expected_production[Expected Production (kWh)]))=0,"",SUMIFS(expected_production[Expected Production (kWh)],expected_production[Site Name],A784,expected_production[Date],B784)),"")</f>
        <v>27941.4</v>
      </c>
      <c r="E784" s="9">
        <f t="shared" si="24"/>
        <v>9.9493940890578128E-2</v>
      </c>
      <c r="F784" t="str">
        <f t="shared" si="25"/>
        <v>Poor</v>
      </c>
    </row>
    <row r="785" spans="1:7" ht="15" hidden="1" customHeight="1" x14ac:dyDescent="0.3">
      <c r="A785" t="s">
        <v>228</v>
      </c>
      <c r="B785" s="2">
        <v>46113</v>
      </c>
      <c r="C785" cm="1">
        <f t="array" ref="C785">IFERROR(IF(SUMPRODUCT((measured[Site Name]=A785)*(measured[Date]=B785)*ISNUMBER(measured[Measured Value (kWh)]))=0,"",SUMIFS(measured[Measured Value (kWh)],measured[Site Name],A785,measured[Date],B785)),"")</f>
        <v>14950</v>
      </c>
      <c r="D785" cm="1">
        <f t="array" ref="D785">IFERROR(IF(SUMPRODUCT((expected_production[Site Name]=A785)*(expected_production[Date]=B785)*ISNUMBER(expected_production[Expected Production (kWh)]))=0,"",SUMIFS(expected_production[Expected Production (kWh)],expected_production[Site Name],A785,expected_production[Date],B785)),"")</f>
        <v>51194.2093063992</v>
      </c>
      <c r="E785" s="9">
        <f t="shared" si="24"/>
        <v>0.29202521540129095</v>
      </c>
      <c r="F785" t="str">
        <f t="shared" si="25"/>
        <v>Poor</v>
      </c>
    </row>
    <row r="786" spans="1:7" ht="15" hidden="1" customHeight="1" x14ac:dyDescent="0.3">
      <c r="A786" t="s">
        <v>228</v>
      </c>
      <c r="B786" s="2">
        <v>46143</v>
      </c>
      <c r="C786" cm="1">
        <f t="array" ref="C786">IFERROR(IF(SUMPRODUCT((measured[Site Name]=A786)*(measured[Date]=B786)*ISNUMBER(measured[Measured Value (kWh)]))=0,"",SUMIFS(measured[Measured Value (kWh)],measured[Site Name],A786,measured[Date],B786)),"")</f>
        <v>6540</v>
      </c>
      <c r="D786" cm="1">
        <f t="array" ref="D786">IFERROR(IF(SUMPRODUCT((expected_production[Site Name]=A786)*(expected_production[Date]=B786)*ISNUMBER(expected_production[Expected Production (kWh)]))=0,"",SUMIFS(expected_production[Expected Production (kWh)],expected_production[Site Name],A786,expected_production[Date],B786)),"")</f>
        <v>25773.830105783189</v>
      </c>
      <c r="E786" s="9">
        <f t="shared" si="24"/>
        <v>0.25374575579795339</v>
      </c>
      <c r="F786" t="str">
        <f t="shared" si="25"/>
        <v>Poor</v>
      </c>
    </row>
    <row r="787" spans="1:7" ht="15" hidden="1" customHeight="1" x14ac:dyDescent="0.3">
      <c r="A787" t="s">
        <v>228</v>
      </c>
      <c r="B787" s="2">
        <v>46174</v>
      </c>
      <c r="C787" cm="1">
        <f t="array" ref="C787">IFERROR(IF(SUMPRODUCT((measured[Site Name]=A787)*(measured[Date]=B787)*ISNUMBER(measured[Measured Value (kWh)]))=0,"",SUMIFS(measured[Measured Value (kWh)],measured[Site Name],A787,measured[Date],B787)),"")</f>
        <v>7560</v>
      </c>
      <c r="D787" cm="1">
        <f t="array" ref="D787">IFERROR(IF(SUMPRODUCT((expected_production[Site Name]=A787)*(expected_production[Date]=B787)*ISNUMBER(expected_production[Expected Production (kWh)]))=0,"",SUMIFS(expected_production[Expected Production (kWh)],expected_production[Site Name],A787,expected_production[Date],B787)),"")</f>
        <v>23389.18154301335</v>
      </c>
      <c r="E787" s="9">
        <f t="shared" si="24"/>
        <v>0.32322635942163908</v>
      </c>
      <c r="F787" t="str">
        <f t="shared" si="25"/>
        <v>Poor</v>
      </c>
    </row>
    <row r="788" spans="1:7" ht="15" hidden="1" customHeight="1" x14ac:dyDescent="0.3">
      <c r="A788" t="s">
        <v>102</v>
      </c>
      <c r="B788" s="2">
        <v>46204</v>
      </c>
      <c r="C788" cm="1">
        <f t="array" ref="C788">IFERROR(IF(SUMPRODUCT((measured[Site Name]=A788)*(measured[Date]=B788)*ISNUMBER(measured[Measured Value (kWh)]))=0,"",SUMIFS(measured[Measured Value (kWh)],measured[Site Name],A788,measured[Date],B788)),"")</f>
        <v>4112</v>
      </c>
      <c r="D788" cm="1">
        <f t="array" ref="D788">IFERROR(IF(SUMPRODUCT((expected_production[Site Name]=A788)*(expected_production[Date]=B788)*ISNUMBER(expected_production[Expected Production (kWh)]))=0,"",SUMIFS(expected_production[Expected Production (kWh)],expected_production[Site Name],A788,expected_production[Date],B788)),"")</f>
        <v>7608.5223984260883</v>
      </c>
      <c r="E788" s="9">
        <f t="shared" si="24"/>
        <v>0.54044659194939282</v>
      </c>
      <c r="F788" t="str">
        <f t="shared" si="25"/>
        <v>Poor</v>
      </c>
      <c r="G788" t="s">
        <v>874</v>
      </c>
    </row>
    <row r="789" spans="1:7" ht="15" hidden="1" customHeight="1" x14ac:dyDescent="0.3">
      <c r="A789" t="s">
        <v>104</v>
      </c>
      <c r="B789" s="2">
        <v>46204</v>
      </c>
      <c r="C789" cm="1">
        <f t="array" ref="C789">IFERROR(IF(SUMPRODUCT((measured[Site Name]=A789)*(measured[Date]=B789)*ISNUMBER(measured[Measured Value (kWh)]))=0,"",SUMIFS(measured[Measured Value (kWh)],measured[Site Name],A789,measured[Date],B789)),"")</f>
        <v>857</v>
      </c>
      <c r="D789" cm="1">
        <f t="array" ref="D789">IFERROR(IF(SUMPRODUCT((expected_production[Site Name]=A789)*(expected_production[Date]=B789)*ISNUMBER(expected_production[Expected Production (kWh)]))=0,"",SUMIFS(expected_production[Expected Production (kWh)],expected_production[Site Name],A789,expected_production[Date],B789)),"")</f>
        <v>2979.1874307181115</v>
      </c>
      <c r="E789" s="9">
        <f t="shared" si="24"/>
        <v>0.28766233072936481</v>
      </c>
      <c r="F789" t="str">
        <f t="shared" si="25"/>
        <v>Poor</v>
      </c>
      <c r="G789" t="s">
        <v>875</v>
      </c>
    </row>
    <row r="790" spans="1:7" ht="15" hidden="1" customHeight="1" x14ac:dyDescent="0.3">
      <c r="A790" t="s">
        <v>228</v>
      </c>
      <c r="B790" s="2">
        <v>46235</v>
      </c>
      <c r="C790" cm="1">
        <f t="array" ref="C790">IFERROR(IF(SUMPRODUCT((measured[Site Name]=A790)*(measured[Date]=B790)*ISNUMBER(measured[Measured Value (kWh)]))=0,"",SUMIFS(measured[Measured Value (kWh)],measured[Site Name],A790,measured[Date],B790)),"")</f>
        <v>18070</v>
      </c>
      <c r="D790" cm="1">
        <f t="array" ref="D790">IFERROR(IF(SUMPRODUCT((expected_production[Site Name]=A790)*(expected_production[Date]=B790)*ISNUMBER(expected_production[Expected Production (kWh)]))=0,"",SUMIFS(expected_production[Expected Production (kWh)],expected_production[Site Name],A790,expected_production[Date],B790)),"")</f>
        <v>28468.104238730139</v>
      </c>
      <c r="E790" s="9">
        <f t="shared" ref="E790:E853" si="26">IF(OR(C790="",D790="",D790=0),"",C790/D790)</f>
        <v>0.63474546279819433</v>
      </c>
      <c r="F790" t="str">
        <f t="shared" ref="F790:F853" si="27">IF(E790="","",IF(E790&gt;=0.9,"Expected",IF(E790&gt;=0.7,"Moderate","Poor")))</f>
        <v>Poor</v>
      </c>
      <c r="G790" t="s">
        <v>874</v>
      </c>
    </row>
    <row r="791" spans="1:7" ht="15" customHeight="1" x14ac:dyDescent="0.3">
      <c r="A791" t="s">
        <v>228</v>
      </c>
      <c r="B791" s="2">
        <v>46266</v>
      </c>
      <c r="C791" cm="1">
        <f t="array" ref="C791">IFERROR(IF(SUMPRODUCT((measured[Site Name]=A791)*(measured[Date]=B791)*ISNUMBER(measured[Measured Value (kWh)]))=0,"",SUMIFS(measured[Measured Value (kWh)],measured[Site Name],A791,measured[Date],B791)),"")</f>
        <v>9230</v>
      </c>
      <c r="D791" cm="1">
        <f t="array" ref="D791">IFERROR(IF(SUMPRODUCT((expected_production[Site Name]=A791)*(expected_production[Date]=B791)*ISNUMBER(expected_production[Expected Production (kWh)]))=0,"",SUMIFS(expected_production[Expected Production (kWh)],expected_production[Site Name],A791,expected_production[Date],B791)),"")</f>
        <v>29459.240609553108</v>
      </c>
      <c r="E791" s="9">
        <f t="shared" si="26"/>
        <v>0.31331425417011172</v>
      </c>
      <c r="F791" t="str">
        <f t="shared" si="27"/>
        <v>Poor</v>
      </c>
      <c r="G791" t="s">
        <v>875</v>
      </c>
    </row>
    <row r="792" spans="1:7" ht="15" hidden="1" customHeight="1" x14ac:dyDescent="0.3">
      <c r="A792" t="s">
        <v>228</v>
      </c>
      <c r="B792" s="2">
        <v>46296</v>
      </c>
      <c r="C792" t="str" cm="1">
        <f t="array" ref="C792">IFERROR(IF(SUMPRODUCT((measured[Site Name]=A792)*(measured[Date]=B792)*ISNUMBER(measured[Measured Value (kWh)]))=0,"",SUMIFS(measured[Measured Value (kWh)],measured[Site Name],A792,measured[Date],B792)),"")</f>
        <v/>
      </c>
      <c r="D792" cm="1">
        <f t="array" ref="D792">IFERROR(IF(SUMPRODUCT((expected_production[Site Name]=A792)*(expected_production[Date]=B792)*ISNUMBER(expected_production[Expected Production (kWh)]))=0,"",SUMIFS(expected_production[Expected Production (kWh)],expected_production[Site Name],A792,expected_production[Date],B792)),"")</f>
        <v>31290.568324811979</v>
      </c>
      <c r="E792" s="9" t="str">
        <f t="shared" si="26"/>
        <v/>
      </c>
      <c r="F792" t="str">
        <f t="shared" si="27"/>
        <v/>
      </c>
    </row>
    <row r="793" spans="1:7" ht="15" hidden="1" customHeight="1" x14ac:dyDescent="0.3">
      <c r="A793" t="s">
        <v>228</v>
      </c>
      <c r="B793" s="2">
        <v>46327</v>
      </c>
      <c r="C793" t="str" cm="1">
        <f t="array" ref="C793">IFERROR(IF(SUMPRODUCT((measured[Site Name]=A793)*(measured[Date]=B793)*ISNUMBER(measured[Measured Value (kWh)]))=0,"",SUMIFS(measured[Measured Value (kWh)],measured[Site Name],A793,measured[Date],B793)),"")</f>
        <v/>
      </c>
      <c r="D793" cm="1">
        <f t="array" ref="D793">IFERROR(IF(SUMPRODUCT((expected_production[Site Name]=A793)*(expected_production[Date]=B793)*ISNUMBER(expected_production[Expected Production (kWh)]))=0,"",SUMIFS(expected_production[Expected Production (kWh)],expected_production[Site Name],A793,expected_production[Date],B793)),"")</f>
        <v>29981.911416201016</v>
      </c>
      <c r="E793" s="9" t="str">
        <f t="shared" si="26"/>
        <v/>
      </c>
      <c r="F793" t="str">
        <f t="shared" si="27"/>
        <v/>
      </c>
    </row>
    <row r="794" spans="1:7" ht="15" hidden="1" customHeight="1" x14ac:dyDescent="0.3">
      <c r="A794" t="s">
        <v>228</v>
      </c>
      <c r="B794" s="2">
        <v>46357</v>
      </c>
      <c r="C794" t="str" cm="1">
        <f t="array" ref="C794">IFERROR(IF(SUMPRODUCT((measured[Site Name]=A794)*(measured[Date]=B794)*ISNUMBER(measured[Measured Value (kWh)]))=0,"",SUMIFS(measured[Measured Value (kWh)],measured[Site Name],A794,measured[Date],B794)),"")</f>
        <v/>
      </c>
      <c r="D794" cm="1">
        <f t="array" ref="D794">IFERROR(IF(SUMPRODUCT((expected_production[Site Name]=A794)*(expected_production[Date]=B794)*ISNUMBER(expected_production[Expected Production (kWh)]))=0,"",SUMIFS(expected_production[Expected Production (kWh)],expected_production[Site Name],A794,expected_production[Date],B794)),"")</f>
        <v>29292.231333047497</v>
      </c>
      <c r="E794" s="9" t="str">
        <f t="shared" si="26"/>
        <v/>
      </c>
      <c r="F794" t="str">
        <f t="shared" si="27"/>
        <v/>
      </c>
    </row>
    <row r="795" spans="1:7" ht="15" hidden="1" customHeight="1" x14ac:dyDescent="0.3">
      <c r="A795" t="s">
        <v>109</v>
      </c>
      <c r="B795" s="2">
        <v>45292</v>
      </c>
      <c r="C795" t="str" cm="1">
        <f t="array" ref="C795">IFERROR(IF(SUMPRODUCT((measured[Site Name]=A795)*(measured[Date]=B795)*ISNUMBER(measured[Measured Value (kWh)]))=0,"",SUMIFS(measured[Measured Value (kWh)],measured[Site Name],A795,measured[Date],B795)),"")</f>
        <v/>
      </c>
      <c r="D795" cm="1">
        <f t="array" ref="D795">IFERROR(IF(SUMPRODUCT((expected_production[Site Name]=A795)*(expected_production[Date]=B795)*ISNUMBER(expected_production[Expected Production (kWh)]))=0,"",SUMIFS(expected_production[Expected Production (kWh)],expected_production[Site Name],A795,expected_production[Date],B795)),"")</f>
        <v>4235.3999999999996</v>
      </c>
      <c r="E795" s="9" t="str">
        <f t="shared" si="26"/>
        <v/>
      </c>
      <c r="F795" t="str">
        <f t="shared" si="27"/>
        <v/>
      </c>
    </row>
    <row r="796" spans="1:7" ht="15" hidden="1" customHeight="1" x14ac:dyDescent="0.3">
      <c r="A796" t="s">
        <v>109</v>
      </c>
      <c r="B796" s="2">
        <v>45323</v>
      </c>
      <c r="C796" t="str" cm="1">
        <f t="array" ref="C796">IFERROR(IF(SUMPRODUCT((measured[Site Name]=A796)*(measured[Date]=B796)*ISNUMBER(measured[Measured Value (kWh)]))=0,"",SUMIFS(measured[Measured Value (kWh)],measured[Site Name],A796,measured[Date],B796)),"")</f>
        <v/>
      </c>
      <c r="D796" cm="1">
        <f t="array" ref="D796">IFERROR(IF(SUMPRODUCT((expected_production[Site Name]=A796)*(expected_production[Date]=B796)*ISNUMBER(expected_production[Expected Production (kWh)]))=0,"",SUMIFS(expected_production[Expected Production (kWh)],expected_production[Site Name],A796,expected_production[Date],B796)),"")</f>
        <v>3699</v>
      </c>
      <c r="E796" s="9" t="str">
        <f t="shared" si="26"/>
        <v/>
      </c>
      <c r="F796" t="str">
        <f t="shared" si="27"/>
        <v/>
      </c>
    </row>
    <row r="797" spans="1:7" ht="15" hidden="1" customHeight="1" x14ac:dyDescent="0.3">
      <c r="A797" t="s">
        <v>109</v>
      </c>
      <c r="B797" s="2">
        <v>45352</v>
      </c>
      <c r="C797" t="str" cm="1">
        <f t="array" ref="C797">IFERROR(IF(SUMPRODUCT((measured[Site Name]=A797)*(measured[Date]=B797)*ISNUMBER(measured[Measured Value (kWh)]))=0,"",SUMIFS(measured[Measured Value (kWh)],measured[Site Name],A797,measured[Date],B797)),"")</f>
        <v/>
      </c>
      <c r="D797" cm="1">
        <f t="array" ref="D797">IFERROR(IF(SUMPRODUCT((expected_production[Site Name]=A797)*(expected_production[Date]=B797)*ISNUMBER(expected_production[Expected Production (kWh)]))=0,"",SUMIFS(expected_production[Expected Production (kWh)],expected_production[Site Name],A797,expected_production[Date],B797)),"")</f>
        <v>3788.1</v>
      </c>
      <c r="E797" s="9" t="str">
        <f t="shared" si="26"/>
        <v/>
      </c>
      <c r="F797" t="str">
        <f t="shared" si="27"/>
        <v/>
      </c>
    </row>
    <row r="798" spans="1:7" ht="15" hidden="1" customHeight="1" x14ac:dyDescent="0.3">
      <c r="A798" t="s">
        <v>109</v>
      </c>
      <c r="B798" s="2">
        <v>45383</v>
      </c>
      <c r="C798" t="str" cm="1">
        <f t="array" ref="C798">IFERROR(IF(SUMPRODUCT((measured[Site Name]=A798)*(measured[Date]=B798)*ISNUMBER(measured[Measured Value (kWh)]))=0,"",SUMIFS(measured[Measured Value (kWh)],measured[Site Name],A798,measured[Date],B798)),"")</f>
        <v/>
      </c>
      <c r="D798" cm="1">
        <f t="array" ref="D798">IFERROR(IF(SUMPRODUCT((expected_production[Site Name]=A798)*(expected_production[Date]=B798)*ISNUMBER(expected_production[Expected Production (kWh)]))=0,"",SUMIFS(expected_production[Expected Production (kWh)],expected_production[Site Name],A798,expected_production[Date],B798)),"")</f>
        <v>3184.2</v>
      </c>
      <c r="E798" s="9" t="str">
        <f t="shared" si="26"/>
        <v/>
      </c>
      <c r="F798" t="str">
        <f t="shared" si="27"/>
        <v/>
      </c>
    </row>
    <row r="799" spans="1:7" ht="15" hidden="1" customHeight="1" x14ac:dyDescent="0.3">
      <c r="A799" t="s">
        <v>109</v>
      </c>
      <c r="B799" s="2">
        <v>45413</v>
      </c>
      <c r="C799" t="str" cm="1">
        <f t="array" ref="C799">IFERROR(IF(SUMPRODUCT((measured[Site Name]=A799)*(measured[Date]=B799)*ISNUMBER(measured[Measured Value (kWh)]))=0,"",SUMIFS(measured[Measured Value (kWh)],measured[Site Name],A799,measured[Date],B799)),"")</f>
        <v/>
      </c>
      <c r="D799" cm="1">
        <f t="array" ref="D799">IFERROR(IF(SUMPRODUCT((expected_production[Site Name]=A799)*(expected_production[Date]=B799)*ISNUMBER(expected_production[Expected Production (kWh)]))=0,"",SUMIFS(expected_production[Expected Production (kWh)],expected_production[Site Name],A799,expected_production[Date],B799)),"")</f>
        <v>3052.4477452611286</v>
      </c>
      <c r="E799" s="9" t="str">
        <f t="shared" si="26"/>
        <v/>
      </c>
      <c r="F799" t="str">
        <f t="shared" si="27"/>
        <v/>
      </c>
    </row>
    <row r="800" spans="1:7" ht="15" hidden="1" customHeight="1" x14ac:dyDescent="0.3">
      <c r="A800" t="s">
        <v>109</v>
      </c>
      <c r="B800" s="2">
        <v>45444</v>
      </c>
      <c r="C800" cm="1">
        <f t="array" ref="C800">IFERROR(IF(SUMPRODUCT((measured[Site Name]=A800)*(measured[Date]=B800)*ISNUMBER(measured[Measured Value (kWh)]))=0,"",SUMIFS(measured[Measured Value (kWh)],measured[Site Name],A800,measured[Date],B800)),"")</f>
        <v>1659</v>
      </c>
      <c r="D800" cm="1">
        <f t="array" ref="D800">IFERROR(IF(SUMPRODUCT((expected_production[Site Name]=A800)*(expected_production[Date]=B800)*ISNUMBER(expected_production[Expected Production (kWh)]))=0,"",SUMIFS(expected_production[Expected Production (kWh)],expected_production[Site Name],A800,expected_production[Date],B800)),"")</f>
        <v>2750.2422397759037</v>
      </c>
      <c r="E800" s="9">
        <f t="shared" si="26"/>
        <v>0.60321959135322545</v>
      </c>
      <c r="F800" t="str">
        <f t="shared" si="27"/>
        <v>Poor</v>
      </c>
    </row>
    <row r="801" spans="1:6" ht="15" hidden="1" customHeight="1" x14ac:dyDescent="0.3">
      <c r="A801" t="s">
        <v>109</v>
      </c>
      <c r="B801" s="2">
        <v>45474</v>
      </c>
      <c r="C801" cm="1">
        <f t="array" ref="C801">IFERROR(IF(SUMPRODUCT((measured[Site Name]=A801)*(measured[Date]=B801)*ISNUMBER(measured[Measured Value (kWh)]))=0,"",SUMIFS(measured[Measured Value (kWh)],measured[Site Name],A801,measured[Date],B801)),"")</f>
        <v>2542</v>
      </c>
      <c r="D801" cm="1">
        <f t="array" ref="D801">IFERROR(IF(SUMPRODUCT((expected_production[Site Name]=A801)*(expected_production[Date]=B801)*ISNUMBER(expected_production[Expected Production (kWh)]))=0,"",SUMIFS(expected_production[Expected Production (kWh)],expected_production[Site Name],A801,expected_production[Date],B801)),"")</f>
        <v>3025.4989282039246</v>
      </c>
      <c r="E801" s="9">
        <f t="shared" si="26"/>
        <v>0.84019200149214668</v>
      </c>
      <c r="F801" t="str">
        <f t="shared" si="27"/>
        <v>Moderate</v>
      </c>
    </row>
    <row r="802" spans="1:6" ht="15" hidden="1" customHeight="1" x14ac:dyDescent="0.3">
      <c r="A802" t="s">
        <v>109</v>
      </c>
      <c r="B802" s="2">
        <v>45505</v>
      </c>
      <c r="C802" cm="1">
        <f t="array" ref="C802">IFERROR(IF(SUMPRODUCT((measured[Site Name]=A802)*(measured[Date]=B802)*ISNUMBER(measured[Measured Value (kWh)]))=0,"",SUMIFS(measured[Measured Value (kWh)],measured[Site Name],A802,measured[Date],B802)),"")</f>
        <v>2833</v>
      </c>
      <c r="D802" cm="1">
        <f t="array" ref="D802">IFERROR(IF(SUMPRODUCT((expected_production[Site Name]=A802)*(expected_production[Date]=B802)*ISNUMBER(expected_production[Expected Production (kWh)]))=0,"",SUMIFS(expected_production[Expected Production (kWh)],expected_production[Site Name],A802,expected_production[Date],B802)),"")</f>
        <v>3540.2212050534331</v>
      </c>
      <c r="E802" s="9">
        <f t="shared" si="26"/>
        <v>0.80023248150598014</v>
      </c>
      <c r="F802" t="str">
        <f t="shared" si="27"/>
        <v>Moderate</v>
      </c>
    </row>
    <row r="803" spans="1:6" ht="15" hidden="1" customHeight="1" x14ac:dyDescent="0.3">
      <c r="A803" t="s">
        <v>109</v>
      </c>
      <c r="B803" s="2">
        <v>45536</v>
      </c>
      <c r="C803" cm="1">
        <f t="array" ref="C803">IFERROR(IF(SUMPRODUCT((measured[Site Name]=A803)*(measured[Date]=B803)*ISNUMBER(measured[Measured Value (kWh)]))=0,"",SUMIFS(measured[Measured Value (kWh)],measured[Site Name],A803,measured[Date],B803)),"")</f>
        <v>2688</v>
      </c>
      <c r="D803" cm="1">
        <f t="array" ref="D803">IFERROR(IF(SUMPRODUCT((expected_production[Site Name]=A803)*(expected_production[Date]=B803)*ISNUMBER(expected_production[Expected Production (kWh)]))=0,"",SUMIFS(expected_production[Expected Production (kWh)],expected_production[Site Name],A803,expected_production[Date],B803)),"")</f>
        <v>3901.7079506920304</v>
      </c>
      <c r="E803" s="9">
        <f t="shared" si="26"/>
        <v>0.688929062341337</v>
      </c>
      <c r="F803" t="str">
        <f t="shared" si="27"/>
        <v>Poor</v>
      </c>
    </row>
    <row r="804" spans="1:6" ht="15" hidden="1" customHeight="1" x14ac:dyDescent="0.3">
      <c r="A804" t="s">
        <v>109</v>
      </c>
      <c r="B804" s="2">
        <v>45566</v>
      </c>
      <c r="C804" cm="1">
        <f t="array" ref="C804">IFERROR(IF(SUMPRODUCT((measured[Site Name]=A804)*(measured[Date]=B804)*ISNUMBER(measured[Measured Value (kWh)]))=0,"",SUMIFS(measured[Measured Value (kWh)],measured[Site Name],A804,measured[Date],B804)),"")</f>
        <v>3664</v>
      </c>
      <c r="D804" cm="1">
        <f t="array" ref="D804">IFERROR(IF(SUMPRODUCT((expected_production[Site Name]=A804)*(expected_production[Date]=B804)*ISNUMBER(expected_production[Expected Production (kWh)]))=0,"",SUMIFS(expected_production[Expected Production (kWh)],expected_production[Site Name],A804,expected_production[Date],B804)),"")</f>
        <v>4090.5721175573753</v>
      </c>
      <c r="E804" s="9">
        <f t="shared" si="26"/>
        <v>0.89571822588667704</v>
      </c>
      <c r="F804" t="str">
        <f t="shared" si="27"/>
        <v>Moderate</v>
      </c>
    </row>
    <row r="805" spans="1:6" ht="15" hidden="1" customHeight="1" x14ac:dyDescent="0.3">
      <c r="A805" t="s">
        <v>109</v>
      </c>
      <c r="B805" s="2">
        <v>45597</v>
      </c>
      <c r="C805" cm="1">
        <f t="array" ref="C805">IFERROR(IF(SUMPRODUCT((measured[Site Name]=A805)*(measured[Date]=B805)*ISNUMBER(measured[Measured Value (kWh)]))=0,"",SUMIFS(measured[Measured Value (kWh)],measured[Site Name],A805,measured[Date],B805)),"")</f>
        <v>3499</v>
      </c>
      <c r="D805" cm="1">
        <f t="array" ref="D805">IFERROR(IF(SUMPRODUCT((expected_production[Site Name]=A805)*(expected_production[Date]=B805)*ISNUMBER(expected_production[Expected Production (kWh)]))=0,"",SUMIFS(expected_production[Expected Production (kWh)],expected_production[Site Name],A805,expected_production[Date],B805)),"")</f>
        <v>4105.1716621139431</v>
      </c>
      <c r="E805" s="9">
        <f t="shared" si="26"/>
        <v>0.85233950928088664</v>
      </c>
      <c r="F805" t="str">
        <f t="shared" si="27"/>
        <v>Moderate</v>
      </c>
    </row>
    <row r="806" spans="1:6" ht="15" hidden="1" customHeight="1" x14ac:dyDescent="0.3">
      <c r="A806" t="s">
        <v>109</v>
      </c>
      <c r="B806" s="2">
        <v>45627</v>
      </c>
      <c r="C806" cm="1">
        <f t="array" ref="C806">IFERROR(IF(SUMPRODUCT((measured[Site Name]=A806)*(measured[Date]=B806)*ISNUMBER(measured[Measured Value (kWh)]))=0,"",SUMIFS(measured[Measured Value (kWh)],measured[Site Name],A806,measured[Date],B806)),"")</f>
        <v>2842</v>
      </c>
      <c r="D806" cm="1">
        <f t="array" ref="D806">IFERROR(IF(SUMPRODUCT((expected_production[Site Name]=A806)*(expected_production[Date]=B806)*ISNUMBER(expected_production[Expected Production (kWh)]))=0,"",SUMIFS(expected_production[Expected Production (kWh)],expected_production[Site Name],A806,expected_production[Date],B806)),"")</f>
        <v>4359.1169940447171</v>
      </c>
      <c r="E806" s="9">
        <f t="shared" si="26"/>
        <v>0.65196690152676506</v>
      </c>
      <c r="F806" t="str">
        <f t="shared" si="27"/>
        <v>Poor</v>
      </c>
    </row>
    <row r="807" spans="1:6" ht="15" hidden="1" customHeight="1" x14ac:dyDescent="0.3">
      <c r="A807" t="s">
        <v>109</v>
      </c>
      <c r="B807" s="2">
        <v>45658</v>
      </c>
      <c r="C807" cm="1">
        <f t="array" ref="C807">IFERROR(IF(SUMPRODUCT((measured[Site Name]=A807)*(measured[Date]=B807)*ISNUMBER(measured[Measured Value (kWh)]))=0,"",SUMIFS(measured[Measured Value (kWh)],measured[Site Name],A807,measured[Date],B807)),"")</f>
        <v>3075</v>
      </c>
      <c r="D807" cm="1">
        <f t="array" ref="D807">IFERROR(IF(SUMPRODUCT((expected_production[Site Name]=A807)*(expected_production[Date]=B807)*ISNUMBER(expected_production[Expected Production (kWh)]))=0,"",SUMIFS(expected_production[Expected Production (kWh)],expected_production[Site Name],A807,expected_production[Date],B807)),"")</f>
        <v>4215.0036416029798</v>
      </c>
      <c r="E807" s="9">
        <f t="shared" si="26"/>
        <v>0.72953673625547977</v>
      </c>
      <c r="F807" t="str">
        <f t="shared" si="27"/>
        <v>Moderate</v>
      </c>
    </row>
    <row r="808" spans="1:6" ht="15" hidden="1" customHeight="1" x14ac:dyDescent="0.3">
      <c r="A808" t="s">
        <v>109</v>
      </c>
      <c r="B808" s="2">
        <v>45689</v>
      </c>
      <c r="C808" cm="1">
        <f t="array" ref="C808">IFERROR(IF(SUMPRODUCT((measured[Site Name]=A808)*(measured[Date]=B808)*ISNUMBER(measured[Measured Value (kWh)]))=0,"",SUMIFS(measured[Measured Value (kWh)],measured[Site Name],A808,measured[Date],B808)),"")</f>
        <v>3328</v>
      </c>
      <c r="D808" cm="1">
        <f t="array" ref="D808">IFERROR(IF(SUMPRODUCT((expected_production[Site Name]=A808)*(expected_production[Date]=B808)*ISNUMBER(expected_production[Expected Production (kWh)]))=0,"",SUMIFS(expected_production[Expected Production (kWh)],expected_production[Site Name],A808,expected_production[Date],B808)),"")</f>
        <v>3678.9926961730184</v>
      </c>
      <c r="E808" s="9">
        <f t="shared" si="26"/>
        <v>0.90459543544673793</v>
      </c>
      <c r="F808" t="str">
        <f t="shared" si="27"/>
        <v>Expected</v>
      </c>
    </row>
    <row r="809" spans="1:6" ht="15" hidden="1" customHeight="1" x14ac:dyDescent="0.3">
      <c r="A809" t="s">
        <v>109</v>
      </c>
      <c r="B809" s="2">
        <v>45717</v>
      </c>
      <c r="C809" cm="1">
        <f t="array" ref="C809">IFERROR(IF(SUMPRODUCT((measured[Site Name]=A809)*(measured[Date]=B809)*ISNUMBER(measured[Measured Value (kWh)]))=0,"",SUMIFS(measured[Measured Value (kWh)],measured[Site Name],A809,measured[Date],B809)),"")</f>
        <v>2317</v>
      </c>
      <c r="D809" cm="1">
        <f t="array" ref="D809">IFERROR(IF(SUMPRODUCT((expected_production[Site Name]=A809)*(expected_production[Date]=B809)*ISNUMBER(expected_production[Expected Production (kWh)]))=0,"",SUMIFS(expected_production[Expected Production (kWh)],expected_production[Site Name],A809,expected_production[Date],B809)),"")</f>
        <v>3765.5824346094696</v>
      </c>
      <c r="E809" s="9">
        <f t="shared" si="26"/>
        <v>0.61530985982525632</v>
      </c>
      <c r="F809" t="str">
        <f t="shared" si="27"/>
        <v>Poor</v>
      </c>
    </row>
    <row r="810" spans="1:6" ht="15" hidden="1" customHeight="1" x14ac:dyDescent="0.3">
      <c r="A810" t="s">
        <v>109</v>
      </c>
      <c r="B810" s="2">
        <v>45748</v>
      </c>
      <c r="C810" cm="1">
        <f t="array" ref="C810">IFERROR(IF(SUMPRODUCT((measured[Site Name]=A810)*(measured[Date]=B810)*ISNUMBER(measured[Measured Value (kWh)]))=0,"",SUMIFS(measured[Measured Value (kWh)],measured[Site Name],A810,measured[Date],B810)),"")</f>
        <v>3007</v>
      </c>
      <c r="D810" cm="1">
        <f t="array" ref="D810">IFERROR(IF(SUMPRODUCT((expected_production[Site Name]=A810)*(expected_production[Date]=B810)*ISNUMBER(expected_production[Expected Production (kWh)]))=0,"",SUMIFS(expected_production[Expected Production (kWh)],expected_production[Site Name],A810,expected_production[Date],B810)),"")</f>
        <v>3163.3856097997182</v>
      </c>
      <c r="E810" s="9">
        <f t="shared" si="26"/>
        <v>0.95056384864518007</v>
      </c>
      <c r="F810" t="str">
        <f t="shared" si="27"/>
        <v>Expected</v>
      </c>
    </row>
    <row r="811" spans="1:6" ht="15" hidden="1" customHeight="1" x14ac:dyDescent="0.3">
      <c r="A811" t="s">
        <v>109</v>
      </c>
      <c r="B811" s="2">
        <v>45778</v>
      </c>
      <c r="C811" cm="1">
        <f t="array" ref="C811">IFERROR(IF(SUMPRODUCT((measured[Site Name]=A811)*(measured[Date]=B811)*ISNUMBER(measured[Measured Value (kWh)]))=0,"",SUMIFS(measured[Measured Value (kWh)],measured[Site Name],A811,measured[Date],B811)),"")</f>
        <v>3516</v>
      </c>
      <c r="D811" cm="1">
        <f t="array" ref="D811">IFERROR(IF(SUMPRODUCT((expected_production[Site Name]=A811)*(expected_production[Date]=B811)*ISNUMBER(expected_production[Expected Production (kWh)]))=0,"",SUMIFS(expected_production[Expected Production (kWh)],expected_production[Site Name],A811,expected_production[Date],B811)),"")</f>
        <v>3031.0951847782653</v>
      </c>
      <c r="E811" s="9">
        <f t="shared" si="26"/>
        <v>1.1599767693396297</v>
      </c>
      <c r="F811" t="str">
        <f t="shared" si="27"/>
        <v>Expected</v>
      </c>
    </row>
    <row r="812" spans="1:6" ht="15" hidden="1" customHeight="1" x14ac:dyDescent="0.3">
      <c r="A812" t="s">
        <v>109</v>
      </c>
      <c r="B812" s="2">
        <v>45809</v>
      </c>
      <c r="C812" cm="1">
        <f t="array" ref="C812">IFERROR(IF(SUMPRODUCT((measured[Site Name]=A812)*(measured[Date]=B812)*ISNUMBER(measured[Measured Value (kWh)]))=0,"",SUMIFS(measured[Measured Value (kWh)],measured[Site Name],A812,measured[Date],B812)),"")</f>
        <v>2912.8</v>
      </c>
      <c r="D812" cm="1">
        <f t="array" ref="D812">IFERROR(IF(SUMPRODUCT((expected_production[Site Name]=A812)*(expected_production[Date]=B812)*ISNUMBER(expected_production[Expected Production (kWh)]))=0,"",SUMIFS(expected_production[Expected Production (kWh)],expected_production[Site Name],A812,expected_production[Date],B812)),"")</f>
        <v>2731.0036749688538</v>
      </c>
      <c r="E812" s="9">
        <f t="shared" si="26"/>
        <v>1.0665675871099733</v>
      </c>
      <c r="F812" t="str">
        <f t="shared" si="27"/>
        <v>Expected</v>
      </c>
    </row>
    <row r="813" spans="1:6" ht="15" hidden="1" customHeight="1" x14ac:dyDescent="0.3">
      <c r="A813" t="s">
        <v>109</v>
      </c>
      <c r="B813" s="2">
        <v>45839</v>
      </c>
      <c r="C813" cm="1">
        <f t="array" ref="C813">IFERROR(IF(SUMPRODUCT((measured[Site Name]=A813)*(measured[Date]=B813)*ISNUMBER(measured[Measured Value (kWh)]))=0,"",SUMIFS(measured[Measured Value (kWh)],measured[Site Name],A813,measured[Date],B813)),"")</f>
        <v>2789</v>
      </c>
      <c r="D813" cm="1">
        <f t="array" ref="D813">IFERROR(IF(SUMPRODUCT((expected_production[Site Name]=A813)*(expected_production[Date]=B813)*ISNUMBER(expected_production[Expected Production (kWh)]))=0,"",SUMIFS(expected_production[Expected Production (kWh)],expected_production[Site Name],A813,expected_production[Date],B813)),"")</f>
        <v>3004.3348807749048</v>
      </c>
      <c r="E813" s="9">
        <f t="shared" si="26"/>
        <v>0.92832527353962491</v>
      </c>
      <c r="F813" t="str">
        <f t="shared" si="27"/>
        <v>Expected</v>
      </c>
    </row>
    <row r="814" spans="1:6" ht="15" hidden="1" customHeight="1" x14ac:dyDescent="0.3">
      <c r="A814" t="s">
        <v>109</v>
      </c>
      <c r="B814" s="2">
        <v>45870</v>
      </c>
      <c r="C814" cm="1">
        <f t="array" ref="C814">IFERROR(IF(SUMPRODUCT((measured[Site Name]=A814)*(measured[Date]=B814)*ISNUMBER(measured[Measured Value (kWh)]))=0,"",SUMIFS(measured[Measured Value (kWh)],measured[Site Name],A814,measured[Date],B814)),"")</f>
        <v>3342</v>
      </c>
      <c r="D814" cm="1">
        <f t="array" ref="D814">IFERROR(IF(SUMPRODUCT((expected_production[Site Name]=A814)*(expected_production[Date]=B814)*ISNUMBER(expected_production[Expected Production (kWh)]))=0,"",SUMIFS(expected_production[Expected Production (kWh)],expected_production[Site Name],A814,expected_production[Date],B814)),"")</f>
        <v>3515.4565591979967</v>
      </c>
      <c r="E814" s="9">
        <f t="shared" si="26"/>
        <v>0.95065888134951992</v>
      </c>
      <c r="F814" t="str">
        <f t="shared" si="27"/>
        <v>Expected</v>
      </c>
    </row>
    <row r="815" spans="1:6" ht="15" hidden="1" customHeight="1" x14ac:dyDescent="0.3">
      <c r="A815" t="s">
        <v>109</v>
      </c>
      <c r="B815" s="2">
        <v>45901</v>
      </c>
      <c r="C815" cm="1">
        <f t="array" ref="C815">IFERROR(IF(SUMPRODUCT((measured[Site Name]=A815)*(measured[Date]=B815)*ISNUMBER(measured[Measured Value (kWh)]))=0,"",SUMIFS(measured[Measured Value (kWh)],measured[Site Name],A815,measured[Date],B815)),"")</f>
        <v>3079</v>
      </c>
      <c r="D815" cm="1">
        <f t="array" ref="D815">IFERROR(IF(SUMPRODUCT((expected_production[Site Name]=A815)*(expected_production[Date]=B815)*ISNUMBER(expected_production[Expected Production (kWh)]))=0,"",SUMIFS(expected_production[Expected Production (kWh)],expected_production[Site Name],A815,expected_production[Date],B815)),"")</f>
        <v>3874.4146235145354</v>
      </c>
      <c r="E815" s="9">
        <f t="shared" si="26"/>
        <v>0.79470069654212594</v>
      </c>
      <c r="F815" t="str">
        <f t="shared" si="27"/>
        <v>Moderate</v>
      </c>
    </row>
    <row r="816" spans="1:6" ht="15" hidden="1" customHeight="1" x14ac:dyDescent="0.3">
      <c r="A816" t="s">
        <v>109</v>
      </c>
      <c r="B816" s="2">
        <v>45931</v>
      </c>
      <c r="C816" cm="1">
        <f t="array" ref="C816">IFERROR(IF(SUMPRODUCT((measured[Site Name]=A816)*(measured[Date]=B816)*ISNUMBER(measured[Measured Value (kWh)]))=0,"",SUMIFS(measured[Measured Value (kWh)],measured[Site Name],A816,measured[Date],B816)),"")</f>
        <v>3708</v>
      </c>
      <c r="D816" cm="1">
        <f t="array" ref="D816">IFERROR(IF(SUMPRODUCT((expected_production[Site Name]=A816)*(expected_production[Date]=B816)*ISNUMBER(expected_production[Expected Production (kWh)]))=0,"",SUMIFS(expected_production[Expected Production (kWh)],expected_production[Site Name],A816,expected_production[Date],B816)),"")</f>
        <v>4061.9576429327872</v>
      </c>
      <c r="E816" s="9">
        <f t="shared" si="26"/>
        <v>0.91286033138513356</v>
      </c>
      <c r="F816" t="str">
        <f t="shared" si="27"/>
        <v>Expected</v>
      </c>
    </row>
    <row r="817" spans="1:7" ht="15" hidden="1" customHeight="1" x14ac:dyDescent="0.3">
      <c r="A817" t="s">
        <v>109</v>
      </c>
      <c r="B817" s="2">
        <v>45962</v>
      </c>
      <c r="C817" cm="1">
        <f t="array" ref="C817">IFERROR(IF(SUMPRODUCT((measured[Site Name]=A817)*(measured[Date]=B817)*ISNUMBER(measured[Measured Value (kWh)]))=0,"",SUMIFS(measured[Measured Value (kWh)],measured[Site Name],A817,measured[Date],B817)),"")</f>
        <v>2852</v>
      </c>
      <c r="D817" cm="1">
        <f t="array" ref="D817">IFERROR(IF(SUMPRODUCT((expected_production[Site Name]=A817)*(expected_production[Date]=B817)*ISNUMBER(expected_production[Expected Production (kWh)]))=0,"",SUMIFS(expected_production[Expected Production (kWh)],expected_production[Site Name],A817,expected_production[Date],B817)),"")</f>
        <v>4076.455060382134</v>
      </c>
      <c r="E817" s="9">
        <f t="shared" si="26"/>
        <v>0.69962748460488333</v>
      </c>
      <c r="F817" t="str">
        <f t="shared" si="27"/>
        <v>Poor</v>
      </c>
    </row>
    <row r="818" spans="1:7" ht="15" hidden="1" customHeight="1" x14ac:dyDescent="0.3">
      <c r="A818" t="s">
        <v>109</v>
      </c>
      <c r="B818" s="2">
        <v>45992</v>
      </c>
      <c r="C818" cm="1">
        <f t="array" ref="C818">IFERROR(IF(SUMPRODUCT((measured[Site Name]=A818)*(measured[Date]=B818)*ISNUMBER(measured[Measured Value (kWh)]))=0,"",SUMIFS(measured[Measured Value (kWh)],measured[Site Name],A818,measured[Date],B818)),"")</f>
        <v>2386</v>
      </c>
      <c r="D818" cm="1">
        <f t="array" ref="D818">IFERROR(IF(SUMPRODUCT((expected_production[Site Name]=A818)*(expected_production[Date]=B818)*ISNUMBER(expected_production[Expected Production (kWh)]))=0,"",SUMIFS(expected_production[Expected Production (kWh)],expected_production[Site Name],A818,expected_production[Date],B818)),"")</f>
        <v>4328.6239874365874</v>
      </c>
      <c r="E818" s="9">
        <f t="shared" si="26"/>
        <v>0.55121442909458851</v>
      </c>
      <c r="F818" t="str">
        <f t="shared" si="27"/>
        <v>Poor</v>
      </c>
    </row>
    <row r="819" spans="1:7" ht="15" hidden="1" customHeight="1" x14ac:dyDescent="0.3">
      <c r="A819" t="s">
        <v>109</v>
      </c>
      <c r="B819" s="2">
        <v>46023</v>
      </c>
      <c r="C819" cm="1">
        <f t="array" ref="C819">IFERROR(IF(SUMPRODUCT((measured[Site Name]=A819)*(measured[Date]=B819)*ISNUMBER(measured[Measured Value (kWh)]))=0,"",SUMIFS(measured[Measured Value (kWh)],measured[Site Name],A819,measured[Date],B819)),"")</f>
        <v>1855</v>
      </c>
      <c r="D819" cm="1">
        <f t="array" ref="D819">IFERROR(IF(SUMPRODUCT((expected_production[Site Name]=A819)*(expected_production[Date]=B819)*ISNUMBER(expected_production[Expected Production (kWh)]))=0,"",SUMIFS(expected_production[Expected Production (kWh)],expected_production[Site Name],A819,expected_production[Date],B819)),"")</f>
        <v>4185.5187404011358</v>
      </c>
      <c r="E819" s="9">
        <f t="shared" si="26"/>
        <v>0.44319476630087162</v>
      </c>
      <c r="F819" t="str">
        <f t="shared" si="27"/>
        <v>Poor</v>
      </c>
    </row>
    <row r="820" spans="1:7" ht="15" hidden="1" customHeight="1" x14ac:dyDescent="0.3">
      <c r="A820" t="s">
        <v>109</v>
      </c>
      <c r="B820" s="2">
        <v>46054</v>
      </c>
      <c r="C820" cm="1">
        <f t="array" ref="C820">IFERROR(IF(SUMPRODUCT((measured[Site Name]=A820)*(measured[Date]=B820)*ISNUMBER(measured[Measured Value (kWh)]))=0,"",SUMIFS(measured[Measured Value (kWh)],measured[Site Name],A820,measured[Date],B820)),"")</f>
        <v>3786</v>
      </c>
      <c r="D820" cm="1">
        <f t="array" ref="D820">IFERROR(IF(SUMPRODUCT((expected_production[Site Name]=A820)*(expected_production[Date]=B820)*ISNUMBER(expected_production[Expected Production (kWh)]))=0,"",SUMIFS(expected_production[Expected Production (kWh)],expected_production[Site Name],A820,expected_production[Date],B820)),"")</f>
        <v>3653.2573124361461</v>
      </c>
      <c r="E820" s="9">
        <f t="shared" si="26"/>
        <v>1.0363354333438219</v>
      </c>
      <c r="F820" t="str">
        <f t="shared" si="27"/>
        <v>Expected</v>
      </c>
    </row>
    <row r="821" spans="1:7" ht="15" hidden="1" customHeight="1" x14ac:dyDescent="0.3">
      <c r="A821" t="s">
        <v>109</v>
      </c>
      <c r="B821" s="2">
        <v>46082</v>
      </c>
      <c r="C821" cm="1">
        <f t="array" ref="C821">IFERROR(IF(SUMPRODUCT((measured[Site Name]=A821)*(measured[Date]=B821)*ISNUMBER(measured[Measured Value (kWh)]))=0,"",SUMIFS(measured[Measured Value (kWh)],measured[Site Name],A821,measured[Date],B821)),"")</f>
        <v>2926</v>
      </c>
      <c r="D821" cm="1">
        <f t="array" ref="D821">IFERROR(IF(SUMPRODUCT((expected_production[Site Name]=A821)*(expected_production[Date]=B821)*ISNUMBER(expected_production[Expected Production (kWh)]))=0,"",SUMIFS(expected_production[Expected Production (kWh)],expected_production[Site Name],A821,expected_production[Date],B821)),"")</f>
        <v>3739.2413361212052</v>
      </c>
      <c r="E821" s="9">
        <f t="shared" si="26"/>
        <v>0.78251167469046068</v>
      </c>
      <c r="F821" t="str">
        <f t="shared" si="27"/>
        <v>Moderate</v>
      </c>
    </row>
    <row r="822" spans="1:7" ht="15" hidden="1" customHeight="1" x14ac:dyDescent="0.3">
      <c r="A822" t="s">
        <v>109</v>
      </c>
      <c r="B822" s="2">
        <v>46113</v>
      </c>
      <c r="C822" cm="1">
        <f t="array" ref="C822">IFERROR(IF(SUMPRODUCT((measured[Site Name]=A822)*(measured[Date]=B822)*ISNUMBER(measured[Measured Value (kWh)]))=0,"",SUMIFS(measured[Measured Value (kWh)],measured[Site Name],A822,measured[Date],B822)),"")</f>
        <v>1520</v>
      </c>
      <c r="D822" cm="1">
        <f t="array" ref="D822">IFERROR(IF(SUMPRODUCT((expected_production[Site Name]=A822)*(expected_production[Date]=B822)*ISNUMBER(expected_production[Expected Production (kWh)]))=0,"",SUMIFS(expected_production[Expected Production (kWh)],expected_production[Site Name],A822,expected_production[Date],B822)),"")</f>
        <v>3141.2570139314575</v>
      </c>
      <c r="E822" s="9">
        <f t="shared" si="26"/>
        <v>0.48388272378185176</v>
      </c>
      <c r="F822" t="str">
        <f t="shared" si="27"/>
        <v>Poor</v>
      </c>
    </row>
    <row r="823" spans="1:7" ht="15" hidden="1" customHeight="1" x14ac:dyDescent="0.3">
      <c r="A823" t="s">
        <v>109</v>
      </c>
      <c r="B823" s="2">
        <v>46143</v>
      </c>
      <c r="C823" cm="1">
        <f t="array" ref="C823">IFERROR(IF(SUMPRODUCT((measured[Site Name]=A823)*(measured[Date]=B823)*ISNUMBER(measured[Measured Value (kWh)]))=0,"",SUMIFS(measured[Measured Value (kWh)],measured[Site Name],A823,measured[Date],B823)),"")</f>
        <v>2675.6</v>
      </c>
      <c r="D823" cm="1">
        <f t="array" ref="D823">IFERROR(IF(SUMPRODUCT((expected_production[Site Name]=A823)*(expected_production[Date]=B823)*ISNUMBER(expected_production[Expected Production (kWh)]))=0,"",SUMIFS(expected_production[Expected Production (kWh)],expected_production[Site Name],A823,expected_production[Date],B823)),"")</f>
        <v>3009.8919902722259</v>
      </c>
      <c r="E823" s="9">
        <f t="shared" si="26"/>
        <v>0.88893555271995284</v>
      </c>
      <c r="F823" t="str">
        <f t="shared" si="27"/>
        <v>Moderate</v>
      </c>
    </row>
    <row r="824" spans="1:7" ht="15" hidden="1" customHeight="1" x14ac:dyDescent="0.3">
      <c r="A824" t="s">
        <v>109</v>
      </c>
      <c r="B824" s="2">
        <v>46174</v>
      </c>
      <c r="C824" cm="1">
        <f t="array" ref="C824">IFERROR(IF(SUMPRODUCT((measured[Site Name]=A824)*(measured[Date]=B824)*ISNUMBER(measured[Measured Value (kWh)]))=0,"",SUMIFS(measured[Measured Value (kWh)],measured[Site Name],A824,measured[Date],B824)),"")</f>
        <v>2896</v>
      </c>
      <c r="D824" cm="1">
        <f t="array" ref="D824">IFERROR(IF(SUMPRODUCT((expected_production[Site Name]=A824)*(expected_production[Date]=B824)*ISNUMBER(expected_production[Expected Production (kWh)]))=0,"",SUMIFS(expected_production[Expected Production (kWh)],expected_production[Site Name],A824,expected_production[Date],B824)),"")</f>
        <v>2711.8996882620463</v>
      </c>
      <c r="E824" s="9">
        <f t="shared" si="26"/>
        <v>1.0678861067519561</v>
      </c>
      <c r="F824" t="str">
        <f t="shared" si="27"/>
        <v>Expected</v>
      </c>
    </row>
    <row r="825" spans="1:7" ht="15" hidden="1" customHeight="1" x14ac:dyDescent="0.3">
      <c r="A825" t="s">
        <v>107</v>
      </c>
      <c r="B825" s="2">
        <v>46204</v>
      </c>
      <c r="C825" cm="1">
        <f t="array" ref="C825">IFERROR(IF(SUMPRODUCT((measured[Site Name]=A825)*(measured[Date]=B825)*ISNUMBER(measured[Measured Value (kWh)]))=0,"",SUMIFS(measured[Measured Value (kWh)],measured[Site Name],A825,measured[Date],B825)),"")</f>
        <v>1400</v>
      </c>
      <c r="D825" cm="1">
        <f t="array" ref="D825">IFERROR(IF(SUMPRODUCT((expected_production[Site Name]=A825)*(expected_production[Date]=B825)*ISNUMBER(expected_production[Expected Production (kWh)]))=0,"",SUMIFS(expected_production[Expected Production (kWh)],expected_production[Site Name],A825,expected_production[Date],B825)),"")</f>
        <v>2643.6147395129001</v>
      </c>
      <c r="E825" s="9">
        <f t="shared" si="26"/>
        <v>0.52957792187902442</v>
      </c>
      <c r="F825" t="str">
        <f t="shared" si="27"/>
        <v>Poor</v>
      </c>
      <c r="G825" t="s">
        <v>874</v>
      </c>
    </row>
    <row r="826" spans="1:7" ht="15" hidden="1" customHeight="1" x14ac:dyDescent="0.3">
      <c r="A826" t="s">
        <v>109</v>
      </c>
      <c r="B826" s="2">
        <v>46235</v>
      </c>
      <c r="C826" cm="1">
        <f t="array" ref="C826">IFERROR(IF(SUMPRODUCT((measured[Site Name]=A826)*(measured[Date]=B826)*ISNUMBER(measured[Measured Value (kWh)]))=0,"",SUMIFS(measured[Measured Value (kWh)],measured[Site Name],A826,measured[Date],B826)),"")</f>
        <v>2805</v>
      </c>
      <c r="D826" cm="1">
        <f t="array" ref="D826">IFERROR(IF(SUMPRODUCT((expected_production[Site Name]=A826)*(expected_production[Date]=B826)*ISNUMBER(expected_production[Expected Production (kWh)]))=0,"",SUMIFS(expected_production[Expected Production (kWh)],expected_production[Site Name],A826,expected_production[Date],B826)),"")</f>
        <v>3490.8651476261889</v>
      </c>
      <c r="E826" s="9">
        <f t="shared" si="26"/>
        <v>0.80352573971739305</v>
      </c>
      <c r="F826" t="str">
        <f t="shared" si="27"/>
        <v>Moderate</v>
      </c>
      <c r="G826" t="s">
        <v>874</v>
      </c>
    </row>
    <row r="827" spans="1:7" ht="15" customHeight="1" x14ac:dyDescent="0.3">
      <c r="A827" t="s">
        <v>149</v>
      </c>
      <c r="B827" s="2">
        <v>46266</v>
      </c>
      <c r="C827" cm="1">
        <f t="array" ref="C827">IFERROR(IF(SUMPRODUCT((measured[Site Name]=A827)*(measured[Date]=B827)*ISNUMBER(measured[Measured Value (kWh)]))=0,"",SUMIFS(measured[Measured Value (kWh)],measured[Site Name],A827,measured[Date],B827)),"")</f>
        <v>6058.46</v>
      </c>
      <c r="D827" cm="1">
        <f t="array" ref="D827">IFERROR(IF(SUMPRODUCT((expected_production[Site Name]=A827)*(expected_production[Date]=B827)*ISNUMBER(expected_production[Expected Production (kWh)]))=0,"",SUMIFS(expected_production[Expected Production (kWh)],expected_production[Site Name],A827,expected_production[Date],B827)),"")</f>
        <v>8097.5337387415584</v>
      </c>
      <c r="E827" s="9">
        <f t="shared" si="26"/>
        <v>0.74818582984274773</v>
      </c>
      <c r="F827" t="str">
        <f t="shared" si="27"/>
        <v>Moderate</v>
      </c>
      <c r="G827" t="s">
        <v>874</v>
      </c>
    </row>
    <row r="828" spans="1:7" ht="15" hidden="1" customHeight="1" x14ac:dyDescent="0.3">
      <c r="A828" t="s">
        <v>109</v>
      </c>
      <c r="B828" s="2">
        <v>46296</v>
      </c>
      <c r="C828" t="str" cm="1">
        <f t="array" ref="C828">IFERROR(IF(SUMPRODUCT((measured[Site Name]=A828)*(measured[Date]=B828)*ISNUMBER(measured[Measured Value (kWh)]))=0,"",SUMIFS(measured[Measured Value (kWh)],measured[Site Name],A828,measured[Date],B828)),"")</f>
        <v/>
      </c>
      <c r="D828" cm="1">
        <f t="array" ref="D828">IFERROR(IF(SUMPRODUCT((expected_production[Site Name]=A828)*(expected_production[Date]=B828)*ISNUMBER(expected_production[Expected Production (kWh)]))=0,"",SUMIFS(expected_production[Expected Production (kWh)],expected_production[Site Name],A828,expected_production[Date],B828)),"")</f>
        <v>4033.5433330124288</v>
      </c>
      <c r="E828" s="9" t="str">
        <f t="shared" si="26"/>
        <v/>
      </c>
      <c r="F828" t="str">
        <f t="shared" si="27"/>
        <v/>
      </c>
    </row>
    <row r="829" spans="1:7" ht="15" hidden="1" customHeight="1" x14ac:dyDescent="0.3">
      <c r="A829" t="s">
        <v>109</v>
      </c>
      <c r="B829" s="2">
        <v>46327</v>
      </c>
      <c r="C829" t="str" cm="1">
        <f t="array" ref="C829">IFERROR(IF(SUMPRODUCT((measured[Site Name]=A829)*(measured[Date]=B829)*ISNUMBER(measured[Measured Value (kWh)]))=0,"",SUMIFS(measured[Measured Value (kWh)],measured[Site Name],A829,measured[Date],B829)),"")</f>
        <v/>
      </c>
      <c r="D829" cm="1">
        <f t="array" ref="D829">IFERROR(IF(SUMPRODUCT((expected_production[Site Name]=A829)*(expected_production[Date]=B829)*ISNUMBER(expected_production[Expected Production (kWh)]))=0,"",SUMIFS(expected_production[Expected Production (kWh)],expected_production[Site Name],A829,expected_production[Date],B829)),"")</f>
        <v>4047.9393377567048</v>
      </c>
      <c r="E829" s="9" t="str">
        <f t="shared" si="26"/>
        <v/>
      </c>
      <c r="F829" t="str">
        <f t="shared" si="27"/>
        <v/>
      </c>
    </row>
    <row r="830" spans="1:7" ht="15" hidden="1" customHeight="1" x14ac:dyDescent="0.3">
      <c r="A830" t="s">
        <v>109</v>
      </c>
      <c r="B830" s="2">
        <v>46357</v>
      </c>
      <c r="C830" t="str" cm="1">
        <f t="array" ref="C830">IFERROR(IF(SUMPRODUCT((measured[Site Name]=A830)*(measured[Date]=B830)*ISNUMBER(measured[Measured Value (kWh)]))=0,"",SUMIFS(measured[Measured Value (kWh)],measured[Site Name],A830,measured[Date],B830)),"")</f>
        <v/>
      </c>
      <c r="D830" cm="1">
        <f t="array" ref="D830">IFERROR(IF(SUMPRODUCT((expected_production[Site Name]=A830)*(expected_production[Date]=B830)*ISNUMBER(expected_production[Expected Production (kWh)]))=0,"",SUMIFS(expected_production[Expected Production (kWh)],expected_production[Site Name],A830,expected_production[Date],B830)),"")</f>
        <v>4298.3442862876318</v>
      </c>
      <c r="E830" s="9" t="str">
        <f t="shared" si="26"/>
        <v/>
      </c>
      <c r="F830" t="str">
        <f t="shared" si="27"/>
        <v/>
      </c>
    </row>
    <row r="831" spans="1:7" ht="15" hidden="1" customHeight="1" x14ac:dyDescent="0.3">
      <c r="A831" t="s">
        <v>113</v>
      </c>
      <c r="B831" s="2">
        <v>45292</v>
      </c>
      <c r="C831" cm="1">
        <f t="array" ref="C831">IFERROR(IF(SUMPRODUCT((measured[Site Name]=A831)*(measured[Date]=B831)*ISNUMBER(measured[Measured Value (kWh)]))=0,"",SUMIFS(measured[Measured Value (kWh)],measured[Site Name],A831,measured[Date],B831)),"")</f>
        <v>32658</v>
      </c>
      <c r="D831" cm="1">
        <f t="array" ref="D831">IFERROR(IF(SUMPRODUCT((expected_production[Site Name]=A831)*(expected_production[Date]=B831)*ISNUMBER(expected_production[Expected Production (kWh)]))=0,"",SUMIFS(expected_production[Expected Production (kWh)],expected_production[Site Name],A831,expected_production[Date],B831)),"")</f>
        <v>38406.690466736065</v>
      </c>
      <c r="E831" s="9">
        <f t="shared" si="26"/>
        <v>0.85032059787304526</v>
      </c>
      <c r="F831" t="str">
        <f t="shared" si="27"/>
        <v>Moderate</v>
      </c>
    </row>
    <row r="832" spans="1:7" ht="15" hidden="1" customHeight="1" x14ac:dyDescent="0.3">
      <c r="A832" t="s">
        <v>113</v>
      </c>
      <c r="B832" s="2">
        <v>45323</v>
      </c>
      <c r="C832" cm="1">
        <f t="array" ref="C832">IFERROR(IF(SUMPRODUCT((measured[Site Name]=A832)*(measured[Date]=B832)*ISNUMBER(measured[Measured Value (kWh)]))=0,"",SUMIFS(measured[Measured Value (kWh)],measured[Site Name],A832,measured[Date],B832)),"")</f>
        <v>26200</v>
      </c>
      <c r="D832" cm="1">
        <f t="array" ref="D832">IFERROR(IF(SUMPRODUCT((expected_production[Site Name]=A832)*(expected_production[Date]=B832)*ISNUMBER(expected_production[Expected Production (kWh)]))=0,"",SUMIFS(expected_production[Expected Production (kWh)],expected_production[Site Name],A832,expected_production[Date],B832)),"")</f>
        <v>32048.769887935952</v>
      </c>
      <c r="E832" s="9">
        <f t="shared" si="26"/>
        <v>0.81750407555774574</v>
      </c>
      <c r="F832" t="str">
        <f t="shared" si="27"/>
        <v>Moderate</v>
      </c>
    </row>
    <row r="833" spans="1:6" ht="15" hidden="1" customHeight="1" x14ac:dyDescent="0.3">
      <c r="A833" t="s">
        <v>113</v>
      </c>
      <c r="B833" s="2">
        <v>45352</v>
      </c>
      <c r="C833" cm="1">
        <f t="array" ref="C833">IFERROR(IF(SUMPRODUCT((measured[Site Name]=A833)*(measured[Date]=B833)*ISNUMBER(measured[Measured Value (kWh)]))=0,"",SUMIFS(measured[Measured Value (kWh)],measured[Site Name],A833,measured[Date],B833)),"")</f>
        <v>23764</v>
      </c>
      <c r="D833" cm="1">
        <f t="array" ref="D833">IFERROR(IF(SUMPRODUCT((expected_production[Site Name]=A833)*(expected_production[Date]=B833)*ISNUMBER(expected_production[Expected Production (kWh)]))=0,"",SUMIFS(expected_production[Expected Production (kWh)],expected_production[Site Name],A833,expected_production[Date],B833)),"")</f>
        <v>31211.966815088177</v>
      </c>
      <c r="E833" s="9">
        <f t="shared" si="26"/>
        <v>0.76137464007914568</v>
      </c>
      <c r="F833" t="str">
        <f t="shared" si="27"/>
        <v>Moderate</v>
      </c>
    </row>
    <row r="834" spans="1:6" ht="15" hidden="1" customHeight="1" x14ac:dyDescent="0.3">
      <c r="A834" t="s">
        <v>113</v>
      </c>
      <c r="B834" s="2">
        <v>45383</v>
      </c>
      <c r="C834" cm="1">
        <f t="array" ref="C834">IFERROR(IF(SUMPRODUCT((measured[Site Name]=A834)*(measured[Date]=B834)*ISNUMBER(measured[Measured Value (kWh)]))=0,"",SUMIFS(measured[Measured Value (kWh)],measured[Site Name],A834,measured[Date],B834)),"")</f>
        <v>17748</v>
      </c>
      <c r="D834" cm="1">
        <f t="array" ref="D834">IFERROR(IF(SUMPRODUCT((expected_production[Site Name]=A834)*(expected_production[Date]=B834)*ISNUMBER(expected_production[Expected Production (kWh)]))=0,"",SUMIFS(expected_production[Expected Production (kWh)],expected_production[Site Name],A834,expected_production[Date],B834)),"")</f>
        <v>22862.266663924776</v>
      </c>
      <c r="E834" s="9">
        <f t="shared" si="26"/>
        <v>0.77630097929026576</v>
      </c>
      <c r="F834" t="str">
        <f t="shared" si="27"/>
        <v>Moderate</v>
      </c>
    </row>
    <row r="835" spans="1:6" ht="15" hidden="1" customHeight="1" x14ac:dyDescent="0.3">
      <c r="A835" t="s">
        <v>113</v>
      </c>
      <c r="B835" s="2">
        <v>45413</v>
      </c>
      <c r="C835" cm="1">
        <f t="array" ref="C835">IFERROR(IF(SUMPRODUCT((measured[Site Name]=A835)*(measured[Date]=B835)*ISNUMBER(measured[Measured Value (kWh)]))=0,"",SUMIFS(measured[Measured Value (kWh)],measured[Site Name],A835,measured[Date],B835)),"")</f>
        <v>12623</v>
      </c>
      <c r="D835" cm="1">
        <f t="array" ref="D835">IFERROR(IF(SUMPRODUCT((expected_production[Site Name]=A835)*(expected_production[Date]=B835)*ISNUMBER(expected_production[Expected Production (kWh)]))=0,"",SUMIFS(expected_production[Expected Production (kWh)],expected_production[Site Name],A835,expected_production[Date],B835)),"")</f>
        <v>17370.758887447446</v>
      </c>
      <c r="E835" s="9">
        <f t="shared" si="26"/>
        <v>0.72668097472250925</v>
      </c>
      <c r="F835" t="str">
        <f t="shared" si="27"/>
        <v>Moderate</v>
      </c>
    </row>
    <row r="836" spans="1:6" ht="15" hidden="1" customHeight="1" x14ac:dyDescent="0.3">
      <c r="A836" t="s">
        <v>113</v>
      </c>
      <c r="B836" s="2">
        <v>45444</v>
      </c>
      <c r="C836" cm="1">
        <f t="array" ref="C836">IFERROR(IF(SUMPRODUCT((measured[Site Name]=A836)*(measured[Date]=B836)*ISNUMBER(measured[Measured Value (kWh)]))=0,"",SUMIFS(measured[Measured Value (kWh)],measured[Site Name],A836,measured[Date],B836)),"")</f>
        <v>9466</v>
      </c>
      <c r="D836" cm="1">
        <f t="array" ref="D836">IFERROR(IF(SUMPRODUCT((expected_production[Site Name]=A836)*(expected_production[Date]=B836)*ISNUMBER(expected_production[Expected Production (kWh)]))=0,"",SUMIFS(expected_production[Expected Production (kWh)],expected_production[Site Name],A836,expected_production[Date],B836)),"")</f>
        <v>14433.279916173646</v>
      </c>
      <c r="E836" s="9">
        <f t="shared" si="26"/>
        <v>0.6558453833762754</v>
      </c>
      <c r="F836" t="str">
        <f t="shared" si="27"/>
        <v>Poor</v>
      </c>
    </row>
    <row r="837" spans="1:6" ht="15" hidden="1" customHeight="1" x14ac:dyDescent="0.3">
      <c r="A837" t="s">
        <v>113</v>
      </c>
      <c r="B837" s="2">
        <v>45474</v>
      </c>
      <c r="C837" cm="1">
        <f t="array" ref="C837">IFERROR(IF(SUMPRODUCT((measured[Site Name]=A837)*(measured[Date]=B837)*ISNUMBER(measured[Measured Value (kWh)]))=0,"",SUMIFS(measured[Measured Value (kWh)],measured[Site Name],A837,measured[Date],B837)),"")</f>
        <v>8265</v>
      </c>
      <c r="D837" cm="1">
        <f t="array" ref="D837">IFERROR(IF(SUMPRODUCT((expected_production[Site Name]=A837)*(expected_production[Date]=B837)*ISNUMBER(expected_production[Expected Production (kWh)]))=0,"",SUMIFS(expected_production[Expected Production (kWh)],expected_production[Site Name],A837,expected_production[Date],B837)),"")</f>
        <v>16212.156533873846</v>
      </c>
      <c r="E837" s="9">
        <f t="shared" si="26"/>
        <v>0.5098026275980635</v>
      </c>
      <c r="F837" t="str">
        <f t="shared" si="27"/>
        <v>Poor</v>
      </c>
    </row>
    <row r="838" spans="1:6" ht="15" hidden="1" customHeight="1" x14ac:dyDescent="0.3">
      <c r="A838" t="s">
        <v>113</v>
      </c>
      <c r="B838" s="2">
        <v>45505</v>
      </c>
      <c r="C838" cm="1">
        <f t="array" ref="C838">IFERROR(IF(SUMPRODUCT((measured[Site Name]=A838)*(measured[Date]=B838)*ISNUMBER(measured[Measured Value (kWh)]))=0,"",SUMIFS(measured[Measured Value (kWh)],measured[Site Name],A838,measured[Date],B838)),"")</f>
        <v>14669</v>
      </c>
      <c r="D838" cm="1">
        <f t="array" ref="D838">IFERROR(IF(SUMPRODUCT((expected_production[Site Name]=A838)*(expected_production[Date]=B838)*ISNUMBER(expected_production[Expected Production (kWh)]))=0,"",SUMIFS(expected_production[Expected Production (kWh)],expected_production[Site Name],A838,expected_production[Date],B838)),"")</f>
        <v>20174.120090162851</v>
      </c>
      <c r="E838" s="9">
        <f t="shared" si="26"/>
        <v>0.72711969267758969</v>
      </c>
      <c r="F838" t="str">
        <f t="shared" si="27"/>
        <v>Moderate</v>
      </c>
    </row>
    <row r="839" spans="1:6" ht="15" hidden="1" customHeight="1" x14ac:dyDescent="0.3">
      <c r="A839" t="s">
        <v>113</v>
      </c>
      <c r="B839" s="2">
        <v>45536</v>
      </c>
      <c r="C839" cm="1">
        <f t="array" ref="C839">IFERROR(IF(SUMPRODUCT((measured[Site Name]=A839)*(measured[Date]=B839)*ISNUMBER(measured[Measured Value (kWh)]))=0,"",SUMIFS(measured[Measured Value (kWh)],measured[Site Name],A839,measured[Date],B839)),"")</f>
        <v>20334</v>
      </c>
      <c r="D839" cm="1">
        <f t="array" ref="D839">IFERROR(IF(SUMPRODUCT((expected_production[Site Name]=A839)*(expected_production[Date]=B839)*ISNUMBER(expected_production[Expected Production (kWh)]))=0,"",SUMIFS(expected_production[Expected Production (kWh)],expected_production[Site Name],A839,expected_production[Date],B839)),"")</f>
        <v>25763.957007544497</v>
      </c>
      <c r="E839" s="9">
        <f t="shared" si="26"/>
        <v>0.78924211812826595</v>
      </c>
      <c r="F839" t="str">
        <f t="shared" si="27"/>
        <v>Moderate</v>
      </c>
    </row>
    <row r="840" spans="1:6" ht="15" hidden="1" customHeight="1" x14ac:dyDescent="0.3">
      <c r="A840" t="s">
        <v>113</v>
      </c>
      <c r="B840" s="2">
        <v>45566</v>
      </c>
      <c r="C840" cm="1">
        <f t="array" ref="C840">IFERROR(IF(SUMPRODUCT((measured[Site Name]=A840)*(measured[Date]=B840)*ISNUMBER(measured[Measured Value (kWh)]))=0,"",SUMIFS(measured[Measured Value (kWh)],measured[Site Name],A840,measured[Date],B840)),"")</f>
        <v>26318</v>
      </c>
      <c r="D840" cm="1">
        <f t="array" ref="D840">IFERROR(IF(SUMPRODUCT((expected_production[Site Name]=A840)*(expected_production[Date]=B840)*ISNUMBER(expected_production[Expected Production (kWh)]))=0,"",SUMIFS(expected_production[Expected Production (kWh)],expected_production[Site Name],A840,expected_production[Date],B840)),"")</f>
        <v>31860.528834349709</v>
      </c>
      <c r="E840" s="9">
        <f t="shared" si="26"/>
        <v>0.82603776405700602</v>
      </c>
      <c r="F840" t="str">
        <f t="shared" si="27"/>
        <v>Moderate</v>
      </c>
    </row>
    <row r="841" spans="1:6" ht="15" hidden="1" customHeight="1" x14ac:dyDescent="0.3">
      <c r="A841" t="s">
        <v>113</v>
      </c>
      <c r="B841" s="2">
        <v>45597</v>
      </c>
      <c r="C841" cm="1">
        <f t="array" ref="C841">IFERROR(IF(SUMPRODUCT((measured[Site Name]=A841)*(measured[Date]=B841)*ISNUMBER(measured[Measured Value (kWh)]))=0,"",SUMIFS(measured[Measured Value (kWh)],measured[Site Name],A841,measured[Date],B841)),"")</f>
        <v>29589</v>
      </c>
      <c r="D841" cm="1">
        <f t="array" ref="D841">IFERROR(IF(SUMPRODUCT((expected_production[Site Name]=A841)*(expected_production[Date]=B841)*ISNUMBER(expected_production[Expected Production (kWh)]))=0,"",SUMIFS(expected_production[Expected Production (kWh)],expected_production[Site Name],A841,expected_production[Date],B841)),"")</f>
        <v>35782.19440532825</v>
      </c>
      <c r="E841" s="9">
        <f t="shared" si="26"/>
        <v>0.82691965911386267</v>
      </c>
      <c r="F841" t="str">
        <f t="shared" si="27"/>
        <v>Moderate</v>
      </c>
    </row>
    <row r="842" spans="1:6" ht="15" hidden="1" customHeight="1" x14ac:dyDescent="0.3">
      <c r="A842" t="s">
        <v>113</v>
      </c>
      <c r="B842" s="2">
        <v>45627</v>
      </c>
      <c r="C842" cm="1">
        <f t="array" ref="C842">IFERROR(IF(SUMPRODUCT((measured[Site Name]=A842)*(measured[Date]=B842)*ISNUMBER(measured[Measured Value (kWh)]))=0,"",SUMIFS(measured[Measured Value (kWh)],measured[Site Name],A842,measured[Date],B842)),"")</f>
        <v>31807</v>
      </c>
      <c r="D842" cm="1">
        <f t="array" ref="D842">IFERROR(IF(SUMPRODUCT((expected_production[Site Name]=A842)*(expected_production[Date]=B842)*ISNUMBER(expected_production[Expected Production (kWh)]))=0,"",SUMIFS(expected_production[Expected Production (kWh)],expected_production[Site Name],A842,expected_production[Date],B842)),"")</f>
        <v>38665.821477741571</v>
      </c>
      <c r="E842" s="9">
        <f t="shared" si="26"/>
        <v>0.8226128085319504</v>
      </c>
      <c r="F842" t="str">
        <f t="shared" si="27"/>
        <v>Moderate</v>
      </c>
    </row>
    <row r="843" spans="1:6" ht="15" hidden="1" customHeight="1" x14ac:dyDescent="0.3">
      <c r="A843" t="s">
        <v>113</v>
      </c>
      <c r="B843" s="2">
        <v>45658</v>
      </c>
      <c r="C843" cm="1">
        <f t="array" ref="C843">IFERROR(IF(SUMPRODUCT((measured[Site Name]=A843)*(measured[Date]=B843)*ISNUMBER(measured[Measured Value (kWh)]))=0,"",SUMIFS(measured[Measured Value (kWh)],measured[Site Name],A843,measured[Date],B843)),"")</f>
        <v>32545</v>
      </c>
      <c r="D843" cm="1">
        <f t="array" ref="D843">IFERROR(IF(SUMPRODUCT((expected_production[Site Name]=A843)*(expected_production[Date]=B843)*ISNUMBER(expected_production[Expected Production (kWh)]))=0,"",SUMIFS(expected_production[Expected Production (kWh)],expected_production[Site Name],A843,expected_production[Date],B843)),"")</f>
        <v>38137.293527239126</v>
      </c>
      <c r="E843" s="9">
        <f t="shared" si="26"/>
        <v>0.85336417427616107</v>
      </c>
      <c r="F843" t="str">
        <f t="shared" si="27"/>
        <v>Moderate</v>
      </c>
    </row>
    <row r="844" spans="1:6" ht="15" hidden="1" customHeight="1" x14ac:dyDescent="0.3">
      <c r="A844" t="s">
        <v>113</v>
      </c>
      <c r="B844" s="2">
        <v>45689</v>
      </c>
      <c r="C844" cm="1">
        <f t="array" ref="C844">IFERROR(IF(SUMPRODUCT((measured[Site Name]=A844)*(measured[Date]=B844)*ISNUMBER(measured[Measured Value (kWh)]))=0,"",SUMIFS(measured[Measured Value (kWh)],measured[Site Name],A844,measured[Date],B844)),"")</f>
        <v>20706</v>
      </c>
      <c r="D844" cm="1">
        <f t="array" ref="D844">IFERROR(IF(SUMPRODUCT((expected_production[Site Name]=A844)*(expected_production[Date]=B844)*ISNUMBER(expected_production[Expected Production (kWh)]))=0,"",SUMIFS(expected_production[Expected Production (kWh)],expected_production[Site Name],A844,expected_production[Date],B844)),"")</f>
        <v>31823.969458179337</v>
      </c>
      <c r="E844" s="9">
        <f t="shared" si="26"/>
        <v>0.65064165006852037</v>
      </c>
      <c r="F844" t="str">
        <f t="shared" si="27"/>
        <v>Poor</v>
      </c>
    </row>
    <row r="845" spans="1:6" ht="15" hidden="1" customHeight="1" x14ac:dyDescent="0.3">
      <c r="A845" t="s">
        <v>113</v>
      </c>
      <c r="B845" s="2">
        <v>45717</v>
      </c>
      <c r="C845" cm="1">
        <f t="array" ref="C845">IFERROR(IF(SUMPRODUCT((measured[Site Name]=A845)*(measured[Date]=B845)*ISNUMBER(measured[Measured Value (kWh)]))=0,"",SUMIFS(measured[Measured Value (kWh)],measured[Site Name],A845,measured[Date],B845)),"")</f>
        <v>16650</v>
      </c>
      <c r="D845" cm="1">
        <f t="array" ref="D845">IFERROR(IF(SUMPRODUCT((expected_production[Site Name]=A845)*(expected_production[Date]=B845)*ISNUMBER(expected_production[Expected Production (kWh)]))=0,"",SUMIFS(expected_production[Expected Production (kWh)],expected_production[Site Name],A845,expected_production[Date],B845)),"")</f>
        <v>30993.632067100127</v>
      </c>
      <c r="E845" s="9">
        <f t="shared" si="26"/>
        <v>0.53720712577194352</v>
      </c>
      <c r="F845" t="str">
        <f t="shared" si="27"/>
        <v>Poor</v>
      </c>
    </row>
    <row r="846" spans="1:6" ht="15" hidden="1" customHeight="1" x14ac:dyDescent="0.3">
      <c r="A846" t="s">
        <v>113</v>
      </c>
      <c r="B846" s="2">
        <v>45748</v>
      </c>
      <c r="C846" cm="1">
        <f t="array" ref="C846">IFERROR(IF(SUMPRODUCT((measured[Site Name]=A846)*(measured[Date]=B846)*ISNUMBER(measured[Measured Value (kWh)]))=0,"",SUMIFS(measured[Measured Value (kWh)],measured[Site Name],A846,measured[Date],B846)),"")</f>
        <v>13216</v>
      </c>
      <c r="D846" cm="1">
        <f t="array" ref="D846">IFERROR(IF(SUMPRODUCT((expected_production[Site Name]=A846)*(expected_production[Date]=B846)*ISNUMBER(expected_production[Expected Production (kWh)]))=0,"",SUMIFS(expected_production[Expected Production (kWh)],expected_production[Site Name],A846,expected_production[Date],B846)),"")</f>
        <v>22702.339951837839</v>
      </c>
      <c r="E846" s="9">
        <f t="shared" si="26"/>
        <v>0.58214263498992824</v>
      </c>
      <c r="F846" t="str">
        <f t="shared" si="27"/>
        <v>Poor</v>
      </c>
    </row>
    <row r="847" spans="1:6" ht="15" hidden="1" customHeight="1" x14ac:dyDescent="0.3">
      <c r="A847" t="s">
        <v>113</v>
      </c>
      <c r="B847" s="2">
        <v>45778</v>
      </c>
      <c r="C847" cm="1">
        <f t="array" ref="C847">IFERROR(IF(SUMPRODUCT((measured[Site Name]=A847)*(measured[Date]=B847)*ISNUMBER(measured[Measured Value (kWh)]))=0,"",SUMIFS(measured[Measured Value (kWh)],measured[Site Name],A847,measured[Date],B847)),"")</f>
        <v>8710</v>
      </c>
      <c r="D847" cm="1">
        <f t="array" ref="D847">IFERROR(IF(SUMPRODUCT((expected_production[Site Name]=A847)*(expected_production[Date]=B847)*ISNUMBER(expected_production[Expected Production (kWh)]))=0,"",SUMIFS(expected_production[Expected Production (kWh)],expected_production[Site Name],A847,expected_production[Date],B847)),"")</f>
        <v>17249.246510911831</v>
      </c>
      <c r="E847" s="9">
        <f t="shared" si="26"/>
        <v>0.50494959269612594</v>
      </c>
      <c r="F847" t="str">
        <f t="shared" si="27"/>
        <v>Poor</v>
      </c>
    </row>
    <row r="848" spans="1:6" ht="15" hidden="1" customHeight="1" x14ac:dyDescent="0.3">
      <c r="A848" t="s">
        <v>113</v>
      </c>
      <c r="B848" s="2">
        <v>45809</v>
      </c>
      <c r="C848" cm="1">
        <f t="array" ref="C848">IFERROR(IF(SUMPRODUCT((measured[Site Name]=A848)*(measured[Date]=B848)*ISNUMBER(measured[Measured Value (kWh)]))=0,"",SUMIFS(measured[Measured Value (kWh)],measured[Site Name],A848,measured[Date],B848)),"")</f>
        <v>7500.92</v>
      </c>
      <c r="D848" cm="1">
        <f t="array" ref="D848">IFERROR(IF(SUMPRODUCT((expected_production[Site Name]=A848)*(expected_production[Date]=B848)*ISNUMBER(expected_production[Expected Production (kWh)]))=0,"",SUMIFS(expected_production[Expected Production (kWh)],expected_production[Site Name],A848,expected_production[Date],B848)),"")</f>
        <v>14332.3158676147</v>
      </c>
      <c r="E848" s="9">
        <f t="shared" si="26"/>
        <v>0.52335715102044877</v>
      </c>
      <c r="F848" t="str">
        <f t="shared" si="27"/>
        <v>Poor</v>
      </c>
    </row>
    <row r="849" spans="1:7" ht="15" hidden="1" customHeight="1" x14ac:dyDescent="0.3">
      <c r="A849" t="s">
        <v>113</v>
      </c>
      <c r="B849" s="2">
        <v>45839</v>
      </c>
      <c r="C849" cm="1">
        <f t="array" ref="C849">IFERROR(IF(SUMPRODUCT((measured[Site Name]=A849)*(measured[Date]=B849)*ISNUMBER(measured[Measured Value (kWh)]))=0,"",SUMIFS(measured[Measured Value (kWh)],measured[Site Name],A849,measured[Date],B849)),"")</f>
        <v>9649</v>
      </c>
      <c r="D849" cm="1">
        <f t="array" ref="D849">IFERROR(IF(SUMPRODUCT((expected_production[Site Name]=A849)*(expected_production[Date]=B849)*ISNUMBER(expected_production[Expected Production (kWh)]))=0,"",SUMIFS(expected_production[Expected Production (kWh)],expected_production[Site Name],A849,expected_production[Date],B849)),"")</f>
        <v>16098.748842133795</v>
      </c>
      <c r="E849" s="9">
        <f t="shared" si="26"/>
        <v>0.59936334771224875</v>
      </c>
      <c r="F849" t="str">
        <f t="shared" si="27"/>
        <v>Poor</v>
      </c>
    </row>
    <row r="850" spans="1:7" ht="15" hidden="1" customHeight="1" x14ac:dyDescent="0.3">
      <c r="A850" t="s">
        <v>113</v>
      </c>
      <c r="B850" s="2">
        <v>45870</v>
      </c>
      <c r="C850" cm="1">
        <f t="array" ref="C850">IFERROR(IF(SUMPRODUCT((measured[Site Name]=A850)*(measured[Date]=B850)*ISNUMBER(measured[Measured Value (kWh)]))=0,"",SUMIFS(measured[Measured Value (kWh)],measured[Site Name],A850,measured[Date],B850)),"")</f>
        <v>13424</v>
      </c>
      <c r="D850" cm="1">
        <f t="array" ref="D850">IFERROR(IF(SUMPRODUCT((expected_production[Site Name]=A850)*(expected_production[Date]=B850)*ISNUMBER(expected_production[Expected Production (kWh)]))=0,"",SUMIFS(expected_production[Expected Production (kWh)],expected_production[Site Name],A850,expected_production[Date],B850)),"")</f>
        <v>20032.997569693009</v>
      </c>
      <c r="E850" s="9">
        <f t="shared" si="26"/>
        <v>0.67009442562447796</v>
      </c>
      <c r="F850" t="str">
        <f t="shared" si="27"/>
        <v>Poor</v>
      </c>
    </row>
    <row r="851" spans="1:7" ht="15" hidden="1" customHeight="1" x14ac:dyDescent="0.3">
      <c r="A851" t="s">
        <v>113</v>
      </c>
      <c r="B851" s="2">
        <v>45901</v>
      </c>
      <c r="C851" cm="1">
        <f t="array" ref="C851">IFERROR(IF(SUMPRODUCT((measured[Site Name]=A851)*(measured[Date]=B851)*ISNUMBER(measured[Measured Value (kWh)]))=0,"",SUMIFS(measured[Measured Value (kWh)],measured[Site Name],A851,measured[Date],B851)),"")</f>
        <v>19447</v>
      </c>
      <c r="D851" cm="1">
        <f t="array" ref="D851">IFERROR(IF(SUMPRODUCT((expected_production[Site Name]=A851)*(expected_production[Date]=B851)*ISNUMBER(expected_production[Expected Production (kWh)]))=0,"",SUMIFS(expected_production[Expected Production (kWh)],expected_production[Site Name],A851,expected_production[Date],B851)),"")</f>
        <v>25583.732317003753</v>
      </c>
      <c r="E851" s="9">
        <f t="shared" si="26"/>
        <v>0.76013146788105312</v>
      </c>
      <c r="F851" t="str">
        <f t="shared" si="27"/>
        <v>Moderate</v>
      </c>
    </row>
    <row r="852" spans="1:7" ht="15" hidden="1" customHeight="1" x14ac:dyDescent="0.3">
      <c r="A852" t="s">
        <v>113</v>
      </c>
      <c r="B852" s="2">
        <v>45931</v>
      </c>
      <c r="C852" cm="1">
        <f t="array" ref="C852">IFERROR(IF(SUMPRODUCT((measured[Site Name]=A852)*(measured[Date]=B852)*ISNUMBER(measured[Measured Value (kWh)]))=0,"",SUMIFS(measured[Measured Value (kWh)],measured[Site Name],A852,measured[Date],B852)),"")</f>
        <v>33678</v>
      </c>
      <c r="D852" cm="1">
        <f t="array" ref="D852">IFERROR(IF(SUMPRODUCT((expected_production[Site Name]=A852)*(expected_production[Date]=B852)*ISNUMBER(expected_production[Expected Production (kWh)]))=0,"",SUMIFS(expected_production[Expected Production (kWh)],expected_production[Site Name],A852,expected_production[Date],B852)),"")</f>
        <v>31637.657248748408</v>
      </c>
      <c r="E852" s="9">
        <f t="shared" si="26"/>
        <v>1.0644909556737898</v>
      </c>
      <c r="F852" t="str">
        <f t="shared" si="27"/>
        <v>Expected</v>
      </c>
    </row>
    <row r="853" spans="1:7" ht="15" hidden="1" customHeight="1" x14ac:dyDescent="0.3">
      <c r="A853" t="s">
        <v>113</v>
      </c>
      <c r="B853" s="2">
        <v>45962</v>
      </c>
      <c r="C853" cm="1">
        <f t="array" ref="C853">IFERROR(IF(SUMPRODUCT((measured[Site Name]=A853)*(measured[Date]=B853)*ISNUMBER(measured[Measured Value (kWh)]))=0,"",SUMIFS(measured[Measured Value (kWh)],measured[Site Name],A853,measured[Date],B853)),"")</f>
        <v>40164</v>
      </c>
      <c r="D853" cm="1">
        <f t="array" ref="D853">IFERROR(IF(SUMPRODUCT((expected_production[Site Name]=A853)*(expected_production[Date]=B853)*ISNUMBER(expected_production[Expected Production (kWh)]))=0,"",SUMIFS(expected_production[Expected Production (kWh)],expected_production[Site Name],A853,expected_production[Date],B853)),"")</f>
        <v>35531.889884493947</v>
      </c>
      <c r="E853" s="9">
        <f t="shared" si="26"/>
        <v>1.130364867463115</v>
      </c>
      <c r="F853" t="str">
        <f t="shared" si="27"/>
        <v>Expected</v>
      </c>
    </row>
    <row r="854" spans="1:7" ht="15" hidden="1" customHeight="1" x14ac:dyDescent="0.3">
      <c r="A854" t="s">
        <v>113</v>
      </c>
      <c r="B854" s="2">
        <v>45992</v>
      </c>
      <c r="C854" cm="1">
        <f t="array" ref="C854">IFERROR(IF(SUMPRODUCT((measured[Site Name]=A854)*(measured[Date]=B854)*ISNUMBER(measured[Measured Value (kWh)]))=0,"",SUMIFS(measured[Measured Value (kWh)],measured[Site Name],A854,measured[Date],B854)),"")</f>
        <v>42482</v>
      </c>
      <c r="D854" cm="1">
        <f t="array" ref="D854">IFERROR(IF(SUMPRODUCT((expected_production[Site Name]=A854)*(expected_production[Date]=B854)*ISNUMBER(expected_production[Expected Production (kWh)]))=0,"",SUMIFS(expected_production[Expected Production (kWh)],expected_production[Site Name],A854,expected_production[Date],B854)),"")</f>
        <v>38395.345335109872</v>
      </c>
      <c r="E854" s="9">
        <f t="shared" ref="E854:E917" si="28">IF(OR(C854="",D854="",D854=0),"",C854/D854)</f>
        <v>1.1064362002535022</v>
      </c>
      <c r="F854" t="str">
        <f t="shared" ref="F854:F917" si="29">IF(E854="","",IF(E854&gt;=0.9,"Expected",IF(E854&gt;=0.7,"Moderate","Poor")))</f>
        <v>Expected</v>
      </c>
    </row>
    <row r="855" spans="1:7" ht="15" hidden="1" customHeight="1" x14ac:dyDescent="0.3">
      <c r="A855" t="s">
        <v>113</v>
      </c>
      <c r="B855" s="2">
        <v>46023</v>
      </c>
      <c r="C855" cm="1">
        <f t="array" ref="C855">IFERROR(IF(SUMPRODUCT((measured[Site Name]=A855)*(measured[Date]=B855)*ISNUMBER(measured[Measured Value (kWh)]))=0,"",SUMIFS(measured[Measured Value (kWh)],measured[Site Name],A855,measured[Date],B855)),"")</f>
        <v>40719</v>
      </c>
      <c r="D855" cm="1">
        <f t="array" ref="D855">IFERROR(IF(SUMPRODUCT((expected_production[Site Name]=A855)*(expected_production[Date]=B855)*ISNUMBER(expected_production[Expected Production (kWh)]))=0,"",SUMIFS(expected_production[Expected Production (kWh)],expected_production[Site Name],A855,expected_production[Date],B855)),"")</f>
        <v>37870.514556835027</v>
      </c>
      <c r="E855" s="9">
        <f t="shared" si="28"/>
        <v>1.0752164441518228</v>
      </c>
      <c r="F855" t="str">
        <f t="shared" si="29"/>
        <v>Expected</v>
      </c>
    </row>
    <row r="856" spans="1:7" ht="15" hidden="1" customHeight="1" x14ac:dyDescent="0.3">
      <c r="A856" t="s">
        <v>113</v>
      </c>
      <c r="B856" s="2">
        <v>46054</v>
      </c>
      <c r="C856" cm="1">
        <f t="array" ref="C856">IFERROR(IF(SUMPRODUCT((measured[Site Name]=A856)*(measured[Date]=B856)*ISNUMBER(measured[Measured Value (kWh)]))=0,"",SUMIFS(measured[Measured Value (kWh)],measured[Site Name],A856,measured[Date],B856)),"")</f>
        <v>29862</v>
      </c>
      <c r="D856" cm="1">
        <f t="array" ref="D856">IFERROR(IF(SUMPRODUCT((expected_production[Site Name]=A856)*(expected_production[Date]=B856)*ISNUMBER(expected_production[Expected Production (kWh)]))=0,"",SUMIFS(expected_production[Expected Production (kWh)],expected_production[Site Name],A856,expected_production[Date],B856)),"")</f>
        <v>31601.353613660624</v>
      </c>
      <c r="E856" s="9">
        <f t="shared" si="28"/>
        <v>0.94495952183172505</v>
      </c>
      <c r="F856" t="str">
        <f t="shared" si="29"/>
        <v>Expected</v>
      </c>
    </row>
    <row r="857" spans="1:7" ht="15" hidden="1" customHeight="1" x14ac:dyDescent="0.3">
      <c r="A857" t="s">
        <v>113</v>
      </c>
      <c r="B857" s="2">
        <v>46082</v>
      </c>
      <c r="C857" cm="1">
        <f t="array" ref="C857">IFERROR(IF(SUMPRODUCT((measured[Site Name]=A857)*(measured[Date]=B857)*ISNUMBER(measured[Measured Value (kWh)]))=0,"",SUMIFS(measured[Measured Value (kWh)],measured[Site Name],A857,measured[Date],B857)),"")</f>
        <v>30793</v>
      </c>
      <c r="D857" cm="1">
        <f t="array" ref="D857">IFERROR(IF(SUMPRODUCT((expected_production[Site Name]=A857)*(expected_production[Date]=B857)*ISNUMBER(expected_production[Expected Production (kWh)]))=0,"",SUMIFS(expected_production[Expected Production (kWh)],expected_production[Site Name],A857,expected_production[Date],B857)),"")</f>
        <v>30776.824619921455</v>
      </c>
      <c r="E857" s="9">
        <f t="shared" si="28"/>
        <v>1.0005255701417641</v>
      </c>
      <c r="F857" t="str">
        <f t="shared" si="29"/>
        <v>Expected</v>
      </c>
    </row>
    <row r="858" spans="1:7" ht="15" hidden="1" customHeight="1" x14ac:dyDescent="0.3">
      <c r="A858" t="s">
        <v>113</v>
      </c>
      <c r="B858" s="2">
        <v>46113</v>
      </c>
      <c r="C858" cm="1">
        <f t="array" ref="C858">IFERROR(IF(SUMPRODUCT((measured[Site Name]=A858)*(measured[Date]=B858)*ISNUMBER(measured[Measured Value (kWh)]))=0,"",SUMIFS(measured[Measured Value (kWh)],measured[Site Name],A858,measured[Date],B858)),"")</f>
        <v>19657.41</v>
      </c>
      <c r="D858" cm="1">
        <f t="array" ref="D858">IFERROR(IF(SUMPRODUCT((expected_production[Site Name]=A858)*(expected_production[Date]=B858)*ISNUMBER(expected_production[Expected Production (kWh)]))=0,"",SUMIFS(expected_production[Expected Production (kWh)],expected_production[Site Name],A858,expected_production[Date],B858)),"")</f>
        <v>22543.531963174737</v>
      </c>
      <c r="E858" s="9">
        <f t="shared" si="28"/>
        <v>0.87197560844106992</v>
      </c>
      <c r="F858" t="str">
        <f t="shared" si="29"/>
        <v>Moderate</v>
      </c>
    </row>
    <row r="859" spans="1:7" ht="15" hidden="1" customHeight="1" x14ac:dyDescent="0.3">
      <c r="A859" t="s">
        <v>113</v>
      </c>
      <c r="B859" s="2">
        <v>46143</v>
      </c>
      <c r="C859" cm="1">
        <f t="array" ref="C859">IFERROR(IF(SUMPRODUCT((measured[Site Name]=A859)*(measured[Date]=B859)*ISNUMBER(measured[Measured Value (kWh)]))=0,"",SUMIFS(measured[Measured Value (kWh)],measured[Site Name],A859,measured[Date],B859)),"")</f>
        <v>14538.69</v>
      </c>
      <c r="D859" cm="1">
        <f t="array" ref="D859">IFERROR(IF(SUMPRODUCT((expected_production[Site Name]=A859)*(expected_production[Date]=B859)*ISNUMBER(expected_production[Expected Production (kWh)]))=0,"",SUMIFS(expected_production[Expected Production (kWh)],expected_production[Site Name],A859,expected_production[Date],B859)),"")</f>
        <v>17128.584140858206</v>
      </c>
      <c r="E859" s="9">
        <f t="shared" si="28"/>
        <v>0.84879695136737432</v>
      </c>
      <c r="F859" t="str">
        <f t="shared" si="29"/>
        <v>Moderate</v>
      </c>
    </row>
    <row r="860" spans="1:7" ht="15" hidden="1" customHeight="1" x14ac:dyDescent="0.3">
      <c r="A860" t="s">
        <v>113</v>
      </c>
      <c r="B860" s="2">
        <v>46174</v>
      </c>
      <c r="C860" cm="1">
        <f t="array" ref="C860">IFERROR(IF(SUMPRODUCT((measured[Site Name]=A860)*(measured[Date]=B860)*ISNUMBER(measured[Measured Value (kWh)]))=0,"",SUMIFS(measured[Measured Value (kWh)],measured[Site Name],A860,measured[Date],B860)),"")</f>
        <v>14538.69</v>
      </c>
      <c r="D860" cm="1">
        <f t="array" ref="D860">IFERROR(IF(SUMPRODUCT((expected_production[Site Name]=A860)*(expected_production[Date]=B860)*ISNUMBER(expected_production[Expected Production (kWh)]))=0,"",SUMIFS(expected_production[Expected Production (kWh)],expected_production[Site Name],A860,expected_production[Date],B860)),"")</f>
        <v>14232.058085348699</v>
      </c>
      <c r="E860" s="9">
        <f t="shared" si="28"/>
        <v>1.0215451562108904</v>
      </c>
      <c r="F860" t="str">
        <f t="shared" si="29"/>
        <v>Expected</v>
      </c>
    </row>
    <row r="861" spans="1:7" ht="15" hidden="1" customHeight="1" x14ac:dyDescent="0.3">
      <c r="A861" t="s">
        <v>228</v>
      </c>
      <c r="B861" s="2">
        <v>46204</v>
      </c>
      <c r="C861" cm="1">
        <f t="array" ref="C861">IFERROR(IF(SUMPRODUCT((measured[Site Name]=A861)*(measured[Date]=B861)*ISNUMBER(measured[Measured Value (kWh)]))=0,"",SUMIFS(measured[Measured Value (kWh)],measured[Site Name],A861,measured[Date],B861)),"")</f>
        <v>8390</v>
      </c>
      <c r="D861" cm="1">
        <f t="array" ref="D861">IFERROR(IF(SUMPRODUCT((expected_production[Site Name]=A861)*(expected_production[Date]=B861)*ISNUMBER(expected_production[Expected Production (kWh)]))=0,"",SUMIFS(expected_production[Expected Production (kWh)],expected_production[Site Name],A861,expected_production[Date],B861)),"")</f>
        <v>25573.896258970093</v>
      </c>
      <c r="E861" s="9">
        <f t="shared" si="28"/>
        <v>0.32806889943714351</v>
      </c>
      <c r="F861" t="str">
        <f t="shared" si="29"/>
        <v>Poor</v>
      </c>
      <c r="G861" t="s">
        <v>875</v>
      </c>
    </row>
    <row r="862" spans="1:7" ht="15" hidden="1" customHeight="1" x14ac:dyDescent="0.3">
      <c r="A862" t="s">
        <v>113</v>
      </c>
      <c r="B862" s="2">
        <v>46235</v>
      </c>
      <c r="C862" cm="1">
        <f t="array" ref="C862">IFERROR(IF(SUMPRODUCT((measured[Site Name]=A862)*(measured[Date]=B862)*ISNUMBER(measured[Measured Value (kWh)]))=0,"",SUMIFS(measured[Measured Value (kWh)],measured[Site Name],A862,measured[Date],B862)),"")</f>
        <v>20567</v>
      </c>
      <c r="D862" cm="1">
        <f t="array" ref="D862">IFERROR(IF(SUMPRODUCT((expected_production[Site Name]=A862)*(expected_production[Date]=B862)*ISNUMBER(expected_production[Expected Production (kWh)]))=0,"",SUMIFS(expected_production[Expected Production (kWh)],expected_production[Site Name],A862,expected_production[Date],B862)),"")</f>
        <v>19892.862233085201</v>
      </c>
      <c r="E862" s="9">
        <f t="shared" si="28"/>
        <v>1.0338884248538953</v>
      </c>
      <c r="F862" t="str">
        <f t="shared" si="29"/>
        <v>Expected</v>
      </c>
      <c r="G862" t="s">
        <v>874</v>
      </c>
    </row>
    <row r="863" spans="1:7" ht="15" customHeight="1" x14ac:dyDescent="0.3">
      <c r="A863" t="s">
        <v>113</v>
      </c>
      <c r="B863" s="2">
        <v>46266</v>
      </c>
      <c r="C863" cm="1">
        <f t="array" ref="C863">IFERROR(IF(SUMPRODUCT((measured[Site Name]=A863)*(measured[Date]=B863)*ISNUMBER(measured[Measured Value (kWh)]))=0,"",SUMIFS(measured[Measured Value (kWh)],measured[Site Name],A863,measured[Date],B863)),"")</f>
        <v>24320.29</v>
      </c>
      <c r="D863" cm="1">
        <f t="array" ref="D863">IFERROR(IF(SUMPRODUCT((expected_production[Site Name]=A863)*(expected_production[Date]=B863)*ISNUMBER(expected_production[Expected Production (kWh)]))=0,"",SUMIFS(expected_production[Expected Production (kWh)],expected_production[Site Name],A863,expected_production[Date],B863)),"")</f>
        <v>25404.76833882451</v>
      </c>
      <c r="E863" s="9">
        <f t="shared" si="28"/>
        <v>0.95731201621834239</v>
      </c>
      <c r="F863" t="str">
        <f t="shared" si="29"/>
        <v>Expected</v>
      </c>
      <c r="G863" t="s">
        <v>874</v>
      </c>
    </row>
    <row r="864" spans="1:7" ht="15" hidden="1" customHeight="1" x14ac:dyDescent="0.3">
      <c r="A864" t="s">
        <v>113</v>
      </c>
      <c r="B864" s="2">
        <v>46296</v>
      </c>
      <c r="C864" t="str" cm="1">
        <f t="array" ref="C864">IFERROR(IF(SUMPRODUCT((measured[Site Name]=A864)*(measured[Date]=B864)*ISNUMBER(measured[Measured Value (kWh)]))=0,"",SUMIFS(measured[Measured Value (kWh)],measured[Site Name],A864,measured[Date],B864)),"")</f>
        <v/>
      </c>
      <c r="D864" cm="1">
        <f t="array" ref="D864">IFERROR(IF(SUMPRODUCT((expected_production[Site Name]=A864)*(expected_production[Date]=B864)*ISNUMBER(expected_production[Expected Production (kWh)]))=0,"",SUMIFS(expected_production[Expected Production (kWh)],expected_production[Site Name],A864,expected_production[Date],B864)),"")</f>
        <v>31416.344700158919</v>
      </c>
      <c r="E864" s="9" t="str">
        <f t="shared" si="28"/>
        <v/>
      </c>
      <c r="F864" t="str">
        <f t="shared" si="29"/>
        <v/>
      </c>
    </row>
    <row r="865" spans="1:6" ht="15" hidden="1" customHeight="1" x14ac:dyDescent="0.3">
      <c r="A865" t="s">
        <v>113</v>
      </c>
      <c r="B865" s="2">
        <v>46327</v>
      </c>
      <c r="C865" t="str" cm="1">
        <f t="array" ref="C865">IFERROR(IF(SUMPRODUCT((measured[Site Name]=A865)*(measured[Date]=B865)*ISNUMBER(measured[Measured Value (kWh)]))=0,"",SUMIFS(measured[Measured Value (kWh)],measured[Site Name],A865,measured[Date],B865)),"")</f>
        <v/>
      </c>
      <c r="D865" cm="1">
        <f t="array" ref="D865">IFERROR(IF(SUMPRODUCT((expected_production[Site Name]=A865)*(expected_production[Date]=B865)*ISNUMBER(expected_production[Expected Production (kWh)]))=0,"",SUMIFS(expected_production[Expected Production (kWh)],expected_production[Site Name],A865,expected_production[Date],B865)),"")</f>
        <v>35283.336300241128</v>
      </c>
      <c r="E865" s="9" t="str">
        <f t="shared" si="28"/>
        <v/>
      </c>
      <c r="F865" t="str">
        <f t="shared" si="29"/>
        <v/>
      </c>
    </row>
    <row r="866" spans="1:6" ht="15" hidden="1" customHeight="1" x14ac:dyDescent="0.3">
      <c r="A866" t="s">
        <v>113</v>
      </c>
      <c r="B866" s="2">
        <v>46357</v>
      </c>
      <c r="C866" t="str" cm="1">
        <f t="array" ref="C866">IFERROR(IF(SUMPRODUCT((measured[Site Name]=A866)*(measured[Date]=B866)*ISNUMBER(measured[Measured Value (kWh)]))=0,"",SUMIFS(measured[Measured Value (kWh)],measured[Site Name],A866,measured[Date],B866)),"")</f>
        <v/>
      </c>
      <c r="D866" cm="1">
        <f t="array" ref="D866">IFERROR(IF(SUMPRODUCT((expected_production[Site Name]=A866)*(expected_production[Date]=B866)*ISNUMBER(expected_production[Expected Production (kWh)]))=0,"",SUMIFS(expected_production[Expected Production (kWh)],expected_production[Site Name],A866,expected_production[Date],B866)),"")</f>
        <v>38126.761234104</v>
      </c>
      <c r="E866" s="9" t="str">
        <f t="shared" si="28"/>
        <v/>
      </c>
      <c r="F866" t="str">
        <f t="shared" si="29"/>
        <v/>
      </c>
    </row>
    <row r="867" spans="1:6" ht="15" hidden="1" customHeight="1" x14ac:dyDescent="0.3">
      <c r="A867" t="s">
        <v>114</v>
      </c>
      <c r="B867" s="2">
        <v>45292</v>
      </c>
      <c r="C867" cm="1">
        <f t="array" ref="C867">IFERROR(IF(SUMPRODUCT((measured[Site Name]=A867)*(measured[Date]=B867)*ISNUMBER(measured[Measured Value (kWh)]))=0,"",SUMIFS(measured[Measured Value (kWh)],measured[Site Name],A867,measured[Date],B867)),"")</f>
        <v>17880</v>
      </c>
      <c r="D867" cm="1">
        <f t="array" ref="D867">IFERROR(IF(SUMPRODUCT((expected_production[Site Name]=A867)*(expected_production[Date]=B867)*ISNUMBER(expected_production[Expected Production (kWh)]))=0,"",SUMIFS(expected_production[Expected Production (kWh)],expected_production[Site Name],A867,expected_production[Date],B867)),"")</f>
        <v>29258.200055500169</v>
      </c>
      <c r="E867" s="9">
        <f t="shared" si="28"/>
        <v>0.61111073019130535</v>
      </c>
      <c r="F867" t="str">
        <f t="shared" si="29"/>
        <v>Poor</v>
      </c>
    </row>
    <row r="868" spans="1:6" ht="15" hidden="1" customHeight="1" x14ac:dyDescent="0.3">
      <c r="A868" t="s">
        <v>114</v>
      </c>
      <c r="B868" s="2">
        <v>45323</v>
      </c>
      <c r="C868" cm="1">
        <f t="array" ref="C868">IFERROR(IF(SUMPRODUCT((measured[Site Name]=A868)*(measured[Date]=B868)*ISNUMBER(measured[Measured Value (kWh)]))=0,"",SUMIFS(measured[Measured Value (kWh)],measured[Site Name],A868,measured[Date],B868)),"")</f>
        <v>18790</v>
      </c>
      <c r="D868" cm="1">
        <f t="array" ref="D868">IFERROR(IF(SUMPRODUCT((expected_production[Site Name]=A868)*(expected_production[Date]=B868)*ISNUMBER(expected_production[Expected Production (kWh)]))=0,"",SUMIFS(expected_production[Expected Production (kWh)],expected_production[Site Name],A868,expected_production[Date],B868)),"")</f>
        <v>25545.485614889956</v>
      </c>
      <c r="E868" s="9">
        <f t="shared" si="28"/>
        <v>0.73555070681638102</v>
      </c>
      <c r="F868" t="str">
        <f t="shared" si="29"/>
        <v>Moderate</v>
      </c>
    </row>
    <row r="869" spans="1:6" ht="15" hidden="1" customHeight="1" x14ac:dyDescent="0.3">
      <c r="A869" t="s">
        <v>114</v>
      </c>
      <c r="B869" s="2">
        <v>45352</v>
      </c>
      <c r="C869" cm="1">
        <f t="array" ref="C869">IFERROR(IF(SUMPRODUCT((measured[Site Name]=A869)*(measured[Date]=B869)*ISNUMBER(measured[Measured Value (kWh)]))=0,"",SUMIFS(measured[Measured Value (kWh)],measured[Site Name],A869,measured[Date],B869)),"")</f>
        <v>22610</v>
      </c>
      <c r="D869" cm="1">
        <f t="array" ref="D869">IFERROR(IF(SUMPRODUCT((expected_production[Site Name]=A869)*(expected_production[Date]=B869)*ISNUMBER(expected_production[Expected Production (kWh)]))=0,"",SUMIFS(expected_production[Expected Production (kWh)],expected_production[Site Name],A869,expected_production[Date],B869)),"")</f>
        <v>24067.20012571989</v>
      </c>
      <c r="E869" s="9">
        <f t="shared" si="28"/>
        <v>0.93945286040304188</v>
      </c>
      <c r="F869" t="str">
        <f t="shared" si="29"/>
        <v>Expected</v>
      </c>
    </row>
    <row r="870" spans="1:6" ht="15" hidden="1" customHeight="1" x14ac:dyDescent="0.3">
      <c r="A870" t="s">
        <v>114</v>
      </c>
      <c r="B870" s="2">
        <v>45383</v>
      </c>
      <c r="C870" cm="1">
        <f t="array" ref="C870">IFERROR(IF(SUMPRODUCT((measured[Site Name]=A870)*(measured[Date]=B870)*ISNUMBER(measured[Measured Value (kWh)]))=0,"",SUMIFS(measured[Measured Value (kWh)],measured[Site Name],A870,measured[Date],B870)),"")</f>
        <v>20030</v>
      </c>
      <c r="D870" cm="1">
        <f t="array" ref="D870">IFERROR(IF(SUMPRODUCT((expected_production[Site Name]=A870)*(expected_production[Date]=B870)*ISNUMBER(expected_production[Expected Production (kWh)]))=0,"",SUMIFS(expected_production[Expected Production (kWh)],expected_production[Site Name],A870,expected_production[Date],B870)),"")</f>
        <v>21415.39466978686</v>
      </c>
      <c r="E870" s="9">
        <f t="shared" si="28"/>
        <v>0.93530846892392816</v>
      </c>
      <c r="F870" t="str">
        <f t="shared" si="29"/>
        <v>Expected</v>
      </c>
    </row>
    <row r="871" spans="1:6" ht="15" hidden="1" customHeight="1" x14ac:dyDescent="0.3">
      <c r="A871" t="s">
        <v>114</v>
      </c>
      <c r="B871" s="2">
        <v>45413</v>
      </c>
      <c r="C871" cm="1">
        <f t="array" ref="C871">IFERROR(IF(SUMPRODUCT((measured[Site Name]=A871)*(measured[Date]=B871)*ISNUMBER(measured[Measured Value (kWh)]))=0,"",SUMIFS(measured[Measured Value (kWh)],measured[Site Name],A871,measured[Date],B871)),"")</f>
        <v>17820</v>
      </c>
      <c r="D871" cm="1">
        <f t="array" ref="D871">IFERROR(IF(SUMPRODUCT((expected_production[Site Name]=A871)*(expected_production[Date]=B871)*ISNUMBER(expected_production[Expected Production (kWh)]))=0,"",SUMIFS(expected_production[Expected Production (kWh)],expected_production[Site Name],A871,expected_production[Date],B871)),"")</f>
        <v>19169.331496491213</v>
      </c>
      <c r="E871" s="9">
        <f t="shared" si="28"/>
        <v>0.9296098824970398</v>
      </c>
      <c r="F871" t="str">
        <f t="shared" si="29"/>
        <v>Expected</v>
      </c>
    </row>
    <row r="872" spans="1:6" ht="15" hidden="1" customHeight="1" x14ac:dyDescent="0.3">
      <c r="A872" t="s">
        <v>114</v>
      </c>
      <c r="B872" s="2">
        <v>45444</v>
      </c>
      <c r="C872" cm="1">
        <f t="array" ref="C872">IFERROR(IF(SUMPRODUCT((measured[Site Name]=A872)*(measured[Date]=B872)*ISNUMBER(measured[Measured Value (kWh)]))=0,"",SUMIFS(measured[Measured Value (kWh)],measured[Site Name],A872,measured[Date],B872)),"")</f>
        <v>11000</v>
      </c>
      <c r="D872" cm="1">
        <f t="array" ref="D872">IFERROR(IF(SUMPRODUCT((expected_production[Site Name]=A872)*(expected_production[Date]=B872)*ISNUMBER(expected_production[Expected Production (kWh)]))=0,"",SUMIFS(expected_production[Expected Production (kWh)],expected_production[Site Name],A872,expected_production[Date],B872)),"")</f>
        <v>16949.646098593916</v>
      </c>
      <c r="E872" s="9">
        <f t="shared" si="28"/>
        <v>0.64898110178905277</v>
      </c>
      <c r="F872" t="str">
        <f t="shared" si="29"/>
        <v>Poor</v>
      </c>
    </row>
    <row r="873" spans="1:6" ht="15" hidden="1" customHeight="1" x14ac:dyDescent="0.3">
      <c r="A873" t="s">
        <v>114</v>
      </c>
      <c r="B873" s="2">
        <v>45474</v>
      </c>
      <c r="C873" cm="1">
        <f t="array" ref="C873">IFERROR(IF(SUMPRODUCT((measured[Site Name]=A873)*(measured[Date]=B873)*ISNUMBER(measured[Measured Value (kWh)]))=0,"",SUMIFS(measured[Measured Value (kWh)],measured[Site Name],A873,measured[Date],B873)),"")</f>
        <v>17460</v>
      </c>
      <c r="D873" cm="1">
        <f t="array" ref="D873">IFERROR(IF(SUMPRODUCT((expected_production[Site Name]=A873)*(expected_production[Date]=B873)*ISNUMBER(expected_production[Expected Production (kWh)]))=0,"",SUMIFS(expected_production[Expected Production (kWh)],expected_production[Site Name],A873,expected_production[Date],B873)),"")</f>
        <v>18858.483341154104</v>
      </c>
      <c r="E873" s="9">
        <f t="shared" si="28"/>
        <v>0.92584327616090678</v>
      </c>
      <c r="F873" t="str">
        <f t="shared" si="29"/>
        <v>Expected</v>
      </c>
    </row>
    <row r="874" spans="1:6" ht="15" hidden="1" customHeight="1" x14ac:dyDescent="0.3">
      <c r="A874" t="s">
        <v>114</v>
      </c>
      <c r="B874" s="2">
        <v>45505</v>
      </c>
      <c r="C874" cm="1">
        <f t="array" ref="C874">IFERROR(IF(SUMPRODUCT((measured[Site Name]=A874)*(measured[Date]=B874)*ISNUMBER(measured[Measured Value (kWh)]))=0,"",SUMIFS(measured[Measured Value (kWh)],measured[Site Name],A874,measured[Date],B874)),"")</f>
        <v>24290</v>
      </c>
      <c r="D874" cm="1">
        <f t="array" ref="D874">IFERROR(IF(SUMPRODUCT((expected_production[Site Name]=A874)*(expected_production[Date]=B874)*ISNUMBER(expected_production[Expected Production (kWh)]))=0,"",SUMIFS(expected_production[Expected Production (kWh)],expected_production[Site Name],A874,expected_production[Date],B874)),"")</f>
        <v>21979.081666616978</v>
      </c>
      <c r="E874" s="9">
        <f t="shared" si="28"/>
        <v>1.1051417146737741</v>
      </c>
      <c r="F874" t="str">
        <f t="shared" si="29"/>
        <v>Expected</v>
      </c>
    </row>
    <row r="875" spans="1:6" ht="15" hidden="1" customHeight="1" x14ac:dyDescent="0.3">
      <c r="A875" t="s">
        <v>114</v>
      </c>
      <c r="B875" s="2">
        <v>45536</v>
      </c>
      <c r="C875" cm="1">
        <f t="array" ref="C875">IFERROR(IF(SUMPRODUCT((measured[Site Name]=A875)*(measured[Date]=B875)*ISNUMBER(measured[Measured Value (kWh)]))=0,"",SUMIFS(measured[Measured Value (kWh)],measured[Site Name],A875,measured[Date],B875)),"")</f>
        <v>22510</v>
      </c>
      <c r="D875" cm="1">
        <f t="array" ref="D875">IFERROR(IF(SUMPRODUCT((expected_production[Site Name]=A875)*(expected_production[Date]=B875)*ISNUMBER(expected_production[Expected Production (kWh)]))=0,"",SUMIFS(expected_production[Expected Production (kWh)],expected_production[Site Name],A875,expected_production[Date],B875)),"")</f>
        <v>24435.181558452754</v>
      </c>
      <c r="E875" s="9">
        <f t="shared" si="28"/>
        <v>0.92121271725166354</v>
      </c>
      <c r="F875" t="str">
        <f t="shared" si="29"/>
        <v>Expected</v>
      </c>
    </row>
    <row r="876" spans="1:6" ht="15" hidden="1" customHeight="1" x14ac:dyDescent="0.3">
      <c r="A876" t="s">
        <v>114</v>
      </c>
      <c r="B876" s="2">
        <v>45566</v>
      </c>
      <c r="C876" cm="1">
        <f t="array" ref="C876">IFERROR(IF(SUMPRODUCT((measured[Site Name]=A876)*(measured[Date]=B876)*ISNUMBER(measured[Measured Value (kWh)]))=0,"",SUMIFS(measured[Measured Value (kWh)],measured[Site Name],A876,measured[Date],B876)),"")</f>
        <v>31780</v>
      </c>
      <c r="D876" cm="1">
        <f t="array" ref="D876">IFERROR(IF(SUMPRODUCT((expected_production[Site Name]=A876)*(expected_production[Date]=B876)*ISNUMBER(expected_production[Expected Production (kWh)]))=0,"",SUMIFS(expected_production[Expected Production (kWh)],expected_production[Site Name],A876,expected_production[Date],B876)),"")</f>
        <v>27182.964095431431</v>
      </c>
      <c r="E876" s="9">
        <f t="shared" si="28"/>
        <v>1.1691145928173883</v>
      </c>
      <c r="F876" t="str">
        <f t="shared" si="29"/>
        <v>Expected</v>
      </c>
    </row>
    <row r="877" spans="1:6" ht="15" hidden="1" customHeight="1" x14ac:dyDescent="0.3">
      <c r="A877" t="s">
        <v>114</v>
      </c>
      <c r="B877" s="2">
        <v>45597</v>
      </c>
      <c r="C877" cm="1">
        <f t="array" ref="C877">IFERROR(IF(SUMPRODUCT((measured[Site Name]=A877)*(measured[Date]=B877)*ISNUMBER(measured[Measured Value (kWh)]))=0,"",SUMIFS(measured[Measured Value (kWh)],measured[Site Name],A877,measured[Date],B877)),"")</f>
        <v>30100</v>
      </c>
      <c r="D877" cm="1">
        <f t="array" ref="D877">IFERROR(IF(SUMPRODUCT((expected_production[Site Name]=A877)*(expected_production[Date]=B877)*ISNUMBER(expected_production[Expected Production (kWh)]))=0,"",SUMIFS(expected_production[Expected Production (kWh)],expected_production[Site Name],A877,expected_production[Date],B877)),"")</f>
        <v>28526.837319854669</v>
      </c>
      <c r="E877" s="9">
        <f t="shared" si="28"/>
        <v>1.0551467610133707</v>
      </c>
      <c r="F877" t="str">
        <f t="shared" si="29"/>
        <v>Expected</v>
      </c>
    </row>
    <row r="878" spans="1:6" ht="15" hidden="1" customHeight="1" x14ac:dyDescent="0.3">
      <c r="A878" t="s">
        <v>114</v>
      </c>
      <c r="B878" s="2">
        <v>45627</v>
      </c>
      <c r="C878" cm="1">
        <f t="array" ref="C878">IFERROR(IF(SUMPRODUCT((measured[Site Name]=A878)*(measured[Date]=B878)*ISNUMBER(measured[Measured Value (kWh)]))=0,"",SUMIFS(measured[Measured Value (kWh)],measured[Site Name],A878,measured[Date],B878)),"")</f>
        <v>17966</v>
      </c>
      <c r="D878" cm="1">
        <f t="array" ref="D878">IFERROR(IF(SUMPRODUCT((expected_production[Site Name]=A878)*(expected_production[Date]=B878)*ISNUMBER(expected_production[Expected Production (kWh)]))=0,"",SUMIFS(expected_production[Expected Production (kWh)],expected_production[Site Name],A878,expected_production[Date],B878)),"")</f>
        <v>28018.118602027509</v>
      </c>
      <c r="E878" s="9">
        <f t="shared" si="28"/>
        <v>0.64122792308759469</v>
      </c>
      <c r="F878" t="str">
        <f t="shared" si="29"/>
        <v>Poor</v>
      </c>
    </row>
    <row r="879" spans="1:6" ht="15" hidden="1" customHeight="1" x14ac:dyDescent="0.3">
      <c r="A879" t="s">
        <v>114</v>
      </c>
      <c r="B879" s="2">
        <v>45658</v>
      </c>
      <c r="C879" cm="1">
        <f t="array" ref="C879">IFERROR(IF(SUMPRODUCT((measured[Site Name]=A879)*(measured[Date]=B879)*ISNUMBER(measured[Measured Value (kWh)]))=0,"",SUMIFS(measured[Measured Value (kWh)],measured[Site Name],A879,measured[Date],B879)),"")</f>
        <v>20808</v>
      </c>
      <c r="D879" cm="1">
        <f t="array" ref="D879">IFERROR(IF(SUMPRODUCT((expected_production[Site Name]=A879)*(expected_production[Date]=B879)*ISNUMBER(expected_production[Expected Production (kWh)]))=0,"",SUMIFS(expected_production[Expected Production (kWh)],expected_production[Site Name],A879,expected_production[Date],B879)),"")</f>
        <v>29052.973584425617</v>
      </c>
      <c r="E879" s="9">
        <f t="shared" si="28"/>
        <v>0.71620896014425572</v>
      </c>
      <c r="F879" t="str">
        <f t="shared" si="29"/>
        <v>Moderate</v>
      </c>
    </row>
    <row r="880" spans="1:6" ht="15" hidden="1" customHeight="1" x14ac:dyDescent="0.3">
      <c r="A880" t="s">
        <v>114</v>
      </c>
      <c r="B880" s="2">
        <v>45689</v>
      </c>
      <c r="C880" cm="1">
        <f t="array" ref="C880">IFERROR(IF(SUMPRODUCT((measured[Site Name]=A880)*(measured[Date]=B880)*ISNUMBER(measured[Measured Value (kWh)]))=0,"",SUMIFS(measured[Measured Value (kWh)],measured[Site Name],A880,measured[Date],B880)),"")</f>
        <v>21538</v>
      </c>
      <c r="D880" cm="1">
        <f t="array" ref="D880">IFERROR(IF(SUMPRODUCT((expected_production[Site Name]=A880)*(expected_production[Date]=B880)*ISNUMBER(expected_production[Expected Production (kWh)]))=0,"",SUMIFS(expected_production[Expected Production (kWh)],expected_production[Site Name],A880,expected_production[Date],B880)),"")</f>
        <v>25366.301322804837</v>
      </c>
      <c r="E880" s="9">
        <f t="shared" si="28"/>
        <v>0.8490792459615264</v>
      </c>
      <c r="F880" t="str">
        <f t="shared" si="29"/>
        <v>Moderate</v>
      </c>
    </row>
    <row r="881" spans="1:6" ht="15" hidden="1" customHeight="1" x14ac:dyDescent="0.3">
      <c r="A881" t="s">
        <v>114</v>
      </c>
      <c r="B881" s="2">
        <v>45717</v>
      </c>
      <c r="C881" cm="1">
        <f t="array" ref="C881">IFERROR(IF(SUMPRODUCT((measured[Site Name]=A881)*(measured[Date]=B881)*ISNUMBER(measured[Measured Value (kWh)]))=0,"",SUMIFS(measured[Measured Value (kWh)],measured[Site Name],A881,measured[Date],B881)),"")</f>
        <v>22662</v>
      </c>
      <c r="D881" cm="1">
        <f t="array" ref="D881">IFERROR(IF(SUMPRODUCT((expected_production[Site Name]=A881)*(expected_production[Date]=B881)*ISNUMBER(expected_production[Expected Production (kWh)]))=0,"",SUMIFS(expected_production[Expected Production (kWh)],expected_production[Site Name],A881,expected_production[Date],B881)),"")</f>
        <v>23898.844632285018</v>
      </c>
      <c r="E881" s="9">
        <f t="shared" si="28"/>
        <v>0.94824667671950302</v>
      </c>
      <c r="F881" t="str">
        <f t="shared" si="29"/>
        <v>Expected</v>
      </c>
    </row>
    <row r="882" spans="1:6" ht="15" hidden="1" customHeight="1" x14ac:dyDescent="0.3">
      <c r="A882" t="s">
        <v>114</v>
      </c>
      <c r="B882" s="2">
        <v>45748</v>
      </c>
      <c r="C882" cm="1">
        <f t="array" ref="C882">IFERROR(IF(SUMPRODUCT((measured[Site Name]=A882)*(measured[Date]=B882)*ISNUMBER(measured[Measured Value (kWh)]))=0,"",SUMIFS(measured[Measured Value (kWh)],measured[Site Name],A882,measured[Date],B882)),"")</f>
        <v>17413</v>
      </c>
      <c r="D882" cm="1">
        <f t="array" ref="D882">IFERROR(IF(SUMPRODUCT((expected_production[Site Name]=A882)*(expected_production[Date]=B882)*ISNUMBER(expected_production[Expected Production (kWh)]))=0,"",SUMIFS(expected_production[Expected Production (kWh)],expected_production[Site Name],A882,expected_production[Date],B882)),"")</f>
        <v>21265.589153652829</v>
      </c>
      <c r="E882" s="9">
        <f t="shared" si="28"/>
        <v>0.81883459114082136</v>
      </c>
      <c r="F882" t="str">
        <f t="shared" si="29"/>
        <v>Moderate</v>
      </c>
    </row>
    <row r="883" spans="1:6" ht="15" hidden="1" customHeight="1" x14ac:dyDescent="0.3">
      <c r="A883" t="s">
        <v>114</v>
      </c>
      <c r="B883" s="2">
        <v>45778</v>
      </c>
      <c r="C883" cm="1">
        <f t="array" ref="C883">IFERROR(IF(SUMPRODUCT((measured[Site Name]=A883)*(measured[Date]=B883)*ISNUMBER(measured[Measured Value (kWh)]))=0,"",SUMIFS(measured[Measured Value (kWh)],measured[Site Name],A883,measured[Date],B883)),"")</f>
        <v>20430</v>
      </c>
      <c r="D883" cm="1">
        <f t="array" ref="D883">IFERROR(IF(SUMPRODUCT((expected_production[Site Name]=A883)*(expected_production[Date]=B883)*ISNUMBER(expected_production[Expected Production (kWh)]))=0,"",SUMIFS(expected_production[Expected Production (kWh)],expected_production[Site Name],A883,expected_production[Date],B883)),"")</f>
        <v>19035.237698872457</v>
      </c>
      <c r="E883" s="9">
        <f t="shared" si="28"/>
        <v>1.0732726495561524</v>
      </c>
      <c r="F883" t="str">
        <f t="shared" si="29"/>
        <v>Expected</v>
      </c>
    </row>
    <row r="884" spans="1:6" ht="15" hidden="1" customHeight="1" x14ac:dyDescent="0.3">
      <c r="A884" t="s">
        <v>114</v>
      </c>
      <c r="B884" s="2">
        <v>45809</v>
      </c>
      <c r="C884" cm="1">
        <f t="array" ref="C884">IFERROR(IF(SUMPRODUCT((measured[Site Name]=A884)*(measured[Date]=B884)*ISNUMBER(measured[Measured Value (kWh)]))=0,"",SUMIFS(measured[Measured Value (kWh)],measured[Site Name],A884,measured[Date],B884)),"")</f>
        <v>18398.740000000002</v>
      </c>
      <c r="D884" cm="1">
        <f t="array" ref="D884">IFERROR(IF(SUMPRODUCT((expected_production[Site Name]=A884)*(expected_production[Date]=B884)*ISNUMBER(expected_production[Expected Production (kWh)]))=0,"",SUMIFS(expected_production[Expected Production (kWh)],expected_production[Site Name],A884,expected_production[Date],B884)),"")</f>
        <v>16831.079501001797</v>
      </c>
      <c r="E884" s="9">
        <f t="shared" si="28"/>
        <v>1.0931408171950525</v>
      </c>
      <c r="F884" t="str">
        <f t="shared" si="29"/>
        <v>Expected</v>
      </c>
    </row>
    <row r="885" spans="1:6" ht="15" hidden="1" customHeight="1" x14ac:dyDescent="0.3">
      <c r="A885" t="s">
        <v>114</v>
      </c>
      <c r="B885" s="2">
        <v>45839</v>
      </c>
      <c r="C885" cm="1">
        <f t="array" ref="C885">IFERROR(IF(SUMPRODUCT((measured[Site Name]=A885)*(measured[Date]=B885)*ISNUMBER(measured[Measured Value (kWh)]))=0,"",SUMIFS(measured[Measured Value (kWh)],measured[Site Name],A885,measured[Date],B885)),"")</f>
        <v>19115</v>
      </c>
      <c r="D885" cm="1">
        <f t="array" ref="D885">IFERROR(IF(SUMPRODUCT((expected_production[Site Name]=A885)*(expected_production[Date]=B885)*ISNUMBER(expected_production[Expected Production (kWh)]))=0,"",SUMIFS(expected_production[Expected Production (kWh)],expected_production[Site Name],A885,expected_production[Date],B885)),"")</f>
        <v>18726.563996496297</v>
      </c>
      <c r="E885" s="9">
        <f t="shared" si="28"/>
        <v>1.0207425133396804</v>
      </c>
      <c r="F885" t="str">
        <f t="shared" si="29"/>
        <v>Expected</v>
      </c>
    </row>
    <row r="886" spans="1:6" ht="15" hidden="1" customHeight="1" x14ac:dyDescent="0.3">
      <c r="A886" t="s">
        <v>114</v>
      </c>
      <c r="B886" s="2">
        <v>45870</v>
      </c>
      <c r="C886" cm="1">
        <f t="array" ref="C886">IFERROR(IF(SUMPRODUCT((measured[Site Name]=A886)*(measured[Date]=B886)*ISNUMBER(measured[Measured Value (kWh)]))=0,"",SUMIFS(measured[Measured Value (kWh)],measured[Site Name],A886,measured[Date],B886)),"")</f>
        <v>21942</v>
      </c>
      <c r="D886" cm="1">
        <f t="array" ref="D886">IFERROR(IF(SUMPRODUCT((expected_production[Site Name]=A886)*(expected_production[Date]=B886)*ISNUMBER(expected_production[Expected Production (kWh)]))=0,"",SUMIFS(expected_production[Expected Production (kWh)],expected_production[Site Name],A886,expected_production[Date],B886)),"")</f>
        <v>21825.333032795868</v>
      </c>
      <c r="E886" s="9">
        <f t="shared" si="28"/>
        <v>1.0053454839396412</v>
      </c>
      <c r="F886" t="str">
        <f t="shared" si="29"/>
        <v>Expected</v>
      </c>
    </row>
    <row r="887" spans="1:6" ht="15" hidden="1" customHeight="1" x14ac:dyDescent="0.3">
      <c r="A887" t="s">
        <v>114</v>
      </c>
      <c r="B887" s="2">
        <v>45901</v>
      </c>
      <c r="C887" cm="1">
        <f t="array" ref="C887">IFERROR(IF(SUMPRODUCT((measured[Site Name]=A887)*(measured[Date]=B887)*ISNUMBER(measured[Measured Value (kWh)]))=0,"",SUMIFS(measured[Measured Value (kWh)],measured[Site Name],A887,measured[Date],B887)),"")</f>
        <v>21707</v>
      </c>
      <c r="D887" cm="1">
        <f t="array" ref="D887">IFERROR(IF(SUMPRODUCT((expected_production[Site Name]=A887)*(expected_production[Date]=B887)*ISNUMBER(expected_production[Expected Production (kWh)]))=0,"",SUMIFS(expected_production[Expected Production (kWh)],expected_production[Site Name],A887,expected_production[Date],B887)),"")</f>
        <v>24264.251951894668</v>
      </c>
      <c r="E887" s="9">
        <f t="shared" si="28"/>
        <v>0.89460825097907104</v>
      </c>
      <c r="F887" t="str">
        <f t="shared" si="29"/>
        <v>Moderate</v>
      </c>
    </row>
    <row r="888" spans="1:6" ht="15" hidden="1" customHeight="1" x14ac:dyDescent="0.3">
      <c r="A888" t="s">
        <v>114</v>
      </c>
      <c r="B888" s="2">
        <v>45931</v>
      </c>
      <c r="C888" cm="1">
        <f t="array" ref="C888">IFERROR(IF(SUMPRODUCT((measured[Site Name]=A888)*(measured[Date]=B888)*ISNUMBER(measured[Measured Value (kWh)]))=0,"",SUMIFS(measured[Measured Value (kWh)],measured[Site Name],A888,measured[Date],B888)),"")</f>
        <v>28392</v>
      </c>
      <c r="D888" cm="1">
        <f t="array" ref="D888">IFERROR(IF(SUMPRODUCT((expected_production[Site Name]=A888)*(expected_production[Date]=B888)*ISNUMBER(expected_production[Expected Production (kWh)]))=0,"",SUMIFS(expected_production[Expected Production (kWh)],expected_production[Site Name],A888,expected_production[Date],B888)),"")</f>
        <v>26992.813130242172</v>
      </c>
      <c r="E888" s="9">
        <f t="shared" si="28"/>
        <v>1.0518355335180019</v>
      </c>
      <c r="F888" t="str">
        <f t="shared" si="29"/>
        <v>Expected</v>
      </c>
    </row>
    <row r="889" spans="1:6" ht="15" hidden="1" customHeight="1" x14ac:dyDescent="0.3">
      <c r="A889" t="s">
        <v>114</v>
      </c>
      <c r="B889" s="2">
        <v>45962</v>
      </c>
      <c r="C889" cm="1">
        <f t="array" ref="C889">IFERROR(IF(SUMPRODUCT((measured[Site Name]=A889)*(measured[Date]=B889)*ISNUMBER(measured[Measured Value (kWh)]))=0,"",SUMIFS(measured[Measured Value (kWh)],measured[Site Name],A889,measured[Date],B889)),"")</f>
        <v>24635</v>
      </c>
      <c r="D889" cm="1">
        <f t="array" ref="D889">IFERROR(IF(SUMPRODUCT((expected_production[Site Name]=A889)*(expected_production[Date]=B889)*ISNUMBER(expected_production[Expected Production (kWh)]))=0,"",SUMIFS(expected_production[Expected Production (kWh)],expected_production[Site Name],A889,expected_production[Date],B889)),"")</f>
        <v>28327.285658338878</v>
      </c>
      <c r="E889" s="9">
        <f t="shared" si="28"/>
        <v>0.86965621405198212</v>
      </c>
      <c r="F889" t="str">
        <f t="shared" si="29"/>
        <v>Moderate</v>
      </c>
    </row>
    <row r="890" spans="1:6" ht="15" hidden="1" customHeight="1" x14ac:dyDescent="0.3">
      <c r="A890" t="s">
        <v>114</v>
      </c>
      <c r="B890" s="2">
        <v>45992</v>
      </c>
      <c r="C890" cm="1">
        <f t="array" ref="C890">IFERROR(IF(SUMPRODUCT((measured[Site Name]=A890)*(measured[Date]=B890)*ISNUMBER(measured[Measured Value (kWh)]))=0,"",SUMIFS(measured[Measured Value (kWh)],measured[Site Name],A890,measured[Date],B890)),"")</f>
        <v>13946</v>
      </c>
      <c r="D890" cm="1">
        <f t="array" ref="D890">IFERROR(IF(SUMPRODUCT((expected_production[Site Name]=A890)*(expected_production[Date]=B890)*ISNUMBER(expected_production[Expected Production (kWh)]))=0,"",SUMIFS(expected_production[Expected Production (kWh)],expected_production[Site Name],A890,expected_production[Date],B890)),"")</f>
        <v>27822.125542688624</v>
      </c>
      <c r="E890" s="9">
        <f t="shared" si="28"/>
        <v>0.50125573542546498</v>
      </c>
      <c r="F890" t="str">
        <f t="shared" si="29"/>
        <v>Poor</v>
      </c>
    </row>
    <row r="891" spans="1:6" ht="15" hidden="1" customHeight="1" x14ac:dyDescent="0.3">
      <c r="A891" t="s">
        <v>114</v>
      </c>
      <c r="B891" s="2">
        <v>46023</v>
      </c>
      <c r="C891" cm="1">
        <f t="array" ref="C891">IFERROR(IF(SUMPRODUCT((measured[Site Name]=A891)*(measured[Date]=B891)*ISNUMBER(measured[Measured Value (kWh)]))=0,"",SUMIFS(measured[Measured Value (kWh)],measured[Site Name],A891,measured[Date],B891)),"")</f>
        <v>25775</v>
      </c>
      <c r="D891" cm="1">
        <f t="array" ref="D891">IFERROR(IF(SUMPRODUCT((expected_production[Site Name]=A891)*(expected_production[Date]=B891)*ISNUMBER(expected_production[Expected Production (kWh)]))=0,"",SUMIFS(expected_production[Expected Production (kWh)],expected_production[Site Name],A891,expected_production[Date],B891)),"")</f>
        <v>28849.741481064779</v>
      </c>
      <c r="E891" s="9">
        <f t="shared" si="28"/>
        <v>0.89342221721179538</v>
      </c>
      <c r="F891" t="str">
        <f t="shared" si="29"/>
        <v>Moderate</v>
      </c>
    </row>
    <row r="892" spans="1:6" ht="15" hidden="1" customHeight="1" x14ac:dyDescent="0.3">
      <c r="A892" t="s">
        <v>114</v>
      </c>
      <c r="B892" s="2">
        <v>46054</v>
      </c>
      <c r="C892" cm="1">
        <f t="array" ref="C892">IFERROR(IF(SUMPRODUCT((measured[Site Name]=A892)*(measured[Date]=B892)*ISNUMBER(measured[Measured Value (kWh)]))=0,"",SUMIFS(measured[Measured Value (kWh)],measured[Site Name],A892,measured[Date],B892)),"")</f>
        <v>24391</v>
      </c>
      <c r="D892" cm="1">
        <f t="array" ref="D892">IFERROR(IF(SUMPRODUCT((expected_production[Site Name]=A892)*(expected_production[Date]=B892)*ISNUMBER(expected_production[Expected Production (kWh)]))=0,"",SUMIFS(expected_production[Expected Production (kWh)],expected_production[Site Name],A892,expected_production[Date],B892)),"")</f>
        <v>25188.858323473367</v>
      </c>
      <c r="E892" s="9">
        <f t="shared" si="28"/>
        <v>0.96832495092761517</v>
      </c>
      <c r="F892" t="str">
        <f t="shared" si="29"/>
        <v>Expected</v>
      </c>
    </row>
    <row r="893" spans="1:6" ht="15" hidden="1" customHeight="1" x14ac:dyDescent="0.3">
      <c r="A893" t="s">
        <v>114</v>
      </c>
      <c r="B893" s="2">
        <v>46082</v>
      </c>
      <c r="C893" cm="1">
        <f t="array" ref="C893">IFERROR(IF(SUMPRODUCT((measured[Site Name]=A893)*(measured[Date]=B893)*ISNUMBER(measured[Measured Value (kWh)]))=0,"",SUMIFS(measured[Measured Value (kWh)],measured[Site Name],A893,measured[Date],B893)),"")</f>
        <v>22838</v>
      </c>
      <c r="D893" cm="1">
        <f t="array" ref="D893">IFERROR(IF(SUMPRODUCT((expected_production[Site Name]=A893)*(expected_production[Date]=B893)*ISNUMBER(expected_production[Expected Production (kWh)]))=0,"",SUMIFS(expected_production[Expected Production (kWh)],expected_production[Site Name],A893,expected_production[Date],B893)),"")</f>
        <v>23731.666823500695</v>
      </c>
      <c r="E893" s="9">
        <f t="shared" si="28"/>
        <v>0.96234285479620307</v>
      </c>
      <c r="F893" t="str">
        <f t="shared" si="29"/>
        <v>Expected</v>
      </c>
    </row>
    <row r="894" spans="1:6" ht="15" hidden="1" customHeight="1" x14ac:dyDescent="0.3">
      <c r="A894" t="s">
        <v>114</v>
      </c>
      <c r="B894" s="2">
        <v>46113</v>
      </c>
      <c r="C894" s="5" cm="1">
        <f t="array" ref="C894">IFERROR(IF(SUMPRODUCT((measured[Site Name]=A894)*(measured[Date]=B894)*ISNUMBER(measured[Measured Value (kWh)]))=0,"",SUMIFS(measured[Measured Value (kWh)],measured[Site Name],A894,measured[Date],B894)),"")</f>
        <v>19038.02</v>
      </c>
      <c r="D894" cm="1">
        <f t="array" ref="D894">IFERROR(IF(SUMPRODUCT((expected_production[Site Name]=A894)*(expected_production[Date]=B894)*ISNUMBER(expected_production[Expected Production (kWh)]))=0,"",SUMIFS(expected_production[Expected Production (kWh)],expected_production[Site Name],A894,expected_production[Date],B894)),"")</f>
        <v>21116.831560894025</v>
      </c>
      <c r="E894" s="9">
        <f t="shared" si="28"/>
        <v>0.90155665375748195</v>
      </c>
      <c r="F894" t="str">
        <f t="shared" si="29"/>
        <v>Expected</v>
      </c>
    </row>
    <row r="895" spans="1:6" ht="15" hidden="1" customHeight="1" x14ac:dyDescent="0.3">
      <c r="A895" t="s">
        <v>114</v>
      </c>
      <c r="B895" s="2">
        <v>46143</v>
      </c>
      <c r="C895" s="5" cm="1">
        <f t="array" ref="C895">IFERROR(IF(SUMPRODUCT((measured[Site Name]=A895)*(measured[Date]=B895)*ISNUMBER(measured[Measured Value (kWh)]))=0,"",SUMIFS(measured[Measured Value (kWh)],measured[Site Name],A895,measured[Date],B895)),"")</f>
        <v>19892</v>
      </c>
      <c r="D895" cm="1">
        <f t="array" ref="D895">IFERROR(IF(SUMPRODUCT((expected_production[Site Name]=A895)*(expected_production[Date]=B895)*ISNUMBER(expected_production[Expected Production (kWh)]))=0,"",SUMIFS(expected_production[Expected Production (kWh)],expected_production[Site Name],A895,expected_production[Date],B895)),"")</f>
        <v>18902.081917614007</v>
      </c>
      <c r="E895" s="9">
        <f t="shared" si="28"/>
        <v>1.0523708492376986</v>
      </c>
      <c r="F895" t="str">
        <f t="shared" si="29"/>
        <v>Expected</v>
      </c>
    </row>
    <row r="896" spans="1:6" ht="15" hidden="1" customHeight="1" x14ac:dyDescent="0.3">
      <c r="A896" t="s">
        <v>114</v>
      </c>
      <c r="B896" s="2">
        <v>46174</v>
      </c>
      <c r="C896" cm="1">
        <f t="array" ref="C896">IFERROR(IF(SUMPRODUCT((measured[Site Name]=A896)*(measured[Date]=B896)*ISNUMBER(measured[Measured Value (kWh)]))=0,"",SUMIFS(measured[Measured Value (kWh)],measured[Site Name],A896,measured[Date],B896)),"")</f>
        <v>13234</v>
      </c>
      <c r="D896" cm="1">
        <f t="array" ref="D896">IFERROR(IF(SUMPRODUCT((expected_production[Site Name]=A896)*(expected_production[Date]=B896)*ISNUMBER(expected_production[Expected Production (kWh)]))=0,"",SUMIFS(expected_production[Expected Production (kWh)],expected_production[Site Name],A896,expected_production[Date],B896)),"")</f>
        <v>16713.342303503508</v>
      </c>
      <c r="E896" s="9">
        <f t="shared" si="28"/>
        <v>0.79182247091450064</v>
      </c>
      <c r="F896" t="str">
        <f t="shared" si="29"/>
        <v>Moderate</v>
      </c>
    </row>
    <row r="897" spans="1:7" ht="15" hidden="1" customHeight="1" x14ac:dyDescent="0.3">
      <c r="A897" t="s">
        <v>114</v>
      </c>
      <c r="B897" s="2">
        <v>46235</v>
      </c>
      <c r="C897" cm="1">
        <f t="array" ref="C897">IFERROR(IF(SUMPRODUCT((measured[Site Name]=A897)*(measured[Date]=B897)*ISNUMBER(measured[Measured Value (kWh)]))=0,"",SUMIFS(measured[Measured Value (kWh)],measured[Site Name],A897,measured[Date],B897)),"")</f>
        <v>23217</v>
      </c>
      <c r="D897" cm="1">
        <f t="array" ref="D897">IFERROR(IF(SUMPRODUCT((expected_production[Site Name]=A897)*(expected_production[Date]=B897)*ISNUMBER(expected_production[Expected Production (kWh)]))=0,"",SUMIFS(expected_production[Expected Production (kWh)],expected_production[Site Name],A897,expected_production[Date],B897)),"")</f>
        <v>21672.659905347609</v>
      </c>
      <c r="E897" s="9">
        <f t="shared" si="28"/>
        <v>1.0712575245215441</v>
      </c>
      <c r="F897" t="str">
        <f t="shared" si="29"/>
        <v>Expected</v>
      </c>
      <c r="G897" t="s">
        <v>874</v>
      </c>
    </row>
    <row r="898" spans="1:7" ht="15" customHeight="1" x14ac:dyDescent="0.3">
      <c r="A898" t="s">
        <v>114</v>
      </c>
      <c r="B898" s="2">
        <v>46266</v>
      </c>
      <c r="C898" cm="1">
        <f t="array" ref="C898">IFERROR(IF(SUMPRODUCT((measured[Site Name]=A898)*(measured[Date]=B898)*ISNUMBER(measured[Measured Value (kWh)]))=0,"",SUMIFS(measured[Measured Value (kWh)],measured[Site Name],A898,measured[Date],B898)),"")</f>
        <v>22918</v>
      </c>
      <c r="D898" cm="1">
        <f t="array" ref="D898">IFERROR(IF(SUMPRODUCT((expected_production[Site Name]=A898)*(expected_production[Date]=B898)*ISNUMBER(expected_production[Expected Production (kWh)]))=0,"",SUMIFS(expected_production[Expected Production (kWh)],expected_production[Site Name],A898,expected_production[Date],B898)),"")</f>
        <v>24094.51803648904</v>
      </c>
      <c r="E898" s="9">
        <f t="shared" si="28"/>
        <v>0.95117071714373758</v>
      </c>
      <c r="F898" t="str">
        <f t="shared" si="29"/>
        <v>Expected</v>
      </c>
      <c r="G898" t="s">
        <v>874</v>
      </c>
    </row>
    <row r="899" spans="1:7" ht="15" hidden="1" customHeight="1" x14ac:dyDescent="0.3">
      <c r="A899" t="s">
        <v>114</v>
      </c>
      <c r="B899" s="2">
        <v>46296</v>
      </c>
      <c r="C899" t="str" cm="1">
        <f t="array" ref="C899">IFERROR(IF(SUMPRODUCT((measured[Site Name]=A899)*(measured[Date]=B899)*ISNUMBER(measured[Measured Value (kWh)]))=0,"",SUMIFS(measured[Measured Value (kWh)],measured[Site Name],A899,measured[Date],B899)),"")</f>
        <v/>
      </c>
      <c r="D899" cm="1">
        <f t="array" ref="D899">IFERROR(IF(SUMPRODUCT((expected_production[Site Name]=A899)*(expected_production[Date]=B899)*ISNUMBER(expected_production[Expected Production (kWh)]))=0,"",SUMIFS(expected_production[Expected Production (kWh)],expected_production[Site Name],A899,expected_production[Date],B899)),"")</f>
        <v>26803.992313944527</v>
      </c>
      <c r="E899" s="9" t="str">
        <f t="shared" si="28"/>
        <v/>
      </c>
      <c r="F899" t="str">
        <f t="shared" si="29"/>
        <v/>
      </c>
    </row>
    <row r="900" spans="1:7" ht="15" hidden="1" customHeight="1" x14ac:dyDescent="0.3">
      <c r="A900" t="s">
        <v>114</v>
      </c>
      <c r="B900" s="2">
        <v>46327</v>
      </c>
      <c r="C900" t="str" cm="1">
        <f t="array" ref="C900">IFERROR(IF(SUMPRODUCT((measured[Site Name]=A900)*(measured[Date]=B900)*ISNUMBER(measured[Measured Value (kWh)]))=0,"",SUMIFS(measured[Measured Value (kWh)],measured[Site Name],A900,measured[Date],B900)),"")</f>
        <v/>
      </c>
      <c r="D900" cm="1">
        <f t="array" ref="D900">IFERROR(IF(SUMPRODUCT((expected_production[Site Name]=A900)*(expected_production[Date]=B900)*ISNUMBER(expected_production[Expected Production (kWh)]))=0,"",SUMIFS(expected_production[Expected Production (kWh)],expected_production[Site Name],A900,expected_production[Date],B900)),"")</f>
        <v>28129.129905705911</v>
      </c>
      <c r="E900" s="9" t="str">
        <f t="shared" si="28"/>
        <v/>
      </c>
      <c r="F900" t="str">
        <f t="shared" si="29"/>
        <v/>
      </c>
    </row>
    <row r="901" spans="1:7" ht="15" hidden="1" customHeight="1" x14ac:dyDescent="0.3">
      <c r="A901" t="s">
        <v>114</v>
      </c>
      <c r="B901" s="2">
        <v>46357</v>
      </c>
      <c r="C901" t="str" cm="1">
        <f t="array" ref="C901">IFERROR(IF(SUMPRODUCT((measured[Site Name]=A901)*(measured[Date]=B901)*ISNUMBER(measured[Measured Value (kWh)]))=0,"",SUMIFS(measured[Measured Value (kWh)],measured[Site Name],A901,measured[Date],B901)),"")</f>
        <v/>
      </c>
      <c r="D901" cm="1">
        <f t="array" ref="D901">IFERROR(IF(SUMPRODUCT((expected_production[Site Name]=A901)*(expected_production[Date]=B901)*ISNUMBER(expected_production[Expected Production (kWh)]))=0,"",SUMIFS(expected_production[Expected Production (kWh)],expected_production[Site Name],A901,expected_production[Date],B901)),"")</f>
        <v>27627.503499007664</v>
      </c>
      <c r="E901" s="9" t="str">
        <f t="shared" si="28"/>
        <v/>
      </c>
      <c r="F901" t="str">
        <f t="shared" si="29"/>
        <v/>
      </c>
    </row>
    <row r="902" spans="1:7" ht="15" hidden="1" customHeight="1" x14ac:dyDescent="0.3">
      <c r="A902" t="s">
        <v>117</v>
      </c>
      <c r="B902" s="2">
        <v>45292</v>
      </c>
      <c r="C902" t="str" cm="1">
        <f t="array" ref="C902">IFERROR(IF(SUMPRODUCT((measured[Site Name]=A902)*(measured[Date]=B902)*ISNUMBER(measured[Measured Value (kWh)]))=0,"",SUMIFS(measured[Measured Value (kWh)],measured[Site Name],A902,measured[Date],B902)),"")</f>
        <v/>
      </c>
      <c r="D902" cm="1">
        <f t="array" ref="D902">IFERROR(IF(SUMPRODUCT((expected_production[Site Name]=A902)*(expected_production[Date]=B902)*ISNUMBER(expected_production[Expected Production (kWh)]))=0,"",SUMIFS(expected_production[Expected Production (kWh)],expected_production[Site Name],A902,expected_production[Date],B902)),"")</f>
        <v>30214.799999999999</v>
      </c>
      <c r="E902" s="9" t="str">
        <f t="shared" si="28"/>
        <v/>
      </c>
      <c r="F902" t="str">
        <f t="shared" si="29"/>
        <v/>
      </c>
    </row>
    <row r="903" spans="1:7" ht="15" hidden="1" customHeight="1" x14ac:dyDescent="0.3">
      <c r="A903" t="s">
        <v>117</v>
      </c>
      <c r="B903" s="2">
        <v>45323</v>
      </c>
      <c r="C903" t="str" cm="1">
        <f t="array" ref="C903">IFERROR(IF(SUMPRODUCT((measured[Site Name]=A903)*(measured[Date]=B903)*ISNUMBER(measured[Measured Value (kWh)]))=0,"",SUMIFS(measured[Measured Value (kWh)],measured[Site Name],A903,measured[Date],B903)),"")</f>
        <v/>
      </c>
      <c r="D903" cm="1">
        <f t="array" ref="D903">IFERROR(IF(SUMPRODUCT((expected_production[Site Name]=A903)*(expected_production[Date]=B903)*ISNUMBER(expected_production[Expected Production (kWh)]))=0,"",SUMIFS(expected_production[Expected Production (kWh)],expected_production[Site Name],A903,expected_production[Date],B903)),"")</f>
        <v>26381.7</v>
      </c>
      <c r="E903" s="9" t="str">
        <f t="shared" si="28"/>
        <v/>
      </c>
      <c r="F903" t="str">
        <f t="shared" si="29"/>
        <v/>
      </c>
    </row>
    <row r="904" spans="1:7" ht="15" hidden="1" customHeight="1" x14ac:dyDescent="0.3">
      <c r="A904" t="s">
        <v>117</v>
      </c>
      <c r="B904" s="2">
        <v>45352</v>
      </c>
      <c r="C904" t="str" cm="1">
        <f t="array" ref="C904">IFERROR(IF(SUMPRODUCT((measured[Site Name]=A904)*(measured[Date]=B904)*ISNUMBER(measured[Measured Value (kWh)]))=0,"",SUMIFS(measured[Measured Value (kWh)],measured[Site Name],A904,measured[Date],B904)),"")</f>
        <v/>
      </c>
      <c r="D904" cm="1">
        <f t="array" ref="D904">IFERROR(IF(SUMPRODUCT((expected_production[Site Name]=A904)*(expected_production[Date]=B904)*ISNUMBER(expected_production[Expected Production (kWh)]))=0,"",SUMIFS(expected_production[Expected Production (kWh)],expected_production[Site Name],A904,expected_production[Date],B904)),"")</f>
        <v>27566.1</v>
      </c>
      <c r="E904" s="9" t="str">
        <f t="shared" si="28"/>
        <v/>
      </c>
      <c r="F904" t="str">
        <f t="shared" si="29"/>
        <v/>
      </c>
    </row>
    <row r="905" spans="1:7" ht="15" hidden="1" customHeight="1" x14ac:dyDescent="0.3">
      <c r="A905" t="s">
        <v>117</v>
      </c>
      <c r="B905" s="2">
        <v>45383</v>
      </c>
      <c r="C905" t="str" cm="1">
        <f t="array" ref="C905">IFERROR(IF(SUMPRODUCT((measured[Site Name]=A905)*(measured[Date]=B905)*ISNUMBER(measured[Measured Value (kWh)]))=0,"",SUMIFS(measured[Measured Value (kWh)],measured[Site Name],A905,measured[Date],B905)),"")</f>
        <v/>
      </c>
      <c r="D905" cm="1">
        <f t="array" ref="D905">IFERROR(IF(SUMPRODUCT((expected_production[Site Name]=A905)*(expected_production[Date]=B905)*ISNUMBER(expected_production[Expected Production (kWh)]))=0,"",SUMIFS(expected_production[Expected Production (kWh)],expected_production[Site Name],A905,expected_production[Date],B905)),"")</f>
        <v>23747.4</v>
      </c>
      <c r="E905" s="9" t="str">
        <f t="shared" si="28"/>
        <v/>
      </c>
      <c r="F905" t="str">
        <f t="shared" si="29"/>
        <v/>
      </c>
    </row>
    <row r="906" spans="1:7" ht="15" hidden="1" customHeight="1" x14ac:dyDescent="0.3">
      <c r="A906" t="s">
        <v>117</v>
      </c>
      <c r="B906" s="2">
        <v>45413</v>
      </c>
      <c r="C906" t="str" cm="1">
        <f t="array" ref="C906">IFERROR(IF(SUMPRODUCT((measured[Site Name]=A906)*(measured[Date]=B906)*ISNUMBER(measured[Measured Value (kWh)]))=0,"",SUMIFS(measured[Measured Value (kWh)],measured[Site Name],A906,measured[Date],B906)),"")</f>
        <v/>
      </c>
      <c r="D906" cm="1">
        <f t="array" ref="D906">IFERROR(IF(SUMPRODUCT((expected_production[Site Name]=A906)*(expected_production[Date]=B906)*ISNUMBER(expected_production[Expected Production (kWh)]))=0,"",SUMIFS(expected_production[Expected Production (kWh)],expected_production[Site Name],A906,expected_production[Date],B906)),"")</f>
        <v>22569.3</v>
      </c>
      <c r="E906" s="9" t="str">
        <f t="shared" si="28"/>
        <v/>
      </c>
      <c r="F906" t="str">
        <f t="shared" si="29"/>
        <v/>
      </c>
    </row>
    <row r="907" spans="1:7" ht="15" hidden="1" customHeight="1" x14ac:dyDescent="0.3">
      <c r="A907" t="s">
        <v>117</v>
      </c>
      <c r="B907" s="2">
        <v>45444</v>
      </c>
      <c r="C907" cm="1">
        <f t="array" ref="C907">IFERROR(IF(SUMPRODUCT((measured[Site Name]=A907)*(measured[Date]=B907)*ISNUMBER(measured[Measured Value (kWh)]))=0,"",SUMIFS(measured[Measured Value (kWh)],measured[Site Name],A907,measured[Date],B907)),"")</f>
        <v>5360</v>
      </c>
      <c r="D907" cm="1">
        <f t="array" ref="D907">IFERROR(IF(SUMPRODUCT((expected_production[Site Name]=A907)*(expected_production[Date]=B907)*ISNUMBER(expected_production[Expected Production (kWh)]))=0,"",SUMIFS(expected_production[Expected Production (kWh)],expected_production[Site Name],A907,expected_production[Date],B907)),"")</f>
        <v>20228.400000000001</v>
      </c>
      <c r="E907" s="9">
        <f t="shared" si="28"/>
        <v>0.26497399695477641</v>
      </c>
      <c r="F907" t="str">
        <f t="shared" si="29"/>
        <v>Poor</v>
      </c>
    </row>
    <row r="908" spans="1:7" ht="15" hidden="1" customHeight="1" x14ac:dyDescent="0.3">
      <c r="A908" t="s">
        <v>117</v>
      </c>
      <c r="B908" s="2">
        <v>45474</v>
      </c>
      <c r="C908" cm="1">
        <f t="array" ref="C908">IFERROR(IF(SUMPRODUCT((measured[Site Name]=A908)*(measured[Date]=B908)*ISNUMBER(measured[Measured Value (kWh)]))=0,"",SUMIFS(measured[Measured Value (kWh)],measured[Site Name],A908,measured[Date],B908)),"")</f>
        <v>22610</v>
      </c>
      <c r="D908" cm="1">
        <f t="array" ref="D908">IFERROR(IF(SUMPRODUCT((expected_production[Site Name]=A908)*(expected_production[Date]=B908)*ISNUMBER(expected_production[Expected Production (kWh)]))=0,"",SUMIFS(expected_production[Expected Production (kWh)],expected_production[Site Name],A908,expected_production[Date],B908)),"")</f>
        <v>22349.471339029715</v>
      </c>
      <c r="E908" s="9">
        <f t="shared" si="28"/>
        <v>1.0116570390868851</v>
      </c>
      <c r="F908" t="str">
        <f t="shared" si="29"/>
        <v>Expected</v>
      </c>
    </row>
    <row r="909" spans="1:7" ht="15" hidden="1" customHeight="1" x14ac:dyDescent="0.3">
      <c r="A909" t="s">
        <v>117</v>
      </c>
      <c r="B909" s="2">
        <v>45505</v>
      </c>
      <c r="C909" cm="1">
        <f t="array" ref="C909">IFERROR(IF(SUMPRODUCT((measured[Site Name]=A909)*(measured[Date]=B909)*ISNUMBER(measured[Measured Value (kWh)]))=0,"",SUMIFS(measured[Measured Value (kWh)],measured[Site Name],A909,measured[Date],B909)),"")</f>
        <v>23490</v>
      </c>
      <c r="D909" cm="1">
        <f t="array" ref="D909">IFERROR(IF(SUMPRODUCT((expected_production[Site Name]=A909)*(expected_production[Date]=B909)*ISNUMBER(expected_production[Expected Production (kWh)]))=0,"",SUMIFS(expected_production[Expected Production (kWh)],expected_production[Site Name],A909,expected_production[Date],B909)),"")</f>
        <v>26946.724758045122</v>
      </c>
      <c r="E909" s="9">
        <f t="shared" si="28"/>
        <v>0.87172004059554231</v>
      </c>
      <c r="F909" t="str">
        <f t="shared" si="29"/>
        <v>Moderate</v>
      </c>
    </row>
    <row r="910" spans="1:7" ht="15" hidden="1" customHeight="1" x14ac:dyDescent="0.3">
      <c r="A910" t="s">
        <v>117</v>
      </c>
      <c r="B910" s="2">
        <v>45536</v>
      </c>
      <c r="C910" cm="1">
        <f t="array" ref="C910">IFERROR(IF(SUMPRODUCT((measured[Site Name]=A910)*(measured[Date]=B910)*ISNUMBER(measured[Measured Value (kWh)]))=0,"",SUMIFS(measured[Measured Value (kWh)],measured[Site Name],A910,measured[Date],B910)),"")</f>
        <v>20740</v>
      </c>
      <c r="D910" cm="1">
        <f t="array" ref="D910">IFERROR(IF(SUMPRODUCT((expected_production[Site Name]=A910)*(expected_production[Date]=B910)*ISNUMBER(expected_production[Expected Production (kWh)]))=0,"",SUMIFS(expected_production[Expected Production (kWh)],expected_production[Site Name],A910,expected_production[Date],B910)),"")</f>
        <v>28800.037462674052</v>
      </c>
      <c r="E910" s="9">
        <f t="shared" si="28"/>
        <v>0.72013795214259124</v>
      </c>
      <c r="F910" t="str">
        <f t="shared" si="29"/>
        <v>Moderate</v>
      </c>
    </row>
    <row r="911" spans="1:7" ht="15" hidden="1" customHeight="1" x14ac:dyDescent="0.3">
      <c r="A911" t="s">
        <v>117</v>
      </c>
      <c r="B911" s="2">
        <v>45566</v>
      </c>
      <c r="C911" cm="1">
        <f t="array" ref="C911">IFERROR(IF(SUMPRODUCT((measured[Site Name]=A911)*(measured[Date]=B911)*ISNUMBER(measured[Measured Value (kWh)]))=0,"",SUMIFS(measured[Measured Value (kWh)],measured[Site Name],A911,measured[Date],B911)),"")</f>
        <v>32140</v>
      </c>
      <c r="D911" cm="1">
        <f t="array" ref="D911">IFERROR(IF(SUMPRODUCT((expected_production[Site Name]=A911)*(expected_production[Date]=B911)*ISNUMBER(expected_production[Expected Production (kWh)]))=0,"",SUMIFS(expected_production[Expected Production (kWh)],expected_production[Site Name],A911,expected_production[Date],B911)),"")</f>
        <v>30198.120294102901</v>
      </c>
      <c r="E911" s="9">
        <f t="shared" si="28"/>
        <v>1.0643046549581534</v>
      </c>
      <c r="F911" t="str">
        <f t="shared" si="29"/>
        <v>Expected</v>
      </c>
    </row>
    <row r="912" spans="1:7" ht="15" hidden="1" customHeight="1" x14ac:dyDescent="0.3">
      <c r="A912" t="s">
        <v>117</v>
      </c>
      <c r="B912" s="2">
        <v>45597</v>
      </c>
      <c r="C912" cm="1">
        <f t="array" ref="C912">IFERROR(IF(SUMPRODUCT((measured[Site Name]=A912)*(measured[Date]=B912)*ISNUMBER(measured[Measured Value (kWh)]))=0,"",SUMIFS(measured[Measured Value (kWh)],measured[Site Name],A912,measured[Date],B912)),"")</f>
        <v>32300</v>
      </c>
      <c r="D912" cm="1">
        <f t="array" ref="D912">IFERROR(IF(SUMPRODUCT((expected_production[Site Name]=A912)*(expected_production[Date]=B912)*ISNUMBER(expected_production[Expected Production (kWh)]))=0,"",SUMIFS(expected_production[Expected Production (kWh)],expected_production[Site Name],A912,expected_production[Date],B912)),"")</f>
        <v>29304.879981113027</v>
      </c>
      <c r="E912" s="9">
        <f t="shared" si="28"/>
        <v>1.1022055036846192</v>
      </c>
      <c r="F912" t="str">
        <f t="shared" si="29"/>
        <v>Expected</v>
      </c>
    </row>
    <row r="913" spans="1:6" ht="15" hidden="1" customHeight="1" x14ac:dyDescent="0.3">
      <c r="A913" t="s">
        <v>117</v>
      </c>
      <c r="B913" s="2">
        <v>45627</v>
      </c>
      <c r="C913" cm="1">
        <f t="array" ref="C913">IFERROR(IF(SUMPRODUCT((measured[Site Name]=A913)*(measured[Date]=B913)*ISNUMBER(measured[Measured Value (kWh)]))=0,"",SUMIFS(measured[Measured Value (kWh)],measured[Site Name],A913,measured[Date],B913)),"")</f>
        <v>29734</v>
      </c>
      <c r="D913" cm="1">
        <f t="array" ref="D913">IFERROR(IF(SUMPRODUCT((expected_production[Site Name]=A913)*(expected_production[Date]=B913)*ISNUMBER(expected_production[Expected Production (kWh)]))=0,"",SUMIFS(expected_production[Expected Production (kWh)],expected_production[Site Name],A913,expected_production[Date],B913)),"")</f>
        <v>31120.88649238745</v>
      </c>
      <c r="E913" s="9">
        <f t="shared" si="28"/>
        <v>0.95543550815216338</v>
      </c>
      <c r="F913" t="str">
        <f t="shared" si="29"/>
        <v>Expected</v>
      </c>
    </row>
    <row r="914" spans="1:6" ht="15" hidden="1" customHeight="1" x14ac:dyDescent="0.3">
      <c r="A914" t="s">
        <v>117</v>
      </c>
      <c r="B914" s="2">
        <v>45658</v>
      </c>
      <c r="C914" cm="1">
        <f t="array" ref="C914">IFERROR(IF(SUMPRODUCT((measured[Site Name]=A914)*(measured[Date]=B914)*ISNUMBER(measured[Measured Value (kWh)]))=0,"",SUMIFS(measured[Measured Value (kWh)],measured[Site Name],A914,measured[Date],B914)),"")</f>
        <v>30000</v>
      </c>
      <c r="D914" cm="1">
        <f t="array" ref="D914">IFERROR(IF(SUMPRODUCT((expected_production[Site Name]=A914)*(expected_production[Date]=B914)*ISNUMBER(expected_production[Expected Production (kWh)]))=0,"",SUMIFS(expected_production[Expected Production (kWh)],expected_production[Site Name],A914,expected_production[Date],B914)),"")</f>
        <v>30101.697418124109</v>
      </c>
      <c r="E914" s="9">
        <f t="shared" si="28"/>
        <v>0.99662153875538995</v>
      </c>
      <c r="F914" t="str">
        <f t="shared" si="29"/>
        <v>Expected</v>
      </c>
    </row>
    <row r="915" spans="1:6" ht="15" hidden="1" customHeight="1" x14ac:dyDescent="0.3">
      <c r="A915" t="s">
        <v>117</v>
      </c>
      <c r="B915" s="2">
        <v>45689</v>
      </c>
      <c r="C915" cm="1">
        <f t="array" ref="C915">IFERROR(IF(SUMPRODUCT((measured[Site Name]=A915)*(measured[Date]=B915)*ISNUMBER(measured[Measured Value (kWh)]))=0,"",SUMIFS(measured[Measured Value (kWh)],measured[Site Name],A915,measured[Date],B915)),"")</f>
        <v>20560</v>
      </c>
      <c r="D915" cm="1">
        <f t="array" ref="D915">IFERROR(IF(SUMPRODUCT((expected_production[Site Name]=A915)*(expected_production[Date]=B915)*ISNUMBER(expected_production[Expected Production (kWh)]))=0,"",SUMIFS(expected_production[Expected Production (kWh)],expected_production[Site Name],A915,expected_production[Date],B915)),"")</f>
        <v>26267.280505718216</v>
      </c>
      <c r="E915" s="9">
        <f t="shared" si="28"/>
        <v>0.78272282490470313</v>
      </c>
      <c r="F915" t="str">
        <f t="shared" si="29"/>
        <v>Moderate</v>
      </c>
    </row>
    <row r="916" spans="1:6" ht="15" hidden="1" customHeight="1" x14ac:dyDescent="0.3">
      <c r="A916" t="s">
        <v>117</v>
      </c>
      <c r="B916" s="2">
        <v>45717</v>
      </c>
      <c r="C916" cm="1">
        <f t="array" ref="C916">IFERROR(IF(SUMPRODUCT((measured[Site Name]=A916)*(measured[Date]=B916)*ISNUMBER(measured[Measured Value (kWh)]))=0,"",SUMIFS(measured[Measured Value (kWh)],measured[Site Name],A916,measured[Date],B916)),"")</f>
        <v>19975</v>
      </c>
      <c r="D916" cm="1">
        <f t="array" ref="D916">IFERROR(IF(SUMPRODUCT((expected_production[Site Name]=A916)*(expected_production[Date]=B916)*ISNUMBER(expected_production[Expected Production (kWh)]))=0,"",SUMIFS(expected_production[Expected Production (kWh)],expected_production[Site Name],A916,expected_production[Date],B916)),"")</f>
        <v>27431.767528187003</v>
      </c>
      <c r="E916" s="9">
        <f t="shared" si="28"/>
        <v>0.72817035867175017</v>
      </c>
      <c r="F916" t="str">
        <f t="shared" si="29"/>
        <v>Moderate</v>
      </c>
    </row>
    <row r="917" spans="1:6" ht="15" hidden="1" customHeight="1" x14ac:dyDescent="0.3">
      <c r="A917" t="s">
        <v>117</v>
      </c>
      <c r="B917" s="2">
        <v>45748</v>
      </c>
      <c r="C917" cm="1">
        <f t="array" ref="C917">IFERROR(IF(SUMPRODUCT((measured[Site Name]=A917)*(measured[Date]=B917)*ISNUMBER(measured[Measured Value (kWh)]))=0,"",SUMIFS(measured[Measured Value (kWh)],measured[Site Name],A917,measured[Date],B917)),"")</f>
        <v>19104</v>
      </c>
      <c r="D917" cm="1">
        <f t="array" ref="D917">IFERROR(IF(SUMPRODUCT((expected_production[Site Name]=A917)*(expected_production[Date]=B917)*ISNUMBER(expected_production[Expected Production (kWh)]))=0,"",SUMIFS(expected_production[Expected Production (kWh)],expected_production[Site Name],A917,expected_production[Date],B917)),"")</f>
        <v>23617.59137853462</v>
      </c>
      <c r="E917" s="9">
        <f t="shared" si="28"/>
        <v>0.80888858198144209</v>
      </c>
      <c r="F917" t="str">
        <f t="shared" si="29"/>
        <v>Moderate</v>
      </c>
    </row>
    <row r="918" spans="1:6" ht="15" hidden="1" customHeight="1" x14ac:dyDescent="0.3">
      <c r="A918" t="s">
        <v>117</v>
      </c>
      <c r="B918" s="2">
        <v>45778</v>
      </c>
      <c r="C918" cm="1">
        <f t="array" ref="C918">IFERROR(IF(SUMPRODUCT((measured[Site Name]=A918)*(measured[Date]=B918)*ISNUMBER(measured[Measured Value (kWh)]))=0,"",SUMIFS(measured[Measured Value (kWh)],measured[Site Name],A918,measured[Date],B918)),"")</f>
        <v>23300</v>
      </c>
      <c r="D918" cm="1">
        <f t="array" ref="D918">IFERROR(IF(SUMPRODUCT((expected_production[Site Name]=A918)*(expected_production[Date]=B918)*ISNUMBER(expected_production[Expected Production (kWh)]))=0,"",SUMIFS(expected_production[Expected Production (kWh)],expected_production[Site Name],A918,expected_production[Date],B918)),"")</f>
        <v>22432.98423460409</v>
      </c>
      <c r="E918" s="9">
        <f t="shared" ref="E918:E981" si="30">IF(OR(C918="",D918="",D918=0),"",C918/D918)</f>
        <v>1.0386491496774866</v>
      </c>
      <c r="F918" t="str">
        <f t="shared" ref="F918:F981" si="31">IF(E918="","",IF(E918&gt;=0.9,"Expected",IF(E918&gt;=0.7,"Moderate","Poor")))</f>
        <v>Expected</v>
      </c>
    </row>
    <row r="919" spans="1:6" ht="15" hidden="1" customHeight="1" x14ac:dyDescent="0.3">
      <c r="A919" t="s">
        <v>117</v>
      </c>
      <c r="B919" s="2">
        <v>45809</v>
      </c>
      <c r="C919" cm="1">
        <f t="array" ref="C919">IFERROR(IF(SUMPRODUCT((measured[Site Name]=A919)*(measured[Date]=B919)*ISNUMBER(measured[Measured Value (kWh)]))=0,"",SUMIFS(measured[Measured Value (kWh)],measured[Site Name],A919,measured[Date],B919)),"")</f>
        <v>17947.87</v>
      </c>
      <c r="D919" cm="1">
        <f t="array" ref="D919">IFERROR(IF(SUMPRODUCT((expected_production[Site Name]=A919)*(expected_production[Date]=B919)*ISNUMBER(expected_production[Expected Production (kWh)]))=0,"",SUMIFS(expected_production[Expected Production (kWh)],expected_production[Site Name],A919,expected_production[Date],B919)),"")</f>
        <v>20094.239166341529</v>
      </c>
      <c r="E919" s="9">
        <f t="shared" si="30"/>
        <v>0.89318485021633642</v>
      </c>
      <c r="F919" t="str">
        <f t="shared" si="31"/>
        <v>Moderate</v>
      </c>
    </row>
    <row r="920" spans="1:6" ht="15" hidden="1" customHeight="1" x14ac:dyDescent="0.3">
      <c r="A920" t="s">
        <v>117</v>
      </c>
      <c r="B920" s="2">
        <v>45839</v>
      </c>
      <c r="C920" cm="1">
        <f t="array" ref="C920">IFERROR(IF(SUMPRODUCT((measured[Site Name]=A920)*(measured[Date]=B920)*ISNUMBER(measured[Measured Value (kWh)]))=0,"",SUMIFS(measured[Measured Value (kWh)],measured[Site Name],A920,measured[Date],B920)),"")</f>
        <v>13847</v>
      </c>
      <c r="D920" cm="1">
        <f t="array" ref="D920">IFERROR(IF(SUMPRODUCT((expected_production[Site Name]=A920)*(expected_production[Date]=B920)*ISNUMBER(expected_production[Expected Production (kWh)]))=0,"",SUMIFS(expected_production[Expected Production (kWh)],expected_production[Site Name],A920,expected_production[Date],B920)),"")</f>
        <v>22193.131745905634</v>
      </c>
      <c r="E920" s="9">
        <f t="shared" si="30"/>
        <v>0.6239317712586735</v>
      </c>
      <c r="F920" t="str">
        <f t="shared" si="31"/>
        <v>Poor</v>
      </c>
    </row>
    <row r="921" spans="1:6" ht="15" hidden="1" customHeight="1" x14ac:dyDescent="0.3">
      <c r="A921" t="s">
        <v>117</v>
      </c>
      <c r="B921" s="2">
        <v>45870</v>
      </c>
      <c r="C921" cm="1">
        <f t="array" ref="C921">IFERROR(IF(SUMPRODUCT((measured[Site Name]=A921)*(measured[Date]=B921)*ISNUMBER(measured[Measured Value (kWh)]))=0,"",SUMIFS(measured[Measured Value (kWh)],measured[Site Name],A921,measured[Date],B921)),"")</f>
        <v>22606</v>
      </c>
      <c r="D921" cm="1">
        <f t="array" ref="D921">IFERROR(IF(SUMPRODUCT((expected_production[Site Name]=A921)*(expected_production[Date]=B921)*ISNUMBER(expected_production[Expected Production (kWh)]))=0,"",SUMIFS(expected_production[Expected Production (kWh)],expected_production[Site Name],A921,expected_production[Date],B921)),"")</f>
        <v>26758.226340306606</v>
      </c>
      <c r="E921" s="9">
        <f t="shared" si="30"/>
        <v>0.84482430608444326</v>
      </c>
      <c r="F921" t="str">
        <f t="shared" si="31"/>
        <v>Moderate</v>
      </c>
    </row>
    <row r="922" spans="1:6" ht="15" hidden="1" customHeight="1" x14ac:dyDescent="0.3">
      <c r="A922" t="s">
        <v>117</v>
      </c>
      <c r="B922" s="2">
        <v>45901</v>
      </c>
      <c r="C922" cm="1">
        <f t="array" ref="C922">IFERROR(IF(SUMPRODUCT((measured[Site Name]=A922)*(measured[Date]=B922)*ISNUMBER(measured[Measured Value (kWh)]))=0,"",SUMIFS(measured[Measured Value (kWh)],measured[Site Name],A922,measured[Date],B922)),"")</f>
        <v>23653</v>
      </c>
      <c r="D922" cm="1">
        <f t="array" ref="D922">IFERROR(IF(SUMPRODUCT((expected_production[Site Name]=A922)*(expected_production[Date]=B922)*ISNUMBER(expected_production[Expected Production (kWh)]))=0,"",SUMIFS(expected_production[Expected Production (kWh)],expected_production[Site Name],A922,expected_production[Date],B922)),"")</f>
        <v>28598.574704536695</v>
      </c>
      <c r="E922" s="9">
        <f t="shared" si="30"/>
        <v>0.82706918943928487</v>
      </c>
      <c r="F922" t="str">
        <f t="shared" si="31"/>
        <v>Moderate</v>
      </c>
    </row>
    <row r="923" spans="1:6" ht="15" hidden="1" customHeight="1" x14ac:dyDescent="0.3">
      <c r="A923" t="s">
        <v>117</v>
      </c>
      <c r="B923" s="2">
        <v>45931</v>
      </c>
      <c r="C923" cm="1">
        <f t="array" ref="C923">IFERROR(IF(SUMPRODUCT((measured[Site Name]=A923)*(measured[Date]=B923)*ISNUMBER(measured[Measured Value (kWh)]))=0,"",SUMIFS(measured[Measured Value (kWh)],measured[Site Name],A923,measured[Date],B923)),"")</f>
        <v>29483</v>
      </c>
      <c r="D923" cm="1">
        <f t="array" ref="D923">IFERROR(IF(SUMPRODUCT((expected_production[Site Name]=A923)*(expected_production[Date]=B923)*ISNUMBER(expected_production[Expected Production (kWh)]))=0,"",SUMIFS(expected_production[Expected Production (kWh)],expected_production[Site Name],A923,expected_production[Date],B923)),"")</f>
        <v>29986.877631210591</v>
      </c>
      <c r="E923" s="9">
        <f t="shared" si="30"/>
        <v>0.98319672900235033</v>
      </c>
      <c r="F923" t="str">
        <f t="shared" si="31"/>
        <v>Expected</v>
      </c>
    </row>
    <row r="924" spans="1:6" ht="15" hidden="1" customHeight="1" x14ac:dyDescent="0.3">
      <c r="A924" t="s">
        <v>117</v>
      </c>
      <c r="B924" s="2">
        <v>45962</v>
      </c>
      <c r="C924" cm="1">
        <f t="array" ref="C924">IFERROR(IF(SUMPRODUCT((measured[Site Name]=A924)*(measured[Date]=B924)*ISNUMBER(measured[Measured Value (kWh)]))=0,"",SUMIFS(measured[Measured Value (kWh)],measured[Site Name],A924,measured[Date],B924)),"")</f>
        <v>22193</v>
      </c>
      <c r="D924" cm="1">
        <f t="array" ref="D924">IFERROR(IF(SUMPRODUCT((expected_production[Site Name]=A924)*(expected_production[Date]=B924)*ISNUMBER(expected_production[Expected Production (kWh)]))=0,"",SUMIFS(expected_production[Expected Production (kWh)],expected_production[Site Name],A924,expected_production[Date],B924)),"")</f>
        <v>29099.8857356878</v>
      </c>
      <c r="E924" s="9">
        <f t="shared" si="30"/>
        <v>0.76264904273430645</v>
      </c>
      <c r="F924" t="str">
        <f t="shared" si="31"/>
        <v>Moderate</v>
      </c>
    </row>
    <row r="925" spans="1:6" ht="15" hidden="1" customHeight="1" x14ac:dyDescent="0.3">
      <c r="A925" t="s">
        <v>117</v>
      </c>
      <c r="B925" s="2">
        <v>45992</v>
      </c>
      <c r="C925" cm="1">
        <f t="array" ref="C925">IFERROR(IF(SUMPRODUCT((measured[Site Name]=A925)*(measured[Date]=B925)*ISNUMBER(measured[Measured Value (kWh)]))=0,"",SUMIFS(measured[Measured Value (kWh)],measured[Site Name],A925,measured[Date],B925)),"")</f>
        <v>27897</v>
      </c>
      <c r="D925" cm="1">
        <f t="array" ref="D925">IFERROR(IF(SUMPRODUCT((expected_production[Site Name]=A925)*(expected_production[Date]=B925)*ISNUMBER(expected_production[Expected Production (kWh)]))=0,"",SUMIFS(expected_production[Expected Production (kWh)],expected_production[Site Name],A925,expected_production[Date],B925)),"")</f>
        <v>30903.188871800612</v>
      </c>
      <c r="E925" s="9">
        <f t="shared" si="30"/>
        <v>0.90272237327120042</v>
      </c>
      <c r="F925" t="str">
        <f t="shared" si="31"/>
        <v>Expected</v>
      </c>
    </row>
    <row r="926" spans="1:6" ht="15" hidden="1" customHeight="1" x14ac:dyDescent="0.3">
      <c r="A926" t="s">
        <v>117</v>
      </c>
      <c r="B926" s="2">
        <v>46023</v>
      </c>
      <c r="C926" cm="1">
        <f t="array" ref="C926">IFERROR(IF(SUMPRODUCT((measured[Site Name]=A926)*(measured[Date]=B926)*ISNUMBER(measured[Measured Value (kWh)]))=0,"",SUMIFS(measured[Measured Value (kWh)],measured[Site Name],A926,measured[Date],B926)),"")</f>
        <v>26300</v>
      </c>
      <c r="D926" cm="1">
        <f t="array" ref="D926">IFERROR(IF(SUMPRODUCT((expected_production[Site Name]=A926)*(expected_production[Date]=B926)*ISNUMBER(expected_production[Expected Production (kWh)]))=0,"",SUMIFS(expected_production[Expected Production (kWh)],expected_production[Site Name],A926,expected_production[Date],B926)),"")</f>
        <v>29891.129254998243</v>
      </c>
      <c r="E926" s="9">
        <f t="shared" si="30"/>
        <v>0.87985969936556507</v>
      </c>
      <c r="F926" t="str">
        <f t="shared" si="31"/>
        <v>Moderate</v>
      </c>
    </row>
    <row r="927" spans="1:6" ht="15" hidden="1" customHeight="1" x14ac:dyDescent="0.3">
      <c r="A927" t="s">
        <v>117</v>
      </c>
      <c r="B927" s="2">
        <v>46054</v>
      </c>
      <c r="C927" cm="1">
        <f t="array" ref="C927">IFERROR(IF(SUMPRODUCT((measured[Site Name]=A927)*(measured[Date]=B927)*ISNUMBER(measured[Measured Value (kWh)]))=0,"",SUMIFS(measured[Measured Value (kWh)],measured[Site Name],A927,measured[Date],B927)),"")</f>
        <v>27127.919000000002</v>
      </c>
      <c r="D927" cm="1">
        <f t="array" ref="D927">IFERROR(IF(SUMPRODUCT((expected_production[Site Name]=A927)*(expected_production[Date]=B927)*ISNUMBER(expected_production[Expected Production (kWh)]))=0,"",SUMIFS(expected_production[Expected Production (kWh)],expected_production[Site Name],A927,expected_production[Date],B927)),"")</f>
        <v>26083.534953778984</v>
      </c>
      <c r="E927" s="9">
        <f t="shared" si="30"/>
        <v>1.040039973418929</v>
      </c>
      <c r="F927" t="str">
        <f t="shared" si="31"/>
        <v>Expected</v>
      </c>
    </row>
    <row r="928" spans="1:6" ht="15" hidden="1" customHeight="1" x14ac:dyDescent="0.3">
      <c r="A928" t="s">
        <v>117</v>
      </c>
      <c r="B928" s="2">
        <v>46082</v>
      </c>
      <c r="C928" cm="1">
        <f t="array" ref="C928">IFERROR(IF(SUMPRODUCT((measured[Site Name]=A928)*(measured[Date]=B928)*ISNUMBER(measured[Measured Value (kWh)]))=0,"",SUMIFS(measured[Measured Value (kWh)],measured[Site Name],A928,measured[Date],B928)),"")</f>
        <v>23100</v>
      </c>
      <c r="D928" cm="1">
        <f t="array" ref="D928">IFERROR(IF(SUMPRODUCT((expected_production[Site Name]=A928)*(expected_production[Date]=B928)*ISNUMBER(expected_production[Expected Production (kWh)]))=0,"",SUMIFS(expected_production[Expected Production (kWh)],expected_production[Site Name],A928,expected_production[Date],B928)),"")</f>
        <v>27239.876126865947</v>
      </c>
      <c r="E928" s="9">
        <f t="shared" si="30"/>
        <v>0.84802147749919832</v>
      </c>
      <c r="F928" t="str">
        <f t="shared" si="31"/>
        <v>Moderate</v>
      </c>
    </row>
    <row r="929" spans="1:7" ht="15" hidden="1" customHeight="1" x14ac:dyDescent="0.3">
      <c r="A929" t="s">
        <v>117</v>
      </c>
      <c r="B929" s="2">
        <v>46113</v>
      </c>
      <c r="C929" cm="1">
        <f t="array" ref="C929">IFERROR(IF(SUMPRODUCT((measured[Site Name]=A929)*(measured[Date]=B929)*ISNUMBER(measured[Measured Value (kWh)]))=0,"",SUMIFS(measured[Measured Value (kWh)],measured[Site Name],A929,measured[Date],B929)),"")</f>
        <v>19981.060000000001</v>
      </c>
      <c r="D929" cm="1">
        <f t="array" ref="D929">IFERROR(IF(SUMPRODUCT((expected_production[Site Name]=A929)*(expected_production[Date]=B929)*ISNUMBER(expected_production[Expected Production (kWh)]))=0,"",SUMIFS(expected_production[Expected Production (kWh)],expected_production[Site Name],A929,expected_production[Date],B929)),"")</f>
        <v>23452.380999699271</v>
      </c>
      <c r="E929" s="9">
        <f t="shared" si="30"/>
        <v>0.85198428254496705</v>
      </c>
      <c r="F929" t="str">
        <f t="shared" si="31"/>
        <v>Moderate</v>
      </c>
    </row>
    <row r="930" spans="1:7" ht="15" hidden="1" customHeight="1" x14ac:dyDescent="0.3">
      <c r="A930" t="s">
        <v>117</v>
      </c>
      <c r="B930" s="2">
        <v>46143</v>
      </c>
      <c r="C930" cm="1">
        <f t="array" ref="C930">IFERROR(IF(SUMPRODUCT((measured[Site Name]=A930)*(measured[Date]=B930)*ISNUMBER(measured[Measured Value (kWh)]))=0,"",SUMIFS(measured[Measured Value (kWh)],measured[Site Name],A930,measured[Date],B930)),"")</f>
        <v>20533.099999999999</v>
      </c>
      <c r="D930" cm="1">
        <f t="array" ref="D930">IFERROR(IF(SUMPRODUCT((expected_production[Site Name]=A930)*(expected_production[Date]=B930)*ISNUMBER(expected_production[Expected Production (kWh)]))=0,"",SUMIFS(expected_production[Expected Production (kWh)],expected_production[Site Name],A930,expected_production[Date],B930)),"")</f>
        <v>22276.060449938443</v>
      </c>
      <c r="E930" s="9">
        <f t="shared" si="30"/>
        <v>0.92175634224662639</v>
      </c>
      <c r="F930" t="str">
        <f t="shared" si="31"/>
        <v>Expected</v>
      </c>
    </row>
    <row r="931" spans="1:7" ht="15" hidden="1" customHeight="1" x14ac:dyDescent="0.3">
      <c r="A931" t="s">
        <v>117</v>
      </c>
      <c r="B931" s="2">
        <v>46174</v>
      </c>
      <c r="C931" cm="1">
        <f t="array" ref="C931">IFERROR(IF(SUMPRODUCT((measured[Site Name]=A931)*(measured[Date]=B931)*ISNUMBER(measured[Measured Value (kWh)]))=0,"",SUMIFS(measured[Measured Value (kWh)],measured[Site Name],A931,measured[Date],B931)),"")</f>
        <v>15001.099999999999</v>
      </c>
      <c r="D931" cm="1">
        <f t="array" ref="D931">IFERROR(IF(SUMPRODUCT((expected_production[Site Name]=A931)*(expected_production[Date]=B931)*ISNUMBER(expected_production[Expected Production (kWh)]))=0,"",SUMIFS(expected_production[Expected Production (kWh)],expected_production[Site Name],A931,expected_production[Date],B931)),"")</f>
        <v>19953.675430951618</v>
      </c>
      <c r="E931" s="9">
        <f t="shared" si="30"/>
        <v>0.7517963320547294</v>
      </c>
      <c r="F931" t="str">
        <f t="shared" si="31"/>
        <v>Moderate</v>
      </c>
    </row>
    <row r="932" spans="1:7" ht="15" hidden="1" customHeight="1" x14ac:dyDescent="0.3">
      <c r="A932" t="s">
        <v>109</v>
      </c>
      <c r="B932" s="2">
        <v>46204</v>
      </c>
      <c r="C932" cm="1">
        <f t="array" ref="C932">IFERROR(IF(SUMPRODUCT((measured[Site Name]=A932)*(measured[Date]=B932)*ISNUMBER(measured[Measured Value (kWh)]))=0,"",SUMIFS(measured[Measured Value (kWh)],measured[Site Name],A932,measured[Date],B932)),"")</f>
        <v>2598</v>
      </c>
      <c r="D932" cm="1">
        <f t="array" ref="D932">IFERROR(IF(SUMPRODUCT((expected_production[Site Name]=A932)*(expected_production[Date]=B932)*ISNUMBER(expected_production[Expected Production (kWh)]))=0,"",SUMIFS(expected_production[Expected Production (kWh)],expected_production[Site Name],A932,expected_production[Date],B932)),"")</f>
        <v>2983.3188806313765</v>
      </c>
      <c r="E932" s="9">
        <f t="shared" si="30"/>
        <v>0.87084220760543396</v>
      </c>
      <c r="F932" t="str">
        <f t="shared" si="31"/>
        <v>Moderate</v>
      </c>
      <c r="G932" t="s">
        <v>874</v>
      </c>
    </row>
    <row r="933" spans="1:7" ht="15" hidden="1" customHeight="1" x14ac:dyDescent="0.3">
      <c r="A933" t="s">
        <v>117</v>
      </c>
      <c r="B933" s="2">
        <v>46235</v>
      </c>
      <c r="C933" cm="1">
        <f t="array" ref="C933">IFERROR(IF(SUMPRODUCT((measured[Site Name]=A933)*(measured[Date]=B933)*ISNUMBER(measured[Measured Value (kWh)]))=0,"",SUMIFS(measured[Measured Value (kWh)],measured[Site Name],A933,measured[Date],B933)),"")</f>
        <v>23941.67</v>
      </c>
      <c r="D933" cm="1">
        <f t="array" ref="D933">IFERROR(IF(SUMPRODUCT((expected_production[Site Name]=A933)*(expected_production[Date]=B933)*ISNUMBER(expected_production[Expected Production (kWh)]))=0,"",SUMIFS(expected_production[Expected Production (kWh)],expected_production[Site Name],A933,expected_production[Date],B933)),"")</f>
        <v>26571.046511517547</v>
      </c>
      <c r="E933" s="9">
        <f t="shared" si="30"/>
        <v>0.90104354714151691</v>
      </c>
      <c r="F933" t="str">
        <f t="shared" si="31"/>
        <v>Expected</v>
      </c>
      <c r="G933" t="s">
        <v>874</v>
      </c>
    </row>
    <row r="934" spans="1:7" ht="15" customHeight="1" x14ac:dyDescent="0.3">
      <c r="A934" t="s">
        <v>208</v>
      </c>
      <c r="B934" s="2">
        <v>46266</v>
      </c>
      <c r="C934" cm="1">
        <f t="array" ref="C934">IFERROR(IF(SUMPRODUCT((measured[Site Name]=A934)*(measured[Date]=B934)*ISNUMBER(measured[Measured Value (kWh)]))=0,"",SUMIFS(measured[Measured Value (kWh)],measured[Site Name],A934,measured[Date],B934)),"")</f>
        <v>11994.93</v>
      </c>
      <c r="D934" cm="1">
        <f t="array" ref="D934">IFERROR(IF(SUMPRODUCT((expected_production[Site Name]=A934)*(expected_production[Date]=B934)*ISNUMBER(expected_production[Expected Production (kWh)]))=0,"",SUMIFS(expected_production[Expected Production (kWh)],expected_production[Site Name],A934,expected_production[Date],B934)),"")</f>
        <v>16028.71814187468</v>
      </c>
      <c r="E934" s="9">
        <f t="shared" si="30"/>
        <v>0.74833994171146501</v>
      </c>
      <c r="F934" t="str">
        <f t="shared" si="31"/>
        <v>Moderate</v>
      </c>
      <c r="G934" t="s">
        <v>874</v>
      </c>
    </row>
    <row r="935" spans="1:7" ht="15" hidden="1" customHeight="1" x14ac:dyDescent="0.3">
      <c r="A935" t="s">
        <v>117</v>
      </c>
      <c r="B935" s="2">
        <v>46296</v>
      </c>
      <c r="C935" t="str" cm="1">
        <f t="array" ref="C935">IFERROR(IF(SUMPRODUCT((measured[Site Name]=A935)*(measured[Date]=B935)*ISNUMBER(measured[Measured Value (kWh)]))=0,"",SUMIFS(measured[Measured Value (kWh)],measured[Site Name],A935,measured[Date],B935)),"")</f>
        <v/>
      </c>
      <c r="D935" cm="1">
        <f t="array" ref="D935">IFERROR(IF(SUMPRODUCT((expected_production[Site Name]=A935)*(expected_production[Date]=B935)*ISNUMBER(expected_production[Expected Production (kWh)]))=0,"",SUMIFS(expected_production[Expected Production (kWh)],expected_production[Site Name],A935,expected_production[Date],B935)),"")</f>
        <v>29777.112658392729</v>
      </c>
      <c r="E935" s="9" t="str">
        <f t="shared" si="30"/>
        <v/>
      </c>
      <c r="F935" t="str">
        <f t="shared" si="31"/>
        <v/>
      </c>
    </row>
    <row r="936" spans="1:7" ht="15" hidden="1" customHeight="1" x14ac:dyDescent="0.3">
      <c r="A936" t="s">
        <v>117</v>
      </c>
      <c r="B936" s="2">
        <v>46327</v>
      </c>
      <c r="C936" t="str" cm="1">
        <f t="array" ref="C936">IFERROR(IF(SUMPRODUCT((measured[Site Name]=A936)*(measured[Date]=B936)*ISNUMBER(measured[Measured Value (kWh)]))=0,"",SUMIFS(measured[Measured Value (kWh)],measured[Site Name],A936,measured[Date],B936)),"")</f>
        <v/>
      </c>
      <c r="D936" cm="1">
        <f t="array" ref="D936">IFERROR(IF(SUMPRODUCT((expected_production[Site Name]=A936)*(expected_production[Date]=B936)*ISNUMBER(expected_production[Expected Production (kWh)]))=0,"",SUMIFS(expected_production[Expected Production (kWh)],expected_production[Site Name],A936,expected_production[Date],B936)),"")</f>
        <v>28896.325471247455</v>
      </c>
      <c r="E936" s="9" t="str">
        <f t="shared" si="30"/>
        <v/>
      </c>
      <c r="F936" t="str">
        <f t="shared" si="31"/>
        <v/>
      </c>
    </row>
    <row r="937" spans="1:7" ht="15" hidden="1" customHeight="1" x14ac:dyDescent="0.3">
      <c r="A937" t="s">
        <v>117</v>
      </c>
      <c r="B937" s="2">
        <v>46357</v>
      </c>
      <c r="C937" t="str" cm="1">
        <f t="array" ref="C937">IFERROR(IF(SUMPRODUCT((measured[Site Name]=A937)*(measured[Date]=B937)*ISNUMBER(measured[Measured Value (kWh)]))=0,"",SUMIFS(measured[Measured Value (kWh)],measured[Site Name],A937,measured[Date],B937)),"")</f>
        <v/>
      </c>
      <c r="D937" cm="1">
        <f t="array" ref="D937">IFERROR(IF(SUMPRODUCT((expected_production[Site Name]=A937)*(expected_production[Date]=B937)*ISNUMBER(expected_production[Expected Production (kWh)]))=0,"",SUMIFS(expected_production[Expected Production (kWh)],expected_production[Site Name],A937,expected_production[Date],B937)),"")</f>
        <v>30687.014095173272</v>
      </c>
      <c r="E937" s="9" t="str">
        <f t="shared" si="30"/>
        <v/>
      </c>
      <c r="F937" t="str">
        <f t="shared" si="31"/>
        <v/>
      </c>
    </row>
    <row r="938" spans="1:7" ht="15" hidden="1" customHeight="1" x14ac:dyDescent="0.3">
      <c r="A938" t="s">
        <v>225</v>
      </c>
      <c r="B938" s="2">
        <v>45292</v>
      </c>
      <c r="C938" t="str" cm="1">
        <f t="array" ref="C938">IFERROR(IF(SUMPRODUCT((measured[Site Name]=A938)*(measured[Date]=B938)*ISNUMBER(measured[Measured Value (kWh)]))=0,"",SUMIFS(measured[Measured Value (kWh)],measured[Site Name],A938,measured[Date],B938)),"")</f>
        <v/>
      </c>
      <c r="D938" cm="1">
        <f t="array" ref="D938">IFERROR(IF(SUMPRODUCT((expected_production[Site Name]=A938)*(expected_production[Date]=B938)*ISNUMBER(expected_production[Expected Production (kWh)]))=0,"",SUMIFS(expected_production[Expected Production (kWh)],expected_production[Site Name],A938,expected_production[Date],B938)),"")</f>
        <v>7573.5</v>
      </c>
      <c r="E938" s="9" t="str">
        <f t="shared" si="30"/>
        <v/>
      </c>
      <c r="F938" t="str">
        <f t="shared" si="31"/>
        <v/>
      </c>
    </row>
    <row r="939" spans="1:7" ht="15" hidden="1" customHeight="1" x14ac:dyDescent="0.3">
      <c r="A939" t="s">
        <v>225</v>
      </c>
      <c r="B939" s="2">
        <v>45323</v>
      </c>
      <c r="C939" t="str" cm="1">
        <f t="array" ref="C939">IFERROR(IF(SUMPRODUCT((measured[Site Name]=A939)*(measured[Date]=B939)*ISNUMBER(measured[Measured Value (kWh)]))=0,"",SUMIFS(measured[Measured Value (kWh)],measured[Site Name],A939,measured[Date],B939)),"")</f>
        <v/>
      </c>
      <c r="D939" cm="1">
        <f t="array" ref="D939">IFERROR(IF(SUMPRODUCT((expected_production[Site Name]=A939)*(expected_production[Date]=B939)*ISNUMBER(expected_production[Expected Production (kWh)]))=0,"",SUMIFS(expected_production[Expected Production (kWh)],expected_production[Site Name],A939,expected_production[Date],B939)),"")</f>
        <v>6513.75</v>
      </c>
      <c r="E939" s="9" t="str">
        <f t="shared" si="30"/>
        <v/>
      </c>
      <c r="F939" t="str">
        <f t="shared" si="31"/>
        <v/>
      </c>
    </row>
    <row r="940" spans="1:7" ht="15" hidden="1" customHeight="1" x14ac:dyDescent="0.3">
      <c r="A940" t="s">
        <v>225</v>
      </c>
      <c r="B940" s="2">
        <v>45352</v>
      </c>
      <c r="C940" t="str" cm="1">
        <f t="array" ref="C940">IFERROR(IF(SUMPRODUCT((measured[Site Name]=A940)*(measured[Date]=B940)*ISNUMBER(measured[Measured Value (kWh)]))=0,"",SUMIFS(measured[Measured Value (kWh)],measured[Site Name],A940,measured[Date],B940)),"")</f>
        <v/>
      </c>
      <c r="D940" cm="1">
        <f t="array" ref="D940">IFERROR(IF(SUMPRODUCT((expected_production[Site Name]=A940)*(expected_production[Date]=B940)*ISNUMBER(expected_production[Expected Production (kWh)]))=0,"",SUMIFS(expected_production[Expected Production (kWh)],expected_production[Site Name],A940,expected_production[Date],B940)),"")</f>
        <v>6841.35</v>
      </c>
      <c r="E940" s="9" t="str">
        <f t="shared" si="30"/>
        <v/>
      </c>
      <c r="F940" t="str">
        <f t="shared" si="31"/>
        <v/>
      </c>
    </row>
    <row r="941" spans="1:7" ht="15" hidden="1" customHeight="1" x14ac:dyDescent="0.3">
      <c r="A941" t="s">
        <v>225</v>
      </c>
      <c r="B941" s="2">
        <v>45383</v>
      </c>
      <c r="C941" t="str" cm="1">
        <f t="array" ref="C941">IFERROR(IF(SUMPRODUCT((measured[Site Name]=A941)*(measured[Date]=B941)*ISNUMBER(measured[Measured Value (kWh)]))=0,"",SUMIFS(measured[Measured Value (kWh)],measured[Site Name],A941,measured[Date],B941)),"")</f>
        <v/>
      </c>
      <c r="D941" cm="1">
        <f t="array" ref="D941">IFERROR(IF(SUMPRODUCT((expected_production[Site Name]=A941)*(expected_production[Date]=B941)*ISNUMBER(expected_production[Expected Production (kWh)]))=0,"",SUMIFS(expected_production[Expected Production (kWh)],expected_production[Site Name],A941,expected_production[Date],B941)),"")</f>
        <v>618.29999999999995</v>
      </c>
      <c r="E941" s="9" t="str">
        <f t="shared" si="30"/>
        <v/>
      </c>
      <c r="F941" t="str">
        <f t="shared" si="31"/>
        <v/>
      </c>
    </row>
    <row r="942" spans="1:7" ht="15" hidden="1" customHeight="1" x14ac:dyDescent="0.3">
      <c r="A942" t="s">
        <v>225</v>
      </c>
      <c r="B942" s="2">
        <v>45413</v>
      </c>
      <c r="C942" t="str" cm="1">
        <f t="array" ref="C942">IFERROR(IF(SUMPRODUCT((measured[Site Name]=A942)*(measured[Date]=B942)*ISNUMBER(measured[Measured Value (kWh)]))=0,"",SUMIFS(measured[Measured Value (kWh)],measured[Site Name],A942,measured[Date],B942)),"")</f>
        <v/>
      </c>
      <c r="D942" cm="1">
        <f t="array" ref="D942">IFERROR(IF(SUMPRODUCT((expected_production[Site Name]=A942)*(expected_production[Date]=B942)*ISNUMBER(expected_production[Expected Production (kWh)]))=0,"",SUMIFS(expected_production[Expected Production (kWh)],expected_production[Site Name],A942,expected_production[Date],B942)),"")</f>
        <v>5924.7</v>
      </c>
      <c r="E942" s="9" t="str">
        <f t="shared" si="30"/>
        <v/>
      </c>
      <c r="F942" t="str">
        <f t="shared" si="31"/>
        <v/>
      </c>
    </row>
    <row r="943" spans="1:7" ht="15" hidden="1" customHeight="1" x14ac:dyDescent="0.3">
      <c r="A943" t="s">
        <v>225</v>
      </c>
      <c r="B943" s="2">
        <v>45444</v>
      </c>
      <c r="C943" t="str" cm="1">
        <f t="array" ref="C943">IFERROR(IF(SUMPRODUCT((measured[Site Name]=A943)*(measured[Date]=B943)*ISNUMBER(measured[Measured Value (kWh)]))=0,"",SUMIFS(measured[Measured Value (kWh)],measured[Site Name],A943,measured[Date],B943)),"")</f>
        <v/>
      </c>
      <c r="D943" cm="1">
        <f t="array" ref="D943">IFERROR(IF(SUMPRODUCT((expected_production[Site Name]=A943)*(expected_production[Date]=B943)*ISNUMBER(expected_production[Expected Production (kWh)]))=0,"",SUMIFS(expected_production[Expected Production (kWh)],expected_production[Site Name],A943,expected_production[Date],B943)),"")</f>
        <v>5295.6</v>
      </c>
      <c r="E943" s="9" t="str">
        <f t="shared" si="30"/>
        <v/>
      </c>
      <c r="F943" t="str">
        <f t="shared" si="31"/>
        <v/>
      </c>
    </row>
    <row r="944" spans="1:7" ht="15" hidden="1" customHeight="1" x14ac:dyDescent="0.3">
      <c r="A944" t="s">
        <v>225</v>
      </c>
      <c r="B944" s="2">
        <v>45474</v>
      </c>
      <c r="C944" t="str" cm="1">
        <f t="array" ref="C944">IFERROR(IF(SUMPRODUCT((measured[Site Name]=A944)*(measured[Date]=B944)*ISNUMBER(measured[Measured Value (kWh)]))=0,"",SUMIFS(measured[Measured Value (kWh)],measured[Site Name],A944,measured[Date],B944)),"")</f>
        <v/>
      </c>
      <c r="D944" cm="1">
        <f t="array" ref="D944">IFERROR(IF(SUMPRODUCT((expected_production[Site Name]=A944)*(expected_production[Date]=B944)*ISNUMBER(expected_production[Expected Production (kWh)]))=0,"",SUMIFS(expected_production[Expected Production (kWh)],expected_production[Site Name],A944,expected_production[Date],B944)),"")</f>
        <v>5785.2</v>
      </c>
      <c r="E944" s="9" t="str">
        <f t="shared" si="30"/>
        <v/>
      </c>
      <c r="F944" t="str">
        <f t="shared" si="31"/>
        <v/>
      </c>
    </row>
    <row r="945" spans="1:6" ht="15" hidden="1" customHeight="1" x14ac:dyDescent="0.3">
      <c r="A945" t="s">
        <v>225</v>
      </c>
      <c r="B945" s="2">
        <v>45505</v>
      </c>
      <c r="C945" t="str" cm="1">
        <f t="array" ref="C945">IFERROR(IF(SUMPRODUCT((measured[Site Name]=A945)*(measured[Date]=B945)*ISNUMBER(measured[Measured Value (kWh)]))=0,"",SUMIFS(measured[Measured Value (kWh)],measured[Site Name],A945,measured[Date],B945)),"")</f>
        <v/>
      </c>
      <c r="D945" cm="1">
        <f t="array" ref="D945">IFERROR(IF(SUMPRODUCT((expected_production[Site Name]=A945)*(expected_production[Date]=B945)*ISNUMBER(expected_production[Expected Production (kWh)]))=0,"",SUMIFS(expected_production[Expected Production (kWh)],expected_production[Site Name],A945,expected_production[Date],B945)),"")</f>
        <v>6585.3</v>
      </c>
      <c r="E945" s="9" t="str">
        <f t="shared" si="30"/>
        <v/>
      </c>
      <c r="F945" t="str">
        <f t="shared" si="31"/>
        <v/>
      </c>
    </row>
    <row r="946" spans="1:6" ht="15" hidden="1" customHeight="1" x14ac:dyDescent="0.3">
      <c r="A946" t="s">
        <v>225</v>
      </c>
      <c r="B946" s="2">
        <v>45536</v>
      </c>
      <c r="C946" t="str" cm="1">
        <f t="array" ref="C946">IFERROR(IF(SUMPRODUCT((measured[Site Name]=A946)*(measured[Date]=B946)*ISNUMBER(measured[Measured Value (kWh)]))=0,"",SUMIFS(measured[Measured Value (kWh)],measured[Site Name],A946,measured[Date],B946)),"")</f>
        <v/>
      </c>
      <c r="D946" cm="1">
        <f t="array" ref="D946">IFERROR(IF(SUMPRODUCT((expected_production[Site Name]=A946)*(expected_production[Date]=B946)*ISNUMBER(expected_production[Expected Production (kWh)]))=0,"",SUMIFS(expected_production[Expected Production (kWh)],expected_production[Site Name],A946,expected_production[Date],B946)),"")</f>
        <v>7018.65</v>
      </c>
      <c r="E946" s="9" t="str">
        <f t="shared" si="30"/>
        <v/>
      </c>
      <c r="F946" t="str">
        <f t="shared" si="31"/>
        <v/>
      </c>
    </row>
    <row r="947" spans="1:6" ht="15" hidden="1" customHeight="1" x14ac:dyDescent="0.3">
      <c r="A947" t="s">
        <v>225</v>
      </c>
      <c r="B947" s="2">
        <v>45566</v>
      </c>
      <c r="C947" t="str" cm="1">
        <f t="array" ref="C947">IFERROR(IF(SUMPRODUCT((measured[Site Name]=A947)*(measured[Date]=B947)*ISNUMBER(measured[Measured Value (kWh)]))=0,"",SUMIFS(measured[Measured Value (kWh)],measured[Site Name],A947,measured[Date],B947)),"")</f>
        <v/>
      </c>
      <c r="D947" cm="1">
        <f t="array" ref="D947">IFERROR(IF(SUMPRODUCT((expected_production[Site Name]=A947)*(expected_production[Date]=B947)*ISNUMBER(expected_production[Expected Production (kWh)]))=0,"",SUMIFS(expected_production[Expected Production (kWh)],expected_production[Site Name],A947,expected_production[Date],B947)),"")</f>
        <v>7479.45</v>
      </c>
      <c r="E947" s="9" t="str">
        <f t="shared" si="30"/>
        <v/>
      </c>
      <c r="F947" t="str">
        <f t="shared" si="31"/>
        <v/>
      </c>
    </row>
    <row r="948" spans="1:6" ht="15" hidden="1" customHeight="1" x14ac:dyDescent="0.3">
      <c r="A948" t="s">
        <v>225</v>
      </c>
      <c r="B948" s="2">
        <v>45597</v>
      </c>
      <c r="C948" t="str" cm="1">
        <f t="array" ref="C948">IFERROR(IF(SUMPRODUCT((measured[Site Name]=A948)*(measured[Date]=B948)*ISNUMBER(measured[Measured Value (kWh)]))=0,"",SUMIFS(measured[Measured Value (kWh)],measured[Site Name],A948,measured[Date],B948)),"")</f>
        <v/>
      </c>
      <c r="D948" cm="1">
        <f t="array" ref="D948">IFERROR(IF(SUMPRODUCT((expected_production[Site Name]=A948)*(expected_production[Date]=B948)*ISNUMBER(expected_production[Expected Production (kWh)]))=0,"",SUMIFS(expected_production[Expected Production (kWh)],expected_production[Site Name],A948,expected_production[Date],B948)),"")</f>
        <v>7552.8</v>
      </c>
      <c r="E948" s="9" t="str">
        <f t="shared" si="30"/>
        <v/>
      </c>
      <c r="F948" t="str">
        <f t="shared" si="31"/>
        <v/>
      </c>
    </row>
    <row r="949" spans="1:6" ht="15" hidden="1" customHeight="1" x14ac:dyDescent="0.3">
      <c r="A949" t="s">
        <v>225</v>
      </c>
      <c r="B949" s="2">
        <v>45627</v>
      </c>
      <c r="C949" t="str" cm="1">
        <f t="array" ref="C949">IFERROR(IF(SUMPRODUCT((measured[Site Name]=A949)*(measured[Date]=B949)*ISNUMBER(measured[Measured Value (kWh)]))=0,"",SUMIFS(measured[Measured Value (kWh)],measured[Site Name],A949,measured[Date],B949)),"")</f>
        <v/>
      </c>
      <c r="D949" cm="1">
        <f t="array" ref="D949">IFERROR(IF(SUMPRODUCT((expected_production[Site Name]=A949)*(expected_production[Date]=B949)*ISNUMBER(expected_production[Expected Production (kWh)]))=0,"",SUMIFS(expected_production[Expected Production (kWh)],expected_production[Site Name],A949,expected_production[Date],B949)),"")</f>
        <v>7415.1</v>
      </c>
      <c r="E949" s="9" t="str">
        <f t="shared" si="30"/>
        <v/>
      </c>
      <c r="F949" t="str">
        <f t="shared" si="31"/>
        <v/>
      </c>
    </row>
    <row r="950" spans="1:6" ht="15" hidden="1" customHeight="1" x14ac:dyDescent="0.3">
      <c r="A950" t="s">
        <v>225</v>
      </c>
      <c r="B950" s="2">
        <v>45658</v>
      </c>
      <c r="C950" t="str" cm="1">
        <f t="array" ref="C950">IFERROR(IF(SUMPRODUCT((measured[Site Name]=A950)*(measured[Date]=B950)*ISNUMBER(measured[Measured Value (kWh)]))=0,"",SUMIFS(measured[Measured Value (kWh)],measured[Site Name],A950,measured[Date],B950)),"")</f>
        <v/>
      </c>
      <c r="D950" cm="1">
        <f t="array" ref="D950">IFERROR(IF(SUMPRODUCT((expected_production[Site Name]=A950)*(expected_production[Date]=B950)*ISNUMBER(expected_production[Expected Production (kWh)]))=0,"",SUMIFS(expected_production[Expected Production (kWh)],expected_production[Site Name],A950,expected_production[Date],B950)),"")</f>
        <v>7573.5</v>
      </c>
      <c r="E950" s="9" t="str">
        <f t="shared" si="30"/>
        <v/>
      </c>
      <c r="F950" t="str">
        <f t="shared" si="31"/>
        <v/>
      </c>
    </row>
    <row r="951" spans="1:6" ht="15" hidden="1" customHeight="1" x14ac:dyDescent="0.3">
      <c r="A951" t="s">
        <v>225</v>
      </c>
      <c r="B951" s="2">
        <v>45689</v>
      </c>
      <c r="C951" t="str" cm="1">
        <f t="array" ref="C951">IFERROR(IF(SUMPRODUCT((measured[Site Name]=A951)*(measured[Date]=B951)*ISNUMBER(measured[Measured Value (kWh)]))=0,"",SUMIFS(measured[Measured Value (kWh)],measured[Site Name],A951,measured[Date],B951)),"")</f>
        <v/>
      </c>
      <c r="D951" cm="1">
        <f t="array" ref="D951">IFERROR(IF(SUMPRODUCT((expected_production[Site Name]=A951)*(expected_production[Date]=B951)*ISNUMBER(expected_production[Expected Production (kWh)]))=0,"",SUMIFS(expected_production[Expected Production (kWh)],expected_production[Site Name],A951,expected_production[Date],B951)),"")</f>
        <v>6513.75</v>
      </c>
      <c r="E951" s="9" t="str">
        <f t="shared" si="30"/>
        <v/>
      </c>
      <c r="F951" t="str">
        <f t="shared" si="31"/>
        <v/>
      </c>
    </row>
    <row r="952" spans="1:6" ht="15" hidden="1" customHeight="1" x14ac:dyDescent="0.3">
      <c r="A952" t="s">
        <v>225</v>
      </c>
      <c r="B952" s="2">
        <v>45717</v>
      </c>
      <c r="C952" t="str" cm="1">
        <f t="array" ref="C952">IFERROR(IF(SUMPRODUCT((measured[Site Name]=A952)*(measured[Date]=B952)*ISNUMBER(measured[Measured Value (kWh)]))=0,"",SUMIFS(measured[Measured Value (kWh)],measured[Site Name],A952,measured[Date],B952)),"")</f>
        <v/>
      </c>
      <c r="D952" cm="1">
        <f t="array" ref="D952">IFERROR(IF(SUMPRODUCT((expected_production[Site Name]=A952)*(expected_production[Date]=B952)*ISNUMBER(expected_production[Expected Production (kWh)]))=0,"",SUMIFS(expected_production[Expected Production (kWh)],expected_production[Site Name],A952,expected_production[Date],B952)),"")</f>
        <v>6841.35</v>
      </c>
      <c r="E952" s="9" t="str">
        <f t="shared" si="30"/>
        <v/>
      </c>
      <c r="F952" t="str">
        <f t="shared" si="31"/>
        <v/>
      </c>
    </row>
    <row r="953" spans="1:6" ht="15" hidden="1" customHeight="1" x14ac:dyDescent="0.3">
      <c r="A953" t="s">
        <v>225</v>
      </c>
      <c r="B953" s="2">
        <v>45748</v>
      </c>
      <c r="C953" t="str" cm="1">
        <f t="array" ref="C953">IFERROR(IF(SUMPRODUCT((measured[Site Name]=A953)*(measured[Date]=B953)*ISNUMBER(measured[Measured Value (kWh)]))=0,"",SUMIFS(measured[Measured Value (kWh)],measured[Site Name],A953,measured[Date],B953)),"")</f>
        <v/>
      </c>
      <c r="D953" cm="1">
        <f t="array" ref="D953">IFERROR(IF(SUMPRODUCT((expected_production[Site Name]=A953)*(expected_production[Date]=B953)*ISNUMBER(expected_production[Expected Production (kWh)]))=0,"",SUMIFS(expected_production[Expected Production (kWh)],expected_production[Site Name],A953,expected_production[Date],B953)),"")</f>
        <v>618.29999999999995</v>
      </c>
      <c r="E953" s="9" t="str">
        <f t="shared" si="30"/>
        <v/>
      </c>
      <c r="F953" t="str">
        <f t="shared" si="31"/>
        <v/>
      </c>
    </row>
    <row r="954" spans="1:6" ht="15" hidden="1" customHeight="1" x14ac:dyDescent="0.3">
      <c r="A954" t="s">
        <v>225</v>
      </c>
      <c r="B954" s="2">
        <v>45778</v>
      </c>
      <c r="C954" t="str" cm="1">
        <f t="array" ref="C954">IFERROR(IF(SUMPRODUCT((measured[Site Name]=A954)*(measured[Date]=B954)*ISNUMBER(measured[Measured Value (kWh)]))=0,"",SUMIFS(measured[Measured Value (kWh)],measured[Site Name],A954,measured[Date],B954)),"")</f>
        <v/>
      </c>
      <c r="D954" cm="1">
        <f t="array" ref="D954">IFERROR(IF(SUMPRODUCT((expected_production[Site Name]=A954)*(expected_production[Date]=B954)*ISNUMBER(expected_production[Expected Production (kWh)]))=0,"",SUMIFS(expected_production[Expected Production (kWh)],expected_production[Site Name],A954,expected_production[Date],B954)),"")</f>
        <v>5924.7</v>
      </c>
      <c r="E954" s="9" t="str">
        <f t="shared" si="30"/>
        <v/>
      </c>
      <c r="F954" t="str">
        <f t="shared" si="31"/>
        <v/>
      </c>
    </row>
    <row r="955" spans="1:6" ht="15" hidden="1" customHeight="1" x14ac:dyDescent="0.3">
      <c r="A955" t="s">
        <v>225</v>
      </c>
      <c r="B955" s="2">
        <v>45809</v>
      </c>
      <c r="C955" t="str" cm="1">
        <f t="array" ref="C955">IFERROR(IF(SUMPRODUCT((measured[Site Name]=A955)*(measured[Date]=B955)*ISNUMBER(measured[Measured Value (kWh)]))=0,"",SUMIFS(measured[Measured Value (kWh)],measured[Site Name],A955,measured[Date],B955)),"")</f>
        <v/>
      </c>
      <c r="D955" cm="1">
        <f t="array" ref="D955">IFERROR(IF(SUMPRODUCT((expected_production[Site Name]=A955)*(expected_production[Date]=B955)*ISNUMBER(expected_production[Expected Production (kWh)]))=0,"",SUMIFS(expected_production[Expected Production (kWh)],expected_production[Site Name],A955,expected_production[Date],B955)),"")</f>
        <v>5295.6</v>
      </c>
      <c r="E955" s="9" t="str">
        <f t="shared" si="30"/>
        <v/>
      </c>
      <c r="F955" t="str">
        <f t="shared" si="31"/>
        <v/>
      </c>
    </row>
    <row r="956" spans="1:6" ht="15" hidden="1" customHeight="1" x14ac:dyDescent="0.3">
      <c r="A956" t="s">
        <v>225</v>
      </c>
      <c r="B956" s="2">
        <v>45839</v>
      </c>
      <c r="C956" t="str" cm="1">
        <f t="array" ref="C956">IFERROR(IF(SUMPRODUCT((measured[Site Name]=A956)*(measured[Date]=B956)*ISNUMBER(measured[Measured Value (kWh)]))=0,"",SUMIFS(measured[Measured Value (kWh)],measured[Site Name],A956,measured[Date],B956)),"")</f>
        <v/>
      </c>
      <c r="D956" cm="1">
        <f t="array" ref="D956">IFERROR(IF(SUMPRODUCT((expected_production[Site Name]=A956)*(expected_production[Date]=B956)*ISNUMBER(expected_production[Expected Production (kWh)]))=0,"",SUMIFS(expected_production[Expected Production (kWh)],expected_production[Site Name],A956,expected_production[Date],B956)),"")</f>
        <v>5785.2</v>
      </c>
      <c r="E956" s="9" t="str">
        <f t="shared" si="30"/>
        <v/>
      </c>
      <c r="F956" t="str">
        <f t="shared" si="31"/>
        <v/>
      </c>
    </row>
    <row r="957" spans="1:6" ht="15" hidden="1" customHeight="1" x14ac:dyDescent="0.3">
      <c r="A957" t="s">
        <v>225</v>
      </c>
      <c r="B957" s="2">
        <v>45870</v>
      </c>
      <c r="C957" t="str" cm="1">
        <f t="array" ref="C957">IFERROR(IF(SUMPRODUCT((measured[Site Name]=A957)*(measured[Date]=B957)*ISNUMBER(measured[Measured Value (kWh)]))=0,"",SUMIFS(measured[Measured Value (kWh)],measured[Site Name],A957,measured[Date],B957)),"")</f>
        <v/>
      </c>
      <c r="D957" cm="1">
        <f t="array" ref="D957">IFERROR(IF(SUMPRODUCT((expected_production[Site Name]=A957)*(expected_production[Date]=B957)*ISNUMBER(expected_production[Expected Production (kWh)]))=0,"",SUMIFS(expected_production[Expected Production (kWh)],expected_production[Site Name],A957,expected_production[Date],B957)),"")</f>
        <v>6585.3</v>
      </c>
      <c r="E957" s="9" t="str">
        <f t="shared" si="30"/>
        <v/>
      </c>
      <c r="F957" t="str">
        <f t="shared" si="31"/>
        <v/>
      </c>
    </row>
    <row r="958" spans="1:6" ht="15" hidden="1" customHeight="1" x14ac:dyDescent="0.3">
      <c r="A958" t="s">
        <v>225</v>
      </c>
      <c r="B958" s="2">
        <v>45901</v>
      </c>
      <c r="C958" t="str" cm="1">
        <f t="array" ref="C958">IFERROR(IF(SUMPRODUCT((measured[Site Name]=A958)*(measured[Date]=B958)*ISNUMBER(measured[Measured Value (kWh)]))=0,"",SUMIFS(measured[Measured Value (kWh)],measured[Site Name],A958,measured[Date],B958)),"")</f>
        <v/>
      </c>
      <c r="D958" cm="1">
        <f t="array" ref="D958">IFERROR(IF(SUMPRODUCT((expected_production[Site Name]=A958)*(expected_production[Date]=B958)*ISNUMBER(expected_production[Expected Production (kWh)]))=0,"",SUMIFS(expected_production[Expected Production (kWh)],expected_production[Site Name],A958,expected_production[Date],B958)),"")</f>
        <v>7018.65</v>
      </c>
      <c r="E958" s="9" t="str">
        <f t="shared" si="30"/>
        <v/>
      </c>
      <c r="F958" t="str">
        <f t="shared" si="31"/>
        <v/>
      </c>
    </row>
    <row r="959" spans="1:6" ht="15" hidden="1" customHeight="1" x14ac:dyDescent="0.3">
      <c r="A959" t="s">
        <v>225</v>
      </c>
      <c r="B959" s="2">
        <v>45931</v>
      </c>
      <c r="C959" t="str" cm="1">
        <f t="array" ref="C959">IFERROR(IF(SUMPRODUCT((measured[Site Name]=A959)*(measured[Date]=B959)*ISNUMBER(measured[Measured Value (kWh)]))=0,"",SUMIFS(measured[Measured Value (kWh)],measured[Site Name],A959,measured[Date],B959)),"")</f>
        <v/>
      </c>
      <c r="D959" cm="1">
        <f t="array" ref="D959">IFERROR(IF(SUMPRODUCT((expected_production[Site Name]=A959)*(expected_production[Date]=B959)*ISNUMBER(expected_production[Expected Production (kWh)]))=0,"",SUMIFS(expected_production[Expected Production (kWh)],expected_production[Site Name],A959,expected_production[Date],B959)),"")</f>
        <v>7479.45</v>
      </c>
      <c r="E959" s="9" t="str">
        <f t="shared" si="30"/>
        <v/>
      </c>
      <c r="F959" t="str">
        <f t="shared" si="31"/>
        <v/>
      </c>
    </row>
    <row r="960" spans="1:6" ht="15" hidden="1" customHeight="1" x14ac:dyDescent="0.3">
      <c r="A960" t="s">
        <v>225</v>
      </c>
      <c r="B960" s="2">
        <v>45962</v>
      </c>
      <c r="C960" t="str" cm="1">
        <f t="array" ref="C960">IFERROR(IF(SUMPRODUCT((measured[Site Name]=A960)*(measured[Date]=B960)*ISNUMBER(measured[Measured Value (kWh)]))=0,"",SUMIFS(measured[Measured Value (kWh)],measured[Site Name],A960,measured[Date],B960)),"")</f>
        <v/>
      </c>
      <c r="D960" cm="1">
        <f t="array" ref="D960">IFERROR(IF(SUMPRODUCT((expected_production[Site Name]=A960)*(expected_production[Date]=B960)*ISNUMBER(expected_production[Expected Production (kWh)]))=0,"",SUMIFS(expected_production[Expected Production (kWh)],expected_production[Site Name],A960,expected_production[Date],B960)),"")</f>
        <v>7548.7338688308964</v>
      </c>
      <c r="E960" s="9" t="str">
        <f t="shared" si="30"/>
        <v/>
      </c>
      <c r="F960" t="str">
        <f t="shared" si="31"/>
        <v/>
      </c>
    </row>
    <row r="961" spans="1:7" ht="15" hidden="1" customHeight="1" x14ac:dyDescent="0.3">
      <c r="A961" t="s">
        <v>225</v>
      </c>
      <c r="B961" s="2">
        <v>45992</v>
      </c>
      <c r="C961" cm="1">
        <f t="array" ref="C961">IFERROR(IF(SUMPRODUCT((measured[Site Name]=A961)*(measured[Date]=B961)*ISNUMBER(measured[Measured Value (kWh)]))=0,"",SUMIFS(measured[Measured Value (kWh)],measured[Site Name],A961,measured[Date],B961)),"")</f>
        <v>5820</v>
      </c>
      <c r="D961" cm="1">
        <f t="array" ref="D961">IFERROR(IF(SUMPRODUCT((expected_production[Site Name]=A961)*(expected_production[Date]=B961)*ISNUMBER(expected_production[Expected Production (kWh)]))=0,"",SUMIFS(expected_production[Expected Production (kWh)],expected_production[Site Name],A961,expected_production[Date],B961)),"")</f>
        <v>7406.8332442898654</v>
      </c>
      <c r="E961" s="9">
        <f t="shared" si="30"/>
        <v>0.78576090591573677</v>
      </c>
      <c r="F961" t="str">
        <f t="shared" si="31"/>
        <v>Moderate</v>
      </c>
    </row>
    <row r="962" spans="1:7" ht="15" hidden="1" customHeight="1" x14ac:dyDescent="0.3">
      <c r="A962" t="s">
        <v>225</v>
      </c>
      <c r="B962" s="2">
        <v>46023</v>
      </c>
      <c r="C962" cm="1">
        <f t="array" ref="C962">IFERROR(IF(SUMPRODUCT((measured[Site Name]=A962)*(measured[Date]=B962)*ISNUMBER(measured[Measured Value (kWh)]))=0,"",SUMIFS(measured[Measured Value (kWh)],measured[Site Name],A962,measured[Date],B962)),"")</f>
        <v>7914</v>
      </c>
      <c r="D962" cm="1">
        <f t="array" ref="D962">IFERROR(IF(SUMPRODUCT((expected_production[Site Name]=A962)*(expected_production[Date]=B962)*ISNUMBER(expected_production[Expected Production (kWh)]))=0,"",SUMIFS(expected_production[Expected Production (kWh)],expected_production[Site Name],A962,expected_production[Date],B962)),"")</f>
        <v>7560.547687881578</v>
      </c>
      <c r="E962" s="9">
        <f t="shared" si="30"/>
        <v>1.0467495645434461</v>
      </c>
      <c r="F962" t="str">
        <f t="shared" si="31"/>
        <v>Expected</v>
      </c>
    </row>
    <row r="963" spans="1:7" ht="15" hidden="1" customHeight="1" x14ac:dyDescent="0.3">
      <c r="A963" t="s">
        <v>225</v>
      </c>
      <c r="B963" s="2">
        <v>46054</v>
      </c>
      <c r="C963" cm="1">
        <f t="array" ref="C963">IFERROR(IF(SUMPRODUCT((measured[Site Name]=A963)*(measured[Date]=B963)*ISNUMBER(measured[Measured Value (kWh)]))=0,"",SUMIFS(measured[Measured Value (kWh)],measured[Site Name],A963,measured[Date],B963)),"")</f>
        <v>8094</v>
      </c>
      <c r="D963" cm="1">
        <f t="array" ref="D963">IFERROR(IF(SUMPRODUCT((expected_production[Site Name]=A963)*(expected_production[Date]=B963)*ISNUMBER(expected_production[Expected Production (kWh)]))=0,"",SUMIFS(expected_production[Expected Production (kWh)],expected_production[Site Name],A963,expected_production[Date],B963)),"")</f>
        <v>6498.7343693641287</v>
      </c>
      <c r="E963" s="9">
        <f t="shared" si="30"/>
        <v>1.2454732783288018</v>
      </c>
      <c r="F963" t="str">
        <f t="shared" si="31"/>
        <v>Expected</v>
      </c>
    </row>
    <row r="964" spans="1:7" ht="15" hidden="1" customHeight="1" x14ac:dyDescent="0.3">
      <c r="A964" t="s">
        <v>225</v>
      </c>
      <c r="B964" s="2">
        <v>46082</v>
      </c>
      <c r="C964" cm="1">
        <f t="array" ref="C964">IFERROR(IF(SUMPRODUCT((measured[Site Name]=A964)*(measured[Date]=B964)*ISNUMBER(measured[Measured Value (kWh)]))=0,"",SUMIFS(measured[Measured Value (kWh)],measured[Site Name],A964,measured[Date],B964)),"")</f>
        <v>6511</v>
      </c>
      <c r="D964" cm="1">
        <f t="array" ref="D964">IFERROR(IF(SUMPRODUCT((expected_production[Site Name]=A964)*(expected_production[Date]=B964)*ISNUMBER(expected_production[Expected Production (kWh)]))=0,"",SUMIFS(expected_production[Expected Production (kWh)],expected_production[Site Name],A964,expected_production[Date],B964)),"")</f>
        <v>6821.9045550846959</v>
      </c>
      <c r="E964" s="9">
        <f t="shared" si="30"/>
        <v>0.95442554896887799</v>
      </c>
      <c r="F964" t="str">
        <f t="shared" si="31"/>
        <v>Expected</v>
      </c>
    </row>
    <row r="965" spans="1:7" ht="15" hidden="1" customHeight="1" x14ac:dyDescent="0.3">
      <c r="A965" t="s">
        <v>225</v>
      </c>
      <c r="B965" s="2">
        <v>46113</v>
      </c>
      <c r="C965" cm="1">
        <f t="array" ref="C965">IFERROR(IF(SUMPRODUCT((measured[Site Name]=A965)*(measured[Date]=B965)*ISNUMBER(measured[Measured Value (kWh)]))=0,"",SUMIFS(measured[Measured Value (kWh)],measured[Site Name],A965,measured[Date],B965)),"")</f>
        <v>6094.6</v>
      </c>
      <c r="D965" cm="1">
        <f t="array" ref="D965">IFERROR(IF(SUMPRODUCT((expected_production[Site Name]=A965)*(expected_production[Date]=B965)*ISNUMBER(expected_production[Expected Production (kWh)]))=0,"",SUMIFS(expected_production[Expected Production (kWh)],expected_production[Site Name],A965,expected_production[Date],B965)),"")</f>
        <v>6161.7510614195962</v>
      </c>
      <c r="E965" s="9">
        <f t="shared" si="30"/>
        <v>0.98910195157995806</v>
      </c>
      <c r="F965" t="str">
        <f t="shared" si="31"/>
        <v>Expected</v>
      </c>
    </row>
    <row r="966" spans="1:7" ht="15" hidden="1" customHeight="1" x14ac:dyDescent="0.3">
      <c r="A966" t="s">
        <v>225</v>
      </c>
      <c r="B966" s="2">
        <v>46143</v>
      </c>
      <c r="C966" cm="1">
        <f t="array" ref="C966">IFERROR(IF(SUMPRODUCT((measured[Site Name]=A966)*(measured[Date]=B966)*ISNUMBER(measured[Measured Value (kWh)]))=0,"",SUMIFS(measured[Measured Value (kWh)],measured[Site Name],A966,measured[Date],B966)),"")</f>
        <v>7117.7</v>
      </c>
      <c r="D966" cm="1">
        <f t="array" ref="D966">IFERROR(IF(SUMPRODUCT((expected_production[Site Name]=A966)*(expected_production[Date]=B966)*ISNUMBER(expected_production[Expected Production (kWh)]))=0,"",SUMIFS(expected_production[Expected Production (kWh)],expected_production[Site Name],A966,expected_production[Date],B966)),"")</f>
        <v>5900.9331073405119</v>
      </c>
      <c r="E966" s="9">
        <f t="shared" si="30"/>
        <v>1.2061990655589505</v>
      </c>
      <c r="F966" t="str">
        <f t="shared" si="31"/>
        <v>Expected</v>
      </c>
    </row>
    <row r="967" spans="1:7" ht="15" hidden="1" customHeight="1" x14ac:dyDescent="0.3">
      <c r="A967" t="s">
        <v>225</v>
      </c>
      <c r="B967" s="2">
        <v>46174</v>
      </c>
      <c r="C967" cm="1">
        <f t="array" ref="C967">IFERROR(IF(SUMPRODUCT((measured[Site Name]=A967)*(measured[Date]=B967)*ISNUMBER(measured[Measured Value (kWh)]))=0,"",SUMIFS(measured[Measured Value (kWh)],measured[Site Name],A967,measured[Date],B967)),"")</f>
        <v>5909</v>
      </c>
      <c r="D967" cm="1">
        <f t="array" ref="D967">IFERROR(IF(SUMPRODUCT((expected_production[Site Name]=A967)*(expected_production[Date]=B967)*ISNUMBER(expected_production[Expected Production (kWh)]))=0,"",SUMIFS(expected_production[Expected Production (kWh)],expected_production[Site Name],A967,expected_production[Date],B967)),"")</f>
        <v>5271.2130886990308</v>
      </c>
      <c r="E967" s="9">
        <f t="shared" si="30"/>
        <v>1.1209943329113981</v>
      </c>
      <c r="F967" t="str">
        <f t="shared" si="31"/>
        <v>Expected</v>
      </c>
    </row>
    <row r="968" spans="1:7" ht="15" hidden="1" customHeight="1" x14ac:dyDescent="0.3">
      <c r="A968" t="s">
        <v>113</v>
      </c>
      <c r="B968" s="2">
        <v>46204</v>
      </c>
      <c r="C968" cm="1">
        <f t="array" ref="C968">IFERROR(IF(SUMPRODUCT((measured[Site Name]=A968)*(measured[Date]=B968)*ISNUMBER(measured[Measured Value (kWh)]))=0,"",SUMIFS(measured[Measured Value (kWh)],measured[Site Name],A968,measured[Date],B968)),"")</f>
        <v>14156</v>
      </c>
      <c r="D968" cm="1">
        <f t="array" ref="D968">IFERROR(IF(SUMPRODUCT((expected_production[Site Name]=A968)*(expected_production[Date]=B968)*ISNUMBER(expected_production[Expected Production (kWh)]))=0,"",SUMIFS(expected_production[Expected Production (kWh)],expected_production[Site Name],A968,expected_production[Date],B968)),"")</f>
        <v>15986.134462777507</v>
      </c>
      <c r="E968" s="9">
        <f t="shared" si="30"/>
        <v>0.8855173858922033</v>
      </c>
      <c r="F968" t="str">
        <f t="shared" si="31"/>
        <v>Moderate</v>
      </c>
      <c r="G968" t="s">
        <v>874</v>
      </c>
    </row>
    <row r="969" spans="1:7" ht="15" hidden="1" customHeight="1" x14ac:dyDescent="0.3">
      <c r="A969" t="s">
        <v>225</v>
      </c>
      <c r="B969" s="2">
        <v>46235</v>
      </c>
      <c r="C969" cm="1">
        <f t="array" ref="C969">IFERROR(IF(SUMPRODUCT((measured[Site Name]=A969)*(measured[Date]=B969)*ISNUMBER(measured[Measured Value (kWh)]))=0,"",SUMIFS(measured[Measured Value (kWh)],measured[Site Name],A969,measured[Date],B969)),"")</f>
        <v>7937</v>
      </c>
      <c r="D969" cm="1">
        <f t="array" ref="D969">IFERROR(IF(SUMPRODUCT((expected_production[Site Name]=A969)*(expected_production[Date]=B969)*ISNUMBER(expected_production[Expected Production (kWh)]))=0,"",SUMIFS(expected_production[Expected Production (kWh)],expected_production[Site Name],A969,expected_production[Date],B969)),"")</f>
        <v>6547.2882457275055</v>
      </c>
      <c r="E969" s="9">
        <f t="shared" si="30"/>
        <v>1.2122576098859499</v>
      </c>
      <c r="F969" t="str">
        <f t="shared" si="31"/>
        <v>Expected</v>
      </c>
      <c r="G969" t="s">
        <v>874</v>
      </c>
    </row>
    <row r="970" spans="1:7" ht="15" customHeight="1" x14ac:dyDescent="0.3">
      <c r="A970" t="s">
        <v>225</v>
      </c>
      <c r="B970" s="2">
        <v>46266</v>
      </c>
      <c r="C970" cm="1">
        <f t="array" ref="C970">IFERROR(IF(SUMPRODUCT((measured[Site Name]=A970)*(measured[Date]=B970)*ISNUMBER(measured[Measured Value (kWh)]))=0,"",SUMIFS(measured[Measured Value (kWh)],measured[Site Name],A970,measured[Date],B970)),"")</f>
        <v>7314.8</v>
      </c>
      <c r="D970" cm="1">
        <f t="array" ref="D970">IFERROR(IF(SUMPRODUCT((expected_production[Site Name]=A970)*(expected_production[Date]=B970)*ISNUMBER(expected_production[Expected Production (kWh)]))=0,"",SUMIFS(expected_production[Expected Production (kWh)],expected_production[Site Name],A970,expected_production[Date],B970)),"")</f>
        <v>6973.9777126450681</v>
      </c>
      <c r="E970" s="9">
        <f t="shared" si="30"/>
        <v>1.0488705730643446</v>
      </c>
      <c r="F970" t="str">
        <f t="shared" si="31"/>
        <v>Expected</v>
      </c>
      <c r="G970" t="s">
        <v>874</v>
      </c>
    </row>
    <row r="971" spans="1:7" ht="15" hidden="1" customHeight="1" x14ac:dyDescent="0.3">
      <c r="A971" t="s">
        <v>225</v>
      </c>
      <c r="B971" s="2">
        <v>46296</v>
      </c>
      <c r="C971" t="str" cm="1">
        <f t="array" ref="C971">IFERROR(IF(SUMPRODUCT((measured[Site Name]=A971)*(measured[Date]=B971)*ISNUMBER(measured[Measured Value (kWh)]))=0,"",SUMIFS(measured[Measured Value (kWh)],measured[Site Name],A971,measured[Date],B971)),"")</f>
        <v/>
      </c>
      <c r="D971" cm="1">
        <f t="array" ref="D971">IFERROR(IF(SUMPRODUCT((expected_production[Site Name]=A971)*(expected_production[Date]=B971)*ISNUMBER(expected_production[Expected Production (kWh)]))=0,"",SUMIFS(expected_production[Expected Production (kWh)],expected_production[Site Name],A971,expected_production[Date],B971)),"")</f>
        <v>7427.5580959715326</v>
      </c>
      <c r="E971" s="9" t="str">
        <f t="shared" si="30"/>
        <v/>
      </c>
      <c r="F971" t="str">
        <f t="shared" si="31"/>
        <v/>
      </c>
    </row>
    <row r="972" spans="1:7" ht="15" hidden="1" customHeight="1" x14ac:dyDescent="0.3">
      <c r="A972" t="s">
        <v>225</v>
      </c>
      <c r="B972" s="2">
        <v>46327</v>
      </c>
      <c r="C972" t="str" cm="1">
        <f t="array" ref="C972">IFERROR(IF(SUMPRODUCT((measured[Site Name]=A972)*(measured[Date]=B972)*ISNUMBER(measured[Measured Value (kWh)]))=0,"",SUMIFS(measured[Measured Value (kWh)],measured[Site Name],A972,measured[Date],B972)),"")</f>
        <v/>
      </c>
      <c r="D972" cm="1">
        <f t="array" ref="D972">IFERROR(IF(SUMPRODUCT((expected_production[Site Name]=A972)*(expected_production[Date]=B972)*ISNUMBER(expected_production[Expected Production (kWh)]))=0,"",SUMIFS(expected_production[Expected Production (kWh)],expected_production[Site Name],A972,expected_production[Date],B972)),"")</f>
        <v>7495.9287727392493</v>
      </c>
      <c r="E972" s="9" t="str">
        <f t="shared" si="30"/>
        <v/>
      </c>
      <c r="F972" t="str">
        <f t="shared" si="31"/>
        <v/>
      </c>
    </row>
    <row r="973" spans="1:7" ht="15" hidden="1" customHeight="1" x14ac:dyDescent="0.3">
      <c r="A973" t="s">
        <v>225</v>
      </c>
      <c r="B973" s="2">
        <v>46357</v>
      </c>
      <c r="C973" t="str" cm="1">
        <f t="array" ref="C973">IFERROR(IF(SUMPRODUCT((measured[Site Name]=A973)*(measured[Date]=B973)*ISNUMBER(measured[Measured Value (kWh)]))=0,"",SUMIFS(measured[Measured Value (kWh)],measured[Site Name],A973,measured[Date],B973)),"")</f>
        <v/>
      </c>
      <c r="D973" cm="1">
        <f t="array" ref="D973">IFERROR(IF(SUMPRODUCT((expected_production[Site Name]=A973)*(expected_production[Date]=B973)*ISNUMBER(expected_production[Expected Production (kWh)]))=0,"",SUMIFS(expected_production[Expected Production (kWh)],expected_production[Site Name],A973,expected_production[Date],B973)),"")</f>
        <v>7355.0207750737382</v>
      </c>
      <c r="E973" s="9" t="str">
        <f t="shared" si="30"/>
        <v/>
      </c>
      <c r="F973" t="str">
        <f t="shared" si="31"/>
        <v/>
      </c>
    </row>
    <row r="974" spans="1:7" ht="15" hidden="1" customHeight="1" x14ac:dyDescent="0.3">
      <c r="A974" t="s">
        <v>223</v>
      </c>
      <c r="B974" s="2">
        <v>45292</v>
      </c>
      <c r="C974" t="str" cm="1">
        <f t="array" ref="C974">IFERROR(IF(SUMPRODUCT((measured[Site Name]=A974)*(measured[Date]=B974)*ISNUMBER(measured[Measured Value (kWh)]))=0,"",SUMIFS(measured[Measured Value (kWh)],measured[Site Name],A974,measured[Date],B974)),"")</f>
        <v/>
      </c>
      <c r="D974" cm="1">
        <f t="array" ref="D974">IFERROR(IF(SUMPRODUCT((expected_production[Site Name]=A974)*(expected_production[Date]=B974)*ISNUMBER(expected_production[Expected Production (kWh)]))=0,"",SUMIFS(expected_production[Expected Production (kWh)],expected_production[Site Name],A974,expected_production[Date],B974)),"")</f>
        <v>7573.5</v>
      </c>
      <c r="E974" s="9" t="str">
        <f t="shared" si="30"/>
        <v/>
      </c>
      <c r="F974" t="str">
        <f t="shared" si="31"/>
        <v/>
      </c>
    </row>
    <row r="975" spans="1:7" ht="15" hidden="1" customHeight="1" x14ac:dyDescent="0.3">
      <c r="A975" t="s">
        <v>223</v>
      </c>
      <c r="B975" s="2">
        <v>45323</v>
      </c>
      <c r="C975" t="str" cm="1">
        <f t="array" ref="C975">IFERROR(IF(SUMPRODUCT((measured[Site Name]=A975)*(measured[Date]=B975)*ISNUMBER(measured[Measured Value (kWh)]))=0,"",SUMIFS(measured[Measured Value (kWh)],measured[Site Name],A975,measured[Date],B975)),"")</f>
        <v/>
      </c>
      <c r="D975" cm="1">
        <f t="array" ref="D975">IFERROR(IF(SUMPRODUCT((expected_production[Site Name]=A975)*(expected_production[Date]=B975)*ISNUMBER(expected_production[Expected Production (kWh)]))=0,"",SUMIFS(expected_production[Expected Production (kWh)],expected_production[Site Name],A975,expected_production[Date],B975)),"")</f>
        <v>6513.75</v>
      </c>
      <c r="E975" s="9" t="str">
        <f t="shared" si="30"/>
        <v/>
      </c>
      <c r="F975" t="str">
        <f t="shared" si="31"/>
        <v/>
      </c>
    </row>
    <row r="976" spans="1:7" ht="15" hidden="1" customHeight="1" x14ac:dyDescent="0.3">
      <c r="A976" t="s">
        <v>223</v>
      </c>
      <c r="B976" s="2">
        <v>45352</v>
      </c>
      <c r="C976" t="str" cm="1">
        <f t="array" ref="C976">IFERROR(IF(SUMPRODUCT((measured[Site Name]=A976)*(measured[Date]=B976)*ISNUMBER(measured[Measured Value (kWh)]))=0,"",SUMIFS(measured[Measured Value (kWh)],measured[Site Name],A976,measured[Date],B976)),"")</f>
        <v/>
      </c>
      <c r="D976" cm="1">
        <f t="array" ref="D976">IFERROR(IF(SUMPRODUCT((expected_production[Site Name]=A976)*(expected_production[Date]=B976)*ISNUMBER(expected_production[Expected Production (kWh)]))=0,"",SUMIFS(expected_production[Expected Production (kWh)],expected_production[Site Name],A976,expected_production[Date],B976)),"")</f>
        <v>6841.35</v>
      </c>
      <c r="E976" s="9" t="str">
        <f t="shared" si="30"/>
        <v/>
      </c>
      <c r="F976" t="str">
        <f t="shared" si="31"/>
        <v/>
      </c>
    </row>
    <row r="977" spans="1:6" ht="15" hidden="1" customHeight="1" x14ac:dyDescent="0.3">
      <c r="A977" t="s">
        <v>223</v>
      </c>
      <c r="B977" s="2">
        <v>45383</v>
      </c>
      <c r="C977" t="str" cm="1">
        <f t="array" ref="C977">IFERROR(IF(SUMPRODUCT((measured[Site Name]=A977)*(measured[Date]=B977)*ISNUMBER(measured[Measured Value (kWh)]))=0,"",SUMIFS(measured[Measured Value (kWh)],measured[Site Name],A977,measured[Date],B977)),"")</f>
        <v/>
      </c>
      <c r="D977" cm="1">
        <f t="array" ref="D977">IFERROR(IF(SUMPRODUCT((expected_production[Site Name]=A977)*(expected_production[Date]=B977)*ISNUMBER(expected_production[Expected Production (kWh)]))=0,"",SUMIFS(expected_production[Expected Production (kWh)],expected_production[Site Name],A977,expected_production[Date],B977)),"")</f>
        <v>618.29999999999995</v>
      </c>
      <c r="E977" s="9" t="str">
        <f t="shared" si="30"/>
        <v/>
      </c>
      <c r="F977" t="str">
        <f t="shared" si="31"/>
        <v/>
      </c>
    </row>
    <row r="978" spans="1:6" ht="15" hidden="1" customHeight="1" x14ac:dyDescent="0.3">
      <c r="A978" t="s">
        <v>223</v>
      </c>
      <c r="B978" s="2">
        <v>45413</v>
      </c>
      <c r="C978" t="str" cm="1">
        <f t="array" ref="C978">IFERROR(IF(SUMPRODUCT((measured[Site Name]=A978)*(measured[Date]=B978)*ISNUMBER(measured[Measured Value (kWh)]))=0,"",SUMIFS(measured[Measured Value (kWh)],measured[Site Name],A978,measured[Date],B978)),"")</f>
        <v/>
      </c>
      <c r="D978" cm="1">
        <f t="array" ref="D978">IFERROR(IF(SUMPRODUCT((expected_production[Site Name]=A978)*(expected_production[Date]=B978)*ISNUMBER(expected_production[Expected Production (kWh)]))=0,"",SUMIFS(expected_production[Expected Production (kWh)],expected_production[Site Name],A978,expected_production[Date],B978)),"")</f>
        <v>5924.7</v>
      </c>
      <c r="E978" s="9" t="str">
        <f t="shared" si="30"/>
        <v/>
      </c>
      <c r="F978" t="str">
        <f t="shared" si="31"/>
        <v/>
      </c>
    </row>
    <row r="979" spans="1:6" ht="15" hidden="1" customHeight="1" x14ac:dyDescent="0.3">
      <c r="A979" t="s">
        <v>223</v>
      </c>
      <c r="B979" s="2">
        <v>45444</v>
      </c>
      <c r="C979" t="str" cm="1">
        <f t="array" ref="C979">IFERROR(IF(SUMPRODUCT((measured[Site Name]=A979)*(measured[Date]=B979)*ISNUMBER(measured[Measured Value (kWh)]))=0,"",SUMIFS(measured[Measured Value (kWh)],measured[Site Name],A979,measured[Date],B979)),"")</f>
        <v/>
      </c>
      <c r="D979" cm="1">
        <f t="array" ref="D979">IFERROR(IF(SUMPRODUCT((expected_production[Site Name]=A979)*(expected_production[Date]=B979)*ISNUMBER(expected_production[Expected Production (kWh)]))=0,"",SUMIFS(expected_production[Expected Production (kWh)],expected_production[Site Name],A979,expected_production[Date],B979)),"")</f>
        <v>5295.6</v>
      </c>
      <c r="E979" s="9" t="str">
        <f t="shared" si="30"/>
        <v/>
      </c>
      <c r="F979" t="str">
        <f t="shared" si="31"/>
        <v/>
      </c>
    </row>
    <row r="980" spans="1:6" ht="15" hidden="1" customHeight="1" x14ac:dyDescent="0.3">
      <c r="A980" t="s">
        <v>223</v>
      </c>
      <c r="B980" s="2">
        <v>45474</v>
      </c>
      <c r="C980" t="str" cm="1">
        <f t="array" ref="C980">IFERROR(IF(SUMPRODUCT((measured[Site Name]=A980)*(measured[Date]=B980)*ISNUMBER(measured[Measured Value (kWh)]))=0,"",SUMIFS(measured[Measured Value (kWh)],measured[Site Name],A980,measured[Date],B980)),"")</f>
        <v/>
      </c>
      <c r="D980" cm="1">
        <f t="array" ref="D980">IFERROR(IF(SUMPRODUCT((expected_production[Site Name]=A980)*(expected_production[Date]=B980)*ISNUMBER(expected_production[Expected Production (kWh)]))=0,"",SUMIFS(expected_production[Expected Production (kWh)],expected_production[Site Name],A980,expected_production[Date],B980)),"")</f>
        <v>5785.2</v>
      </c>
      <c r="E980" s="9" t="str">
        <f t="shared" si="30"/>
        <v/>
      </c>
      <c r="F980" t="str">
        <f t="shared" si="31"/>
        <v/>
      </c>
    </row>
    <row r="981" spans="1:6" ht="15" hidden="1" customHeight="1" x14ac:dyDescent="0.3">
      <c r="A981" t="s">
        <v>223</v>
      </c>
      <c r="B981" s="2">
        <v>45505</v>
      </c>
      <c r="C981" t="str" cm="1">
        <f t="array" ref="C981">IFERROR(IF(SUMPRODUCT((measured[Site Name]=A981)*(measured[Date]=B981)*ISNUMBER(measured[Measured Value (kWh)]))=0,"",SUMIFS(measured[Measured Value (kWh)],measured[Site Name],A981,measured[Date],B981)),"")</f>
        <v/>
      </c>
      <c r="D981" cm="1">
        <f t="array" ref="D981">IFERROR(IF(SUMPRODUCT((expected_production[Site Name]=A981)*(expected_production[Date]=B981)*ISNUMBER(expected_production[Expected Production (kWh)]))=0,"",SUMIFS(expected_production[Expected Production (kWh)],expected_production[Site Name],A981,expected_production[Date],B981)),"")</f>
        <v>6585.3</v>
      </c>
      <c r="E981" s="9" t="str">
        <f t="shared" si="30"/>
        <v/>
      </c>
      <c r="F981" t="str">
        <f t="shared" si="31"/>
        <v/>
      </c>
    </row>
    <row r="982" spans="1:6" ht="15" hidden="1" customHeight="1" x14ac:dyDescent="0.3">
      <c r="A982" t="s">
        <v>223</v>
      </c>
      <c r="B982" s="2">
        <v>45536</v>
      </c>
      <c r="C982" t="str" cm="1">
        <f t="array" ref="C982">IFERROR(IF(SUMPRODUCT((measured[Site Name]=A982)*(measured[Date]=B982)*ISNUMBER(measured[Measured Value (kWh)]))=0,"",SUMIFS(measured[Measured Value (kWh)],measured[Site Name],A982,measured[Date],B982)),"")</f>
        <v/>
      </c>
      <c r="D982" cm="1">
        <f t="array" ref="D982">IFERROR(IF(SUMPRODUCT((expected_production[Site Name]=A982)*(expected_production[Date]=B982)*ISNUMBER(expected_production[Expected Production (kWh)]))=0,"",SUMIFS(expected_production[Expected Production (kWh)],expected_production[Site Name],A982,expected_production[Date],B982)),"")</f>
        <v>7018.65</v>
      </c>
      <c r="E982" s="9" t="str">
        <f t="shared" ref="E982:E1045" si="32">IF(OR(C982="",D982="",D982=0),"",C982/D982)</f>
        <v/>
      </c>
      <c r="F982" t="str">
        <f t="shared" ref="F982:F1045" si="33">IF(E982="","",IF(E982&gt;=0.9,"Expected",IF(E982&gt;=0.7,"Moderate","Poor")))</f>
        <v/>
      </c>
    </row>
    <row r="983" spans="1:6" ht="15" hidden="1" customHeight="1" x14ac:dyDescent="0.3">
      <c r="A983" t="s">
        <v>223</v>
      </c>
      <c r="B983" s="2">
        <v>45566</v>
      </c>
      <c r="C983" t="str" cm="1">
        <f t="array" ref="C983">IFERROR(IF(SUMPRODUCT((measured[Site Name]=A983)*(measured[Date]=B983)*ISNUMBER(measured[Measured Value (kWh)]))=0,"",SUMIFS(measured[Measured Value (kWh)],measured[Site Name],A983,measured[Date],B983)),"")</f>
        <v/>
      </c>
      <c r="D983" cm="1">
        <f t="array" ref="D983">IFERROR(IF(SUMPRODUCT((expected_production[Site Name]=A983)*(expected_production[Date]=B983)*ISNUMBER(expected_production[Expected Production (kWh)]))=0,"",SUMIFS(expected_production[Expected Production (kWh)],expected_production[Site Name],A983,expected_production[Date],B983)),"")</f>
        <v>7479.45</v>
      </c>
      <c r="E983" s="9" t="str">
        <f t="shared" si="32"/>
        <v/>
      </c>
      <c r="F983" t="str">
        <f t="shared" si="33"/>
        <v/>
      </c>
    </row>
    <row r="984" spans="1:6" ht="15" hidden="1" customHeight="1" x14ac:dyDescent="0.3">
      <c r="A984" t="s">
        <v>223</v>
      </c>
      <c r="B984" s="2">
        <v>45597</v>
      </c>
      <c r="C984" t="str" cm="1">
        <f t="array" ref="C984">IFERROR(IF(SUMPRODUCT((measured[Site Name]=A984)*(measured[Date]=B984)*ISNUMBER(measured[Measured Value (kWh)]))=0,"",SUMIFS(measured[Measured Value (kWh)],measured[Site Name],A984,measured[Date],B984)),"")</f>
        <v/>
      </c>
      <c r="D984" cm="1">
        <f t="array" ref="D984">IFERROR(IF(SUMPRODUCT((expected_production[Site Name]=A984)*(expected_production[Date]=B984)*ISNUMBER(expected_production[Expected Production (kWh)]))=0,"",SUMIFS(expected_production[Expected Production (kWh)],expected_production[Site Name],A984,expected_production[Date],B984)),"")</f>
        <v>7552.8</v>
      </c>
      <c r="E984" s="9" t="str">
        <f t="shared" si="32"/>
        <v/>
      </c>
      <c r="F984" t="str">
        <f t="shared" si="33"/>
        <v/>
      </c>
    </row>
    <row r="985" spans="1:6" ht="15" hidden="1" customHeight="1" x14ac:dyDescent="0.3">
      <c r="A985" t="s">
        <v>223</v>
      </c>
      <c r="B985" s="2">
        <v>45627</v>
      </c>
      <c r="C985" t="str" cm="1">
        <f t="array" ref="C985">IFERROR(IF(SUMPRODUCT((measured[Site Name]=A985)*(measured[Date]=B985)*ISNUMBER(measured[Measured Value (kWh)]))=0,"",SUMIFS(measured[Measured Value (kWh)],measured[Site Name],A985,measured[Date],B985)),"")</f>
        <v/>
      </c>
      <c r="D985" cm="1">
        <f t="array" ref="D985">IFERROR(IF(SUMPRODUCT((expected_production[Site Name]=A985)*(expected_production[Date]=B985)*ISNUMBER(expected_production[Expected Production (kWh)]))=0,"",SUMIFS(expected_production[Expected Production (kWh)],expected_production[Site Name],A985,expected_production[Date],B985)),"")</f>
        <v>7415.1</v>
      </c>
      <c r="E985" s="9" t="str">
        <f t="shared" si="32"/>
        <v/>
      </c>
      <c r="F985" t="str">
        <f t="shared" si="33"/>
        <v/>
      </c>
    </row>
    <row r="986" spans="1:6" ht="15" hidden="1" customHeight="1" x14ac:dyDescent="0.3">
      <c r="A986" t="s">
        <v>223</v>
      </c>
      <c r="B986" s="2">
        <v>45658</v>
      </c>
      <c r="C986" t="str" cm="1">
        <f t="array" ref="C986">IFERROR(IF(SUMPRODUCT((measured[Site Name]=A986)*(measured[Date]=B986)*ISNUMBER(measured[Measured Value (kWh)]))=0,"",SUMIFS(measured[Measured Value (kWh)],measured[Site Name],A986,measured[Date],B986)),"")</f>
        <v/>
      </c>
      <c r="D986" cm="1">
        <f t="array" ref="D986">IFERROR(IF(SUMPRODUCT((expected_production[Site Name]=A986)*(expected_production[Date]=B986)*ISNUMBER(expected_production[Expected Production (kWh)]))=0,"",SUMIFS(expected_production[Expected Production (kWh)],expected_production[Site Name],A986,expected_production[Date],B986)),"")</f>
        <v>7573.5</v>
      </c>
      <c r="E986" s="9" t="str">
        <f t="shared" si="32"/>
        <v/>
      </c>
      <c r="F986" t="str">
        <f t="shared" si="33"/>
        <v/>
      </c>
    </row>
    <row r="987" spans="1:6" ht="15" hidden="1" customHeight="1" x14ac:dyDescent="0.3">
      <c r="A987" t="s">
        <v>223</v>
      </c>
      <c r="B987" s="2">
        <v>45689</v>
      </c>
      <c r="C987" t="str" cm="1">
        <f t="array" ref="C987">IFERROR(IF(SUMPRODUCT((measured[Site Name]=A987)*(measured[Date]=B987)*ISNUMBER(measured[Measured Value (kWh)]))=0,"",SUMIFS(measured[Measured Value (kWh)],measured[Site Name],A987,measured[Date],B987)),"")</f>
        <v/>
      </c>
      <c r="D987" cm="1">
        <f t="array" ref="D987">IFERROR(IF(SUMPRODUCT((expected_production[Site Name]=A987)*(expected_production[Date]=B987)*ISNUMBER(expected_production[Expected Production (kWh)]))=0,"",SUMIFS(expected_production[Expected Production (kWh)],expected_production[Site Name],A987,expected_production[Date],B987)),"")</f>
        <v>6513.75</v>
      </c>
      <c r="E987" s="9" t="str">
        <f t="shared" si="32"/>
        <v/>
      </c>
      <c r="F987" t="str">
        <f t="shared" si="33"/>
        <v/>
      </c>
    </row>
    <row r="988" spans="1:6" ht="15" hidden="1" customHeight="1" x14ac:dyDescent="0.3">
      <c r="A988" t="s">
        <v>223</v>
      </c>
      <c r="B988" s="2">
        <v>45717</v>
      </c>
      <c r="C988" t="str" cm="1">
        <f t="array" ref="C988">IFERROR(IF(SUMPRODUCT((measured[Site Name]=A988)*(measured[Date]=B988)*ISNUMBER(measured[Measured Value (kWh)]))=0,"",SUMIFS(measured[Measured Value (kWh)],measured[Site Name],A988,measured[Date],B988)),"")</f>
        <v/>
      </c>
      <c r="D988" cm="1">
        <f t="array" ref="D988">IFERROR(IF(SUMPRODUCT((expected_production[Site Name]=A988)*(expected_production[Date]=B988)*ISNUMBER(expected_production[Expected Production (kWh)]))=0,"",SUMIFS(expected_production[Expected Production (kWh)],expected_production[Site Name],A988,expected_production[Date],B988)),"")</f>
        <v>6841.35</v>
      </c>
      <c r="E988" s="9" t="str">
        <f t="shared" si="32"/>
        <v/>
      </c>
      <c r="F988" t="str">
        <f t="shared" si="33"/>
        <v/>
      </c>
    </row>
    <row r="989" spans="1:6" ht="15" hidden="1" customHeight="1" x14ac:dyDescent="0.3">
      <c r="A989" t="s">
        <v>223</v>
      </c>
      <c r="B989" s="2">
        <v>45748</v>
      </c>
      <c r="C989" t="str" cm="1">
        <f t="array" ref="C989">IFERROR(IF(SUMPRODUCT((measured[Site Name]=A989)*(measured[Date]=B989)*ISNUMBER(measured[Measured Value (kWh)]))=0,"",SUMIFS(measured[Measured Value (kWh)],measured[Site Name],A989,measured[Date],B989)),"")</f>
        <v/>
      </c>
      <c r="D989" cm="1">
        <f t="array" ref="D989">IFERROR(IF(SUMPRODUCT((expected_production[Site Name]=A989)*(expected_production[Date]=B989)*ISNUMBER(expected_production[Expected Production (kWh)]))=0,"",SUMIFS(expected_production[Expected Production (kWh)],expected_production[Site Name],A989,expected_production[Date],B989)),"")</f>
        <v>618.29999999999995</v>
      </c>
      <c r="E989" s="9" t="str">
        <f t="shared" si="32"/>
        <v/>
      </c>
      <c r="F989" t="str">
        <f t="shared" si="33"/>
        <v/>
      </c>
    </row>
    <row r="990" spans="1:6" ht="15" hidden="1" customHeight="1" x14ac:dyDescent="0.3">
      <c r="A990" t="s">
        <v>223</v>
      </c>
      <c r="B990" s="2">
        <v>45778</v>
      </c>
      <c r="C990" t="str" cm="1">
        <f t="array" ref="C990">IFERROR(IF(SUMPRODUCT((measured[Site Name]=A990)*(measured[Date]=B990)*ISNUMBER(measured[Measured Value (kWh)]))=0,"",SUMIFS(measured[Measured Value (kWh)],measured[Site Name],A990,measured[Date],B990)),"")</f>
        <v/>
      </c>
      <c r="D990" cm="1">
        <f t="array" ref="D990">IFERROR(IF(SUMPRODUCT((expected_production[Site Name]=A990)*(expected_production[Date]=B990)*ISNUMBER(expected_production[Expected Production (kWh)]))=0,"",SUMIFS(expected_production[Expected Production (kWh)],expected_production[Site Name],A990,expected_production[Date],B990)),"")</f>
        <v>5924.7</v>
      </c>
      <c r="E990" s="9" t="str">
        <f t="shared" si="32"/>
        <v/>
      </c>
      <c r="F990" t="str">
        <f t="shared" si="33"/>
        <v/>
      </c>
    </row>
    <row r="991" spans="1:6" ht="15" hidden="1" customHeight="1" x14ac:dyDescent="0.3">
      <c r="A991" t="s">
        <v>223</v>
      </c>
      <c r="B991" s="2">
        <v>45809</v>
      </c>
      <c r="C991" t="str" cm="1">
        <f t="array" ref="C991">IFERROR(IF(SUMPRODUCT((measured[Site Name]=A991)*(measured[Date]=B991)*ISNUMBER(measured[Measured Value (kWh)]))=0,"",SUMIFS(measured[Measured Value (kWh)],measured[Site Name],A991,measured[Date],B991)),"")</f>
        <v/>
      </c>
      <c r="D991" cm="1">
        <f t="array" ref="D991">IFERROR(IF(SUMPRODUCT((expected_production[Site Name]=A991)*(expected_production[Date]=B991)*ISNUMBER(expected_production[Expected Production (kWh)]))=0,"",SUMIFS(expected_production[Expected Production (kWh)],expected_production[Site Name],A991,expected_production[Date],B991)),"")</f>
        <v>5295.6</v>
      </c>
      <c r="E991" s="9" t="str">
        <f t="shared" si="32"/>
        <v/>
      </c>
      <c r="F991" t="str">
        <f t="shared" si="33"/>
        <v/>
      </c>
    </row>
    <row r="992" spans="1:6" ht="15" hidden="1" customHeight="1" x14ac:dyDescent="0.3">
      <c r="A992" t="s">
        <v>223</v>
      </c>
      <c r="B992" s="2">
        <v>45839</v>
      </c>
      <c r="C992" t="str" cm="1">
        <f t="array" ref="C992">IFERROR(IF(SUMPRODUCT((measured[Site Name]=A992)*(measured[Date]=B992)*ISNUMBER(measured[Measured Value (kWh)]))=0,"",SUMIFS(measured[Measured Value (kWh)],measured[Site Name],A992,measured[Date],B992)),"")</f>
        <v/>
      </c>
      <c r="D992" cm="1">
        <f t="array" ref="D992">IFERROR(IF(SUMPRODUCT((expected_production[Site Name]=A992)*(expected_production[Date]=B992)*ISNUMBER(expected_production[Expected Production (kWh)]))=0,"",SUMIFS(expected_production[Expected Production (kWh)],expected_production[Site Name],A992,expected_production[Date],B992)),"")</f>
        <v>5785.2</v>
      </c>
      <c r="E992" s="9" t="str">
        <f t="shared" si="32"/>
        <v/>
      </c>
      <c r="F992" t="str">
        <f t="shared" si="33"/>
        <v/>
      </c>
    </row>
    <row r="993" spans="1:7" ht="15" hidden="1" customHeight="1" x14ac:dyDescent="0.3">
      <c r="A993" t="s">
        <v>223</v>
      </c>
      <c r="B993" s="2">
        <v>45870</v>
      </c>
      <c r="C993" t="str" cm="1">
        <f t="array" ref="C993">IFERROR(IF(SUMPRODUCT((measured[Site Name]=A993)*(measured[Date]=B993)*ISNUMBER(measured[Measured Value (kWh)]))=0,"",SUMIFS(measured[Measured Value (kWh)],measured[Site Name],A993,measured[Date],B993)),"")</f>
        <v/>
      </c>
      <c r="D993" cm="1">
        <f t="array" ref="D993">IFERROR(IF(SUMPRODUCT((expected_production[Site Name]=A993)*(expected_production[Date]=B993)*ISNUMBER(expected_production[Expected Production (kWh)]))=0,"",SUMIFS(expected_production[Expected Production (kWh)],expected_production[Site Name],A993,expected_production[Date],B993)),"")</f>
        <v>6585.3</v>
      </c>
      <c r="E993" s="9" t="str">
        <f t="shared" si="32"/>
        <v/>
      </c>
      <c r="F993" t="str">
        <f t="shared" si="33"/>
        <v/>
      </c>
    </row>
    <row r="994" spans="1:7" ht="15" hidden="1" customHeight="1" x14ac:dyDescent="0.3">
      <c r="A994" t="s">
        <v>223</v>
      </c>
      <c r="B994" s="2">
        <v>45901</v>
      </c>
      <c r="C994" t="str" cm="1">
        <f t="array" ref="C994">IFERROR(IF(SUMPRODUCT((measured[Site Name]=A994)*(measured[Date]=B994)*ISNUMBER(measured[Measured Value (kWh)]))=0,"",SUMIFS(measured[Measured Value (kWh)],measured[Site Name],A994,measured[Date],B994)),"")</f>
        <v/>
      </c>
      <c r="D994" cm="1">
        <f t="array" ref="D994">IFERROR(IF(SUMPRODUCT((expected_production[Site Name]=A994)*(expected_production[Date]=B994)*ISNUMBER(expected_production[Expected Production (kWh)]))=0,"",SUMIFS(expected_production[Expected Production (kWh)],expected_production[Site Name],A994,expected_production[Date],B994)),"")</f>
        <v>7018.65</v>
      </c>
      <c r="E994" s="9" t="str">
        <f t="shared" si="32"/>
        <v/>
      </c>
      <c r="F994" t="str">
        <f t="shared" si="33"/>
        <v/>
      </c>
    </row>
    <row r="995" spans="1:7" ht="15" hidden="1" customHeight="1" x14ac:dyDescent="0.3">
      <c r="A995" t="s">
        <v>223</v>
      </c>
      <c r="B995" s="2">
        <v>45931</v>
      </c>
      <c r="C995" t="str" cm="1">
        <f t="array" ref="C995">IFERROR(IF(SUMPRODUCT((measured[Site Name]=A995)*(measured[Date]=B995)*ISNUMBER(measured[Measured Value (kWh)]))=0,"",SUMIFS(measured[Measured Value (kWh)],measured[Site Name],A995,measured[Date],B995)),"")</f>
        <v/>
      </c>
      <c r="D995" cm="1">
        <f t="array" ref="D995">IFERROR(IF(SUMPRODUCT((expected_production[Site Name]=A995)*(expected_production[Date]=B995)*ISNUMBER(expected_production[Expected Production (kWh)]))=0,"",SUMIFS(expected_production[Expected Production (kWh)],expected_production[Site Name],A995,expected_production[Date],B995)),"")</f>
        <v>7479.45</v>
      </c>
      <c r="E995" s="9" t="str">
        <f t="shared" si="32"/>
        <v/>
      </c>
      <c r="F995" t="str">
        <f t="shared" si="33"/>
        <v/>
      </c>
    </row>
    <row r="996" spans="1:7" ht="15" hidden="1" customHeight="1" x14ac:dyDescent="0.3">
      <c r="A996" t="s">
        <v>223</v>
      </c>
      <c r="B996" s="2">
        <v>45962</v>
      </c>
      <c r="C996" t="str" cm="1">
        <f t="array" ref="C996">IFERROR(IF(SUMPRODUCT((measured[Site Name]=A996)*(measured[Date]=B996)*ISNUMBER(measured[Measured Value (kWh)]))=0,"",SUMIFS(measured[Measured Value (kWh)],measured[Site Name],A996,measured[Date],B996)),"")</f>
        <v/>
      </c>
      <c r="D996" cm="1">
        <f t="array" ref="D996">IFERROR(IF(SUMPRODUCT((expected_production[Site Name]=A996)*(expected_production[Date]=B996)*ISNUMBER(expected_production[Expected Production (kWh)]))=0,"",SUMIFS(expected_production[Expected Production (kWh)],expected_production[Site Name],A996,expected_production[Date],B996)),"")</f>
        <v>7548.7338688308964</v>
      </c>
      <c r="E996" s="9" t="str">
        <f t="shared" si="32"/>
        <v/>
      </c>
      <c r="F996" t="str">
        <f t="shared" si="33"/>
        <v/>
      </c>
    </row>
    <row r="997" spans="1:7" ht="15" hidden="1" customHeight="1" x14ac:dyDescent="0.3">
      <c r="A997" t="s">
        <v>223</v>
      </c>
      <c r="B997" s="2">
        <v>45992</v>
      </c>
      <c r="C997" cm="1">
        <f t="array" ref="C997">IFERROR(IF(SUMPRODUCT((measured[Site Name]=A997)*(measured[Date]=B997)*ISNUMBER(measured[Measured Value (kWh)]))=0,"",SUMIFS(measured[Measured Value (kWh)],measured[Site Name],A997,measured[Date],B997)),"")</f>
        <v>5820</v>
      </c>
      <c r="D997" cm="1">
        <f t="array" ref="D997">IFERROR(IF(SUMPRODUCT((expected_production[Site Name]=A997)*(expected_production[Date]=B997)*ISNUMBER(expected_production[Expected Production (kWh)]))=0,"",SUMIFS(expected_production[Expected Production (kWh)],expected_production[Site Name],A997,expected_production[Date],B997)),"")</f>
        <v>7406.8332442898654</v>
      </c>
      <c r="E997" s="9">
        <f t="shared" si="32"/>
        <v>0.78576090591573677</v>
      </c>
      <c r="F997" t="str">
        <f t="shared" si="33"/>
        <v>Moderate</v>
      </c>
    </row>
    <row r="998" spans="1:7" ht="15" hidden="1" customHeight="1" x14ac:dyDescent="0.3">
      <c r="A998" t="s">
        <v>223</v>
      </c>
      <c r="B998" s="2">
        <v>46023</v>
      </c>
      <c r="C998" cm="1">
        <f t="array" ref="C998">IFERROR(IF(SUMPRODUCT((measured[Site Name]=A998)*(measured[Date]=B998)*ISNUMBER(measured[Measured Value (kWh)]))=0,"",SUMIFS(measured[Measured Value (kWh)],measured[Site Name],A998,measured[Date],B998)),"")</f>
        <v>5904</v>
      </c>
      <c r="D998" cm="1">
        <f t="array" ref="D998">IFERROR(IF(SUMPRODUCT((expected_production[Site Name]=A998)*(expected_production[Date]=B998)*ISNUMBER(expected_production[Expected Production (kWh)]))=0,"",SUMIFS(expected_production[Expected Production (kWh)],expected_production[Site Name],A998,expected_production[Date],B998)),"")</f>
        <v>7560.547687881578</v>
      </c>
      <c r="E998" s="9">
        <f t="shared" si="32"/>
        <v>0.7808958085752471</v>
      </c>
      <c r="F998" t="str">
        <f t="shared" si="33"/>
        <v>Moderate</v>
      </c>
    </row>
    <row r="999" spans="1:7" ht="15" hidden="1" customHeight="1" x14ac:dyDescent="0.3">
      <c r="A999" t="s">
        <v>223</v>
      </c>
      <c r="B999" s="2">
        <v>46054</v>
      </c>
      <c r="C999" cm="1">
        <f t="array" ref="C999">IFERROR(IF(SUMPRODUCT((measured[Site Name]=A999)*(measured[Date]=B999)*ISNUMBER(measured[Measured Value (kWh)]))=0,"",SUMIFS(measured[Measured Value (kWh)],measured[Site Name],A999,measured[Date],B999)),"")</f>
        <v>5406</v>
      </c>
      <c r="D999" cm="1">
        <f t="array" ref="D999">IFERROR(IF(SUMPRODUCT((expected_production[Site Name]=A999)*(expected_production[Date]=B999)*ISNUMBER(expected_production[Expected Production (kWh)]))=0,"",SUMIFS(expected_production[Expected Production (kWh)],expected_production[Site Name],A999,expected_production[Date],B999)),"")</f>
        <v>6498.7343693641287</v>
      </c>
      <c r="E999" s="9">
        <f t="shared" si="32"/>
        <v>0.83185428004021533</v>
      </c>
      <c r="F999" t="str">
        <f t="shared" si="33"/>
        <v>Moderate</v>
      </c>
    </row>
    <row r="1000" spans="1:7" ht="15" hidden="1" customHeight="1" x14ac:dyDescent="0.3">
      <c r="A1000" t="s">
        <v>223</v>
      </c>
      <c r="B1000" s="2">
        <v>46082</v>
      </c>
      <c r="C1000" cm="1">
        <f t="array" ref="C1000">IFERROR(IF(SUMPRODUCT((measured[Site Name]=A1000)*(measured[Date]=B1000)*ISNUMBER(measured[Measured Value (kWh)]))=0,"",SUMIFS(measured[Measured Value (kWh)],measured[Site Name],A1000,measured[Date],B1000)),"")</f>
        <v>4115</v>
      </c>
      <c r="D1000" cm="1">
        <f t="array" ref="D1000">IFERROR(IF(SUMPRODUCT((expected_production[Site Name]=A1000)*(expected_production[Date]=B1000)*ISNUMBER(expected_production[Expected Production (kWh)]))=0,"",SUMIFS(expected_production[Expected Production (kWh)],expected_production[Site Name],A1000,expected_production[Date],B1000)),"")</f>
        <v>6821.9045550846959</v>
      </c>
      <c r="E1000" s="9">
        <f t="shared" si="32"/>
        <v>0.60320398310657852</v>
      </c>
      <c r="F1000" t="str">
        <f t="shared" si="33"/>
        <v>Poor</v>
      </c>
    </row>
    <row r="1001" spans="1:7" ht="15" hidden="1" customHeight="1" x14ac:dyDescent="0.3">
      <c r="A1001" t="s">
        <v>223</v>
      </c>
      <c r="B1001" s="2">
        <v>46113</v>
      </c>
      <c r="C1001" cm="1">
        <f t="array" ref="C1001">IFERROR(IF(SUMPRODUCT((measured[Site Name]=A1001)*(measured[Date]=B1001)*ISNUMBER(measured[Measured Value (kWh)]))=0,"",SUMIFS(measured[Measured Value (kWh)],measured[Site Name],A1001,measured[Date],B1001)),"")</f>
        <v>4377</v>
      </c>
      <c r="D1001" cm="1">
        <f t="array" ref="D1001">IFERROR(IF(SUMPRODUCT((expected_production[Site Name]=A1001)*(expected_production[Date]=B1001)*ISNUMBER(expected_production[Expected Production (kWh)]))=0,"",SUMIFS(expected_production[Expected Production (kWh)],expected_production[Site Name],A1001,expected_production[Date],B1001)),"")</f>
        <v>6161.7510614195962</v>
      </c>
      <c r="E1001" s="9">
        <f t="shared" si="32"/>
        <v>0.71035002166926065</v>
      </c>
      <c r="F1001" t="str">
        <f t="shared" si="33"/>
        <v>Moderate</v>
      </c>
    </row>
    <row r="1002" spans="1:7" ht="15" hidden="1" customHeight="1" x14ac:dyDescent="0.3">
      <c r="A1002" t="s">
        <v>223</v>
      </c>
      <c r="B1002" s="2">
        <v>46143</v>
      </c>
      <c r="C1002" cm="1">
        <f t="array" ref="C1002">IFERROR(IF(SUMPRODUCT((measured[Site Name]=A1002)*(measured[Date]=B1002)*ISNUMBER(measured[Measured Value (kWh)]))=0,"",SUMIFS(measured[Measured Value (kWh)],measured[Site Name],A1002,measured[Date],B1002)),"")</f>
        <v>4300</v>
      </c>
      <c r="D1002" cm="1">
        <f t="array" ref="D1002">IFERROR(IF(SUMPRODUCT((expected_production[Site Name]=A1002)*(expected_production[Date]=B1002)*ISNUMBER(expected_production[Expected Production (kWh)]))=0,"",SUMIFS(expected_production[Expected Production (kWh)],expected_production[Site Name],A1002,expected_production[Date],B1002)),"")</f>
        <v>5900.9331073405119</v>
      </c>
      <c r="E1002" s="9">
        <f t="shared" si="32"/>
        <v>0.72869831292460874</v>
      </c>
      <c r="F1002" t="str">
        <f t="shared" si="33"/>
        <v>Moderate</v>
      </c>
    </row>
    <row r="1003" spans="1:7" ht="15" hidden="1" customHeight="1" x14ac:dyDescent="0.3">
      <c r="A1003" t="s">
        <v>223</v>
      </c>
      <c r="B1003" s="2">
        <v>46174</v>
      </c>
      <c r="C1003" cm="1">
        <f t="array" ref="C1003">IFERROR(IF(SUMPRODUCT((measured[Site Name]=A1003)*(measured[Date]=B1003)*ISNUMBER(measured[Measured Value (kWh)]))=0,"",SUMIFS(measured[Measured Value (kWh)],measured[Site Name],A1003,measured[Date],B1003)),"")</f>
        <v>3139.7</v>
      </c>
      <c r="D1003" cm="1">
        <f t="array" ref="D1003">IFERROR(IF(SUMPRODUCT((expected_production[Site Name]=A1003)*(expected_production[Date]=B1003)*ISNUMBER(expected_production[Expected Production (kWh)]))=0,"",SUMIFS(expected_production[Expected Production (kWh)],expected_production[Site Name],A1003,expected_production[Date],B1003)),"")</f>
        <v>5271.2130886990308</v>
      </c>
      <c r="E1003" s="9">
        <f t="shared" si="32"/>
        <v>0.59563139398238552</v>
      </c>
      <c r="F1003" t="str">
        <f t="shared" si="33"/>
        <v>Poor</v>
      </c>
    </row>
    <row r="1004" spans="1:7" ht="15" hidden="1" customHeight="1" x14ac:dyDescent="0.3">
      <c r="A1004" t="s">
        <v>114</v>
      </c>
      <c r="B1004" s="2">
        <v>46204</v>
      </c>
      <c r="C1004" cm="1">
        <f t="array" ref="C1004">IFERROR(IF(SUMPRODUCT((measured[Site Name]=A1004)*(measured[Date]=B1004)*ISNUMBER(measured[Measured Value (kWh)]))=0,"",SUMIFS(measured[Measured Value (kWh)],measured[Site Name],A1004,measured[Date],B1004)),"")</f>
        <v>17975</v>
      </c>
      <c r="D1004" cm="1">
        <f t="array" ref="D1004">IFERROR(IF(SUMPRODUCT((expected_production[Site Name]=A1004)*(expected_production[Date]=B1004)*ISNUMBER(expected_production[Expected Production (kWh)]))=0,"",SUMIFS(expected_production[Expected Production (kWh)],expected_production[Site Name],A1004,expected_production[Date],B1004)),"")</f>
        <v>18595.567457409863</v>
      </c>
      <c r="E1004" s="9">
        <f t="shared" si="32"/>
        <v>0.96662820541340444</v>
      </c>
      <c r="F1004" t="str">
        <f t="shared" si="33"/>
        <v>Expected</v>
      </c>
      <c r="G1004" t="s">
        <v>874</v>
      </c>
    </row>
    <row r="1005" spans="1:7" ht="15" hidden="1" customHeight="1" x14ac:dyDescent="0.3">
      <c r="A1005" t="s">
        <v>223</v>
      </c>
      <c r="B1005" s="2">
        <v>46235</v>
      </c>
      <c r="C1005" cm="1">
        <f t="array" ref="C1005">IFERROR(IF(SUMPRODUCT((measured[Site Name]=A1005)*(measured[Date]=B1005)*ISNUMBER(measured[Measured Value (kWh)]))=0,"",SUMIFS(measured[Measured Value (kWh)],measured[Site Name],A1005,measured[Date],B1005)),"")</f>
        <v>5281</v>
      </c>
      <c r="D1005" cm="1">
        <f t="array" ref="D1005">IFERROR(IF(SUMPRODUCT((expected_production[Site Name]=A1005)*(expected_production[Date]=B1005)*ISNUMBER(expected_production[Expected Production (kWh)]))=0,"",SUMIFS(expected_production[Expected Production (kWh)],expected_production[Site Name],A1005,expected_production[Date],B1005)),"")</f>
        <v>6547.2882457275055</v>
      </c>
      <c r="E1005" s="9">
        <f t="shared" si="32"/>
        <v>0.80659347836811157</v>
      </c>
      <c r="F1005" t="str">
        <f t="shared" si="33"/>
        <v>Moderate</v>
      </c>
      <c r="G1005" t="s">
        <v>874</v>
      </c>
    </row>
    <row r="1006" spans="1:7" ht="15" customHeight="1" x14ac:dyDescent="0.3">
      <c r="A1006" t="s">
        <v>223</v>
      </c>
      <c r="B1006" s="2">
        <v>46266</v>
      </c>
      <c r="C1006" cm="1">
        <f t="array" ref="C1006">IFERROR(IF(SUMPRODUCT((measured[Site Name]=A1006)*(measured[Date]=B1006)*ISNUMBER(measured[Measured Value (kWh)]))=0,"",SUMIFS(measured[Measured Value (kWh)],measured[Site Name],A1006,measured[Date],B1006)),"")</f>
        <v>4730</v>
      </c>
      <c r="D1006" cm="1">
        <f t="array" ref="D1006">IFERROR(IF(SUMPRODUCT((expected_production[Site Name]=A1006)*(expected_production[Date]=B1006)*ISNUMBER(expected_production[Expected Production (kWh)]))=0,"",SUMIFS(expected_production[Expected Production (kWh)],expected_production[Site Name],A1006,expected_production[Date],B1006)),"")</f>
        <v>6973.9777126450681</v>
      </c>
      <c r="E1006" s="9">
        <f t="shared" si="32"/>
        <v>0.67823560597615107</v>
      </c>
      <c r="F1006" t="str">
        <f t="shared" si="33"/>
        <v>Poor</v>
      </c>
      <c r="G1006" t="s">
        <v>874</v>
      </c>
    </row>
    <row r="1007" spans="1:7" ht="15" hidden="1" customHeight="1" x14ac:dyDescent="0.3">
      <c r="A1007" t="s">
        <v>223</v>
      </c>
      <c r="B1007" s="2">
        <v>46296</v>
      </c>
      <c r="C1007" t="str" cm="1">
        <f t="array" ref="C1007">IFERROR(IF(SUMPRODUCT((measured[Site Name]=A1007)*(measured[Date]=B1007)*ISNUMBER(measured[Measured Value (kWh)]))=0,"",SUMIFS(measured[Measured Value (kWh)],measured[Site Name],A1007,measured[Date],B1007)),"")</f>
        <v/>
      </c>
      <c r="D1007" cm="1">
        <f t="array" ref="D1007">IFERROR(IF(SUMPRODUCT((expected_production[Site Name]=A1007)*(expected_production[Date]=B1007)*ISNUMBER(expected_production[Expected Production (kWh)]))=0,"",SUMIFS(expected_production[Expected Production (kWh)],expected_production[Site Name],A1007,expected_production[Date],B1007)),"")</f>
        <v>7427.5580959715326</v>
      </c>
      <c r="E1007" s="9" t="str">
        <f t="shared" si="32"/>
        <v/>
      </c>
      <c r="F1007" t="str">
        <f t="shared" si="33"/>
        <v/>
      </c>
    </row>
    <row r="1008" spans="1:7" ht="15" hidden="1" customHeight="1" x14ac:dyDescent="0.3">
      <c r="A1008" t="s">
        <v>223</v>
      </c>
      <c r="B1008" s="2">
        <v>46327</v>
      </c>
      <c r="C1008" t="str" cm="1">
        <f t="array" ref="C1008">IFERROR(IF(SUMPRODUCT((measured[Site Name]=A1008)*(measured[Date]=B1008)*ISNUMBER(measured[Measured Value (kWh)]))=0,"",SUMIFS(measured[Measured Value (kWh)],measured[Site Name],A1008,measured[Date],B1008)),"")</f>
        <v/>
      </c>
      <c r="D1008" cm="1">
        <f t="array" ref="D1008">IFERROR(IF(SUMPRODUCT((expected_production[Site Name]=A1008)*(expected_production[Date]=B1008)*ISNUMBER(expected_production[Expected Production (kWh)]))=0,"",SUMIFS(expected_production[Expected Production (kWh)],expected_production[Site Name],A1008,expected_production[Date],B1008)),"")</f>
        <v>7495.9287727392493</v>
      </c>
      <c r="E1008" s="9" t="str">
        <f t="shared" si="32"/>
        <v/>
      </c>
      <c r="F1008" t="str">
        <f t="shared" si="33"/>
        <v/>
      </c>
    </row>
    <row r="1009" spans="1:6" ht="15" hidden="1" customHeight="1" x14ac:dyDescent="0.3">
      <c r="A1009" t="s">
        <v>223</v>
      </c>
      <c r="B1009" s="2">
        <v>46357</v>
      </c>
      <c r="C1009" t="str" cm="1">
        <f t="array" ref="C1009">IFERROR(IF(SUMPRODUCT((measured[Site Name]=A1009)*(measured[Date]=B1009)*ISNUMBER(measured[Measured Value (kWh)]))=0,"",SUMIFS(measured[Measured Value (kWh)],measured[Site Name],A1009,measured[Date],B1009)),"")</f>
        <v/>
      </c>
      <c r="D1009" cm="1">
        <f t="array" ref="D1009">IFERROR(IF(SUMPRODUCT((expected_production[Site Name]=A1009)*(expected_production[Date]=B1009)*ISNUMBER(expected_production[Expected Production (kWh)]))=0,"",SUMIFS(expected_production[Expected Production (kWh)],expected_production[Site Name],A1009,expected_production[Date],B1009)),"")</f>
        <v>7355.0207750737382</v>
      </c>
      <c r="E1009" s="9" t="str">
        <f t="shared" si="32"/>
        <v/>
      </c>
      <c r="F1009" t="str">
        <f t="shared" si="33"/>
        <v/>
      </c>
    </row>
    <row r="1010" spans="1:6" ht="15" hidden="1" customHeight="1" x14ac:dyDescent="0.3">
      <c r="A1010" t="s">
        <v>120</v>
      </c>
      <c r="B1010" s="2">
        <v>45292</v>
      </c>
      <c r="C1010" cm="1">
        <f t="array" ref="C1010">IFERROR(IF(SUMPRODUCT((measured[Site Name]=A1010)*(measured[Date]=B1010)*ISNUMBER(measured[Measured Value (kWh)]))=0,"",SUMIFS(measured[Measured Value (kWh)],measured[Site Name],A1010,measured[Date],B1010)),"")</f>
        <v>13629</v>
      </c>
      <c r="D1010" cm="1">
        <f t="array" ref="D1010">IFERROR(IF(SUMPRODUCT((expected_production[Site Name]=A1010)*(expected_production[Date]=B1010)*ISNUMBER(expected_production[Expected Production (kWh)]))=0,"",SUMIFS(expected_production[Expected Production (kWh)],expected_production[Site Name],A1010,expected_production[Date],B1010)),"")</f>
        <v>12213</v>
      </c>
      <c r="E1010" s="9">
        <f t="shared" si="32"/>
        <v>1.1159420289855073</v>
      </c>
      <c r="F1010" t="str">
        <f t="shared" si="33"/>
        <v>Expected</v>
      </c>
    </row>
    <row r="1011" spans="1:6" ht="15" hidden="1" customHeight="1" x14ac:dyDescent="0.3">
      <c r="A1011" t="s">
        <v>120</v>
      </c>
      <c r="B1011" s="2">
        <v>45323</v>
      </c>
      <c r="C1011" cm="1">
        <f t="array" ref="C1011">IFERROR(IF(SUMPRODUCT((measured[Site Name]=A1011)*(measured[Date]=B1011)*ISNUMBER(measured[Measured Value (kWh)]))=0,"",SUMIFS(measured[Measured Value (kWh)],measured[Site Name],A1011,measured[Date],B1011)),"")</f>
        <v>12014</v>
      </c>
      <c r="D1011" cm="1">
        <f t="array" ref="D1011">IFERROR(IF(SUMPRODUCT((expected_production[Site Name]=A1011)*(expected_production[Date]=B1011)*ISNUMBER(expected_production[Expected Production (kWh)]))=0,"",SUMIFS(expected_production[Expected Production (kWh)],expected_production[Site Name],A1011,expected_production[Date],B1011)),"")</f>
        <v>10570.5</v>
      </c>
      <c r="E1011" s="9">
        <f t="shared" si="32"/>
        <v>1.1365592923702759</v>
      </c>
      <c r="F1011" t="str">
        <f t="shared" si="33"/>
        <v>Expected</v>
      </c>
    </row>
    <row r="1012" spans="1:6" ht="15" hidden="1" customHeight="1" x14ac:dyDescent="0.3">
      <c r="A1012" t="s">
        <v>120</v>
      </c>
      <c r="B1012" s="2">
        <v>45352</v>
      </c>
      <c r="C1012" cm="1">
        <f t="array" ref="C1012">IFERROR(IF(SUMPRODUCT((measured[Site Name]=A1012)*(measured[Date]=B1012)*ISNUMBER(measured[Measured Value (kWh)]))=0,"",SUMIFS(measured[Measured Value (kWh)],measured[Site Name],A1012,measured[Date],B1012)),"")</f>
        <v>12428</v>
      </c>
      <c r="D1012" cm="1">
        <f t="array" ref="D1012">IFERROR(IF(SUMPRODUCT((expected_production[Site Name]=A1012)*(expected_production[Date]=B1012)*ISNUMBER(expected_production[Expected Production (kWh)]))=0,"",SUMIFS(expected_production[Expected Production (kWh)],expected_production[Site Name],A1012,expected_production[Date],B1012)),"")</f>
        <v>10619.1</v>
      </c>
      <c r="E1012" s="9">
        <f t="shared" si="32"/>
        <v>1.1703440027874301</v>
      </c>
      <c r="F1012" t="str">
        <f t="shared" si="33"/>
        <v>Expected</v>
      </c>
    </row>
    <row r="1013" spans="1:6" ht="15" hidden="1" customHeight="1" x14ac:dyDescent="0.3">
      <c r="A1013" t="s">
        <v>120</v>
      </c>
      <c r="B1013" s="2">
        <v>45383</v>
      </c>
      <c r="C1013" cm="1">
        <f t="array" ref="C1013">IFERROR(IF(SUMPRODUCT((measured[Site Name]=A1013)*(measured[Date]=B1013)*ISNUMBER(measured[Measured Value (kWh)]))=0,"",SUMIFS(measured[Measured Value (kWh)],measured[Site Name],A1013,measured[Date],B1013)),"")</f>
        <v>9084</v>
      </c>
      <c r="D1013" cm="1">
        <f t="array" ref="D1013">IFERROR(IF(SUMPRODUCT((expected_production[Site Name]=A1013)*(expected_production[Date]=B1013)*ISNUMBER(expected_production[Expected Production (kWh)]))=0,"",SUMIFS(expected_production[Expected Production (kWh)],expected_production[Site Name],A1013,expected_production[Date],B1013)),"")</f>
        <v>9139.5</v>
      </c>
      <c r="E1013" s="9">
        <f t="shared" si="32"/>
        <v>0.99392745773838831</v>
      </c>
      <c r="F1013" t="str">
        <f t="shared" si="33"/>
        <v>Expected</v>
      </c>
    </row>
    <row r="1014" spans="1:6" ht="15" hidden="1" customHeight="1" x14ac:dyDescent="0.3">
      <c r="A1014" t="s">
        <v>120</v>
      </c>
      <c r="B1014" s="2">
        <v>45413</v>
      </c>
      <c r="C1014" cm="1">
        <f t="array" ref="C1014">IFERROR(IF(SUMPRODUCT((measured[Site Name]=A1014)*(measured[Date]=B1014)*ISNUMBER(measured[Measured Value (kWh)]))=0,"",SUMIFS(measured[Measured Value (kWh)],measured[Site Name],A1014,measured[Date],B1014)),"")</f>
        <v>8049</v>
      </c>
      <c r="D1014" cm="1">
        <f t="array" ref="D1014">IFERROR(IF(SUMPRODUCT((expected_production[Site Name]=A1014)*(expected_production[Date]=B1014)*ISNUMBER(expected_production[Expected Production (kWh)]))=0,"",SUMIFS(expected_production[Expected Production (kWh)],expected_production[Site Name],A1014,expected_production[Date],B1014)),"")</f>
        <v>8593.2000000000007</v>
      </c>
      <c r="E1014" s="9">
        <f t="shared" si="32"/>
        <v>0.93667085602569466</v>
      </c>
      <c r="F1014" t="str">
        <f t="shared" si="33"/>
        <v>Expected</v>
      </c>
    </row>
    <row r="1015" spans="1:6" ht="15" hidden="1" customHeight="1" x14ac:dyDescent="0.3">
      <c r="A1015" t="s">
        <v>120</v>
      </c>
      <c r="B1015" s="2">
        <v>45444</v>
      </c>
      <c r="C1015" cm="1">
        <f t="array" ref="C1015">IFERROR(IF(SUMPRODUCT((measured[Site Name]=A1015)*(measured[Date]=B1015)*ISNUMBER(measured[Measured Value (kWh)]))=0,"",SUMIFS(measured[Measured Value (kWh)],measured[Site Name],A1015,measured[Date],B1015)),"")</f>
        <v>6600</v>
      </c>
      <c r="D1015" cm="1">
        <f t="array" ref="D1015">IFERROR(IF(SUMPRODUCT((expected_production[Site Name]=A1015)*(expected_production[Date]=B1015)*ISNUMBER(expected_production[Expected Production (kWh)]))=0,"",SUMIFS(expected_production[Expected Production (kWh)],expected_production[Site Name],A1015,expected_production[Date],B1015)),"")</f>
        <v>7680.6</v>
      </c>
      <c r="E1015" s="9">
        <f t="shared" si="32"/>
        <v>0.85930786657292391</v>
      </c>
      <c r="F1015" t="str">
        <f t="shared" si="33"/>
        <v>Moderate</v>
      </c>
    </row>
    <row r="1016" spans="1:6" ht="15" hidden="1" customHeight="1" x14ac:dyDescent="0.3">
      <c r="A1016" t="s">
        <v>120</v>
      </c>
      <c r="B1016" s="2">
        <v>45474</v>
      </c>
      <c r="C1016" cm="1">
        <f t="array" ref="C1016">IFERROR(IF(SUMPRODUCT((measured[Site Name]=A1016)*(measured[Date]=B1016)*ISNUMBER(measured[Measured Value (kWh)]))=0,"",SUMIFS(measured[Measured Value (kWh)],measured[Site Name],A1016,measured[Date],B1016)),"")</f>
        <v>7832</v>
      </c>
      <c r="D1016" cm="1">
        <f t="array" ref="D1016">IFERROR(IF(SUMPRODUCT((expected_production[Site Name]=A1016)*(expected_production[Date]=B1016)*ISNUMBER(expected_production[Expected Production (kWh)]))=0,"",SUMIFS(expected_production[Expected Production (kWh)],expected_production[Site Name],A1016,expected_production[Date],B1016)),"")</f>
        <v>8550.9</v>
      </c>
      <c r="E1016" s="9">
        <f t="shared" si="32"/>
        <v>0.91592697844671322</v>
      </c>
      <c r="F1016" t="str">
        <f t="shared" si="33"/>
        <v>Expected</v>
      </c>
    </row>
    <row r="1017" spans="1:6" ht="15" hidden="1" customHeight="1" x14ac:dyDescent="0.3">
      <c r="A1017" t="s">
        <v>120</v>
      </c>
      <c r="B1017" s="2">
        <v>45505</v>
      </c>
      <c r="C1017" cm="1">
        <f t="array" ref="C1017">IFERROR(IF(SUMPRODUCT((measured[Site Name]=A1017)*(measured[Date]=B1017)*ISNUMBER(measured[Measured Value (kWh)]))=0,"",SUMIFS(measured[Measured Value (kWh)],measured[Site Name],A1017,measured[Date],B1017)),"")</f>
        <v>8766</v>
      </c>
      <c r="D1017" cm="1">
        <f t="array" ref="D1017">IFERROR(IF(SUMPRODUCT((expected_production[Site Name]=A1017)*(expected_production[Date]=B1017)*ISNUMBER(expected_production[Expected Production (kWh)]))=0,"",SUMIFS(expected_production[Expected Production (kWh)],expected_production[Site Name],A1017,expected_production[Date],B1017)),"")</f>
        <v>9997.2000000000007</v>
      </c>
      <c r="E1017" s="9">
        <f t="shared" si="32"/>
        <v>0.87684551674468847</v>
      </c>
      <c r="F1017" t="str">
        <f t="shared" si="33"/>
        <v>Moderate</v>
      </c>
    </row>
    <row r="1018" spans="1:6" ht="15" hidden="1" customHeight="1" x14ac:dyDescent="0.3">
      <c r="A1018" t="s">
        <v>120</v>
      </c>
      <c r="B1018" s="2">
        <v>45536</v>
      </c>
      <c r="C1018" cm="1">
        <f t="array" ref="C1018">IFERROR(IF(SUMPRODUCT((measured[Site Name]=A1018)*(measured[Date]=B1018)*ISNUMBER(measured[Measured Value (kWh)]))=0,"",SUMIFS(measured[Measured Value (kWh)],measured[Site Name],A1018,measured[Date],B1018)),"")</f>
        <v>9208</v>
      </c>
      <c r="D1018" cm="1">
        <f t="array" ref="D1018">IFERROR(IF(SUMPRODUCT((expected_production[Site Name]=A1018)*(expected_production[Date]=B1018)*ISNUMBER(expected_production[Expected Production (kWh)]))=0,"",SUMIFS(expected_production[Expected Production (kWh)],expected_production[Site Name],A1018,expected_production[Date],B1018)),"")</f>
        <v>10701.9</v>
      </c>
      <c r="E1018" s="9">
        <f t="shared" si="32"/>
        <v>0.86040796494080496</v>
      </c>
      <c r="F1018" t="str">
        <f t="shared" si="33"/>
        <v>Moderate</v>
      </c>
    </row>
    <row r="1019" spans="1:6" ht="15" hidden="1" customHeight="1" x14ac:dyDescent="0.3">
      <c r="A1019" t="s">
        <v>120</v>
      </c>
      <c r="B1019" s="2">
        <v>45566</v>
      </c>
      <c r="C1019" cm="1">
        <f t="array" ref="C1019">IFERROR(IF(SUMPRODUCT((measured[Site Name]=A1019)*(measured[Date]=B1019)*ISNUMBER(measured[Measured Value (kWh)]))=0,"",SUMIFS(measured[Measured Value (kWh)],measured[Site Name],A1019,measured[Date],B1019)),"")</f>
        <v>12879</v>
      </c>
      <c r="D1019" cm="1">
        <f t="array" ref="D1019">IFERROR(IF(SUMPRODUCT((expected_production[Site Name]=A1019)*(expected_production[Date]=B1019)*ISNUMBER(expected_production[Expected Production (kWh)]))=0,"",SUMIFS(expected_production[Expected Production (kWh)],expected_production[Site Name],A1019,expected_production[Date],B1019)),"")</f>
        <v>11834.1</v>
      </c>
      <c r="E1019" s="9">
        <f t="shared" si="32"/>
        <v>1.0882956878850103</v>
      </c>
      <c r="F1019" t="str">
        <f t="shared" si="33"/>
        <v>Expected</v>
      </c>
    </row>
    <row r="1020" spans="1:6" ht="15" hidden="1" customHeight="1" x14ac:dyDescent="0.3">
      <c r="A1020" t="s">
        <v>120</v>
      </c>
      <c r="B1020" s="2">
        <v>45597</v>
      </c>
      <c r="C1020" cm="1">
        <f t="array" ref="C1020">IFERROR(IF(SUMPRODUCT((measured[Site Name]=A1020)*(measured[Date]=B1020)*ISNUMBER(measured[Measured Value (kWh)]))=0,"",SUMIFS(measured[Measured Value (kWh)],measured[Site Name],A1020,measured[Date],B1020)),"")</f>
        <v>13410</v>
      </c>
      <c r="D1020" cm="1">
        <f t="array" ref="D1020">IFERROR(IF(SUMPRODUCT((expected_production[Site Name]=A1020)*(expected_production[Date]=B1020)*ISNUMBER(expected_production[Expected Production (kWh)]))=0,"",SUMIFS(expected_production[Expected Production (kWh)],expected_production[Site Name],A1020,expected_production[Date],B1020)),"")</f>
        <v>12129.3</v>
      </c>
      <c r="E1020" s="9">
        <f t="shared" si="32"/>
        <v>1.1055872968761595</v>
      </c>
      <c r="F1020" t="str">
        <f t="shared" si="33"/>
        <v>Expected</v>
      </c>
    </row>
    <row r="1021" spans="1:6" ht="15" hidden="1" customHeight="1" x14ac:dyDescent="0.3">
      <c r="A1021" t="s">
        <v>120</v>
      </c>
      <c r="B1021" s="2">
        <v>45627</v>
      </c>
      <c r="C1021" cm="1">
        <f t="array" ref="C1021">IFERROR(IF(SUMPRODUCT((measured[Site Name]=A1021)*(measured[Date]=B1021)*ISNUMBER(measured[Measured Value (kWh)]))=0,"",SUMIFS(measured[Measured Value (kWh)],measured[Site Name],A1021,measured[Date],B1021)),"")</f>
        <v>13869</v>
      </c>
      <c r="D1021" cm="1">
        <f t="array" ref="D1021">IFERROR(IF(SUMPRODUCT((expected_production[Site Name]=A1021)*(expected_production[Date]=B1021)*ISNUMBER(expected_production[Expected Production (kWh)]))=0,"",SUMIFS(expected_production[Expected Production (kWh)],expected_production[Site Name],A1021,expected_production[Date],B1021)),"")</f>
        <v>12998.7</v>
      </c>
      <c r="E1021" s="9">
        <f t="shared" si="32"/>
        <v>1.0669528491310669</v>
      </c>
      <c r="F1021" t="str">
        <f t="shared" si="33"/>
        <v>Expected</v>
      </c>
    </row>
    <row r="1022" spans="1:6" ht="15" hidden="1" customHeight="1" x14ac:dyDescent="0.3">
      <c r="A1022" t="s">
        <v>120</v>
      </c>
      <c r="B1022" s="2">
        <v>45658</v>
      </c>
      <c r="C1022" cm="1">
        <f t="array" ref="C1022">IFERROR(IF(SUMPRODUCT((measured[Site Name]=A1022)*(measured[Date]=B1022)*ISNUMBER(measured[Measured Value (kWh)]))=0,"",SUMIFS(measured[Measured Value (kWh)],measured[Site Name],A1022,measured[Date],B1022)),"")</f>
        <v>13136</v>
      </c>
      <c r="D1022" cm="1">
        <f t="array" ref="D1022">IFERROR(IF(SUMPRODUCT((expected_production[Site Name]=A1022)*(expected_production[Date]=B1022)*ISNUMBER(expected_production[Expected Production (kWh)]))=0,"",SUMIFS(expected_production[Expected Production (kWh)],expected_production[Site Name],A1022,expected_production[Date],B1022)),"")</f>
        <v>12213</v>
      </c>
      <c r="E1022" s="9">
        <f t="shared" si="32"/>
        <v>1.0755752067469091</v>
      </c>
      <c r="F1022" t="str">
        <f t="shared" si="33"/>
        <v>Expected</v>
      </c>
    </row>
    <row r="1023" spans="1:6" ht="15" hidden="1" customHeight="1" x14ac:dyDescent="0.3">
      <c r="A1023" t="s">
        <v>120</v>
      </c>
      <c r="B1023" s="2">
        <v>45689</v>
      </c>
      <c r="C1023" cm="1">
        <f t="array" ref="C1023">IFERROR(IF(SUMPRODUCT((measured[Site Name]=A1023)*(measured[Date]=B1023)*ISNUMBER(measured[Measured Value (kWh)]))=0,"",SUMIFS(measured[Measured Value (kWh)],measured[Site Name],A1023,measured[Date],B1023)),"")</f>
        <v>10624</v>
      </c>
      <c r="D1023" cm="1">
        <f t="array" ref="D1023">IFERROR(IF(SUMPRODUCT((expected_production[Site Name]=A1023)*(expected_production[Date]=B1023)*ISNUMBER(expected_production[Expected Production (kWh)]))=0,"",SUMIFS(expected_production[Expected Production (kWh)],expected_production[Site Name],A1023,expected_production[Date],B1023)),"")</f>
        <v>10570.5</v>
      </c>
      <c r="E1023" s="9">
        <f t="shared" si="32"/>
        <v>1.0050612553805403</v>
      </c>
      <c r="F1023" t="str">
        <f t="shared" si="33"/>
        <v>Expected</v>
      </c>
    </row>
    <row r="1024" spans="1:6" ht="15" hidden="1" customHeight="1" x14ac:dyDescent="0.3">
      <c r="A1024" t="s">
        <v>120</v>
      </c>
      <c r="B1024" s="2">
        <v>45717</v>
      </c>
      <c r="C1024" cm="1">
        <f t="array" ref="C1024">IFERROR(IF(SUMPRODUCT((measured[Site Name]=A1024)*(measured[Date]=B1024)*ISNUMBER(measured[Measured Value (kWh)]))=0,"",SUMIFS(measured[Measured Value (kWh)],measured[Site Name],A1024,measured[Date],B1024)),"")</f>
        <v>10420</v>
      </c>
      <c r="D1024" cm="1">
        <f t="array" ref="D1024">IFERROR(IF(SUMPRODUCT((expected_production[Site Name]=A1024)*(expected_production[Date]=B1024)*ISNUMBER(expected_production[Expected Production (kWh)]))=0,"",SUMIFS(expected_production[Expected Production (kWh)],expected_production[Site Name],A1024,expected_production[Date],B1024)),"")</f>
        <v>10619.1</v>
      </c>
      <c r="E1024" s="9">
        <f t="shared" si="32"/>
        <v>0.98125076513075493</v>
      </c>
      <c r="F1024" t="str">
        <f t="shared" si="33"/>
        <v>Expected</v>
      </c>
    </row>
    <row r="1025" spans="1:7" ht="15" hidden="1" customHeight="1" x14ac:dyDescent="0.3">
      <c r="A1025" t="s">
        <v>120</v>
      </c>
      <c r="B1025" s="2">
        <v>45748</v>
      </c>
      <c r="C1025" cm="1">
        <f t="array" ref="C1025">IFERROR(IF(SUMPRODUCT((measured[Site Name]=A1025)*(measured[Date]=B1025)*ISNUMBER(measured[Measured Value (kWh)]))=0,"",SUMIFS(measured[Measured Value (kWh)],measured[Site Name],A1025,measured[Date],B1025)),"")</f>
        <v>7391</v>
      </c>
      <c r="D1025" cm="1">
        <f t="array" ref="D1025">IFERROR(IF(SUMPRODUCT((expected_production[Site Name]=A1025)*(expected_production[Date]=B1025)*ISNUMBER(expected_production[Expected Production (kWh)]))=0,"",SUMIFS(expected_production[Expected Production (kWh)],expected_production[Site Name],A1025,expected_production[Date],B1025)),"")</f>
        <v>9139.5</v>
      </c>
      <c r="E1025" s="9">
        <f t="shared" si="32"/>
        <v>0.80868756496526073</v>
      </c>
      <c r="F1025" t="str">
        <f t="shared" si="33"/>
        <v>Moderate</v>
      </c>
    </row>
    <row r="1026" spans="1:7" ht="15" hidden="1" customHeight="1" x14ac:dyDescent="0.3">
      <c r="A1026" t="s">
        <v>120</v>
      </c>
      <c r="B1026" s="2">
        <v>45778</v>
      </c>
      <c r="C1026" cm="1">
        <f t="array" ref="C1026">IFERROR(IF(SUMPRODUCT((measured[Site Name]=A1026)*(measured[Date]=B1026)*ISNUMBER(measured[Measured Value (kWh)]))=0,"",SUMIFS(measured[Measured Value (kWh)],measured[Site Name],A1026,measured[Date],B1026)),"")</f>
        <v>7947</v>
      </c>
      <c r="D1026" cm="1">
        <f t="array" ref="D1026">IFERROR(IF(SUMPRODUCT((expected_production[Site Name]=A1026)*(expected_production[Date]=B1026)*ISNUMBER(expected_production[Expected Production (kWh)]))=0,"",SUMIFS(expected_production[Expected Production (kWh)],expected_production[Site Name],A1026,expected_production[Date],B1026)),"")</f>
        <v>8593.2000000000007</v>
      </c>
      <c r="E1026" s="9">
        <f t="shared" si="32"/>
        <v>0.92480100544616661</v>
      </c>
      <c r="F1026" t="str">
        <f t="shared" si="33"/>
        <v>Expected</v>
      </c>
    </row>
    <row r="1027" spans="1:7" ht="15" hidden="1" customHeight="1" x14ac:dyDescent="0.3">
      <c r="A1027" t="s">
        <v>120</v>
      </c>
      <c r="B1027" s="2">
        <v>45809</v>
      </c>
      <c r="C1027" cm="1">
        <f t="array" ref="C1027">IFERROR(IF(SUMPRODUCT((measured[Site Name]=A1027)*(measured[Date]=B1027)*ISNUMBER(measured[Measured Value (kWh)]))=0,"",SUMIFS(measured[Measured Value (kWh)],measured[Site Name],A1027,measured[Date],B1027)),"")</f>
        <v>6390.63</v>
      </c>
      <c r="D1027" cm="1">
        <f t="array" ref="D1027">IFERROR(IF(SUMPRODUCT((expected_production[Site Name]=A1027)*(expected_production[Date]=B1027)*ISNUMBER(expected_production[Expected Production (kWh)]))=0,"",SUMIFS(expected_production[Expected Production (kWh)],expected_production[Site Name],A1027,expected_production[Date],B1027)),"")</f>
        <v>7680.6</v>
      </c>
      <c r="E1027" s="9">
        <f t="shared" si="32"/>
        <v>0.832048277478322</v>
      </c>
      <c r="F1027" t="str">
        <f t="shared" si="33"/>
        <v>Moderate</v>
      </c>
    </row>
    <row r="1028" spans="1:7" ht="15" hidden="1" customHeight="1" x14ac:dyDescent="0.3">
      <c r="A1028" t="s">
        <v>120</v>
      </c>
      <c r="B1028" s="2">
        <v>45839</v>
      </c>
      <c r="C1028" cm="1">
        <f t="array" ref="C1028">IFERROR(IF(SUMPRODUCT((measured[Site Name]=A1028)*(measured[Date]=B1028)*ISNUMBER(measured[Measured Value (kWh)]))=0,"",SUMIFS(measured[Measured Value (kWh)],measured[Site Name],A1028,measured[Date],B1028)),"")</f>
        <v>7146</v>
      </c>
      <c r="D1028" cm="1">
        <f t="array" ref="D1028">IFERROR(IF(SUMPRODUCT((expected_production[Site Name]=A1028)*(expected_production[Date]=B1028)*ISNUMBER(expected_production[Expected Production (kWh)]))=0,"",SUMIFS(expected_production[Expected Production (kWh)],expected_production[Site Name],A1028,expected_production[Date],B1028)),"")</f>
        <v>8550.9</v>
      </c>
      <c r="E1028" s="9">
        <f t="shared" si="32"/>
        <v>0.83570150510472585</v>
      </c>
      <c r="F1028" t="str">
        <f t="shared" si="33"/>
        <v>Moderate</v>
      </c>
    </row>
    <row r="1029" spans="1:7" ht="15" hidden="1" customHeight="1" x14ac:dyDescent="0.3">
      <c r="A1029" t="s">
        <v>120</v>
      </c>
      <c r="B1029" s="2">
        <v>45870</v>
      </c>
      <c r="C1029" cm="1">
        <f t="array" ref="C1029">IFERROR(IF(SUMPRODUCT((measured[Site Name]=A1029)*(measured[Date]=B1029)*ISNUMBER(measured[Measured Value (kWh)]))=0,"",SUMIFS(measured[Measured Value (kWh)],measured[Site Name],A1029,measured[Date],B1029)),"")</f>
        <v>7396</v>
      </c>
      <c r="D1029" cm="1">
        <f t="array" ref="D1029">IFERROR(IF(SUMPRODUCT((expected_production[Site Name]=A1029)*(expected_production[Date]=B1029)*ISNUMBER(expected_production[Expected Production (kWh)]))=0,"",SUMIFS(expected_production[Expected Production (kWh)],expected_production[Site Name],A1029,expected_production[Date],B1029)),"")</f>
        <v>9997.2000000000007</v>
      </c>
      <c r="E1029" s="9">
        <f t="shared" si="32"/>
        <v>0.73980714600088016</v>
      </c>
      <c r="F1029" t="str">
        <f t="shared" si="33"/>
        <v>Moderate</v>
      </c>
    </row>
    <row r="1030" spans="1:7" ht="15" hidden="1" customHeight="1" x14ac:dyDescent="0.3">
      <c r="A1030" t="s">
        <v>120</v>
      </c>
      <c r="B1030" s="2">
        <v>45901</v>
      </c>
      <c r="C1030" cm="1">
        <f t="array" ref="C1030">IFERROR(IF(SUMPRODUCT((measured[Site Name]=A1030)*(measured[Date]=B1030)*ISNUMBER(measured[Measured Value (kWh)]))=0,"",SUMIFS(measured[Measured Value (kWh)],measured[Site Name],A1030,measured[Date],B1030)),"")</f>
        <v>8160</v>
      </c>
      <c r="D1030" cm="1">
        <f t="array" ref="D1030">IFERROR(IF(SUMPRODUCT((expected_production[Site Name]=A1030)*(expected_production[Date]=B1030)*ISNUMBER(expected_production[Expected Production (kWh)]))=0,"",SUMIFS(expected_production[Expected Production (kWh)],expected_production[Site Name],A1030,expected_production[Date],B1030)),"")</f>
        <v>10701.9</v>
      </c>
      <c r="E1030" s="9">
        <f t="shared" si="32"/>
        <v>0.76248142853138234</v>
      </c>
      <c r="F1030" t="str">
        <f t="shared" si="33"/>
        <v>Moderate</v>
      </c>
    </row>
    <row r="1031" spans="1:7" ht="15" hidden="1" customHeight="1" x14ac:dyDescent="0.3">
      <c r="A1031" t="s">
        <v>120</v>
      </c>
      <c r="B1031" s="2">
        <v>45931</v>
      </c>
      <c r="C1031" cm="1">
        <f t="array" ref="C1031">IFERROR(IF(SUMPRODUCT((measured[Site Name]=A1031)*(measured[Date]=B1031)*ISNUMBER(measured[Measured Value (kWh)]))=0,"",SUMIFS(measured[Measured Value (kWh)],measured[Site Name],A1031,measured[Date],B1031)),"")</f>
        <v>10866</v>
      </c>
      <c r="D1031" cm="1">
        <f t="array" ref="D1031">IFERROR(IF(SUMPRODUCT((expected_production[Site Name]=A1031)*(expected_production[Date]=B1031)*ISNUMBER(expected_production[Expected Production (kWh)]))=0,"",SUMIFS(expected_production[Expected Production (kWh)],expected_production[Site Name],A1031,expected_production[Date],B1031)),"")</f>
        <v>11834.1</v>
      </c>
      <c r="E1031" s="9">
        <f t="shared" si="32"/>
        <v>0.91819403249930287</v>
      </c>
      <c r="F1031" t="str">
        <f t="shared" si="33"/>
        <v>Expected</v>
      </c>
    </row>
    <row r="1032" spans="1:7" ht="15" hidden="1" customHeight="1" x14ac:dyDescent="0.3">
      <c r="A1032" t="s">
        <v>120</v>
      </c>
      <c r="B1032" s="2">
        <v>45962</v>
      </c>
      <c r="C1032" cm="1">
        <f t="array" ref="C1032">IFERROR(IF(SUMPRODUCT((measured[Site Name]=A1032)*(measured[Date]=B1032)*ISNUMBER(measured[Measured Value (kWh)]))=0,"",SUMIFS(measured[Measured Value (kWh)],measured[Site Name],A1032,measured[Date],B1032)),"")</f>
        <v>10612</v>
      </c>
      <c r="D1032" cm="1">
        <f t="array" ref="D1032">IFERROR(IF(SUMPRODUCT((expected_production[Site Name]=A1032)*(expected_production[Date]=B1032)*ISNUMBER(expected_production[Expected Production (kWh)]))=0,"",SUMIFS(expected_production[Expected Production (kWh)],expected_production[Site Name],A1032,expected_production[Date],B1032)),"")</f>
        <v>12129.3</v>
      </c>
      <c r="E1032" s="9">
        <f t="shared" si="32"/>
        <v>0.87490621882548869</v>
      </c>
      <c r="F1032" t="str">
        <f t="shared" si="33"/>
        <v>Moderate</v>
      </c>
    </row>
    <row r="1033" spans="1:7" ht="15" hidden="1" customHeight="1" x14ac:dyDescent="0.3">
      <c r="A1033" t="s">
        <v>120</v>
      </c>
      <c r="B1033" s="2">
        <v>45992</v>
      </c>
      <c r="C1033" cm="1">
        <f t="array" ref="C1033">IFERROR(IF(SUMPRODUCT((measured[Site Name]=A1033)*(measured[Date]=B1033)*ISNUMBER(measured[Measured Value (kWh)]))=0,"",SUMIFS(measured[Measured Value (kWh)],measured[Site Name],A1033,measured[Date],B1033)),"")</f>
        <v>11236</v>
      </c>
      <c r="D1033" cm="1">
        <f t="array" ref="D1033">IFERROR(IF(SUMPRODUCT((expected_production[Site Name]=A1033)*(expected_production[Date]=B1033)*ISNUMBER(expected_production[Expected Production (kWh)]))=0,"",SUMIFS(expected_production[Expected Production (kWh)],expected_production[Site Name],A1033,expected_production[Date],B1033)),"")</f>
        <v>12998.7</v>
      </c>
      <c r="E1033" s="9">
        <f t="shared" si="32"/>
        <v>0.86439413172086432</v>
      </c>
      <c r="F1033" t="str">
        <f t="shared" si="33"/>
        <v>Moderate</v>
      </c>
    </row>
    <row r="1034" spans="1:7" ht="15" hidden="1" customHeight="1" x14ac:dyDescent="0.3">
      <c r="A1034" t="s">
        <v>120</v>
      </c>
      <c r="B1034" s="2">
        <v>46023</v>
      </c>
      <c r="C1034" cm="1">
        <f t="array" ref="C1034">IFERROR(IF(SUMPRODUCT((measured[Site Name]=A1034)*(measured[Date]=B1034)*ISNUMBER(measured[Measured Value (kWh)]))=0,"",SUMIFS(measured[Measured Value (kWh)],measured[Site Name],A1034,measured[Date],B1034)),"")</f>
        <v>13357</v>
      </c>
      <c r="D1034" cm="1">
        <f t="array" ref="D1034">IFERROR(IF(SUMPRODUCT((expected_production[Site Name]=A1034)*(expected_production[Date]=B1034)*ISNUMBER(expected_production[Expected Production (kWh)]))=0,"",SUMIFS(expected_production[Expected Production (kWh)],expected_production[Site Name],A1034,expected_production[Date],B1034)),"")</f>
        <v>12213</v>
      </c>
      <c r="E1034" s="9">
        <f t="shared" si="32"/>
        <v>1.0936706787849013</v>
      </c>
      <c r="F1034" t="str">
        <f t="shared" si="33"/>
        <v>Expected</v>
      </c>
    </row>
    <row r="1035" spans="1:7" ht="15" hidden="1" customHeight="1" x14ac:dyDescent="0.3">
      <c r="A1035" t="s">
        <v>120</v>
      </c>
      <c r="B1035" s="2">
        <v>46054</v>
      </c>
      <c r="C1035" cm="1">
        <f t="array" ref="C1035">IFERROR(IF(SUMPRODUCT((measured[Site Name]=A1035)*(measured[Date]=B1035)*ISNUMBER(measured[Measured Value (kWh)]))=0,"",SUMIFS(measured[Measured Value (kWh)],measured[Site Name],A1035,measured[Date],B1035)),"")</f>
        <v>9365</v>
      </c>
      <c r="D1035" cm="1">
        <f t="array" ref="D1035">IFERROR(IF(SUMPRODUCT((expected_production[Site Name]=A1035)*(expected_production[Date]=B1035)*ISNUMBER(expected_production[Expected Production (kWh)]))=0,"",SUMIFS(expected_production[Expected Production (kWh)],expected_production[Site Name],A1035,expected_production[Date],B1035)),"")</f>
        <v>10570.5</v>
      </c>
      <c r="E1035" s="9">
        <f t="shared" si="32"/>
        <v>0.88595619885530486</v>
      </c>
      <c r="F1035" t="str">
        <f t="shared" si="33"/>
        <v>Moderate</v>
      </c>
    </row>
    <row r="1036" spans="1:7" ht="15" hidden="1" customHeight="1" x14ac:dyDescent="0.3">
      <c r="A1036" t="s">
        <v>120</v>
      </c>
      <c r="B1036" s="2">
        <v>46082</v>
      </c>
      <c r="C1036" cm="1">
        <f t="array" ref="C1036">IFERROR(IF(SUMPRODUCT((measured[Site Name]=A1036)*(measured[Date]=B1036)*ISNUMBER(measured[Measured Value (kWh)]))=0,"",SUMIFS(measured[Measured Value (kWh)],measured[Site Name],A1036,measured[Date],B1036)),"")</f>
        <v>7814</v>
      </c>
      <c r="D1036" cm="1">
        <f t="array" ref="D1036">IFERROR(IF(SUMPRODUCT((expected_production[Site Name]=A1036)*(expected_production[Date]=B1036)*ISNUMBER(expected_production[Expected Production (kWh)]))=0,"",SUMIFS(expected_production[Expected Production (kWh)],expected_production[Site Name],A1036,expected_production[Date],B1036)),"")</f>
        <v>10619.1</v>
      </c>
      <c r="E1036" s="9">
        <f t="shared" si="32"/>
        <v>0.73584390390899412</v>
      </c>
      <c r="F1036" t="str">
        <f t="shared" si="33"/>
        <v>Moderate</v>
      </c>
    </row>
    <row r="1037" spans="1:7" ht="15" hidden="1" customHeight="1" x14ac:dyDescent="0.3">
      <c r="A1037" t="s">
        <v>120</v>
      </c>
      <c r="B1037" s="2">
        <v>46113</v>
      </c>
      <c r="C1037" s="5" cm="1">
        <f t="array" ref="C1037">IFERROR(IF(SUMPRODUCT((measured[Site Name]=A1037)*(measured[Date]=B1037)*ISNUMBER(measured[Measured Value (kWh)]))=0,"",SUMIFS(measured[Measured Value (kWh)],measured[Site Name],A1037,measured[Date],B1037)),"")</f>
        <v>5599.56</v>
      </c>
      <c r="D1037" cm="1">
        <f t="array" ref="D1037">IFERROR(IF(SUMPRODUCT((expected_production[Site Name]=A1037)*(expected_production[Date]=B1037)*ISNUMBER(expected_production[Expected Production (kWh)]))=0,"",SUMIFS(expected_production[Expected Production (kWh)],expected_production[Site Name],A1037,expected_production[Date],B1037)),"")</f>
        <v>9139.5</v>
      </c>
      <c r="E1037" s="9">
        <f t="shared" si="32"/>
        <v>0.61267684227802399</v>
      </c>
      <c r="F1037" t="str">
        <f t="shared" si="33"/>
        <v>Poor</v>
      </c>
    </row>
    <row r="1038" spans="1:7" ht="15" hidden="1" customHeight="1" x14ac:dyDescent="0.3">
      <c r="A1038" t="s">
        <v>120</v>
      </c>
      <c r="B1038" s="2">
        <v>46143</v>
      </c>
      <c r="C1038" s="5" cm="1">
        <f t="array" ref="C1038">IFERROR(IF(SUMPRODUCT((measured[Site Name]=A1038)*(measured[Date]=B1038)*ISNUMBER(measured[Measured Value (kWh)]))=0,"",SUMIFS(measured[Measured Value (kWh)],measured[Site Name],A1038,measured[Date],B1038)),"")</f>
        <v>5867.76</v>
      </c>
      <c r="D1038" cm="1">
        <f t="array" ref="D1038">IFERROR(IF(SUMPRODUCT((expected_production[Site Name]=A1038)*(expected_production[Date]=B1038)*ISNUMBER(expected_production[Expected Production (kWh)]))=0,"",SUMIFS(expected_production[Expected Production (kWh)],expected_production[Site Name],A1038,expected_production[Date],B1038)),"")</f>
        <v>8593.2000000000007</v>
      </c>
      <c r="E1038" s="9">
        <f t="shared" si="32"/>
        <v>0.68283759251501186</v>
      </c>
      <c r="F1038" t="str">
        <f t="shared" si="33"/>
        <v>Poor</v>
      </c>
    </row>
    <row r="1039" spans="1:7" ht="15" hidden="1" customHeight="1" x14ac:dyDescent="0.3">
      <c r="A1039" t="s">
        <v>120</v>
      </c>
      <c r="B1039" s="2">
        <v>46174</v>
      </c>
      <c r="C1039" cm="1">
        <f t="array" ref="C1039">IFERROR(IF(SUMPRODUCT((measured[Site Name]=A1039)*(measured[Date]=B1039)*ISNUMBER(measured[Measured Value (kWh)]))=0,"",SUMIFS(measured[Measured Value (kWh)],measured[Site Name],A1039,measured[Date],B1039)),"")</f>
        <v>4645.3100000000004</v>
      </c>
      <c r="D1039" cm="1">
        <f t="array" ref="D1039">IFERROR(IF(SUMPRODUCT((expected_production[Site Name]=A1039)*(expected_production[Date]=B1039)*ISNUMBER(expected_production[Expected Production (kWh)]))=0,"",SUMIFS(expected_production[Expected Production (kWh)],expected_production[Site Name],A1039,expected_production[Date],B1039)),"")</f>
        <v>7680.6</v>
      </c>
      <c r="E1039" s="9">
        <f t="shared" si="32"/>
        <v>0.60481082207119241</v>
      </c>
      <c r="F1039" t="str">
        <f t="shared" si="33"/>
        <v>Poor</v>
      </c>
    </row>
    <row r="1040" spans="1:7" ht="15" hidden="1" customHeight="1" x14ac:dyDescent="0.3">
      <c r="A1040" t="s">
        <v>117</v>
      </c>
      <c r="B1040" s="2">
        <v>46204</v>
      </c>
      <c r="C1040" cm="1">
        <f t="array" ref="C1040">IFERROR(IF(SUMPRODUCT((measured[Site Name]=A1040)*(measured[Date]=B1040)*ISNUMBER(measured[Measured Value (kWh)]))=0,"",SUMIFS(measured[Measured Value (kWh)],measured[Site Name],A1040,measured[Date],B1040)),"")</f>
        <v>20850.759999999998</v>
      </c>
      <c r="D1040" cm="1">
        <f t="array" ref="D1040">IFERROR(IF(SUMPRODUCT((expected_production[Site Name]=A1040)*(expected_production[Date]=B1040)*ISNUMBER(expected_production[Expected Production (kWh)]))=0,"",SUMIFS(expected_production[Expected Production (kWh)],expected_production[Site Name],A1040,expected_production[Date],B1040)),"")</f>
        <v>22037.88578349914</v>
      </c>
      <c r="E1040" s="9">
        <f t="shared" si="32"/>
        <v>0.94613250131335191</v>
      </c>
      <c r="F1040" t="str">
        <f t="shared" si="33"/>
        <v>Expected</v>
      </c>
      <c r="G1040" t="s">
        <v>874</v>
      </c>
    </row>
    <row r="1041" spans="1:7" ht="15" hidden="1" customHeight="1" x14ac:dyDescent="0.3">
      <c r="A1041" t="s">
        <v>120</v>
      </c>
      <c r="B1041" s="2">
        <v>46235</v>
      </c>
      <c r="C1041" cm="1">
        <f t="array" ref="C1041">IFERROR(IF(SUMPRODUCT((measured[Site Name]=A1041)*(measured[Date]=B1041)*ISNUMBER(measured[Measured Value (kWh)]))=0,"",SUMIFS(measured[Measured Value (kWh)],measured[Site Name],A1041,measured[Date],B1041)),"")</f>
        <v>8388.6688799999993</v>
      </c>
      <c r="D1041" cm="1">
        <f t="array" ref="D1041">IFERROR(IF(SUMPRODUCT((expected_production[Site Name]=A1041)*(expected_production[Date]=B1041)*ISNUMBER(expected_production[Expected Production (kWh)]))=0,"",SUMIFS(expected_production[Expected Production (kWh)],expected_production[Site Name],A1041,expected_production[Date],B1041)),"")</f>
        <v>9997.2000000000007</v>
      </c>
      <c r="E1041" s="9">
        <f t="shared" si="32"/>
        <v>0.83910183651422388</v>
      </c>
      <c r="F1041" t="str">
        <f t="shared" si="33"/>
        <v>Moderate</v>
      </c>
      <c r="G1041" t="s">
        <v>874</v>
      </c>
    </row>
    <row r="1042" spans="1:7" ht="15" customHeight="1" x14ac:dyDescent="0.3">
      <c r="A1042" t="s">
        <v>85</v>
      </c>
      <c r="B1042" s="2">
        <v>46266</v>
      </c>
      <c r="C1042" cm="1">
        <f t="array" ref="C1042">IFERROR(IF(SUMPRODUCT((measured[Site Name]=A1042)*(measured[Date]=B1042)*ISNUMBER(measured[Measured Value (kWh)]))=0,"",SUMIFS(measured[Measured Value (kWh)],measured[Site Name],A1042,measured[Date],B1042)),"")</f>
        <v>3663</v>
      </c>
      <c r="D1042" cm="1">
        <f t="array" ref="D1042">IFERROR(IF(SUMPRODUCT((expected_production[Site Name]=A1042)*(expected_production[Date]=B1042)*ISNUMBER(expected_production[Expected Production (kWh)]))=0,"",SUMIFS(expected_production[Expected Production (kWh)],expected_production[Site Name],A1042,expected_production[Date],B1042)),"")</f>
        <v>4881.0692856714049</v>
      </c>
      <c r="E1042" s="9">
        <f t="shared" si="32"/>
        <v>0.75045031848920862</v>
      </c>
      <c r="F1042" t="str">
        <f t="shared" si="33"/>
        <v>Moderate</v>
      </c>
      <c r="G1042" t="s">
        <v>875</v>
      </c>
    </row>
    <row r="1043" spans="1:7" ht="15" hidden="1" customHeight="1" x14ac:dyDescent="0.3">
      <c r="A1043" t="s">
        <v>120</v>
      </c>
      <c r="B1043" s="2">
        <v>46296</v>
      </c>
      <c r="C1043" t="str" cm="1">
        <f t="array" ref="C1043">IFERROR(IF(SUMPRODUCT((measured[Site Name]=A1043)*(measured[Date]=B1043)*ISNUMBER(measured[Measured Value (kWh)]))=0,"",SUMIFS(measured[Measured Value (kWh)],measured[Site Name],A1043,measured[Date],B1043)),"")</f>
        <v/>
      </c>
      <c r="D1043" cm="1">
        <f t="array" ref="D1043">IFERROR(IF(SUMPRODUCT((expected_production[Site Name]=A1043)*(expected_production[Date]=B1043)*ISNUMBER(expected_production[Expected Production (kWh)]))=0,"",SUMIFS(expected_production[Expected Production (kWh)],expected_production[Site Name],A1043,expected_production[Date],B1043)),"")</f>
        <v>11834.1</v>
      </c>
      <c r="E1043" s="9" t="str">
        <f t="shared" si="32"/>
        <v/>
      </c>
      <c r="F1043" t="str">
        <f t="shared" si="33"/>
        <v/>
      </c>
    </row>
    <row r="1044" spans="1:7" ht="15" hidden="1" customHeight="1" x14ac:dyDescent="0.3">
      <c r="A1044" t="s">
        <v>120</v>
      </c>
      <c r="B1044" s="2">
        <v>46327</v>
      </c>
      <c r="C1044" t="str" cm="1">
        <f t="array" ref="C1044">IFERROR(IF(SUMPRODUCT((measured[Site Name]=A1044)*(measured[Date]=B1044)*ISNUMBER(measured[Measured Value (kWh)]))=0,"",SUMIFS(measured[Measured Value (kWh)],measured[Site Name],A1044,measured[Date],B1044)),"")</f>
        <v/>
      </c>
      <c r="D1044" cm="1">
        <f t="array" ref="D1044">IFERROR(IF(SUMPRODUCT((expected_production[Site Name]=A1044)*(expected_production[Date]=B1044)*ISNUMBER(expected_production[Expected Production (kWh)]))=0,"",SUMIFS(expected_production[Expected Production (kWh)],expected_production[Site Name],A1044,expected_production[Date],B1044)),"")</f>
        <v>12129.3</v>
      </c>
      <c r="E1044" s="9" t="str">
        <f t="shared" si="32"/>
        <v/>
      </c>
      <c r="F1044" t="str">
        <f t="shared" si="33"/>
        <v/>
      </c>
    </row>
    <row r="1045" spans="1:7" ht="15" hidden="1" customHeight="1" x14ac:dyDescent="0.3">
      <c r="A1045" t="s">
        <v>120</v>
      </c>
      <c r="B1045" s="2">
        <v>46357</v>
      </c>
      <c r="C1045" t="str" cm="1">
        <f t="array" ref="C1045">IFERROR(IF(SUMPRODUCT((measured[Site Name]=A1045)*(measured[Date]=B1045)*ISNUMBER(measured[Measured Value (kWh)]))=0,"",SUMIFS(measured[Measured Value (kWh)],measured[Site Name],A1045,measured[Date],B1045)),"")</f>
        <v/>
      </c>
      <c r="D1045" cm="1">
        <f t="array" ref="D1045">IFERROR(IF(SUMPRODUCT((expected_production[Site Name]=A1045)*(expected_production[Date]=B1045)*ISNUMBER(expected_production[Expected Production (kWh)]))=0,"",SUMIFS(expected_production[Expected Production (kWh)],expected_production[Site Name],A1045,expected_production[Date],B1045)),"")</f>
        <v>12998.7</v>
      </c>
      <c r="E1045" s="9" t="str">
        <f t="shared" si="32"/>
        <v/>
      </c>
      <c r="F1045" t="str">
        <f t="shared" si="33"/>
        <v/>
      </c>
    </row>
    <row r="1046" spans="1:7" ht="15" hidden="1" customHeight="1" x14ac:dyDescent="0.3">
      <c r="A1046" t="s">
        <v>236</v>
      </c>
      <c r="B1046" s="2">
        <v>45292</v>
      </c>
      <c r="C1046" t="str" cm="1">
        <f t="array" ref="C1046">IFERROR(IF(SUMPRODUCT((measured[Site Name]=A1046)*(measured[Date]=B1046)*ISNUMBER(measured[Measured Value (kWh)]))=0,"",SUMIFS(measured[Measured Value (kWh)],measured[Site Name],A1046,measured[Date],B1046)),"")</f>
        <v/>
      </c>
      <c r="D1046" cm="1">
        <f t="array" ref="D1046">IFERROR(IF(SUMPRODUCT((expected_production[Site Name]=A1046)*(expected_production[Date]=B1046)*ISNUMBER(expected_production[Expected Production (kWh)]))=0,"",SUMIFS(expected_production[Expected Production (kWh)],expected_production[Site Name],A1046,expected_production[Date],B1046)),"")</f>
        <v>16525.845134320549</v>
      </c>
      <c r="E1046" s="9" t="str">
        <f t="shared" ref="E1046:E1109" si="34">IF(OR(C1046="",D1046="",D1046=0),"",C1046/D1046)</f>
        <v/>
      </c>
      <c r="F1046" t="str">
        <f t="shared" ref="F1046:F1109" si="35">IF(E1046="","",IF(E1046&gt;=0.9,"Expected",IF(E1046&gt;=0.7,"Moderate","Poor")))</f>
        <v/>
      </c>
    </row>
    <row r="1047" spans="1:7" ht="15" hidden="1" customHeight="1" x14ac:dyDescent="0.3">
      <c r="A1047" t="s">
        <v>236</v>
      </c>
      <c r="B1047" s="2">
        <v>45323</v>
      </c>
      <c r="C1047" t="str" cm="1">
        <f t="array" ref="C1047">IFERROR(IF(SUMPRODUCT((measured[Site Name]=A1047)*(measured[Date]=B1047)*ISNUMBER(measured[Measured Value (kWh)]))=0,"",SUMIFS(measured[Measured Value (kWh)],measured[Site Name],A1047,measured[Date],B1047)),"")</f>
        <v/>
      </c>
      <c r="D1047" cm="1">
        <f t="array" ref="D1047">IFERROR(IF(SUMPRODUCT((expected_production[Site Name]=A1047)*(expected_production[Date]=B1047)*ISNUMBER(expected_production[Expected Production (kWh)]))=0,"",SUMIFS(expected_production[Expected Production (kWh)],expected_production[Site Name],A1047,expected_production[Date],B1047)),"")</f>
        <v>14887.678739198493</v>
      </c>
      <c r="E1047" s="9" t="str">
        <f t="shared" si="34"/>
        <v/>
      </c>
      <c r="F1047" t="str">
        <f t="shared" si="35"/>
        <v/>
      </c>
    </row>
    <row r="1048" spans="1:7" ht="15" hidden="1" customHeight="1" x14ac:dyDescent="0.3">
      <c r="A1048" t="s">
        <v>236</v>
      </c>
      <c r="B1048" s="2">
        <v>45352</v>
      </c>
      <c r="C1048" t="str" cm="1">
        <f t="array" ref="C1048">IFERROR(IF(SUMPRODUCT((measured[Site Name]=A1048)*(measured[Date]=B1048)*ISNUMBER(measured[Measured Value (kWh)]))=0,"",SUMIFS(measured[Measured Value (kWh)],measured[Site Name],A1048,measured[Date],B1048)),"")</f>
        <v/>
      </c>
      <c r="D1048" cm="1">
        <f t="array" ref="D1048">IFERROR(IF(SUMPRODUCT((expected_production[Site Name]=A1048)*(expected_production[Date]=B1048)*ISNUMBER(expected_production[Expected Production (kWh)]))=0,"",SUMIFS(expected_production[Expected Production (kWh)],expected_production[Site Name],A1048,expected_production[Date],B1048)),"")</f>
        <v>16240.881290611918</v>
      </c>
      <c r="E1048" s="9" t="str">
        <f t="shared" si="34"/>
        <v/>
      </c>
      <c r="F1048" t="str">
        <f t="shared" si="35"/>
        <v/>
      </c>
    </row>
    <row r="1049" spans="1:7" ht="15" hidden="1" customHeight="1" x14ac:dyDescent="0.3">
      <c r="A1049" t="s">
        <v>236</v>
      </c>
      <c r="B1049" s="2">
        <v>45383</v>
      </c>
      <c r="C1049" t="str" cm="1">
        <f t="array" ref="C1049">IFERROR(IF(SUMPRODUCT((measured[Site Name]=A1049)*(measured[Date]=B1049)*ISNUMBER(measured[Measured Value (kWh)]))=0,"",SUMIFS(measured[Measured Value (kWh)],measured[Site Name],A1049,measured[Date],B1049)),"")</f>
        <v/>
      </c>
      <c r="D1049" cm="1">
        <f t="array" ref="D1049">IFERROR(IF(SUMPRODUCT((expected_production[Site Name]=A1049)*(expected_production[Date]=B1049)*ISNUMBER(expected_production[Expected Production (kWh)]))=0,"",SUMIFS(expected_production[Expected Production (kWh)],expected_production[Site Name],A1049,expected_production[Date],B1049)),"")</f>
        <v>15003.951545025689</v>
      </c>
      <c r="E1049" s="9" t="str">
        <f t="shared" si="34"/>
        <v/>
      </c>
      <c r="F1049" t="str">
        <f t="shared" si="35"/>
        <v/>
      </c>
    </row>
    <row r="1050" spans="1:7" ht="15" hidden="1" customHeight="1" x14ac:dyDescent="0.3">
      <c r="A1050" t="s">
        <v>236</v>
      </c>
      <c r="B1050" s="2">
        <v>45413</v>
      </c>
      <c r="C1050" t="str" cm="1">
        <f t="array" ref="C1050">IFERROR(IF(SUMPRODUCT((measured[Site Name]=A1050)*(measured[Date]=B1050)*ISNUMBER(measured[Measured Value (kWh)]))=0,"",SUMIFS(measured[Measured Value (kWh)],measured[Site Name],A1050,measured[Date],B1050)),"")</f>
        <v/>
      </c>
      <c r="D1050" cm="1">
        <f t="array" ref="D1050">IFERROR(IF(SUMPRODUCT((expected_production[Site Name]=A1050)*(expected_production[Date]=B1050)*ISNUMBER(expected_production[Expected Production (kWh)]))=0,"",SUMIFS(expected_production[Expected Production (kWh)],expected_production[Site Name],A1050,expected_production[Date],B1050)),"")</f>
        <v>15164.804314742873</v>
      </c>
      <c r="E1050" s="9" t="str">
        <f t="shared" si="34"/>
        <v/>
      </c>
      <c r="F1050" t="str">
        <f t="shared" si="35"/>
        <v/>
      </c>
    </row>
    <row r="1051" spans="1:7" ht="15" hidden="1" customHeight="1" x14ac:dyDescent="0.3">
      <c r="A1051" t="s">
        <v>236</v>
      </c>
      <c r="B1051" s="2">
        <v>45444</v>
      </c>
      <c r="C1051" t="str" cm="1">
        <f t="array" ref="C1051">IFERROR(IF(SUMPRODUCT((measured[Site Name]=A1051)*(measured[Date]=B1051)*ISNUMBER(measured[Measured Value (kWh)]))=0,"",SUMIFS(measured[Measured Value (kWh)],measured[Site Name],A1051,measured[Date],B1051)),"")</f>
        <v/>
      </c>
      <c r="D1051" cm="1">
        <f t="array" ref="D1051">IFERROR(IF(SUMPRODUCT((expected_production[Site Name]=A1051)*(expected_production[Date]=B1051)*ISNUMBER(expected_production[Expected Production (kWh)]))=0,"",SUMIFS(expected_production[Expected Production (kWh)],expected_production[Site Name],A1051,expected_production[Date],B1051)),"")</f>
        <v>14061.054360224987</v>
      </c>
      <c r="E1051" s="9" t="str">
        <f t="shared" si="34"/>
        <v/>
      </c>
      <c r="F1051" t="str">
        <f t="shared" si="35"/>
        <v/>
      </c>
    </row>
    <row r="1052" spans="1:7" ht="15" hidden="1" customHeight="1" x14ac:dyDescent="0.3">
      <c r="A1052" t="s">
        <v>236</v>
      </c>
      <c r="B1052" s="2">
        <v>45474</v>
      </c>
      <c r="C1052" t="str" cm="1">
        <f t="array" ref="C1052">IFERROR(IF(SUMPRODUCT((measured[Site Name]=A1052)*(measured[Date]=B1052)*ISNUMBER(measured[Measured Value (kWh)]))=0,"",SUMIFS(measured[Measured Value (kWh)],measured[Site Name],A1052,measured[Date],B1052)),"")</f>
        <v/>
      </c>
      <c r="D1052" cm="1">
        <f t="array" ref="D1052">IFERROR(IF(SUMPRODUCT((expected_production[Site Name]=A1052)*(expected_production[Date]=B1052)*ISNUMBER(expected_production[Expected Production (kWh)]))=0,"",SUMIFS(expected_production[Expected Production (kWh)],expected_production[Site Name],A1052,expected_production[Date],B1052)),"")</f>
        <v>15048.078492939927</v>
      </c>
      <c r="E1052" s="9" t="str">
        <f t="shared" si="34"/>
        <v/>
      </c>
      <c r="F1052" t="str">
        <f t="shared" si="35"/>
        <v/>
      </c>
    </row>
    <row r="1053" spans="1:7" ht="15" hidden="1" customHeight="1" x14ac:dyDescent="0.3">
      <c r="A1053" t="s">
        <v>236</v>
      </c>
      <c r="B1053" s="2">
        <v>45505</v>
      </c>
      <c r="C1053" t="str" cm="1">
        <f t="array" ref="C1053">IFERROR(IF(SUMPRODUCT((measured[Site Name]=A1053)*(measured[Date]=B1053)*ISNUMBER(measured[Measured Value (kWh)]))=0,"",SUMIFS(measured[Measured Value (kWh)],measured[Site Name],A1053,measured[Date],B1053)),"")</f>
        <v/>
      </c>
      <c r="D1053" cm="1">
        <f t="array" ref="D1053">IFERROR(IF(SUMPRODUCT((expected_production[Site Name]=A1053)*(expected_production[Date]=B1053)*ISNUMBER(expected_production[Expected Production (kWh)]))=0,"",SUMIFS(expected_production[Expected Production (kWh)],expected_production[Site Name],A1053,expected_production[Date],B1053)),"")</f>
        <v>16222.862785000845</v>
      </c>
      <c r="E1053" s="9" t="str">
        <f t="shared" si="34"/>
        <v/>
      </c>
      <c r="F1053" t="str">
        <f t="shared" si="35"/>
        <v/>
      </c>
    </row>
    <row r="1054" spans="1:7" ht="15" hidden="1" customHeight="1" x14ac:dyDescent="0.3">
      <c r="A1054" t="s">
        <v>236</v>
      </c>
      <c r="B1054" s="2">
        <v>45536</v>
      </c>
      <c r="C1054" t="str" cm="1">
        <f t="array" ref="C1054">IFERROR(IF(SUMPRODUCT((measured[Site Name]=A1054)*(measured[Date]=B1054)*ISNUMBER(measured[Measured Value (kWh)]))=0,"",SUMIFS(measured[Measured Value (kWh)],measured[Site Name],A1054,measured[Date],B1054)),"")</f>
        <v/>
      </c>
      <c r="D1054" cm="1">
        <f t="array" ref="D1054">IFERROR(IF(SUMPRODUCT((expected_production[Site Name]=A1054)*(expected_production[Date]=B1054)*ISNUMBER(expected_production[Expected Production (kWh)]))=0,"",SUMIFS(expected_production[Expected Production (kWh)],expected_production[Site Name],A1054,expected_production[Date],B1054)),"")</f>
        <v>16132.437947582552</v>
      </c>
      <c r="E1054" s="9" t="str">
        <f t="shared" si="34"/>
        <v/>
      </c>
      <c r="F1054" t="str">
        <f t="shared" si="35"/>
        <v/>
      </c>
    </row>
    <row r="1055" spans="1:7" ht="15" hidden="1" customHeight="1" x14ac:dyDescent="0.3">
      <c r="A1055" t="s">
        <v>236</v>
      </c>
      <c r="B1055" s="2">
        <v>45566</v>
      </c>
      <c r="C1055" t="str" cm="1">
        <f t="array" ref="C1055">IFERROR(IF(SUMPRODUCT((measured[Site Name]=A1055)*(measured[Date]=B1055)*ISNUMBER(measured[Measured Value (kWh)]))=0,"",SUMIFS(measured[Measured Value (kWh)],measured[Site Name],A1055,measured[Date],B1055)),"")</f>
        <v/>
      </c>
      <c r="D1055" cm="1">
        <f t="array" ref="D1055">IFERROR(IF(SUMPRODUCT((expected_production[Site Name]=A1055)*(expected_production[Date]=B1055)*ISNUMBER(expected_production[Expected Production (kWh)]))=0,"",SUMIFS(expected_production[Expected Production (kWh)],expected_production[Site Name],A1055,expected_production[Date],B1055)),"")</f>
        <v>15734.158822662082</v>
      </c>
      <c r="E1055" s="9" t="str">
        <f t="shared" si="34"/>
        <v/>
      </c>
      <c r="F1055" t="str">
        <f t="shared" si="35"/>
        <v/>
      </c>
    </row>
    <row r="1056" spans="1:7" ht="15" hidden="1" customHeight="1" x14ac:dyDescent="0.3">
      <c r="A1056" t="s">
        <v>236</v>
      </c>
      <c r="B1056" s="2">
        <v>45597</v>
      </c>
      <c r="C1056" t="str" cm="1">
        <f t="array" ref="C1056">IFERROR(IF(SUMPRODUCT((measured[Site Name]=A1056)*(measured[Date]=B1056)*ISNUMBER(measured[Measured Value (kWh)]))=0,"",SUMIFS(measured[Measured Value (kWh)],measured[Site Name],A1056,measured[Date],B1056)),"")</f>
        <v/>
      </c>
      <c r="D1056" cm="1">
        <f t="array" ref="D1056">IFERROR(IF(SUMPRODUCT((expected_production[Site Name]=A1056)*(expected_production[Date]=B1056)*ISNUMBER(expected_production[Expected Production (kWh)]))=0,"",SUMIFS(expected_production[Expected Production (kWh)],expected_production[Site Name],A1056,expected_production[Date],B1056)),"")</f>
        <v>15182.652288887581</v>
      </c>
      <c r="E1056" s="9" t="str">
        <f t="shared" si="34"/>
        <v/>
      </c>
      <c r="F1056" t="str">
        <f t="shared" si="35"/>
        <v/>
      </c>
    </row>
    <row r="1057" spans="1:6" ht="15" hidden="1" customHeight="1" x14ac:dyDescent="0.3">
      <c r="A1057" t="s">
        <v>236</v>
      </c>
      <c r="B1057" s="2">
        <v>45627</v>
      </c>
      <c r="C1057" t="str" cm="1">
        <f t="array" ref="C1057">IFERROR(IF(SUMPRODUCT((measured[Site Name]=A1057)*(measured[Date]=B1057)*ISNUMBER(measured[Measured Value (kWh)]))=0,"",SUMIFS(measured[Measured Value (kWh)],measured[Site Name],A1057,measured[Date],B1057)),"")</f>
        <v/>
      </c>
      <c r="D1057" cm="1">
        <f t="array" ref="D1057">IFERROR(IF(SUMPRODUCT((expected_production[Site Name]=A1057)*(expected_production[Date]=B1057)*ISNUMBER(expected_production[Expected Production (kWh)]))=0,"",SUMIFS(expected_production[Expected Production (kWh)],expected_production[Site Name],A1057,expected_production[Date],B1057)),"")</f>
        <v>16082.179430435643</v>
      </c>
      <c r="E1057" s="9" t="str">
        <f t="shared" si="34"/>
        <v/>
      </c>
      <c r="F1057" t="str">
        <f t="shared" si="35"/>
        <v/>
      </c>
    </row>
    <row r="1058" spans="1:6" ht="15" hidden="1" customHeight="1" x14ac:dyDescent="0.3">
      <c r="A1058" t="s">
        <v>236</v>
      </c>
      <c r="B1058" s="2">
        <v>45658</v>
      </c>
      <c r="C1058" t="str" cm="1">
        <f t="array" ref="C1058">IFERROR(IF(SUMPRODUCT((measured[Site Name]=A1058)*(measured[Date]=B1058)*ISNUMBER(measured[Measured Value (kWh)]))=0,"",SUMIFS(measured[Measured Value (kWh)],measured[Site Name],A1058,measured[Date],B1058)),"")</f>
        <v/>
      </c>
      <c r="D1058" cm="1">
        <f t="array" ref="D1058">IFERROR(IF(SUMPRODUCT((expected_production[Site Name]=A1058)*(expected_production[Date]=B1058)*ISNUMBER(expected_production[Expected Production (kWh)]))=0,"",SUMIFS(expected_production[Expected Production (kWh)],expected_production[Site Name],A1058,expected_production[Date],B1058)),"")</f>
        <v>16409.92751560143</v>
      </c>
      <c r="E1058" s="9" t="str">
        <f t="shared" si="34"/>
        <v/>
      </c>
      <c r="F1058" t="str">
        <f t="shared" si="35"/>
        <v/>
      </c>
    </row>
    <row r="1059" spans="1:6" ht="15" hidden="1" customHeight="1" x14ac:dyDescent="0.3">
      <c r="A1059" t="s">
        <v>236</v>
      </c>
      <c r="B1059" s="2">
        <v>45689</v>
      </c>
      <c r="C1059" t="str" cm="1">
        <f t="array" ref="C1059">IFERROR(IF(SUMPRODUCT((measured[Site Name]=A1059)*(measured[Date]=B1059)*ISNUMBER(measured[Measured Value (kWh)]))=0,"",SUMIFS(measured[Measured Value (kWh)],measured[Site Name],A1059,measured[Date],B1059)),"")</f>
        <v/>
      </c>
      <c r="D1059" cm="1">
        <f t="array" ref="D1059">IFERROR(IF(SUMPRODUCT((expected_production[Site Name]=A1059)*(expected_production[Date]=B1059)*ISNUMBER(expected_production[Expected Production (kWh)]))=0,"",SUMIFS(expected_production[Expected Production (kWh)],expected_production[Site Name],A1059,expected_production[Date],B1059)),"")</f>
        <v>14783.251749009703</v>
      </c>
      <c r="E1059" s="9" t="str">
        <f t="shared" si="34"/>
        <v/>
      </c>
      <c r="F1059" t="str">
        <f t="shared" si="35"/>
        <v/>
      </c>
    </row>
    <row r="1060" spans="1:6" ht="15" hidden="1" customHeight="1" x14ac:dyDescent="0.3">
      <c r="A1060" t="s">
        <v>236</v>
      </c>
      <c r="B1060" s="2">
        <v>45717</v>
      </c>
      <c r="C1060" t="str" cm="1">
        <f t="array" ref="C1060">IFERROR(IF(SUMPRODUCT((measured[Site Name]=A1060)*(measured[Date]=B1060)*ISNUMBER(measured[Measured Value (kWh)]))=0,"",SUMIFS(measured[Measured Value (kWh)],measured[Site Name],A1060,measured[Date],B1060)),"")</f>
        <v/>
      </c>
      <c r="D1060" cm="1">
        <f t="array" ref="D1060">IFERROR(IF(SUMPRODUCT((expected_production[Site Name]=A1060)*(expected_production[Date]=B1060)*ISNUMBER(expected_production[Expected Production (kWh)]))=0,"",SUMIFS(expected_production[Expected Production (kWh)],expected_production[Site Name],A1060,expected_production[Date],B1060)),"")</f>
        <v>16127.272662719381</v>
      </c>
      <c r="E1060" s="9" t="str">
        <f t="shared" si="34"/>
        <v/>
      </c>
      <c r="F1060" t="str">
        <f t="shared" si="35"/>
        <v/>
      </c>
    </row>
    <row r="1061" spans="1:6" ht="15" hidden="1" customHeight="1" x14ac:dyDescent="0.3">
      <c r="A1061" t="s">
        <v>236</v>
      </c>
      <c r="B1061" s="2">
        <v>45748</v>
      </c>
      <c r="C1061" t="str" cm="1">
        <f t="array" ref="C1061">IFERROR(IF(SUMPRODUCT((measured[Site Name]=A1061)*(measured[Date]=B1061)*ISNUMBER(measured[Measured Value (kWh)]))=0,"",SUMIFS(measured[Measured Value (kWh)],measured[Site Name],A1061,measured[Date],B1061)),"")</f>
        <v/>
      </c>
      <c r="D1061" cm="1">
        <f t="array" ref="D1061">IFERROR(IF(SUMPRODUCT((expected_production[Site Name]=A1061)*(expected_production[Date]=B1061)*ISNUMBER(expected_production[Expected Production (kWh)]))=0,"",SUMIFS(expected_production[Expected Production (kWh)],expected_production[Site Name],A1061,expected_production[Date],B1061)),"")</f>
        <v>14898.99551970323</v>
      </c>
      <c r="E1061" s="9" t="str">
        <f t="shared" si="34"/>
        <v/>
      </c>
      <c r="F1061" t="str">
        <f t="shared" si="35"/>
        <v/>
      </c>
    </row>
    <row r="1062" spans="1:6" ht="15" hidden="1" customHeight="1" x14ac:dyDescent="0.3">
      <c r="A1062" t="s">
        <v>236</v>
      </c>
      <c r="B1062" s="2">
        <v>45778</v>
      </c>
      <c r="C1062" t="str" cm="1">
        <f t="array" ref="C1062">IFERROR(IF(SUMPRODUCT((measured[Site Name]=A1062)*(measured[Date]=B1062)*ISNUMBER(measured[Measured Value (kWh)]))=0,"",SUMIFS(measured[Measured Value (kWh)],measured[Site Name],A1062,measured[Date],B1062)),"")</f>
        <v/>
      </c>
      <c r="D1062" cm="1">
        <f t="array" ref="D1062">IFERROR(IF(SUMPRODUCT((expected_production[Site Name]=A1062)*(expected_production[Date]=B1062)*ISNUMBER(expected_production[Expected Production (kWh)]))=0,"",SUMIFS(expected_production[Expected Production (kWh)],expected_production[Site Name],A1062,expected_production[Date],B1062)),"")</f>
        <v>15058.723088014576</v>
      </c>
      <c r="E1062" s="9" t="str">
        <f t="shared" si="34"/>
        <v/>
      </c>
      <c r="F1062" t="str">
        <f t="shared" si="35"/>
        <v/>
      </c>
    </row>
    <row r="1063" spans="1:6" ht="15" hidden="1" customHeight="1" x14ac:dyDescent="0.3">
      <c r="A1063" t="s">
        <v>236</v>
      </c>
      <c r="B1063" s="2">
        <v>45809</v>
      </c>
      <c r="C1063" t="str" cm="1">
        <f t="array" ref="C1063">IFERROR(IF(SUMPRODUCT((measured[Site Name]=A1063)*(measured[Date]=B1063)*ISNUMBER(measured[Measured Value (kWh)]))=0,"",SUMIFS(measured[Measured Value (kWh)],measured[Site Name],A1063,measured[Date],B1063)),"")</f>
        <v/>
      </c>
      <c r="D1063" cm="1">
        <f t="array" ref="D1063">IFERROR(IF(SUMPRODUCT((expected_production[Site Name]=A1063)*(expected_production[Date]=B1063)*ISNUMBER(expected_production[Expected Production (kWh)]))=0,"",SUMIFS(expected_production[Expected Production (kWh)],expected_production[Site Name],A1063,expected_production[Date],B1063)),"")</f>
        <v>13962.694113388445</v>
      </c>
      <c r="E1063" s="9" t="str">
        <f t="shared" si="34"/>
        <v/>
      </c>
      <c r="F1063" t="str">
        <f t="shared" si="35"/>
        <v/>
      </c>
    </row>
    <row r="1064" spans="1:6" ht="15" hidden="1" customHeight="1" x14ac:dyDescent="0.3">
      <c r="A1064" t="s">
        <v>236</v>
      </c>
      <c r="B1064" s="2">
        <v>45839</v>
      </c>
      <c r="C1064" t="str" cm="1">
        <f t="array" ref="C1064">IFERROR(IF(SUMPRODUCT((measured[Site Name]=A1064)*(measured[Date]=B1064)*ISNUMBER(measured[Measured Value (kWh)]))=0,"",SUMIFS(measured[Measured Value (kWh)],measured[Site Name],A1064,measured[Date],B1064)),"")</f>
        <v/>
      </c>
      <c r="D1064" cm="1">
        <f t="array" ref="D1064">IFERROR(IF(SUMPRODUCT((expected_production[Site Name]=A1064)*(expected_production[Date]=B1064)*ISNUMBER(expected_production[Expected Production (kWh)]))=0,"",SUMIFS(expected_production[Expected Production (kWh)],expected_production[Site Name],A1064,expected_production[Date],B1064)),"")</f>
        <v>14942.813789663613</v>
      </c>
      <c r="E1064" s="9" t="str">
        <f t="shared" si="34"/>
        <v/>
      </c>
      <c r="F1064" t="str">
        <f t="shared" si="35"/>
        <v/>
      </c>
    </row>
    <row r="1065" spans="1:6" ht="15" hidden="1" customHeight="1" x14ac:dyDescent="0.3">
      <c r="A1065" t="s">
        <v>236</v>
      </c>
      <c r="B1065" s="2">
        <v>45870</v>
      </c>
      <c r="C1065" t="str" cm="1">
        <f t="array" ref="C1065">IFERROR(IF(SUMPRODUCT((measured[Site Name]=A1065)*(measured[Date]=B1065)*ISNUMBER(measured[Measured Value (kWh)]))=0,"",SUMIFS(measured[Measured Value (kWh)],measured[Site Name],A1065,measured[Date],B1065)),"")</f>
        <v/>
      </c>
      <c r="D1065" cm="1">
        <f t="array" ref="D1065">IFERROR(IF(SUMPRODUCT((expected_production[Site Name]=A1065)*(expected_production[Date]=B1065)*ISNUMBER(expected_production[Expected Production (kWh)]))=0,"",SUMIFS(expected_production[Expected Production (kWh)],expected_production[Site Name],A1065,expected_production[Date],B1065)),"")</f>
        <v>16109.38020061928</v>
      </c>
      <c r="E1065" s="9" t="str">
        <f t="shared" si="34"/>
        <v/>
      </c>
      <c r="F1065" t="str">
        <f t="shared" si="35"/>
        <v/>
      </c>
    </row>
    <row r="1066" spans="1:6" ht="15" hidden="1" customHeight="1" x14ac:dyDescent="0.3">
      <c r="A1066" t="s">
        <v>236</v>
      </c>
      <c r="B1066" s="2">
        <v>45901</v>
      </c>
      <c r="C1066" t="str" cm="1">
        <f t="array" ref="C1066">IFERROR(IF(SUMPRODUCT((measured[Site Name]=A1066)*(measured[Date]=B1066)*ISNUMBER(measured[Measured Value (kWh)]))=0,"",SUMIFS(measured[Measured Value (kWh)],measured[Site Name],A1066,measured[Date],B1066)),"")</f>
        <v/>
      </c>
      <c r="D1066" cm="1">
        <f t="array" ref="D1066">IFERROR(IF(SUMPRODUCT((expected_production[Site Name]=A1066)*(expected_production[Date]=B1066)*ISNUMBER(expected_production[Expected Production (kWh)]))=0,"",SUMIFS(expected_production[Expected Production (kWh)],expected_production[Site Name],A1066,expected_production[Date],B1066)),"")</f>
        <v>16019.587905334794</v>
      </c>
      <c r="E1066" s="9" t="str">
        <f t="shared" si="34"/>
        <v/>
      </c>
      <c r="F1066" t="str">
        <f t="shared" si="35"/>
        <v/>
      </c>
    </row>
    <row r="1067" spans="1:6" ht="15" hidden="1" customHeight="1" x14ac:dyDescent="0.3">
      <c r="A1067" t="s">
        <v>236</v>
      </c>
      <c r="B1067" s="2">
        <v>45931</v>
      </c>
      <c r="C1067" t="str" cm="1">
        <f t="array" ref="C1067">IFERROR(IF(SUMPRODUCT((measured[Site Name]=A1067)*(measured[Date]=B1067)*ISNUMBER(measured[Measured Value (kWh)]))=0,"",SUMIFS(measured[Measured Value (kWh)],measured[Site Name],A1067,measured[Date],B1067)),"")</f>
        <v/>
      </c>
      <c r="D1067" cm="1">
        <f t="array" ref="D1067">IFERROR(IF(SUMPRODUCT((expected_production[Site Name]=A1067)*(expected_production[Date]=B1067)*ISNUMBER(expected_production[Expected Production (kWh)]))=0,"",SUMIFS(expected_production[Expected Production (kWh)],expected_production[Site Name],A1067,expected_production[Date],B1067)),"")</f>
        <v>15624.094832728284</v>
      </c>
      <c r="E1067" s="9" t="str">
        <f t="shared" si="34"/>
        <v/>
      </c>
      <c r="F1067" t="str">
        <f t="shared" si="35"/>
        <v/>
      </c>
    </row>
    <row r="1068" spans="1:6" ht="15" hidden="1" customHeight="1" x14ac:dyDescent="0.3">
      <c r="A1068" t="s">
        <v>236</v>
      </c>
      <c r="B1068" s="2">
        <v>45962</v>
      </c>
      <c r="C1068" t="str" cm="1">
        <f t="array" ref="C1068">IFERROR(IF(SUMPRODUCT((measured[Site Name]=A1068)*(measured[Date]=B1068)*ISNUMBER(measured[Measured Value (kWh)]))=0,"",SUMIFS(measured[Measured Value (kWh)],measured[Site Name],A1068,measured[Date],B1068)),"")</f>
        <v/>
      </c>
      <c r="D1068" cm="1">
        <f t="array" ref="D1068">IFERROR(IF(SUMPRODUCT((expected_production[Site Name]=A1068)*(expected_production[Date]=B1068)*ISNUMBER(expected_production[Expected Production (kWh)]))=0,"",SUMIFS(expected_production[Expected Production (kWh)],expected_production[Site Name],A1068,expected_production[Date],B1068)),"")</f>
        <v>15076.446211554385</v>
      </c>
      <c r="E1068" s="9" t="str">
        <f t="shared" si="34"/>
        <v/>
      </c>
      <c r="F1068" t="str">
        <f t="shared" si="35"/>
        <v/>
      </c>
    </row>
    <row r="1069" spans="1:6" ht="15" hidden="1" customHeight="1" x14ac:dyDescent="0.3">
      <c r="A1069" t="s">
        <v>236</v>
      </c>
      <c r="B1069" s="2">
        <v>45992</v>
      </c>
      <c r="C1069" t="str" cm="1">
        <f t="array" ref="C1069">IFERROR(IF(SUMPRODUCT((measured[Site Name]=A1069)*(measured[Date]=B1069)*ISNUMBER(measured[Measured Value (kWh)]))=0,"",SUMIFS(measured[Measured Value (kWh)],measured[Site Name],A1069,measured[Date],B1069)),"")</f>
        <v/>
      </c>
      <c r="D1069" cm="1">
        <f t="array" ref="D1069">IFERROR(IF(SUMPRODUCT((expected_production[Site Name]=A1069)*(expected_production[Date]=B1069)*ISNUMBER(expected_production[Expected Production (kWh)]))=0,"",SUMIFS(expected_production[Expected Production (kWh)],expected_production[Site Name],A1069,expected_production[Date],B1069)),"")</f>
        <v>15969.680957851551</v>
      </c>
      <c r="E1069" s="9" t="str">
        <f t="shared" si="34"/>
        <v/>
      </c>
      <c r="F1069" t="str">
        <f t="shared" si="35"/>
        <v/>
      </c>
    </row>
    <row r="1070" spans="1:6" ht="15" hidden="1" customHeight="1" x14ac:dyDescent="0.3">
      <c r="A1070" t="s">
        <v>236</v>
      </c>
      <c r="B1070" s="2">
        <v>46023</v>
      </c>
      <c r="C1070" cm="1">
        <f t="array" ref="C1070">IFERROR(IF(SUMPRODUCT((measured[Site Name]=A1070)*(measured[Date]=B1070)*ISNUMBER(measured[Measured Value (kWh)]))=0,"",SUMIFS(measured[Measured Value (kWh)],measured[Site Name],A1070,measured[Date],B1070)),"")</f>
        <v>13394</v>
      </c>
      <c r="D1070" cm="1">
        <f t="array" ref="D1070">IFERROR(IF(SUMPRODUCT((expected_production[Site Name]=A1070)*(expected_production[Date]=B1070)*ISNUMBER(expected_production[Expected Production (kWh)]))=0,"",SUMIFS(expected_production[Expected Production (kWh)],expected_production[Site Name],A1070,expected_production[Date],B1070)),"")</f>
        <v>16295.136371235321</v>
      </c>
      <c r="E1070" s="9">
        <f t="shared" si="34"/>
        <v>0.82196305049913565</v>
      </c>
      <c r="F1070" t="str">
        <f t="shared" si="35"/>
        <v>Moderate</v>
      </c>
    </row>
    <row r="1071" spans="1:6" ht="15" hidden="1" customHeight="1" x14ac:dyDescent="0.3">
      <c r="A1071" t="s">
        <v>236</v>
      </c>
      <c r="B1071" s="2">
        <v>46054</v>
      </c>
      <c r="C1071" cm="1">
        <f t="array" ref="C1071">IFERROR(IF(SUMPRODUCT((measured[Site Name]=A1071)*(measured[Date]=B1071)*ISNUMBER(measured[Measured Value (kWh)]))=0,"",SUMIFS(measured[Measured Value (kWh)],measured[Site Name],A1071,measured[Date],B1071)),"")</f>
        <v>16065</v>
      </c>
      <c r="D1071" cm="1">
        <f t="array" ref="D1071">IFERROR(IF(SUMPRODUCT((expected_production[Site Name]=A1071)*(expected_production[Date]=B1071)*ISNUMBER(expected_production[Expected Production (kWh)]))=0,"",SUMIFS(expected_production[Expected Production (kWh)],expected_production[Site Name],A1071,expected_production[Date],B1071)),"")</f>
        <v>14679.839568541038</v>
      </c>
      <c r="E1071" s="9">
        <f t="shared" si="34"/>
        <v>1.094358008818255</v>
      </c>
      <c r="F1071" t="str">
        <f t="shared" si="35"/>
        <v>Expected</v>
      </c>
    </row>
    <row r="1072" spans="1:6" ht="15" hidden="1" customHeight="1" x14ac:dyDescent="0.3">
      <c r="A1072" t="s">
        <v>236</v>
      </c>
      <c r="B1072" s="2">
        <v>46082</v>
      </c>
      <c r="C1072" cm="1">
        <f t="array" ref="C1072">IFERROR(IF(SUMPRODUCT((measured[Site Name]=A1072)*(measured[Date]=B1072)*ISNUMBER(measured[Measured Value (kWh)]))=0,"",SUMIFS(measured[Measured Value (kWh)],measured[Site Name],A1072,measured[Date],B1072)),"")</f>
        <v>733</v>
      </c>
      <c r="D1072" cm="1">
        <f t="array" ref="D1072">IFERROR(IF(SUMPRODUCT((expected_production[Site Name]=A1072)*(expected_production[Date]=B1072)*ISNUMBER(expected_production[Expected Production (kWh)]))=0,"",SUMIFS(expected_production[Expected Production (kWh)],expected_production[Site Name],A1072,expected_production[Date],B1072)),"")</f>
        <v>16014.458752804314</v>
      </c>
      <c r="E1072" s="9">
        <f t="shared" si="34"/>
        <v>4.5771137901968954E-2</v>
      </c>
      <c r="F1072" t="str">
        <f t="shared" si="35"/>
        <v>Poor</v>
      </c>
    </row>
    <row r="1073" spans="1:7" ht="15" hidden="1" customHeight="1" x14ac:dyDescent="0.3">
      <c r="A1073" t="s">
        <v>236</v>
      </c>
      <c r="B1073" s="2">
        <v>46113</v>
      </c>
      <c r="C1073" cm="1">
        <f t="array" ref="C1073">IFERROR(IF(SUMPRODUCT((measured[Site Name]=A1073)*(measured[Date]=B1073)*ISNUMBER(measured[Measured Value (kWh)]))=0,"",SUMIFS(measured[Measured Value (kWh)],measured[Site Name],A1073,measured[Date],B1073)),"")</f>
        <v>4797.7</v>
      </c>
      <c r="D1073" cm="1">
        <f t="array" ref="D1073">IFERROR(IF(SUMPRODUCT((expected_production[Site Name]=A1073)*(expected_production[Date]=B1073)*ISNUMBER(expected_production[Expected Production (kWh)]))=0,"",SUMIFS(expected_production[Expected Production (kWh)],expected_production[Site Name],A1073,expected_production[Date],B1073)),"")</f>
        <v>14794.773685451602</v>
      </c>
      <c r="E1073" s="9">
        <f t="shared" si="34"/>
        <v>0.32428343292049167</v>
      </c>
      <c r="F1073" t="str">
        <f t="shared" si="35"/>
        <v>Poor</v>
      </c>
    </row>
    <row r="1074" spans="1:7" ht="15" hidden="1" customHeight="1" x14ac:dyDescent="0.3">
      <c r="A1074" t="s">
        <v>236</v>
      </c>
      <c r="B1074" s="2">
        <v>46143</v>
      </c>
      <c r="C1074" cm="1">
        <f t="array" ref="C1074">IFERROR(IF(SUMPRODUCT((measured[Site Name]=A1074)*(measured[Date]=B1074)*ISNUMBER(measured[Measured Value (kWh)]))=0,"",SUMIFS(measured[Measured Value (kWh)],measured[Site Name],A1074,measured[Date],B1074)),"")</f>
        <v>5970.07</v>
      </c>
      <c r="D1074" cm="1">
        <f t="array" ref="D1074">IFERROR(IF(SUMPRODUCT((expected_production[Site Name]=A1074)*(expected_production[Date]=B1074)*ISNUMBER(expected_production[Expected Production (kWh)]))=0,"",SUMIFS(expected_production[Expected Production (kWh)],expected_production[Site Name],A1074,expected_production[Date],B1074)),"")</f>
        <v>14953.383923394738</v>
      </c>
      <c r="E1074" s="9">
        <f t="shared" si="34"/>
        <v>0.39924541699619959</v>
      </c>
      <c r="F1074" t="str">
        <f t="shared" si="35"/>
        <v>Poor</v>
      </c>
    </row>
    <row r="1075" spans="1:7" ht="15" hidden="1" customHeight="1" x14ac:dyDescent="0.3">
      <c r="A1075" t="s">
        <v>236</v>
      </c>
      <c r="B1075" s="2">
        <v>46174</v>
      </c>
      <c r="C1075" cm="1">
        <f t="array" ref="C1075">IFERROR(IF(SUMPRODUCT((measured[Site Name]=A1075)*(measured[Date]=B1075)*ISNUMBER(measured[Measured Value (kWh)]))=0,"",SUMIFS(measured[Measured Value (kWh)],measured[Site Name],A1075,measured[Date],B1075)),"")</f>
        <v>5060.3999999999996</v>
      </c>
      <c r="D1075" cm="1">
        <f t="array" ref="D1075">IFERROR(IF(SUMPRODUCT((expected_production[Site Name]=A1075)*(expected_production[Date]=B1075)*ISNUMBER(expected_production[Expected Production (kWh)]))=0,"",SUMIFS(expected_production[Expected Production (kWh)],expected_production[Site Name],A1075,expected_production[Date],B1075)),"")</f>
        <v>13865.02191866449</v>
      </c>
      <c r="E1075" s="9">
        <f t="shared" si="34"/>
        <v>0.36497598270565362</v>
      </c>
      <c r="F1075" t="str">
        <f t="shared" si="35"/>
        <v>Poor</v>
      </c>
    </row>
    <row r="1076" spans="1:7" ht="15" hidden="1" customHeight="1" x14ac:dyDescent="0.3">
      <c r="A1076" t="s">
        <v>225</v>
      </c>
      <c r="B1076" s="2">
        <v>46204</v>
      </c>
      <c r="C1076" cm="1">
        <f t="array" ref="C1076">IFERROR(IF(SUMPRODUCT((measured[Site Name]=A1076)*(measured[Date]=B1076)*ISNUMBER(measured[Measured Value (kWh)]))=0,"",SUMIFS(measured[Measured Value (kWh)],measured[Site Name],A1076,measured[Date],B1076)),"")</f>
        <v>7311</v>
      </c>
      <c r="D1076" cm="1">
        <f t="array" ref="D1076">IFERROR(IF(SUMPRODUCT((expected_production[Site Name]=A1076)*(expected_production[Date]=B1076)*ISNUMBER(expected_production[Expected Production (kWh)]))=0,"",SUMIFS(expected_production[Expected Production (kWh)],expected_production[Site Name],A1076,expected_production[Date],B1076)),"")</f>
        <v>5755.2368588585223</v>
      </c>
      <c r="E1076" s="9">
        <f t="shared" si="34"/>
        <v>1.270321305498805</v>
      </c>
      <c r="F1076" t="str">
        <f t="shared" si="35"/>
        <v>Expected</v>
      </c>
      <c r="G1076" t="s">
        <v>874</v>
      </c>
    </row>
    <row r="1077" spans="1:7" ht="15" hidden="1" customHeight="1" x14ac:dyDescent="0.3">
      <c r="A1077" t="s">
        <v>236</v>
      </c>
      <c r="B1077" s="2">
        <v>46235</v>
      </c>
      <c r="C1077" cm="1">
        <f t="array" ref="C1077">IFERROR(IF(SUMPRODUCT((measured[Site Name]=A1077)*(measured[Date]=B1077)*ISNUMBER(measured[Measured Value (kWh)]))=0,"",SUMIFS(measured[Measured Value (kWh)],measured[Site Name],A1077,measured[Date],B1077)),"")</f>
        <v>7086.5030999999999</v>
      </c>
      <c r="D1077" cm="1">
        <f t="array" ref="D1077">IFERROR(IF(SUMPRODUCT((expected_production[Site Name]=A1077)*(expected_production[Date]=B1077)*ISNUMBER(expected_production[Expected Production (kWh)]))=0,"",SUMIFS(expected_production[Expected Production (kWh)],expected_production[Site Name],A1077,expected_production[Date],B1077)),"")</f>
        <v>15996.691452512396</v>
      </c>
      <c r="E1077" s="9">
        <f t="shared" si="34"/>
        <v>0.44299804875507637</v>
      </c>
      <c r="F1077" t="str">
        <f t="shared" si="35"/>
        <v>Poor</v>
      </c>
      <c r="G1077" t="s">
        <v>874</v>
      </c>
    </row>
    <row r="1078" spans="1:7" ht="15" customHeight="1" x14ac:dyDescent="0.3">
      <c r="A1078" t="s">
        <v>236</v>
      </c>
      <c r="B1078" s="2">
        <v>46266</v>
      </c>
      <c r="C1078" cm="1">
        <f t="array" ref="C1078">IFERROR(IF(SUMPRODUCT((measured[Site Name]=A1078)*(measured[Date]=B1078)*ISNUMBER(measured[Measured Value (kWh)]))=0,"",SUMIFS(measured[Measured Value (kWh)],measured[Site Name],A1078,measured[Date],B1078)),"")</f>
        <v>4821.7015000000001</v>
      </c>
      <c r="D1078" cm="1">
        <f t="array" ref="D1078">IFERROR(IF(SUMPRODUCT((expected_production[Site Name]=A1078)*(expected_production[Date]=B1078)*ISNUMBER(expected_production[Expected Production (kWh)]))=0,"",SUMIFS(expected_production[Expected Production (kWh)],expected_production[Site Name],A1078,expected_production[Date],B1078)),"")</f>
        <v>15907.527274586817</v>
      </c>
      <c r="E1078" s="9">
        <f t="shared" si="34"/>
        <v>0.30310817116768007</v>
      </c>
      <c r="F1078" t="str">
        <f t="shared" si="35"/>
        <v>Poor</v>
      </c>
      <c r="G1078" t="s">
        <v>874</v>
      </c>
    </row>
    <row r="1079" spans="1:7" ht="15" hidden="1" customHeight="1" x14ac:dyDescent="0.3">
      <c r="A1079" t="s">
        <v>236</v>
      </c>
      <c r="B1079" s="2">
        <v>46296</v>
      </c>
      <c r="C1079" t="str" cm="1">
        <f t="array" ref="C1079">IFERROR(IF(SUMPRODUCT((measured[Site Name]=A1079)*(measured[Date]=B1079)*ISNUMBER(measured[Measured Value (kWh)]))=0,"",SUMIFS(measured[Measured Value (kWh)],measured[Site Name],A1079,measured[Date],B1079)),"")</f>
        <v/>
      </c>
      <c r="D1079" cm="1">
        <f t="array" ref="D1079">IFERROR(IF(SUMPRODUCT((expected_production[Site Name]=A1079)*(expected_production[Date]=B1079)*ISNUMBER(expected_production[Expected Production (kWh)]))=0,"",SUMIFS(expected_production[Expected Production (kWh)],expected_production[Site Name],A1079,expected_production[Date],B1079)),"")</f>
        <v>15514.800765229915</v>
      </c>
      <c r="E1079" s="9" t="str">
        <f t="shared" si="34"/>
        <v/>
      </c>
      <c r="F1079" t="str">
        <f t="shared" si="35"/>
        <v/>
      </c>
    </row>
    <row r="1080" spans="1:7" ht="15" hidden="1" customHeight="1" x14ac:dyDescent="0.3">
      <c r="A1080" t="s">
        <v>236</v>
      </c>
      <c r="B1080" s="2">
        <v>46327</v>
      </c>
      <c r="C1080" t="str" cm="1">
        <f t="array" ref="C1080">IFERROR(IF(SUMPRODUCT((measured[Site Name]=A1080)*(measured[Date]=B1080)*ISNUMBER(measured[Measured Value (kWh)]))=0,"",SUMIFS(measured[Measured Value (kWh)],measured[Site Name],A1080,measured[Date],B1080)),"")</f>
        <v/>
      </c>
      <c r="D1080" cm="1">
        <f t="array" ref="D1080">IFERROR(IF(SUMPRODUCT((expected_production[Site Name]=A1080)*(expected_production[Date]=B1080)*ISNUMBER(expected_production[Expected Production (kWh)]))=0,"",SUMIFS(expected_production[Expected Production (kWh)],expected_production[Site Name],A1080,expected_production[Date],B1080)),"")</f>
        <v>14970.983069687789</v>
      </c>
      <c r="E1080" s="9" t="str">
        <f t="shared" si="34"/>
        <v/>
      </c>
      <c r="F1080" t="str">
        <f t="shared" si="35"/>
        <v/>
      </c>
    </row>
    <row r="1081" spans="1:7" ht="15" hidden="1" customHeight="1" x14ac:dyDescent="0.3">
      <c r="A1081" t="s">
        <v>236</v>
      </c>
      <c r="B1081" s="2">
        <v>46357</v>
      </c>
      <c r="C1081" t="str" cm="1">
        <f t="array" ref="C1081">IFERROR(IF(SUMPRODUCT((measured[Site Name]=A1081)*(measured[Date]=B1081)*ISNUMBER(measured[Measured Value (kWh)]))=0,"",SUMIFS(measured[Measured Value (kWh)],measured[Site Name],A1081,measured[Date],B1081)),"")</f>
        <v/>
      </c>
      <c r="D1081" cm="1">
        <f t="array" ref="D1081">IFERROR(IF(SUMPRODUCT((expected_production[Site Name]=A1081)*(expected_production[Date]=B1081)*ISNUMBER(expected_production[Expected Production (kWh)]))=0,"",SUMIFS(expected_production[Expected Production (kWh)],expected_production[Site Name],A1081,expected_production[Date],B1081)),"")</f>
        <v>15857.969437458143</v>
      </c>
      <c r="E1081" s="9" t="str">
        <f t="shared" si="34"/>
        <v/>
      </c>
      <c r="F1081" t="str">
        <f t="shared" si="35"/>
        <v/>
      </c>
    </row>
    <row r="1082" spans="1:7" ht="15" hidden="1" customHeight="1" x14ac:dyDescent="0.3">
      <c r="A1082" t="s">
        <v>122</v>
      </c>
      <c r="B1082" s="2">
        <v>45292</v>
      </c>
      <c r="C1082" cm="1">
        <f t="array" ref="C1082">IFERROR(IF(SUMPRODUCT((measured[Site Name]=A1082)*(measured[Date]=B1082)*ISNUMBER(measured[Measured Value (kWh)]))=0,"",SUMIFS(measured[Measured Value (kWh)],measured[Site Name],A1082,measured[Date],B1082)),"")</f>
        <v>18892</v>
      </c>
      <c r="D1082" cm="1">
        <f t="array" ref="D1082">IFERROR(IF(SUMPRODUCT((expected_production[Site Name]=A1082)*(expected_production[Date]=B1082)*ISNUMBER(expected_production[Expected Production (kWh)]))=0,"",SUMIFS(expected_production[Expected Production (kWh)],expected_production[Site Name],A1082,expected_production[Date],B1082)),"")</f>
        <v>22065.734844183549</v>
      </c>
      <c r="E1082" s="9">
        <f t="shared" si="34"/>
        <v>0.85616908448348661</v>
      </c>
      <c r="F1082" t="str">
        <f t="shared" si="35"/>
        <v>Moderate</v>
      </c>
    </row>
    <row r="1083" spans="1:7" ht="15" hidden="1" customHeight="1" x14ac:dyDescent="0.3">
      <c r="A1083" t="s">
        <v>122</v>
      </c>
      <c r="B1083" s="2">
        <v>45323</v>
      </c>
      <c r="C1083" cm="1">
        <f t="array" ref="C1083">IFERROR(IF(SUMPRODUCT((measured[Site Name]=A1083)*(measured[Date]=B1083)*ISNUMBER(measured[Measured Value (kWh)]))=0,"",SUMIFS(measured[Measured Value (kWh)],measured[Site Name],A1083,measured[Date],B1083)),"")</f>
        <v>18598</v>
      </c>
      <c r="D1083" cm="1">
        <f t="array" ref="D1083">IFERROR(IF(SUMPRODUCT((expected_production[Site Name]=A1083)*(expected_production[Date]=B1083)*ISNUMBER(expected_production[Expected Production (kWh)]))=0,"",SUMIFS(expected_production[Expected Production (kWh)],expected_production[Site Name],A1083,expected_production[Date],B1083)),"")</f>
        <v>19285.413597458697</v>
      </c>
      <c r="E1083" s="9">
        <f t="shared" si="34"/>
        <v>0.96435577624587321</v>
      </c>
      <c r="F1083" t="str">
        <f t="shared" si="35"/>
        <v>Expected</v>
      </c>
    </row>
    <row r="1084" spans="1:7" ht="15" hidden="1" customHeight="1" x14ac:dyDescent="0.3">
      <c r="A1084" t="s">
        <v>122</v>
      </c>
      <c r="B1084" s="2">
        <v>45352</v>
      </c>
      <c r="C1084" cm="1">
        <f t="array" ref="C1084">IFERROR(IF(SUMPRODUCT((measured[Site Name]=A1084)*(measured[Date]=B1084)*ISNUMBER(measured[Measured Value (kWh)]))=0,"",SUMIFS(measured[Measured Value (kWh)],measured[Site Name],A1084,measured[Date],B1084)),"")</f>
        <v>18598</v>
      </c>
      <c r="D1084" cm="1">
        <f t="array" ref="D1084">IFERROR(IF(SUMPRODUCT((expected_production[Site Name]=A1084)*(expected_production[Date]=B1084)*ISNUMBER(expected_production[Expected Production (kWh)]))=0,"",SUMIFS(expected_production[Expected Production (kWh)],expected_production[Site Name],A1084,expected_production[Date],B1084)),"")</f>
        <v>19397.735675375086</v>
      </c>
      <c r="E1084" s="9">
        <f t="shared" si="34"/>
        <v>0.95877169950354924</v>
      </c>
      <c r="F1084" t="str">
        <f t="shared" si="35"/>
        <v>Expected</v>
      </c>
    </row>
    <row r="1085" spans="1:7" ht="15" hidden="1" customHeight="1" x14ac:dyDescent="0.3">
      <c r="A1085" t="s">
        <v>122</v>
      </c>
      <c r="B1085" s="2">
        <v>45383</v>
      </c>
      <c r="C1085" cm="1">
        <f t="array" ref="C1085">IFERROR(IF(SUMPRODUCT((measured[Site Name]=A1085)*(measured[Date]=B1085)*ISNUMBER(measured[Measured Value (kWh)]))=0,"",SUMIFS(measured[Measured Value (kWh)],measured[Site Name],A1085,measured[Date],B1085)),"")</f>
        <v>15678</v>
      </c>
      <c r="D1085" cm="1">
        <f t="array" ref="D1085">IFERROR(IF(SUMPRODUCT((expected_production[Site Name]=A1085)*(expected_production[Date]=B1085)*ISNUMBER(expected_production[Expected Production (kWh)]))=0,"",SUMIFS(expected_production[Expected Production (kWh)],expected_production[Site Name],A1085,expected_production[Date],B1085)),"")</f>
        <v>15639.963108358883</v>
      </c>
      <c r="E1085" s="9">
        <f t="shared" si="34"/>
        <v>1.002432032056443</v>
      </c>
      <c r="F1085" t="str">
        <f t="shared" si="35"/>
        <v>Expected</v>
      </c>
    </row>
    <row r="1086" spans="1:7" ht="15" hidden="1" customHeight="1" x14ac:dyDescent="0.3">
      <c r="A1086" t="s">
        <v>122</v>
      </c>
      <c r="B1086" s="2">
        <v>45413</v>
      </c>
      <c r="C1086" cm="1">
        <f t="array" ref="C1086">IFERROR(IF(SUMPRODUCT((measured[Site Name]=A1086)*(measured[Date]=B1086)*ISNUMBER(measured[Measured Value (kWh)]))=0,"",SUMIFS(measured[Measured Value (kWh)],measured[Site Name],A1086,measured[Date],B1086)),"")</f>
        <v>14588</v>
      </c>
      <c r="D1086" cm="1">
        <f t="array" ref="D1086">IFERROR(IF(SUMPRODUCT((expected_production[Site Name]=A1086)*(expected_production[Date]=B1086)*ISNUMBER(expected_production[Expected Production (kWh)]))=0,"",SUMIFS(expected_production[Expected Production (kWh)],expected_production[Site Name],A1086,expected_production[Date],B1086)),"")</f>
        <v>13339.793421998704</v>
      </c>
      <c r="E1086" s="9">
        <f t="shared" si="34"/>
        <v>1.0935701579863204</v>
      </c>
      <c r="F1086" t="str">
        <f t="shared" si="35"/>
        <v>Expected</v>
      </c>
    </row>
    <row r="1087" spans="1:7" ht="15" hidden="1" customHeight="1" x14ac:dyDescent="0.3">
      <c r="A1087" t="s">
        <v>122</v>
      </c>
      <c r="B1087" s="2">
        <v>45444</v>
      </c>
      <c r="C1087" cm="1">
        <f t="array" ref="C1087">IFERROR(IF(SUMPRODUCT((measured[Site Name]=A1087)*(measured[Date]=B1087)*ISNUMBER(measured[Measured Value (kWh)]))=0,"",SUMIFS(measured[Measured Value (kWh)],measured[Site Name],A1087,measured[Date],B1087)),"")</f>
        <v>12745</v>
      </c>
      <c r="D1087" cm="1">
        <f t="array" ref="D1087">IFERROR(IF(SUMPRODUCT((expected_production[Site Name]=A1087)*(expected_production[Date]=B1087)*ISNUMBER(expected_production[Expected Production (kWh)]))=0,"",SUMIFS(expected_production[Expected Production (kWh)],expected_production[Site Name],A1087,expected_production[Date],B1087)),"")</f>
        <v>11993.761810386935</v>
      </c>
      <c r="E1087" s="9">
        <f t="shared" si="34"/>
        <v>1.0626357436048524</v>
      </c>
      <c r="F1087" t="str">
        <f t="shared" si="35"/>
        <v>Expected</v>
      </c>
    </row>
    <row r="1088" spans="1:7" ht="15" hidden="1" customHeight="1" x14ac:dyDescent="0.3">
      <c r="A1088" t="s">
        <v>122</v>
      </c>
      <c r="B1088" s="2">
        <v>45474</v>
      </c>
      <c r="C1088" cm="1">
        <f t="array" ref="C1088">IFERROR(IF(SUMPRODUCT((measured[Site Name]=A1088)*(measured[Date]=B1088)*ISNUMBER(measured[Measured Value (kWh)]))=0,"",SUMIFS(measured[Measured Value (kWh)],measured[Site Name],A1088,measured[Date],B1088)),"")</f>
        <v>14803</v>
      </c>
      <c r="D1088" cm="1">
        <f t="array" ref="D1088">IFERROR(IF(SUMPRODUCT((expected_production[Site Name]=A1088)*(expected_production[Date]=B1088)*ISNUMBER(expected_production[Expected Production (kWh)]))=0,"",SUMIFS(expected_production[Expected Production (kWh)],expected_production[Site Name],A1088,expected_production[Date],B1088)),"")</f>
        <v>12950.453602559139</v>
      </c>
      <c r="E1088" s="9">
        <f t="shared" si="34"/>
        <v>1.1430487652629233</v>
      </c>
      <c r="F1088" t="str">
        <f t="shared" si="35"/>
        <v>Expected</v>
      </c>
    </row>
    <row r="1089" spans="1:6" ht="15" hidden="1" customHeight="1" x14ac:dyDescent="0.3">
      <c r="A1089" t="s">
        <v>122</v>
      </c>
      <c r="B1089" s="2">
        <v>45505</v>
      </c>
      <c r="C1089" cm="1">
        <f t="array" ref="C1089">IFERROR(IF(SUMPRODUCT((measured[Site Name]=A1089)*(measured[Date]=B1089)*ISNUMBER(measured[Measured Value (kWh)]))=0,"",SUMIFS(measured[Measured Value (kWh)],measured[Site Name],A1089,measured[Date],B1089)),"")</f>
        <v>15941</v>
      </c>
      <c r="D1089" cm="1">
        <f t="array" ref="D1089">IFERROR(IF(SUMPRODUCT((expected_production[Site Name]=A1089)*(expected_production[Date]=B1089)*ISNUMBER(expected_production[Expected Production (kWh)]))=0,"",SUMIFS(expected_production[Expected Production (kWh)],expected_production[Site Name],A1089,expected_production[Date],B1089)),"")</f>
        <v>15265.40216000582</v>
      </c>
      <c r="E1089" s="9">
        <f t="shared" si="34"/>
        <v>1.0442567993239114</v>
      </c>
      <c r="F1089" t="str">
        <f t="shared" si="35"/>
        <v>Expected</v>
      </c>
    </row>
    <row r="1090" spans="1:6" ht="15" hidden="1" customHeight="1" x14ac:dyDescent="0.3">
      <c r="A1090" t="s">
        <v>122</v>
      </c>
      <c r="B1090" s="2">
        <v>45536</v>
      </c>
      <c r="C1090" cm="1">
        <f t="array" ref="C1090">IFERROR(IF(SUMPRODUCT((measured[Site Name]=A1090)*(measured[Date]=B1090)*ISNUMBER(measured[Measured Value (kWh)]))=0,"",SUMIFS(measured[Measured Value (kWh)],measured[Site Name],A1090,measured[Date],B1090)),"")</f>
        <v>13907</v>
      </c>
      <c r="D1090" cm="1">
        <f t="array" ref="D1090">IFERROR(IF(SUMPRODUCT((expected_production[Site Name]=A1090)*(expected_production[Date]=B1090)*ISNUMBER(expected_production[Expected Production (kWh)]))=0,"",SUMIFS(expected_production[Expected Production (kWh)],expected_production[Site Name],A1090,expected_production[Date],B1090)),"")</f>
        <v>16375.176215228932</v>
      </c>
      <c r="E1090" s="9">
        <f t="shared" si="34"/>
        <v>0.84927330351819208</v>
      </c>
      <c r="F1090" t="str">
        <f t="shared" si="35"/>
        <v>Moderate</v>
      </c>
    </row>
    <row r="1091" spans="1:6" ht="15" hidden="1" customHeight="1" x14ac:dyDescent="0.3">
      <c r="A1091" t="s">
        <v>122</v>
      </c>
      <c r="B1091" s="2">
        <v>45566</v>
      </c>
      <c r="C1091" cm="1">
        <f t="array" ref="C1091">IFERROR(IF(SUMPRODUCT((measured[Site Name]=A1091)*(measured[Date]=B1091)*ISNUMBER(measured[Measured Value (kWh)]))=0,"",SUMIFS(measured[Measured Value (kWh)],measured[Site Name],A1091,measured[Date],B1091)),"")</f>
        <v>19899</v>
      </c>
      <c r="D1091" cm="1">
        <f t="array" ref="D1091">IFERROR(IF(SUMPRODUCT((expected_production[Site Name]=A1091)*(expected_production[Date]=B1091)*ISNUMBER(expected_production[Expected Production (kWh)]))=0,"",SUMIFS(expected_production[Expected Production (kWh)],expected_production[Site Name],A1091,expected_production[Date],B1091)),"")</f>
        <v>19177.730523572722</v>
      </c>
      <c r="E1091" s="9">
        <f t="shared" si="34"/>
        <v>1.0376097409201113</v>
      </c>
      <c r="F1091" t="str">
        <f t="shared" si="35"/>
        <v>Expected</v>
      </c>
    </row>
    <row r="1092" spans="1:6" ht="15" hidden="1" customHeight="1" x14ac:dyDescent="0.3">
      <c r="A1092" t="s">
        <v>122</v>
      </c>
      <c r="B1092" s="2">
        <v>45597</v>
      </c>
      <c r="C1092" cm="1">
        <f t="array" ref="C1092">IFERROR(IF(SUMPRODUCT((measured[Site Name]=A1092)*(measured[Date]=B1092)*ISNUMBER(measured[Measured Value (kWh)]))=0,"",SUMIFS(measured[Measured Value (kWh)],measured[Site Name],A1092,measured[Date],B1092)),"")</f>
        <v>18123</v>
      </c>
      <c r="D1092" cm="1">
        <f t="array" ref="D1092">IFERROR(IF(SUMPRODUCT((expected_production[Site Name]=A1092)*(expected_production[Date]=B1092)*ISNUMBER(expected_production[Expected Production (kWh)]))=0,"",SUMIFS(expected_production[Expected Production (kWh)],expected_production[Site Name],A1092,expected_production[Date],B1092)),"")</f>
        <v>19736.176211625752</v>
      </c>
      <c r="E1092" s="9">
        <f t="shared" si="34"/>
        <v>0.91826298091747383</v>
      </c>
      <c r="F1092" t="str">
        <f t="shared" si="35"/>
        <v>Expected</v>
      </c>
    </row>
    <row r="1093" spans="1:6" ht="15" hidden="1" customHeight="1" x14ac:dyDescent="0.3">
      <c r="A1093" t="s">
        <v>122</v>
      </c>
      <c r="B1093" s="2">
        <v>45627</v>
      </c>
      <c r="C1093" cm="1">
        <f t="array" ref="C1093">IFERROR(IF(SUMPRODUCT((measured[Site Name]=A1093)*(measured[Date]=B1093)*ISNUMBER(measured[Measured Value (kWh)]))=0,"",SUMIFS(measured[Measured Value (kWh)],measured[Site Name],A1093,measured[Date],B1093)),"")</f>
        <v>18905</v>
      </c>
      <c r="D1093" cm="1">
        <f t="array" ref="D1093">IFERROR(IF(SUMPRODUCT((expected_production[Site Name]=A1093)*(expected_production[Date]=B1093)*ISNUMBER(expected_production[Expected Production (kWh)]))=0,"",SUMIFS(expected_production[Expected Production (kWh)],expected_production[Site Name],A1093,expected_production[Date],B1093)),"")</f>
        <v>22164.442339386773</v>
      </c>
      <c r="E1093" s="9">
        <f t="shared" si="34"/>
        <v>0.85294273190015424</v>
      </c>
      <c r="F1093" t="str">
        <f t="shared" si="35"/>
        <v>Moderate</v>
      </c>
    </row>
    <row r="1094" spans="1:6" ht="15" hidden="1" customHeight="1" x14ac:dyDescent="0.3">
      <c r="A1094" t="s">
        <v>122</v>
      </c>
      <c r="B1094" s="2">
        <v>45658</v>
      </c>
      <c r="C1094" cm="1">
        <f t="array" ref="C1094">IFERROR(IF(SUMPRODUCT((measured[Site Name]=A1094)*(measured[Date]=B1094)*ISNUMBER(measured[Measured Value (kWh)]))=0,"",SUMIFS(measured[Measured Value (kWh)],measured[Site Name],A1094,measured[Date],B1094)),"")</f>
        <v>19907</v>
      </c>
      <c r="D1094" cm="1">
        <f t="array" ref="D1094">IFERROR(IF(SUMPRODUCT((expected_production[Site Name]=A1094)*(expected_production[Date]=B1094)*ISNUMBER(expected_production[Expected Production (kWh)]))=0,"",SUMIFS(expected_production[Expected Production (kWh)],expected_production[Site Name],A1094,expected_production[Date],B1094)),"")</f>
        <v>21910.958648616204</v>
      </c>
      <c r="E1094" s="9">
        <f t="shared" si="34"/>
        <v>0.90854080459219133</v>
      </c>
      <c r="F1094" t="str">
        <f t="shared" si="35"/>
        <v>Expected</v>
      </c>
    </row>
    <row r="1095" spans="1:6" ht="15" hidden="1" customHeight="1" x14ac:dyDescent="0.3">
      <c r="A1095" t="s">
        <v>122</v>
      </c>
      <c r="B1095" s="2">
        <v>45689</v>
      </c>
      <c r="C1095" cm="1">
        <f t="array" ref="C1095">IFERROR(IF(SUMPRODUCT((measured[Site Name]=A1095)*(measured[Date]=B1095)*ISNUMBER(measured[Measured Value (kWh)]))=0,"",SUMIFS(measured[Measured Value (kWh)],measured[Site Name],A1095,measured[Date],B1095)),"")</f>
        <v>15243</v>
      </c>
      <c r="D1095" cm="1">
        <f t="array" ref="D1095">IFERROR(IF(SUMPRODUCT((expected_production[Site Name]=A1095)*(expected_production[Date]=B1095)*ISNUMBER(expected_production[Expected Production (kWh)]))=0,"",SUMIFS(expected_production[Expected Production (kWh)],expected_production[Site Name],A1095,expected_production[Date],B1095)),"")</f>
        <v>19150.139473681025</v>
      </c>
      <c r="E1095" s="9">
        <f t="shared" si="34"/>
        <v>0.79597331502202384</v>
      </c>
      <c r="F1095" t="str">
        <f t="shared" si="35"/>
        <v>Moderate</v>
      </c>
    </row>
    <row r="1096" spans="1:6" ht="15" hidden="1" customHeight="1" x14ac:dyDescent="0.3">
      <c r="A1096" t="s">
        <v>122</v>
      </c>
      <c r="B1096" s="2">
        <v>45717</v>
      </c>
      <c r="C1096" cm="1">
        <f t="array" ref="C1096">IFERROR(IF(SUMPRODUCT((measured[Site Name]=A1096)*(measured[Date]=B1096)*ISNUMBER(measured[Measured Value (kWh)]))=0,"",SUMIFS(measured[Measured Value (kWh)],measured[Site Name],A1096,measured[Date],B1096)),"")</f>
        <v>17983</v>
      </c>
      <c r="D1096" cm="1">
        <f t="array" ref="D1096">IFERROR(IF(SUMPRODUCT((expected_production[Site Name]=A1096)*(expected_production[Date]=B1096)*ISNUMBER(expected_production[Expected Production (kWh)]))=0,"",SUMIFS(expected_production[Expected Production (kWh)],expected_production[Site Name],A1096,expected_production[Date],B1096)),"")</f>
        <v>19262.04413900659</v>
      </c>
      <c r="E1096" s="9">
        <f t="shared" si="34"/>
        <v>0.9335976945242036</v>
      </c>
      <c r="F1096" t="str">
        <f t="shared" si="35"/>
        <v>Expected</v>
      </c>
    </row>
    <row r="1097" spans="1:6" ht="15" hidden="1" customHeight="1" x14ac:dyDescent="0.3">
      <c r="A1097" t="s">
        <v>122</v>
      </c>
      <c r="B1097" s="2">
        <v>45748</v>
      </c>
      <c r="C1097" cm="1">
        <f t="array" ref="C1097">IFERROR(IF(SUMPRODUCT((measured[Site Name]=A1097)*(measured[Date]=B1097)*ISNUMBER(measured[Measured Value (kWh)]))=0,"",SUMIFS(measured[Measured Value (kWh)],measured[Site Name],A1097,measured[Date],B1097)),"")</f>
        <v>13643</v>
      </c>
      <c r="D1097" cm="1">
        <f t="array" ref="D1097">IFERROR(IF(SUMPRODUCT((expected_production[Site Name]=A1097)*(expected_production[Date]=B1097)*ISNUMBER(expected_production[Expected Production (kWh)]))=0,"",SUMIFS(expected_production[Expected Production (kWh)],expected_production[Site Name],A1097,expected_production[Date],B1097)),"")</f>
        <v>15530.558038693258</v>
      </c>
      <c r="E1097" s="9">
        <f t="shared" si="34"/>
        <v>0.87846167317423207</v>
      </c>
      <c r="F1097" t="str">
        <f t="shared" si="35"/>
        <v>Moderate</v>
      </c>
    </row>
    <row r="1098" spans="1:6" ht="15" hidden="1" customHeight="1" x14ac:dyDescent="0.3">
      <c r="A1098" t="s">
        <v>122</v>
      </c>
      <c r="B1098" s="2">
        <v>45778</v>
      </c>
      <c r="C1098" cm="1">
        <f t="array" ref="C1098">IFERROR(IF(SUMPRODUCT((measured[Site Name]=A1098)*(measured[Date]=B1098)*ISNUMBER(measured[Measured Value (kWh)]))=0,"",SUMIFS(measured[Measured Value (kWh)],measured[Site Name],A1098,measured[Date],B1098)),"")</f>
        <v>15993</v>
      </c>
      <c r="D1098" cm="1">
        <f t="array" ref="D1098">IFERROR(IF(SUMPRODUCT((expected_production[Site Name]=A1098)*(expected_production[Date]=B1098)*ISNUMBER(expected_production[Expected Production (kWh)]))=0,"",SUMIFS(expected_production[Expected Production (kWh)],expected_production[Site Name],A1098,expected_production[Date],B1098)),"")</f>
        <v>13246.478558111408</v>
      </c>
      <c r="E1098" s="9">
        <f t="shared" si="34"/>
        <v>1.2073397416407528</v>
      </c>
      <c r="F1098" t="str">
        <f t="shared" si="35"/>
        <v>Expected</v>
      </c>
    </row>
    <row r="1099" spans="1:6" ht="15" hidden="1" customHeight="1" x14ac:dyDescent="0.3">
      <c r="A1099" t="s">
        <v>122</v>
      </c>
      <c r="B1099" s="2">
        <v>45809</v>
      </c>
      <c r="C1099" cm="1">
        <f t="array" ref="C1099">IFERROR(IF(SUMPRODUCT((measured[Site Name]=A1099)*(measured[Date]=B1099)*ISNUMBER(measured[Measured Value (kWh)]))=0,"",SUMIFS(measured[Measured Value (kWh)],measured[Site Name],A1099,measured[Date],B1099)),"")</f>
        <v>13300.84</v>
      </c>
      <c r="D1099" cm="1">
        <f t="array" ref="D1099">IFERROR(IF(SUMPRODUCT((expected_production[Site Name]=A1099)*(expected_production[Date]=B1099)*ISNUMBER(expected_production[Expected Production (kWh)]))=0,"",SUMIFS(expected_production[Expected Production (kWh)],expected_production[Site Name],A1099,expected_production[Date],B1099)),"")</f>
        <v>11909.862741231393</v>
      </c>
      <c r="E1099" s="9">
        <f t="shared" si="34"/>
        <v>1.1167920478170674</v>
      </c>
      <c r="F1099" t="str">
        <f t="shared" si="35"/>
        <v>Expected</v>
      </c>
    </row>
    <row r="1100" spans="1:6" ht="15" hidden="1" customHeight="1" x14ac:dyDescent="0.3">
      <c r="A1100" t="s">
        <v>122</v>
      </c>
      <c r="B1100" s="2">
        <v>45839</v>
      </c>
      <c r="C1100" cm="1">
        <f t="array" ref="C1100">IFERROR(IF(SUMPRODUCT((measured[Site Name]=A1100)*(measured[Date]=B1100)*ISNUMBER(measured[Measured Value (kWh)]))=0,"",SUMIFS(measured[Measured Value (kWh)],measured[Site Name],A1100,measured[Date],B1100)),"")</f>
        <v>12259</v>
      </c>
      <c r="D1100" cm="1">
        <f t="array" ref="D1100">IFERROR(IF(SUMPRODUCT((expected_production[Site Name]=A1100)*(expected_production[Date]=B1100)*ISNUMBER(expected_production[Expected Production (kWh)]))=0,"",SUMIFS(expected_production[Expected Production (kWh)],expected_production[Site Name],A1100,expected_production[Date],B1100)),"")</f>
        <v>12859.86225852763</v>
      </c>
      <c r="E1100" s="9">
        <f t="shared" si="34"/>
        <v>0.95327615129554077</v>
      </c>
      <c r="F1100" t="str">
        <f t="shared" si="35"/>
        <v>Expected</v>
      </c>
    </row>
    <row r="1101" spans="1:6" ht="15" hidden="1" customHeight="1" x14ac:dyDescent="0.3">
      <c r="A1101" t="s">
        <v>122</v>
      </c>
      <c r="B1101" s="2">
        <v>45870</v>
      </c>
      <c r="C1101" cm="1">
        <f t="array" ref="C1101">IFERROR(IF(SUMPRODUCT((measured[Site Name]=A1101)*(measured[Date]=B1101)*ISNUMBER(measured[Measured Value (kWh)]))=0,"",SUMIFS(measured[Measured Value (kWh)],measured[Site Name],A1101,measured[Date],B1101)),"")</f>
        <v>14893</v>
      </c>
      <c r="D1101" cm="1">
        <f t="array" ref="D1101">IFERROR(IF(SUMPRODUCT((expected_production[Site Name]=A1101)*(expected_production[Date]=B1101)*ISNUMBER(expected_production[Expected Production (kWh)]))=0,"",SUMIFS(expected_production[Expected Production (kWh)],expected_production[Site Name],A1101,expected_production[Date],B1101)),"")</f>
        <v>15158.617228659235</v>
      </c>
      <c r="E1101" s="9">
        <f t="shared" si="34"/>
        <v>0.98247747636525495</v>
      </c>
      <c r="F1101" t="str">
        <f t="shared" si="35"/>
        <v>Expected</v>
      </c>
    </row>
    <row r="1102" spans="1:6" ht="15" hidden="1" customHeight="1" x14ac:dyDescent="0.3">
      <c r="A1102" t="s">
        <v>122</v>
      </c>
      <c r="B1102" s="2">
        <v>45901</v>
      </c>
      <c r="C1102" cm="1">
        <f t="array" ref="C1102">IFERROR(IF(SUMPRODUCT((measured[Site Name]=A1102)*(measured[Date]=B1102)*ISNUMBER(measured[Measured Value (kWh)]))=0,"",SUMIFS(measured[Measured Value (kWh)],measured[Site Name],A1102,measured[Date],B1102)),"")</f>
        <v>13710</v>
      </c>
      <c r="D1102" cm="1">
        <f t="array" ref="D1102">IFERROR(IF(SUMPRODUCT((expected_production[Site Name]=A1102)*(expected_production[Date]=B1102)*ISNUMBER(expected_production[Expected Production (kWh)]))=0,"",SUMIFS(expected_production[Expected Production (kWh)],expected_production[Site Name],A1102,expected_production[Date],B1102)),"")</f>
        <v>16260.62816404737</v>
      </c>
      <c r="E1102" s="9">
        <f t="shared" si="34"/>
        <v>0.84314085911595538</v>
      </c>
      <c r="F1102" t="str">
        <f t="shared" si="35"/>
        <v>Moderate</v>
      </c>
    </row>
    <row r="1103" spans="1:6" ht="15" hidden="1" customHeight="1" x14ac:dyDescent="0.3">
      <c r="A1103" t="s">
        <v>122</v>
      </c>
      <c r="B1103" s="2">
        <v>45931</v>
      </c>
      <c r="C1103" cm="1">
        <f t="array" ref="C1103">IFERROR(IF(SUMPRODUCT((measured[Site Name]=A1103)*(measured[Date]=B1103)*ISNUMBER(measured[Measured Value (kWh)]))=0,"",SUMIFS(measured[Measured Value (kWh)],measured[Site Name],A1103,measured[Date],B1103)),"")</f>
        <v>17312</v>
      </c>
      <c r="D1103" cm="1">
        <f t="array" ref="D1103">IFERROR(IF(SUMPRODUCT((expected_production[Site Name]=A1103)*(expected_production[Date]=B1103)*ISNUMBER(expected_production[Expected Production (kWh)]))=0,"",SUMIFS(expected_production[Expected Production (kWh)],expected_production[Site Name],A1103,expected_production[Date],B1103)),"")</f>
        <v>19043.57797286506</v>
      </c>
      <c r="E1103" s="9">
        <f t="shared" si="34"/>
        <v>0.90907286564886269</v>
      </c>
      <c r="F1103" t="str">
        <f t="shared" si="35"/>
        <v>Expected</v>
      </c>
    </row>
    <row r="1104" spans="1:6" ht="15" hidden="1" customHeight="1" x14ac:dyDescent="0.3">
      <c r="A1104" t="s">
        <v>122</v>
      </c>
      <c r="B1104" s="2">
        <v>45962</v>
      </c>
      <c r="C1104" cm="1">
        <f t="array" ref="C1104">IFERROR(IF(SUMPRODUCT((measured[Site Name]=A1104)*(measured[Date]=B1104)*ISNUMBER(measured[Measured Value (kWh)]))=0,"",SUMIFS(measured[Measured Value (kWh)],measured[Site Name],A1104,measured[Date],B1104)),"")</f>
        <v>19748</v>
      </c>
      <c r="D1104" cm="1">
        <f t="array" ref="D1104">IFERROR(IF(SUMPRODUCT((expected_production[Site Name]=A1104)*(expected_production[Date]=B1104)*ISNUMBER(expected_production[Expected Production (kWh)]))=0,"",SUMIFS(expected_production[Expected Production (kWh)],expected_production[Site Name],A1104,expected_production[Date],B1104)),"")</f>
        <v>19598.11720736813</v>
      </c>
      <c r="E1104" s="9">
        <f t="shared" si="34"/>
        <v>1.0076478159124143</v>
      </c>
      <c r="F1104" t="str">
        <f t="shared" si="35"/>
        <v>Expected</v>
      </c>
    </row>
    <row r="1105" spans="1:7" ht="15" hidden="1" customHeight="1" x14ac:dyDescent="0.3">
      <c r="A1105" t="s">
        <v>122</v>
      </c>
      <c r="B1105" s="2">
        <v>45992</v>
      </c>
      <c r="C1105" cm="1">
        <f t="array" ref="C1105">IFERROR(IF(SUMPRODUCT((measured[Site Name]=A1105)*(measured[Date]=B1105)*ISNUMBER(measured[Measured Value (kWh)]))=0,"",SUMIFS(measured[Measured Value (kWh)],measured[Site Name],A1105,measured[Date],B1105)),"")</f>
        <v>19810</v>
      </c>
      <c r="D1105" cm="1">
        <f t="array" ref="D1105">IFERROR(IF(SUMPRODUCT((expected_production[Site Name]=A1105)*(expected_production[Date]=B1105)*ISNUMBER(expected_production[Expected Production (kWh)]))=0,"",SUMIFS(expected_production[Expected Production (kWh)],expected_production[Site Name],A1105,expected_production[Date],B1105)),"")</f>
        <v>22009.397065850011</v>
      </c>
      <c r="E1105" s="9">
        <f t="shared" si="34"/>
        <v>0.90007009009517047</v>
      </c>
      <c r="F1105" t="str">
        <f t="shared" si="35"/>
        <v>Expected</v>
      </c>
    </row>
    <row r="1106" spans="1:7" ht="15" hidden="1" customHeight="1" x14ac:dyDescent="0.3">
      <c r="A1106" t="s">
        <v>122</v>
      </c>
      <c r="B1106" s="2">
        <v>46023</v>
      </c>
      <c r="C1106" cm="1">
        <f t="array" ref="C1106">IFERROR(IF(SUMPRODUCT((measured[Site Name]=A1106)*(measured[Date]=B1106)*ISNUMBER(measured[Measured Value (kWh)]))=0,"",SUMIFS(measured[Measured Value (kWh)],measured[Site Name],A1106,measured[Date],B1106)),"")</f>
        <v>21506.532200000001</v>
      </c>
      <c r="D1106" cm="1">
        <f t="array" ref="D1106">IFERROR(IF(SUMPRODUCT((expected_production[Site Name]=A1106)*(expected_production[Date]=B1106)*ISNUMBER(expected_production[Expected Production (kWh)]))=0,"",SUMIFS(expected_production[Expected Production (kWh)],expected_production[Site Name],A1106,expected_production[Date],B1106)),"")</f>
        <v>21757.686550671722</v>
      </c>
      <c r="E1106" s="9">
        <f t="shared" si="34"/>
        <v>0.98845675296926427</v>
      </c>
      <c r="F1106" t="str">
        <f t="shared" si="35"/>
        <v>Expected</v>
      </c>
    </row>
    <row r="1107" spans="1:7" ht="15" hidden="1" customHeight="1" x14ac:dyDescent="0.3">
      <c r="A1107" t="s">
        <v>122</v>
      </c>
      <c r="B1107" s="2">
        <v>46054</v>
      </c>
      <c r="C1107" cm="1">
        <f t="array" ref="C1107">IFERROR(IF(SUMPRODUCT((measured[Site Name]=A1107)*(measured[Date]=B1107)*ISNUMBER(measured[Measured Value (kWh)]))=0,"",SUMIFS(measured[Measured Value (kWh)],measured[Site Name],A1107,measured[Date],B1107)),"")</f>
        <v>21266.580600000001</v>
      </c>
      <c r="D1107" cm="1">
        <f t="array" ref="D1107">IFERROR(IF(SUMPRODUCT((expected_production[Site Name]=A1107)*(expected_production[Date]=B1107)*ISNUMBER(expected_production[Expected Production (kWh)]))=0,"",SUMIFS(expected_production[Expected Production (kWh)],expected_production[Site Name],A1107,expected_production[Date],B1107)),"")</f>
        <v>19016.179928590747</v>
      </c>
      <c r="E1107" s="9">
        <f t="shared" si="34"/>
        <v>1.1183413640310473</v>
      </c>
      <c r="F1107" t="str">
        <f t="shared" si="35"/>
        <v>Expected</v>
      </c>
    </row>
    <row r="1108" spans="1:7" ht="15" hidden="1" customHeight="1" x14ac:dyDescent="0.3">
      <c r="A1108" t="s">
        <v>122</v>
      </c>
      <c r="B1108" s="2">
        <v>46082</v>
      </c>
      <c r="C1108" cm="1">
        <f t="array" ref="C1108">IFERROR(IF(SUMPRODUCT((measured[Site Name]=A1108)*(measured[Date]=B1108)*ISNUMBER(measured[Measured Value (kWh)]))=0,"",SUMIFS(measured[Measured Value (kWh)],measured[Site Name],A1108,measured[Date],B1108)),"")</f>
        <v>18344</v>
      </c>
      <c r="D1108" cm="1">
        <f t="array" ref="D1108">IFERROR(IF(SUMPRODUCT((expected_production[Site Name]=A1108)*(expected_production[Date]=B1108)*ISNUMBER(expected_production[Expected Production (kWh)]))=0,"",SUMIFS(expected_production[Expected Production (kWh)],expected_production[Site Name],A1108,expected_production[Date],B1108)),"")</f>
        <v>19127.301795541338</v>
      </c>
      <c r="E1108" s="9">
        <f t="shared" si="34"/>
        <v>0.95904797216490156</v>
      </c>
      <c r="F1108" t="str">
        <f t="shared" si="35"/>
        <v>Expected</v>
      </c>
    </row>
    <row r="1109" spans="1:7" ht="15" hidden="1" customHeight="1" x14ac:dyDescent="0.3">
      <c r="A1109" t="s">
        <v>122</v>
      </c>
      <c r="B1109" s="2">
        <v>46113</v>
      </c>
      <c r="C1109" s="5" cm="1">
        <f t="array" ref="C1109">IFERROR(IF(SUMPRODUCT((measured[Site Name]=A1109)*(measured[Date]=B1109)*ISNUMBER(measured[Measured Value (kWh)]))=0,"",SUMIFS(measured[Measured Value (kWh)],measured[Site Name],A1109,measured[Date],B1109)),"")</f>
        <v>14760.15</v>
      </c>
      <c r="D1109" cm="1">
        <f t="array" ref="D1109">IFERROR(IF(SUMPRODUCT((expected_production[Site Name]=A1109)*(expected_production[Date]=B1109)*ISNUMBER(expected_production[Expected Production (kWh)]))=0,"",SUMIFS(expected_production[Expected Production (kWh)],expected_production[Site Name],A1109,expected_production[Date],B1109)),"")</f>
        <v>15421.918282167158</v>
      </c>
      <c r="E1109" s="9">
        <f t="shared" si="34"/>
        <v>0.95708910720060147</v>
      </c>
      <c r="F1109" t="str">
        <f t="shared" si="35"/>
        <v>Expected</v>
      </c>
    </row>
    <row r="1110" spans="1:7" ht="15" hidden="1" customHeight="1" x14ac:dyDescent="0.3">
      <c r="A1110" t="s">
        <v>122</v>
      </c>
      <c r="B1110" s="2">
        <v>46143</v>
      </c>
      <c r="C1110" s="5" cm="1">
        <f t="array" ref="C1110">IFERROR(IF(SUMPRODUCT((measured[Site Name]=A1110)*(measured[Date]=B1110)*ISNUMBER(measured[Measured Value (kWh)]))=0,"",SUMIFS(measured[Measured Value (kWh)],measured[Site Name],A1110,measured[Date],B1110)),"")</f>
        <v>14261.66</v>
      </c>
      <c r="D1110" cm="1">
        <f t="array" ref="D1110">IFERROR(IF(SUMPRODUCT((expected_production[Site Name]=A1110)*(expected_production[Date]=B1110)*ISNUMBER(expected_production[Expected Production (kWh)]))=0,"",SUMIFS(expected_production[Expected Production (kWh)],expected_production[Site Name],A1110,expected_production[Date],B1110)),"")</f>
        <v>13153.816452744941</v>
      </c>
      <c r="E1110" s="9">
        <f t="shared" ref="E1110:E1173" si="36">IF(OR(C1110="",D1110="",D1110=0),"",C1110/D1110)</f>
        <v>1.0842222142322713</v>
      </c>
      <c r="F1110" t="str">
        <f t="shared" ref="F1110:F1173" si="37">IF(E1110="","",IF(E1110&gt;=0.9,"Expected",IF(E1110&gt;=0.7,"Moderate","Poor")))</f>
        <v>Expected</v>
      </c>
    </row>
    <row r="1111" spans="1:7" ht="15" hidden="1" customHeight="1" x14ac:dyDescent="0.3">
      <c r="A1111" t="s">
        <v>122</v>
      </c>
      <c r="B1111" s="2">
        <v>46174</v>
      </c>
      <c r="C1111" cm="1">
        <f t="array" ref="C1111">IFERROR(IF(SUMPRODUCT((measured[Site Name]=A1111)*(measured[Date]=B1111)*ISNUMBER(measured[Measured Value (kWh)]))=0,"",SUMIFS(measured[Measured Value (kWh)],measured[Site Name],A1111,measured[Date],B1111)),"")</f>
        <v>12292.03</v>
      </c>
      <c r="D1111" cm="1">
        <f t="array" ref="D1111">IFERROR(IF(SUMPRODUCT((expected_production[Site Name]=A1111)*(expected_production[Date]=B1111)*ISNUMBER(expected_production[Expected Production (kWh)]))=0,"",SUMIFS(expected_production[Expected Production (kWh)],expected_production[Site Name],A1111,expected_production[Date],B1111)),"")</f>
        <v>11826.550564988722</v>
      </c>
      <c r="E1111" s="9">
        <f t="shared" si="36"/>
        <v>1.0393588504486915</v>
      </c>
      <c r="F1111" t="str">
        <f t="shared" si="37"/>
        <v>Expected</v>
      </c>
    </row>
    <row r="1112" spans="1:7" ht="15" hidden="1" customHeight="1" x14ac:dyDescent="0.3">
      <c r="A1112" t="s">
        <v>223</v>
      </c>
      <c r="B1112" s="2">
        <v>46204</v>
      </c>
      <c r="C1112" cm="1">
        <f t="array" ref="C1112">IFERROR(IF(SUMPRODUCT((measured[Site Name]=A1112)*(measured[Date]=B1112)*ISNUMBER(measured[Measured Value (kWh)]))=0,"",SUMIFS(measured[Measured Value (kWh)],measured[Site Name],A1112,measured[Date],B1112)),"")</f>
        <v>3841</v>
      </c>
      <c r="D1112" cm="1">
        <f t="array" ref="D1112">IFERROR(IF(SUMPRODUCT((expected_production[Site Name]=A1112)*(expected_production[Date]=B1112)*ISNUMBER(expected_production[Expected Production (kWh)]))=0,"",SUMIFS(expected_production[Expected Production (kWh)],expected_production[Site Name],A1112,expected_production[Date],B1112)),"")</f>
        <v>5755.2368588585223</v>
      </c>
      <c r="E1112" s="9">
        <f t="shared" si="36"/>
        <v>0.66739216720296957</v>
      </c>
      <c r="F1112" t="str">
        <f t="shared" si="37"/>
        <v>Poor</v>
      </c>
      <c r="G1112" t="s">
        <v>874</v>
      </c>
    </row>
    <row r="1113" spans="1:7" ht="15" hidden="1" customHeight="1" x14ac:dyDescent="0.3">
      <c r="A1113" t="s">
        <v>122</v>
      </c>
      <c r="B1113" s="2">
        <v>46235</v>
      </c>
      <c r="C1113" cm="1">
        <f t="array" ref="C1113">IFERROR(IF(SUMPRODUCT((measured[Site Name]=A1113)*(measured[Date]=B1113)*ISNUMBER(measured[Measured Value (kWh)]))=0,"",SUMIFS(measured[Measured Value (kWh)],measured[Site Name],A1113,measured[Date],B1113)),"")</f>
        <v>15549.0352</v>
      </c>
      <c r="D1113" cm="1">
        <f t="array" ref="D1113">IFERROR(IF(SUMPRODUCT((expected_production[Site Name]=A1113)*(expected_production[Date]=B1113)*ISNUMBER(expected_production[Expected Production (kWh)]))=0,"",SUMIFS(expected_production[Expected Production (kWh)],expected_production[Site Name],A1113,expected_production[Date],B1113)),"")</f>
        <v>15052.579281993641</v>
      </c>
      <c r="E1113" s="9">
        <f t="shared" si="36"/>
        <v>1.032981451796785</v>
      </c>
      <c r="F1113" t="str">
        <f t="shared" si="37"/>
        <v>Expected</v>
      </c>
      <c r="G1113" t="s">
        <v>874</v>
      </c>
    </row>
    <row r="1114" spans="1:7" ht="15" customHeight="1" x14ac:dyDescent="0.3">
      <c r="A1114" t="s">
        <v>109</v>
      </c>
      <c r="B1114" s="2">
        <v>46266</v>
      </c>
      <c r="C1114" cm="1">
        <f t="array" ref="C1114">IFERROR(IF(SUMPRODUCT((measured[Site Name]=A1114)*(measured[Date]=B1114)*ISNUMBER(measured[Measured Value (kWh)]))=0,"",SUMIFS(measured[Measured Value (kWh)],measured[Site Name],A1114,measured[Date],B1114)),"")</f>
        <v>2916.4</v>
      </c>
      <c r="D1114" cm="1">
        <f t="array" ref="D1114">IFERROR(IF(SUMPRODUCT((expected_production[Site Name]=A1114)*(expected_production[Date]=B1114)*ISNUMBER(expected_production[Expected Production (kWh)]))=0,"",SUMIFS(expected_production[Expected Production (kWh)],expected_production[Site Name],A1114,expected_production[Date],B1114)),"")</f>
        <v>3847.312219316882</v>
      </c>
      <c r="E1114" s="9">
        <f t="shared" si="36"/>
        <v>0.75803569706589291</v>
      </c>
      <c r="F1114" t="str">
        <f t="shared" si="37"/>
        <v>Moderate</v>
      </c>
      <c r="G1114" t="s">
        <v>874</v>
      </c>
    </row>
    <row r="1115" spans="1:7" ht="15" hidden="1" customHeight="1" x14ac:dyDescent="0.3">
      <c r="A1115" t="s">
        <v>122</v>
      </c>
      <c r="B1115" s="2">
        <v>46296</v>
      </c>
      <c r="C1115" t="str" cm="1">
        <f t="array" ref="C1115">IFERROR(IF(SUMPRODUCT((measured[Site Name]=A1115)*(measured[Date]=B1115)*ISNUMBER(measured[Measured Value (kWh)]))=0,"",SUMIFS(measured[Measured Value (kWh)],measured[Site Name],A1115,measured[Date],B1115)),"")</f>
        <v/>
      </c>
      <c r="D1115" cm="1">
        <f t="array" ref="D1115">IFERROR(IF(SUMPRODUCT((expected_production[Site Name]=A1115)*(expected_production[Date]=B1115)*ISNUMBER(expected_production[Expected Production (kWh)]))=0,"",SUMIFS(expected_production[Expected Production (kWh)],expected_production[Site Name],A1115,expected_production[Date],B1115)),"")</f>
        <v>18910.363849508813</v>
      </c>
      <c r="E1115" s="9" t="str">
        <f t="shared" si="36"/>
        <v/>
      </c>
      <c r="F1115" t="str">
        <f t="shared" si="37"/>
        <v/>
      </c>
    </row>
    <row r="1116" spans="1:7" ht="15" hidden="1" customHeight="1" x14ac:dyDescent="0.3">
      <c r="A1116" t="s">
        <v>122</v>
      </c>
      <c r="B1116" s="2">
        <v>46327</v>
      </c>
      <c r="C1116" t="str" cm="1">
        <f t="array" ref="C1116">IFERROR(IF(SUMPRODUCT((measured[Site Name]=A1116)*(measured[Date]=B1116)*ISNUMBER(measured[Measured Value (kWh)]))=0,"",SUMIFS(measured[Measured Value (kWh)],measured[Site Name],A1116,measured[Date],B1116)),"")</f>
        <v/>
      </c>
      <c r="D1116" cm="1">
        <f t="array" ref="D1116">IFERROR(IF(SUMPRODUCT((expected_production[Site Name]=A1116)*(expected_production[Date]=B1116)*ISNUMBER(expected_production[Expected Production (kWh)]))=0,"",SUMIFS(expected_production[Expected Production (kWh)],expected_production[Site Name],A1116,expected_production[Date],B1116)),"")</f>
        <v>19461.023956985635</v>
      </c>
      <c r="E1116" s="9" t="str">
        <f t="shared" si="36"/>
        <v/>
      </c>
      <c r="F1116" t="str">
        <f t="shared" si="37"/>
        <v/>
      </c>
    </row>
    <row r="1117" spans="1:7" ht="15" hidden="1" customHeight="1" x14ac:dyDescent="0.3">
      <c r="A1117" t="s">
        <v>122</v>
      </c>
      <c r="B1117" s="2">
        <v>46357</v>
      </c>
      <c r="C1117" t="str" cm="1">
        <f t="array" ref="C1117">IFERROR(IF(SUMPRODUCT((measured[Site Name]=A1117)*(measured[Date]=B1117)*ISNUMBER(measured[Measured Value (kWh)]))=0,"",SUMIFS(measured[Measured Value (kWh)],measured[Site Name],A1117,measured[Date],B1117)),"")</f>
        <v/>
      </c>
      <c r="D1117" cm="1">
        <f t="array" ref="D1117">IFERROR(IF(SUMPRODUCT((expected_production[Site Name]=A1117)*(expected_production[Date]=B1117)*ISNUMBER(expected_production[Expected Production (kWh)]))=0,"",SUMIFS(expected_production[Expected Production (kWh)],expected_production[Site Name],A1117,expected_production[Date],B1117)),"")</f>
        <v>21855.43636897338</v>
      </c>
      <c r="E1117" s="9" t="str">
        <f t="shared" si="36"/>
        <v/>
      </c>
      <c r="F1117" t="str">
        <f t="shared" si="37"/>
        <v/>
      </c>
    </row>
    <row r="1118" spans="1:7" ht="15" hidden="1" customHeight="1" x14ac:dyDescent="0.3">
      <c r="A1118" t="s">
        <v>124</v>
      </c>
      <c r="B1118" s="2">
        <v>45292</v>
      </c>
      <c r="C1118" cm="1">
        <f t="array" ref="C1118">IFERROR(IF(SUMPRODUCT((measured[Site Name]=A1118)*(measured[Date]=B1118)*ISNUMBER(measured[Measured Value (kWh)]))=0,"",SUMIFS(measured[Measured Value (kWh)],measured[Site Name],A1118,measured[Date],B1118)),"")</f>
        <v>52780</v>
      </c>
      <c r="D1118" cm="1">
        <f t="array" ref="D1118">IFERROR(IF(SUMPRODUCT((expected_production[Site Name]=A1118)*(expected_production[Date]=B1118)*ISNUMBER(expected_production[Expected Production (kWh)]))=0,"",SUMIFS(expected_production[Expected Production (kWh)],expected_production[Site Name],A1118,expected_production[Date],B1118)),"")</f>
        <v>60599.517197149158</v>
      </c>
      <c r="E1118" s="9">
        <f t="shared" si="36"/>
        <v>0.87096403471813433</v>
      </c>
      <c r="F1118" t="str">
        <f t="shared" si="37"/>
        <v>Moderate</v>
      </c>
    </row>
    <row r="1119" spans="1:7" ht="15" hidden="1" customHeight="1" x14ac:dyDescent="0.3">
      <c r="A1119" t="s">
        <v>124</v>
      </c>
      <c r="B1119" s="2">
        <v>45323</v>
      </c>
      <c r="C1119" cm="1">
        <f t="array" ref="C1119">IFERROR(IF(SUMPRODUCT((measured[Site Name]=A1119)*(measured[Date]=B1119)*ISNUMBER(measured[Measured Value (kWh)]))=0,"",SUMIFS(measured[Measured Value (kWh)],measured[Site Name],A1119,measured[Date],B1119)),"")</f>
        <v>40425</v>
      </c>
      <c r="D1119" cm="1">
        <f t="array" ref="D1119">IFERROR(IF(SUMPRODUCT((expected_production[Site Name]=A1119)*(expected_production[Date]=B1119)*ISNUMBER(expected_production[Expected Production (kWh)]))=0,"",SUMIFS(expected_production[Expected Production (kWh)],expected_production[Site Name],A1119,expected_production[Date],B1119)),"")</f>
        <v>54968.163644157772</v>
      </c>
      <c r="E1119" s="9">
        <f t="shared" si="36"/>
        <v>0.73542569589363616</v>
      </c>
      <c r="F1119" t="str">
        <f t="shared" si="37"/>
        <v>Moderate</v>
      </c>
    </row>
    <row r="1120" spans="1:7" ht="15" hidden="1" customHeight="1" x14ac:dyDescent="0.3">
      <c r="A1120" t="s">
        <v>124</v>
      </c>
      <c r="B1120" s="2">
        <v>45352</v>
      </c>
      <c r="C1120" cm="1">
        <f t="array" ref="C1120">IFERROR(IF(SUMPRODUCT((measured[Site Name]=A1120)*(measured[Date]=B1120)*ISNUMBER(measured[Measured Value (kWh)]))=0,"",SUMIFS(measured[Measured Value (kWh)],measured[Site Name],A1120,measured[Date],B1120)),"")</f>
        <v>52832</v>
      </c>
      <c r="D1120" cm="1">
        <f t="array" ref="D1120">IFERROR(IF(SUMPRODUCT((expected_production[Site Name]=A1120)*(expected_production[Date]=B1120)*ISNUMBER(expected_production[Expected Production (kWh)]))=0,"",SUMIFS(expected_production[Expected Production (kWh)],expected_production[Site Name],A1120,expected_production[Date],B1120)),"")</f>
        <v>57292.530781107016</v>
      </c>
      <c r="E1120" s="9">
        <f t="shared" si="36"/>
        <v>0.92214463700078098</v>
      </c>
      <c r="F1120" t="str">
        <f t="shared" si="37"/>
        <v>Expected</v>
      </c>
    </row>
    <row r="1121" spans="1:6" ht="15" hidden="1" customHeight="1" x14ac:dyDescent="0.3">
      <c r="A1121" t="s">
        <v>124</v>
      </c>
      <c r="B1121" s="2">
        <v>45383</v>
      </c>
      <c r="C1121" cm="1">
        <f t="array" ref="C1121">IFERROR(IF(SUMPRODUCT((measured[Site Name]=A1121)*(measured[Date]=B1121)*ISNUMBER(measured[Measured Value (kWh)]))=0,"",SUMIFS(measured[Measured Value (kWh)],measured[Site Name],A1121,measured[Date],B1121)),"")</f>
        <v>46312</v>
      </c>
      <c r="D1121" cm="1">
        <f t="array" ref="D1121">IFERROR(IF(SUMPRODUCT((expected_production[Site Name]=A1121)*(expected_production[Date]=B1121)*ISNUMBER(expected_production[Expected Production (kWh)]))=0,"",SUMIFS(expected_production[Expected Production (kWh)],expected_production[Site Name],A1121,expected_production[Date],B1121)),"")</f>
        <v>48300.22744688041</v>
      </c>
      <c r="E1121" s="9">
        <f t="shared" si="36"/>
        <v>0.95883606450783232</v>
      </c>
      <c r="F1121" t="str">
        <f t="shared" si="37"/>
        <v>Expected</v>
      </c>
    </row>
    <row r="1122" spans="1:6" ht="15" hidden="1" customHeight="1" x14ac:dyDescent="0.3">
      <c r="A1122" t="s">
        <v>124</v>
      </c>
      <c r="B1122" s="2">
        <v>45413</v>
      </c>
      <c r="C1122" cm="1">
        <f t="array" ref="C1122">IFERROR(IF(SUMPRODUCT((measured[Site Name]=A1122)*(measured[Date]=B1122)*ISNUMBER(measured[Measured Value (kWh)]))=0,"",SUMIFS(measured[Measured Value (kWh)],measured[Site Name],A1122,measured[Date],B1122)),"")</f>
        <v>45881</v>
      </c>
      <c r="D1122" cm="1">
        <f t="array" ref="D1122">IFERROR(IF(SUMPRODUCT((expected_production[Site Name]=A1122)*(expected_production[Date]=B1122)*ISNUMBER(expected_production[Expected Production (kWh)]))=0,"",SUMIFS(expected_production[Expected Production (kWh)],expected_production[Site Name],A1122,expected_production[Date],B1122)),"")</f>
        <v>43700.307850468962</v>
      </c>
      <c r="E1122" s="9">
        <f t="shared" si="36"/>
        <v>1.0499010706513281</v>
      </c>
      <c r="F1122" t="str">
        <f t="shared" si="37"/>
        <v>Expected</v>
      </c>
    </row>
    <row r="1123" spans="1:6" ht="15" hidden="1" customHeight="1" x14ac:dyDescent="0.3">
      <c r="A1123" t="s">
        <v>124</v>
      </c>
      <c r="B1123" s="2">
        <v>45444</v>
      </c>
      <c r="C1123" cm="1">
        <f t="array" ref="C1123">IFERROR(IF(SUMPRODUCT((measured[Site Name]=A1123)*(measured[Date]=B1123)*ISNUMBER(measured[Measured Value (kWh)]))=0,"",SUMIFS(measured[Measured Value (kWh)],measured[Site Name],A1123,measured[Date],B1123)),"")</f>
        <v>36174</v>
      </c>
      <c r="D1123" cm="1">
        <f t="array" ref="D1123">IFERROR(IF(SUMPRODUCT((expected_production[Site Name]=A1123)*(expected_production[Date]=B1123)*ISNUMBER(expected_production[Expected Production (kWh)]))=0,"",SUMIFS(expected_production[Expected Production (kWh)],expected_production[Site Name],A1123,expected_production[Date],B1123)),"")</f>
        <v>40345.701224679993</v>
      </c>
      <c r="E1123" s="9">
        <f t="shared" si="36"/>
        <v>0.89660109756307549</v>
      </c>
      <c r="F1123" t="str">
        <f t="shared" si="37"/>
        <v>Moderate</v>
      </c>
    </row>
    <row r="1124" spans="1:6" ht="15" hidden="1" customHeight="1" x14ac:dyDescent="0.3">
      <c r="A1124" t="s">
        <v>124</v>
      </c>
      <c r="B1124" s="2">
        <v>45474</v>
      </c>
      <c r="C1124" cm="1">
        <f t="array" ref="C1124">IFERROR(IF(SUMPRODUCT((measured[Site Name]=A1124)*(measured[Date]=B1124)*ISNUMBER(measured[Measured Value (kWh)]))=0,"",SUMIFS(measured[Measured Value (kWh)],measured[Site Name],A1124,measured[Date],B1124)),"")</f>
        <v>49449</v>
      </c>
      <c r="D1124" cm="1">
        <f t="array" ref="D1124">IFERROR(IF(SUMPRODUCT((expected_production[Site Name]=A1124)*(expected_production[Date]=B1124)*ISNUMBER(expected_production[Expected Production (kWh)]))=0,"",SUMIFS(expected_production[Expected Production (kWh)],expected_production[Site Name],A1124,expected_production[Date],B1124)),"")</f>
        <v>43320.843613044897</v>
      </c>
      <c r="E1124" s="9">
        <f t="shared" si="36"/>
        <v>1.1414597656890915</v>
      </c>
      <c r="F1124" t="str">
        <f t="shared" si="37"/>
        <v>Expected</v>
      </c>
    </row>
    <row r="1125" spans="1:6" ht="15" hidden="1" customHeight="1" x14ac:dyDescent="0.3">
      <c r="A1125" t="s">
        <v>124</v>
      </c>
      <c r="B1125" s="2">
        <v>45505</v>
      </c>
      <c r="C1125" cm="1">
        <f t="array" ref="C1125">IFERROR(IF(SUMPRODUCT((measured[Site Name]=A1125)*(measured[Date]=B1125)*ISNUMBER(measured[Measured Value (kWh)]))=0,"",SUMIFS(measured[Measured Value (kWh)],measured[Site Name],A1125,measured[Date],B1125)),"")</f>
        <v>50022</v>
      </c>
      <c r="D1125" cm="1">
        <f t="array" ref="D1125">IFERROR(IF(SUMPRODUCT((expected_production[Site Name]=A1125)*(expected_production[Date]=B1125)*ISNUMBER(expected_production[Expected Production (kWh)]))=0,"",SUMIFS(expected_production[Expected Production (kWh)],expected_production[Site Name],A1125,expected_production[Date],B1125)),"")</f>
        <v>47866.531910754617</v>
      </c>
      <c r="E1125" s="9">
        <f t="shared" si="36"/>
        <v>1.0450307971604078</v>
      </c>
      <c r="F1125" t="str">
        <f t="shared" si="37"/>
        <v>Expected</v>
      </c>
    </row>
    <row r="1126" spans="1:6" ht="15" hidden="1" customHeight="1" x14ac:dyDescent="0.3">
      <c r="A1126" t="s">
        <v>124</v>
      </c>
      <c r="B1126" s="2">
        <v>45536</v>
      </c>
      <c r="C1126" cm="1">
        <f t="array" ref="C1126">IFERROR(IF(SUMPRODUCT((measured[Site Name]=A1126)*(measured[Date]=B1126)*ISNUMBER(measured[Measured Value (kWh)]))=0,"",SUMIFS(measured[Measured Value (kWh)],measured[Site Name],A1126,measured[Date],B1126)),"")</f>
        <v>41179</v>
      </c>
      <c r="D1126" cm="1">
        <f t="array" ref="D1126">IFERROR(IF(SUMPRODUCT((expected_production[Site Name]=A1126)*(expected_production[Date]=B1126)*ISNUMBER(expected_production[Expected Production (kWh)]))=0,"",SUMIFS(expected_production[Expected Production (kWh)],expected_production[Site Name],A1126,expected_production[Date],B1126)),"")</f>
        <v>49520.666206152186</v>
      </c>
      <c r="E1126" s="9">
        <f t="shared" si="36"/>
        <v>0.83155181775167919</v>
      </c>
      <c r="F1126" t="str">
        <f t="shared" si="37"/>
        <v>Moderate</v>
      </c>
    </row>
    <row r="1127" spans="1:6" ht="15" hidden="1" customHeight="1" x14ac:dyDescent="0.3">
      <c r="A1127" t="s">
        <v>124</v>
      </c>
      <c r="B1127" s="2">
        <v>45566</v>
      </c>
      <c r="C1127" cm="1">
        <f t="array" ref="C1127">IFERROR(IF(SUMPRODUCT((measured[Site Name]=A1127)*(measured[Date]=B1127)*ISNUMBER(measured[Measured Value (kWh)]))=0,"",SUMIFS(measured[Measured Value (kWh)],measured[Site Name],A1127,measured[Date],B1127)),"")</f>
        <v>38998</v>
      </c>
      <c r="D1127" cm="1">
        <f t="array" ref="D1127">IFERROR(IF(SUMPRODUCT((expected_production[Site Name]=A1127)*(expected_production[Date]=B1127)*ISNUMBER(expected_production[Expected Production (kWh)]))=0,"",SUMIFS(expected_production[Expected Production (kWh)],expected_production[Site Name],A1127,expected_production[Date],B1127)),"")</f>
        <v>54309.836409500858</v>
      </c>
      <c r="E1127" s="9">
        <f t="shared" si="36"/>
        <v>0.71806513475665279</v>
      </c>
      <c r="F1127" t="str">
        <f t="shared" si="37"/>
        <v>Moderate</v>
      </c>
    </row>
    <row r="1128" spans="1:6" ht="15" hidden="1" customHeight="1" x14ac:dyDescent="0.3">
      <c r="A1128" t="s">
        <v>124</v>
      </c>
      <c r="B1128" s="2">
        <v>45597</v>
      </c>
      <c r="C1128" cm="1">
        <f t="array" ref="C1128">IFERROR(IF(SUMPRODUCT((measured[Site Name]=A1128)*(measured[Date]=B1128)*ISNUMBER(measured[Measured Value (kWh)]))=0,"",SUMIFS(measured[Measured Value (kWh)],measured[Site Name],A1128,measured[Date],B1128)),"")</f>
        <v>54400</v>
      </c>
      <c r="D1128" cm="1">
        <f t="array" ref="D1128">IFERROR(IF(SUMPRODUCT((expected_production[Site Name]=A1128)*(expected_production[Date]=B1128)*ISNUMBER(expected_production[Expected Production (kWh)]))=0,"",SUMIFS(expected_production[Expected Production (kWh)],expected_production[Site Name],A1128,expected_production[Date],B1128)),"")</f>
        <v>55607.317355018589</v>
      </c>
      <c r="E1128" s="9">
        <f t="shared" si="36"/>
        <v>0.97828851646788484</v>
      </c>
      <c r="F1128" t="str">
        <f t="shared" si="37"/>
        <v>Expected</v>
      </c>
    </row>
    <row r="1129" spans="1:6" ht="15" hidden="1" customHeight="1" x14ac:dyDescent="0.3">
      <c r="A1129" t="s">
        <v>124</v>
      </c>
      <c r="B1129" s="2">
        <v>45627</v>
      </c>
      <c r="C1129" cm="1">
        <f t="array" ref="C1129">IFERROR(IF(SUMPRODUCT((measured[Site Name]=A1129)*(measured[Date]=B1129)*ISNUMBER(measured[Measured Value (kWh)]))=0,"",SUMIFS(measured[Measured Value (kWh)],measured[Site Name],A1129,measured[Date],B1129)),"")</f>
        <v>48109</v>
      </c>
      <c r="D1129" cm="1">
        <f t="array" ref="D1129">IFERROR(IF(SUMPRODUCT((expected_production[Site Name]=A1129)*(expected_production[Date]=B1129)*ISNUMBER(expected_production[Expected Production (kWh)]))=0,"",SUMIFS(expected_production[Expected Production (kWh)],expected_production[Site Name],A1129,expected_production[Date],B1129)),"")</f>
        <v>59987.434066964619</v>
      </c>
      <c r="E1129" s="9">
        <f t="shared" si="36"/>
        <v>0.80198462808553217</v>
      </c>
      <c r="F1129" t="str">
        <f t="shared" si="37"/>
        <v>Moderate</v>
      </c>
    </row>
    <row r="1130" spans="1:6" ht="15" hidden="1" customHeight="1" x14ac:dyDescent="0.3">
      <c r="A1130" t="s">
        <v>124</v>
      </c>
      <c r="B1130" s="2">
        <v>45658</v>
      </c>
      <c r="C1130" cm="1">
        <f t="array" ref="C1130">IFERROR(IF(SUMPRODUCT((measured[Site Name]=A1130)*(measured[Date]=B1130)*ISNUMBER(measured[Measured Value (kWh)]))=0,"",SUMIFS(measured[Measured Value (kWh)],measured[Site Name],A1130,measured[Date],B1130)),"")</f>
        <v>50600</v>
      </c>
      <c r="D1130" cm="1">
        <f t="array" ref="D1130">IFERROR(IF(SUMPRODUCT((expected_production[Site Name]=A1130)*(expected_production[Date]=B1130)*ISNUMBER(expected_production[Expected Production (kWh)]))=0,"",SUMIFS(expected_production[Expected Production (kWh)],expected_production[Site Name],A1130,expected_production[Date],B1130)),"")</f>
        <v>60174.452598520358</v>
      </c>
      <c r="E1130" s="9">
        <f t="shared" si="36"/>
        <v>0.84088841385229673</v>
      </c>
      <c r="F1130" t="str">
        <f t="shared" si="37"/>
        <v>Moderate</v>
      </c>
    </row>
    <row r="1131" spans="1:6" ht="15" hidden="1" customHeight="1" x14ac:dyDescent="0.3">
      <c r="A1131" t="s">
        <v>124</v>
      </c>
      <c r="B1131" s="2">
        <v>45689</v>
      </c>
      <c r="C1131" cm="1">
        <f t="array" ref="C1131">IFERROR(IF(SUMPRODUCT((measured[Site Name]=A1131)*(measured[Date]=B1131)*ISNUMBER(measured[Measured Value (kWh)]))=0,"",SUMIFS(measured[Measured Value (kWh)],measured[Site Name],A1131,measured[Date],B1131)),"")</f>
        <v>39450</v>
      </c>
      <c r="D1131" cm="1">
        <f t="array" ref="D1131">IFERROR(IF(SUMPRODUCT((expected_production[Site Name]=A1131)*(expected_production[Date]=B1131)*ISNUMBER(expected_production[Expected Production (kWh)]))=0,"",SUMIFS(expected_production[Expected Production (kWh)],expected_production[Site Name],A1131,expected_production[Date],B1131)),"")</f>
        <v>54582.599179332872</v>
      </c>
      <c r="E1131" s="9">
        <f t="shared" si="36"/>
        <v>0.7227578128037796</v>
      </c>
      <c r="F1131" t="str">
        <f t="shared" si="37"/>
        <v>Moderate</v>
      </c>
    </row>
    <row r="1132" spans="1:6" ht="15" hidden="1" customHeight="1" x14ac:dyDescent="0.3">
      <c r="A1132" t="s">
        <v>124</v>
      </c>
      <c r="B1132" s="2">
        <v>45717</v>
      </c>
      <c r="C1132" cm="1">
        <f t="array" ref="C1132">IFERROR(IF(SUMPRODUCT((measured[Site Name]=A1132)*(measured[Date]=B1132)*ISNUMBER(measured[Measured Value (kWh)]))=0,"",SUMIFS(measured[Measured Value (kWh)],measured[Site Name],A1132,measured[Date],B1132)),"")</f>
        <v>50665</v>
      </c>
      <c r="D1132" cm="1">
        <f t="array" ref="D1132">IFERROR(IF(SUMPRODUCT((expected_production[Site Name]=A1132)*(expected_production[Date]=B1132)*ISNUMBER(expected_production[Expected Production (kWh)]))=0,"",SUMIFS(expected_production[Expected Production (kWh)],expected_production[Site Name],A1132,expected_production[Date],B1132)),"")</f>
        <v>56891.756605490387</v>
      </c>
      <c r="E1132" s="9">
        <f t="shared" si="36"/>
        <v>0.89055081127712155</v>
      </c>
      <c r="F1132" t="str">
        <f t="shared" si="37"/>
        <v>Moderate</v>
      </c>
    </row>
    <row r="1133" spans="1:6" ht="15" hidden="1" customHeight="1" x14ac:dyDescent="0.3">
      <c r="A1133" t="s">
        <v>124</v>
      </c>
      <c r="B1133" s="2">
        <v>45748</v>
      </c>
      <c r="C1133" cm="1">
        <f t="array" ref="C1133">IFERROR(IF(SUMPRODUCT((measured[Site Name]=A1133)*(measured[Date]=B1133)*ISNUMBER(measured[Measured Value (kWh)]))=0,"",SUMIFS(measured[Measured Value (kWh)],measured[Site Name],A1133,measured[Date],B1133)),"")</f>
        <v>33121</v>
      </c>
      <c r="D1133" cm="1">
        <f t="array" ref="D1133">IFERROR(IF(SUMPRODUCT((expected_production[Site Name]=A1133)*(expected_production[Date]=B1133)*ISNUMBER(expected_production[Expected Production (kWh)]))=0,"",SUMIFS(expected_production[Expected Production (kWh)],expected_production[Site Name],A1133,expected_production[Date],B1133)),"")</f>
        <v>47962.356461374868</v>
      </c>
      <c r="E1133" s="9">
        <f t="shared" si="36"/>
        <v>0.69056240025806626</v>
      </c>
      <c r="F1133" t="str">
        <f t="shared" si="37"/>
        <v>Poor</v>
      </c>
    </row>
    <row r="1134" spans="1:6" ht="15" hidden="1" customHeight="1" x14ac:dyDescent="0.3">
      <c r="A1134" t="s">
        <v>124</v>
      </c>
      <c r="B1134" s="2">
        <v>45778</v>
      </c>
      <c r="C1134" cm="1">
        <f t="array" ref="C1134">IFERROR(IF(SUMPRODUCT((measured[Site Name]=A1134)*(measured[Date]=B1134)*ISNUMBER(measured[Measured Value (kWh)]))=0,"",SUMIFS(measured[Measured Value (kWh)],measured[Site Name],A1134,measured[Date],B1134)),"")</f>
        <v>49152</v>
      </c>
      <c r="D1134" cm="1">
        <f t="array" ref="D1134">IFERROR(IF(SUMPRODUCT((expected_production[Site Name]=A1134)*(expected_production[Date]=B1134)*ISNUMBER(expected_production[Expected Production (kWh)]))=0,"",SUMIFS(expected_production[Expected Production (kWh)],expected_production[Site Name],A1134,expected_production[Date],B1134)),"")</f>
        <v>43394.614340090113</v>
      </c>
      <c r="E1134" s="9">
        <f t="shared" si="36"/>
        <v>1.132675119884426</v>
      </c>
      <c r="F1134" t="str">
        <f t="shared" si="37"/>
        <v>Expected</v>
      </c>
    </row>
    <row r="1135" spans="1:6" ht="15" hidden="1" customHeight="1" x14ac:dyDescent="0.3">
      <c r="A1135" t="s">
        <v>124</v>
      </c>
      <c r="B1135" s="2">
        <v>45809</v>
      </c>
      <c r="C1135" cm="1">
        <f t="array" ref="C1135">IFERROR(IF(SUMPRODUCT((measured[Site Name]=A1135)*(measured[Date]=B1135)*ISNUMBER(measured[Measured Value (kWh)]))=0,"",SUMIFS(measured[Measured Value (kWh)],measured[Site Name],A1135,measured[Date],B1135)),"")</f>
        <v>39999.410000000003</v>
      </c>
      <c r="D1135" cm="1">
        <f t="array" ref="D1135">IFERROR(IF(SUMPRODUCT((expected_production[Site Name]=A1135)*(expected_production[Date]=B1135)*ISNUMBER(expected_production[Expected Production (kWh)]))=0,"",SUMIFS(expected_production[Expected Production (kWh)],expected_production[Site Name],A1135,expected_production[Date],B1135)),"")</f>
        <v>40063.473944307727</v>
      </c>
      <c r="E1135" s="9">
        <f t="shared" si="36"/>
        <v>0.99840093886025016</v>
      </c>
      <c r="F1135" t="str">
        <f t="shared" si="37"/>
        <v>Expected</v>
      </c>
    </row>
    <row r="1136" spans="1:6" ht="15" hidden="1" customHeight="1" x14ac:dyDescent="0.3">
      <c r="A1136" t="s">
        <v>124</v>
      </c>
      <c r="B1136" s="2">
        <v>45839</v>
      </c>
      <c r="C1136" cm="1">
        <f t="array" ref="C1136">IFERROR(IF(SUMPRODUCT((measured[Site Name]=A1136)*(measured[Date]=B1136)*ISNUMBER(measured[Measured Value (kWh)]))=0,"",SUMIFS(measured[Measured Value (kWh)],measured[Site Name],A1136,measured[Date],B1136)),"")</f>
        <v>42250</v>
      </c>
      <c r="D1136" cm="1">
        <f t="array" ref="D1136">IFERROR(IF(SUMPRODUCT((expected_production[Site Name]=A1136)*(expected_production[Date]=B1136)*ISNUMBER(expected_production[Expected Production (kWh)]))=0,"",SUMIFS(expected_production[Expected Production (kWh)],expected_production[Site Name],A1136,expected_production[Date],B1136)),"")</f>
        <v>43017.804540598117</v>
      </c>
      <c r="E1136" s="9">
        <f t="shared" si="36"/>
        <v>0.98215147079685339</v>
      </c>
      <c r="F1136" t="str">
        <f t="shared" si="37"/>
        <v>Expected</v>
      </c>
    </row>
    <row r="1137" spans="1:7" ht="15" hidden="1" customHeight="1" x14ac:dyDescent="0.3">
      <c r="A1137" t="s">
        <v>124</v>
      </c>
      <c r="B1137" s="2">
        <v>45870</v>
      </c>
      <c r="C1137" cm="1">
        <f t="array" ref="C1137">IFERROR(IF(SUMPRODUCT((measured[Site Name]=A1137)*(measured[Date]=B1137)*ISNUMBER(measured[Measured Value (kWh)]))=0,"",SUMIFS(measured[Measured Value (kWh)],measured[Site Name],A1137,measured[Date],B1137)),"")</f>
        <v>42926</v>
      </c>
      <c r="D1137" cm="1">
        <f t="array" ref="D1137">IFERROR(IF(SUMPRODUCT((expected_production[Site Name]=A1137)*(expected_production[Date]=B1137)*ISNUMBER(expected_production[Expected Production (kWh)]))=0,"",SUMIFS(expected_production[Expected Production (kWh)],expected_production[Site Name],A1137,expected_production[Date],B1137)),"")</f>
        <v>47531.694723347871</v>
      </c>
      <c r="E1137" s="9">
        <f t="shared" si="36"/>
        <v>0.90310266128412364</v>
      </c>
      <c r="F1137" t="str">
        <f t="shared" si="37"/>
        <v>Expected</v>
      </c>
    </row>
    <row r="1138" spans="1:7" ht="15" hidden="1" customHeight="1" x14ac:dyDescent="0.3">
      <c r="A1138" t="s">
        <v>124</v>
      </c>
      <c r="B1138" s="2">
        <v>45901</v>
      </c>
      <c r="C1138" cm="1">
        <f t="array" ref="C1138">IFERROR(IF(SUMPRODUCT((measured[Site Name]=A1138)*(measured[Date]=B1138)*ISNUMBER(measured[Measured Value (kWh)]))=0,"",SUMIFS(measured[Measured Value (kWh)],measured[Site Name],A1138,measured[Date],B1138)),"")</f>
        <v>40517.300000000003</v>
      </c>
      <c r="D1138" cm="1">
        <f t="array" ref="D1138">IFERROR(IF(SUMPRODUCT((expected_production[Site Name]=A1138)*(expected_production[Date]=B1138)*ISNUMBER(expected_production[Expected Production (kWh)]))=0,"",SUMIFS(expected_production[Expected Production (kWh)],expected_production[Site Name],A1138,expected_production[Date],B1138)),"")</f>
        <v>49174.257976245506</v>
      </c>
      <c r="E1138" s="9">
        <f t="shared" si="36"/>
        <v>0.82395345994997216</v>
      </c>
      <c r="F1138" t="str">
        <f t="shared" si="37"/>
        <v>Moderate</v>
      </c>
    </row>
    <row r="1139" spans="1:7" ht="15" hidden="1" customHeight="1" x14ac:dyDescent="0.3">
      <c r="A1139" t="s">
        <v>124</v>
      </c>
      <c r="B1139" s="2">
        <v>45931</v>
      </c>
      <c r="C1139" cm="1">
        <f t="array" ref="C1139">IFERROR(IF(SUMPRODUCT((measured[Site Name]=A1139)*(measured[Date]=B1139)*ISNUMBER(measured[Measured Value (kWh)]))=0,"",SUMIFS(measured[Measured Value (kWh)],measured[Site Name],A1139,measured[Date],B1139)),"")</f>
        <v>46787.68</v>
      </c>
      <c r="D1139" cm="1">
        <f t="array" ref="D1139">IFERROR(IF(SUMPRODUCT((expected_production[Site Name]=A1139)*(expected_production[Date]=B1139)*ISNUMBER(expected_production[Expected Production (kWh)]))=0,"",SUMIFS(expected_production[Expected Production (kWh)],expected_production[Site Name],A1139,expected_production[Date],B1139)),"")</f>
        <v>53929.926853784928</v>
      </c>
      <c r="E1139" s="9">
        <f t="shared" si="36"/>
        <v>0.86756431409319323</v>
      </c>
      <c r="F1139" t="str">
        <f t="shared" si="37"/>
        <v>Moderate</v>
      </c>
    </row>
    <row r="1140" spans="1:7" ht="15" hidden="1" customHeight="1" x14ac:dyDescent="0.3">
      <c r="A1140" t="s">
        <v>124</v>
      </c>
      <c r="B1140" s="2">
        <v>45962</v>
      </c>
      <c r="C1140" cm="1">
        <f t="array" ref="C1140">IFERROR(IF(SUMPRODUCT((measured[Site Name]=A1140)*(measured[Date]=B1140)*ISNUMBER(measured[Measured Value (kWh)]))=0,"",SUMIFS(measured[Measured Value (kWh)],measured[Site Name],A1140,measured[Date],B1140)),"")</f>
        <v>53245</v>
      </c>
      <c r="D1140" cm="1">
        <f t="array" ref="D1140">IFERROR(IF(SUMPRODUCT((expected_production[Site Name]=A1140)*(expected_production[Date]=B1140)*ISNUMBER(expected_production[Expected Production (kWh)]))=0,"",SUMIFS(expected_production[Expected Production (kWh)],expected_production[Site Name],A1140,expected_production[Date],B1140)),"")</f>
        <v>55218.331627431231</v>
      </c>
      <c r="E1140" s="9">
        <f t="shared" si="36"/>
        <v>0.96426310666635706</v>
      </c>
      <c r="F1140" t="str">
        <f t="shared" si="37"/>
        <v>Expected</v>
      </c>
    </row>
    <row r="1141" spans="1:7" ht="15" hidden="1" customHeight="1" x14ac:dyDescent="0.3">
      <c r="A1141" t="s">
        <v>124</v>
      </c>
      <c r="B1141" s="2">
        <v>45992</v>
      </c>
      <c r="C1141" cm="1">
        <f t="array" ref="C1141">IFERROR(IF(SUMPRODUCT((measured[Site Name]=A1141)*(measured[Date]=B1141)*ISNUMBER(measured[Measured Value (kWh)]))=0,"",SUMIFS(measured[Measured Value (kWh)],measured[Site Name],A1141,measured[Date],B1141)),"")</f>
        <v>48360</v>
      </c>
      <c r="D1141" cm="1">
        <f t="array" ref="D1141">IFERROR(IF(SUMPRODUCT((expected_production[Site Name]=A1141)*(expected_production[Date]=B1141)*ISNUMBER(expected_production[Expected Production (kWh)]))=0,"",SUMIFS(expected_production[Expected Production (kWh)],expected_production[Site Name],A1141,expected_production[Date],B1141)),"")</f>
        <v>59567.808435005762</v>
      </c>
      <c r="E1141" s="9">
        <f t="shared" si="36"/>
        <v>0.81184789688486581</v>
      </c>
      <c r="F1141" t="str">
        <f t="shared" si="37"/>
        <v>Moderate</v>
      </c>
    </row>
    <row r="1142" spans="1:7" ht="15" hidden="1" customHeight="1" x14ac:dyDescent="0.3">
      <c r="A1142" t="s">
        <v>124</v>
      </c>
      <c r="B1142" s="2">
        <v>46023</v>
      </c>
      <c r="C1142" cm="1">
        <f t="array" ref="C1142">IFERROR(IF(SUMPRODUCT((measured[Site Name]=A1142)*(measured[Date]=B1142)*ISNUMBER(measured[Measured Value (kWh)]))=0,"",SUMIFS(measured[Measured Value (kWh)],measured[Site Name],A1142,measured[Date],B1142)),"")</f>
        <v>49681.67136</v>
      </c>
      <c r="D1142" cm="1">
        <f t="array" ref="D1142">IFERROR(IF(SUMPRODUCT((expected_production[Site Name]=A1142)*(expected_production[Date]=B1142)*ISNUMBER(expected_production[Expected Production (kWh)]))=0,"",SUMIFS(expected_production[Expected Production (kWh)],expected_production[Site Name],A1142,expected_production[Date],B1142)),"")</f>
        <v>59753.518729749689</v>
      </c>
      <c r="E1142" s="9">
        <f t="shared" si="36"/>
        <v>0.83144344326729691</v>
      </c>
      <c r="F1142" t="str">
        <f t="shared" si="37"/>
        <v>Moderate</v>
      </c>
    </row>
    <row r="1143" spans="1:7" ht="15" hidden="1" customHeight="1" x14ac:dyDescent="0.3">
      <c r="A1143" t="s">
        <v>124</v>
      </c>
      <c r="B1143" s="2">
        <v>46054</v>
      </c>
      <c r="C1143" cm="1">
        <f t="array" ref="C1143">IFERROR(IF(SUMPRODUCT((measured[Site Name]=A1143)*(measured[Date]=B1143)*ISNUMBER(measured[Measured Value (kWh)]))=0,"",SUMIFS(measured[Measured Value (kWh)],measured[Site Name],A1143,measured[Date],B1143)),"")</f>
        <v>58060.833879999998</v>
      </c>
      <c r="D1143" cm="1">
        <f t="array" ref="D1143">IFERROR(IF(SUMPRODUCT((expected_production[Site Name]=A1143)*(expected_production[Date]=B1143)*ISNUMBER(expected_production[Expected Production (kWh)]))=0,"",SUMIFS(expected_production[Expected Production (kWh)],expected_production[Site Name],A1143,expected_production[Date],B1143)),"")</f>
        <v>54200.781586518075</v>
      </c>
      <c r="E1143" s="9">
        <f t="shared" si="36"/>
        <v>1.0712176500134101</v>
      </c>
      <c r="F1143" t="str">
        <f t="shared" si="37"/>
        <v>Expected</v>
      </c>
    </row>
    <row r="1144" spans="1:7" ht="15" hidden="1" customHeight="1" x14ac:dyDescent="0.3">
      <c r="A1144" t="s">
        <v>124</v>
      </c>
      <c r="B1144" s="2">
        <v>46082</v>
      </c>
      <c r="C1144" cm="1">
        <f t="array" ref="C1144">IFERROR(IF(SUMPRODUCT((measured[Site Name]=A1144)*(measured[Date]=B1144)*ISNUMBER(measured[Measured Value (kWh)]))=0,"",SUMIFS(measured[Measured Value (kWh)],measured[Site Name],A1144,measured[Date],B1144)),"")</f>
        <v>50832</v>
      </c>
      <c r="D1144" cm="1">
        <f t="array" ref="D1144">IFERROR(IF(SUMPRODUCT((expected_production[Site Name]=A1144)*(expected_production[Date]=B1144)*ISNUMBER(expected_production[Expected Production (kWh)]))=0,"",SUMIFS(expected_production[Expected Production (kWh)],expected_production[Site Name],A1144,expected_production[Date],B1144)),"")</f>
        <v>56493.785935630112</v>
      </c>
      <c r="E1144" s="9">
        <f t="shared" si="36"/>
        <v>0.89978037687045376</v>
      </c>
      <c r="F1144" t="str">
        <f t="shared" si="37"/>
        <v>Moderate</v>
      </c>
    </row>
    <row r="1145" spans="1:7" ht="15" hidden="1" customHeight="1" x14ac:dyDescent="0.3">
      <c r="A1145" t="s">
        <v>124</v>
      </c>
      <c r="B1145" s="2">
        <v>46113</v>
      </c>
      <c r="C1145" s="5" cm="1">
        <f t="array" ref="C1145">IFERROR(IF(SUMPRODUCT((measured[Site Name]=A1145)*(measured[Date]=B1145)*ISNUMBER(measured[Measured Value (kWh)]))=0,"",SUMIFS(measured[Measured Value (kWh)],measured[Site Name],A1145,measured[Date],B1145)),"")</f>
        <v>41412.22</v>
      </c>
      <c r="D1145" cm="1">
        <f t="array" ref="D1145">IFERROR(IF(SUMPRODUCT((expected_production[Site Name]=A1145)*(expected_production[Date]=B1145)*ISNUMBER(expected_production[Expected Production (kWh)]))=0,"",SUMIFS(expected_production[Expected Production (kWh)],expected_production[Site Name],A1145,expected_production[Date],B1145)),"")</f>
        <v>47626.848959622526</v>
      </c>
      <c r="E1145" s="9">
        <f t="shared" si="36"/>
        <v>0.86951416910047497</v>
      </c>
      <c r="F1145" t="str">
        <f t="shared" si="37"/>
        <v>Moderate</v>
      </c>
    </row>
    <row r="1146" spans="1:7" ht="15" hidden="1" customHeight="1" x14ac:dyDescent="0.3">
      <c r="A1146" t="s">
        <v>124</v>
      </c>
      <c r="B1146" s="2">
        <v>46143</v>
      </c>
      <c r="C1146" s="5" cm="1">
        <f t="array" ref="C1146">IFERROR(IF(SUMPRODUCT((measured[Site Name]=A1146)*(measured[Date]=B1146)*ISNUMBER(measured[Measured Value (kWh)]))=0,"",SUMIFS(measured[Measured Value (kWh)],measured[Site Name],A1146,measured[Date],B1146)),"")</f>
        <v>46300.95</v>
      </c>
      <c r="D1146" cm="1">
        <f t="array" ref="D1146">IFERROR(IF(SUMPRODUCT((expected_production[Site Name]=A1146)*(expected_production[Date]=B1146)*ISNUMBER(expected_production[Expected Production (kWh)]))=0,"",SUMIFS(expected_production[Expected Production (kWh)],expected_production[Site Name],A1146,expected_production[Date],B1146)),"")</f>
        <v>43091.059224768062</v>
      </c>
      <c r="E1146" s="9">
        <f t="shared" si="36"/>
        <v>1.0744908765989893</v>
      </c>
      <c r="F1146" t="str">
        <f t="shared" si="37"/>
        <v>Expected</v>
      </c>
    </row>
    <row r="1147" spans="1:7" ht="15" hidden="1" customHeight="1" x14ac:dyDescent="0.3">
      <c r="A1147" t="s">
        <v>124</v>
      </c>
      <c r="B1147" s="2">
        <v>46174</v>
      </c>
      <c r="C1147" cm="1">
        <f t="array" ref="C1147">IFERROR(IF(SUMPRODUCT((measured[Site Name]=A1147)*(measured[Date]=B1147)*ISNUMBER(measured[Measured Value (kWh)]))=0,"",SUMIFS(measured[Measured Value (kWh)],measured[Site Name],A1147,measured[Date],B1147)),"")</f>
        <v>37511.86</v>
      </c>
      <c r="D1147" cm="1">
        <f t="array" ref="D1147">IFERROR(IF(SUMPRODUCT((expected_production[Site Name]=A1147)*(expected_production[Date]=B1147)*ISNUMBER(expected_production[Expected Production (kWh)]))=0,"",SUMIFS(expected_production[Expected Production (kWh)],expected_production[Site Name],A1147,expected_production[Date],B1147)),"")</f>
        <v>39783.220907420357</v>
      </c>
      <c r="E1147" s="9">
        <f t="shared" si="36"/>
        <v>0.9429065607154824</v>
      </c>
      <c r="F1147" t="str">
        <f t="shared" si="37"/>
        <v>Expected</v>
      </c>
    </row>
    <row r="1148" spans="1:7" ht="15" hidden="1" customHeight="1" x14ac:dyDescent="0.3">
      <c r="A1148" t="s">
        <v>120</v>
      </c>
      <c r="B1148" s="2">
        <v>46204</v>
      </c>
      <c r="C1148" cm="1">
        <f t="array" ref="C1148">IFERROR(IF(SUMPRODUCT((measured[Site Name]=A1148)*(measured[Date]=B1148)*ISNUMBER(measured[Measured Value (kWh)]))=0,"",SUMIFS(measured[Measured Value (kWh)],measured[Site Name],A1148,measured[Date],B1148)),"")</f>
        <v>6582.2</v>
      </c>
      <c r="D1148" cm="1">
        <f t="array" ref="D1148">IFERROR(IF(SUMPRODUCT((expected_production[Site Name]=A1148)*(expected_production[Date]=B1148)*ISNUMBER(expected_production[Expected Production (kWh)]))=0,"",SUMIFS(expected_production[Expected Production (kWh)],expected_production[Site Name],A1148,expected_production[Date],B1148)),"")</f>
        <v>8550.9</v>
      </c>
      <c r="E1148" s="9">
        <f t="shared" si="36"/>
        <v>0.76976692511899336</v>
      </c>
      <c r="F1148" t="str">
        <f t="shared" si="37"/>
        <v>Moderate</v>
      </c>
      <c r="G1148" t="s">
        <v>875</v>
      </c>
    </row>
    <row r="1149" spans="1:7" ht="15" hidden="1" customHeight="1" x14ac:dyDescent="0.3">
      <c r="A1149" t="s">
        <v>124</v>
      </c>
      <c r="B1149" s="2">
        <v>46235</v>
      </c>
      <c r="C1149" cm="1">
        <f t="array" ref="C1149">IFERROR(IF(SUMPRODUCT((measured[Site Name]=A1149)*(measured[Date]=B1149)*ISNUMBER(measured[Measured Value (kWh)]))=0,"",SUMIFS(measured[Measured Value (kWh)],measured[Site Name],A1149,measured[Date],B1149)),"")</f>
        <v>49938.125</v>
      </c>
      <c r="D1149" cm="1">
        <f t="array" ref="D1149">IFERROR(IF(SUMPRODUCT((expected_production[Site Name]=A1149)*(expected_production[Date]=B1149)*ISNUMBER(expected_production[Expected Production (kWh)]))=0,"",SUMIFS(expected_production[Expected Production (kWh)],expected_production[Site Name],A1149,expected_production[Date],B1149)),"")</f>
        <v>47199.19979759233</v>
      </c>
      <c r="E1149" s="9">
        <f t="shared" si="36"/>
        <v>1.058029060114434</v>
      </c>
      <c r="F1149" t="str">
        <f t="shared" si="37"/>
        <v>Expected</v>
      </c>
      <c r="G1149" t="s">
        <v>874</v>
      </c>
    </row>
    <row r="1150" spans="1:7" ht="15" customHeight="1" x14ac:dyDescent="0.3">
      <c r="A1150" t="s">
        <v>201</v>
      </c>
      <c r="B1150" s="2">
        <v>46266</v>
      </c>
      <c r="C1150" cm="1">
        <f t="array" ref="C1150">IFERROR(IF(SUMPRODUCT((measured[Site Name]=A1150)*(measured[Date]=B1150)*ISNUMBER(measured[Measured Value (kWh)]))=0,"",SUMIFS(measured[Measured Value (kWh)],measured[Site Name],A1150,measured[Date],B1150)),"")</f>
        <v>10023.98</v>
      </c>
      <c r="D1150" cm="1">
        <f t="array" ref="D1150">IFERROR(IF(SUMPRODUCT((expected_production[Site Name]=A1150)*(expected_production[Date]=B1150)*ISNUMBER(expected_production[Expected Production (kWh)]))=0,"",SUMIFS(expected_production[Expected Production (kWh)],expected_production[Site Name],A1150,expected_production[Date],B1150)),"")</f>
        <v>13089.170946757928</v>
      </c>
      <c r="E1150" s="9">
        <f t="shared" si="36"/>
        <v>0.76582237643422724</v>
      </c>
      <c r="F1150" t="str">
        <f t="shared" si="37"/>
        <v>Moderate</v>
      </c>
      <c r="G1150" t="s">
        <v>875</v>
      </c>
    </row>
    <row r="1151" spans="1:7" ht="15" hidden="1" customHeight="1" x14ac:dyDescent="0.3">
      <c r="A1151" t="s">
        <v>124</v>
      </c>
      <c r="B1151" s="2">
        <v>46296</v>
      </c>
      <c r="C1151" t="str" cm="1">
        <f t="array" ref="C1151">IFERROR(IF(SUMPRODUCT((measured[Site Name]=A1151)*(measured[Date]=B1151)*ISNUMBER(measured[Measured Value (kWh)]))=0,"",SUMIFS(measured[Measured Value (kWh)],measured[Site Name],A1151,measured[Date],B1151)),"")</f>
        <v/>
      </c>
      <c r="D1151" cm="1">
        <f t="array" ref="D1151">IFERROR(IF(SUMPRODUCT((expected_production[Site Name]=A1151)*(expected_production[Date]=B1151)*ISNUMBER(expected_production[Expected Production (kWh)]))=0,"",SUMIFS(expected_production[Expected Production (kWh)],expected_production[Site Name],A1151,expected_production[Date],B1151)),"")</f>
        <v>53552.674851102958</v>
      </c>
      <c r="E1151" s="9" t="str">
        <f t="shared" si="36"/>
        <v/>
      </c>
      <c r="F1151" t="str">
        <f t="shared" si="37"/>
        <v/>
      </c>
    </row>
    <row r="1152" spans="1:7" ht="15" hidden="1" customHeight="1" x14ac:dyDescent="0.3">
      <c r="A1152" t="s">
        <v>124</v>
      </c>
      <c r="B1152" s="2">
        <v>46327</v>
      </c>
      <c r="C1152" t="str" cm="1">
        <f t="array" ref="C1152">IFERROR(IF(SUMPRODUCT((measured[Site Name]=A1152)*(measured[Date]=B1152)*ISNUMBER(measured[Measured Value (kWh)]))=0,"",SUMIFS(measured[Measured Value (kWh)],measured[Site Name],A1152,measured[Date],B1152)),"")</f>
        <v/>
      </c>
      <c r="D1152" cm="1">
        <f t="array" ref="D1152">IFERROR(IF(SUMPRODUCT((expected_production[Site Name]=A1152)*(expected_production[Date]=B1152)*ISNUMBER(expected_production[Expected Production (kWh)]))=0,"",SUMIFS(expected_production[Expected Production (kWh)],expected_production[Site Name],A1152,expected_production[Date],B1152)),"")</f>
        <v>54832.066942747289</v>
      </c>
      <c r="E1152" s="9" t="str">
        <f t="shared" si="36"/>
        <v/>
      </c>
      <c r="F1152" t="str">
        <f t="shared" si="37"/>
        <v/>
      </c>
    </row>
    <row r="1153" spans="1:6" ht="15" hidden="1" customHeight="1" x14ac:dyDescent="0.3">
      <c r="A1153" t="s">
        <v>124</v>
      </c>
      <c r="B1153" s="2">
        <v>46357</v>
      </c>
      <c r="C1153" t="str" cm="1">
        <f t="array" ref="C1153">IFERROR(IF(SUMPRODUCT((measured[Site Name]=A1153)*(measured[Date]=B1153)*ISNUMBER(measured[Measured Value (kWh)]))=0,"",SUMIFS(measured[Measured Value (kWh)],measured[Site Name],A1153,measured[Date],B1153)),"")</f>
        <v/>
      </c>
      <c r="D1153" cm="1">
        <f t="array" ref="D1153">IFERROR(IF(SUMPRODUCT((expected_production[Site Name]=A1153)*(expected_production[Date]=B1153)*ISNUMBER(expected_production[Expected Production (kWh)]))=0,"",SUMIFS(expected_production[Expected Production (kWh)],expected_production[Site Name],A1153,expected_production[Date],B1153)),"")</f>
        <v>59151.118178992467</v>
      </c>
      <c r="E1153" s="9" t="str">
        <f t="shared" si="36"/>
        <v/>
      </c>
      <c r="F1153" t="str">
        <f t="shared" si="37"/>
        <v/>
      </c>
    </row>
    <row r="1154" spans="1:6" ht="15" hidden="1" customHeight="1" x14ac:dyDescent="0.3">
      <c r="A1154" t="s">
        <v>127</v>
      </c>
      <c r="B1154" s="2">
        <v>45292</v>
      </c>
      <c r="C1154" t="str" cm="1">
        <f t="array" ref="C1154">IFERROR(IF(SUMPRODUCT((measured[Site Name]=A1154)*(measured[Date]=B1154)*ISNUMBER(measured[Measured Value (kWh)]))=0,"",SUMIFS(measured[Measured Value (kWh)],measured[Site Name],A1154,measured[Date],B1154)),"")</f>
        <v/>
      </c>
      <c r="D1154" cm="1">
        <f t="array" ref="D1154">IFERROR(IF(SUMPRODUCT((expected_production[Site Name]=A1154)*(expected_production[Date]=B1154)*ISNUMBER(expected_production[Expected Production (kWh)]))=0,"",SUMIFS(expected_production[Expected Production (kWh)],expected_production[Site Name],A1154,expected_production[Date],B1154)),"")</f>
        <v>15870.6</v>
      </c>
      <c r="E1154" s="9" t="str">
        <f t="shared" si="36"/>
        <v/>
      </c>
      <c r="F1154" t="str">
        <f t="shared" si="37"/>
        <v/>
      </c>
    </row>
    <row r="1155" spans="1:6" ht="15" hidden="1" customHeight="1" x14ac:dyDescent="0.3">
      <c r="A1155" t="s">
        <v>127</v>
      </c>
      <c r="B1155" s="2">
        <v>45323</v>
      </c>
      <c r="C1155" t="str" cm="1">
        <f t="array" ref="C1155">IFERROR(IF(SUMPRODUCT((measured[Site Name]=A1155)*(measured[Date]=B1155)*ISNUMBER(measured[Measured Value (kWh)]))=0,"",SUMIFS(measured[Measured Value (kWh)],measured[Site Name],A1155,measured[Date],B1155)),"")</f>
        <v/>
      </c>
      <c r="D1155" cm="1">
        <f t="array" ref="D1155">IFERROR(IF(SUMPRODUCT((expected_production[Site Name]=A1155)*(expected_production[Date]=B1155)*ISNUMBER(expected_production[Expected Production (kWh)]))=0,"",SUMIFS(expected_production[Expected Production (kWh)],expected_production[Site Name],A1155,expected_production[Date],B1155)),"")</f>
        <v>14825.7</v>
      </c>
      <c r="E1155" s="9" t="str">
        <f t="shared" si="36"/>
        <v/>
      </c>
      <c r="F1155" t="str">
        <f t="shared" si="37"/>
        <v/>
      </c>
    </row>
    <row r="1156" spans="1:6" ht="15" hidden="1" customHeight="1" x14ac:dyDescent="0.3">
      <c r="A1156" t="s">
        <v>127</v>
      </c>
      <c r="B1156" s="2">
        <v>45352</v>
      </c>
      <c r="C1156" t="str" cm="1">
        <f t="array" ref="C1156">IFERROR(IF(SUMPRODUCT((measured[Site Name]=A1156)*(measured[Date]=B1156)*ISNUMBER(measured[Measured Value (kWh)]))=0,"",SUMIFS(measured[Measured Value (kWh)],measured[Site Name],A1156,measured[Date],B1156)),"")</f>
        <v/>
      </c>
      <c r="D1156" cm="1">
        <f t="array" ref="D1156">IFERROR(IF(SUMPRODUCT((expected_production[Site Name]=A1156)*(expected_production[Date]=B1156)*ISNUMBER(expected_production[Expected Production (kWh)]))=0,"",SUMIFS(expected_production[Expected Production (kWh)],expected_production[Site Name],A1156,expected_production[Date],B1156)),"")</f>
        <v>17314.2</v>
      </c>
      <c r="E1156" s="9" t="str">
        <f t="shared" si="36"/>
        <v/>
      </c>
      <c r="F1156" t="str">
        <f t="shared" si="37"/>
        <v/>
      </c>
    </row>
    <row r="1157" spans="1:6" ht="15" hidden="1" customHeight="1" x14ac:dyDescent="0.3">
      <c r="A1157" t="s">
        <v>127</v>
      </c>
      <c r="B1157" s="2">
        <v>45383</v>
      </c>
      <c r="C1157" cm="1">
        <f t="array" ref="C1157">IFERROR(IF(SUMPRODUCT((measured[Site Name]=A1157)*(measured[Date]=B1157)*ISNUMBER(measured[Measured Value (kWh)]))=0,"",SUMIFS(measured[Measured Value (kWh)],measured[Site Name],A1157,measured[Date],B1157)),"")</f>
        <v>6916</v>
      </c>
      <c r="D1157" cm="1">
        <f t="array" ref="D1157">IFERROR(IF(SUMPRODUCT((expected_production[Site Name]=A1157)*(expected_production[Date]=B1157)*ISNUMBER(expected_production[Expected Production (kWh)]))=0,"",SUMIFS(expected_production[Expected Production (kWh)],expected_production[Site Name],A1157,expected_production[Date],B1157)),"")</f>
        <v>15358.5</v>
      </c>
      <c r="E1157" s="9">
        <f t="shared" si="36"/>
        <v>0.45030439170491909</v>
      </c>
      <c r="F1157" t="str">
        <f t="shared" si="37"/>
        <v>Poor</v>
      </c>
    </row>
    <row r="1158" spans="1:6" ht="15" hidden="1" customHeight="1" x14ac:dyDescent="0.3">
      <c r="A1158" t="s">
        <v>127</v>
      </c>
      <c r="B1158" s="2">
        <v>45413</v>
      </c>
      <c r="C1158" cm="1">
        <f t="array" ref="C1158">IFERROR(IF(SUMPRODUCT((measured[Site Name]=A1158)*(measured[Date]=B1158)*ISNUMBER(measured[Measured Value (kWh)]))=0,"",SUMIFS(measured[Measured Value (kWh)],measured[Site Name],A1158,measured[Date],B1158)),"")</f>
        <v>14281</v>
      </c>
      <c r="D1158" cm="1">
        <f t="array" ref="D1158">IFERROR(IF(SUMPRODUCT((expected_production[Site Name]=A1158)*(expected_production[Date]=B1158)*ISNUMBER(expected_production[Expected Production (kWh)]))=0,"",SUMIFS(expected_production[Expected Production (kWh)],expected_production[Site Name],A1158,expected_production[Date],B1158)),"")</f>
        <v>15193.308607336432</v>
      </c>
      <c r="E1158" s="9">
        <f t="shared" si="36"/>
        <v>0.93995326291892056</v>
      </c>
      <c r="F1158" t="str">
        <f t="shared" si="37"/>
        <v>Expected</v>
      </c>
    </row>
    <row r="1159" spans="1:6" ht="15" hidden="1" customHeight="1" x14ac:dyDescent="0.3">
      <c r="A1159" t="s">
        <v>127</v>
      </c>
      <c r="B1159" s="2">
        <v>45444</v>
      </c>
      <c r="C1159" cm="1">
        <f t="array" ref="C1159">IFERROR(IF(SUMPRODUCT((measured[Site Name]=A1159)*(measured[Date]=B1159)*ISNUMBER(measured[Measured Value (kWh)]))=0,"",SUMIFS(measured[Measured Value (kWh)],measured[Site Name],A1159,measured[Date],B1159)),"")</f>
        <v>12149</v>
      </c>
      <c r="D1159" cm="1">
        <f t="array" ref="D1159">IFERROR(IF(SUMPRODUCT((expected_production[Site Name]=A1159)*(expected_production[Date]=B1159)*ISNUMBER(expected_production[Expected Production (kWh)]))=0,"",SUMIFS(expected_production[Expected Production (kWh)],expected_production[Site Name],A1159,expected_production[Date],B1159)),"")</f>
        <v>14476.565751400651</v>
      </c>
      <c r="E1159" s="9">
        <f t="shared" si="36"/>
        <v>0.8392183760036146</v>
      </c>
      <c r="F1159" t="str">
        <f t="shared" si="37"/>
        <v>Moderate</v>
      </c>
    </row>
    <row r="1160" spans="1:6" ht="15" hidden="1" customHeight="1" x14ac:dyDescent="0.3">
      <c r="A1160" t="s">
        <v>127</v>
      </c>
      <c r="B1160" s="2">
        <v>45474</v>
      </c>
      <c r="C1160" cm="1">
        <f t="array" ref="C1160">IFERROR(IF(SUMPRODUCT((measured[Site Name]=A1160)*(measured[Date]=B1160)*ISNUMBER(measured[Measured Value (kWh)]))=0,"",SUMIFS(measured[Measured Value (kWh)],measured[Site Name],A1160,measured[Date],B1160)),"")</f>
        <v>15601</v>
      </c>
      <c r="D1160" cm="1">
        <f t="array" ref="D1160">IFERROR(IF(SUMPRODUCT((expected_production[Site Name]=A1160)*(expected_production[Date]=B1160)*ISNUMBER(expected_production[Expected Production (kWh)]))=0,"",SUMIFS(expected_production[Expected Production (kWh)],expected_production[Site Name],A1160,expected_production[Date],B1160)),"")</f>
        <v>15368.715768078422</v>
      </c>
      <c r="E1160" s="9">
        <f t="shared" si="36"/>
        <v>1.0151140951154842</v>
      </c>
      <c r="F1160" t="str">
        <f t="shared" si="37"/>
        <v>Expected</v>
      </c>
    </row>
    <row r="1161" spans="1:6" ht="15" hidden="1" customHeight="1" x14ac:dyDescent="0.3">
      <c r="A1161" t="s">
        <v>127</v>
      </c>
      <c r="B1161" s="2">
        <v>45505</v>
      </c>
      <c r="C1161" cm="1">
        <f t="array" ref="C1161">IFERROR(IF(SUMPRODUCT((measured[Site Name]=A1161)*(measured[Date]=B1161)*ISNUMBER(measured[Measured Value (kWh)]))=0,"",SUMIFS(measured[Measured Value (kWh)],measured[Site Name],A1161,measured[Date],B1161)),"")</f>
        <v>7706</v>
      </c>
      <c r="D1161" cm="1">
        <f t="array" ref="D1161">IFERROR(IF(SUMPRODUCT((expected_production[Site Name]=A1161)*(expected_production[Date]=B1161)*ISNUMBER(expected_production[Expected Production (kWh)]))=0,"",SUMIFS(expected_production[Expected Production (kWh)],expected_production[Site Name],A1161,expected_production[Date],B1161)),"")</f>
        <v>15581.402902468755</v>
      </c>
      <c r="E1161" s="9">
        <f t="shared" si="36"/>
        <v>0.49456393934714588</v>
      </c>
      <c r="F1161" t="str">
        <f t="shared" si="37"/>
        <v>Poor</v>
      </c>
    </row>
    <row r="1162" spans="1:6" ht="15" hidden="1" customHeight="1" x14ac:dyDescent="0.3">
      <c r="A1162" t="s">
        <v>127</v>
      </c>
      <c r="B1162" s="2">
        <v>45536</v>
      </c>
      <c r="C1162" cm="1">
        <f t="array" ref="C1162">IFERROR(IF(SUMPRODUCT((measured[Site Name]=A1162)*(measured[Date]=B1162)*ISNUMBER(measured[Measured Value (kWh)]))=0,"",SUMIFS(measured[Measured Value (kWh)],measured[Site Name],A1162,measured[Date],B1162)),"")</f>
        <v>1</v>
      </c>
      <c r="D1162" cm="1">
        <f t="array" ref="D1162">IFERROR(IF(SUMPRODUCT((expected_production[Site Name]=A1162)*(expected_production[Date]=B1162)*ISNUMBER(expected_production[Expected Production (kWh)]))=0,"",SUMIFS(expected_production[Expected Production (kWh)],expected_production[Site Name],A1162,expected_production[Date],B1162)),"")</f>
        <v>15151.126694086284</v>
      </c>
      <c r="E1162" s="9">
        <f t="shared" si="36"/>
        <v>6.6001692163944169E-5</v>
      </c>
      <c r="F1162" t="str">
        <f t="shared" si="37"/>
        <v>Poor</v>
      </c>
    </row>
    <row r="1163" spans="1:6" ht="15" hidden="1" customHeight="1" x14ac:dyDescent="0.3">
      <c r="A1163" t="s">
        <v>127</v>
      </c>
      <c r="B1163" s="2">
        <v>45566</v>
      </c>
      <c r="C1163" cm="1">
        <f t="array" ref="C1163">IFERROR(IF(SUMPRODUCT((measured[Site Name]=A1163)*(measured[Date]=B1163)*ISNUMBER(measured[Measured Value (kWh)]))=0,"",SUMIFS(measured[Measured Value (kWh)],measured[Site Name],A1163,measured[Date],B1163)),"")</f>
        <v>7310</v>
      </c>
      <c r="D1163" cm="1">
        <f t="array" ref="D1163">IFERROR(IF(SUMPRODUCT((expected_production[Site Name]=A1163)*(expected_production[Date]=B1163)*ISNUMBER(expected_production[Expected Production (kWh)]))=0,"",SUMIFS(expected_production[Expected Production (kWh)],expected_production[Site Name],A1163,expected_production[Date],B1163)),"")</f>
        <v>14303.585859183031</v>
      </c>
      <c r="E1163" s="9">
        <f t="shared" si="36"/>
        <v>0.51106065793333311</v>
      </c>
      <c r="F1163" t="str">
        <f t="shared" si="37"/>
        <v>Poor</v>
      </c>
    </row>
    <row r="1164" spans="1:6" ht="15" hidden="1" customHeight="1" x14ac:dyDescent="0.3">
      <c r="A1164" t="s">
        <v>127</v>
      </c>
      <c r="B1164" s="2">
        <v>45597</v>
      </c>
      <c r="C1164" cm="1">
        <f t="array" ref="C1164">IFERROR(IF(SUMPRODUCT((measured[Site Name]=A1164)*(measured[Date]=B1164)*ISNUMBER(measured[Measured Value (kWh)]))=0,"",SUMIFS(measured[Measured Value (kWh)],measured[Site Name],A1164,measured[Date],B1164)),"")</f>
        <v>13770</v>
      </c>
      <c r="D1164" cm="1">
        <f t="array" ref="D1164">IFERROR(IF(SUMPRODUCT((expected_production[Site Name]=A1164)*(expected_production[Date]=B1164)*ISNUMBER(expected_production[Expected Production (kWh)]))=0,"",SUMIFS(expected_production[Expected Production (kWh)],expected_production[Site Name],A1164,expected_production[Date],B1164)),"")</f>
        <v>13207.509856850957</v>
      </c>
      <c r="E1164" s="9">
        <f t="shared" si="36"/>
        <v>1.0425886597281069</v>
      </c>
      <c r="F1164" t="str">
        <f t="shared" si="37"/>
        <v>Expected</v>
      </c>
    </row>
    <row r="1165" spans="1:6" ht="15" hidden="1" customHeight="1" x14ac:dyDescent="0.3">
      <c r="A1165" t="s">
        <v>127</v>
      </c>
      <c r="B1165" s="2">
        <v>45627</v>
      </c>
      <c r="C1165" t="str" cm="1">
        <f t="array" ref="C1165">IFERROR(IF(SUMPRODUCT((measured[Site Name]=A1165)*(measured[Date]=B1165)*ISNUMBER(measured[Measured Value (kWh)]))=0,"",SUMIFS(measured[Measured Value (kWh)],measured[Site Name],A1165,measured[Date],B1165)),"")</f>
        <v/>
      </c>
      <c r="D1165" cm="1">
        <f t="array" ref="D1165">IFERROR(IF(SUMPRODUCT((expected_production[Site Name]=A1165)*(expected_production[Date]=B1165)*ISNUMBER(expected_production[Expected Production (kWh)]))=0,"",SUMIFS(expected_production[Expected Production (kWh)],expected_production[Site Name],A1165,expected_production[Date],B1165)),"")</f>
        <v>13778.747869012896</v>
      </c>
      <c r="E1165" s="9" t="str">
        <f t="shared" si="36"/>
        <v/>
      </c>
      <c r="F1165" t="str">
        <f t="shared" si="37"/>
        <v/>
      </c>
    </row>
    <row r="1166" spans="1:6" ht="15" hidden="1" customHeight="1" x14ac:dyDescent="0.3">
      <c r="A1166" t="s">
        <v>127</v>
      </c>
      <c r="B1166" s="2">
        <v>45658</v>
      </c>
      <c r="C1166" cm="1">
        <f t="array" ref="C1166">IFERROR(IF(SUMPRODUCT((measured[Site Name]=A1166)*(measured[Date]=B1166)*ISNUMBER(measured[Measured Value (kWh)]))=0,"",SUMIFS(measured[Measured Value (kWh)],measured[Site Name],A1166,measured[Date],B1166)),"")</f>
        <v>4700</v>
      </c>
      <c r="D1166" cm="1">
        <f t="array" ref="D1166">IFERROR(IF(SUMPRODUCT((expected_production[Site Name]=A1166)*(expected_production[Date]=B1166)*ISNUMBER(expected_production[Expected Production (kWh)]))=0,"",SUMIFS(expected_production[Expected Production (kWh)],expected_production[Site Name],A1166,expected_production[Date],B1166)),"")</f>
        <v>15791.742281470919</v>
      </c>
      <c r="E1166" s="9">
        <f t="shared" si="36"/>
        <v>0.29762390471092587</v>
      </c>
      <c r="F1166" t="str">
        <f t="shared" si="37"/>
        <v>Poor</v>
      </c>
    </row>
    <row r="1167" spans="1:6" ht="15" hidden="1" customHeight="1" x14ac:dyDescent="0.3">
      <c r="A1167" t="s">
        <v>127</v>
      </c>
      <c r="B1167" s="2">
        <v>45689</v>
      </c>
      <c r="C1167" cm="1">
        <f t="array" ref="C1167">IFERROR(IF(SUMPRODUCT((measured[Site Name]=A1167)*(measured[Date]=B1167)*ISNUMBER(measured[Measured Value (kWh)]))=0,"",SUMIFS(measured[Measured Value (kWh)],measured[Site Name],A1167,measured[Date],B1167)),"")</f>
        <v>12300</v>
      </c>
      <c r="D1167" cm="1">
        <f t="array" ref="D1167">IFERROR(IF(SUMPRODUCT((expected_production[Site Name]=A1167)*(expected_production[Date]=B1167)*ISNUMBER(expected_production[Expected Production (kWh)]))=0,"",SUMIFS(expected_production[Expected Production (kWh)],expected_production[Site Name],A1167,expected_production[Date],B1167)),"")</f>
        <v>14743.241590424366</v>
      </c>
      <c r="E1167" s="9">
        <f t="shared" si="36"/>
        <v>0.83428057015553247</v>
      </c>
      <c r="F1167" t="str">
        <f t="shared" si="37"/>
        <v>Moderate</v>
      </c>
    </row>
    <row r="1168" spans="1:6" ht="15" hidden="1" customHeight="1" x14ac:dyDescent="0.3">
      <c r="A1168" t="s">
        <v>127</v>
      </c>
      <c r="B1168" s="2">
        <v>45717</v>
      </c>
      <c r="C1168" cm="1">
        <f t="array" ref="C1168">IFERROR(IF(SUMPRODUCT((measured[Site Name]=A1168)*(measured[Date]=B1168)*ISNUMBER(measured[Measured Value (kWh)]))=0,"",SUMIFS(measured[Measured Value (kWh)],measured[Site Name],A1168,measured[Date],B1168)),"")</f>
        <v>13554</v>
      </c>
      <c r="D1168" cm="1">
        <f t="array" ref="D1168">IFERROR(IF(SUMPRODUCT((expected_production[Site Name]=A1168)*(expected_production[Date]=B1168)*ISNUMBER(expected_production[Expected Production (kWh)]))=0,"",SUMIFS(expected_production[Expected Production (kWh)],expected_production[Site Name],A1168,expected_production[Date],B1168)),"")</f>
        <v>17208.631469319502</v>
      </c>
      <c r="E1168" s="9">
        <f t="shared" si="36"/>
        <v>0.78762800076024753</v>
      </c>
      <c r="F1168" t="str">
        <f t="shared" si="37"/>
        <v>Moderate</v>
      </c>
    </row>
    <row r="1169" spans="1:7" ht="15" hidden="1" customHeight="1" x14ac:dyDescent="0.3">
      <c r="A1169" t="s">
        <v>127</v>
      </c>
      <c r="B1169" s="2">
        <v>45748</v>
      </c>
      <c r="C1169" cm="1">
        <f t="array" ref="C1169">IFERROR(IF(SUMPRODUCT((measured[Site Name]=A1169)*(measured[Date]=B1169)*ISNUMBER(measured[Measured Value (kWh)]))=0,"",SUMIFS(measured[Measured Value (kWh)],measured[Site Name],A1169,measured[Date],B1169)),"")</f>
        <v>9839</v>
      </c>
      <c r="D1169" cm="1">
        <f t="array" ref="D1169">IFERROR(IF(SUMPRODUCT((expected_production[Site Name]=A1169)*(expected_production[Date]=B1169)*ISNUMBER(expected_production[Expected Production (kWh)]))=0,"",SUMIFS(expected_production[Expected Production (kWh)],expected_production[Site Name],A1169,expected_production[Date],B1169)),"")</f>
        <v>15255.757570557145</v>
      </c>
      <c r="E1169" s="9">
        <f t="shared" si="36"/>
        <v>0.64493683479795072</v>
      </c>
      <c r="F1169" t="str">
        <f t="shared" si="37"/>
        <v>Poor</v>
      </c>
    </row>
    <row r="1170" spans="1:7" ht="15" hidden="1" customHeight="1" x14ac:dyDescent="0.3">
      <c r="A1170" t="s">
        <v>127</v>
      </c>
      <c r="B1170" s="2">
        <v>45778</v>
      </c>
      <c r="C1170" t="str" cm="1">
        <f t="array" ref="C1170">IFERROR(IF(SUMPRODUCT((measured[Site Name]=A1170)*(measured[Date]=B1170)*ISNUMBER(measured[Measured Value (kWh)]))=0,"",SUMIFS(measured[Measured Value (kWh)],measured[Site Name],A1170,measured[Date],B1170)),"")</f>
        <v/>
      </c>
      <c r="D1170" cm="1">
        <f t="array" ref="D1170">IFERROR(IF(SUMPRODUCT((expected_production[Site Name]=A1170)*(expected_production[Date]=B1170)*ISNUMBER(expected_production[Expected Production (kWh)]))=0,"",SUMIFS(expected_production[Expected Production (kWh)],expected_production[Site Name],A1170,expected_production[Date],B1170)),"")</f>
        <v>15087.027986652063</v>
      </c>
      <c r="E1170" s="9" t="str">
        <f t="shared" si="36"/>
        <v/>
      </c>
      <c r="F1170" t="str">
        <f t="shared" si="37"/>
        <v/>
      </c>
    </row>
    <row r="1171" spans="1:7" ht="15" hidden="1" customHeight="1" x14ac:dyDescent="0.3">
      <c r="A1171" t="s">
        <v>127</v>
      </c>
      <c r="B1171" s="2">
        <v>45809</v>
      </c>
      <c r="C1171" cm="1">
        <f t="array" ref="C1171">IFERROR(IF(SUMPRODUCT((measured[Site Name]=A1171)*(measured[Date]=B1171)*ISNUMBER(measured[Measured Value (kWh)]))=0,"",SUMIFS(measured[Measured Value (kWh)],measured[Site Name],A1171,measured[Date],B1171)),"")</f>
        <v>12605.8</v>
      </c>
      <c r="D1171" cm="1">
        <f t="array" ref="D1171">IFERROR(IF(SUMPRODUCT((expected_production[Site Name]=A1171)*(expected_production[Date]=B1171)*ISNUMBER(expected_production[Expected Production (kWh)]))=0,"",SUMIFS(expected_production[Expected Production (kWh)],expected_production[Site Name],A1171,expected_production[Date],B1171)),"")</f>
        <v>14375.298908660816</v>
      </c>
      <c r="E1171" s="9">
        <f t="shared" si="36"/>
        <v>0.87690698329794514</v>
      </c>
      <c r="F1171" t="str">
        <f t="shared" si="37"/>
        <v>Moderate</v>
      </c>
    </row>
    <row r="1172" spans="1:7" ht="15" hidden="1" customHeight="1" x14ac:dyDescent="0.3">
      <c r="A1172" t="s">
        <v>127</v>
      </c>
      <c r="B1172" s="2">
        <v>45839</v>
      </c>
      <c r="C1172" cm="1">
        <f t="array" ref="C1172">IFERROR(IF(SUMPRODUCT((measured[Site Name]=A1172)*(measured[Date]=B1172)*ISNUMBER(measured[Measured Value (kWh)]))=0,"",SUMIFS(measured[Measured Value (kWh)],measured[Site Name],A1172,measured[Date],B1172)),"")</f>
        <v>8064</v>
      </c>
      <c r="D1172" cm="1">
        <f t="array" ref="D1172">IFERROR(IF(SUMPRODUCT((expected_production[Site Name]=A1172)*(expected_production[Date]=B1172)*ISNUMBER(expected_production[Expected Production (kWh)]))=0,"",SUMIFS(expected_production[Expected Production (kWh)],expected_production[Site Name],A1172,expected_production[Date],B1172)),"")</f>
        <v>15261.208134740133</v>
      </c>
      <c r="E1172" s="9">
        <f t="shared" si="36"/>
        <v>0.52839853364186584</v>
      </c>
      <c r="F1172" t="str">
        <f t="shared" si="37"/>
        <v>Poor</v>
      </c>
    </row>
    <row r="1173" spans="1:7" ht="15" hidden="1" customHeight="1" x14ac:dyDescent="0.3">
      <c r="A1173" t="s">
        <v>127</v>
      </c>
      <c r="B1173" s="2">
        <v>45870</v>
      </c>
      <c r="C1173" cm="1">
        <f t="array" ref="C1173">IFERROR(IF(SUMPRODUCT((measured[Site Name]=A1173)*(measured[Date]=B1173)*ISNUMBER(measured[Measured Value (kWh)]))=0,"",SUMIFS(measured[Measured Value (kWh)],measured[Site Name],A1173,measured[Date],B1173)),"")</f>
        <v>13494</v>
      </c>
      <c r="D1173" cm="1">
        <f t="array" ref="D1173">IFERROR(IF(SUMPRODUCT((expected_production[Site Name]=A1173)*(expected_production[Date]=B1173)*ISNUMBER(expected_production[Expected Production (kWh)]))=0,"",SUMIFS(expected_production[Expected Production (kWh)],expected_production[Site Name],A1173,expected_production[Date],B1173)),"")</f>
        <v>15472.407474652067</v>
      </c>
      <c r="E1173" s="9">
        <f t="shared" si="36"/>
        <v>0.87213318432227005</v>
      </c>
      <c r="F1173" t="str">
        <f t="shared" si="37"/>
        <v>Moderate</v>
      </c>
    </row>
    <row r="1174" spans="1:7" ht="15" hidden="1" customHeight="1" x14ac:dyDescent="0.3">
      <c r="A1174" t="s">
        <v>127</v>
      </c>
      <c r="B1174" s="2">
        <v>45901</v>
      </c>
      <c r="C1174" cm="1">
        <f t="array" ref="C1174">IFERROR(IF(SUMPRODUCT((measured[Site Name]=A1174)*(measured[Date]=B1174)*ISNUMBER(measured[Measured Value (kWh)]))=0,"",SUMIFS(measured[Measured Value (kWh)],measured[Site Name],A1174,measured[Date],B1174)),"")</f>
        <v>11744.7</v>
      </c>
      <c r="D1174" cm="1">
        <f t="array" ref="D1174">IFERROR(IF(SUMPRODUCT((expected_production[Site Name]=A1174)*(expected_production[Date]=B1174)*ISNUMBER(expected_production[Expected Production (kWh)]))=0,"",SUMIFS(expected_production[Expected Production (kWh)],expected_production[Site Name],A1174,expected_production[Date],B1174)),"")</f>
        <v>15045.141145399581</v>
      </c>
      <c r="E1174" s="9">
        <f t="shared" ref="E1174:E1237" si="38">IF(OR(C1174="",D1174="",D1174=0),"",C1174/D1174)</f>
        <v>0.780630762217291</v>
      </c>
      <c r="F1174" t="str">
        <f t="shared" ref="F1174:F1237" si="39">IF(E1174="","",IF(E1174&gt;=0.9,"Expected",IF(E1174&gt;=0.7,"Moderate","Poor")))</f>
        <v>Moderate</v>
      </c>
    </row>
    <row r="1175" spans="1:7" ht="15" hidden="1" customHeight="1" x14ac:dyDescent="0.3">
      <c r="A1175" t="s">
        <v>127</v>
      </c>
      <c r="B1175" s="2">
        <v>45931</v>
      </c>
      <c r="C1175" cm="1">
        <f t="array" ref="C1175">IFERROR(IF(SUMPRODUCT((measured[Site Name]=A1175)*(measured[Date]=B1175)*ISNUMBER(measured[Measured Value (kWh)]))=0,"",SUMIFS(measured[Measured Value (kWh)],measured[Site Name],A1175,measured[Date],B1175)),"")</f>
        <v>13202</v>
      </c>
      <c r="D1175" cm="1">
        <f t="array" ref="D1175">IFERROR(IF(SUMPRODUCT((expected_production[Site Name]=A1175)*(expected_production[Date]=B1175)*ISNUMBER(expected_production[Expected Production (kWh)]))=0,"",SUMIFS(expected_production[Expected Production (kWh)],expected_production[Site Name],A1175,expected_production[Date],B1175)),"")</f>
        <v>14203.5290498063</v>
      </c>
      <c r="E1175" s="9">
        <f t="shared" si="38"/>
        <v>0.92948730936555812</v>
      </c>
      <c r="F1175" t="str">
        <f t="shared" si="39"/>
        <v>Expected</v>
      </c>
    </row>
    <row r="1176" spans="1:7" ht="15" hidden="1" customHeight="1" x14ac:dyDescent="0.3">
      <c r="A1176" t="s">
        <v>127</v>
      </c>
      <c r="B1176" s="2">
        <v>45962</v>
      </c>
      <c r="C1176" cm="1">
        <f t="array" ref="C1176">IFERROR(IF(SUMPRODUCT((measured[Site Name]=A1176)*(measured[Date]=B1176)*ISNUMBER(measured[Measured Value (kWh)]))=0,"",SUMIFS(measured[Measured Value (kWh)],measured[Site Name],A1176,measured[Date],B1176)),"")</f>
        <v>10765</v>
      </c>
      <c r="D1176" cm="1">
        <f t="array" ref="D1176">IFERROR(IF(SUMPRODUCT((expected_production[Site Name]=A1176)*(expected_production[Date]=B1176)*ISNUMBER(expected_production[Expected Production (kWh)]))=0,"",SUMIFS(expected_production[Expected Production (kWh)],expected_production[Site Name],A1176,expected_production[Date],B1176)),"")</f>
        <v>13115.120346339518</v>
      </c>
      <c r="E1176" s="9">
        <f t="shared" si="38"/>
        <v>0.8208083277714302</v>
      </c>
      <c r="F1176" t="str">
        <f t="shared" si="39"/>
        <v>Moderate</v>
      </c>
    </row>
    <row r="1177" spans="1:7" ht="15" hidden="1" customHeight="1" x14ac:dyDescent="0.3">
      <c r="A1177" t="s">
        <v>127</v>
      </c>
      <c r="B1177" s="2">
        <v>45992</v>
      </c>
      <c r="C1177" cm="1">
        <f t="array" ref="C1177">IFERROR(IF(SUMPRODUCT((measured[Site Name]=A1177)*(measured[Date]=B1177)*ISNUMBER(measured[Measured Value (kWh)]))=0,"",SUMIFS(measured[Measured Value (kWh)],measured[Site Name],A1177,measured[Date],B1177)),"")</f>
        <v>13231</v>
      </c>
      <c r="D1177" cm="1">
        <f t="array" ref="D1177">IFERROR(IF(SUMPRODUCT((expected_production[Site Name]=A1177)*(expected_production[Date]=B1177)*ISNUMBER(expected_production[Expected Production (kWh)]))=0,"",SUMIFS(expected_production[Expected Production (kWh)],expected_production[Site Name],A1177,expected_production[Date],B1177)),"")</f>
        <v>13682.362419758942</v>
      </c>
      <c r="E1177" s="9">
        <f t="shared" si="38"/>
        <v>0.96701136792670239</v>
      </c>
      <c r="F1177" t="str">
        <f t="shared" si="39"/>
        <v>Expected</v>
      </c>
    </row>
    <row r="1178" spans="1:7" ht="15" hidden="1" customHeight="1" x14ac:dyDescent="0.3">
      <c r="A1178" t="s">
        <v>127</v>
      </c>
      <c r="B1178" s="2">
        <v>46023</v>
      </c>
      <c r="C1178" cm="1">
        <f t="array" ref="C1178">IFERROR(IF(SUMPRODUCT((measured[Site Name]=A1178)*(measured[Date]=B1178)*ISNUMBER(measured[Measured Value (kWh)]))=0,"",SUMIFS(measured[Measured Value (kWh)],measured[Site Name],A1178,measured[Date],B1178)),"")</f>
        <v>11720.01</v>
      </c>
      <c r="D1178" cm="1">
        <f t="array" ref="D1178">IFERROR(IF(SUMPRODUCT((expected_production[Site Name]=A1178)*(expected_production[Date]=B1178)*ISNUMBER(expected_production[Expected Production (kWh)]))=0,"",SUMIFS(expected_production[Expected Production (kWh)],expected_production[Site Name],A1178,expected_production[Date],B1178)),"")</f>
        <v>15681.27548225433</v>
      </c>
      <c r="E1178" s="9">
        <f t="shared" si="38"/>
        <v>0.7473888213533979</v>
      </c>
      <c r="F1178" t="str">
        <f t="shared" si="39"/>
        <v>Moderate</v>
      </c>
    </row>
    <row r="1179" spans="1:7" ht="15" hidden="1" customHeight="1" x14ac:dyDescent="0.3">
      <c r="A1179" t="s">
        <v>127</v>
      </c>
      <c r="B1179" s="2">
        <v>46054</v>
      </c>
      <c r="C1179" cm="1">
        <f t="array" ref="C1179">IFERROR(IF(SUMPRODUCT((measured[Site Name]=A1179)*(measured[Date]=B1179)*ISNUMBER(measured[Measured Value (kWh)]))=0,"",SUMIFS(measured[Measured Value (kWh)],measured[Site Name],A1179,measured[Date],B1179)),"")</f>
        <v>15533</v>
      </c>
      <c r="D1179" cm="1">
        <f t="array" ref="D1179">IFERROR(IF(SUMPRODUCT((expected_production[Site Name]=A1179)*(expected_production[Date]=B1179)*ISNUMBER(expected_production[Expected Production (kWh)]))=0,"",SUMIFS(expected_production[Expected Production (kWh)],expected_production[Site Name],A1179,expected_production[Date],B1179)),"")</f>
        <v>14640.109290039625</v>
      </c>
      <c r="E1179" s="9">
        <f t="shared" si="38"/>
        <v>1.0609893472972809</v>
      </c>
      <c r="F1179" t="str">
        <f t="shared" si="39"/>
        <v>Expected</v>
      </c>
    </row>
    <row r="1180" spans="1:7" ht="15" hidden="1" customHeight="1" x14ac:dyDescent="0.3">
      <c r="A1180" t="s">
        <v>127</v>
      </c>
      <c r="B1180" s="2">
        <v>46082</v>
      </c>
      <c r="C1180" cm="1">
        <f t="array" ref="C1180">IFERROR(IF(SUMPRODUCT((measured[Site Name]=A1180)*(measured[Date]=B1180)*ISNUMBER(measured[Measured Value (kWh)]))=0,"",SUMIFS(measured[Measured Value (kWh)],measured[Site Name],A1180,measured[Date],B1180)),"")</f>
        <v>12559</v>
      </c>
      <c r="D1180" cm="1">
        <f t="array" ref="D1180">IFERROR(IF(SUMPRODUCT((expected_production[Site Name]=A1180)*(expected_production[Date]=B1180)*ISNUMBER(expected_production[Expected Production (kWh)]))=0,"",SUMIFS(expected_production[Expected Production (kWh)],expected_production[Site Name],A1180,expected_production[Date],B1180)),"")</f>
        <v>17088.253210642873</v>
      </c>
      <c r="E1180" s="9">
        <f t="shared" si="38"/>
        <v>0.73494931548521458</v>
      </c>
      <c r="F1180" t="str">
        <f t="shared" si="39"/>
        <v>Moderate</v>
      </c>
    </row>
    <row r="1181" spans="1:7" ht="15" hidden="1" customHeight="1" x14ac:dyDescent="0.3">
      <c r="A1181" t="s">
        <v>127</v>
      </c>
      <c r="B1181" s="2">
        <v>46113</v>
      </c>
      <c r="C1181" cm="1">
        <f t="array" ref="C1181">IFERROR(IF(SUMPRODUCT((measured[Site Name]=A1181)*(measured[Date]=B1181)*ISNUMBER(measured[Measured Value (kWh)]))=0,"",SUMIFS(measured[Measured Value (kWh)],measured[Site Name],A1181,measured[Date],B1181)),"")</f>
        <v>11577.01</v>
      </c>
      <c r="D1181" cm="1">
        <f t="array" ref="D1181">IFERROR(IF(SUMPRODUCT((expected_production[Site Name]=A1181)*(expected_production[Date]=B1181)*ISNUMBER(expected_production[Expected Production (kWh)]))=0,"",SUMIFS(expected_production[Expected Production (kWh)],expected_production[Site Name],A1181,expected_production[Date],B1181)),"")</f>
        <v>15149.040105289168</v>
      </c>
      <c r="E1181" s="9">
        <f t="shared" si="38"/>
        <v>0.76420749562594259</v>
      </c>
      <c r="F1181" t="str">
        <f t="shared" si="39"/>
        <v>Moderate</v>
      </c>
    </row>
    <row r="1182" spans="1:7" ht="15" hidden="1" customHeight="1" x14ac:dyDescent="0.3">
      <c r="A1182" t="s">
        <v>127</v>
      </c>
      <c r="B1182" s="2">
        <v>46143</v>
      </c>
      <c r="C1182" cm="1">
        <f t="array" ref="C1182">IFERROR(IF(SUMPRODUCT((measured[Site Name]=A1182)*(measured[Date]=B1182)*ISNUMBER(measured[Measured Value (kWh)]))=0,"",SUMIFS(measured[Measured Value (kWh)],measured[Site Name],A1182,measured[Date],B1182)),"")</f>
        <v>13966.89</v>
      </c>
      <c r="D1182" cm="1">
        <f t="array" ref="D1182">IFERROR(IF(SUMPRODUCT((expected_production[Site Name]=A1182)*(expected_production[Date]=B1182)*ISNUMBER(expected_production[Expected Production (kWh)]))=0,"",SUMIFS(expected_production[Expected Production (kWh)],expected_production[Site Name],A1182,expected_production[Date],B1182)),"")</f>
        <v>14981.490822881853</v>
      </c>
      <c r="E1182" s="9">
        <f t="shared" si="38"/>
        <v>0.93227637790678275</v>
      </c>
      <c r="F1182" t="str">
        <f t="shared" si="39"/>
        <v>Expected</v>
      </c>
    </row>
    <row r="1183" spans="1:7" ht="15" hidden="1" customHeight="1" x14ac:dyDescent="0.3">
      <c r="A1183" t="s">
        <v>127</v>
      </c>
      <c r="B1183" s="2">
        <v>46174</v>
      </c>
      <c r="C1183" cm="1">
        <f t="array" ref="C1183">IFERROR(IF(SUMPRODUCT((measured[Site Name]=A1183)*(measured[Date]=B1183)*ISNUMBER(measured[Measured Value (kWh)]))=0,"",SUMIFS(measured[Measured Value (kWh)],measured[Site Name],A1183,measured[Date],B1183)),"")</f>
        <v>11309.7</v>
      </c>
      <c r="D1183" cm="1">
        <f t="array" ref="D1183">IFERROR(IF(SUMPRODUCT((expected_production[Site Name]=A1183)*(expected_production[Date]=B1183)*ISNUMBER(expected_production[Expected Production (kWh)]))=0,"",SUMIFS(expected_production[Expected Production (kWh)],expected_production[Site Name],A1183,expected_production[Date],B1183)),"")</f>
        <v>14274.740450327517</v>
      </c>
      <c r="E1183" s="9">
        <f t="shared" si="38"/>
        <v>0.79228761036706019</v>
      </c>
      <c r="F1183" t="str">
        <f t="shared" si="39"/>
        <v>Moderate</v>
      </c>
    </row>
    <row r="1184" spans="1:7" ht="15" hidden="1" customHeight="1" x14ac:dyDescent="0.3">
      <c r="A1184" t="s">
        <v>236</v>
      </c>
      <c r="B1184" s="2">
        <v>46204</v>
      </c>
      <c r="C1184" cm="1">
        <f t="array" ref="C1184">IFERROR(IF(SUMPRODUCT((measured[Site Name]=A1184)*(measured[Date]=B1184)*ISNUMBER(measured[Measured Value (kWh)]))=0,"",SUMIFS(measured[Measured Value (kWh)],measured[Site Name],A1184,measured[Date],B1184)),"")</f>
        <v>6010.4031999999997</v>
      </c>
      <c r="D1184" cm="1">
        <f t="array" ref="D1184">IFERROR(IF(SUMPRODUCT((expected_production[Site Name]=A1184)*(expected_production[Date]=B1184)*ISNUMBER(expected_production[Expected Production (kWh)]))=0,"",SUMIFS(expected_production[Expected Production (kWh)],expected_production[Site Name],A1184,expected_production[Date],B1184)),"")</f>
        <v>14838.285436730037</v>
      </c>
      <c r="E1184" s="9">
        <f t="shared" si="38"/>
        <v>0.40506049203785449</v>
      </c>
      <c r="F1184" t="str">
        <f t="shared" si="39"/>
        <v>Poor</v>
      </c>
      <c r="G1184" t="s">
        <v>874</v>
      </c>
    </row>
    <row r="1185" spans="1:7" ht="15" hidden="1" customHeight="1" x14ac:dyDescent="0.3">
      <c r="A1185" t="s">
        <v>127</v>
      </c>
      <c r="B1185" s="2">
        <v>46235</v>
      </c>
      <c r="C1185" cm="1">
        <f t="array" ref="C1185">IFERROR(IF(SUMPRODUCT((measured[Site Name]=A1185)*(measured[Date]=B1185)*ISNUMBER(measured[Measured Value (kWh)]))=0,"",SUMIFS(measured[Measured Value (kWh)],measured[Site Name],A1185,measured[Date],B1185)),"")</f>
        <v>14728.02</v>
      </c>
      <c r="D1185" cm="1">
        <f t="array" ref="D1185">IFERROR(IF(SUMPRODUCT((expected_production[Site Name]=A1185)*(expected_production[Date]=B1185)*ISNUMBER(expected_production[Expected Production (kWh)]))=0,"",SUMIFS(expected_production[Expected Production (kWh)],expected_production[Site Name],A1185,expected_production[Date],B1185)),"")</f>
        <v>15364.174494437775</v>
      </c>
      <c r="E1185" s="9">
        <f t="shared" si="38"/>
        <v>0.95859494470932505</v>
      </c>
      <c r="F1185" t="str">
        <f t="shared" si="39"/>
        <v>Expected</v>
      </c>
      <c r="G1185" t="s">
        <v>874</v>
      </c>
    </row>
    <row r="1186" spans="1:7" ht="15" customHeight="1" x14ac:dyDescent="0.3">
      <c r="A1186" t="s">
        <v>60</v>
      </c>
      <c r="B1186" s="2">
        <v>46266</v>
      </c>
      <c r="C1186" cm="1">
        <f t="array" ref="C1186">IFERROR(IF(SUMPRODUCT((measured[Site Name]=A1186)*(measured[Date]=B1186)*ISNUMBER(measured[Measured Value (kWh)]))=0,"",SUMIFS(measured[Measured Value (kWh)],measured[Site Name],A1186,measured[Date],B1186)),"")</f>
        <v>36563.599999999999</v>
      </c>
      <c r="D1186" cm="1">
        <f t="array" ref="D1186">IFERROR(IF(SUMPRODUCT((expected_production[Site Name]=A1186)*(expected_production[Date]=B1186)*ISNUMBER(expected_production[Expected Production (kWh)]))=0,"",SUMIFS(expected_production[Expected Production (kWh)],expected_production[Site Name],A1186,expected_production[Date],B1186)),"")</f>
        <v>47682.577048471794</v>
      </c>
      <c r="E1186" s="9">
        <f t="shared" si="38"/>
        <v>0.76681258151863763</v>
      </c>
      <c r="F1186" t="str">
        <f t="shared" si="39"/>
        <v>Moderate</v>
      </c>
      <c r="G1186" t="s">
        <v>874</v>
      </c>
    </row>
    <row r="1187" spans="1:7" ht="15" hidden="1" customHeight="1" x14ac:dyDescent="0.3">
      <c r="A1187" t="s">
        <v>127</v>
      </c>
      <c r="B1187" s="2">
        <v>46296</v>
      </c>
      <c r="C1187" t="str" cm="1">
        <f t="array" ref="C1187">IFERROR(IF(SUMPRODUCT((measured[Site Name]=A1187)*(measured[Date]=B1187)*ISNUMBER(measured[Measured Value (kWh)]))=0,"",SUMIFS(measured[Measured Value (kWh)],measured[Site Name],A1187,measured[Date],B1187)),"")</f>
        <v/>
      </c>
      <c r="D1187" cm="1">
        <f t="array" ref="D1187">IFERROR(IF(SUMPRODUCT((expected_production[Site Name]=A1187)*(expected_production[Date]=B1187)*ISNUMBER(expected_production[Expected Production (kWh)]))=0,"",SUMIFS(expected_production[Expected Production (kWh)],expected_production[Site Name],A1187,expected_production[Date],B1187)),"")</f>
        <v>14104.172160379796</v>
      </c>
      <c r="E1187" s="9" t="str">
        <f t="shared" si="38"/>
        <v/>
      </c>
      <c r="F1187" t="str">
        <f t="shared" si="39"/>
        <v/>
      </c>
    </row>
    <row r="1188" spans="1:7" ht="15" hidden="1" customHeight="1" x14ac:dyDescent="0.3">
      <c r="A1188" t="s">
        <v>127</v>
      </c>
      <c r="B1188" s="2">
        <v>46327</v>
      </c>
      <c r="C1188" t="str" cm="1">
        <f t="array" ref="C1188">IFERROR(IF(SUMPRODUCT((measured[Site Name]=A1188)*(measured[Date]=B1188)*ISNUMBER(measured[Measured Value (kWh)]))=0,"",SUMIFS(measured[Measured Value (kWh)],measured[Site Name],A1188,measured[Date],B1188)),"")</f>
        <v/>
      </c>
      <c r="D1188" cm="1">
        <f t="array" ref="D1188">IFERROR(IF(SUMPRODUCT((expected_production[Site Name]=A1188)*(expected_production[Date]=B1188)*ISNUMBER(expected_production[Expected Production (kWh)]))=0,"",SUMIFS(expected_production[Expected Production (kWh)],expected_production[Site Name],A1188,expected_production[Date],B1188)),"")</f>
        <v>13023.377121293324</v>
      </c>
      <c r="E1188" s="9" t="str">
        <f t="shared" si="38"/>
        <v/>
      </c>
      <c r="F1188" t="str">
        <f t="shared" si="39"/>
        <v/>
      </c>
    </row>
    <row r="1189" spans="1:7" ht="15" hidden="1" customHeight="1" x14ac:dyDescent="0.3">
      <c r="A1189" t="s">
        <v>127</v>
      </c>
      <c r="B1189" s="2">
        <v>46357</v>
      </c>
      <c r="C1189" t="str" cm="1">
        <f t="array" ref="C1189">IFERROR(IF(SUMPRODUCT((measured[Site Name]=A1189)*(measured[Date]=B1189)*ISNUMBER(measured[Measured Value (kWh)]))=0,"",SUMIFS(measured[Measured Value (kWh)],measured[Site Name],A1189,measured[Date],B1189)),"")</f>
        <v/>
      </c>
      <c r="D1189" cm="1">
        <f t="array" ref="D1189">IFERROR(IF(SUMPRODUCT((expected_production[Site Name]=A1189)*(expected_production[Date]=B1189)*ISNUMBER(expected_production[Expected Production (kWh)]))=0,"",SUMIFS(expected_production[Expected Production (kWh)],expected_production[Site Name],A1189,expected_production[Date],B1189)),"")</f>
        <v>13586.65120846305</v>
      </c>
      <c r="E1189" s="9" t="str">
        <f t="shared" si="38"/>
        <v/>
      </c>
      <c r="F1189" t="str">
        <f t="shared" si="39"/>
        <v/>
      </c>
    </row>
    <row r="1190" spans="1:7" ht="15" hidden="1" customHeight="1" x14ac:dyDescent="0.3">
      <c r="A1190" t="s">
        <v>234</v>
      </c>
      <c r="B1190" s="2">
        <v>45292</v>
      </c>
      <c r="C1190" t="str" cm="1">
        <f t="array" ref="C1190">IFERROR(IF(SUMPRODUCT((measured[Site Name]=A1190)*(measured[Date]=B1190)*ISNUMBER(measured[Measured Value (kWh)]))=0,"",SUMIFS(measured[Measured Value (kWh)],measured[Site Name],A1190,measured[Date],B1190)),"")</f>
        <v/>
      </c>
      <c r="D1190" cm="1">
        <f t="array" ref="D1190">IFERROR(IF(SUMPRODUCT((expected_production[Site Name]=A1190)*(expected_production[Date]=B1190)*ISNUMBER(expected_production[Expected Production (kWh)]))=0,"",SUMIFS(expected_production[Expected Production (kWh)],expected_production[Site Name],A1190,expected_production[Date],B1190)),"")</f>
        <v>53361.9</v>
      </c>
      <c r="E1190" s="9" t="str">
        <f t="shared" si="38"/>
        <v/>
      </c>
      <c r="F1190" t="str">
        <f t="shared" si="39"/>
        <v/>
      </c>
    </row>
    <row r="1191" spans="1:7" ht="15" hidden="1" customHeight="1" x14ac:dyDescent="0.3">
      <c r="A1191" t="s">
        <v>234</v>
      </c>
      <c r="B1191" s="2">
        <v>45323</v>
      </c>
      <c r="C1191" t="str" cm="1">
        <f t="array" ref="C1191">IFERROR(IF(SUMPRODUCT((measured[Site Name]=A1191)*(measured[Date]=B1191)*ISNUMBER(measured[Measured Value (kWh)]))=0,"",SUMIFS(measured[Measured Value (kWh)],measured[Site Name],A1191,measured[Date],B1191)),"")</f>
        <v/>
      </c>
      <c r="D1191" cm="1">
        <f t="array" ref="D1191">IFERROR(IF(SUMPRODUCT((expected_production[Site Name]=A1191)*(expected_production[Date]=B1191)*ISNUMBER(expected_production[Expected Production (kWh)]))=0,"",SUMIFS(expected_production[Expected Production (kWh)],expected_production[Site Name],A1191,expected_production[Date],B1191)),"")</f>
        <v>43750.8</v>
      </c>
      <c r="E1191" s="9" t="str">
        <f t="shared" si="38"/>
        <v/>
      </c>
      <c r="F1191" t="str">
        <f t="shared" si="39"/>
        <v/>
      </c>
    </row>
    <row r="1192" spans="1:7" ht="15" hidden="1" customHeight="1" x14ac:dyDescent="0.3">
      <c r="A1192" t="s">
        <v>234</v>
      </c>
      <c r="B1192" s="2">
        <v>45352</v>
      </c>
      <c r="C1192" t="str" cm="1">
        <f t="array" ref="C1192">IFERROR(IF(SUMPRODUCT((measured[Site Name]=A1192)*(measured[Date]=B1192)*ISNUMBER(measured[Measured Value (kWh)]))=0,"",SUMIFS(measured[Measured Value (kWh)],measured[Site Name],A1192,measured[Date],B1192)),"")</f>
        <v/>
      </c>
      <c r="D1192" cm="1">
        <f t="array" ref="D1192">IFERROR(IF(SUMPRODUCT((expected_production[Site Name]=A1192)*(expected_production[Date]=B1192)*ISNUMBER(expected_production[Expected Production (kWh)]))=0,"",SUMIFS(expected_production[Expected Production (kWh)],expected_production[Site Name],A1192,expected_production[Date],B1192)),"")</f>
        <v>40931.1</v>
      </c>
      <c r="E1192" s="9" t="str">
        <f t="shared" si="38"/>
        <v/>
      </c>
      <c r="F1192" t="str">
        <f t="shared" si="39"/>
        <v/>
      </c>
    </row>
    <row r="1193" spans="1:7" ht="15" hidden="1" customHeight="1" x14ac:dyDescent="0.3">
      <c r="A1193" t="s">
        <v>234</v>
      </c>
      <c r="B1193" s="2">
        <v>45383</v>
      </c>
      <c r="C1193" t="str" cm="1">
        <f t="array" ref="C1193">IFERROR(IF(SUMPRODUCT((measured[Site Name]=A1193)*(measured[Date]=B1193)*ISNUMBER(measured[Measured Value (kWh)]))=0,"",SUMIFS(measured[Measured Value (kWh)],measured[Site Name],A1193,measured[Date],B1193)),"")</f>
        <v/>
      </c>
      <c r="D1193" cm="1">
        <f t="array" ref="D1193">IFERROR(IF(SUMPRODUCT((expected_production[Site Name]=A1193)*(expected_production[Date]=B1193)*ISNUMBER(expected_production[Expected Production (kWh)]))=0,"",SUMIFS(expected_production[Expected Production (kWh)],expected_production[Site Name],A1193,expected_production[Date],B1193)),"")</f>
        <v>29080.799999999999</v>
      </c>
      <c r="E1193" s="9" t="str">
        <f t="shared" si="38"/>
        <v/>
      </c>
      <c r="F1193" t="str">
        <f t="shared" si="39"/>
        <v/>
      </c>
    </row>
    <row r="1194" spans="1:7" ht="15" hidden="1" customHeight="1" x14ac:dyDescent="0.3">
      <c r="A1194" t="s">
        <v>234</v>
      </c>
      <c r="B1194" s="2">
        <v>45413</v>
      </c>
      <c r="C1194" t="str" cm="1">
        <f t="array" ref="C1194">IFERROR(IF(SUMPRODUCT((measured[Site Name]=A1194)*(measured[Date]=B1194)*ISNUMBER(measured[Measured Value (kWh)]))=0,"",SUMIFS(measured[Measured Value (kWh)],measured[Site Name],A1194,measured[Date],B1194)),"")</f>
        <v/>
      </c>
      <c r="D1194" cm="1">
        <f t="array" ref="D1194">IFERROR(IF(SUMPRODUCT((expected_production[Site Name]=A1194)*(expected_production[Date]=B1194)*ISNUMBER(expected_production[Expected Production (kWh)]))=0,"",SUMIFS(expected_production[Expected Production (kWh)],expected_production[Site Name],A1194,expected_production[Date],B1194)),"")</f>
        <v>21434.400000000001</v>
      </c>
      <c r="E1194" s="9" t="str">
        <f t="shared" si="38"/>
        <v/>
      </c>
      <c r="F1194" t="str">
        <f t="shared" si="39"/>
        <v/>
      </c>
    </row>
    <row r="1195" spans="1:7" ht="15" hidden="1" customHeight="1" x14ac:dyDescent="0.3">
      <c r="A1195" t="s">
        <v>234</v>
      </c>
      <c r="B1195" s="2">
        <v>45444</v>
      </c>
      <c r="C1195" t="str" cm="1">
        <f t="array" ref="C1195">IFERROR(IF(SUMPRODUCT((measured[Site Name]=A1195)*(measured[Date]=B1195)*ISNUMBER(measured[Measured Value (kWh)]))=0,"",SUMIFS(measured[Measured Value (kWh)],measured[Site Name],A1195,measured[Date],B1195)),"")</f>
        <v/>
      </c>
      <c r="D1195" cm="1">
        <f t="array" ref="D1195">IFERROR(IF(SUMPRODUCT((expected_production[Site Name]=A1195)*(expected_production[Date]=B1195)*ISNUMBER(expected_production[Expected Production (kWh)]))=0,"",SUMIFS(expected_production[Expected Production (kWh)],expected_production[Site Name],A1195,expected_production[Date],B1195)),"")</f>
        <v>17483.400000000001</v>
      </c>
      <c r="E1195" s="9" t="str">
        <f t="shared" si="38"/>
        <v/>
      </c>
      <c r="F1195" t="str">
        <f t="shared" si="39"/>
        <v/>
      </c>
    </row>
    <row r="1196" spans="1:7" ht="15" hidden="1" customHeight="1" x14ac:dyDescent="0.3">
      <c r="A1196" t="s">
        <v>234</v>
      </c>
      <c r="B1196" s="2">
        <v>45474</v>
      </c>
      <c r="C1196" t="str" cm="1">
        <f t="array" ref="C1196">IFERROR(IF(SUMPRODUCT((measured[Site Name]=A1196)*(measured[Date]=B1196)*ISNUMBER(measured[Measured Value (kWh)]))=0,"",SUMIFS(measured[Measured Value (kWh)],measured[Site Name],A1196,measured[Date],B1196)),"")</f>
        <v/>
      </c>
      <c r="D1196" cm="1">
        <f t="array" ref="D1196">IFERROR(IF(SUMPRODUCT((expected_production[Site Name]=A1196)*(expected_production[Date]=B1196)*ISNUMBER(expected_production[Expected Production (kWh)]))=0,"",SUMIFS(expected_production[Expected Production (kWh)],expected_production[Site Name],A1196,expected_production[Date],B1196)),"")</f>
        <v>19783.8</v>
      </c>
      <c r="E1196" s="9" t="str">
        <f t="shared" si="38"/>
        <v/>
      </c>
      <c r="F1196" t="str">
        <f t="shared" si="39"/>
        <v/>
      </c>
    </row>
    <row r="1197" spans="1:7" ht="15" hidden="1" customHeight="1" x14ac:dyDescent="0.3">
      <c r="A1197" t="s">
        <v>234</v>
      </c>
      <c r="B1197" s="2">
        <v>45505</v>
      </c>
      <c r="C1197" t="str" cm="1">
        <f t="array" ref="C1197">IFERROR(IF(SUMPRODUCT((measured[Site Name]=A1197)*(measured[Date]=B1197)*ISNUMBER(measured[Measured Value (kWh)]))=0,"",SUMIFS(measured[Measured Value (kWh)],measured[Site Name],A1197,measured[Date],B1197)),"")</f>
        <v/>
      </c>
      <c r="D1197" cm="1">
        <f t="array" ref="D1197">IFERROR(IF(SUMPRODUCT((expected_production[Site Name]=A1197)*(expected_production[Date]=B1197)*ISNUMBER(expected_production[Expected Production (kWh)]))=0,"",SUMIFS(expected_production[Expected Production (kWh)],expected_production[Site Name],A1197,expected_production[Date],B1197)),"")</f>
        <v>25524</v>
      </c>
      <c r="E1197" s="9" t="str">
        <f t="shared" si="38"/>
        <v/>
      </c>
      <c r="F1197" t="str">
        <f t="shared" si="39"/>
        <v/>
      </c>
    </row>
    <row r="1198" spans="1:7" ht="15" hidden="1" customHeight="1" x14ac:dyDescent="0.3">
      <c r="A1198" t="s">
        <v>234</v>
      </c>
      <c r="B1198" s="2">
        <v>45536</v>
      </c>
      <c r="C1198" t="str" cm="1">
        <f t="array" ref="C1198">IFERROR(IF(SUMPRODUCT((measured[Site Name]=A1198)*(measured[Date]=B1198)*ISNUMBER(measured[Measured Value (kWh)]))=0,"",SUMIFS(measured[Measured Value (kWh)],measured[Site Name],A1198,measured[Date],B1198)),"")</f>
        <v/>
      </c>
      <c r="D1198" cm="1">
        <f t="array" ref="D1198">IFERROR(IF(SUMPRODUCT((expected_production[Site Name]=A1198)*(expected_production[Date]=B1198)*ISNUMBER(expected_production[Expected Production (kWh)]))=0,"",SUMIFS(expected_production[Expected Production (kWh)],expected_production[Site Name],A1198,expected_production[Date],B1198)),"")</f>
        <v>33381.9</v>
      </c>
      <c r="E1198" s="9" t="str">
        <f t="shared" si="38"/>
        <v/>
      </c>
      <c r="F1198" t="str">
        <f t="shared" si="39"/>
        <v/>
      </c>
    </row>
    <row r="1199" spans="1:7" ht="15" hidden="1" customHeight="1" x14ac:dyDescent="0.3">
      <c r="A1199" t="s">
        <v>234</v>
      </c>
      <c r="B1199" s="2">
        <v>45566</v>
      </c>
      <c r="C1199" t="str" cm="1">
        <f t="array" ref="C1199">IFERROR(IF(SUMPRODUCT((measured[Site Name]=A1199)*(measured[Date]=B1199)*ISNUMBER(measured[Measured Value (kWh)]))=0,"",SUMIFS(measured[Measured Value (kWh)],measured[Site Name],A1199,measured[Date],B1199)),"")</f>
        <v/>
      </c>
      <c r="D1199" cm="1">
        <f t="array" ref="D1199">IFERROR(IF(SUMPRODUCT((expected_production[Site Name]=A1199)*(expected_production[Date]=B1199)*ISNUMBER(expected_production[Expected Production (kWh)]))=0,"",SUMIFS(expected_production[Expected Production (kWh)],expected_production[Site Name],A1199,expected_production[Date],B1199)),"")</f>
        <v>43038</v>
      </c>
      <c r="E1199" s="9" t="str">
        <f t="shared" si="38"/>
        <v/>
      </c>
      <c r="F1199" t="str">
        <f t="shared" si="39"/>
        <v/>
      </c>
    </row>
    <row r="1200" spans="1:7" ht="15" hidden="1" customHeight="1" x14ac:dyDescent="0.3">
      <c r="A1200" t="s">
        <v>234</v>
      </c>
      <c r="B1200" s="2">
        <v>45597</v>
      </c>
      <c r="C1200" t="str" cm="1">
        <f t="array" ref="C1200">IFERROR(IF(SUMPRODUCT((measured[Site Name]=A1200)*(measured[Date]=B1200)*ISNUMBER(measured[Measured Value (kWh)]))=0,"",SUMIFS(measured[Measured Value (kWh)],measured[Site Name],A1200,measured[Date],B1200)),"")</f>
        <v/>
      </c>
      <c r="D1200" cm="1">
        <f t="array" ref="D1200">IFERROR(IF(SUMPRODUCT((expected_production[Site Name]=A1200)*(expected_production[Date]=B1200)*ISNUMBER(expected_production[Expected Production (kWh)]))=0,"",SUMIFS(expected_production[Expected Production (kWh)],expected_production[Site Name],A1200,expected_production[Date],B1200)),"")</f>
        <v>49565.7</v>
      </c>
      <c r="E1200" s="9" t="str">
        <f t="shared" si="38"/>
        <v/>
      </c>
      <c r="F1200" t="str">
        <f t="shared" si="39"/>
        <v/>
      </c>
    </row>
    <row r="1201" spans="1:6" ht="15" hidden="1" customHeight="1" x14ac:dyDescent="0.3">
      <c r="A1201" t="s">
        <v>234</v>
      </c>
      <c r="B1201" s="2">
        <v>45627</v>
      </c>
      <c r="C1201" t="str" cm="1">
        <f t="array" ref="C1201">IFERROR(IF(SUMPRODUCT((measured[Site Name]=A1201)*(measured[Date]=B1201)*ISNUMBER(measured[Measured Value (kWh)]))=0,"",SUMIFS(measured[Measured Value (kWh)],measured[Site Name],A1201,measured[Date],B1201)),"")</f>
        <v/>
      </c>
      <c r="D1201" cm="1">
        <f t="array" ref="D1201">IFERROR(IF(SUMPRODUCT((expected_production[Site Name]=A1201)*(expected_production[Date]=B1201)*ISNUMBER(expected_production[Expected Production (kWh)]))=0,"",SUMIFS(expected_production[Expected Production (kWh)],expected_production[Site Name],A1201,expected_production[Date],B1201)),"")</f>
        <v>54135.9</v>
      </c>
      <c r="E1201" s="9" t="str">
        <f t="shared" si="38"/>
        <v/>
      </c>
      <c r="F1201" t="str">
        <f t="shared" si="39"/>
        <v/>
      </c>
    </row>
    <row r="1202" spans="1:6" ht="15" hidden="1" customHeight="1" x14ac:dyDescent="0.3">
      <c r="A1202" t="s">
        <v>234</v>
      </c>
      <c r="B1202" s="2">
        <v>45658</v>
      </c>
      <c r="C1202" t="str" cm="1">
        <f t="array" ref="C1202">IFERROR(IF(SUMPRODUCT((measured[Site Name]=A1202)*(measured[Date]=B1202)*ISNUMBER(measured[Measured Value (kWh)]))=0,"",SUMIFS(measured[Measured Value (kWh)],measured[Site Name],A1202,measured[Date],B1202)),"")</f>
        <v/>
      </c>
      <c r="D1202" cm="1">
        <f t="array" ref="D1202">IFERROR(IF(SUMPRODUCT((expected_production[Site Name]=A1202)*(expected_production[Date]=B1202)*ISNUMBER(expected_production[Expected Production (kWh)]))=0,"",SUMIFS(expected_production[Expected Production (kWh)],expected_production[Site Name],A1202,expected_production[Date],B1202)),"")</f>
        <v>53361.9</v>
      </c>
      <c r="E1202" s="9" t="str">
        <f t="shared" si="38"/>
        <v/>
      </c>
      <c r="F1202" t="str">
        <f t="shared" si="39"/>
        <v/>
      </c>
    </row>
    <row r="1203" spans="1:6" ht="15" hidden="1" customHeight="1" x14ac:dyDescent="0.3">
      <c r="A1203" t="s">
        <v>234</v>
      </c>
      <c r="B1203" s="2">
        <v>45689</v>
      </c>
      <c r="C1203" t="str" cm="1">
        <f t="array" ref="C1203">IFERROR(IF(SUMPRODUCT((measured[Site Name]=A1203)*(measured[Date]=B1203)*ISNUMBER(measured[Measured Value (kWh)]))=0,"",SUMIFS(measured[Measured Value (kWh)],measured[Site Name],A1203,measured[Date],B1203)),"")</f>
        <v/>
      </c>
      <c r="D1203" cm="1">
        <f t="array" ref="D1203">IFERROR(IF(SUMPRODUCT((expected_production[Site Name]=A1203)*(expected_production[Date]=B1203)*ISNUMBER(expected_production[Expected Production (kWh)]))=0,"",SUMIFS(expected_production[Expected Production (kWh)],expected_production[Site Name],A1203,expected_production[Date],B1203)),"")</f>
        <v>43750.8</v>
      </c>
      <c r="E1203" s="9" t="str">
        <f t="shared" si="38"/>
        <v/>
      </c>
      <c r="F1203" t="str">
        <f t="shared" si="39"/>
        <v/>
      </c>
    </row>
    <row r="1204" spans="1:6" ht="15" hidden="1" customHeight="1" x14ac:dyDescent="0.3">
      <c r="A1204" t="s">
        <v>234</v>
      </c>
      <c r="B1204" s="2">
        <v>45717</v>
      </c>
      <c r="C1204" t="str" cm="1">
        <f t="array" ref="C1204">IFERROR(IF(SUMPRODUCT((measured[Site Name]=A1204)*(measured[Date]=B1204)*ISNUMBER(measured[Measured Value (kWh)]))=0,"",SUMIFS(measured[Measured Value (kWh)],measured[Site Name],A1204,measured[Date],B1204)),"")</f>
        <v/>
      </c>
      <c r="D1204" cm="1">
        <f t="array" ref="D1204">IFERROR(IF(SUMPRODUCT((expected_production[Site Name]=A1204)*(expected_production[Date]=B1204)*ISNUMBER(expected_production[Expected Production (kWh)]))=0,"",SUMIFS(expected_production[Expected Production (kWh)],expected_production[Site Name],A1204,expected_production[Date],B1204)),"")</f>
        <v>40927.951316554027</v>
      </c>
      <c r="E1204" s="9" t="str">
        <f t="shared" si="38"/>
        <v/>
      </c>
      <c r="F1204" t="str">
        <f t="shared" si="39"/>
        <v/>
      </c>
    </row>
    <row r="1205" spans="1:6" ht="15" hidden="1" customHeight="1" x14ac:dyDescent="0.3">
      <c r="A1205" t="s">
        <v>234</v>
      </c>
      <c r="B1205" s="2">
        <v>45748</v>
      </c>
      <c r="C1205" t="str" cm="1">
        <f t="array" ref="C1205">IFERROR(IF(SUMPRODUCT((measured[Site Name]=A1205)*(measured[Date]=B1205)*ISNUMBER(measured[Measured Value (kWh)]))=0,"",SUMIFS(measured[Measured Value (kWh)],measured[Site Name],A1205,measured[Date],B1205)),"")</f>
        <v/>
      </c>
      <c r="D1205" cm="1">
        <f t="array" ref="D1205">IFERROR(IF(SUMPRODUCT((expected_production[Site Name]=A1205)*(expected_production[Date]=B1205)*ISNUMBER(expected_production[Expected Production (kWh)]))=0,"",SUMIFS(expected_production[Expected Production (kWh)],expected_production[Site Name],A1205,expected_production[Date],B1205)),"")</f>
        <v>29061.231365051372</v>
      </c>
      <c r="E1205" s="9" t="str">
        <f t="shared" si="38"/>
        <v/>
      </c>
      <c r="F1205" t="str">
        <f t="shared" si="39"/>
        <v/>
      </c>
    </row>
    <row r="1206" spans="1:6" ht="15" hidden="1" customHeight="1" x14ac:dyDescent="0.3">
      <c r="A1206" t="s">
        <v>234</v>
      </c>
      <c r="B1206" s="2">
        <v>45778</v>
      </c>
      <c r="C1206" t="str" cm="1">
        <f t="array" ref="C1206">IFERROR(IF(SUMPRODUCT((measured[Site Name]=A1206)*(measured[Date]=B1206)*ISNUMBER(measured[Measured Value (kWh)]))=0,"",SUMIFS(measured[Measured Value (kWh)],measured[Site Name],A1206,measured[Date],B1206)),"")</f>
        <v/>
      </c>
      <c r="D1206" cm="1">
        <f t="array" ref="D1206">IFERROR(IF(SUMPRODUCT((expected_production[Site Name]=A1206)*(expected_production[Date]=B1206)*ISNUMBER(expected_production[Expected Production (kWh)]))=0,"",SUMIFS(expected_production[Expected Production (kWh)],expected_production[Site Name],A1206,expected_production[Date],B1206)),"")</f>
        <v>21407.621542447388</v>
      </c>
      <c r="E1206" s="9" t="str">
        <f t="shared" si="38"/>
        <v/>
      </c>
      <c r="F1206" t="str">
        <f t="shared" si="39"/>
        <v/>
      </c>
    </row>
    <row r="1207" spans="1:6" ht="15" hidden="1" customHeight="1" x14ac:dyDescent="0.3">
      <c r="A1207" t="s">
        <v>234</v>
      </c>
      <c r="B1207" s="2">
        <v>45809</v>
      </c>
      <c r="C1207" t="str" cm="1">
        <f t="array" ref="C1207">IFERROR(IF(SUMPRODUCT((measured[Site Name]=A1207)*(measured[Date]=B1207)*ISNUMBER(measured[Measured Value (kWh)]))=0,"",SUMIFS(measured[Measured Value (kWh)],measured[Site Name],A1207,measured[Date],B1207)),"")</f>
        <v/>
      </c>
      <c r="D1207" cm="1">
        <f t="array" ref="D1207">IFERROR(IF(SUMPRODUCT((expected_production[Site Name]=A1207)*(expected_production[Date]=B1207)*ISNUMBER(expected_production[Expected Production (kWh)]))=0,"",SUMIFS(expected_production[Expected Production (kWh)],expected_production[Site Name],A1207,expected_production[Date],B1207)),"")</f>
        <v>17451.150085567358</v>
      </c>
      <c r="E1207" s="9" t="str">
        <f t="shared" si="38"/>
        <v/>
      </c>
      <c r="F1207" t="str">
        <f t="shared" si="39"/>
        <v/>
      </c>
    </row>
    <row r="1208" spans="1:6" ht="15" hidden="1" customHeight="1" x14ac:dyDescent="0.3">
      <c r="A1208" t="s">
        <v>234</v>
      </c>
      <c r="B1208" s="2">
        <v>45839</v>
      </c>
      <c r="C1208" t="str" cm="1">
        <f t="array" ref="C1208">IFERROR(IF(SUMPRODUCT((measured[Site Name]=A1208)*(measured[Date]=B1208)*ISNUMBER(measured[Measured Value (kWh)]))=0,"",SUMIFS(measured[Measured Value (kWh)],measured[Site Name],A1208,measured[Date],B1208)),"")</f>
        <v/>
      </c>
      <c r="D1208" cm="1">
        <f t="array" ref="D1208">IFERROR(IF(SUMPRODUCT((expected_production[Site Name]=A1208)*(expected_production[Date]=B1208)*ISNUMBER(expected_production[Expected Production (kWh)]))=0,"",SUMIFS(expected_production[Expected Production (kWh)],expected_production[Site Name],A1208,expected_production[Date],B1208)),"")</f>
        <v>19735.916437409844</v>
      </c>
      <c r="E1208" s="9" t="str">
        <f t="shared" si="38"/>
        <v/>
      </c>
      <c r="F1208" t="str">
        <f t="shared" si="39"/>
        <v/>
      </c>
    </row>
    <row r="1209" spans="1:6" ht="15" hidden="1" customHeight="1" x14ac:dyDescent="0.3">
      <c r="A1209" t="s">
        <v>234</v>
      </c>
      <c r="B1209" s="2">
        <v>45870</v>
      </c>
      <c r="C1209" t="str" cm="1">
        <f t="array" ref="C1209">IFERROR(IF(SUMPRODUCT((measured[Site Name]=A1209)*(measured[Date]=B1209)*ISNUMBER(measured[Measured Value (kWh)]))=0,"",SUMIFS(measured[Measured Value (kWh)],measured[Site Name],A1209,measured[Date],B1209)),"")</f>
        <v/>
      </c>
      <c r="D1209" cm="1">
        <f t="array" ref="D1209">IFERROR(IF(SUMPRODUCT((expected_production[Site Name]=A1209)*(expected_production[Date]=B1209)*ISNUMBER(expected_production[Expected Production (kWh)]))=0,"",SUMIFS(expected_production[Expected Production (kWh)],expected_production[Site Name],A1209,expected_production[Date],B1209)),"")</f>
        <v>25447.047066493375</v>
      </c>
      <c r="E1209" s="9" t="str">
        <f t="shared" si="38"/>
        <v/>
      </c>
      <c r="F1209" t="str">
        <f t="shared" si="39"/>
        <v/>
      </c>
    </row>
    <row r="1210" spans="1:6" ht="15" hidden="1" customHeight="1" x14ac:dyDescent="0.3">
      <c r="A1210" t="s">
        <v>234</v>
      </c>
      <c r="B1210" s="2">
        <v>45901</v>
      </c>
      <c r="C1210" t="str" cm="1">
        <f t="array" ref="C1210">IFERROR(IF(SUMPRODUCT((measured[Site Name]=A1210)*(measured[Date]=B1210)*ISNUMBER(measured[Measured Value (kWh)]))=0,"",SUMIFS(measured[Measured Value (kWh)],measured[Site Name],A1210,measured[Date],B1210)),"")</f>
        <v/>
      </c>
      <c r="D1210" cm="1">
        <f t="array" ref="D1210">IFERROR(IF(SUMPRODUCT((expected_production[Site Name]=A1210)*(expected_production[Date]=B1210)*ISNUMBER(expected_production[Expected Production (kWh)]))=0,"",SUMIFS(expected_production[Expected Production (kWh)],expected_production[Site Name],A1210,expected_production[Date],B1210)),"")</f>
        <v>33261.41962776523</v>
      </c>
      <c r="E1210" s="9" t="str">
        <f t="shared" si="38"/>
        <v/>
      </c>
      <c r="F1210" t="str">
        <f t="shared" si="39"/>
        <v/>
      </c>
    </row>
    <row r="1211" spans="1:6" ht="15" hidden="1" customHeight="1" x14ac:dyDescent="0.3">
      <c r="A1211" t="s">
        <v>234</v>
      </c>
      <c r="B1211" s="2">
        <v>45931</v>
      </c>
      <c r="C1211" t="str" cm="1">
        <f t="array" ref="C1211">IFERROR(IF(SUMPRODUCT((measured[Site Name]=A1211)*(measured[Date]=B1211)*ISNUMBER(measured[Measured Value (kWh)]))=0,"",SUMIFS(measured[Measured Value (kWh)],measured[Site Name],A1211,measured[Date],B1211)),"")</f>
        <v/>
      </c>
      <c r="D1211" cm="1">
        <f t="array" ref="D1211">IFERROR(IF(SUMPRODUCT((expected_production[Site Name]=A1211)*(expected_production[Date]=B1211)*ISNUMBER(expected_production[Expected Production (kWh)]))=0,"",SUMIFS(expected_production[Expected Production (kWh)],expected_production[Site Name],A1211,expected_production[Date],B1211)),"")</f>
        <v>42857.934393407304</v>
      </c>
      <c r="E1211" s="9" t="str">
        <f t="shared" si="38"/>
        <v/>
      </c>
      <c r="F1211" t="str">
        <f t="shared" si="39"/>
        <v/>
      </c>
    </row>
    <row r="1212" spans="1:6" ht="15" hidden="1" customHeight="1" x14ac:dyDescent="0.3">
      <c r="A1212" t="s">
        <v>234</v>
      </c>
      <c r="B1212" s="2">
        <v>45962</v>
      </c>
      <c r="C1212" t="str" cm="1">
        <f t="array" ref="C1212">IFERROR(IF(SUMPRODUCT((measured[Site Name]=A1212)*(measured[Date]=B1212)*ISNUMBER(measured[Measured Value (kWh)]))=0,"",SUMIFS(measured[Measured Value (kWh)],measured[Site Name],A1212,measured[Date],B1212)),"")</f>
        <v/>
      </c>
      <c r="D1212" cm="1">
        <f t="array" ref="D1212">IFERROR(IF(SUMPRODUCT((expected_production[Site Name]=A1212)*(expected_production[Date]=B1212)*ISNUMBER(expected_production[Expected Production (kWh)]))=0,"",SUMIFS(expected_production[Expected Production (kWh)],expected_production[Site Name],A1212,expected_production[Date],B1212)),"")</f>
        <v>49328.904514825794</v>
      </c>
      <c r="E1212" s="9" t="str">
        <f t="shared" si="38"/>
        <v/>
      </c>
      <c r="F1212" t="str">
        <f t="shared" si="39"/>
        <v/>
      </c>
    </row>
    <row r="1213" spans="1:6" ht="15" hidden="1" customHeight="1" x14ac:dyDescent="0.3">
      <c r="A1213" t="s">
        <v>234</v>
      </c>
      <c r="B1213" s="2">
        <v>45992</v>
      </c>
      <c r="C1213" cm="1">
        <f t="array" ref="C1213">IFERROR(IF(SUMPRODUCT((measured[Site Name]=A1213)*(measured[Date]=B1213)*ISNUMBER(measured[Measured Value (kWh)]))=0,"",SUMIFS(measured[Measured Value (kWh)],measured[Site Name],A1213,measured[Date],B1213)),"")</f>
        <v>44400</v>
      </c>
      <c r="D1213" cm="1">
        <f t="array" ref="D1213">IFERROR(IF(SUMPRODUCT((expected_production[Site Name]=A1213)*(expected_production[Date]=B1213)*ISNUMBER(expected_production[Expected Production (kWh)]))=0,"",SUMIFS(expected_production[Expected Production (kWh)],expected_production[Site Name],A1213,expected_production[Date],B1213)),"")</f>
        <v>53846.194186877568</v>
      </c>
      <c r="E1213" s="9">
        <f t="shared" si="38"/>
        <v>0.82457081081545358</v>
      </c>
      <c r="F1213" t="str">
        <f t="shared" si="39"/>
        <v>Moderate</v>
      </c>
    </row>
    <row r="1214" spans="1:6" ht="15" hidden="1" customHeight="1" x14ac:dyDescent="0.3">
      <c r="A1214" t="s">
        <v>234</v>
      </c>
      <c r="B1214" s="2">
        <v>46023</v>
      </c>
      <c r="C1214" cm="1">
        <f t="array" ref="C1214">IFERROR(IF(SUMPRODUCT((measured[Site Name]=A1214)*(measured[Date]=B1214)*ISNUMBER(measured[Measured Value (kWh)]))=0,"",SUMIFS(measured[Measured Value (kWh)],measured[Site Name],A1214,measured[Date],B1214)),"")</f>
        <v>44972.3</v>
      </c>
      <c r="D1214" cm="1">
        <f t="array" ref="D1214">IFERROR(IF(SUMPRODUCT((expected_production[Site Name]=A1214)*(expected_production[Date]=B1214)*ISNUMBER(expected_production[Expected Production (kWh)]))=0,"",SUMIFS(expected_production[Expected Production (kWh)],expected_production[Site Name],A1214,expected_production[Date],B1214)),"")</f>
        <v>53044.701385229288</v>
      </c>
      <c r="E1214" s="9">
        <f t="shared" si="38"/>
        <v>0.84781889285030254</v>
      </c>
      <c r="F1214" t="str">
        <f t="shared" si="39"/>
        <v>Moderate</v>
      </c>
    </row>
    <row r="1215" spans="1:6" ht="15" hidden="1" customHeight="1" x14ac:dyDescent="0.3">
      <c r="A1215" t="s">
        <v>234</v>
      </c>
      <c r="B1215" s="2">
        <v>46054</v>
      </c>
      <c r="C1215" cm="1">
        <f t="array" ref="C1215">IFERROR(IF(SUMPRODUCT((measured[Site Name]=A1215)*(measured[Date]=B1215)*ISNUMBER(measured[Measured Value (kWh)]))=0,"",SUMIFS(measured[Measured Value (kWh)],measured[Site Name],A1215,measured[Date],B1215)),"")</f>
        <v>44384</v>
      </c>
      <c r="D1215" cm="1">
        <f t="array" ref="D1215">IFERROR(IF(SUMPRODUCT((expected_production[Site Name]=A1215)*(expected_production[Date]=B1215)*ISNUMBER(expected_production[Expected Production (kWh)]))=0,"",SUMIFS(expected_production[Expected Production (kWh)],expected_production[Site Name],A1215,expected_production[Date],B1215)),"")</f>
        <v>43464.810984619537</v>
      </c>
      <c r="E1215" s="9">
        <f t="shared" si="38"/>
        <v>1.0211478893973731</v>
      </c>
      <c r="F1215" t="str">
        <f t="shared" si="39"/>
        <v>Expected</v>
      </c>
    </row>
    <row r="1216" spans="1:6" ht="15" hidden="1" customHeight="1" x14ac:dyDescent="0.3">
      <c r="A1216" t="s">
        <v>234</v>
      </c>
      <c r="B1216" s="2">
        <v>46082</v>
      </c>
      <c r="C1216" cm="1">
        <f t="array" ref="C1216">IFERROR(IF(SUMPRODUCT((measured[Site Name]=A1216)*(measured[Date]=B1216)*ISNUMBER(measured[Measured Value (kWh)]))=0,"",SUMIFS(measured[Measured Value (kWh)],measured[Site Name],A1216,measured[Date],B1216)),"")</f>
        <v>42181</v>
      </c>
      <c r="D1216" cm="1">
        <f t="array" ref="D1216">IFERROR(IF(SUMPRODUCT((expected_production[Site Name]=A1216)*(expected_production[Date]=B1216)*ISNUMBER(expected_production[Expected Production (kWh)]))=0,"",SUMIFS(expected_production[Expected Production (kWh)],expected_production[Site Name],A1216,expected_production[Date],B1216)),"")</f>
        <v>40641.651065457794</v>
      </c>
      <c r="E1216" s="9">
        <f t="shared" si="38"/>
        <v>1.0378761416966775</v>
      </c>
      <c r="F1216" t="str">
        <f t="shared" si="39"/>
        <v>Expected</v>
      </c>
    </row>
    <row r="1217" spans="1:7" ht="15" hidden="1" customHeight="1" x14ac:dyDescent="0.3">
      <c r="A1217" t="s">
        <v>234</v>
      </c>
      <c r="B1217" s="2">
        <v>46113</v>
      </c>
      <c r="C1217" cm="1">
        <f t="array" ref="C1217">IFERROR(IF(SUMPRODUCT((measured[Site Name]=A1217)*(measured[Date]=B1217)*ISNUMBER(measured[Measured Value (kWh)]))=0,"",SUMIFS(measured[Measured Value (kWh)],measured[Site Name],A1217,measured[Date],B1217)),"")</f>
        <v>29438.84</v>
      </c>
      <c r="D1217" cm="1">
        <f t="array" ref="D1217">IFERROR(IF(SUMPRODUCT((expected_production[Site Name]=A1217)*(expected_production[Date]=B1217)*ISNUMBER(expected_production[Expected Production (kWh)]))=0,"",SUMIFS(expected_production[Expected Production (kWh)],expected_production[Site Name],A1217,expected_production[Date],B1217)),"")</f>
        <v>28857.941496652442</v>
      </c>
      <c r="E1217" s="9">
        <f t="shared" si="38"/>
        <v>1.0201295890566187</v>
      </c>
      <c r="F1217" t="str">
        <f t="shared" si="39"/>
        <v>Expected</v>
      </c>
    </row>
    <row r="1218" spans="1:7" ht="15" hidden="1" customHeight="1" x14ac:dyDescent="0.3">
      <c r="A1218" t="s">
        <v>234</v>
      </c>
      <c r="B1218" s="2">
        <v>46143</v>
      </c>
      <c r="C1218" cm="1">
        <f t="array" ref="C1218">IFERROR(IF(SUMPRODUCT((measured[Site Name]=A1218)*(measured[Date]=B1218)*ISNUMBER(measured[Measured Value (kWh)]))=0,"",SUMIFS(measured[Measured Value (kWh)],measured[Site Name],A1218,measured[Date],B1218)),"")</f>
        <v>20478.599999999999</v>
      </c>
      <c r="D1218" cm="1">
        <f t="array" ref="D1218">IFERROR(IF(SUMPRODUCT((expected_production[Site Name]=A1218)*(expected_production[Date]=B1218)*ISNUMBER(expected_production[Expected Production (kWh)]))=0,"",SUMIFS(expected_production[Expected Production (kWh)],expected_production[Site Name],A1218,expected_production[Date],B1218)),"")</f>
        <v>21257.87040109239</v>
      </c>
      <c r="E1218" s="9">
        <f t="shared" si="38"/>
        <v>0.96334202879267028</v>
      </c>
      <c r="F1218" t="str">
        <f t="shared" si="39"/>
        <v>Expected</v>
      </c>
    </row>
    <row r="1219" spans="1:7" ht="15" hidden="1" customHeight="1" x14ac:dyDescent="0.3">
      <c r="A1219" t="s">
        <v>234</v>
      </c>
      <c r="B1219" s="2">
        <v>46174</v>
      </c>
      <c r="C1219" cm="1">
        <f t="array" ref="C1219">IFERROR(IF(SUMPRODUCT((measured[Site Name]=A1219)*(measured[Date]=B1219)*ISNUMBER(measured[Measured Value (kWh)]))=0,"",SUMIFS(measured[Measured Value (kWh)],measured[Site Name],A1219,measured[Date],B1219)),"")</f>
        <v>18349.150000000001</v>
      </c>
      <c r="D1219" cm="1">
        <f t="array" ref="D1219">IFERROR(IF(SUMPRODUCT((expected_production[Site Name]=A1219)*(expected_production[Date]=B1219)*ISNUMBER(expected_production[Expected Production (kWh)]))=0,"",SUMIFS(expected_production[Expected Production (kWh)],expected_production[Site Name],A1219,expected_production[Date],B1219)),"")</f>
        <v>17329.075354468001</v>
      </c>
      <c r="E1219" s="9">
        <f t="shared" si="38"/>
        <v>1.0588649206415386</v>
      </c>
      <c r="F1219" t="str">
        <f t="shared" si="39"/>
        <v>Expected</v>
      </c>
    </row>
    <row r="1220" spans="1:7" ht="15" hidden="1" customHeight="1" x14ac:dyDescent="0.3">
      <c r="A1220" t="s">
        <v>122</v>
      </c>
      <c r="B1220" s="2">
        <v>46204</v>
      </c>
      <c r="C1220" cm="1">
        <f t="array" ref="C1220">IFERROR(IF(SUMPRODUCT((measured[Site Name]=A1220)*(measured[Date]=B1220)*ISNUMBER(measured[Measured Value (kWh)]))=0,"",SUMIFS(measured[Measured Value (kWh)],measured[Site Name],A1220,measured[Date],B1220)),"")</f>
        <v>12604.390950000001</v>
      </c>
      <c r="D1220" cm="1">
        <f t="array" ref="D1220">IFERROR(IF(SUMPRODUCT((expected_production[Site Name]=A1220)*(expected_production[Date]=B1220)*ISNUMBER(expected_production[Expected Production (kWh)]))=0,"",SUMIFS(expected_production[Expected Production (kWh)],expected_production[Site Name],A1220,expected_production[Date],B1220)),"")</f>
        <v>12769.904621381247</v>
      </c>
      <c r="E1220" s="9">
        <f t="shared" si="38"/>
        <v>0.98703876996041784</v>
      </c>
      <c r="F1220" t="str">
        <f t="shared" si="39"/>
        <v>Expected</v>
      </c>
      <c r="G1220" t="s">
        <v>874</v>
      </c>
    </row>
    <row r="1221" spans="1:7" ht="15" hidden="1" customHeight="1" x14ac:dyDescent="0.3">
      <c r="A1221" t="s">
        <v>234</v>
      </c>
      <c r="B1221" s="2">
        <v>46235</v>
      </c>
      <c r="C1221" cm="1">
        <f t="array" ref="C1221">IFERROR(IF(SUMPRODUCT((measured[Site Name]=A1221)*(measured[Date]=B1221)*ISNUMBER(measured[Measured Value (kWh)]))=0,"",SUMIFS(measured[Measured Value (kWh)],measured[Site Name],A1221,measured[Date],B1221)),"")</f>
        <v>26558.07</v>
      </c>
      <c r="D1221" cm="1">
        <f t="array" ref="D1221">IFERROR(IF(SUMPRODUCT((expected_production[Site Name]=A1221)*(expected_production[Date]=B1221)*ISNUMBER(expected_production[Expected Production (kWh)]))=0,"",SUMIFS(expected_production[Expected Production (kWh)],expected_production[Site Name],A1221,expected_production[Date],B1221)),"")</f>
        <v>25269.039232471936</v>
      </c>
      <c r="E1221" s="9">
        <f t="shared" si="38"/>
        <v>1.0510122587435615</v>
      </c>
      <c r="F1221" t="str">
        <f t="shared" si="39"/>
        <v>Expected</v>
      </c>
      <c r="G1221" t="s">
        <v>874</v>
      </c>
    </row>
    <row r="1222" spans="1:7" ht="15" customHeight="1" x14ac:dyDescent="0.3">
      <c r="A1222" t="s">
        <v>234</v>
      </c>
      <c r="B1222" s="2">
        <v>46266</v>
      </c>
      <c r="C1222" cm="1">
        <f t="array" ref="C1222">IFERROR(IF(SUMPRODUCT((measured[Site Name]=A1222)*(measured[Date]=B1222)*ISNUMBER(measured[Measured Value (kWh)]))=0,"",SUMIFS(measured[Measured Value (kWh)],measured[Site Name],A1222,measured[Date],B1222)),"")</f>
        <v>31565.57</v>
      </c>
      <c r="D1222" cm="1">
        <f t="array" ref="D1222">IFERROR(IF(SUMPRODUCT((expected_production[Site Name]=A1222)*(expected_production[Date]=B1222)*ISNUMBER(expected_production[Expected Production (kWh)]))=0,"",SUMIFS(expected_production[Expected Production (kWh)],expected_production[Site Name],A1222,expected_production[Date],B1222)),"")</f>
        <v>33028.74849508152</v>
      </c>
      <c r="E1222" s="9">
        <f t="shared" si="38"/>
        <v>0.95569985053174478</v>
      </c>
      <c r="F1222" t="str">
        <f t="shared" si="39"/>
        <v>Expected</v>
      </c>
      <c r="G1222" t="s">
        <v>874</v>
      </c>
    </row>
    <row r="1223" spans="1:7" ht="15" hidden="1" customHeight="1" x14ac:dyDescent="0.3">
      <c r="A1223" t="s">
        <v>234</v>
      </c>
      <c r="B1223" s="2">
        <v>46296</v>
      </c>
      <c r="C1223" t="str" cm="1">
        <f t="array" ref="C1223">IFERROR(IF(SUMPRODUCT((measured[Site Name]=A1223)*(measured[Date]=B1223)*ISNUMBER(measured[Measured Value (kWh)]))=0,"",SUMIFS(measured[Measured Value (kWh)],measured[Site Name],A1223,measured[Date],B1223)),"")</f>
        <v/>
      </c>
      <c r="D1223" cm="1">
        <f t="array" ref="D1223">IFERROR(IF(SUMPRODUCT((expected_production[Site Name]=A1223)*(expected_production[Date]=B1223)*ISNUMBER(expected_production[Expected Production (kWh)]))=0,"",SUMIFS(expected_production[Expected Production (kWh)],expected_production[Site Name],A1223,expected_production[Date],B1223)),"")</f>
        <v>42558.133475364884</v>
      </c>
      <c r="E1223" s="9" t="str">
        <f t="shared" si="38"/>
        <v/>
      </c>
      <c r="F1223" t="str">
        <f t="shared" si="39"/>
        <v/>
      </c>
    </row>
    <row r="1224" spans="1:7" ht="15" hidden="1" customHeight="1" x14ac:dyDescent="0.3">
      <c r="A1224" t="s">
        <v>234</v>
      </c>
      <c r="B1224" s="2">
        <v>46327</v>
      </c>
      <c r="C1224" t="str" cm="1">
        <f t="array" ref="C1224">IFERROR(IF(SUMPRODUCT((measured[Site Name]=A1224)*(measured[Date]=B1224)*ISNUMBER(measured[Measured Value (kWh)]))=0,"",SUMIFS(measured[Measured Value (kWh)],measured[Site Name],A1224,measured[Date],B1224)),"")</f>
        <v/>
      </c>
      <c r="D1224" cm="1">
        <f t="array" ref="D1224">IFERROR(IF(SUMPRODUCT((expected_production[Site Name]=A1224)*(expected_production[Date]=B1224)*ISNUMBER(expected_production[Expected Production (kWh)]))=0,"",SUMIFS(expected_production[Expected Production (kWh)],expected_production[Site Name],A1224,expected_production[Date],B1224)),"")</f>
        <v>48983.837701203374</v>
      </c>
      <c r="E1224" s="9" t="str">
        <f t="shared" si="38"/>
        <v/>
      </c>
      <c r="F1224" t="str">
        <f t="shared" si="39"/>
        <v/>
      </c>
    </row>
    <row r="1225" spans="1:7" ht="15" hidden="1" customHeight="1" x14ac:dyDescent="0.3">
      <c r="A1225" t="s">
        <v>234</v>
      </c>
      <c r="B1225" s="2">
        <v>46357</v>
      </c>
      <c r="C1225" t="str" cm="1">
        <f t="array" ref="C1225">IFERROR(IF(SUMPRODUCT((measured[Site Name]=A1225)*(measured[Date]=B1225)*ISNUMBER(measured[Measured Value (kWh)]))=0,"",SUMIFS(measured[Measured Value (kWh)],measured[Site Name],A1225,measured[Date],B1225)),"")</f>
        <v/>
      </c>
      <c r="D1225" cm="1">
        <f t="array" ref="D1225">IFERROR(IF(SUMPRODUCT((expected_production[Site Name]=A1225)*(expected_production[Date]=B1225)*ISNUMBER(expected_production[Expected Production (kWh)]))=0,"",SUMIFS(expected_production[Expected Production (kWh)],expected_production[Site Name],A1225,expected_production[Date],B1225)),"")</f>
        <v>53469.527913087208</v>
      </c>
      <c r="E1225" s="9" t="str">
        <f t="shared" si="38"/>
        <v/>
      </c>
      <c r="F1225" t="str">
        <f t="shared" si="39"/>
        <v/>
      </c>
    </row>
    <row r="1226" spans="1:7" ht="15" hidden="1" customHeight="1" x14ac:dyDescent="0.3">
      <c r="A1226" t="s">
        <v>131</v>
      </c>
      <c r="B1226" s="2">
        <v>45292</v>
      </c>
      <c r="C1226" cm="1">
        <f t="array" ref="C1226">IFERROR(IF(SUMPRODUCT((measured[Site Name]=A1226)*(measured[Date]=B1226)*ISNUMBER(measured[Measured Value (kWh)]))=0,"",SUMIFS(measured[Measured Value (kWh)],measured[Site Name],A1226,measured[Date],B1226)),"")</f>
        <v>3824</v>
      </c>
      <c r="D1226" cm="1">
        <f t="array" ref="D1226">IFERROR(IF(SUMPRODUCT((expected_production[Site Name]=A1226)*(expected_production[Date]=B1226)*ISNUMBER(expected_production[Expected Production (kWh)]))=0,"",SUMIFS(expected_production[Expected Production (kWh)],expected_production[Site Name],A1226,expected_production[Date],B1226)),"")</f>
        <v>5059.1670031160165</v>
      </c>
      <c r="E1226" s="9">
        <f t="shared" si="38"/>
        <v>0.75585565719509584</v>
      </c>
      <c r="F1226" t="str">
        <f t="shared" si="39"/>
        <v>Moderate</v>
      </c>
    </row>
    <row r="1227" spans="1:7" ht="15" hidden="1" customHeight="1" x14ac:dyDescent="0.3">
      <c r="A1227" t="s">
        <v>131</v>
      </c>
      <c r="B1227" s="2">
        <v>45323</v>
      </c>
      <c r="C1227" cm="1">
        <f t="array" ref="C1227">IFERROR(IF(SUMPRODUCT((measured[Site Name]=A1227)*(measured[Date]=B1227)*ISNUMBER(measured[Measured Value (kWh)]))=0,"",SUMIFS(measured[Measured Value (kWh)],measured[Site Name],A1227,measured[Date],B1227)),"")</f>
        <v>3746</v>
      </c>
      <c r="D1227" cm="1">
        <f t="array" ref="D1227">IFERROR(IF(SUMPRODUCT((expected_production[Site Name]=A1227)*(expected_production[Date]=B1227)*ISNUMBER(expected_production[Expected Production (kWh)]))=0,"",SUMIFS(expected_production[Expected Production (kWh)],expected_production[Site Name],A1227,expected_production[Date],B1227)),"")</f>
        <v>4591.8717852437885</v>
      </c>
      <c r="E1227" s="9">
        <f t="shared" si="38"/>
        <v>0.8157893284472707</v>
      </c>
      <c r="F1227" t="str">
        <f t="shared" si="39"/>
        <v>Moderate</v>
      </c>
    </row>
    <row r="1228" spans="1:7" ht="15" hidden="1" customHeight="1" x14ac:dyDescent="0.3">
      <c r="A1228" t="s">
        <v>131</v>
      </c>
      <c r="B1228" s="2">
        <v>45352</v>
      </c>
      <c r="C1228" cm="1">
        <f t="array" ref="C1228">IFERROR(IF(SUMPRODUCT((measured[Site Name]=A1228)*(measured[Date]=B1228)*ISNUMBER(measured[Measured Value (kWh)]))=0,"",SUMIFS(measured[Measured Value (kWh)],measured[Site Name],A1228,measured[Date],B1228)),"")</f>
        <v>3799</v>
      </c>
      <c r="D1228" cm="1">
        <f t="array" ref="D1228">IFERROR(IF(SUMPRODUCT((expected_production[Site Name]=A1228)*(expected_production[Date]=B1228)*ISNUMBER(expected_production[Expected Production (kWh)]))=0,"",SUMIFS(expected_production[Expected Production (kWh)],expected_production[Site Name],A1228,expected_production[Date],B1228)),"")</f>
        <v>5061.815406276186</v>
      </c>
      <c r="E1228" s="9">
        <f t="shared" si="38"/>
        <v>0.75052124486594063</v>
      </c>
      <c r="F1228" t="str">
        <f t="shared" si="39"/>
        <v>Moderate</v>
      </c>
    </row>
    <row r="1229" spans="1:7" ht="15" hidden="1" customHeight="1" x14ac:dyDescent="0.3">
      <c r="A1229" t="s">
        <v>131</v>
      </c>
      <c r="B1229" s="2">
        <v>45383</v>
      </c>
      <c r="C1229" cm="1">
        <f t="array" ref="C1229">IFERROR(IF(SUMPRODUCT((measured[Site Name]=A1229)*(measured[Date]=B1229)*ISNUMBER(measured[Measured Value (kWh)]))=0,"",SUMIFS(measured[Measured Value (kWh)],measured[Site Name],A1229,measured[Date],B1229)),"")</f>
        <v>3854</v>
      </c>
      <c r="D1229" cm="1">
        <f t="array" ref="D1229">IFERROR(IF(SUMPRODUCT((expected_production[Site Name]=A1229)*(expected_production[Date]=B1229)*ISNUMBER(expected_production[Expected Production (kWh)]))=0,"",SUMIFS(expected_production[Expected Production (kWh)],expected_production[Site Name],A1229,expected_production[Date],B1229)),"")</f>
        <v>4851.9362253926229</v>
      </c>
      <c r="E1229" s="9">
        <f t="shared" si="38"/>
        <v>0.79432206462856614</v>
      </c>
      <c r="F1229" t="str">
        <f t="shared" si="39"/>
        <v>Moderate</v>
      </c>
    </row>
    <row r="1230" spans="1:7" ht="15" hidden="1" customHeight="1" x14ac:dyDescent="0.3">
      <c r="A1230" t="s">
        <v>131</v>
      </c>
      <c r="B1230" s="2">
        <v>45413</v>
      </c>
      <c r="C1230" cm="1">
        <f t="array" ref="C1230">IFERROR(IF(SUMPRODUCT((measured[Site Name]=A1230)*(measured[Date]=B1230)*ISNUMBER(measured[Measured Value (kWh)]))=0,"",SUMIFS(measured[Measured Value (kWh)],measured[Site Name],A1230,measured[Date],B1230)),"")</f>
        <v>4391</v>
      </c>
      <c r="D1230" cm="1">
        <f t="array" ref="D1230">IFERROR(IF(SUMPRODUCT((expected_production[Site Name]=A1230)*(expected_production[Date]=B1230)*ISNUMBER(expected_production[Expected Production (kWh)]))=0,"",SUMIFS(expected_production[Expected Production (kWh)],expected_production[Site Name],A1230,expected_production[Date],B1230)),"")</f>
        <v>5156.7100277993886</v>
      </c>
      <c r="E1230" s="9">
        <f t="shared" si="38"/>
        <v>0.8515119090133999</v>
      </c>
      <c r="F1230" t="str">
        <f t="shared" si="39"/>
        <v>Moderate</v>
      </c>
    </row>
    <row r="1231" spans="1:7" ht="15" hidden="1" customHeight="1" x14ac:dyDescent="0.3">
      <c r="A1231" t="s">
        <v>131</v>
      </c>
      <c r="B1231" s="2">
        <v>45444</v>
      </c>
      <c r="C1231" cm="1">
        <f t="array" ref="C1231">IFERROR(IF(SUMPRODUCT((measured[Site Name]=A1231)*(measured[Date]=B1231)*ISNUMBER(measured[Measured Value (kWh)]))=0,"",SUMIFS(measured[Measured Value (kWh)],measured[Site Name],A1231,measured[Date],B1231)),"")</f>
        <v>4167</v>
      </c>
      <c r="D1231" cm="1">
        <f t="array" ref="D1231">IFERROR(IF(SUMPRODUCT((expected_production[Site Name]=A1231)*(expected_production[Date]=B1231)*ISNUMBER(expected_production[Expected Production (kWh)]))=0,"",SUMIFS(expected_production[Expected Production (kWh)],expected_production[Site Name],A1231,expected_production[Date],B1231)),"")</f>
        <v>4983.4293129044099</v>
      </c>
      <c r="E1231" s="9">
        <f t="shared" si="38"/>
        <v>0.83617118621703013</v>
      </c>
      <c r="F1231" t="str">
        <f t="shared" si="39"/>
        <v>Moderate</v>
      </c>
    </row>
    <row r="1232" spans="1:7" ht="15" hidden="1" customHeight="1" x14ac:dyDescent="0.3">
      <c r="A1232" t="s">
        <v>131</v>
      </c>
      <c r="B1232" s="2">
        <v>45474</v>
      </c>
      <c r="C1232" cm="1">
        <f t="array" ref="C1232">IFERROR(IF(SUMPRODUCT((measured[Site Name]=A1232)*(measured[Date]=B1232)*ISNUMBER(measured[Measured Value (kWh)]))=0,"",SUMIFS(measured[Measured Value (kWh)],measured[Site Name],A1232,measured[Date],B1232)),"")</f>
        <v>4515</v>
      </c>
      <c r="D1232" cm="1">
        <f t="array" ref="D1232">IFERROR(IF(SUMPRODUCT((expected_production[Site Name]=A1232)*(expected_production[Date]=B1232)*ISNUMBER(expected_production[Expected Production (kWh)]))=0,"",SUMIFS(expected_production[Expected Production (kWh)],expected_production[Site Name],A1232,expected_production[Date],B1232)),"")</f>
        <v>5360.5496050192478</v>
      </c>
      <c r="E1232" s="9">
        <f t="shared" si="38"/>
        <v>0.84226438195301212</v>
      </c>
      <c r="F1232" t="str">
        <f t="shared" si="39"/>
        <v>Moderate</v>
      </c>
    </row>
    <row r="1233" spans="1:6" ht="15" hidden="1" customHeight="1" x14ac:dyDescent="0.3">
      <c r="A1233" t="s">
        <v>131</v>
      </c>
      <c r="B1233" s="2">
        <v>45505</v>
      </c>
      <c r="C1233" cm="1">
        <f t="array" ref="C1233">IFERROR(IF(SUMPRODUCT((measured[Site Name]=A1233)*(measured[Date]=B1233)*ISNUMBER(measured[Measured Value (kWh)]))=0,"",SUMIFS(measured[Measured Value (kWh)],measured[Site Name],A1233,measured[Date],B1233)),"")</f>
        <v>4113</v>
      </c>
      <c r="D1233" cm="1">
        <f t="array" ref="D1233">IFERROR(IF(SUMPRODUCT((expected_production[Site Name]=A1233)*(expected_production[Date]=B1233)*ISNUMBER(expected_production[Expected Production (kWh)]))=0,"",SUMIFS(expected_production[Expected Production (kWh)],expected_production[Site Name],A1233,expected_production[Date],B1233)),"")</f>
        <v>5610.2514918090792</v>
      </c>
      <c r="E1233" s="9">
        <f t="shared" si="38"/>
        <v>0.73312221493188778</v>
      </c>
      <c r="F1233" t="str">
        <f t="shared" si="39"/>
        <v>Moderate</v>
      </c>
    </row>
    <row r="1234" spans="1:6" ht="15" hidden="1" customHeight="1" x14ac:dyDescent="0.3">
      <c r="A1234" t="s">
        <v>131</v>
      </c>
      <c r="B1234" s="2">
        <v>45536</v>
      </c>
      <c r="C1234" cm="1">
        <f t="array" ref="C1234">IFERROR(IF(SUMPRODUCT((measured[Site Name]=A1234)*(measured[Date]=B1234)*ISNUMBER(measured[Measured Value (kWh)]))=0,"",SUMIFS(measured[Measured Value (kWh)],measured[Site Name],A1234,measured[Date],B1234)),"")</f>
        <v>3620</v>
      </c>
      <c r="D1234" cm="1">
        <f t="array" ref="D1234">IFERROR(IF(SUMPRODUCT((expected_production[Site Name]=A1234)*(expected_production[Date]=B1234)*ISNUMBER(expected_production[Expected Production (kWh)]))=0,"",SUMIFS(expected_production[Expected Production (kWh)],expected_production[Site Name],A1234,expected_production[Date],B1234)),"")</f>
        <v>5556.1893450482203</v>
      </c>
      <c r="E1234" s="9">
        <f t="shared" si="38"/>
        <v>0.65152567257741345</v>
      </c>
      <c r="F1234" t="str">
        <f t="shared" si="39"/>
        <v>Poor</v>
      </c>
    </row>
    <row r="1235" spans="1:6" ht="15" hidden="1" customHeight="1" x14ac:dyDescent="0.3">
      <c r="A1235" t="s">
        <v>131</v>
      </c>
      <c r="B1235" s="2">
        <v>45566</v>
      </c>
      <c r="C1235" cm="1">
        <f t="array" ref="C1235">IFERROR(IF(SUMPRODUCT((measured[Site Name]=A1235)*(measured[Date]=B1235)*ISNUMBER(measured[Measured Value (kWh)]))=0,"",SUMIFS(measured[Measured Value (kWh)],measured[Site Name],A1235,measured[Date],B1235)),"")</f>
        <v>4760</v>
      </c>
      <c r="D1235" cm="1">
        <f t="array" ref="D1235">IFERROR(IF(SUMPRODUCT((expected_production[Site Name]=A1235)*(expected_production[Date]=B1235)*ISNUMBER(expected_production[Expected Production (kWh)]))=0,"",SUMIFS(expected_production[Expected Production (kWh)],expected_production[Site Name],A1235,expected_production[Date],B1235)),"")</f>
        <v>5458.3649683371059</v>
      </c>
      <c r="E1235" s="9">
        <f t="shared" si="38"/>
        <v>0.87205601450467629</v>
      </c>
      <c r="F1235" t="str">
        <f t="shared" si="39"/>
        <v>Moderate</v>
      </c>
    </row>
    <row r="1236" spans="1:6" ht="15" hidden="1" customHeight="1" x14ac:dyDescent="0.3">
      <c r="A1236" t="s">
        <v>131</v>
      </c>
      <c r="B1236" s="2">
        <v>45597</v>
      </c>
      <c r="C1236" cm="1">
        <f t="array" ref="C1236">IFERROR(IF(SUMPRODUCT((measured[Site Name]=A1236)*(measured[Date]=B1236)*ISNUMBER(measured[Measured Value (kWh)]))=0,"",SUMIFS(measured[Measured Value (kWh)],measured[Site Name],A1236,measured[Date],B1236)),"")</f>
        <v>3916</v>
      </c>
      <c r="D1236" cm="1">
        <f t="array" ref="D1236">IFERROR(IF(SUMPRODUCT((expected_production[Site Name]=A1236)*(expected_production[Date]=B1236)*ISNUMBER(expected_production[Expected Production (kWh)]))=0,"",SUMIFS(expected_production[Expected Production (kWh)],expected_production[Site Name],A1236,expected_production[Date],B1236)),"")</f>
        <v>5076.0147369249025</v>
      </c>
      <c r="E1236" s="9">
        <f t="shared" si="38"/>
        <v>0.77147136148236439</v>
      </c>
      <c r="F1236" t="str">
        <f t="shared" si="39"/>
        <v>Moderate</v>
      </c>
    </row>
    <row r="1237" spans="1:6" ht="15" hidden="1" customHeight="1" x14ac:dyDescent="0.3">
      <c r="A1237" t="s">
        <v>131</v>
      </c>
      <c r="B1237" s="2">
        <v>45627</v>
      </c>
      <c r="C1237" cm="1">
        <f t="array" ref="C1237">IFERROR(IF(SUMPRODUCT((measured[Site Name]=A1237)*(measured[Date]=B1237)*ISNUMBER(measured[Measured Value (kWh)]))=0,"",SUMIFS(measured[Measured Value (kWh)],measured[Site Name],A1237,measured[Date],B1237)),"")</f>
        <v>4124</v>
      </c>
      <c r="D1237" cm="1">
        <f t="array" ref="D1237">IFERROR(IF(SUMPRODUCT((expected_production[Site Name]=A1237)*(expected_production[Date]=B1237)*ISNUMBER(expected_production[Expected Production (kWh)]))=0,"",SUMIFS(expected_production[Expected Production (kWh)],expected_production[Site Name],A1237,expected_production[Date],B1237)),"")</f>
        <v>5185.3158389777454</v>
      </c>
      <c r="E1237" s="9">
        <f t="shared" si="38"/>
        <v>0.79532281698254703</v>
      </c>
      <c r="F1237" t="str">
        <f t="shared" si="39"/>
        <v>Moderate</v>
      </c>
    </row>
    <row r="1238" spans="1:6" ht="15" hidden="1" customHeight="1" x14ac:dyDescent="0.3">
      <c r="A1238" t="s">
        <v>131</v>
      </c>
      <c r="B1238" s="2">
        <v>45658</v>
      </c>
      <c r="C1238" cm="1">
        <f t="array" ref="C1238">IFERROR(IF(SUMPRODUCT((measured[Site Name]=A1238)*(measured[Date]=B1238)*ISNUMBER(measured[Measured Value (kWh)]))=0,"",SUMIFS(measured[Measured Value (kWh)],measured[Site Name],A1238,measured[Date],B1238)),"")</f>
        <v>3080</v>
      </c>
      <c r="D1238" cm="1">
        <f t="array" ref="D1238">IFERROR(IF(SUMPRODUCT((expected_production[Site Name]=A1238)*(expected_production[Date]=B1238)*ISNUMBER(expected_production[Expected Production (kWh)]))=0,"",SUMIFS(expected_production[Expected Production (kWh)],expected_production[Site Name],A1238,expected_production[Date],B1238)),"")</f>
        <v>5023.6803706964965</v>
      </c>
      <c r="E1238" s="9">
        <f t="shared" ref="E1238:E1301" si="40">IF(OR(C1238="",D1238="",D1238=0),"",C1238/D1238)</f>
        <v>0.61309633032504818</v>
      </c>
      <c r="F1238" t="str">
        <f t="shared" ref="F1238:F1301" si="41">IF(E1238="","",IF(E1238&gt;=0.9,"Expected",IF(E1238&gt;=0.7,"Moderate","Poor")))</f>
        <v>Poor</v>
      </c>
    </row>
    <row r="1239" spans="1:6" ht="15" hidden="1" customHeight="1" x14ac:dyDescent="0.3">
      <c r="A1239" t="s">
        <v>131</v>
      </c>
      <c r="B1239" s="2">
        <v>45689</v>
      </c>
      <c r="C1239" cm="1">
        <f t="array" ref="C1239">IFERROR(IF(SUMPRODUCT((measured[Site Name]=A1239)*(measured[Date]=B1239)*ISNUMBER(measured[Measured Value (kWh)]))=0,"",SUMIFS(measured[Measured Value (kWh)],measured[Site Name],A1239,measured[Date],B1239)),"")</f>
        <v>2400</v>
      </c>
      <c r="D1239" cm="1">
        <f t="array" ref="D1239">IFERROR(IF(SUMPRODUCT((expected_production[Site Name]=A1239)*(expected_production[Date]=B1239)*ISNUMBER(expected_production[Expected Production (kWh)]))=0,"",SUMIFS(expected_production[Expected Production (kWh)],expected_production[Site Name],A1239,expected_production[Date],B1239)),"")</f>
        <v>4559.6629125064101</v>
      </c>
      <c r="E1239" s="9">
        <f t="shared" si="40"/>
        <v>0.52635469903206933</v>
      </c>
      <c r="F1239" t="str">
        <f t="shared" si="41"/>
        <v>Poor</v>
      </c>
    </row>
    <row r="1240" spans="1:6" ht="15" hidden="1" customHeight="1" x14ac:dyDescent="0.3">
      <c r="A1240" t="s">
        <v>131</v>
      </c>
      <c r="B1240" s="2">
        <v>45717</v>
      </c>
      <c r="C1240" cm="1">
        <f t="array" ref="C1240">IFERROR(IF(SUMPRODUCT((measured[Site Name]=A1240)*(measured[Date]=B1240)*ISNUMBER(measured[Measured Value (kWh)]))=0,"",SUMIFS(measured[Measured Value (kWh)],measured[Site Name],A1240,measured[Date],B1240)),"")</f>
        <v>2832</v>
      </c>
      <c r="D1240" cm="1">
        <f t="array" ref="D1240">IFERROR(IF(SUMPRODUCT((expected_production[Site Name]=A1240)*(expected_production[Date]=B1240)*ISNUMBER(expected_production[Expected Production (kWh)]))=0,"",SUMIFS(expected_production[Expected Production (kWh)],expected_production[Site Name],A1240,expected_production[Date],B1240)),"")</f>
        <v>5026.4068657750759</v>
      </c>
      <c r="E1240" s="9">
        <f t="shared" si="40"/>
        <v>0.56342434578528755</v>
      </c>
      <c r="F1240" t="str">
        <f t="shared" si="41"/>
        <v>Poor</v>
      </c>
    </row>
    <row r="1241" spans="1:6" ht="15" hidden="1" customHeight="1" x14ac:dyDescent="0.3">
      <c r="A1241" t="s">
        <v>131</v>
      </c>
      <c r="B1241" s="2">
        <v>45748</v>
      </c>
      <c r="C1241" cm="1">
        <f t="array" ref="C1241">IFERROR(IF(SUMPRODUCT((measured[Site Name]=A1241)*(measured[Date]=B1241)*ISNUMBER(measured[Measured Value (kWh)]))=0,"",SUMIFS(measured[Measured Value (kWh)],measured[Site Name],A1241,measured[Date],B1241)),"")</f>
        <v>2690</v>
      </c>
      <c r="D1241" cm="1">
        <f t="array" ref="D1241">IFERROR(IF(SUMPRODUCT((expected_production[Site Name]=A1241)*(expected_production[Date]=B1241)*ISNUMBER(expected_production[Expected Production (kWh)]))=0,"",SUMIFS(expected_production[Expected Production (kWh)],expected_production[Site Name],A1241,expected_production[Date],B1241)),"")</f>
        <v>4817.9958371017738</v>
      </c>
      <c r="E1241" s="9">
        <f t="shared" si="40"/>
        <v>0.55832343799162509</v>
      </c>
      <c r="F1241" t="str">
        <f t="shared" si="41"/>
        <v>Poor</v>
      </c>
    </row>
    <row r="1242" spans="1:6" ht="15" hidden="1" customHeight="1" x14ac:dyDescent="0.3">
      <c r="A1242" t="s">
        <v>131</v>
      </c>
      <c r="B1242" s="2">
        <v>45778</v>
      </c>
      <c r="C1242" cm="1">
        <f t="array" ref="C1242">IFERROR(IF(SUMPRODUCT((measured[Site Name]=A1242)*(measured[Date]=B1242)*ISNUMBER(measured[Measured Value (kWh)]))=0,"",SUMIFS(measured[Measured Value (kWh)],measured[Site Name],A1242,measured[Date],B1242)),"")</f>
        <v>3597</v>
      </c>
      <c r="D1242" cm="1">
        <f t="array" ref="D1242">IFERROR(IF(SUMPRODUCT((expected_production[Site Name]=A1242)*(expected_production[Date]=B1242)*ISNUMBER(expected_production[Expected Production (kWh)]))=0,"",SUMIFS(expected_production[Expected Production (kWh)],expected_production[Site Name],A1242,expected_production[Date],B1242)),"")</f>
        <v>5120.6376780164601</v>
      </c>
      <c r="E1242" s="9">
        <f t="shared" si="40"/>
        <v>0.70245157462367869</v>
      </c>
      <c r="F1242" t="str">
        <f t="shared" si="41"/>
        <v>Moderate</v>
      </c>
    </row>
    <row r="1243" spans="1:6" ht="15" hidden="1" customHeight="1" x14ac:dyDescent="0.3">
      <c r="A1243" t="s">
        <v>131</v>
      </c>
      <c r="B1243" s="2">
        <v>45809</v>
      </c>
      <c r="C1243" cm="1">
        <f t="array" ref="C1243">IFERROR(IF(SUMPRODUCT((measured[Site Name]=A1243)*(measured[Date]=B1243)*ISNUMBER(measured[Measured Value (kWh)]))=0,"",SUMIFS(measured[Measured Value (kWh)],measured[Site Name],A1243,measured[Date],B1243)),"")</f>
        <v>4831.17</v>
      </c>
      <c r="D1243" cm="1">
        <f t="array" ref="D1243">IFERROR(IF(SUMPRODUCT((expected_production[Site Name]=A1243)*(expected_production[Date]=B1243)*ISNUMBER(expected_production[Expected Production (kWh)]))=0,"",SUMIFS(expected_production[Expected Production (kWh)],expected_production[Site Name],A1243,expected_production[Date],B1243)),"")</f>
        <v>4948.5691008070653</v>
      </c>
      <c r="E1243" s="9">
        <f t="shared" si="40"/>
        <v>0.97627615207233975</v>
      </c>
      <c r="F1243" t="str">
        <f t="shared" si="41"/>
        <v>Expected</v>
      </c>
    </row>
    <row r="1244" spans="1:6" ht="15" hidden="1" customHeight="1" x14ac:dyDescent="0.3">
      <c r="A1244" t="s">
        <v>131</v>
      </c>
      <c r="B1244" s="2">
        <v>45839</v>
      </c>
      <c r="C1244" cm="1">
        <f t="array" ref="C1244">IFERROR(IF(SUMPRODUCT((measured[Site Name]=A1244)*(measured[Date]=B1244)*ISNUMBER(measured[Measured Value (kWh)]))=0,"",SUMIFS(measured[Measured Value (kWh)],measured[Site Name],A1244,measured[Date],B1244)),"")</f>
        <v>5152</v>
      </c>
      <c r="D1244" cm="1">
        <f t="array" ref="D1244">IFERROR(IF(SUMPRODUCT((expected_production[Site Name]=A1244)*(expected_production[Date]=B1244)*ISNUMBER(expected_production[Expected Production (kWh)]))=0,"",SUMIFS(expected_production[Expected Production (kWh)],expected_production[Site Name],A1244,expected_production[Date],B1244)),"")</f>
        <v>5323.0513514159684</v>
      </c>
      <c r="E1244" s="9">
        <f t="shared" si="40"/>
        <v>0.96786592123135018</v>
      </c>
      <c r="F1244" t="str">
        <f t="shared" si="41"/>
        <v>Expected</v>
      </c>
    </row>
    <row r="1245" spans="1:6" ht="15" hidden="1" customHeight="1" x14ac:dyDescent="0.3">
      <c r="A1245" t="s">
        <v>131</v>
      </c>
      <c r="B1245" s="2">
        <v>45870</v>
      </c>
      <c r="C1245" cm="1">
        <f t="array" ref="C1245">IFERROR(IF(SUMPRODUCT((measured[Site Name]=A1245)*(measured[Date]=B1245)*ISNUMBER(measured[Measured Value (kWh)]))=0,"",SUMIFS(measured[Measured Value (kWh)],measured[Site Name],A1245,measured[Date],B1245)),"")</f>
        <v>5913</v>
      </c>
      <c r="D1245" cm="1">
        <f t="array" ref="D1245">IFERROR(IF(SUMPRODUCT((expected_production[Site Name]=A1245)*(expected_production[Date]=B1245)*ISNUMBER(expected_production[Expected Production (kWh)]))=0,"",SUMIFS(expected_production[Expected Production (kWh)],expected_production[Site Name],A1245,expected_production[Date],B1245)),"")</f>
        <v>5571.0065171853848</v>
      </c>
      <c r="E1245" s="9">
        <f t="shared" si="40"/>
        <v>1.0613880959858217</v>
      </c>
      <c r="F1245" t="str">
        <f t="shared" si="41"/>
        <v>Expected</v>
      </c>
    </row>
    <row r="1246" spans="1:6" ht="15" hidden="1" customHeight="1" x14ac:dyDescent="0.3">
      <c r="A1246" t="s">
        <v>131</v>
      </c>
      <c r="B1246" s="2">
        <v>45901</v>
      </c>
      <c r="C1246" cm="1">
        <f t="array" ref="C1246">IFERROR(IF(SUMPRODUCT((measured[Site Name]=A1246)*(measured[Date]=B1246)*ISNUMBER(measured[Measured Value (kWh)]))=0,"",SUMIFS(measured[Measured Value (kWh)],measured[Site Name],A1246,measured[Date],B1246)),"")</f>
        <v>5163</v>
      </c>
      <c r="D1246" cm="1">
        <f t="array" ref="D1246">IFERROR(IF(SUMPRODUCT((expected_production[Site Name]=A1246)*(expected_production[Date]=B1246)*ISNUMBER(expected_production[Expected Production (kWh)]))=0,"",SUMIFS(expected_production[Expected Production (kWh)],expected_production[Site Name],A1246,expected_production[Date],B1246)),"")</f>
        <v>5517.3225473352813</v>
      </c>
      <c r="E1246" s="9">
        <f t="shared" si="40"/>
        <v>0.93577998308139343</v>
      </c>
      <c r="F1246" t="str">
        <f t="shared" si="41"/>
        <v>Expected</v>
      </c>
    </row>
    <row r="1247" spans="1:6" ht="15" hidden="1" customHeight="1" x14ac:dyDescent="0.3">
      <c r="A1247" t="s">
        <v>131</v>
      </c>
      <c r="B1247" s="2">
        <v>45931</v>
      </c>
      <c r="C1247" cm="1">
        <f t="array" ref="C1247">IFERROR(IF(SUMPRODUCT((measured[Site Name]=A1247)*(measured[Date]=B1247)*ISNUMBER(measured[Measured Value (kWh)]))=0,"",SUMIFS(measured[Measured Value (kWh)],measured[Site Name],A1247,measured[Date],B1247)),"")</f>
        <v>5859</v>
      </c>
      <c r="D1247" cm="1">
        <f t="array" ref="D1247">IFERROR(IF(SUMPRODUCT((expected_production[Site Name]=A1247)*(expected_production[Date]=B1247)*ISNUMBER(expected_production[Expected Production (kWh)]))=0,"",SUMIFS(expected_production[Expected Production (kWh)],expected_production[Site Name],A1247,expected_production[Date],B1247)),"")</f>
        <v>5420.1824742043555</v>
      </c>
      <c r="E1247" s="9">
        <f t="shared" si="40"/>
        <v>1.0809599174721622</v>
      </c>
      <c r="F1247" t="str">
        <f t="shared" si="41"/>
        <v>Expected</v>
      </c>
    </row>
    <row r="1248" spans="1:6" ht="15" hidden="1" customHeight="1" x14ac:dyDescent="0.3">
      <c r="A1248" t="s">
        <v>131</v>
      </c>
      <c r="B1248" s="2">
        <v>45962</v>
      </c>
      <c r="C1248" cm="1">
        <f t="array" ref="C1248">IFERROR(IF(SUMPRODUCT((measured[Site Name]=A1248)*(measured[Date]=B1248)*ISNUMBER(measured[Measured Value (kWh)]))=0,"",SUMIFS(measured[Measured Value (kWh)],measured[Site Name],A1248,measured[Date],B1248)),"")</f>
        <v>4665</v>
      </c>
      <c r="D1248" cm="1">
        <f t="array" ref="D1248">IFERROR(IF(SUMPRODUCT((expected_production[Site Name]=A1248)*(expected_production[Date]=B1248)*ISNUMBER(expected_production[Expected Production (kWh)]))=0,"",SUMIFS(expected_production[Expected Production (kWh)],expected_production[Site Name],A1248,expected_production[Date],B1248)),"")</f>
        <v>5040.5068689031286</v>
      </c>
      <c r="E1248" s="9">
        <f t="shared" si="40"/>
        <v>0.92550216105848826</v>
      </c>
      <c r="F1248" t="str">
        <f t="shared" si="41"/>
        <v>Expected</v>
      </c>
    </row>
    <row r="1249" spans="1:7" ht="15" hidden="1" customHeight="1" x14ac:dyDescent="0.3">
      <c r="A1249" t="s">
        <v>131</v>
      </c>
      <c r="B1249" s="2">
        <v>45992</v>
      </c>
      <c r="C1249" cm="1">
        <f t="array" ref="C1249">IFERROR(IF(SUMPRODUCT((measured[Site Name]=A1249)*(measured[Date]=B1249)*ISNUMBER(measured[Measured Value (kWh)]))=0,"",SUMIFS(measured[Measured Value (kWh)],measured[Site Name],A1249,measured[Date],B1249)),"")</f>
        <v>5472</v>
      </c>
      <c r="D1249" cm="1">
        <f t="array" ref="D1249">IFERROR(IF(SUMPRODUCT((expected_production[Site Name]=A1249)*(expected_production[Date]=B1249)*ISNUMBER(expected_production[Expected Production (kWh)]))=0,"",SUMIFS(expected_production[Expected Production (kWh)],expected_production[Site Name],A1249,expected_production[Date],B1249)),"")</f>
        <v>5149.0433850933478</v>
      </c>
      <c r="E1249" s="9">
        <f t="shared" si="40"/>
        <v>1.0627216728920215</v>
      </c>
      <c r="F1249" t="str">
        <f t="shared" si="41"/>
        <v>Expected</v>
      </c>
    </row>
    <row r="1250" spans="1:7" ht="15" hidden="1" customHeight="1" x14ac:dyDescent="0.3">
      <c r="A1250" t="s">
        <v>131</v>
      </c>
      <c r="B1250" s="2">
        <v>46023</v>
      </c>
      <c r="C1250" cm="1">
        <f t="array" ref="C1250">IFERROR(IF(SUMPRODUCT((measured[Site Name]=A1250)*(measured[Date]=B1250)*ISNUMBER(measured[Measured Value (kWh)]))=0,"",SUMIFS(measured[Measured Value (kWh)],measured[Site Name],A1250,measured[Date],B1250)),"")</f>
        <v>5579.67</v>
      </c>
      <c r="D1250" cm="1">
        <f t="array" ref="D1250">IFERROR(IF(SUMPRODUCT((expected_production[Site Name]=A1250)*(expected_production[Date]=B1250)*ISNUMBER(expected_production[Expected Production (kWh)]))=0,"",SUMIFS(expected_production[Expected Production (kWh)],expected_production[Site Name],A1250,expected_production[Date],B1250)),"")</f>
        <v>4988.5385933709385</v>
      </c>
      <c r="E1250" s="9">
        <f t="shared" si="40"/>
        <v>1.1184979118763543</v>
      </c>
      <c r="F1250" t="str">
        <f t="shared" si="41"/>
        <v>Expected</v>
      </c>
    </row>
    <row r="1251" spans="1:7" ht="15" hidden="1" customHeight="1" x14ac:dyDescent="0.3">
      <c r="A1251" t="s">
        <v>131</v>
      </c>
      <c r="B1251" s="2">
        <v>46054</v>
      </c>
      <c r="C1251" cm="1">
        <f t="array" ref="C1251">IFERROR(IF(SUMPRODUCT((measured[Site Name]=A1251)*(measured[Date]=B1251)*ISNUMBER(measured[Measured Value (kWh)]))=0,"",SUMIFS(measured[Measured Value (kWh)],measured[Site Name],A1251,measured[Date],B1251)),"")</f>
        <v>4787</v>
      </c>
      <c r="D1251" cm="1">
        <f t="array" ref="D1251">IFERROR(IF(SUMPRODUCT((expected_production[Site Name]=A1251)*(expected_production[Date]=B1251)*ISNUMBER(expected_production[Expected Production (kWh)]))=0,"",SUMIFS(expected_production[Expected Production (kWh)],expected_production[Site Name],A1251,expected_production[Date],B1251)),"")</f>
        <v>4527.7670419638562</v>
      </c>
      <c r="E1251" s="9">
        <f t="shared" si="40"/>
        <v>1.0572540405973947</v>
      </c>
      <c r="F1251" t="str">
        <f t="shared" si="41"/>
        <v>Expected</v>
      </c>
    </row>
    <row r="1252" spans="1:7" ht="15" hidden="1" customHeight="1" x14ac:dyDescent="0.3">
      <c r="A1252" t="s">
        <v>131</v>
      </c>
      <c r="B1252" s="2">
        <v>46082</v>
      </c>
      <c r="C1252" cm="1">
        <f t="array" ref="C1252">IFERROR(IF(SUMPRODUCT((measured[Site Name]=A1252)*(measured[Date]=B1252)*ISNUMBER(measured[Measured Value (kWh)]))=0,"",SUMIFS(measured[Measured Value (kWh)],measured[Site Name],A1252,measured[Date],B1252)),"")</f>
        <v>4406</v>
      </c>
      <c r="D1252" cm="1">
        <f t="array" ref="D1252">IFERROR(IF(SUMPRODUCT((expected_production[Site Name]=A1252)*(expected_production[Date]=B1252)*ISNUMBER(expected_production[Expected Production (kWh)]))=0,"",SUMIFS(expected_production[Expected Production (kWh)],expected_production[Site Name],A1252,expected_production[Date],B1252)),"")</f>
        <v>4991.2460160014607</v>
      </c>
      <c r="E1252" s="9">
        <f t="shared" si="40"/>
        <v>0.8827455080103811</v>
      </c>
      <c r="F1252" t="str">
        <f t="shared" si="41"/>
        <v>Moderate</v>
      </c>
    </row>
    <row r="1253" spans="1:7" ht="15" hidden="1" customHeight="1" x14ac:dyDescent="0.3">
      <c r="A1253" t="s">
        <v>131</v>
      </c>
      <c r="B1253" s="2">
        <v>46113</v>
      </c>
      <c r="C1253" s="5" cm="1">
        <f t="array" ref="C1253">IFERROR(IF(SUMPRODUCT((measured[Site Name]=A1253)*(measured[Date]=B1253)*ISNUMBER(measured[Measured Value (kWh)]))=0,"",SUMIFS(measured[Measured Value (kWh)],measured[Site Name],A1253,measured[Date],B1253)),"")</f>
        <v>4506.8</v>
      </c>
      <c r="D1253" cm="1">
        <f t="array" ref="D1253">IFERROR(IF(SUMPRODUCT((expected_production[Site Name]=A1253)*(expected_production[Date]=B1253)*ISNUMBER(expected_production[Expected Production (kWh)]))=0,"",SUMIFS(expected_production[Expected Production (kWh)],expected_production[Site Name],A1253,expected_production[Date],B1253)),"")</f>
        <v>4784.2928694825532</v>
      </c>
      <c r="E1253" s="9">
        <f t="shared" si="40"/>
        <v>0.94199918837481922</v>
      </c>
      <c r="F1253" t="str">
        <f t="shared" si="41"/>
        <v>Expected</v>
      </c>
    </row>
    <row r="1254" spans="1:7" ht="15" hidden="1" customHeight="1" x14ac:dyDescent="0.3">
      <c r="A1254" t="s">
        <v>131</v>
      </c>
      <c r="B1254" s="2">
        <v>46143</v>
      </c>
      <c r="C1254" s="5" cm="1">
        <f t="array" ref="C1254">IFERROR(IF(SUMPRODUCT((measured[Site Name]=A1254)*(measured[Date]=B1254)*ISNUMBER(measured[Measured Value (kWh)]))=0,"",SUMIFS(measured[Measured Value (kWh)],measured[Site Name],A1254,measured[Date],B1254)),"")</f>
        <v>5143.42</v>
      </c>
      <c r="D1254" cm="1">
        <f t="array" ref="D1254">IFERROR(IF(SUMPRODUCT((expected_production[Site Name]=A1254)*(expected_production[Date]=B1254)*ISNUMBER(expected_production[Expected Production (kWh)]))=0,"",SUMIFS(expected_production[Expected Production (kWh)],expected_production[Site Name],A1254,expected_production[Date],B1254)),"")</f>
        <v>5084.8176624566786</v>
      </c>
      <c r="E1254" s="9">
        <f t="shared" si="40"/>
        <v>1.0115249634172738</v>
      </c>
      <c r="F1254" t="str">
        <f t="shared" si="41"/>
        <v>Expected</v>
      </c>
    </row>
    <row r="1255" spans="1:7" ht="15" hidden="1" customHeight="1" x14ac:dyDescent="0.3">
      <c r="A1255" t="s">
        <v>131</v>
      </c>
      <c r="B1255" s="2">
        <v>46174</v>
      </c>
      <c r="C1255" cm="1">
        <f t="array" ref="C1255">IFERROR(IF(SUMPRODUCT((measured[Site Name]=A1255)*(measured[Date]=B1255)*ISNUMBER(measured[Measured Value (kWh)]))=0,"",SUMIFS(measured[Measured Value (kWh)],measured[Site Name],A1255,measured[Date],B1255)),"")</f>
        <v>4820.5</v>
      </c>
      <c r="D1255" cm="1">
        <f t="array" ref="D1255">IFERROR(IF(SUMPRODUCT((expected_production[Site Name]=A1255)*(expected_production[Date]=B1255)*ISNUMBER(expected_production[Expected Production (kWh)]))=0,"",SUMIFS(expected_production[Expected Production (kWh)],expected_production[Site Name],A1255,expected_production[Date],B1255)),"")</f>
        <v>4913.9527437563502</v>
      </c>
      <c r="E1255" s="9">
        <f t="shared" si="40"/>
        <v>0.98098216473996602</v>
      </c>
      <c r="F1255" t="str">
        <f t="shared" si="41"/>
        <v>Expected</v>
      </c>
    </row>
    <row r="1256" spans="1:7" ht="15" hidden="1" customHeight="1" x14ac:dyDescent="0.3">
      <c r="A1256" t="s">
        <v>124</v>
      </c>
      <c r="B1256" s="2">
        <v>46204</v>
      </c>
      <c r="C1256" cm="1">
        <f t="array" ref="C1256">IFERROR(IF(SUMPRODUCT((measured[Site Name]=A1256)*(measured[Date]=B1256)*ISNUMBER(measured[Measured Value (kWh)]))=0,"",SUMIFS(measured[Measured Value (kWh)],measured[Site Name],A1256,measured[Date],B1256)),"")</f>
        <v>40997.122360000001</v>
      </c>
      <c r="D1256" cm="1">
        <f t="array" ref="D1256">IFERROR(IF(SUMPRODUCT((expected_production[Site Name]=A1256)*(expected_production[Date]=B1256)*ISNUMBER(expected_production[Expected Production (kWh)]))=0,"",SUMIFS(expected_production[Expected Production (kWh)],expected_production[Site Name],A1256,expected_production[Date],B1256)),"")</f>
        <v>42716.885294816071</v>
      </c>
      <c r="E1256" s="9">
        <f t="shared" si="40"/>
        <v>0.95974044167904782</v>
      </c>
      <c r="F1256" t="str">
        <f t="shared" si="41"/>
        <v>Expected</v>
      </c>
      <c r="G1256" t="s">
        <v>874</v>
      </c>
    </row>
    <row r="1257" spans="1:7" ht="15" hidden="1" customHeight="1" x14ac:dyDescent="0.3">
      <c r="A1257" t="s">
        <v>131</v>
      </c>
      <c r="B1257" s="2">
        <v>46235</v>
      </c>
      <c r="C1257" cm="1">
        <f t="array" ref="C1257">IFERROR(IF(SUMPRODUCT((measured[Site Name]=A1257)*(measured[Date]=B1257)*ISNUMBER(measured[Measured Value (kWh)]))=0,"",SUMIFS(measured[Measured Value (kWh)],measured[Site Name],A1257,measured[Date],B1257)),"")</f>
        <v>6058</v>
      </c>
      <c r="D1257" cm="1">
        <f t="array" ref="D1257">IFERROR(IF(SUMPRODUCT((expected_production[Site Name]=A1257)*(expected_production[Date]=B1257)*ISNUMBER(expected_production[Expected Production (kWh)]))=0,"",SUMIFS(expected_production[Expected Production (kWh)],expected_production[Site Name],A1257,expected_production[Date],B1257)),"")</f>
        <v>5532.0360700112115</v>
      </c>
      <c r="E1257" s="9">
        <f t="shared" si="40"/>
        <v>1.0950760123998473</v>
      </c>
      <c r="F1257" t="str">
        <f t="shared" si="41"/>
        <v>Expected</v>
      </c>
      <c r="G1257" t="s">
        <v>874</v>
      </c>
    </row>
    <row r="1258" spans="1:7" ht="15" customHeight="1" x14ac:dyDescent="0.3">
      <c r="A1258" t="s">
        <v>131</v>
      </c>
      <c r="B1258" s="2">
        <v>46266</v>
      </c>
      <c r="C1258" cm="1">
        <f t="array" ref="C1258">IFERROR(IF(SUMPRODUCT((measured[Site Name]=A1258)*(measured[Date]=B1258)*ISNUMBER(measured[Measured Value (kWh)]))=0,"",SUMIFS(measured[Measured Value (kWh)],measured[Site Name],A1258,measured[Date],B1258)),"")</f>
        <v>5214.57</v>
      </c>
      <c r="D1258" cm="1">
        <f t="array" ref="D1258">IFERROR(IF(SUMPRODUCT((expected_production[Site Name]=A1258)*(expected_production[Date]=B1258)*ISNUMBER(expected_production[Expected Production (kWh)]))=0,"",SUMIFS(expected_production[Expected Production (kWh)],expected_production[Site Name],A1258,expected_production[Date],B1258)),"")</f>
        <v>5478.7276316390717</v>
      </c>
      <c r="E1258" s="9">
        <f t="shared" si="40"/>
        <v>0.9517848578356789</v>
      </c>
      <c r="F1258" t="str">
        <f t="shared" si="41"/>
        <v>Expected</v>
      </c>
      <c r="G1258" t="s">
        <v>874</v>
      </c>
    </row>
    <row r="1259" spans="1:7" ht="15" hidden="1" customHeight="1" x14ac:dyDescent="0.3">
      <c r="A1259" t="s">
        <v>131</v>
      </c>
      <c r="B1259" s="2">
        <v>46296</v>
      </c>
      <c r="C1259" t="str" cm="1">
        <f t="array" ref="C1259">IFERROR(IF(SUMPRODUCT((measured[Site Name]=A1259)*(measured[Date]=B1259)*ISNUMBER(measured[Measured Value (kWh)]))=0,"",SUMIFS(measured[Measured Value (kWh)],measured[Site Name],A1259,measured[Date],B1259)),"")</f>
        <v/>
      </c>
      <c r="D1259" cm="1">
        <f t="array" ref="D1259">IFERROR(IF(SUMPRODUCT((expected_production[Site Name]=A1259)*(expected_production[Date]=B1259)*ISNUMBER(expected_production[Expected Production (kWh)]))=0,"",SUMIFS(expected_production[Expected Production (kWh)],expected_production[Site Name],A1259,expected_production[Date],B1259)),"")</f>
        <v>5382.2670752304412</v>
      </c>
      <c r="E1259" s="9" t="str">
        <f t="shared" si="40"/>
        <v/>
      </c>
      <c r="F1259" t="str">
        <f t="shared" si="41"/>
        <v/>
      </c>
    </row>
    <row r="1260" spans="1:7" ht="15" hidden="1" customHeight="1" x14ac:dyDescent="0.3">
      <c r="A1260" t="s">
        <v>131</v>
      </c>
      <c r="B1260" s="2">
        <v>46327</v>
      </c>
      <c r="C1260" t="str" cm="1">
        <f t="array" ref="C1260">IFERROR(IF(SUMPRODUCT((measured[Site Name]=A1260)*(measured[Date]=B1260)*ISNUMBER(measured[Measured Value (kWh)]))=0,"",SUMIFS(measured[Measured Value (kWh)],measured[Site Name],A1260,measured[Date],B1260)),"")</f>
        <v/>
      </c>
      <c r="D1260" cm="1">
        <f t="array" ref="D1260">IFERROR(IF(SUMPRODUCT((expected_production[Site Name]=A1260)*(expected_production[Date]=B1260)*ISNUMBER(expected_production[Expected Production (kWh)]))=0,"",SUMIFS(expected_production[Expected Production (kWh)],expected_production[Site Name],A1260,expected_production[Date],B1260)),"")</f>
        <v>5005.2473864272606</v>
      </c>
      <c r="E1260" s="9" t="str">
        <f t="shared" si="40"/>
        <v/>
      </c>
      <c r="F1260" t="str">
        <f t="shared" si="41"/>
        <v/>
      </c>
    </row>
    <row r="1261" spans="1:7" ht="15" hidden="1" customHeight="1" x14ac:dyDescent="0.3">
      <c r="A1261" t="s">
        <v>131</v>
      </c>
      <c r="B1261" s="2">
        <v>46357</v>
      </c>
      <c r="C1261" t="str" cm="1">
        <f t="array" ref="C1261">IFERROR(IF(SUMPRODUCT((measured[Site Name]=A1261)*(measured[Date]=B1261)*ISNUMBER(measured[Measured Value (kWh)]))=0,"",SUMIFS(measured[Measured Value (kWh)],measured[Site Name],A1261,measured[Date],B1261)),"")</f>
        <v/>
      </c>
      <c r="D1261" cm="1">
        <f t="array" ref="D1261">IFERROR(IF(SUMPRODUCT((expected_production[Site Name]=A1261)*(expected_production[Date]=B1261)*ISNUMBER(expected_production[Expected Production (kWh)]))=0,"",SUMIFS(expected_production[Expected Production (kWh)],expected_production[Site Name],A1261,expected_production[Date],B1261)),"")</f>
        <v>5113.024665205422</v>
      </c>
      <c r="E1261" s="9" t="str">
        <f t="shared" si="40"/>
        <v/>
      </c>
      <c r="F1261" t="str">
        <f t="shared" si="41"/>
        <v/>
      </c>
    </row>
    <row r="1262" spans="1:7" ht="15" hidden="1" customHeight="1" x14ac:dyDescent="0.3">
      <c r="A1262" t="s">
        <v>134</v>
      </c>
      <c r="B1262" s="2">
        <v>45292</v>
      </c>
      <c r="C1262" t="str" cm="1">
        <f t="array" ref="C1262">IFERROR(IF(SUMPRODUCT((measured[Site Name]=A1262)*(measured[Date]=B1262)*ISNUMBER(measured[Measured Value (kWh)]))=0,"",SUMIFS(measured[Measured Value (kWh)],measured[Site Name],A1262,measured[Date],B1262)),"")</f>
        <v/>
      </c>
      <c r="D1262" cm="1">
        <f t="array" ref="D1262">IFERROR(IF(SUMPRODUCT((expected_production[Site Name]=A1262)*(expected_production[Date]=B1262)*ISNUMBER(expected_production[Expected Production (kWh)]))=0,"",SUMIFS(expected_production[Expected Production (kWh)],expected_production[Site Name],A1262,expected_production[Date],B1262)),"")</f>
        <v>40416.300000000003</v>
      </c>
      <c r="E1262" s="9" t="str">
        <f t="shared" si="40"/>
        <v/>
      </c>
      <c r="F1262" t="str">
        <f t="shared" si="41"/>
        <v/>
      </c>
    </row>
    <row r="1263" spans="1:7" ht="15" hidden="1" customHeight="1" x14ac:dyDescent="0.3">
      <c r="A1263" t="s">
        <v>134</v>
      </c>
      <c r="B1263" s="2">
        <v>45323</v>
      </c>
      <c r="C1263" t="str" cm="1">
        <f t="array" ref="C1263">IFERROR(IF(SUMPRODUCT((measured[Site Name]=A1263)*(measured[Date]=B1263)*ISNUMBER(measured[Measured Value (kWh)]))=0,"",SUMIFS(measured[Measured Value (kWh)],measured[Site Name],A1263,measured[Date],B1263)),"")</f>
        <v/>
      </c>
      <c r="D1263" cm="1">
        <f t="array" ref="D1263">IFERROR(IF(SUMPRODUCT((expected_production[Site Name]=A1263)*(expected_production[Date]=B1263)*ISNUMBER(expected_production[Expected Production (kWh)]))=0,"",SUMIFS(expected_production[Expected Production (kWh)],expected_production[Site Name],A1263,expected_production[Date],B1263)),"")</f>
        <v>33988.5</v>
      </c>
      <c r="E1263" s="9" t="str">
        <f t="shared" si="40"/>
        <v/>
      </c>
      <c r="F1263" t="str">
        <f t="shared" si="41"/>
        <v/>
      </c>
    </row>
    <row r="1264" spans="1:7" ht="15" hidden="1" customHeight="1" x14ac:dyDescent="0.3">
      <c r="A1264" t="s">
        <v>134</v>
      </c>
      <c r="B1264" s="2">
        <v>45352</v>
      </c>
      <c r="C1264" cm="1">
        <f t="array" ref="C1264">IFERROR(IF(SUMPRODUCT((measured[Site Name]=A1264)*(measured[Date]=B1264)*ISNUMBER(measured[Measured Value (kWh)]))=0,"",SUMIFS(measured[Measured Value (kWh)],measured[Site Name],A1264,measured[Date],B1264)),"")</f>
        <v>41550.800000000003</v>
      </c>
      <c r="D1264" cm="1">
        <f t="array" ref="D1264">IFERROR(IF(SUMPRODUCT((expected_production[Site Name]=A1264)*(expected_production[Date]=B1264)*ISNUMBER(expected_production[Expected Production (kWh)]))=0,"",SUMIFS(expected_production[Expected Production (kWh)],expected_production[Site Name],A1264,expected_production[Date],B1264)),"")</f>
        <v>35131.724327970885</v>
      </c>
      <c r="E1264" s="9">
        <f t="shared" si="40"/>
        <v>1.1827145064701088</v>
      </c>
      <c r="F1264" t="str">
        <f t="shared" si="41"/>
        <v>Expected</v>
      </c>
    </row>
    <row r="1265" spans="1:6" ht="15" hidden="1" customHeight="1" x14ac:dyDescent="0.3">
      <c r="A1265" t="s">
        <v>134</v>
      </c>
      <c r="B1265" s="2">
        <v>45383</v>
      </c>
      <c r="C1265" cm="1">
        <f t="array" ref="C1265">IFERROR(IF(SUMPRODUCT((measured[Site Name]=A1265)*(measured[Date]=B1265)*ISNUMBER(measured[Measured Value (kWh)]))=0,"",SUMIFS(measured[Measured Value (kWh)],measured[Site Name],A1265,measured[Date],B1265)),"")</f>
        <v>25447.599999999999</v>
      </c>
      <c r="D1265" cm="1">
        <f t="array" ref="D1265">IFERROR(IF(SUMPRODUCT((expected_production[Site Name]=A1265)*(expected_production[Date]=B1265)*ISNUMBER(expected_production[Expected Production (kWh)]))=0,"",SUMIFS(expected_production[Expected Production (kWh)],expected_production[Site Name],A1265,expected_production[Date],B1265)),"")</f>
        <v>29885.002059349728</v>
      </c>
      <c r="E1265" s="9">
        <f t="shared" si="40"/>
        <v>0.85151742501013283</v>
      </c>
      <c r="F1265" t="str">
        <f t="shared" si="41"/>
        <v>Moderate</v>
      </c>
    </row>
    <row r="1266" spans="1:6" ht="15" hidden="1" customHeight="1" x14ac:dyDescent="0.3">
      <c r="A1266" t="s">
        <v>134</v>
      </c>
      <c r="B1266" s="2">
        <v>45413</v>
      </c>
      <c r="C1266" cm="1">
        <f t="array" ref="C1266">IFERROR(IF(SUMPRODUCT((measured[Site Name]=A1266)*(measured[Date]=B1266)*ISNUMBER(measured[Measured Value (kWh)]))=0,"",SUMIFS(measured[Measured Value (kWh)],measured[Site Name],A1266,measured[Date],B1266)),"")</f>
        <v>28056</v>
      </c>
      <c r="D1266" cm="1">
        <f t="array" ref="D1266">IFERROR(IF(SUMPRODUCT((expected_production[Site Name]=A1266)*(expected_production[Date]=B1266)*ISNUMBER(expected_production[Expected Production (kWh)]))=0,"",SUMIFS(expected_production[Expected Production (kWh)],expected_production[Site Name],A1266,expected_production[Date],B1266)),"")</f>
        <v>28349.475765743915</v>
      </c>
      <c r="E1266" s="9">
        <f t="shared" si="40"/>
        <v>0.98964792971238869</v>
      </c>
      <c r="F1266" t="str">
        <f t="shared" si="41"/>
        <v>Expected</v>
      </c>
    </row>
    <row r="1267" spans="1:6" ht="15" hidden="1" customHeight="1" x14ac:dyDescent="0.3">
      <c r="A1267" t="s">
        <v>134</v>
      </c>
      <c r="B1267" s="2">
        <v>45444</v>
      </c>
      <c r="C1267" cm="1">
        <f t="array" ref="C1267">IFERROR(IF(SUMPRODUCT((measured[Site Name]=A1267)*(measured[Date]=B1267)*ISNUMBER(measured[Measured Value (kWh)]))=0,"",SUMIFS(measured[Measured Value (kWh)],measured[Site Name],A1267,measured[Date],B1267)),"")</f>
        <v>27241</v>
      </c>
      <c r="D1267" cm="1">
        <f t="array" ref="D1267">IFERROR(IF(SUMPRODUCT((expected_production[Site Name]=A1267)*(expected_production[Date]=B1267)*ISNUMBER(expected_production[Expected Production (kWh)]))=0,"",SUMIFS(expected_production[Expected Production (kWh)],expected_production[Site Name],A1267,expected_production[Date],B1267)),"")</f>
        <v>25596.077675612563</v>
      </c>
      <c r="E1267" s="9">
        <f t="shared" si="40"/>
        <v>1.0642646246520295</v>
      </c>
      <c r="F1267" t="str">
        <f t="shared" si="41"/>
        <v>Expected</v>
      </c>
    </row>
    <row r="1268" spans="1:6" ht="15" hidden="1" customHeight="1" x14ac:dyDescent="0.3">
      <c r="A1268" t="s">
        <v>134</v>
      </c>
      <c r="B1268" s="2">
        <v>45474</v>
      </c>
      <c r="C1268" cm="1">
        <f t="array" ref="C1268">IFERROR(IF(SUMPRODUCT((measured[Site Name]=A1268)*(measured[Date]=B1268)*ISNUMBER(measured[Measured Value (kWh)]))=0,"",SUMIFS(measured[Measured Value (kWh)],measured[Site Name],A1268,measured[Date],B1268)),"")</f>
        <v>31078</v>
      </c>
      <c r="D1268" cm="1">
        <f t="array" ref="D1268">IFERROR(IF(SUMPRODUCT((expected_production[Site Name]=A1268)*(expected_production[Date]=B1268)*ISNUMBER(expected_production[Expected Production (kWh)]))=0,"",SUMIFS(expected_production[Expected Production (kWh)],expected_production[Site Name],A1268,expected_production[Date],B1268)),"")</f>
        <v>28294.687458230856</v>
      </c>
      <c r="E1268" s="9">
        <f t="shared" si="40"/>
        <v>1.098368732500683</v>
      </c>
      <c r="F1268" t="str">
        <f t="shared" si="41"/>
        <v>Expected</v>
      </c>
    </row>
    <row r="1269" spans="1:6" ht="15" hidden="1" customHeight="1" x14ac:dyDescent="0.3">
      <c r="A1269" t="s">
        <v>134</v>
      </c>
      <c r="B1269" s="2">
        <v>45505</v>
      </c>
      <c r="C1269" cm="1">
        <f t="array" ref="C1269">IFERROR(IF(SUMPRODUCT((measured[Site Name]=A1269)*(measured[Date]=B1269)*ISNUMBER(measured[Measured Value (kWh)]))=0,"",SUMIFS(measured[Measured Value (kWh)],measured[Site Name],A1269,measured[Date],B1269)),"")</f>
        <v>33515</v>
      </c>
      <c r="D1269" cm="1">
        <f t="array" ref="D1269">IFERROR(IF(SUMPRODUCT((expected_production[Site Name]=A1269)*(expected_production[Date]=B1269)*ISNUMBER(expected_production[Expected Production (kWh)]))=0,"",SUMIFS(expected_production[Expected Production (kWh)],expected_production[Site Name],A1269,expected_production[Date],B1269)),"")</f>
        <v>32908.986288671804</v>
      </c>
      <c r="E1269" s="9">
        <f t="shared" si="40"/>
        <v>1.018414839825583</v>
      </c>
      <c r="F1269" t="str">
        <f t="shared" si="41"/>
        <v>Expected</v>
      </c>
    </row>
    <row r="1270" spans="1:6" ht="15" hidden="1" customHeight="1" x14ac:dyDescent="0.3">
      <c r="A1270" t="s">
        <v>134</v>
      </c>
      <c r="B1270" s="2">
        <v>45536</v>
      </c>
      <c r="C1270" cm="1">
        <f t="array" ref="C1270">IFERROR(IF(SUMPRODUCT((measured[Site Name]=A1270)*(measured[Date]=B1270)*ISNUMBER(measured[Measured Value (kWh)]))=0,"",SUMIFS(measured[Measured Value (kWh)],measured[Site Name],A1270,measured[Date],B1270)),"")</f>
        <v>34245</v>
      </c>
      <c r="D1270" cm="1">
        <f t="array" ref="D1270">IFERROR(IF(SUMPRODUCT((expected_production[Site Name]=A1270)*(expected_production[Date]=B1270)*ISNUMBER(expected_production[Expected Production (kWh)]))=0,"",SUMIFS(expected_production[Expected Production (kWh)],expected_production[Site Name],A1270,expected_production[Date],B1270)),"")</f>
        <v>36391.389390796634</v>
      </c>
      <c r="E1270" s="9">
        <f t="shared" si="40"/>
        <v>0.94101930630492892</v>
      </c>
      <c r="F1270" t="str">
        <f t="shared" si="41"/>
        <v>Expected</v>
      </c>
    </row>
    <row r="1271" spans="1:6" ht="15" hidden="1" customHeight="1" x14ac:dyDescent="0.3">
      <c r="A1271" t="s">
        <v>134</v>
      </c>
      <c r="B1271" s="2">
        <v>45566</v>
      </c>
      <c r="C1271" cm="1">
        <f t="array" ref="C1271">IFERROR(IF(SUMPRODUCT((measured[Site Name]=A1271)*(measured[Date]=B1271)*ISNUMBER(measured[Measured Value (kWh)]))=0,"",SUMIFS(measured[Measured Value (kWh)],measured[Site Name],A1271,measured[Date],B1271)),"")</f>
        <v>46108</v>
      </c>
      <c r="D1271" cm="1">
        <f t="array" ref="D1271">IFERROR(IF(SUMPRODUCT((expected_production[Site Name]=A1271)*(expected_production[Date]=B1271)*ISNUMBER(expected_production[Expected Production (kWh)]))=0,"",SUMIFS(expected_production[Expected Production (kWh)],expected_production[Site Name],A1271,expected_production[Date],B1271)),"")</f>
        <v>39519.05219702734</v>
      </c>
      <c r="E1271" s="9">
        <f t="shared" si="40"/>
        <v>1.1667283863520463</v>
      </c>
      <c r="F1271" t="str">
        <f t="shared" si="41"/>
        <v>Expected</v>
      </c>
    </row>
    <row r="1272" spans="1:6" ht="15" hidden="1" customHeight="1" x14ac:dyDescent="0.3">
      <c r="A1272" t="s">
        <v>134</v>
      </c>
      <c r="B1272" s="2">
        <v>45597</v>
      </c>
      <c r="C1272" cm="1">
        <f t="array" ref="C1272">IFERROR(IF(SUMPRODUCT((measured[Site Name]=A1272)*(measured[Date]=B1272)*ISNUMBER(measured[Measured Value (kWh)]))=0,"",SUMIFS(measured[Measured Value (kWh)],measured[Site Name],A1272,measured[Date],B1272)),"")</f>
        <v>42922</v>
      </c>
      <c r="D1272" cm="1">
        <f t="array" ref="D1272">IFERROR(IF(SUMPRODUCT((expected_production[Site Name]=A1272)*(expected_production[Date]=B1272)*ISNUMBER(expected_production[Expected Production (kWh)]))=0,"",SUMIFS(expected_production[Expected Production (kWh)],expected_production[Site Name],A1272,expected_production[Date],B1272)),"")</f>
        <v>39560.887747883608</v>
      </c>
      <c r="E1272" s="9">
        <f t="shared" si="40"/>
        <v>1.0849604860623028</v>
      </c>
      <c r="F1272" t="str">
        <f t="shared" si="41"/>
        <v>Expected</v>
      </c>
    </row>
    <row r="1273" spans="1:6" ht="15" hidden="1" customHeight="1" x14ac:dyDescent="0.3">
      <c r="A1273" t="s">
        <v>134</v>
      </c>
      <c r="B1273" s="2">
        <v>45627</v>
      </c>
      <c r="C1273" cm="1">
        <f t="array" ref="C1273">IFERROR(IF(SUMPRODUCT((measured[Site Name]=A1273)*(measured[Date]=B1273)*ISNUMBER(measured[Measured Value (kWh)]))=0,"",SUMIFS(measured[Measured Value (kWh)],measured[Site Name],A1273,measured[Date],B1273)),"")</f>
        <v>44138</v>
      </c>
      <c r="D1273" cm="1">
        <f t="array" ref="D1273">IFERROR(IF(SUMPRODUCT((expected_production[Site Name]=A1273)*(expected_production[Date]=B1273)*ISNUMBER(expected_production[Expected Production (kWh)]))=0,"",SUMIFS(expected_production[Expected Production (kWh)],expected_production[Site Name],A1273,expected_production[Date],B1273)),"")</f>
        <v>42294.498486470082</v>
      </c>
      <c r="E1273" s="9">
        <f t="shared" si="40"/>
        <v>1.0435872649990081</v>
      </c>
      <c r="F1273" t="str">
        <f t="shared" si="41"/>
        <v>Expected</v>
      </c>
    </row>
    <row r="1274" spans="1:6" ht="15" hidden="1" customHeight="1" x14ac:dyDescent="0.3">
      <c r="A1274" t="s">
        <v>134</v>
      </c>
      <c r="B1274" s="2">
        <v>45658</v>
      </c>
      <c r="C1274" cm="1">
        <f t="array" ref="C1274">IFERROR(IF(SUMPRODUCT((measured[Site Name]=A1274)*(measured[Date]=B1274)*ISNUMBER(measured[Measured Value (kWh)]))=0,"",SUMIFS(measured[Measured Value (kWh)],measured[Site Name],A1274,measured[Date],B1274)),"")</f>
        <v>41100</v>
      </c>
      <c r="D1274" cm="1">
        <f t="array" ref="D1274">IFERROR(IF(SUMPRODUCT((expected_production[Site Name]=A1274)*(expected_production[Date]=B1274)*ISNUMBER(expected_production[Expected Production (kWh)]))=0,"",SUMIFS(expected_production[Expected Production (kWh)],expected_production[Site Name],A1274,expected_production[Date],B1274)),"")</f>
        <v>40178.371893722498</v>
      </c>
      <c r="E1274" s="9">
        <f t="shared" si="40"/>
        <v>1.0229384134507824</v>
      </c>
      <c r="F1274" t="str">
        <f t="shared" si="41"/>
        <v>Expected</v>
      </c>
    </row>
    <row r="1275" spans="1:6" ht="15" hidden="1" customHeight="1" x14ac:dyDescent="0.3">
      <c r="A1275" t="s">
        <v>134</v>
      </c>
      <c r="B1275" s="2">
        <v>45689</v>
      </c>
      <c r="C1275" cm="1">
        <f t="array" ref="C1275">IFERROR(IF(SUMPRODUCT((measured[Site Name]=A1275)*(measured[Date]=B1275)*ISNUMBER(measured[Measured Value (kWh)]))=0,"",SUMIFS(measured[Measured Value (kWh)],measured[Site Name],A1275,measured[Date],B1275)),"")</f>
        <v>30900</v>
      </c>
      <c r="D1275" cm="1">
        <f t="array" ref="D1275">IFERROR(IF(SUMPRODUCT((expected_production[Site Name]=A1275)*(expected_production[Date]=B1275)*ISNUMBER(expected_production[Expected Production (kWh)]))=0,"",SUMIFS(expected_production[Expected Production (kWh)],expected_production[Site Name],A1275,expected_production[Date],B1275)),"")</f>
        <v>33768.273189652842</v>
      </c>
      <c r="E1275" s="9">
        <f t="shared" si="40"/>
        <v>0.91506011653175889</v>
      </c>
      <c r="F1275" t="str">
        <f t="shared" si="41"/>
        <v>Expected</v>
      </c>
    </row>
    <row r="1276" spans="1:6" ht="15" hidden="1" customHeight="1" x14ac:dyDescent="0.3">
      <c r="A1276" t="s">
        <v>134</v>
      </c>
      <c r="B1276" s="2">
        <v>45717</v>
      </c>
      <c r="C1276" cm="1">
        <f t="array" ref="C1276">IFERROR(IF(SUMPRODUCT((measured[Site Name]=A1276)*(measured[Date]=B1276)*ISNUMBER(measured[Measured Value (kWh)]))=0,"",SUMIFS(measured[Measured Value (kWh)],measured[Site Name],A1276,measured[Date],B1276)),"")</f>
        <v>31593</v>
      </c>
      <c r="D1276" cm="1">
        <f t="array" ref="D1276">IFERROR(IF(SUMPRODUCT((expected_production[Site Name]=A1276)*(expected_production[Date]=B1276)*ISNUMBER(expected_production[Expected Production (kWh)]))=0,"",SUMIFS(expected_production[Expected Production (kWh)],expected_production[Site Name],A1276,expected_production[Date],B1276)),"")</f>
        <v>34885.969992046586</v>
      </c>
      <c r="E1276" s="9">
        <f t="shared" si="40"/>
        <v>0.90560761266499601</v>
      </c>
      <c r="F1276" t="str">
        <f t="shared" si="41"/>
        <v>Expected</v>
      </c>
    </row>
    <row r="1277" spans="1:6" ht="15" hidden="1" customHeight="1" x14ac:dyDescent="0.3">
      <c r="A1277" t="s">
        <v>134</v>
      </c>
      <c r="B1277" s="2">
        <v>45748</v>
      </c>
      <c r="C1277" cm="1">
        <f t="array" ref="C1277">IFERROR(IF(SUMPRODUCT((measured[Site Name]=A1277)*(measured[Date]=B1277)*ISNUMBER(measured[Measured Value (kWh)]))=0,"",SUMIFS(measured[Measured Value (kWh)],measured[Site Name],A1277,measured[Date],B1277)),"")</f>
        <v>25646</v>
      </c>
      <c r="D1277" cm="1">
        <f t="array" ref="D1277">IFERROR(IF(SUMPRODUCT((expected_production[Site Name]=A1277)*(expected_production[Date]=B1277)*ISNUMBER(expected_production[Expected Production (kWh)]))=0,"",SUMIFS(expected_production[Expected Production (kWh)],expected_production[Site Name],A1277,expected_production[Date],B1277)),"")</f>
        <v>29675.949729135911</v>
      </c>
      <c r="E1277" s="9">
        <f t="shared" si="40"/>
        <v>0.86420149090698528</v>
      </c>
      <c r="F1277" t="str">
        <f t="shared" si="41"/>
        <v>Moderate</v>
      </c>
    </row>
    <row r="1278" spans="1:6" ht="15" hidden="1" customHeight="1" x14ac:dyDescent="0.3">
      <c r="A1278" t="s">
        <v>134</v>
      </c>
      <c r="B1278" s="2">
        <v>45778</v>
      </c>
      <c r="C1278" cm="1">
        <f t="array" ref="C1278">IFERROR(IF(SUMPRODUCT((measured[Site Name]=A1278)*(measured[Date]=B1278)*ISNUMBER(measured[Measured Value (kWh)]))=0,"",SUMIFS(measured[Measured Value (kWh)],measured[Site Name],A1278,measured[Date],B1278)),"")</f>
        <v>33184</v>
      </c>
      <c r="D1278" cm="1">
        <f t="array" ref="D1278">IFERROR(IF(SUMPRODUCT((expected_production[Site Name]=A1278)*(expected_production[Date]=B1278)*ISNUMBER(expected_production[Expected Production (kWh)]))=0,"",SUMIFS(expected_production[Expected Production (kWh)],expected_production[Site Name],A1278,expected_production[Date],B1278)),"")</f>
        <v>28151.164788304493</v>
      </c>
      <c r="E1278" s="9">
        <f t="shared" si="40"/>
        <v>1.1787789332889849</v>
      </c>
      <c r="F1278" t="str">
        <f t="shared" si="41"/>
        <v>Expected</v>
      </c>
    </row>
    <row r="1279" spans="1:6" ht="15" hidden="1" customHeight="1" x14ac:dyDescent="0.3">
      <c r="A1279" t="s">
        <v>134</v>
      </c>
      <c r="B1279" s="2">
        <v>45809</v>
      </c>
      <c r="C1279" cm="1">
        <f t="array" ref="C1279">IFERROR(IF(SUMPRODUCT((measured[Site Name]=A1279)*(measured[Date]=B1279)*ISNUMBER(measured[Measured Value (kWh)]))=0,"",SUMIFS(measured[Measured Value (kWh)],measured[Site Name],A1279,measured[Date],B1279)),"")</f>
        <v>29359.5</v>
      </c>
      <c r="D1279" cm="1">
        <f t="array" ref="D1279">IFERROR(IF(SUMPRODUCT((expected_production[Site Name]=A1279)*(expected_production[Date]=B1279)*ISNUMBER(expected_production[Expected Production (kWh)]))=0,"",SUMIFS(expected_production[Expected Production (kWh)],expected_production[Site Name],A1279,expected_production[Date],B1279)),"")</f>
        <v>25417.027338865253</v>
      </c>
      <c r="E1279" s="9">
        <f t="shared" si="40"/>
        <v>1.1551114773798232</v>
      </c>
      <c r="F1279" t="str">
        <f t="shared" si="41"/>
        <v>Expected</v>
      </c>
    </row>
    <row r="1280" spans="1:6" ht="15" hidden="1" customHeight="1" x14ac:dyDescent="0.3">
      <c r="A1280" t="s">
        <v>134</v>
      </c>
      <c r="B1280" s="2">
        <v>45839</v>
      </c>
      <c r="C1280" cm="1">
        <f t="array" ref="C1280">IFERROR(IF(SUMPRODUCT((measured[Site Name]=A1280)*(measured[Date]=B1280)*ISNUMBER(measured[Measured Value (kWh)]))=0,"",SUMIFS(measured[Measured Value (kWh)],measured[Site Name],A1280,measured[Date],B1280)),"")</f>
        <v>23487</v>
      </c>
      <c r="D1280" cm="1">
        <f t="array" ref="D1280">IFERROR(IF(SUMPRODUCT((expected_production[Site Name]=A1280)*(expected_production[Date]=B1280)*ISNUMBER(expected_production[Expected Production (kWh)]))=0,"",SUMIFS(expected_production[Expected Production (kWh)],expected_production[Site Name],A1280,expected_production[Date],B1280)),"")</f>
        <v>28096.75973736044</v>
      </c>
      <c r="E1280" s="9">
        <f t="shared" si="40"/>
        <v>0.8359326918672827</v>
      </c>
      <c r="F1280" t="str">
        <f t="shared" si="41"/>
        <v>Moderate</v>
      </c>
    </row>
    <row r="1281" spans="1:7" ht="15" hidden="1" customHeight="1" x14ac:dyDescent="0.3">
      <c r="A1281" t="s">
        <v>134</v>
      </c>
      <c r="B1281" s="2">
        <v>45870</v>
      </c>
      <c r="C1281" cm="1">
        <f t="array" ref="C1281">IFERROR(IF(SUMPRODUCT((measured[Site Name]=A1281)*(measured[Date]=B1281)*ISNUMBER(measured[Measured Value (kWh)]))=0,"",SUMIFS(measured[Measured Value (kWh)],measured[Site Name],A1281,measured[Date],B1281)),"")</f>
        <v>34316</v>
      </c>
      <c r="D1281" cm="1">
        <f t="array" ref="D1281">IFERROR(IF(SUMPRODUCT((expected_production[Site Name]=A1281)*(expected_production[Date]=B1281)*ISNUMBER(expected_production[Expected Production (kWh)]))=0,"",SUMIFS(expected_production[Expected Production (kWh)],expected_production[Site Name],A1281,expected_production[Date],B1281)),"")</f>
        <v>32678.780506689294</v>
      </c>
      <c r="E1281" s="9">
        <f t="shared" si="40"/>
        <v>1.0501003852630171</v>
      </c>
      <c r="F1281" t="str">
        <f t="shared" si="41"/>
        <v>Expected</v>
      </c>
    </row>
    <row r="1282" spans="1:7" ht="15" hidden="1" customHeight="1" x14ac:dyDescent="0.3">
      <c r="A1282" t="s">
        <v>134</v>
      </c>
      <c r="B1282" s="2">
        <v>45901</v>
      </c>
      <c r="C1282" cm="1">
        <f t="array" ref="C1282">IFERROR(IF(SUMPRODUCT((measured[Site Name]=A1282)*(measured[Date]=B1282)*ISNUMBER(measured[Measured Value (kWh)]))=0,"",SUMIFS(measured[Measured Value (kWh)],measured[Site Name],A1282,measured[Date],B1282)),"")</f>
        <v>33632.699999999997</v>
      </c>
      <c r="D1282" cm="1">
        <f t="array" ref="D1282">IFERROR(IF(SUMPRODUCT((expected_production[Site Name]=A1282)*(expected_production[Date]=B1282)*ISNUMBER(expected_production[Expected Production (kWh)]))=0,"",SUMIFS(expected_production[Expected Production (kWh)],expected_production[Site Name],A1282,expected_production[Date],B1282)),"")</f>
        <v>36136.823413630023</v>
      </c>
      <c r="E1282" s="9">
        <f t="shared" si="40"/>
        <v>0.93070438469460137</v>
      </c>
      <c r="F1282" t="str">
        <f t="shared" si="41"/>
        <v>Expected</v>
      </c>
    </row>
    <row r="1283" spans="1:7" ht="15" hidden="1" customHeight="1" x14ac:dyDescent="0.3">
      <c r="A1283" t="s">
        <v>134</v>
      </c>
      <c r="B1283" s="2">
        <v>45931</v>
      </c>
      <c r="C1283" cm="1">
        <f t="array" ref="C1283">IFERROR(IF(SUMPRODUCT((measured[Site Name]=A1283)*(measured[Date]=B1283)*ISNUMBER(measured[Measured Value (kWh)]))=0,"",SUMIFS(measured[Measured Value (kWh)],measured[Site Name],A1283,measured[Date],B1283)),"")</f>
        <v>41353</v>
      </c>
      <c r="D1283" cm="1">
        <f t="array" ref="D1283">IFERROR(IF(SUMPRODUCT((expected_production[Site Name]=A1283)*(expected_production[Date]=B1283)*ISNUMBER(expected_production[Expected Production (kWh)]))=0,"",SUMIFS(expected_production[Expected Production (kWh)],expected_production[Site Name],A1283,expected_production[Date],B1283)),"")</f>
        <v>39242.607513061019</v>
      </c>
      <c r="E1283" s="9">
        <f t="shared" si="40"/>
        <v>1.0537780902106615</v>
      </c>
      <c r="F1283" t="str">
        <f t="shared" si="41"/>
        <v>Expected</v>
      </c>
    </row>
    <row r="1284" spans="1:7" ht="15" hidden="1" customHeight="1" x14ac:dyDescent="0.3">
      <c r="A1284" t="s">
        <v>134</v>
      </c>
      <c r="B1284" s="2">
        <v>45962</v>
      </c>
      <c r="C1284" cm="1">
        <f t="array" ref="C1284">IFERROR(IF(SUMPRODUCT((measured[Site Name]=A1284)*(measured[Date]=B1284)*ISNUMBER(measured[Measured Value (kWh)]))=0,"",SUMIFS(measured[Measured Value (kWh)],measured[Site Name],A1284,measured[Date],B1284)),"")</f>
        <v>44434</v>
      </c>
      <c r="D1284" cm="1">
        <f t="array" ref="D1284">IFERROR(IF(SUMPRODUCT((expected_production[Site Name]=A1284)*(expected_production[Date]=B1284)*ISNUMBER(expected_production[Expected Production (kWh)]))=0,"",SUMIFS(expected_production[Expected Production (kWh)],expected_production[Site Name],A1284,expected_production[Date],B1284)),"")</f>
        <v>39284.150414802687</v>
      </c>
      <c r="E1284" s="9">
        <f t="shared" si="40"/>
        <v>1.1310922988233136</v>
      </c>
      <c r="F1284" t="str">
        <f t="shared" si="41"/>
        <v>Expected</v>
      </c>
    </row>
    <row r="1285" spans="1:7" ht="15" hidden="1" customHeight="1" x14ac:dyDescent="0.3">
      <c r="A1285" t="s">
        <v>134</v>
      </c>
      <c r="B1285" s="2">
        <v>45992</v>
      </c>
      <c r="C1285" cm="1">
        <f t="array" ref="C1285">IFERROR(IF(SUMPRODUCT((measured[Site Name]=A1285)*(measured[Date]=B1285)*ISNUMBER(measured[Measured Value (kWh)]))=0,"",SUMIFS(measured[Measured Value (kWh)],measured[Site Name],A1285,measured[Date],B1285)),"")</f>
        <v>40551</v>
      </c>
      <c r="D1285" cm="1">
        <f t="array" ref="D1285">IFERROR(IF(SUMPRODUCT((expected_production[Site Name]=A1285)*(expected_production[Date]=B1285)*ISNUMBER(expected_production[Expected Production (kWh)]))=0,"",SUMIFS(expected_production[Expected Production (kWh)],expected_production[Site Name],A1285,expected_production[Date],B1285)),"")</f>
        <v>41998.638929684304</v>
      </c>
      <c r="E1285" s="9">
        <f t="shared" si="40"/>
        <v>0.9655312894280218</v>
      </c>
      <c r="F1285" t="str">
        <f t="shared" si="41"/>
        <v>Expected</v>
      </c>
    </row>
    <row r="1286" spans="1:7" ht="15" hidden="1" customHeight="1" x14ac:dyDescent="0.3">
      <c r="A1286" t="s">
        <v>134</v>
      </c>
      <c r="B1286" s="2">
        <v>46023</v>
      </c>
      <c r="C1286" cm="1">
        <f t="array" ref="C1286">IFERROR(IF(SUMPRODUCT((measured[Site Name]=A1286)*(measured[Date]=B1286)*ISNUMBER(measured[Measured Value (kWh)]))=0,"",SUMIFS(measured[Measured Value (kWh)],measured[Site Name],A1286,measured[Date],B1286)),"")</f>
        <v>42821</v>
      </c>
      <c r="D1286" cm="1">
        <f t="array" ref="D1286">IFERROR(IF(SUMPRODUCT((expected_production[Site Name]=A1286)*(expected_production[Date]=B1286)*ISNUMBER(expected_production[Expected Production (kWh)]))=0,"",SUMIFS(expected_production[Expected Production (kWh)],expected_production[Site Name],A1286,expected_production[Date],B1286)),"")</f>
        <v>39897.315119762796</v>
      </c>
      <c r="E1286" s="9">
        <f t="shared" si="40"/>
        <v>1.0732802413260381</v>
      </c>
      <c r="F1286" t="str">
        <f t="shared" si="41"/>
        <v>Expected</v>
      </c>
    </row>
    <row r="1287" spans="1:7" ht="15" hidden="1" customHeight="1" x14ac:dyDescent="0.3">
      <c r="A1287" t="s">
        <v>134</v>
      </c>
      <c r="B1287" s="2">
        <v>46054</v>
      </c>
      <c r="C1287" cm="1">
        <f t="array" ref="C1287">IFERROR(IF(SUMPRODUCT((measured[Site Name]=A1287)*(measured[Date]=B1287)*ISNUMBER(measured[Measured Value (kWh)]))=0,"",SUMIFS(measured[Measured Value (kWh)],measured[Site Name],A1287,measured[Date],B1287)),"")</f>
        <v>39129</v>
      </c>
      <c r="D1287" cm="1">
        <f t="array" ref="D1287">IFERROR(IF(SUMPRODUCT((expected_production[Site Name]=A1287)*(expected_production[Date]=B1287)*ISNUMBER(expected_production[Expected Production (kWh)]))=0,"",SUMIFS(expected_production[Expected Production (kWh)],expected_production[Site Name],A1287,expected_production[Date],B1287)),"")</f>
        <v>33532.056501978732</v>
      </c>
      <c r="E1287" s="9">
        <f t="shared" si="40"/>
        <v>1.1669132192262348</v>
      </c>
      <c r="F1287" t="str">
        <f t="shared" si="41"/>
        <v>Expected</v>
      </c>
    </row>
    <row r="1288" spans="1:7" ht="15" hidden="1" customHeight="1" x14ac:dyDescent="0.3">
      <c r="A1288" t="s">
        <v>134</v>
      </c>
      <c r="B1288" s="2">
        <v>46082</v>
      </c>
      <c r="C1288" cm="1">
        <f t="array" ref="C1288">IFERROR(IF(SUMPRODUCT((measured[Site Name]=A1288)*(measured[Date]=B1288)*ISNUMBER(measured[Measured Value (kWh)]))=0,"",SUMIFS(measured[Measured Value (kWh)],measured[Site Name],A1288,measured[Date],B1288)),"")</f>
        <v>31935</v>
      </c>
      <c r="D1288" cm="1">
        <f t="array" ref="D1288">IFERROR(IF(SUMPRODUCT((expected_production[Site Name]=A1288)*(expected_production[Date]=B1288)*ISNUMBER(expected_production[Expected Production (kWh)]))=0,"",SUMIFS(expected_production[Expected Production (kWh)],expected_production[Site Name],A1288,expected_production[Date],B1288)),"")</f>
        <v>34641.934763133999</v>
      </c>
      <c r="E1288" s="9">
        <f t="shared" si="40"/>
        <v>0.92185959642142379</v>
      </c>
      <c r="F1288" t="str">
        <f t="shared" si="41"/>
        <v>Expected</v>
      </c>
    </row>
    <row r="1289" spans="1:7" ht="15" hidden="1" customHeight="1" x14ac:dyDescent="0.3">
      <c r="A1289" t="s">
        <v>134</v>
      </c>
      <c r="B1289" s="2">
        <v>46113</v>
      </c>
      <c r="C1289" s="5" cm="1">
        <f t="array" ref="C1289">IFERROR(IF(SUMPRODUCT((measured[Site Name]=A1289)*(measured[Date]=B1289)*ISNUMBER(measured[Measured Value (kWh)]))=0,"",SUMIFS(measured[Measured Value (kWh)],measured[Site Name],A1289,measured[Date],B1289)),"")</f>
        <v>26513.02</v>
      </c>
      <c r="D1289" cm="1">
        <f t="array" ref="D1289">IFERROR(IF(SUMPRODUCT((expected_production[Site Name]=A1289)*(expected_production[Date]=B1289)*ISNUMBER(expected_production[Expected Production (kWh)]))=0,"",SUMIFS(expected_production[Expected Production (kWh)],expected_production[Site Name],A1289,expected_production[Date],B1289)),"")</f>
        <v>29468.359767125421</v>
      </c>
      <c r="E1289" s="9">
        <f t="shared" si="40"/>
        <v>0.89971142640852497</v>
      </c>
      <c r="F1289" t="str">
        <f t="shared" si="41"/>
        <v>Moderate</v>
      </c>
    </row>
    <row r="1290" spans="1:7" ht="15" hidden="1" customHeight="1" x14ac:dyDescent="0.3">
      <c r="A1290" t="s">
        <v>134</v>
      </c>
      <c r="B1290" s="2">
        <v>46143</v>
      </c>
      <c r="C1290" s="5" cm="1">
        <f t="array" ref="C1290">IFERROR(IF(SUMPRODUCT((measured[Site Name]=A1290)*(measured[Date]=B1290)*ISNUMBER(measured[Measured Value (kWh)]))=0,"",SUMIFS(measured[Measured Value (kWh)],measured[Site Name],A1290,measured[Date],B1290)),"")</f>
        <v>29984.36</v>
      </c>
      <c r="D1290" cm="1">
        <f t="array" ref="D1290">IFERROR(IF(SUMPRODUCT((expected_production[Site Name]=A1290)*(expected_production[Date]=B1290)*ISNUMBER(expected_production[Expected Production (kWh)]))=0,"",SUMIFS(expected_production[Expected Production (kWh)],expected_production[Site Name],A1290,expected_production[Date],B1290)),"")</f>
        <v>27954.241040882931</v>
      </c>
      <c r="E1290" s="9">
        <f t="shared" si="40"/>
        <v>1.0726229324612331</v>
      </c>
      <c r="F1290" t="str">
        <f t="shared" si="41"/>
        <v>Expected</v>
      </c>
    </row>
    <row r="1291" spans="1:7" ht="15" hidden="1" customHeight="1" x14ac:dyDescent="0.3">
      <c r="A1291" t="s">
        <v>134</v>
      </c>
      <c r="B1291" s="2">
        <v>46174</v>
      </c>
      <c r="C1291" cm="1">
        <f t="array" ref="C1291">IFERROR(IF(SUMPRODUCT((measured[Site Name]=A1291)*(measured[Date]=B1291)*ISNUMBER(measured[Measured Value (kWh)]))=0,"",SUMIFS(measured[Measured Value (kWh)],measured[Site Name],A1291,measured[Date],B1291)),"")</f>
        <v>23145.119999999999</v>
      </c>
      <c r="D1291" cm="1">
        <f t="array" ref="D1291">IFERROR(IF(SUMPRODUCT((expected_production[Site Name]=A1291)*(expected_production[Date]=B1291)*ISNUMBER(expected_production[Expected Production (kWh)]))=0,"",SUMIFS(expected_production[Expected Production (kWh)],expected_production[Site Name],A1291,expected_production[Date],B1291)),"")</f>
        <v>25239.22949960977</v>
      </c>
      <c r="E1291" s="9">
        <f t="shared" si="40"/>
        <v>0.91702957890841519</v>
      </c>
      <c r="F1291" t="str">
        <f t="shared" si="41"/>
        <v>Expected</v>
      </c>
    </row>
    <row r="1292" spans="1:7" ht="15" hidden="1" customHeight="1" x14ac:dyDescent="0.3">
      <c r="A1292" t="s">
        <v>127</v>
      </c>
      <c r="B1292" s="2">
        <v>46204</v>
      </c>
      <c r="C1292" cm="1">
        <f t="array" ref="C1292">IFERROR(IF(SUMPRODUCT((measured[Site Name]=A1292)*(measured[Date]=B1292)*ISNUMBER(measured[Measured Value (kWh)]))=0,"",SUMIFS(measured[Measured Value (kWh)],measured[Site Name],A1292,measured[Date],B1292)),"")</f>
        <v>13303</v>
      </c>
      <c r="D1292" cm="1">
        <f t="array" ref="D1292">IFERROR(IF(SUMPRODUCT((expected_production[Site Name]=A1292)*(expected_production[Date]=B1292)*ISNUMBER(expected_production[Expected Production (kWh)]))=0,"",SUMIFS(expected_production[Expected Production (kWh)],expected_production[Site Name],A1292,expected_production[Date],B1292)),"")</f>
        <v>15154.452541546278</v>
      </c>
      <c r="E1292" s="9">
        <f t="shared" si="40"/>
        <v>0.87782781750310823</v>
      </c>
      <c r="F1292" t="str">
        <f t="shared" si="41"/>
        <v>Moderate</v>
      </c>
      <c r="G1292" t="s">
        <v>874</v>
      </c>
    </row>
    <row r="1293" spans="1:7" ht="15" hidden="1" customHeight="1" x14ac:dyDescent="0.3">
      <c r="A1293" t="s">
        <v>134</v>
      </c>
      <c r="B1293" s="2">
        <v>46235</v>
      </c>
      <c r="C1293" cm="1">
        <f t="array" ref="C1293">IFERROR(IF(SUMPRODUCT((measured[Site Name]=A1293)*(measured[Date]=B1293)*ISNUMBER(measured[Measured Value (kWh)]))=0,"",SUMIFS(measured[Measured Value (kWh)],measured[Site Name],A1293,measured[Date],B1293)),"")</f>
        <v>35675.900999999998</v>
      </c>
      <c r="D1293" cm="1">
        <f t="array" ref="D1293">IFERROR(IF(SUMPRODUCT((expected_production[Site Name]=A1293)*(expected_production[Date]=B1293)*ISNUMBER(expected_production[Expected Production (kWh)]))=0,"",SUMIFS(expected_production[Expected Production (kWh)],expected_production[Site Name],A1293,expected_production[Date],B1293)),"")</f>
        <v>32450.18506607657</v>
      </c>
      <c r="E1293" s="9">
        <f t="shared" si="40"/>
        <v>1.0994051629399055</v>
      </c>
      <c r="F1293" t="str">
        <f t="shared" si="41"/>
        <v>Expected</v>
      </c>
      <c r="G1293" t="s">
        <v>874</v>
      </c>
    </row>
    <row r="1294" spans="1:7" ht="15" customHeight="1" x14ac:dyDescent="0.3">
      <c r="A1294" t="s">
        <v>134</v>
      </c>
      <c r="B1294" s="2">
        <v>46266</v>
      </c>
      <c r="C1294" cm="1">
        <f t="array" ref="C1294">IFERROR(IF(SUMPRODUCT((measured[Site Name]=A1294)*(measured[Date]=B1294)*ISNUMBER(measured[Measured Value (kWh)]))=0,"",SUMIFS(measured[Measured Value (kWh)],measured[Site Name],A1294,measured[Date],B1294)),"")</f>
        <v>33460.18</v>
      </c>
      <c r="D1294" cm="1">
        <f t="array" ref="D1294">IFERROR(IF(SUMPRODUCT((expected_production[Site Name]=A1294)*(expected_production[Date]=B1294)*ISNUMBER(expected_production[Expected Production (kWh)]))=0,"",SUMIFS(expected_production[Expected Production (kWh)],expected_production[Site Name],A1294,expected_production[Date],B1294)),"")</f>
        <v>35884.038182893157</v>
      </c>
      <c r="E1294" s="9">
        <f t="shared" si="40"/>
        <v>0.93245302631383686</v>
      </c>
      <c r="F1294" t="str">
        <f t="shared" si="41"/>
        <v>Expected</v>
      </c>
      <c r="G1294" t="s">
        <v>874</v>
      </c>
    </row>
    <row r="1295" spans="1:7" ht="15" hidden="1" customHeight="1" x14ac:dyDescent="0.3">
      <c r="A1295" t="s">
        <v>134</v>
      </c>
      <c r="B1295" s="2">
        <v>46296</v>
      </c>
      <c r="C1295" t="str" cm="1">
        <f t="array" ref="C1295">IFERROR(IF(SUMPRODUCT((measured[Site Name]=A1295)*(measured[Date]=B1295)*ISNUMBER(measured[Measured Value (kWh)]))=0,"",SUMIFS(measured[Measured Value (kWh)],measured[Site Name],A1295,measured[Date],B1295)),"")</f>
        <v/>
      </c>
      <c r="D1295" cm="1">
        <f t="array" ref="D1295">IFERROR(IF(SUMPRODUCT((expected_production[Site Name]=A1295)*(expected_production[Date]=B1295)*ISNUMBER(expected_production[Expected Production (kWh)]))=0,"",SUMIFS(expected_production[Expected Production (kWh)],expected_production[Site Name],A1295,expected_production[Date],B1295)),"")</f>
        <v>38968.096622013407</v>
      </c>
      <c r="E1295" s="9" t="str">
        <f t="shared" si="40"/>
        <v/>
      </c>
      <c r="F1295" t="str">
        <f t="shared" si="41"/>
        <v/>
      </c>
    </row>
    <row r="1296" spans="1:7" ht="15" hidden="1" customHeight="1" x14ac:dyDescent="0.3">
      <c r="A1296" t="s">
        <v>134</v>
      </c>
      <c r="B1296" s="2">
        <v>46327</v>
      </c>
      <c r="C1296" t="str" cm="1">
        <f t="array" ref="C1296">IFERROR(IF(SUMPRODUCT((measured[Site Name]=A1296)*(measured[Date]=B1296)*ISNUMBER(measured[Measured Value (kWh)]))=0,"",SUMIFS(measured[Measured Value (kWh)],measured[Site Name],A1296,measured[Date],B1296)),"")</f>
        <v/>
      </c>
      <c r="D1296" cm="1">
        <f t="array" ref="D1296">IFERROR(IF(SUMPRODUCT((expected_production[Site Name]=A1296)*(expected_production[Date]=B1296)*ISNUMBER(expected_production[Expected Production (kWh)]))=0,"",SUMIFS(expected_production[Expected Production (kWh)],expected_production[Site Name],A1296,expected_production[Date],B1296)),"")</f>
        <v>39009.348921787052</v>
      </c>
      <c r="E1296" s="9" t="str">
        <f t="shared" si="40"/>
        <v/>
      </c>
      <c r="F1296" t="str">
        <f t="shared" si="41"/>
        <v/>
      </c>
    </row>
    <row r="1297" spans="1:6" ht="15" hidden="1" customHeight="1" x14ac:dyDescent="0.3">
      <c r="A1297" t="s">
        <v>134</v>
      </c>
      <c r="B1297" s="2">
        <v>46357</v>
      </c>
      <c r="C1297" t="str" cm="1">
        <f t="array" ref="C1297">IFERROR(IF(SUMPRODUCT((measured[Site Name]=A1297)*(measured[Date]=B1297)*ISNUMBER(measured[Measured Value (kWh)]))=0,"",SUMIFS(measured[Measured Value (kWh)],measured[Site Name],A1297,measured[Date],B1297)),"")</f>
        <v/>
      </c>
      <c r="D1297" cm="1">
        <f t="array" ref="D1297">IFERROR(IF(SUMPRODUCT((expected_production[Site Name]=A1297)*(expected_production[Date]=B1297)*ISNUMBER(expected_production[Expected Production (kWh)]))=0,"",SUMIFS(expected_production[Expected Production (kWh)],expected_production[Site Name],A1297,expected_production[Date],B1297)),"")</f>
        <v>41704.848977231806</v>
      </c>
      <c r="E1297" s="9" t="str">
        <f t="shared" si="40"/>
        <v/>
      </c>
      <c r="F1297" t="str">
        <f t="shared" si="41"/>
        <v/>
      </c>
    </row>
    <row r="1298" spans="1:6" ht="15" hidden="1" customHeight="1" x14ac:dyDescent="0.3">
      <c r="A1298" t="s">
        <v>138</v>
      </c>
      <c r="B1298" s="2">
        <v>45292</v>
      </c>
      <c r="C1298" t="str" cm="1">
        <f t="array" ref="C1298">IFERROR(IF(SUMPRODUCT((measured[Site Name]=A1298)*(measured[Date]=B1298)*ISNUMBER(measured[Measured Value (kWh)]))=0,"",SUMIFS(measured[Measured Value (kWh)],measured[Site Name],A1298,measured[Date],B1298)),"")</f>
        <v/>
      </c>
      <c r="D1298" cm="1">
        <f t="array" ref="D1298">IFERROR(IF(SUMPRODUCT((expected_production[Site Name]=A1298)*(expected_production[Date]=B1298)*ISNUMBER(expected_production[Expected Production (kWh)]))=0,"",SUMIFS(expected_production[Expected Production (kWh)],expected_production[Site Name],A1298,expected_production[Date],B1298)),"")</f>
        <v>23494.243946532799</v>
      </c>
      <c r="E1298" s="9" t="str">
        <f t="shared" si="40"/>
        <v/>
      </c>
      <c r="F1298" t="str">
        <f t="shared" si="41"/>
        <v/>
      </c>
    </row>
    <row r="1299" spans="1:6" ht="15" hidden="1" customHeight="1" x14ac:dyDescent="0.3">
      <c r="A1299" t="s">
        <v>138</v>
      </c>
      <c r="B1299" s="2">
        <v>45323</v>
      </c>
      <c r="C1299" t="str" cm="1">
        <f t="array" ref="C1299">IFERROR(IF(SUMPRODUCT((measured[Site Name]=A1299)*(measured[Date]=B1299)*ISNUMBER(measured[Measured Value (kWh)]))=0,"",SUMIFS(measured[Measured Value (kWh)],measured[Site Name],A1299,measured[Date],B1299)),"")</f>
        <v/>
      </c>
      <c r="D1299" cm="1">
        <f t="array" ref="D1299">IFERROR(IF(SUMPRODUCT((expected_production[Site Name]=A1299)*(expected_production[Date]=B1299)*ISNUMBER(expected_production[Expected Production (kWh)]))=0,"",SUMIFS(expected_production[Expected Production (kWh)],expected_production[Site Name],A1299,expected_production[Date],B1299)),"")</f>
        <v>21618.296787266903</v>
      </c>
      <c r="E1299" s="9" t="str">
        <f t="shared" si="40"/>
        <v/>
      </c>
      <c r="F1299" t="str">
        <f t="shared" si="41"/>
        <v/>
      </c>
    </row>
    <row r="1300" spans="1:6" ht="15" hidden="1" customHeight="1" x14ac:dyDescent="0.3">
      <c r="A1300" t="s">
        <v>138</v>
      </c>
      <c r="B1300" s="2">
        <v>45352</v>
      </c>
      <c r="C1300" t="str" cm="1">
        <f t="array" ref="C1300">IFERROR(IF(SUMPRODUCT((measured[Site Name]=A1300)*(measured[Date]=B1300)*ISNUMBER(measured[Measured Value (kWh)]))=0,"",SUMIFS(measured[Measured Value (kWh)],measured[Site Name],A1300,measured[Date],B1300)),"")</f>
        <v/>
      </c>
      <c r="D1300" cm="1">
        <f t="array" ref="D1300">IFERROR(IF(SUMPRODUCT((expected_production[Site Name]=A1300)*(expected_production[Date]=B1300)*ISNUMBER(expected_production[Expected Production (kWh)]))=0,"",SUMIFS(expected_production[Expected Production (kWh)],expected_production[Site Name],A1300,expected_production[Date],B1300)),"")</f>
        <v>24132.968155926719</v>
      </c>
      <c r="E1300" s="9" t="str">
        <f t="shared" si="40"/>
        <v/>
      </c>
      <c r="F1300" t="str">
        <f t="shared" si="41"/>
        <v/>
      </c>
    </row>
    <row r="1301" spans="1:6" ht="15" hidden="1" customHeight="1" x14ac:dyDescent="0.3">
      <c r="A1301" t="s">
        <v>138</v>
      </c>
      <c r="B1301" s="2">
        <v>45383</v>
      </c>
      <c r="C1301" t="str" cm="1">
        <f t="array" ref="C1301">IFERROR(IF(SUMPRODUCT((measured[Site Name]=A1301)*(measured[Date]=B1301)*ISNUMBER(measured[Measured Value (kWh)]))=0,"",SUMIFS(measured[Measured Value (kWh)],measured[Site Name],A1301,measured[Date],B1301)),"")</f>
        <v/>
      </c>
      <c r="D1301" cm="1">
        <f t="array" ref="D1301">IFERROR(IF(SUMPRODUCT((expected_production[Site Name]=A1301)*(expected_production[Date]=B1301)*ISNUMBER(expected_production[Expected Production (kWh)]))=0,"",SUMIFS(expected_production[Expected Production (kWh)],expected_production[Site Name],A1301,expected_production[Date],B1301)),"")</f>
        <v>20780.513262710025</v>
      </c>
      <c r="E1301" s="9" t="str">
        <f t="shared" si="40"/>
        <v/>
      </c>
      <c r="F1301" t="str">
        <f t="shared" si="41"/>
        <v/>
      </c>
    </row>
    <row r="1302" spans="1:6" ht="15" hidden="1" customHeight="1" x14ac:dyDescent="0.3">
      <c r="A1302" t="s">
        <v>138</v>
      </c>
      <c r="B1302" s="2">
        <v>45413</v>
      </c>
      <c r="C1302" t="str" cm="1">
        <f t="array" ref="C1302">IFERROR(IF(SUMPRODUCT((measured[Site Name]=A1302)*(measured[Date]=B1302)*ISNUMBER(measured[Measured Value (kWh)]))=0,"",SUMIFS(measured[Measured Value (kWh)],measured[Site Name],A1302,measured[Date],B1302)),"")</f>
        <v/>
      </c>
      <c r="D1302" cm="1">
        <f t="array" ref="D1302">IFERROR(IF(SUMPRODUCT((expected_production[Site Name]=A1302)*(expected_production[Date]=B1302)*ISNUMBER(expected_production[Expected Production (kWh)]))=0,"",SUMIFS(expected_production[Expected Production (kWh)],expected_production[Site Name],A1302,expected_production[Date],B1302)),"")</f>
        <v>19923.290441978101</v>
      </c>
      <c r="E1302" s="9" t="str">
        <f t="shared" ref="E1302:E1365" si="42">IF(OR(C1302="",D1302="",D1302=0),"",C1302/D1302)</f>
        <v/>
      </c>
      <c r="F1302" t="str">
        <f t="shared" ref="F1302:F1365" si="43">IF(E1302="","",IF(E1302&gt;=0.9,"Expected",IF(E1302&gt;=0.7,"Moderate","Poor")))</f>
        <v/>
      </c>
    </row>
    <row r="1303" spans="1:6" ht="15" hidden="1" customHeight="1" x14ac:dyDescent="0.3">
      <c r="A1303" t="s">
        <v>138</v>
      </c>
      <c r="B1303" s="2">
        <v>45444</v>
      </c>
      <c r="C1303" t="str" cm="1">
        <f t="array" ref="C1303">IFERROR(IF(SUMPRODUCT((measured[Site Name]=A1303)*(measured[Date]=B1303)*ISNUMBER(measured[Measured Value (kWh)]))=0,"",SUMIFS(measured[Measured Value (kWh)],measured[Site Name],A1303,measured[Date],B1303)),"")</f>
        <v/>
      </c>
      <c r="D1303" cm="1">
        <f t="array" ref="D1303">IFERROR(IF(SUMPRODUCT((expected_production[Site Name]=A1303)*(expected_production[Date]=B1303)*ISNUMBER(expected_production[Expected Production (kWh)]))=0,"",SUMIFS(expected_production[Expected Production (kWh)],expected_production[Site Name],A1303,expected_production[Date],B1303)),"")</f>
        <v>18392.090670460297</v>
      </c>
      <c r="E1303" s="9" t="str">
        <f t="shared" si="42"/>
        <v/>
      </c>
      <c r="F1303" t="str">
        <f t="shared" si="43"/>
        <v/>
      </c>
    </row>
    <row r="1304" spans="1:6" ht="15" hidden="1" customHeight="1" x14ac:dyDescent="0.3">
      <c r="A1304" t="s">
        <v>138</v>
      </c>
      <c r="B1304" s="2">
        <v>45474</v>
      </c>
      <c r="C1304" t="str" cm="1">
        <f t="array" ref="C1304">IFERROR(IF(SUMPRODUCT((measured[Site Name]=A1304)*(measured[Date]=B1304)*ISNUMBER(measured[Measured Value (kWh)]))=0,"",SUMIFS(measured[Measured Value (kWh)],measured[Site Name],A1304,measured[Date],B1304)),"")</f>
        <v/>
      </c>
      <c r="D1304" cm="1">
        <f t="array" ref="D1304">IFERROR(IF(SUMPRODUCT((expected_production[Site Name]=A1304)*(expected_production[Date]=B1304)*ISNUMBER(expected_production[Expected Production (kWh)]))=0,"",SUMIFS(expected_production[Expected Production (kWh)],expected_production[Site Name],A1304,expected_production[Date],B1304)),"")</f>
        <v>19903.90827636376</v>
      </c>
      <c r="E1304" s="9" t="str">
        <f t="shared" si="42"/>
        <v/>
      </c>
      <c r="F1304" t="str">
        <f t="shared" si="43"/>
        <v/>
      </c>
    </row>
    <row r="1305" spans="1:6" ht="15" hidden="1" customHeight="1" x14ac:dyDescent="0.3">
      <c r="A1305" t="s">
        <v>138</v>
      </c>
      <c r="B1305" s="2">
        <v>45505</v>
      </c>
      <c r="C1305" t="str" cm="1">
        <f t="array" ref="C1305">IFERROR(IF(SUMPRODUCT((measured[Site Name]=A1305)*(measured[Date]=B1305)*ISNUMBER(measured[Measured Value (kWh)]))=0,"",SUMIFS(measured[Measured Value (kWh)],measured[Site Name],A1305,measured[Date],B1305)),"")</f>
        <v/>
      </c>
      <c r="D1305" cm="1">
        <f t="array" ref="D1305">IFERROR(IF(SUMPRODUCT((expected_production[Site Name]=A1305)*(expected_production[Date]=B1305)*ISNUMBER(expected_production[Expected Production (kWh)]))=0,"",SUMIFS(expected_production[Expected Production (kWh)],expected_production[Site Name],A1305,expected_production[Date],B1305)),"")</f>
        <v>20921.62931390612</v>
      </c>
      <c r="E1305" s="9" t="str">
        <f t="shared" si="42"/>
        <v/>
      </c>
      <c r="F1305" t="str">
        <f t="shared" si="43"/>
        <v/>
      </c>
    </row>
    <row r="1306" spans="1:6" ht="15" hidden="1" customHeight="1" x14ac:dyDescent="0.3">
      <c r="A1306" t="s">
        <v>138</v>
      </c>
      <c r="B1306" s="2">
        <v>45536</v>
      </c>
      <c r="C1306" t="str" cm="1">
        <f t="array" ref="C1306">IFERROR(IF(SUMPRODUCT((measured[Site Name]=A1306)*(measured[Date]=B1306)*ISNUMBER(measured[Measured Value (kWh)]))=0,"",SUMIFS(measured[Measured Value (kWh)],measured[Site Name],A1306,measured[Date],B1306)),"")</f>
        <v/>
      </c>
      <c r="D1306" cm="1">
        <f t="array" ref="D1306">IFERROR(IF(SUMPRODUCT((expected_production[Site Name]=A1306)*(expected_production[Date]=B1306)*ISNUMBER(expected_production[Expected Production (kWh)]))=0,"",SUMIFS(expected_production[Expected Production (kWh)],expected_production[Site Name],A1306,expected_production[Date],B1306)),"")</f>
        <v>21257.777918405372</v>
      </c>
      <c r="E1306" s="9" t="str">
        <f t="shared" si="42"/>
        <v/>
      </c>
      <c r="F1306" t="str">
        <f t="shared" si="43"/>
        <v/>
      </c>
    </row>
    <row r="1307" spans="1:6" ht="15" hidden="1" customHeight="1" x14ac:dyDescent="0.3">
      <c r="A1307" t="s">
        <v>138</v>
      </c>
      <c r="B1307" s="2">
        <v>45566</v>
      </c>
      <c r="C1307" t="str" cm="1">
        <f t="array" ref="C1307">IFERROR(IF(SUMPRODUCT((measured[Site Name]=A1307)*(measured[Date]=B1307)*ISNUMBER(measured[Measured Value (kWh)]))=0,"",SUMIFS(measured[Measured Value (kWh)],measured[Site Name],A1307,measured[Date],B1307)),"")</f>
        <v/>
      </c>
      <c r="D1307" cm="1">
        <f t="array" ref="D1307">IFERROR(IF(SUMPRODUCT((expected_production[Site Name]=A1307)*(expected_production[Date]=B1307)*ISNUMBER(expected_production[Expected Production (kWh)]))=0,"",SUMIFS(expected_production[Expected Production (kWh)],expected_production[Site Name],A1307,expected_production[Date],B1307)),"")</f>
        <v>20807.761232657806</v>
      </c>
      <c r="E1307" s="9" t="str">
        <f t="shared" si="42"/>
        <v/>
      </c>
      <c r="F1307" t="str">
        <f t="shared" si="43"/>
        <v/>
      </c>
    </row>
    <row r="1308" spans="1:6" ht="15" hidden="1" customHeight="1" x14ac:dyDescent="0.3">
      <c r="A1308" t="s">
        <v>138</v>
      </c>
      <c r="B1308" s="2">
        <v>45597</v>
      </c>
      <c r="C1308" t="str" cm="1">
        <f t="array" ref="C1308">IFERROR(IF(SUMPRODUCT((measured[Site Name]=A1308)*(measured[Date]=B1308)*ISNUMBER(measured[Measured Value (kWh)]))=0,"",SUMIFS(measured[Measured Value (kWh)],measured[Site Name],A1308,measured[Date],B1308)),"")</f>
        <v/>
      </c>
      <c r="D1308" cm="1">
        <f t="array" ref="D1308">IFERROR(IF(SUMPRODUCT((expected_production[Site Name]=A1308)*(expected_production[Date]=B1308)*ISNUMBER(expected_production[Expected Production (kWh)]))=0,"",SUMIFS(expected_production[Expected Production (kWh)],expected_production[Site Name],A1308,expected_production[Date],B1308)),"")</f>
        <v>19698.15160600279</v>
      </c>
      <c r="E1308" s="9" t="str">
        <f t="shared" si="42"/>
        <v/>
      </c>
      <c r="F1308" t="str">
        <f t="shared" si="43"/>
        <v/>
      </c>
    </row>
    <row r="1309" spans="1:6" ht="15" hidden="1" customHeight="1" x14ac:dyDescent="0.3">
      <c r="A1309" t="s">
        <v>138</v>
      </c>
      <c r="B1309" s="2">
        <v>45627</v>
      </c>
      <c r="C1309" t="str" cm="1">
        <f t="array" ref="C1309">IFERROR(IF(SUMPRODUCT((measured[Site Name]=A1309)*(measured[Date]=B1309)*ISNUMBER(measured[Measured Value (kWh)]))=0,"",SUMIFS(measured[Measured Value (kWh)],measured[Site Name],A1309,measured[Date],B1309)),"")</f>
        <v/>
      </c>
      <c r="D1309" cm="1">
        <f t="array" ref="D1309">IFERROR(IF(SUMPRODUCT((expected_production[Site Name]=A1309)*(expected_production[Date]=B1309)*ISNUMBER(expected_production[Expected Production (kWh)]))=0,"",SUMIFS(expected_production[Expected Production (kWh)],expected_production[Site Name],A1309,expected_production[Date],B1309)),"")</f>
        <v>21003.47258202832</v>
      </c>
      <c r="E1309" s="9" t="str">
        <f t="shared" si="42"/>
        <v/>
      </c>
      <c r="F1309" t="str">
        <f t="shared" si="43"/>
        <v/>
      </c>
    </row>
    <row r="1310" spans="1:6" ht="15" hidden="1" customHeight="1" x14ac:dyDescent="0.3">
      <c r="A1310" t="s">
        <v>138</v>
      </c>
      <c r="B1310" s="2">
        <v>45658</v>
      </c>
      <c r="C1310" cm="1">
        <f t="array" ref="C1310">IFERROR(IF(SUMPRODUCT((measured[Site Name]=A1310)*(measured[Date]=B1310)*ISNUMBER(measured[Measured Value (kWh)]))=0,"",SUMIFS(measured[Measured Value (kWh)],measured[Site Name],A1310,measured[Date],B1310)),"")</f>
        <v>21130</v>
      </c>
      <c r="D1310" cm="1">
        <f t="array" ref="D1310">IFERROR(IF(SUMPRODUCT((expected_production[Site Name]=A1310)*(expected_production[Date]=B1310)*ISNUMBER(expected_production[Expected Production (kWh)]))=0,"",SUMIFS(expected_production[Expected Production (kWh)],expected_production[Site Name],A1310,expected_production[Date],B1310)),"")</f>
        <v>23329.447726445258</v>
      </c>
      <c r="E1310" s="9">
        <f t="shared" si="42"/>
        <v>0.90572225488423974</v>
      </c>
      <c r="F1310" t="str">
        <f t="shared" si="43"/>
        <v>Expected</v>
      </c>
    </row>
    <row r="1311" spans="1:6" ht="15" hidden="1" customHeight="1" x14ac:dyDescent="0.3">
      <c r="A1311" t="s">
        <v>138</v>
      </c>
      <c r="B1311" s="2">
        <v>45689</v>
      </c>
      <c r="C1311" cm="1">
        <f t="array" ref="C1311">IFERROR(IF(SUMPRODUCT((measured[Site Name]=A1311)*(measured[Date]=B1311)*ISNUMBER(measured[Measured Value (kWh)]))=0,"",SUMIFS(measured[Measured Value (kWh)],measured[Site Name],A1311,measured[Date],B1311)),"")</f>
        <v>17140</v>
      </c>
      <c r="D1311" cm="1">
        <f t="array" ref="D1311">IFERROR(IF(SUMPRODUCT((expected_production[Site Name]=A1311)*(expected_production[Date]=B1311)*ISNUMBER(expected_production[Expected Production (kWh)]))=0,"",SUMIFS(expected_production[Expected Production (kWh)],expected_production[Site Name],A1311,expected_production[Date],B1311)),"")</f>
        <v>21466.659066837172</v>
      </c>
      <c r="E1311" s="9">
        <f t="shared" si="42"/>
        <v>0.79844748764276863</v>
      </c>
      <c r="F1311" t="str">
        <f t="shared" si="43"/>
        <v>Moderate</v>
      </c>
    </row>
    <row r="1312" spans="1:6" ht="15" hidden="1" customHeight="1" x14ac:dyDescent="0.3">
      <c r="A1312" t="s">
        <v>138</v>
      </c>
      <c r="B1312" s="2">
        <v>45717</v>
      </c>
      <c r="C1312" t="str" cm="1">
        <f t="array" ref="C1312">IFERROR(IF(SUMPRODUCT((measured[Site Name]=A1312)*(measured[Date]=B1312)*ISNUMBER(measured[Measured Value (kWh)]))=0,"",SUMIFS(measured[Measured Value (kWh)],measured[Site Name],A1312,measured[Date],B1312)),"")</f>
        <v/>
      </c>
      <c r="D1312" cm="1">
        <f t="array" ref="D1312">IFERROR(IF(SUMPRODUCT((expected_production[Site Name]=A1312)*(expected_production[Date]=B1312)*ISNUMBER(expected_production[Expected Production (kWh)]))=0,"",SUMIFS(expected_production[Expected Production (kWh)],expected_production[Site Name],A1312,expected_production[Date],B1312)),"")</f>
        <v>23964.15260028603</v>
      </c>
      <c r="E1312" s="9" t="str">
        <f t="shared" si="42"/>
        <v/>
      </c>
      <c r="F1312" t="str">
        <f t="shared" si="43"/>
        <v/>
      </c>
    </row>
    <row r="1313" spans="1:7" ht="15" hidden="1" customHeight="1" x14ac:dyDescent="0.3">
      <c r="A1313" t="s">
        <v>138</v>
      </c>
      <c r="B1313" s="2">
        <v>45748</v>
      </c>
      <c r="C1313" t="str" cm="1">
        <f t="array" ref="C1313">IFERROR(IF(SUMPRODUCT((measured[Site Name]=A1313)*(measured[Date]=B1313)*ISNUMBER(measured[Measured Value (kWh)]))=0,"",SUMIFS(measured[Measured Value (kWh)],measured[Site Name],A1313,measured[Date],B1313)),"")</f>
        <v/>
      </c>
      <c r="D1313" cm="1">
        <f t="array" ref="D1313">IFERROR(IF(SUMPRODUCT((expected_production[Site Name]=A1313)*(expected_production[Date]=B1313)*ISNUMBER(expected_production[Expected Production (kWh)]))=0,"",SUMIFS(expected_production[Expected Production (kWh)],expected_production[Site Name],A1313,expected_production[Date],B1313)),"")</f>
        <v>20635.148885221235</v>
      </c>
      <c r="E1313" s="9" t="str">
        <f t="shared" si="42"/>
        <v/>
      </c>
      <c r="F1313" t="str">
        <f t="shared" si="43"/>
        <v/>
      </c>
    </row>
    <row r="1314" spans="1:7" ht="15" hidden="1" customHeight="1" x14ac:dyDescent="0.3">
      <c r="A1314" t="s">
        <v>138</v>
      </c>
      <c r="B1314" s="2">
        <v>45778</v>
      </c>
      <c r="C1314" t="str" cm="1">
        <f t="array" ref="C1314">IFERROR(IF(SUMPRODUCT((measured[Site Name]=A1314)*(measured[Date]=B1314)*ISNUMBER(measured[Measured Value (kWh)]))=0,"",SUMIFS(measured[Measured Value (kWh)],measured[Site Name],A1314,measured[Date],B1314)),"")</f>
        <v/>
      </c>
      <c r="D1314" cm="1">
        <f t="array" ref="D1314">IFERROR(IF(SUMPRODUCT((expected_production[Site Name]=A1314)*(expected_production[Date]=B1314)*ISNUMBER(expected_production[Expected Production (kWh)]))=0,"",SUMIFS(expected_production[Expected Production (kWh)],expected_production[Site Name],A1314,expected_production[Date],B1314)),"")</f>
        <v>19783.922531474003</v>
      </c>
      <c r="E1314" s="9" t="str">
        <f t="shared" si="42"/>
        <v/>
      </c>
      <c r="F1314" t="str">
        <f t="shared" si="43"/>
        <v/>
      </c>
    </row>
    <row r="1315" spans="1:7" ht="15" hidden="1" customHeight="1" x14ac:dyDescent="0.3">
      <c r="A1315" t="s">
        <v>138</v>
      </c>
      <c r="B1315" s="2">
        <v>45809</v>
      </c>
      <c r="C1315" t="str" cm="1">
        <f t="array" ref="C1315">IFERROR(IF(SUMPRODUCT((measured[Site Name]=A1315)*(measured[Date]=B1315)*ISNUMBER(measured[Measured Value (kWh)]))=0,"",SUMIFS(measured[Measured Value (kWh)],measured[Site Name],A1315,measured[Date],B1315)),"")</f>
        <v/>
      </c>
      <c r="D1315" cm="1">
        <f t="array" ref="D1315">IFERROR(IF(SUMPRODUCT((expected_production[Site Name]=A1315)*(expected_production[Date]=B1315)*ISNUMBER(expected_production[Expected Production (kWh)]))=0,"",SUMIFS(expected_production[Expected Production (kWh)],expected_production[Site Name],A1315,expected_production[Date],B1315)),"")</f>
        <v>18263.433847732704</v>
      </c>
      <c r="E1315" s="9" t="str">
        <f t="shared" si="42"/>
        <v/>
      </c>
      <c r="F1315" t="str">
        <f t="shared" si="43"/>
        <v/>
      </c>
    </row>
    <row r="1316" spans="1:7" ht="15" hidden="1" customHeight="1" x14ac:dyDescent="0.3">
      <c r="A1316" t="s">
        <v>138</v>
      </c>
      <c r="B1316" s="2">
        <v>45839</v>
      </c>
      <c r="C1316" t="str" cm="1">
        <f t="array" ref="C1316">IFERROR(IF(SUMPRODUCT((measured[Site Name]=A1316)*(measured[Date]=B1316)*ISNUMBER(measured[Measured Value (kWh)]))=0,"",SUMIFS(measured[Measured Value (kWh)],measured[Site Name],A1316,measured[Date],B1316)),"")</f>
        <v/>
      </c>
      <c r="D1316" cm="1">
        <f t="array" ref="D1316">IFERROR(IF(SUMPRODUCT((expected_production[Site Name]=A1316)*(expected_production[Date]=B1316)*ISNUMBER(expected_production[Expected Production (kWh)]))=0,"",SUMIFS(expected_production[Expected Production (kWh)],expected_production[Site Name],A1316,expected_production[Date],B1316)),"")</f>
        <v>19764.675948479944</v>
      </c>
      <c r="E1316" s="9" t="str">
        <f t="shared" si="42"/>
        <v/>
      </c>
      <c r="F1316" t="str">
        <f t="shared" si="43"/>
        <v/>
      </c>
    </row>
    <row r="1317" spans="1:7" ht="15" hidden="1" customHeight="1" x14ac:dyDescent="0.3">
      <c r="A1317" t="s">
        <v>138</v>
      </c>
      <c r="B1317" s="2">
        <v>45870</v>
      </c>
      <c r="C1317" t="str" cm="1">
        <f t="array" ref="C1317">IFERROR(IF(SUMPRODUCT((measured[Site Name]=A1317)*(measured[Date]=B1317)*ISNUMBER(measured[Measured Value (kWh)]))=0,"",SUMIFS(measured[Measured Value (kWh)],measured[Site Name],A1317,measured[Date],B1317)),"")</f>
        <v/>
      </c>
      <c r="D1317" cm="1">
        <f t="array" ref="D1317">IFERROR(IF(SUMPRODUCT((expected_production[Site Name]=A1317)*(expected_production[Date]=B1317)*ISNUMBER(expected_production[Expected Production (kWh)]))=0,"",SUMIFS(expected_production[Expected Production (kWh)],expected_production[Site Name],A1317,expected_production[Date],B1317)),"")</f>
        <v>20775.277797809322</v>
      </c>
      <c r="E1317" s="9" t="str">
        <f t="shared" si="42"/>
        <v/>
      </c>
      <c r="F1317" t="str">
        <f t="shared" si="43"/>
        <v/>
      </c>
    </row>
    <row r="1318" spans="1:7" ht="15" hidden="1" customHeight="1" x14ac:dyDescent="0.3">
      <c r="A1318" t="s">
        <v>138</v>
      </c>
      <c r="B1318" s="2">
        <v>45901</v>
      </c>
      <c r="C1318" t="str" cm="1">
        <f t="array" ref="C1318">IFERROR(IF(SUMPRODUCT((measured[Site Name]=A1318)*(measured[Date]=B1318)*ISNUMBER(measured[Measured Value (kWh)]))=0,"",SUMIFS(measured[Measured Value (kWh)],measured[Site Name],A1318,measured[Date],B1318)),"")</f>
        <v/>
      </c>
      <c r="D1318" cm="1">
        <f t="array" ref="D1318">IFERROR(IF(SUMPRODUCT((expected_production[Site Name]=A1318)*(expected_production[Date]=B1318)*ISNUMBER(expected_production[Expected Production (kWh)]))=0,"",SUMIFS(expected_production[Expected Production (kWh)],expected_production[Site Name],A1318,expected_production[Date],B1318)),"")</f>
        <v>21109.074966999011</v>
      </c>
      <c r="E1318" s="9" t="str">
        <f t="shared" si="42"/>
        <v/>
      </c>
      <c r="F1318" t="str">
        <f t="shared" si="43"/>
        <v/>
      </c>
    </row>
    <row r="1319" spans="1:7" ht="15" hidden="1" customHeight="1" x14ac:dyDescent="0.3">
      <c r="A1319" t="s">
        <v>138</v>
      </c>
      <c r="B1319" s="2">
        <v>45931</v>
      </c>
      <c r="C1319" t="str" cm="1">
        <f t="array" ref="C1319">IFERROR(IF(SUMPRODUCT((measured[Site Name]=A1319)*(measured[Date]=B1319)*ISNUMBER(measured[Measured Value (kWh)]))=0,"",SUMIFS(measured[Measured Value (kWh)],measured[Site Name],A1319,measured[Date],B1319)),"")</f>
        <v/>
      </c>
      <c r="D1319" cm="1">
        <f t="array" ref="D1319">IFERROR(IF(SUMPRODUCT((expected_production[Site Name]=A1319)*(expected_production[Date]=B1319)*ISNUMBER(expected_production[Expected Production (kWh)]))=0,"",SUMIFS(expected_production[Expected Production (kWh)],expected_production[Site Name],A1319,expected_production[Date],B1319)),"")</f>
        <v>20662.206249473227</v>
      </c>
      <c r="E1319" s="9" t="str">
        <f t="shared" si="42"/>
        <v/>
      </c>
      <c r="F1319" t="str">
        <f t="shared" si="43"/>
        <v/>
      </c>
    </row>
    <row r="1320" spans="1:7" ht="15" hidden="1" customHeight="1" x14ac:dyDescent="0.3">
      <c r="A1320" t="s">
        <v>138</v>
      </c>
      <c r="B1320" s="2">
        <v>45962</v>
      </c>
      <c r="C1320" t="str" cm="1">
        <f t="array" ref="C1320">IFERROR(IF(SUMPRODUCT((measured[Site Name]=A1320)*(measured[Date]=B1320)*ISNUMBER(measured[Measured Value (kWh)]))=0,"",SUMIFS(measured[Measured Value (kWh)],measured[Site Name],A1320,measured[Date],B1320)),"")</f>
        <v/>
      </c>
      <c r="D1320" cm="1">
        <f t="array" ref="D1320">IFERROR(IF(SUMPRODUCT((expected_production[Site Name]=A1320)*(expected_production[Date]=B1320)*ISNUMBER(expected_production[Expected Production (kWh)]))=0,"",SUMIFS(expected_production[Expected Production (kWh)],expected_production[Site Name],A1320,expected_production[Date],B1320)),"")</f>
        <v>19560.358592438264</v>
      </c>
      <c r="E1320" s="9" t="str">
        <f t="shared" si="42"/>
        <v/>
      </c>
      <c r="F1320" t="str">
        <f t="shared" si="43"/>
        <v/>
      </c>
    </row>
    <row r="1321" spans="1:7" ht="15" hidden="1" customHeight="1" x14ac:dyDescent="0.3">
      <c r="A1321" t="s">
        <v>138</v>
      </c>
      <c r="B1321" s="2">
        <v>45992</v>
      </c>
      <c r="C1321" t="str" cm="1">
        <f t="array" ref="C1321">IFERROR(IF(SUMPRODUCT((measured[Site Name]=A1321)*(measured[Date]=B1321)*ISNUMBER(measured[Measured Value (kWh)]))=0,"",SUMIFS(measured[Measured Value (kWh)],measured[Site Name],A1321,measured[Date],B1321)),"")</f>
        <v/>
      </c>
      <c r="D1321" cm="1">
        <f t="array" ref="D1321">IFERROR(IF(SUMPRODUCT((expected_production[Site Name]=A1321)*(expected_production[Date]=B1321)*ISNUMBER(expected_production[Expected Production (kWh)]))=0,"",SUMIFS(expected_production[Expected Production (kWh)],expected_production[Site Name],A1321,expected_production[Date],B1321)),"")</f>
        <v>20856.548553810582</v>
      </c>
      <c r="E1321" s="9" t="str">
        <f t="shared" si="42"/>
        <v/>
      </c>
      <c r="F1321" t="str">
        <f t="shared" si="43"/>
        <v/>
      </c>
    </row>
    <row r="1322" spans="1:7" ht="15" hidden="1" customHeight="1" x14ac:dyDescent="0.3">
      <c r="A1322" t="s">
        <v>138</v>
      </c>
      <c r="B1322" s="2">
        <v>46023</v>
      </c>
      <c r="C1322" cm="1">
        <f t="array" ref="C1322">IFERROR(IF(SUMPRODUCT((measured[Site Name]=A1322)*(measured[Date]=B1322)*ISNUMBER(measured[Measured Value (kWh)]))=0,"",SUMIFS(measured[Measured Value (kWh)],measured[Site Name],A1322,measured[Date],B1322)),"")</f>
        <v>9830</v>
      </c>
      <c r="D1322" cm="1">
        <f t="array" ref="D1322">IFERROR(IF(SUMPRODUCT((expected_production[Site Name]=A1322)*(expected_production[Date]=B1322)*ISNUMBER(expected_production[Expected Production (kWh)]))=0,"",SUMIFS(expected_production[Expected Production (kWh)],expected_production[Site Name],A1322,expected_production[Date],B1322)),"")</f>
        <v>23166.252977449447</v>
      </c>
      <c r="E1322" s="9">
        <f t="shared" si="42"/>
        <v>0.42432412395602964</v>
      </c>
      <c r="F1322" t="str">
        <f t="shared" si="43"/>
        <v>Poor</v>
      </c>
    </row>
    <row r="1323" spans="1:7" ht="15" hidden="1" customHeight="1" x14ac:dyDescent="0.3">
      <c r="A1323" t="s">
        <v>138</v>
      </c>
      <c r="B1323" s="2">
        <v>46054</v>
      </c>
      <c r="C1323" cm="1">
        <f t="array" ref="C1323">IFERROR(IF(SUMPRODUCT((measured[Site Name]=A1323)*(measured[Date]=B1323)*ISNUMBER(measured[Measured Value (kWh)]))=0,"",SUMIFS(measured[Measured Value (kWh)],measured[Site Name],A1323,measured[Date],B1323)),"")</f>
        <v>20200</v>
      </c>
      <c r="D1323" cm="1">
        <f t="array" ref="D1323">IFERROR(IF(SUMPRODUCT((expected_production[Site Name]=A1323)*(expected_production[Date]=B1323)*ISNUMBER(expected_production[Expected Production (kWh)]))=0,"",SUMIFS(expected_production[Expected Production (kWh)],expected_production[Site Name],A1323,expected_production[Date],B1323)),"")</f>
        <v>21316.494944682665</v>
      </c>
      <c r="E1323" s="9">
        <f t="shared" si="42"/>
        <v>0.94762295829684839</v>
      </c>
      <c r="F1323" t="str">
        <f t="shared" si="43"/>
        <v>Expected</v>
      </c>
    </row>
    <row r="1324" spans="1:7" ht="15" hidden="1" customHeight="1" x14ac:dyDescent="0.3">
      <c r="A1324" t="s">
        <v>138</v>
      </c>
      <c r="B1324" s="2">
        <v>46082</v>
      </c>
      <c r="C1324" cm="1">
        <f t="array" ref="C1324">IFERROR(IF(SUMPRODUCT((measured[Site Name]=A1324)*(measured[Date]=B1324)*ISNUMBER(measured[Measured Value (kWh)]))=0,"",SUMIFS(measured[Measured Value (kWh)],measured[Site Name],A1324,measured[Date],B1324)),"")</f>
        <v>16198</v>
      </c>
      <c r="D1324" cm="1">
        <f t="array" ref="D1324">IFERROR(IF(SUMPRODUCT((expected_production[Site Name]=A1324)*(expected_production[Date]=B1324)*ISNUMBER(expected_production[Expected Production (kWh)]))=0,"",SUMIFS(expected_production[Expected Production (kWh)],expected_production[Site Name],A1324,expected_production[Date],B1324)),"")</f>
        <v>23796.517947534787</v>
      </c>
      <c r="E1324" s="9">
        <f t="shared" si="42"/>
        <v>0.68068782313918497</v>
      </c>
      <c r="F1324" t="str">
        <f t="shared" si="43"/>
        <v>Poor</v>
      </c>
    </row>
    <row r="1325" spans="1:7" ht="15" hidden="1" customHeight="1" x14ac:dyDescent="0.3">
      <c r="A1325" t="s">
        <v>138</v>
      </c>
      <c r="B1325" s="2">
        <v>46113</v>
      </c>
      <c r="C1325" t="str" cm="1">
        <f t="array" ref="C1325">IFERROR(IF(SUMPRODUCT((measured[Site Name]=A1325)*(measured[Date]=B1325)*ISNUMBER(measured[Measured Value (kWh)]))=0,"",SUMIFS(measured[Measured Value (kWh)],measured[Site Name],A1325,measured[Date],B1325)),"")</f>
        <v/>
      </c>
      <c r="D1325" cm="1">
        <f t="array" ref="D1325">IFERROR(IF(SUMPRODUCT((expected_production[Site Name]=A1325)*(expected_production[Date]=B1325)*ISNUMBER(expected_production[Expected Production (kWh)]))=0,"",SUMIFS(expected_production[Expected Production (kWh)],expected_production[Site Name],A1325,expected_production[Date],B1325)),"")</f>
        <v>20490.80136434111</v>
      </c>
      <c r="E1325" s="9" t="str">
        <f t="shared" si="42"/>
        <v/>
      </c>
      <c r="F1325" t="str">
        <f t="shared" si="43"/>
        <v/>
      </c>
    </row>
    <row r="1326" spans="1:7" ht="15" hidden="1" customHeight="1" x14ac:dyDescent="0.3">
      <c r="A1326" t="s">
        <v>138</v>
      </c>
      <c r="B1326" s="2">
        <v>46143</v>
      </c>
      <c r="C1326" t="str" cm="1">
        <f t="array" ref="C1326">IFERROR(IF(SUMPRODUCT((measured[Site Name]=A1326)*(measured[Date]=B1326)*ISNUMBER(measured[Measured Value (kWh)]))=0,"",SUMIFS(measured[Measured Value (kWh)],measured[Site Name],A1326,measured[Date],B1326)),"")</f>
        <v/>
      </c>
      <c r="D1326" cm="1">
        <f t="array" ref="D1326">IFERROR(IF(SUMPRODUCT((expected_production[Site Name]=A1326)*(expected_production[Date]=B1326)*ISNUMBER(expected_production[Expected Production (kWh)]))=0,"",SUMIFS(expected_production[Expected Production (kWh)],expected_production[Site Name],A1326,expected_production[Date],B1326)),"")</f>
        <v>19645.529530939464</v>
      </c>
      <c r="E1326" s="9" t="str">
        <f t="shared" si="42"/>
        <v/>
      </c>
      <c r="F1326" t="str">
        <f t="shared" si="43"/>
        <v/>
      </c>
    </row>
    <row r="1327" spans="1:7" ht="15" hidden="1" customHeight="1" x14ac:dyDescent="0.3">
      <c r="A1327" t="s">
        <v>138</v>
      </c>
      <c r="B1327" s="2">
        <v>46174</v>
      </c>
      <c r="C1327" t="str" cm="1">
        <f t="array" ref="C1327">IFERROR(IF(SUMPRODUCT((measured[Site Name]=A1327)*(measured[Date]=B1327)*ISNUMBER(measured[Measured Value (kWh)]))=0,"",SUMIFS(measured[Measured Value (kWh)],measured[Site Name],A1327,measured[Date],B1327)),"")</f>
        <v/>
      </c>
      <c r="D1327" cm="1">
        <f t="array" ref="D1327">IFERROR(IF(SUMPRODUCT((expected_production[Site Name]=A1327)*(expected_production[Date]=B1327)*ISNUMBER(expected_production[Expected Production (kWh)]))=0,"",SUMIFS(expected_production[Expected Production (kWh)],expected_production[Site Name],A1327,expected_production[Date],B1327)),"")</f>
        <v>18135.677008499697</v>
      </c>
      <c r="E1327" s="9" t="str">
        <f t="shared" si="42"/>
        <v/>
      </c>
      <c r="F1327" t="str">
        <f t="shared" si="43"/>
        <v/>
      </c>
    </row>
    <row r="1328" spans="1:7" ht="15" hidden="1" customHeight="1" x14ac:dyDescent="0.3">
      <c r="A1328" t="s">
        <v>234</v>
      </c>
      <c r="B1328" s="2">
        <v>46204</v>
      </c>
      <c r="C1328" cm="1">
        <f t="array" ref="C1328">IFERROR(IF(SUMPRODUCT((measured[Site Name]=A1328)*(measured[Date]=B1328)*ISNUMBER(measured[Measured Value (kWh)]))=0,"",SUMIFS(measured[Measured Value (kWh)],measured[Site Name],A1328,measured[Date],B1328)),"")</f>
        <v>20358.73</v>
      </c>
      <c r="D1328" cm="1">
        <f t="array" ref="D1328">IFERROR(IF(SUMPRODUCT((expected_production[Site Name]=A1328)*(expected_production[Date]=B1328)*ISNUMBER(expected_production[Expected Production (kWh)]))=0,"",SUMIFS(expected_production[Expected Production (kWh)],expected_production[Site Name],A1328,expected_production[Date],B1328)),"")</f>
        <v>19597.859250331454</v>
      </c>
      <c r="E1328" s="9">
        <f t="shared" si="42"/>
        <v>1.0388241766587683</v>
      </c>
      <c r="F1328" t="str">
        <f t="shared" si="43"/>
        <v>Expected</v>
      </c>
      <c r="G1328" t="s">
        <v>874</v>
      </c>
    </row>
    <row r="1329" spans="1:7" ht="15" hidden="1" customHeight="1" x14ac:dyDescent="0.3">
      <c r="A1329" t="s">
        <v>138</v>
      </c>
      <c r="B1329" s="2">
        <v>46235</v>
      </c>
      <c r="C1329" t="str" cm="1">
        <f t="array" ref="C1329">IFERROR(IF(SUMPRODUCT((measured[Site Name]=A1329)*(measured[Date]=B1329)*ISNUMBER(measured[Measured Value (kWh)]))=0,"",SUMIFS(measured[Measured Value (kWh)],measured[Site Name],A1329,measured[Date],B1329)),"")</f>
        <v/>
      </c>
      <c r="D1329" cm="1">
        <f t="array" ref="D1329">IFERROR(IF(SUMPRODUCT((expected_production[Site Name]=A1329)*(expected_production[Date]=B1329)*ISNUMBER(expected_production[Expected Production (kWh)]))=0,"",SUMIFS(expected_production[Expected Production (kWh)],expected_production[Site Name],A1329,expected_production[Date],B1329)),"")</f>
        <v>20629.950043578414</v>
      </c>
      <c r="E1329" s="9" t="str">
        <f t="shared" si="42"/>
        <v/>
      </c>
      <c r="F1329" t="str">
        <f t="shared" si="43"/>
        <v/>
      </c>
      <c r="G1329" t="s">
        <v>874</v>
      </c>
    </row>
    <row r="1330" spans="1:7" ht="15" customHeight="1" x14ac:dyDescent="0.3">
      <c r="A1330" t="s">
        <v>138</v>
      </c>
      <c r="B1330" s="2">
        <v>46266</v>
      </c>
      <c r="C1330" t="str" cm="1">
        <f t="array" ref="C1330">IFERROR(IF(SUMPRODUCT((measured[Site Name]=A1330)*(measured[Date]=B1330)*ISNUMBER(measured[Measured Value (kWh)]))=0,"",SUMIFS(measured[Measured Value (kWh)],measured[Site Name],A1330,measured[Date],B1330)),"")</f>
        <v/>
      </c>
      <c r="D1330" cm="1">
        <f t="array" ref="D1330">IFERROR(IF(SUMPRODUCT((expected_production[Site Name]=A1330)*(expected_production[Date]=B1330)*ISNUMBER(expected_production[Expected Production (kWh)]))=0,"",SUMIFS(expected_production[Expected Production (kWh)],expected_production[Site Name],A1330,expected_production[Date],B1330)),"")</f>
        <v>20961.412226278917</v>
      </c>
      <c r="E1330" s="9" t="str">
        <f t="shared" si="42"/>
        <v/>
      </c>
      <c r="F1330" t="str">
        <f t="shared" si="43"/>
        <v/>
      </c>
      <c r="G1330" t="s">
        <v>874</v>
      </c>
    </row>
    <row r="1331" spans="1:7" ht="15" hidden="1" customHeight="1" x14ac:dyDescent="0.3">
      <c r="A1331" t="s">
        <v>138</v>
      </c>
      <c r="B1331" s="2">
        <v>46296</v>
      </c>
      <c r="C1331" t="str" cm="1">
        <f t="array" ref="C1331">IFERROR(IF(SUMPRODUCT((measured[Site Name]=A1331)*(measured[Date]=B1331)*ISNUMBER(measured[Measured Value (kWh)]))=0,"",SUMIFS(measured[Measured Value (kWh)],measured[Site Name],A1331,measured[Date],B1331)),"")</f>
        <v/>
      </c>
      <c r="D1331" cm="1">
        <f t="array" ref="D1331">IFERROR(IF(SUMPRODUCT((expected_production[Site Name]=A1331)*(expected_production[Date]=B1331)*ISNUMBER(expected_production[Expected Production (kWh)]))=0,"",SUMIFS(expected_production[Expected Production (kWh)],expected_production[Site Name],A1331,expected_production[Date],B1331)),"")</f>
        <v>20517.669456227148</v>
      </c>
      <c r="E1331" s="9" t="str">
        <f t="shared" si="42"/>
        <v/>
      </c>
      <c r="F1331" t="str">
        <f t="shared" si="43"/>
        <v/>
      </c>
    </row>
    <row r="1332" spans="1:7" ht="15" hidden="1" customHeight="1" x14ac:dyDescent="0.3">
      <c r="A1332" t="s">
        <v>138</v>
      </c>
      <c r="B1332" s="2">
        <v>46327</v>
      </c>
      <c r="C1332" t="str" cm="1">
        <f t="array" ref="C1332">IFERROR(IF(SUMPRODUCT((measured[Site Name]=A1332)*(measured[Date]=B1332)*ISNUMBER(measured[Measured Value (kWh)]))=0,"",SUMIFS(measured[Measured Value (kWh)],measured[Site Name],A1332,measured[Date],B1332)),"")</f>
        <v/>
      </c>
      <c r="D1332" cm="1">
        <f t="array" ref="D1332">IFERROR(IF(SUMPRODUCT((expected_production[Site Name]=A1332)*(expected_production[Date]=B1332)*ISNUMBER(expected_production[Expected Production (kWh)]))=0,"",SUMIFS(expected_production[Expected Production (kWh)],expected_production[Site Name],A1332,expected_production[Date],B1332)),"")</f>
        <v>19423.529472083967</v>
      </c>
      <c r="E1332" s="9" t="str">
        <f t="shared" si="42"/>
        <v/>
      </c>
      <c r="F1332" t="str">
        <f t="shared" si="43"/>
        <v/>
      </c>
    </row>
    <row r="1333" spans="1:7" ht="15" hidden="1" customHeight="1" x14ac:dyDescent="0.3">
      <c r="A1333" t="s">
        <v>138</v>
      </c>
      <c r="B1333" s="2">
        <v>46357</v>
      </c>
      <c r="C1333" t="str" cm="1">
        <f t="array" ref="C1333">IFERROR(IF(SUMPRODUCT((measured[Site Name]=A1333)*(measured[Date]=B1333)*ISNUMBER(measured[Measured Value (kWh)]))=0,"",SUMIFS(measured[Measured Value (kWh)],measured[Site Name],A1333,measured[Date],B1333)),"")</f>
        <v/>
      </c>
      <c r="D1333" cm="1">
        <f t="array" ref="D1333">IFERROR(IF(SUMPRODUCT((expected_production[Site Name]=A1333)*(expected_production[Date]=B1333)*ISNUMBER(expected_production[Expected Production (kWh)]))=0,"",SUMIFS(expected_production[Expected Production (kWh)],expected_production[Site Name],A1333,expected_production[Date],B1333)),"")</f>
        <v>20710.652292310155</v>
      </c>
      <c r="E1333" s="9" t="str">
        <f t="shared" si="42"/>
        <v/>
      </c>
      <c r="F1333" t="str">
        <f t="shared" si="43"/>
        <v/>
      </c>
    </row>
    <row r="1334" spans="1:7" ht="15" hidden="1" customHeight="1" x14ac:dyDescent="0.3">
      <c r="A1334" t="s">
        <v>220</v>
      </c>
      <c r="B1334" s="2">
        <v>45292</v>
      </c>
      <c r="C1334" t="str" cm="1">
        <f t="array" ref="C1334">IFERROR(IF(SUMPRODUCT((measured[Site Name]=A1334)*(measured[Date]=B1334)*ISNUMBER(measured[Measured Value (kWh)]))=0,"",SUMIFS(measured[Measured Value (kWh)],measured[Site Name],A1334,measured[Date],B1334)),"")</f>
        <v/>
      </c>
      <c r="D1334" cm="1">
        <f t="array" ref="D1334">IFERROR(IF(SUMPRODUCT((expected_production[Site Name]=A1334)*(expected_production[Date]=B1334)*ISNUMBER(expected_production[Expected Production (kWh)]))=0,"",SUMIFS(expected_production[Expected Production (kWh)],expected_production[Site Name],A1334,expected_production[Date],B1334)),"")</f>
        <v>46872</v>
      </c>
      <c r="E1334" s="9" t="str">
        <f t="shared" si="42"/>
        <v/>
      </c>
      <c r="F1334" t="str">
        <f t="shared" si="43"/>
        <v/>
      </c>
    </row>
    <row r="1335" spans="1:7" ht="15" hidden="1" customHeight="1" x14ac:dyDescent="0.3">
      <c r="A1335" t="s">
        <v>220</v>
      </c>
      <c r="B1335" s="2">
        <v>45323</v>
      </c>
      <c r="C1335" t="str" cm="1">
        <f t="array" ref="C1335">IFERROR(IF(SUMPRODUCT((measured[Site Name]=A1335)*(measured[Date]=B1335)*ISNUMBER(measured[Measured Value (kWh)]))=0,"",SUMIFS(measured[Measured Value (kWh)],measured[Site Name],A1335,measured[Date],B1335)),"")</f>
        <v/>
      </c>
      <c r="D1335" cm="1">
        <f t="array" ref="D1335">IFERROR(IF(SUMPRODUCT((expected_production[Site Name]=A1335)*(expected_production[Date]=B1335)*ISNUMBER(expected_production[Expected Production (kWh)]))=0,"",SUMIFS(expected_production[Expected Production (kWh)],expected_production[Site Name],A1335,expected_production[Date],B1335)),"")</f>
        <v>40989.599999999999</v>
      </c>
      <c r="E1335" s="9" t="str">
        <f t="shared" si="42"/>
        <v/>
      </c>
      <c r="F1335" t="str">
        <f t="shared" si="43"/>
        <v/>
      </c>
    </row>
    <row r="1336" spans="1:7" ht="15" hidden="1" customHeight="1" x14ac:dyDescent="0.3">
      <c r="A1336" t="s">
        <v>220</v>
      </c>
      <c r="B1336" s="2">
        <v>45352</v>
      </c>
      <c r="C1336" t="str" cm="1">
        <f t="array" ref="C1336">IFERROR(IF(SUMPRODUCT((measured[Site Name]=A1336)*(measured[Date]=B1336)*ISNUMBER(measured[Measured Value (kWh)]))=0,"",SUMIFS(measured[Measured Value (kWh)],measured[Site Name],A1336,measured[Date],B1336)),"")</f>
        <v/>
      </c>
      <c r="D1336" cm="1">
        <f t="array" ref="D1336">IFERROR(IF(SUMPRODUCT((expected_production[Site Name]=A1336)*(expected_production[Date]=B1336)*ISNUMBER(expected_production[Expected Production (kWh)]))=0,"",SUMIFS(expected_production[Expected Production (kWh)],expected_production[Site Name],A1336,expected_production[Date],B1336)),"")</f>
        <v>39989.699999999997</v>
      </c>
      <c r="E1336" s="9" t="str">
        <f t="shared" si="42"/>
        <v/>
      </c>
      <c r="F1336" t="str">
        <f t="shared" si="43"/>
        <v/>
      </c>
    </row>
    <row r="1337" spans="1:7" ht="15" hidden="1" customHeight="1" x14ac:dyDescent="0.3">
      <c r="A1337" t="s">
        <v>220</v>
      </c>
      <c r="B1337" s="2">
        <v>45383</v>
      </c>
      <c r="C1337" t="str" cm="1">
        <f t="array" ref="C1337">IFERROR(IF(SUMPRODUCT((measured[Site Name]=A1337)*(measured[Date]=B1337)*ISNUMBER(measured[Measured Value (kWh)]))=0,"",SUMIFS(measured[Measured Value (kWh)],measured[Site Name],A1337,measured[Date],B1337)),"")</f>
        <v/>
      </c>
      <c r="D1337" cm="1">
        <f t="array" ref="D1337">IFERROR(IF(SUMPRODUCT((expected_production[Site Name]=A1337)*(expected_production[Date]=B1337)*ISNUMBER(expected_production[Expected Production (kWh)]))=0,"",SUMIFS(expected_production[Expected Production (kWh)],expected_production[Site Name],A1337,expected_production[Date],B1337)),"")</f>
        <v>34783.199999999997</v>
      </c>
      <c r="E1337" s="9" t="str">
        <f t="shared" si="42"/>
        <v/>
      </c>
      <c r="F1337" t="str">
        <f t="shared" si="43"/>
        <v/>
      </c>
    </row>
    <row r="1338" spans="1:7" ht="15" hidden="1" customHeight="1" x14ac:dyDescent="0.3">
      <c r="A1338" t="s">
        <v>220</v>
      </c>
      <c r="B1338" s="2">
        <v>45413</v>
      </c>
      <c r="C1338" t="str" cm="1">
        <f t="array" ref="C1338">IFERROR(IF(SUMPRODUCT((measured[Site Name]=A1338)*(measured[Date]=B1338)*ISNUMBER(measured[Measured Value (kWh)]))=0,"",SUMIFS(measured[Measured Value (kWh)],measured[Site Name],A1338,measured[Date],B1338)),"")</f>
        <v/>
      </c>
      <c r="D1338" cm="1">
        <f t="array" ref="D1338">IFERROR(IF(SUMPRODUCT((expected_production[Site Name]=A1338)*(expected_production[Date]=B1338)*ISNUMBER(expected_production[Expected Production (kWh)]))=0,"",SUMIFS(expected_production[Expected Production (kWh)],expected_production[Site Name],A1338,expected_production[Date],B1338)),"")</f>
        <v>32139</v>
      </c>
      <c r="E1338" s="9" t="str">
        <f t="shared" si="42"/>
        <v/>
      </c>
      <c r="F1338" t="str">
        <f t="shared" si="43"/>
        <v/>
      </c>
    </row>
    <row r="1339" spans="1:7" ht="15" hidden="1" customHeight="1" x14ac:dyDescent="0.3">
      <c r="A1339" t="s">
        <v>220</v>
      </c>
      <c r="B1339" s="2">
        <v>45444</v>
      </c>
      <c r="C1339" t="str" cm="1">
        <f t="array" ref="C1339">IFERROR(IF(SUMPRODUCT((measured[Site Name]=A1339)*(measured[Date]=B1339)*ISNUMBER(measured[Measured Value (kWh)]))=0,"",SUMIFS(measured[Measured Value (kWh)],measured[Site Name],A1339,measured[Date],B1339)),"")</f>
        <v/>
      </c>
      <c r="D1339" cm="1">
        <f t="array" ref="D1339">IFERROR(IF(SUMPRODUCT((expected_production[Site Name]=A1339)*(expected_production[Date]=B1339)*ISNUMBER(expected_production[Expected Production (kWh)]))=0,"",SUMIFS(expected_production[Expected Production (kWh)],expected_production[Site Name],A1339,expected_production[Date],B1339)),"")</f>
        <v>28357.200000000001</v>
      </c>
      <c r="E1339" s="9" t="str">
        <f t="shared" si="42"/>
        <v/>
      </c>
      <c r="F1339" t="str">
        <f t="shared" si="43"/>
        <v/>
      </c>
    </row>
    <row r="1340" spans="1:7" ht="15" hidden="1" customHeight="1" x14ac:dyDescent="0.3">
      <c r="A1340" t="s">
        <v>220</v>
      </c>
      <c r="B1340" s="2">
        <v>45474</v>
      </c>
      <c r="C1340" t="str" cm="1">
        <f t="array" ref="C1340">IFERROR(IF(SUMPRODUCT((measured[Site Name]=A1340)*(measured[Date]=B1340)*ISNUMBER(measured[Measured Value (kWh)]))=0,"",SUMIFS(measured[Measured Value (kWh)],measured[Site Name],A1340,measured[Date],B1340)),"")</f>
        <v/>
      </c>
      <c r="D1340" cm="1">
        <f t="array" ref="D1340">IFERROR(IF(SUMPRODUCT((expected_production[Site Name]=A1340)*(expected_production[Date]=B1340)*ISNUMBER(expected_production[Expected Production (kWh)]))=0,"",SUMIFS(expected_production[Expected Production (kWh)],expected_production[Site Name],A1340,expected_production[Date],B1340)),"")</f>
        <v>31229.1</v>
      </c>
      <c r="E1340" s="9" t="str">
        <f t="shared" si="42"/>
        <v/>
      </c>
      <c r="F1340" t="str">
        <f t="shared" si="43"/>
        <v/>
      </c>
    </row>
    <row r="1341" spans="1:7" ht="15" hidden="1" customHeight="1" x14ac:dyDescent="0.3">
      <c r="A1341" t="s">
        <v>220</v>
      </c>
      <c r="B1341" s="2">
        <v>45505</v>
      </c>
      <c r="C1341" t="str" cm="1">
        <f t="array" ref="C1341">IFERROR(IF(SUMPRODUCT((measured[Site Name]=A1341)*(measured[Date]=B1341)*ISNUMBER(measured[Measured Value (kWh)]))=0,"",SUMIFS(measured[Measured Value (kWh)],measured[Site Name],A1341,measured[Date],B1341)),"")</f>
        <v/>
      </c>
      <c r="D1341" cm="1">
        <f t="array" ref="D1341">IFERROR(IF(SUMPRODUCT((expected_production[Site Name]=A1341)*(expected_production[Date]=B1341)*ISNUMBER(expected_production[Expected Production (kWh)]))=0,"",SUMIFS(expected_production[Expected Production (kWh)],expected_production[Site Name],A1341,expected_production[Date],B1341)),"")</f>
        <v>36815.4</v>
      </c>
      <c r="E1341" s="9" t="str">
        <f t="shared" si="42"/>
        <v/>
      </c>
      <c r="F1341" t="str">
        <f t="shared" si="43"/>
        <v/>
      </c>
    </row>
    <row r="1342" spans="1:7" ht="15" hidden="1" customHeight="1" x14ac:dyDescent="0.3">
      <c r="A1342" t="s">
        <v>220</v>
      </c>
      <c r="B1342" s="2">
        <v>45536</v>
      </c>
      <c r="C1342" t="str" cm="1">
        <f t="array" ref="C1342">IFERROR(IF(SUMPRODUCT((measured[Site Name]=A1342)*(measured[Date]=B1342)*ISNUMBER(measured[Measured Value (kWh)]))=0,"",SUMIFS(measured[Measured Value (kWh)],measured[Site Name],A1342,measured[Date],B1342)),"")</f>
        <v/>
      </c>
      <c r="D1342" cm="1">
        <f t="array" ref="D1342">IFERROR(IF(SUMPRODUCT((expected_production[Site Name]=A1342)*(expected_production[Date]=B1342)*ISNUMBER(expected_production[Expected Production (kWh)]))=0,"",SUMIFS(expected_production[Expected Production (kWh)],expected_production[Site Name],A1342,expected_production[Date],B1342)),"")</f>
        <v>40778.1</v>
      </c>
      <c r="E1342" s="9" t="str">
        <f t="shared" si="42"/>
        <v/>
      </c>
      <c r="F1342" t="str">
        <f t="shared" si="43"/>
        <v/>
      </c>
    </row>
    <row r="1343" spans="1:7" ht="15" hidden="1" customHeight="1" x14ac:dyDescent="0.3">
      <c r="A1343" t="s">
        <v>220</v>
      </c>
      <c r="B1343" s="2">
        <v>45566</v>
      </c>
      <c r="C1343" t="str" cm="1">
        <f t="array" ref="C1343">IFERROR(IF(SUMPRODUCT((measured[Site Name]=A1343)*(measured[Date]=B1343)*ISNUMBER(measured[Measured Value (kWh)]))=0,"",SUMIFS(measured[Measured Value (kWh)],measured[Site Name],A1343,measured[Date],B1343)),"")</f>
        <v/>
      </c>
      <c r="D1343" cm="1">
        <f t="array" ref="D1343">IFERROR(IF(SUMPRODUCT((expected_production[Site Name]=A1343)*(expected_production[Date]=B1343)*ISNUMBER(expected_production[Expected Production (kWh)]))=0,"",SUMIFS(expected_production[Expected Production (kWh)],expected_production[Site Name],A1343,expected_production[Date],B1343)),"")</f>
        <v>46212.3</v>
      </c>
      <c r="E1343" s="9" t="str">
        <f t="shared" si="42"/>
        <v/>
      </c>
      <c r="F1343" t="str">
        <f t="shared" si="43"/>
        <v/>
      </c>
    </row>
    <row r="1344" spans="1:7" ht="15" hidden="1" customHeight="1" x14ac:dyDescent="0.3">
      <c r="A1344" t="s">
        <v>220</v>
      </c>
      <c r="B1344" s="2">
        <v>45597</v>
      </c>
      <c r="C1344" t="str" cm="1">
        <f t="array" ref="C1344">IFERROR(IF(SUMPRODUCT((measured[Site Name]=A1344)*(measured[Date]=B1344)*ISNUMBER(measured[Measured Value (kWh)]))=0,"",SUMIFS(measured[Measured Value (kWh)],measured[Site Name],A1344,measured[Date],B1344)),"")</f>
        <v/>
      </c>
      <c r="D1344" cm="1">
        <f t="array" ref="D1344">IFERROR(IF(SUMPRODUCT((expected_production[Site Name]=A1344)*(expected_production[Date]=B1344)*ISNUMBER(expected_production[Expected Production (kWh)]))=0,"",SUMIFS(expected_production[Expected Production (kWh)],expected_production[Site Name],A1344,expected_production[Date],B1344)),"")</f>
        <v>46653.3</v>
      </c>
      <c r="E1344" s="9" t="str">
        <f t="shared" si="42"/>
        <v/>
      </c>
      <c r="F1344" t="str">
        <f t="shared" si="43"/>
        <v/>
      </c>
    </row>
    <row r="1345" spans="1:6" ht="15" hidden="1" customHeight="1" x14ac:dyDescent="0.3">
      <c r="A1345" t="s">
        <v>220</v>
      </c>
      <c r="B1345" s="2">
        <v>45627</v>
      </c>
      <c r="C1345" t="str" cm="1">
        <f t="array" ref="C1345">IFERROR(IF(SUMPRODUCT((measured[Site Name]=A1345)*(measured[Date]=B1345)*ISNUMBER(measured[Measured Value (kWh)]))=0,"",SUMIFS(measured[Measured Value (kWh)],measured[Site Name],A1345,measured[Date],B1345)),"")</f>
        <v/>
      </c>
      <c r="D1345" cm="1">
        <f t="array" ref="D1345">IFERROR(IF(SUMPRODUCT((expected_production[Site Name]=A1345)*(expected_production[Date]=B1345)*ISNUMBER(expected_production[Expected Production (kWh)]))=0,"",SUMIFS(expected_production[Expected Production (kWh)],expected_production[Site Name],A1345,expected_production[Date],B1345)),"")</f>
        <v>47656.800000000003</v>
      </c>
      <c r="E1345" s="9" t="str">
        <f t="shared" si="42"/>
        <v/>
      </c>
      <c r="F1345" t="str">
        <f t="shared" si="43"/>
        <v/>
      </c>
    </row>
    <row r="1346" spans="1:6" ht="15" hidden="1" customHeight="1" x14ac:dyDescent="0.3">
      <c r="A1346" t="s">
        <v>220</v>
      </c>
      <c r="B1346" s="2">
        <v>45658</v>
      </c>
      <c r="C1346" t="str" cm="1">
        <f t="array" ref="C1346">IFERROR(IF(SUMPRODUCT((measured[Site Name]=A1346)*(measured[Date]=B1346)*ISNUMBER(measured[Measured Value (kWh)]))=0,"",SUMIFS(measured[Measured Value (kWh)],measured[Site Name],A1346,measured[Date],B1346)),"")</f>
        <v/>
      </c>
      <c r="D1346" cm="1">
        <f t="array" ref="D1346">IFERROR(IF(SUMPRODUCT((expected_production[Site Name]=A1346)*(expected_production[Date]=B1346)*ISNUMBER(expected_production[Expected Production (kWh)]))=0,"",SUMIFS(expected_production[Expected Production (kWh)],expected_production[Site Name],A1346,expected_production[Date],B1346)),"")</f>
        <v>46872</v>
      </c>
      <c r="E1346" s="9" t="str">
        <f t="shared" si="42"/>
        <v/>
      </c>
      <c r="F1346" t="str">
        <f t="shared" si="43"/>
        <v/>
      </c>
    </row>
    <row r="1347" spans="1:6" ht="15" hidden="1" customHeight="1" x14ac:dyDescent="0.3">
      <c r="A1347" t="s">
        <v>220</v>
      </c>
      <c r="B1347" s="2">
        <v>45689</v>
      </c>
      <c r="C1347" t="str" cm="1">
        <f t="array" ref="C1347">IFERROR(IF(SUMPRODUCT((measured[Site Name]=A1347)*(measured[Date]=B1347)*ISNUMBER(measured[Measured Value (kWh)]))=0,"",SUMIFS(measured[Measured Value (kWh)],measured[Site Name],A1347,measured[Date],B1347)),"")</f>
        <v/>
      </c>
      <c r="D1347" cm="1">
        <f t="array" ref="D1347">IFERROR(IF(SUMPRODUCT((expected_production[Site Name]=A1347)*(expected_production[Date]=B1347)*ISNUMBER(expected_production[Expected Production (kWh)]))=0,"",SUMIFS(expected_production[Expected Production (kWh)],expected_production[Site Name],A1347,expected_production[Date],B1347)),"")</f>
        <v>40989.599999999999</v>
      </c>
      <c r="E1347" s="9" t="str">
        <f t="shared" si="42"/>
        <v/>
      </c>
      <c r="F1347" t="str">
        <f t="shared" si="43"/>
        <v/>
      </c>
    </row>
    <row r="1348" spans="1:6" ht="15" hidden="1" customHeight="1" x14ac:dyDescent="0.3">
      <c r="A1348" t="s">
        <v>220</v>
      </c>
      <c r="B1348" s="2">
        <v>45717</v>
      </c>
      <c r="C1348" t="str" cm="1">
        <f t="array" ref="C1348">IFERROR(IF(SUMPRODUCT((measured[Site Name]=A1348)*(measured[Date]=B1348)*ISNUMBER(measured[Measured Value (kWh)]))=0,"",SUMIFS(measured[Measured Value (kWh)],measured[Site Name],A1348,measured[Date],B1348)),"")</f>
        <v/>
      </c>
      <c r="D1348" cm="1">
        <f t="array" ref="D1348">IFERROR(IF(SUMPRODUCT((expected_production[Site Name]=A1348)*(expected_production[Date]=B1348)*ISNUMBER(expected_production[Expected Production (kWh)]))=0,"",SUMIFS(expected_production[Expected Production (kWh)],expected_production[Site Name],A1348,expected_production[Date],B1348)),"")</f>
        <v>39989.699999999997</v>
      </c>
      <c r="E1348" s="9" t="str">
        <f t="shared" si="42"/>
        <v/>
      </c>
      <c r="F1348" t="str">
        <f t="shared" si="43"/>
        <v/>
      </c>
    </row>
    <row r="1349" spans="1:6" ht="15" hidden="1" customHeight="1" x14ac:dyDescent="0.3">
      <c r="A1349" t="s">
        <v>220</v>
      </c>
      <c r="B1349" s="2">
        <v>45748</v>
      </c>
      <c r="C1349" t="str" cm="1">
        <f t="array" ref="C1349">IFERROR(IF(SUMPRODUCT((measured[Site Name]=A1349)*(measured[Date]=B1349)*ISNUMBER(measured[Measured Value (kWh)]))=0,"",SUMIFS(measured[Measured Value (kWh)],measured[Site Name],A1349,measured[Date],B1349)),"")</f>
        <v/>
      </c>
      <c r="D1349" cm="1">
        <f t="array" ref="D1349">IFERROR(IF(SUMPRODUCT((expected_production[Site Name]=A1349)*(expected_production[Date]=B1349)*ISNUMBER(expected_production[Expected Production (kWh)]))=0,"",SUMIFS(expected_production[Expected Production (kWh)],expected_production[Site Name],A1349,expected_production[Date],B1349)),"")</f>
        <v>34783.199999999997</v>
      </c>
      <c r="E1349" s="9" t="str">
        <f t="shared" si="42"/>
        <v/>
      </c>
      <c r="F1349" t="str">
        <f t="shared" si="43"/>
        <v/>
      </c>
    </row>
    <row r="1350" spans="1:6" ht="15" hidden="1" customHeight="1" x14ac:dyDescent="0.3">
      <c r="A1350" t="s">
        <v>220</v>
      </c>
      <c r="B1350" s="2">
        <v>45778</v>
      </c>
      <c r="C1350" t="str" cm="1">
        <f t="array" ref="C1350">IFERROR(IF(SUMPRODUCT((measured[Site Name]=A1350)*(measured[Date]=B1350)*ISNUMBER(measured[Measured Value (kWh)]))=0,"",SUMIFS(measured[Measured Value (kWh)],measured[Site Name],A1350,measured[Date],B1350)),"")</f>
        <v/>
      </c>
      <c r="D1350" cm="1">
        <f t="array" ref="D1350">IFERROR(IF(SUMPRODUCT((expected_production[Site Name]=A1350)*(expected_production[Date]=B1350)*ISNUMBER(expected_production[Expected Production (kWh)]))=0,"",SUMIFS(expected_production[Expected Production (kWh)],expected_production[Site Name],A1350,expected_production[Date],B1350)),"")</f>
        <v>32139</v>
      </c>
      <c r="E1350" s="9" t="str">
        <f t="shared" si="42"/>
        <v/>
      </c>
      <c r="F1350" t="str">
        <f t="shared" si="43"/>
        <v/>
      </c>
    </row>
    <row r="1351" spans="1:6" ht="15" hidden="1" customHeight="1" x14ac:dyDescent="0.3">
      <c r="A1351" t="s">
        <v>220</v>
      </c>
      <c r="B1351" s="2">
        <v>45809</v>
      </c>
      <c r="C1351" t="str" cm="1">
        <f t="array" ref="C1351">IFERROR(IF(SUMPRODUCT((measured[Site Name]=A1351)*(measured[Date]=B1351)*ISNUMBER(measured[Measured Value (kWh)]))=0,"",SUMIFS(measured[Measured Value (kWh)],measured[Site Name],A1351,measured[Date],B1351)),"")</f>
        <v/>
      </c>
      <c r="D1351" cm="1">
        <f t="array" ref="D1351">IFERROR(IF(SUMPRODUCT((expected_production[Site Name]=A1351)*(expected_production[Date]=B1351)*ISNUMBER(expected_production[Expected Production (kWh)]))=0,"",SUMIFS(expected_production[Expected Production (kWh)],expected_production[Site Name],A1351,expected_production[Date],B1351)),"")</f>
        <v>28357.200000000001</v>
      </c>
      <c r="E1351" s="9" t="str">
        <f t="shared" si="42"/>
        <v/>
      </c>
      <c r="F1351" t="str">
        <f t="shared" si="43"/>
        <v/>
      </c>
    </row>
    <row r="1352" spans="1:6" ht="15" hidden="1" customHeight="1" x14ac:dyDescent="0.3">
      <c r="A1352" t="s">
        <v>220</v>
      </c>
      <c r="B1352" s="2">
        <v>45839</v>
      </c>
      <c r="C1352" t="str" cm="1">
        <f t="array" ref="C1352">IFERROR(IF(SUMPRODUCT((measured[Site Name]=A1352)*(measured[Date]=B1352)*ISNUMBER(measured[Measured Value (kWh)]))=0,"",SUMIFS(measured[Measured Value (kWh)],measured[Site Name],A1352,measured[Date],B1352)),"")</f>
        <v/>
      </c>
      <c r="D1352" cm="1">
        <f t="array" ref="D1352">IFERROR(IF(SUMPRODUCT((expected_production[Site Name]=A1352)*(expected_production[Date]=B1352)*ISNUMBER(expected_production[Expected Production (kWh)]))=0,"",SUMIFS(expected_production[Expected Production (kWh)],expected_production[Site Name],A1352,expected_production[Date],B1352)),"")</f>
        <v>31229.1</v>
      </c>
      <c r="E1352" s="9" t="str">
        <f t="shared" si="42"/>
        <v/>
      </c>
      <c r="F1352" t="str">
        <f t="shared" si="43"/>
        <v/>
      </c>
    </row>
    <row r="1353" spans="1:6" ht="15" hidden="1" customHeight="1" x14ac:dyDescent="0.3">
      <c r="A1353" t="s">
        <v>220</v>
      </c>
      <c r="B1353" s="2">
        <v>45870</v>
      </c>
      <c r="C1353" t="str" cm="1">
        <f t="array" ref="C1353">IFERROR(IF(SUMPRODUCT((measured[Site Name]=A1353)*(measured[Date]=B1353)*ISNUMBER(measured[Measured Value (kWh)]))=0,"",SUMIFS(measured[Measured Value (kWh)],measured[Site Name],A1353,measured[Date],B1353)),"")</f>
        <v/>
      </c>
      <c r="D1353" cm="1">
        <f t="array" ref="D1353">IFERROR(IF(SUMPRODUCT((expected_production[Site Name]=A1353)*(expected_production[Date]=B1353)*ISNUMBER(expected_production[Expected Production (kWh)]))=0,"",SUMIFS(expected_production[Expected Production (kWh)],expected_production[Site Name],A1353,expected_production[Date],B1353)),"")</f>
        <v>36815.4</v>
      </c>
      <c r="E1353" s="9" t="str">
        <f t="shared" si="42"/>
        <v/>
      </c>
      <c r="F1353" t="str">
        <f t="shared" si="43"/>
        <v/>
      </c>
    </row>
    <row r="1354" spans="1:6" ht="15" hidden="1" customHeight="1" x14ac:dyDescent="0.3">
      <c r="A1354" t="s">
        <v>220</v>
      </c>
      <c r="B1354" s="2">
        <v>45901</v>
      </c>
      <c r="C1354" t="str" cm="1">
        <f t="array" ref="C1354">IFERROR(IF(SUMPRODUCT((measured[Site Name]=A1354)*(measured[Date]=B1354)*ISNUMBER(measured[Measured Value (kWh)]))=0,"",SUMIFS(measured[Measured Value (kWh)],measured[Site Name],A1354,measured[Date],B1354)),"")</f>
        <v/>
      </c>
      <c r="D1354" cm="1">
        <f t="array" ref="D1354">IFERROR(IF(SUMPRODUCT((expected_production[Site Name]=A1354)*(expected_production[Date]=B1354)*ISNUMBER(expected_production[Expected Production (kWh)]))=0,"",SUMIFS(expected_production[Expected Production (kWh)],expected_production[Site Name],A1354,expected_production[Date],B1354)),"")</f>
        <v>40778.1</v>
      </c>
      <c r="E1354" s="9" t="str">
        <f t="shared" si="42"/>
        <v/>
      </c>
      <c r="F1354" t="str">
        <f t="shared" si="43"/>
        <v/>
      </c>
    </row>
    <row r="1355" spans="1:6" ht="15" hidden="1" customHeight="1" x14ac:dyDescent="0.3">
      <c r="A1355" t="s">
        <v>220</v>
      </c>
      <c r="B1355" s="2">
        <v>45931</v>
      </c>
      <c r="C1355" cm="1">
        <f t="array" ref="C1355">IFERROR(IF(SUMPRODUCT((measured[Site Name]=A1355)*(measured[Date]=B1355)*ISNUMBER(measured[Measured Value (kWh)]))=0,"",SUMIFS(measured[Measured Value (kWh)],measured[Site Name],A1355,measured[Date],B1355)),"")</f>
        <v>42200</v>
      </c>
      <c r="D1355" cm="1">
        <f t="array" ref="D1355">IFERROR(IF(SUMPRODUCT((expected_production[Site Name]=A1355)*(expected_production[Date]=B1355)*ISNUMBER(expected_production[Expected Production (kWh)]))=0,"",SUMIFS(expected_production[Expected Production (kWh)],expected_production[Site Name],A1355,expected_production[Date],B1355)),"")</f>
        <v>46206.07902166569</v>
      </c>
      <c r="E1355" s="9">
        <f t="shared" si="42"/>
        <v>0.91329974093263211</v>
      </c>
      <c r="F1355" t="str">
        <f t="shared" si="43"/>
        <v>Expected</v>
      </c>
    </row>
    <row r="1356" spans="1:6" ht="15" hidden="1" customHeight="1" x14ac:dyDescent="0.3">
      <c r="A1356" t="s">
        <v>220</v>
      </c>
      <c r="B1356" s="2">
        <v>45962</v>
      </c>
      <c r="C1356" cm="1">
        <f t="array" ref="C1356">IFERROR(IF(SUMPRODUCT((measured[Site Name]=A1356)*(measured[Date]=B1356)*ISNUMBER(measured[Measured Value (kWh)]))=0,"",SUMIFS(measured[Measured Value (kWh)],measured[Site Name],A1356,measured[Date],B1356)),"")</f>
        <v>37652</v>
      </c>
      <c r="D1356" cm="1">
        <f t="array" ref="D1356">IFERROR(IF(SUMPRODUCT((expected_production[Site Name]=A1356)*(expected_production[Date]=B1356)*ISNUMBER(expected_production[Expected Production (kWh)]))=0,"",SUMIFS(expected_production[Expected Production (kWh)],expected_production[Site Name],A1356,expected_production[Date],B1356)),"")</f>
        <v>46619.216861782712</v>
      </c>
      <c r="E1356" s="9">
        <f t="shared" si="42"/>
        <v>0.80764977480490852</v>
      </c>
      <c r="F1356" t="str">
        <f t="shared" si="43"/>
        <v>Moderate</v>
      </c>
    </row>
    <row r="1357" spans="1:6" ht="15" hidden="1" customHeight="1" x14ac:dyDescent="0.3">
      <c r="A1357" t="s">
        <v>220</v>
      </c>
      <c r="B1357" s="2">
        <v>45992</v>
      </c>
      <c r="C1357" cm="1">
        <f t="array" ref="C1357">IFERROR(IF(SUMPRODUCT((measured[Site Name]=A1357)*(measured[Date]=B1357)*ISNUMBER(measured[Measured Value (kWh)]))=0,"",SUMIFS(measured[Measured Value (kWh)],measured[Site Name],A1357,measured[Date],B1357)),"")</f>
        <v>32569</v>
      </c>
      <c r="D1357" cm="1">
        <f t="array" ref="D1357">IFERROR(IF(SUMPRODUCT((expected_production[Site Name]=A1357)*(expected_production[Date]=B1357)*ISNUMBER(expected_production[Expected Production (kWh)]))=0,"",SUMIFS(expected_production[Expected Production (kWh)],expected_production[Site Name],A1357,expected_production[Date],B1357)),"")</f>
        <v>47594.515191383573</v>
      </c>
      <c r="E1357" s="9">
        <f t="shared" si="42"/>
        <v>0.68430153913819536</v>
      </c>
      <c r="F1357" t="str">
        <f t="shared" si="43"/>
        <v>Poor</v>
      </c>
    </row>
    <row r="1358" spans="1:6" ht="15" hidden="1" customHeight="1" x14ac:dyDescent="0.3">
      <c r="A1358" t="s">
        <v>220</v>
      </c>
      <c r="B1358" s="2">
        <v>46023</v>
      </c>
      <c r="C1358" cm="1">
        <f t="array" ref="C1358">IFERROR(IF(SUMPRODUCT((measured[Site Name]=A1358)*(measured[Date]=B1358)*ISNUMBER(measured[Measured Value (kWh)]))=0,"",SUMIFS(measured[Measured Value (kWh)],measured[Site Name],A1358,measured[Date],B1358)),"")</f>
        <v>43979.9977</v>
      </c>
      <c r="D1358" cm="1">
        <f t="array" ref="D1358">IFERROR(IF(SUMPRODUCT((expected_production[Site Name]=A1358)*(expected_production[Date]=B1358)*ISNUMBER(expected_production[Expected Production (kWh)]))=0,"",SUMIFS(expected_production[Expected Production (kWh)],expected_production[Site Name],A1358,expected_production[Date],B1358)),"")</f>
        <v>46782.840506110784</v>
      </c>
      <c r="E1358" s="9">
        <f t="shared" si="42"/>
        <v>0.94008822944932824</v>
      </c>
      <c r="F1358" t="str">
        <f t="shared" si="43"/>
        <v>Expected</v>
      </c>
    </row>
    <row r="1359" spans="1:6" ht="15" hidden="1" customHeight="1" x14ac:dyDescent="0.3">
      <c r="A1359" t="s">
        <v>220</v>
      </c>
      <c r="B1359" s="2">
        <v>46054</v>
      </c>
      <c r="C1359" cm="1">
        <f t="array" ref="C1359">IFERROR(IF(SUMPRODUCT((measured[Site Name]=A1359)*(measured[Date]=B1359)*ISNUMBER(measured[Measured Value (kWh)]))=0,"",SUMIFS(measured[Measured Value (kWh)],measured[Site Name],A1359,measured[Date],B1359)),"")</f>
        <v>35538.487300000001</v>
      </c>
      <c r="D1359" cm="1">
        <f t="array" ref="D1359">IFERROR(IF(SUMPRODUCT((expected_production[Site Name]=A1359)*(expected_production[Date]=B1359)*ISNUMBER(expected_production[Expected Production (kWh)]))=0,"",SUMIFS(expected_production[Expected Production (kWh)],expected_production[Site Name],A1359,expected_production[Date],B1359)),"")</f>
        <v>40887.245596598244</v>
      </c>
      <c r="E1359" s="9">
        <f t="shared" si="42"/>
        <v>0.86918271899823807</v>
      </c>
      <c r="F1359" t="str">
        <f t="shared" si="43"/>
        <v>Moderate</v>
      </c>
    </row>
    <row r="1360" spans="1:6" ht="15" hidden="1" customHeight="1" x14ac:dyDescent="0.3">
      <c r="A1360" t="s">
        <v>220</v>
      </c>
      <c r="B1360" s="2">
        <v>46082</v>
      </c>
      <c r="C1360" cm="1">
        <f t="array" ref="C1360">IFERROR(IF(SUMPRODUCT((measured[Site Name]=A1360)*(measured[Date]=B1360)*ISNUMBER(measured[Measured Value (kWh)]))=0,"",SUMIFS(measured[Measured Value (kWh)],measured[Site Name],A1360,measured[Date],B1360)),"")</f>
        <v>34079</v>
      </c>
      <c r="D1360" cm="1">
        <f t="array" ref="D1360">IFERROR(IF(SUMPRODUCT((expected_production[Site Name]=A1360)*(expected_production[Date]=B1360)*ISNUMBER(expected_production[Expected Production (kWh)]))=0,"",SUMIFS(expected_production[Expected Production (kWh)],expected_production[Site Name],A1360,expected_production[Date],B1360)),"")</f>
        <v>39868.367303162486</v>
      </c>
      <c r="E1360" s="9">
        <f t="shared" si="42"/>
        <v>0.85478795108062389</v>
      </c>
      <c r="F1360" t="str">
        <f t="shared" si="43"/>
        <v>Moderate</v>
      </c>
    </row>
    <row r="1361" spans="1:7" ht="15" hidden="1" customHeight="1" x14ac:dyDescent="0.3">
      <c r="A1361" t="s">
        <v>220</v>
      </c>
      <c r="B1361" s="2">
        <v>46113</v>
      </c>
      <c r="C1361" cm="1">
        <f t="array" ref="C1361">IFERROR(IF(SUMPRODUCT((measured[Site Name]=A1361)*(measured[Date]=B1361)*ISNUMBER(measured[Measured Value (kWh)]))=0,"",SUMIFS(measured[Measured Value (kWh)],measured[Site Name],A1361,measured[Date],B1361)),"")</f>
        <v>26385.27</v>
      </c>
      <c r="D1361" cm="1">
        <f t="array" ref="D1361">IFERROR(IF(SUMPRODUCT((expected_production[Site Name]=A1361)*(expected_production[Date]=B1361)*ISNUMBER(expected_production[Expected Production (kWh)]))=0,"",SUMIFS(expected_production[Expected Production (kWh)],expected_production[Site Name],A1361,expected_production[Date],B1361)),"")</f>
        <v>34656.995580389419</v>
      </c>
      <c r="E1361" s="9">
        <f t="shared" si="42"/>
        <v>0.76132594756511562</v>
      </c>
      <c r="F1361" t="str">
        <f t="shared" si="43"/>
        <v>Moderate</v>
      </c>
    </row>
    <row r="1362" spans="1:7" ht="15" hidden="1" customHeight="1" x14ac:dyDescent="0.3">
      <c r="A1362" t="s">
        <v>220</v>
      </c>
      <c r="B1362" s="2">
        <v>46143</v>
      </c>
      <c r="C1362" cm="1">
        <f t="array" ref="C1362">IFERROR(IF(SUMPRODUCT((measured[Site Name]=A1362)*(measured[Date]=B1362)*ISNUMBER(measured[Measured Value (kWh)]))=0,"",SUMIFS(measured[Measured Value (kWh)],measured[Site Name],A1362,measured[Date],B1362)),"")</f>
        <v>29535.200000000001</v>
      </c>
      <c r="D1362" cm="1">
        <f t="array" ref="D1362">IFERROR(IF(SUMPRODUCT((expected_production[Site Name]=A1362)*(expected_production[Date]=B1362)*ISNUMBER(expected_production[Expected Production (kWh)]))=0,"",SUMIFS(expected_production[Expected Production (kWh)],expected_production[Site Name],A1362,expected_production[Date],B1362)),"")</f>
        <v>32003.918929189436</v>
      </c>
      <c r="E1362" s="9">
        <f t="shared" si="42"/>
        <v>0.92286198028898825</v>
      </c>
      <c r="F1362" t="str">
        <f t="shared" si="43"/>
        <v>Expected</v>
      </c>
    </row>
    <row r="1363" spans="1:7" ht="15" hidden="1" customHeight="1" x14ac:dyDescent="0.3">
      <c r="A1363" t="s">
        <v>220</v>
      </c>
      <c r="B1363" s="2">
        <v>46174</v>
      </c>
      <c r="C1363" cm="1">
        <f t="array" ref="C1363">IFERROR(IF(SUMPRODUCT((measured[Site Name]=A1363)*(measured[Date]=B1363)*ISNUMBER(measured[Measured Value (kWh)]))=0,"",SUMIFS(measured[Measured Value (kWh)],measured[Site Name],A1363,measured[Date],B1363)),"")</f>
        <v>18559</v>
      </c>
      <c r="D1363" cm="1">
        <f t="array" ref="D1363">IFERROR(IF(SUMPRODUCT((expected_production[Site Name]=A1363)*(expected_production[Date]=B1363)*ISNUMBER(expected_production[Expected Production (kWh)]))=0,"",SUMIFS(expected_production[Expected Production (kWh)],expected_production[Site Name],A1363,expected_production[Date],B1363)),"")</f>
        <v>28221.183370542451</v>
      </c>
      <c r="E1363" s="9">
        <f t="shared" si="42"/>
        <v>0.65762656924486262</v>
      </c>
      <c r="F1363" t="str">
        <f t="shared" si="43"/>
        <v>Poor</v>
      </c>
    </row>
    <row r="1364" spans="1:7" ht="15" hidden="1" customHeight="1" x14ac:dyDescent="0.3">
      <c r="A1364" t="s">
        <v>131</v>
      </c>
      <c r="B1364" s="2">
        <v>46204</v>
      </c>
      <c r="C1364" cm="1">
        <f t="array" ref="C1364">IFERROR(IF(SUMPRODUCT((measured[Site Name]=A1364)*(measured[Date]=B1364)*ISNUMBER(measured[Measured Value (kWh)]))=0,"",SUMIFS(measured[Measured Value (kWh)],measured[Site Name],A1364,measured[Date],B1364)),"")</f>
        <v>5690</v>
      </c>
      <c r="D1364" cm="1">
        <f t="array" ref="D1364">IFERROR(IF(SUMPRODUCT((expected_production[Site Name]=A1364)*(expected_production[Date]=B1364)*ISNUMBER(expected_production[Expected Production (kWh)]))=0,"",SUMIFS(expected_production[Expected Production (kWh)],expected_production[Site Name],A1364,expected_production[Date],B1364)),"")</f>
        <v>5285.8154065546842</v>
      </c>
      <c r="E1364" s="9">
        <f t="shared" si="42"/>
        <v>1.0764658926499979</v>
      </c>
      <c r="F1364" t="str">
        <f t="shared" si="43"/>
        <v>Expected</v>
      </c>
      <c r="G1364" t="s">
        <v>874</v>
      </c>
    </row>
    <row r="1365" spans="1:7" ht="15" hidden="1" customHeight="1" x14ac:dyDescent="0.3">
      <c r="A1365" t="s">
        <v>220</v>
      </c>
      <c r="B1365" s="2">
        <v>46235</v>
      </c>
      <c r="C1365" cm="1">
        <f t="array" ref="C1365">IFERROR(IF(SUMPRODUCT((measured[Site Name]=A1365)*(measured[Date]=B1365)*ISNUMBER(measured[Measured Value (kWh)]))=0,"",SUMIFS(measured[Measured Value (kWh)],measured[Site Name],A1365,measured[Date],B1365)),"")</f>
        <v>35179.4355</v>
      </c>
      <c r="D1365" cm="1">
        <f t="array" ref="D1365">IFERROR(IF(SUMPRODUCT((expected_production[Site Name]=A1365)*(expected_production[Date]=B1365)*ISNUMBER(expected_production[Expected Production (kWh)]))=0,"",SUMIFS(expected_production[Expected Production (kWh)],expected_production[Site Name],A1365,expected_production[Date],B1365)),"")</f>
        <v>36595.854750677878</v>
      </c>
      <c r="E1365" s="9">
        <f t="shared" si="42"/>
        <v>0.96129563688762754</v>
      </c>
      <c r="F1365" t="str">
        <f t="shared" si="43"/>
        <v>Expected</v>
      </c>
      <c r="G1365" t="s">
        <v>874</v>
      </c>
    </row>
    <row r="1366" spans="1:7" ht="15" customHeight="1" x14ac:dyDescent="0.3">
      <c r="A1366" t="s">
        <v>250</v>
      </c>
      <c r="B1366" s="2">
        <v>46266</v>
      </c>
      <c r="C1366" cm="1">
        <f t="array" ref="C1366">IFERROR(IF(SUMPRODUCT((measured[Site Name]=A1366)*(measured[Date]=B1366)*ISNUMBER(measured[Measured Value (kWh)]))=0,"",SUMIFS(measured[Measured Value (kWh)],measured[Site Name],A1366,measured[Date],B1366)),"")</f>
        <v>21788</v>
      </c>
      <c r="D1366" cm="1">
        <f t="array" ref="D1366">IFERROR(IF(SUMPRODUCT((expected_production[Site Name]=A1366)*(expected_production[Date]=B1366)*ISNUMBER(expected_production[Expected Production (kWh)]))=0,"",SUMIFS(expected_production[Expected Production (kWh)],expected_production[Site Name],A1366,expected_production[Date],B1366)),"")</f>
        <v>28181.7250957082</v>
      </c>
      <c r="E1366" s="9">
        <f t="shared" ref="E1366:E1429" si="44">IF(OR(C1366="",D1366="",D1366=0),"",C1366/D1366)</f>
        <v>0.77312513432040042</v>
      </c>
      <c r="F1366" t="str">
        <f t="shared" ref="F1366:F1429" si="45">IF(E1366="","",IF(E1366&gt;=0.9,"Expected",IF(E1366&gt;=0.7,"Moderate","Poor")))</f>
        <v>Moderate</v>
      </c>
      <c r="G1366" t="s">
        <v>874</v>
      </c>
    </row>
    <row r="1367" spans="1:7" ht="15" hidden="1" customHeight="1" x14ac:dyDescent="0.3">
      <c r="A1367" t="s">
        <v>220</v>
      </c>
      <c r="B1367" s="2">
        <v>46296</v>
      </c>
      <c r="C1367" t="str" cm="1">
        <f t="array" ref="C1367">IFERROR(IF(SUMPRODUCT((measured[Site Name]=A1367)*(measured[Date]=B1367)*ISNUMBER(measured[Measured Value (kWh)]))=0,"",SUMIFS(measured[Measured Value (kWh)],measured[Site Name],A1367,measured[Date],B1367)),"")</f>
        <v/>
      </c>
      <c r="D1367" cm="1">
        <f t="array" ref="D1367">IFERROR(IF(SUMPRODUCT((expected_production[Site Name]=A1367)*(expected_production[Date]=B1367)*ISNUMBER(expected_production[Expected Production (kWh)]))=0,"",SUMIFS(expected_production[Expected Production (kWh)],expected_production[Site Name],A1367,expected_production[Date],B1367)),"")</f>
        <v>45882.857076746972</v>
      </c>
      <c r="E1367" s="9" t="str">
        <f t="shared" si="44"/>
        <v/>
      </c>
      <c r="F1367" t="str">
        <f t="shared" si="45"/>
        <v/>
      </c>
    </row>
    <row r="1368" spans="1:7" ht="15" hidden="1" customHeight="1" x14ac:dyDescent="0.3">
      <c r="A1368" t="s">
        <v>220</v>
      </c>
      <c r="B1368" s="2">
        <v>46327</v>
      </c>
      <c r="C1368" t="str" cm="1">
        <f t="array" ref="C1368">IFERROR(IF(SUMPRODUCT((measured[Site Name]=A1368)*(measured[Date]=B1368)*ISNUMBER(measured[Measured Value (kWh)]))=0,"",SUMIFS(measured[Measured Value (kWh)],measured[Site Name],A1368,measured[Date],B1368)),"")</f>
        <v/>
      </c>
      <c r="D1368" cm="1">
        <f t="array" ref="D1368">IFERROR(IF(SUMPRODUCT((expected_production[Site Name]=A1368)*(expected_production[Date]=B1368)*ISNUMBER(expected_production[Expected Production (kWh)]))=0,"",SUMIFS(expected_production[Expected Production (kWh)],expected_production[Site Name],A1368,expected_production[Date],B1368)),"")</f>
        <v>46293.104924485728</v>
      </c>
      <c r="E1368" s="9" t="str">
        <f t="shared" si="44"/>
        <v/>
      </c>
      <c r="F1368" t="str">
        <f t="shared" si="45"/>
        <v/>
      </c>
    </row>
    <row r="1369" spans="1:7" ht="15" hidden="1" customHeight="1" x14ac:dyDescent="0.3">
      <c r="A1369" t="s">
        <v>220</v>
      </c>
      <c r="B1369" s="2">
        <v>46357</v>
      </c>
      <c r="C1369" t="str" cm="1">
        <f t="array" ref="C1369">IFERROR(IF(SUMPRODUCT((measured[Site Name]=A1369)*(measured[Date]=B1369)*ISNUMBER(measured[Measured Value (kWh)]))=0,"",SUMIFS(measured[Measured Value (kWh)],measured[Site Name],A1369,measured[Date],B1369)),"")</f>
        <v/>
      </c>
      <c r="D1369" cm="1">
        <f t="array" ref="D1369">IFERROR(IF(SUMPRODUCT((expected_production[Site Name]=A1369)*(expected_production[Date]=B1369)*ISNUMBER(expected_production[Expected Production (kWh)]))=0,"",SUMIFS(expected_production[Expected Production (kWh)],expected_production[Site Name],A1369,expected_production[Date],B1369)),"")</f>
        <v>47261.58082228445</v>
      </c>
      <c r="E1369" s="9" t="str">
        <f t="shared" si="44"/>
        <v/>
      </c>
      <c r="F1369" t="str">
        <f t="shared" si="45"/>
        <v/>
      </c>
    </row>
    <row r="1370" spans="1:7" ht="15" hidden="1" customHeight="1" x14ac:dyDescent="0.3">
      <c r="A1370" t="s">
        <v>222</v>
      </c>
      <c r="B1370" s="2">
        <v>45292</v>
      </c>
      <c r="C1370" t="str" cm="1">
        <f t="array" ref="C1370">IFERROR(IF(SUMPRODUCT((measured[Site Name]=A1370)*(measured[Date]=B1370)*ISNUMBER(measured[Measured Value (kWh)]))=0,"",SUMIFS(measured[Measured Value (kWh)],measured[Site Name],A1370,measured[Date],B1370)),"")</f>
        <v/>
      </c>
      <c r="D1370" cm="1">
        <f t="array" ref="D1370">IFERROR(IF(SUMPRODUCT((expected_production[Site Name]=A1370)*(expected_production[Date]=B1370)*ISNUMBER(expected_production[Expected Production (kWh)]))=0,"",SUMIFS(expected_production[Expected Production (kWh)],expected_production[Site Name],A1370,expected_production[Date],B1370)),"")</f>
        <v>12369.6</v>
      </c>
      <c r="E1370" s="9" t="str">
        <f t="shared" si="44"/>
        <v/>
      </c>
      <c r="F1370" t="str">
        <f t="shared" si="45"/>
        <v/>
      </c>
    </row>
    <row r="1371" spans="1:7" ht="15" hidden="1" customHeight="1" x14ac:dyDescent="0.3">
      <c r="A1371" t="s">
        <v>222</v>
      </c>
      <c r="B1371" s="2">
        <v>45323</v>
      </c>
      <c r="C1371" t="str" cm="1">
        <f t="array" ref="C1371">IFERROR(IF(SUMPRODUCT((measured[Site Name]=A1371)*(measured[Date]=B1371)*ISNUMBER(measured[Measured Value (kWh)]))=0,"",SUMIFS(measured[Measured Value (kWh)],measured[Site Name],A1371,measured[Date],B1371)),"")</f>
        <v/>
      </c>
      <c r="D1371" cm="1">
        <f t="array" ref="D1371">IFERROR(IF(SUMPRODUCT((expected_production[Site Name]=A1371)*(expected_production[Date]=B1371)*ISNUMBER(expected_production[Expected Production (kWh)]))=0,"",SUMIFS(expected_production[Expected Production (kWh)],expected_production[Site Name],A1371,expected_production[Date],B1371)),"")</f>
        <v>10801.8</v>
      </c>
      <c r="E1371" s="9" t="str">
        <f t="shared" si="44"/>
        <v/>
      </c>
      <c r="F1371" t="str">
        <f t="shared" si="45"/>
        <v/>
      </c>
    </row>
    <row r="1372" spans="1:7" ht="15" hidden="1" customHeight="1" x14ac:dyDescent="0.3">
      <c r="A1372" t="s">
        <v>222</v>
      </c>
      <c r="B1372" s="2">
        <v>45352</v>
      </c>
      <c r="C1372" t="str" cm="1">
        <f t="array" ref="C1372">IFERROR(IF(SUMPRODUCT((measured[Site Name]=A1372)*(measured[Date]=B1372)*ISNUMBER(measured[Measured Value (kWh)]))=0,"",SUMIFS(measured[Measured Value (kWh)],measured[Site Name],A1372,measured[Date],B1372)),"")</f>
        <v/>
      </c>
      <c r="D1372" cm="1">
        <f t="array" ref="D1372">IFERROR(IF(SUMPRODUCT((expected_production[Site Name]=A1372)*(expected_production[Date]=B1372)*ISNUMBER(expected_production[Expected Production (kWh)]))=0,"",SUMIFS(expected_production[Expected Production (kWh)],expected_production[Site Name],A1372,expected_production[Date],B1372)),"")</f>
        <v>10537.2</v>
      </c>
      <c r="E1372" s="9" t="str">
        <f t="shared" si="44"/>
        <v/>
      </c>
      <c r="F1372" t="str">
        <f t="shared" si="45"/>
        <v/>
      </c>
    </row>
    <row r="1373" spans="1:7" ht="15" hidden="1" customHeight="1" x14ac:dyDescent="0.3">
      <c r="A1373" t="s">
        <v>222</v>
      </c>
      <c r="B1373" s="2">
        <v>45383</v>
      </c>
      <c r="C1373" t="str" cm="1">
        <f t="array" ref="C1373">IFERROR(IF(SUMPRODUCT((measured[Site Name]=A1373)*(measured[Date]=B1373)*ISNUMBER(measured[Measured Value (kWh)]))=0,"",SUMIFS(measured[Measured Value (kWh)],measured[Site Name],A1373,measured[Date],B1373)),"")</f>
        <v/>
      </c>
      <c r="D1373" cm="1">
        <f t="array" ref="D1373">IFERROR(IF(SUMPRODUCT((expected_production[Site Name]=A1373)*(expected_production[Date]=B1373)*ISNUMBER(expected_production[Expected Production (kWh)]))=0,"",SUMIFS(expected_production[Expected Production (kWh)],expected_production[Site Name],A1373,expected_production[Date],B1373)),"")</f>
        <v>9173.7000000000007</v>
      </c>
      <c r="E1373" s="9" t="str">
        <f t="shared" si="44"/>
        <v/>
      </c>
      <c r="F1373" t="str">
        <f t="shared" si="45"/>
        <v/>
      </c>
    </row>
    <row r="1374" spans="1:7" ht="15" hidden="1" customHeight="1" x14ac:dyDescent="0.3">
      <c r="A1374" t="s">
        <v>222</v>
      </c>
      <c r="B1374" s="2">
        <v>45413</v>
      </c>
      <c r="C1374" t="str" cm="1">
        <f t="array" ref="C1374">IFERROR(IF(SUMPRODUCT((measured[Site Name]=A1374)*(measured[Date]=B1374)*ISNUMBER(measured[Measured Value (kWh)]))=0,"",SUMIFS(measured[Measured Value (kWh)],measured[Site Name],A1374,measured[Date],B1374)),"")</f>
        <v/>
      </c>
      <c r="D1374" cm="1">
        <f t="array" ref="D1374">IFERROR(IF(SUMPRODUCT((expected_production[Site Name]=A1374)*(expected_production[Date]=B1374)*ISNUMBER(expected_production[Expected Production (kWh)]))=0,"",SUMIFS(expected_production[Expected Production (kWh)],expected_production[Site Name],A1374,expected_production[Date],B1374)),"")</f>
        <v>8503.2000000000007</v>
      </c>
      <c r="E1374" s="9" t="str">
        <f t="shared" si="44"/>
        <v/>
      </c>
      <c r="F1374" t="str">
        <f t="shared" si="45"/>
        <v/>
      </c>
    </row>
    <row r="1375" spans="1:7" ht="15" hidden="1" customHeight="1" x14ac:dyDescent="0.3">
      <c r="A1375" t="s">
        <v>222</v>
      </c>
      <c r="B1375" s="2">
        <v>45444</v>
      </c>
      <c r="C1375" t="str" cm="1">
        <f t="array" ref="C1375">IFERROR(IF(SUMPRODUCT((measured[Site Name]=A1375)*(measured[Date]=B1375)*ISNUMBER(measured[Measured Value (kWh)]))=0,"",SUMIFS(measured[Measured Value (kWh)],measured[Site Name],A1375,measured[Date],B1375)),"")</f>
        <v/>
      </c>
      <c r="D1375" cm="1">
        <f t="array" ref="D1375">IFERROR(IF(SUMPRODUCT((expected_production[Site Name]=A1375)*(expected_production[Date]=B1375)*ISNUMBER(expected_production[Expected Production (kWh)]))=0,"",SUMIFS(expected_production[Expected Production (kWh)],expected_production[Site Name],A1375,expected_production[Date],B1375)),"")</f>
        <v>7545.6</v>
      </c>
      <c r="E1375" s="9" t="str">
        <f t="shared" si="44"/>
        <v/>
      </c>
      <c r="F1375" t="str">
        <f t="shared" si="45"/>
        <v/>
      </c>
    </row>
    <row r="1376" spans="1:7" ht="15" hidden="1" customHeight="1" x14ac:dyDescent="0.3">
      <c r="A1376" t="s">
        <v>222</v>
      </c>
      <c r="B1376" s="2">
        <v>45474</v>
      </c>
      <c r="C1376" t="str" cm="1">
        <f t="array" ref="C1376">IFERROR(IF(SUMPRODUCT((measured[Site Name]=A1376)*(measured[Date]=B1376)*ISNUMBER(measured[Measured Value (kWh)]))=0,"",SUMIFS(measured[Measured Value (kWh)],measured[Site Name],A1376,measured[Date],B1376)),"")</f>
        <v/>
      </c>
      <c r="D1376" cm="1">
        <f t="array" ref="D1376">IFERROR(IF(SUMPRODUCT((expected_production[Site Name]=A1376)*(expected_production[Date]=B1376)*ISNUMBER(expected_production[Expected Production (kWh)]))=0,"",SUMIFS(expected_production[Expected Production (kWh)],expected_production[Site Name],A1376,expected_production[Date],B1376)),"")</f>
        <v>8307</v>
      </c>
      <c r="E1376" s="9" t="str">
        <f t="shared" si="44"/>
        <v/>
      </c>
      <c r="F1376" t="str">
        <f t="shared" si="45"/>
        <v/>
      </c>
    </row>
    <row r="1377" spans="1:6" ht="15" hidden="1" customHeight="1" x14ac:dyDescent="0.3">
      <c r="A1377" t="s">
        <v>222</v>
      </c>
      <c r="B1377" s="2">
        <v>45505</v>
      </c>
      <c r="C1377" t="str" cm="1">
        <f t="array" ref="C1377">IFERROR(IF(SUMPRODUCT((measured[Site Name]=A1377)*(measured[Date]=B1377)*ISNUMBER(measured[Measured Value (kWh)]))=0,"",SUMIFS(measured[Measured Value (kWh)],measured[Site Name],A1377,measured[Date],B1377)),"")</f>
        <v/>
      </c>
      <c r="D1377" cm="1">
        <f t="array" ref="D1377">IFERROR(IF(SUMPRODUCT((expected_production[Site Name]=A1377)*(expected_production[Date]=B1377)*ISNUMBER(expected_production[Expected Production (kWh)]))=0,"",SUMIFS(expected_production[Expected Production (kWh)],expected_production[Site Name],A1377,expected_production[Date],B1377)),"")</f>
        <v>9720.9</v>
      </c>
      <c r="E1377" s="9" t="str">
        <f t="shared" si="44"/>
        <v/>
      </c>
      <c r="F1377" t="str">
        <f t="shared" si="45"/>
        <v/>
      </c>
    </row>
    <row r="1378" spans="1:6" ht="15" hidden="1" customHeight="1" x14ac:dyDescent="0.3">
      <c r="A1378" t="s">
        <v>222</v>
      </c>
      <c r="B1378" s="2">
        <v>45536</v>
      </c>
      <c r="C1378" t="str" cm="1">
        <f t="array" ref="C1378">IFERROR(IF(SUMPRODUCT((measured[Site Name]=A1378)*(measured[Date]=B1378)*ISNUMBER(measured[Measured Value (kWh)]))=0,"",SUMIFS(measured[Measured Value (kWh)],measured[Site Name],A1378,measured[Date],B1378)),"")</f>
        <v/>
      </c>
      <c r="D1378" cm="1">
        <f t="array" ref="D1378">IFERROR(IF(SUMPRODUCT((expected_production[Site Name]=A1378)*(expected_production[Date]=B1378)*ISNUMBER(expected_production[Expected Production (kWh)]))=0,"",SUMIFS(expected_production[Expected Production (kWh)],expected_production[Site Name],A1378,expected_production[Date],B1378)),"")</f>
        <v>10755.9</v>
      </c>
      <c r="E1378" s="9" t="str">
        <f t="shared" si="44"/>
        <v/>
      </c>
      <c r="F1378" t="str">
        <f t="shared" si="45"/>
        <v/>
      </c>
    </row>
    <row r="1379" spans="1:6" ht="15" hidden="1" customHeight="1" x14ac:dyDescent="0.3">
      <c r="A1379" t="s">
        <v>222</v>
      </c>
      <c r="B1379" s="2">
        <v>45566</v>
      </c>
      <c r="C1379" t="str" cm="1">
        <f t="array" ref="C1379">IFERROR(IF(SUMPRODUCT((measured[Site Name]=A1379)*(measured[Date]=B1379)*ISNUMBER(measured[Measured Value (kWh)]))=0,"",SUMIFS(measured[Measured Value (kWh)],measured[Site Name],A1379,measured[Date],B1379)),"")</f>
        <v/>
      </c>
      <c r="D1379" cm="1">
        <f t="array" ref="D1379">IFERROR(IF(SUMPRODUCT((expected_production[Site Name]=A1379)*(expected_production[Date]=B1379)*ISNUMBER(expected_production[Expected Production (kWh)]))=0,"",SUMIFS(expected_production[Expected Production (kWh)],expected_production[Site Name],A1379,expected_production[Date],B1379)),"")</f>
        <v>12190.5</v>
      </c>
      <c r="E1379" s="9" t="str">
        <f t="shared" si="44"/>
        <v/>
      </c>
      <c r="F1379" t="str">
        <f t="shared" si="45"/>
        <v/>
      </c>
    </row>
    <row r="1380" spans="1:6" ht="15" hidden="1" customHeight="1" x14ac:dyDescent="0.3">
      <c r="A1380" t="s">
        <v>222</v>
      </c>
      <c r="B1380" s="2">
        <v>45597</v>
      </c>
      <c r="C1380" t="str" cm="1">
        <f t="array" ref="C1380">IFERROR(IF(SUMPRODUCT((measured[Site Name]=A1380)*(measured[Date]=B1380)*ISNUMBER(measured[Measured Value (kWh)]))=0,"",SUMIFS(measured[Measured Value (kWh)],measured[Site Name],A1380,measured[Date],B1380)),"")</f>
        <v/>
      </c>
      <c r="D1380" cm="1">
        <f t="array" ref="D1380">IFERROR(IF(SUMPRODUCT((expected_production[Site Name]=A1380)*(expected_production[Date]=B1380)*ISNUMBER(expected_production[Expected Production (kWh)]))=0,"",SUMIFS(expected_production[Expected Production (kWh)],expected_production[Site Name],A1380,expected_production[Date],B1380)),"")</f>
        <v>12263.4</v>
      </c>
      <c r="E1380" s="9" t="str">
        <f t="shared" si="44"/>
        <v/>
      </c>
      <c r="F1380" t="str">
        <f t="shared" si="45"/>
        <v/>
      </c>
    </row>
    <row r="1381" spans="1:6" ht="15" hidden="1" customHeight="1" x14ac:dyDescent="0.3">
      <c r="A1381" t="s">
        <v>222</v>
      </c>
      <c r="B1381" s="2">
        <v>45627</v>
      </c>
      <c r="C1381" t="str" cm="1">
        <f t="array" ref="C1381">IFERROR(IF(SUMPRODUCT((measured[Site Name]=A1381)*(measured[Date]=B1381)*ISNUMBER(measured[Measured Value (kWh)]))=0,"",SUMIFS(measured[Measured Value (kWh)],measured[Site Name],A1381,measured[Date],B1381)),"")</f>
        <v/>
      </c>
      <c r="D1381" cm="1">
        <f t="array" ref="D1381">IFERROR(IF(SUMPRODUCT((expected_production[Site Name]=A1381)*(expected_production[Date]=B1381)*ISNUMBER(expected_production[Expected Production (kWh)]))=0,"",SUMIFS(expected_production[Expected Production (kWh)],expected_production[Site Name],A1381,expected_production[Date],B1381)),"")</f>
        <v>12539.7</v>
      </c>
      <c r="E1381" s="9" t="str">
        <f t="shared" si="44"/>
        <v/>
      </c>
      <c r="F1381" t="str">
        <f t="shared" si="45"/>
        <v/>
      </c>
    </row>
    <row r="1382" spans="1:6" ht="15" hidden="1" customHeight="1" x14ac:dyDescent="0.3">
      <c r="A1382" t="s">
        <v>222</v>
      </c>
      <c r="B1382" s="2">
        <v>45658</v>
      </c>
      <c r="C1382" t="str" cm="1">
        <f t="array" ref="C1382">IFERROR(IF(SUMPRODUCT((measured[Site Name]=A1382)*(measured[Date]=B1382)*ISNUMBER(measured[Measured Value (kWh)]))=0,"",SUMIFS(measured[Measured Value (kWh)],measured[Site Name],A1382,measured[Date],B1382)),"")</f>
        <v/>
      </c>
      <c r="D1382" cm="1">
        <f t="array" ref="D1382">IFERROR(IF(SUMPRODUCT((expected_production[Site Name]=A1382)*(expected_production[Date]=B1382)*ISNUMBER(expected_production[Expected Production (kWh)]))=0,"",SUMIFS(expected_production[Expected Production (kWh)],expected_production[Site Name],A1382,expected_production[Date],B1382)),"")</f>
        <v>12369.6</v>
      </c>
      <c r="E1382" s="9" t="str">
        <f t="shared" si="44"/>
        <v/>
      </c>
      <c r="F1382" t="str">
        <f t="shared" si="45"/>
        <v/>
      </c>
    </row>
    <row r="1383" spans="1:6" ht="15" hidden="1" customHeight="1" x14ac:dyDescent="0.3">
      <c r="A1383" t="s">
        <v>222</v>
      </c>
      <c r="B1383" s="2">
        <v>45689</v>
      </c>
      <c r="C1383" t="str" cm="1">
        <f t="array" ref="C1383">IFERROR(IF(SUMPRODUCT((measured[Site Name]=A1383)*(measured[Date]=B1383)*ISNUMBER(measured[Measured Value (kWh)]))=0,"",SUMIFS(measured[Measured Value (kWh)],measured[Site Name],A1383,measured[Date],B1383)),"")</f>
        <v/>
      </c>
      <c r="D1383" cm="1">
        <f t="array" ref="D1383">IFERROR(IF(SUMPRODUCT((expected_production[Site Name]=A1383)*(expected_production[Date]=B1383)*ISNUMBER(expected_production[Expected Production (kWh)]))=0,"",SUMIFS(expected_production[Expected Production (kWh)],expected_production[Site Name],A1383,expected_production[Date],B1383)),"")</f>
        <v>10801.8</v>
      </c>
      <c r="E1383" s="9" t="str">
        <f t="shared" si="44"/>
        <v/>
      </c>
      <c r="F1383" t="str">
        <f t="shared" si="45"/>
        <v/>
      </c>
    </row>
    <row r="1384" spans="1:6" ht="15" hidden="1" customHeight="1" x14ac:dyDescent="0.3">
      <c r="A1384" t="s">
        <v>222</v>
      </c>
      <c r="B1384" s="2">
        <v>45717</v>
      </c>
      <c r="C1384" t="str" cm="1">
        <f t="array" ref="C1384">IFERROR(IF(SUMPRODUCT((measured[Site Name]=A1384)*(measured[Date]=B1384)*ISNUMBER(measured[Measured Value (kWh)]))=0,"",SUMIFS(measured[Measured Value (kWh)],measured[Site Name],A1384,measured[Date],B1384)),"")</f>
        <v/>
      </c>
      <c r="D1384" cm="1">
        <f t="array" ref="D1384">IFERROR(IF(SUMPRODUCT((expected_production[Site Name]=A1384)*(expected_production[Date]=B1384)*ISNUMBER(expected_production[Expected Production (kWh)]))=0,"",SUMIFS(expected_production[Expected Production (kWh)],expected_production[Site Name],A1384,expected_production[Date],B1384)),"")</f>
        <v>10537.2</v>
      </c>
      <c r="E1384" s="9" t="str">
        <f t="shared" si="44"/>
        <v/>
      </c>
      <c r="F1384" t="str">
        <f t="shared" si="45"/>
        <v/>
      </c>
    </row>
    <row r="1385" spans="1:6" ht="15" hidden="1" customHeight="1" x14ac:dyDescent="0.3">
      <c r="A1385" t="s">
        <v>222</v>
      </c>
      <c r="B1385" s="2">
        <v>45748</v>
      </c>
      <c r="C1385" t="str" cm="1">
        <f t="array" ref="C1385">IFERROR(IF(SUMPRODUCT((measured[Site Name]=A1385)*(measured[Date]=B1385)*ISNUMBER(measured[Measured Value (kWh)]))=0,"",SUMIFS(measured[Measured Value (kWh)],measured[Site Name],A1385,measured[Date],B1385)),"")</f>
        <v/>
      </c>
      <c r="D1385" cm="1">
        <f t="array" ref="D1385">IFERROR(IF(SUMPRODUCT((expected_production[Site Name]=A1385)*(expected_production[Date]=B1385)*ISNUMBER(expected_production[Expected Production (kWh)]))=0,"",SUMIFS(expected_production[Expected Production (kWh)],expected_production[Site Name],A1385,expected_production[Date],B1385)),"")</f>
        <v>9173.7000000000007</v>
      </c>
      <c r="E1385" s="9" t="str">
        <f t="shared" si="44"/>
        <v/>
      </c>
      <c r="F1385" t="str">
        <f t="shared" si="45"/>
        <v/>
      </c>
    </row>
    <row r="1386" spans="1:6" ht="15" hidden="1" customHeight="1" x14ac:dyDescent="0.3">
      <c r="A1386" t="s">
        <v>222</v>
      </c>
      <c r="B1386" s="2">
        <v>45778</v>
      </c>
      <c r="C1386" t="str" cm="1">
        <f t="array" ref="C1386">IFERROR(IF(SUMPRODUCT((measured[Site Name]=A1386)*(measured[Date]=B1386)*ISNUMBER(measured[Measured Value (kWh)]))=0,"",SUMIFS(measured[Measured Value (kWh)],measured[Site Name],A1386,measured[Date],B1386)),"")</f>
        <v/>
      </c>
      <c r="D1386" cm="1">
        <f t="array" ref="D1386">IFERROR(IF(SUMPRODUCT((expected_production[Site Name]=A1386)*(expected_production[Date]=B1386)*ISNUMBER(expected_production[Expected Production (kWh)]))=0,"",SUMIFS(expected_production[Expected Production (kWh)],expected_production[Site Name],A1386,expected_production[Date],B1386)),"")</f>
        <v>8503.2000000000007</v>
      </c>
      <c r="E1386" s="9" t="str">
        <f t="shared" si="44"/>
        <v/>
      </c>
      <c r="F1386" t="str">
        <f t="shared" si="45"/>
        <v/>
      </c>
    </row>
    <row r="1387" spans="1:6" ht="15" hidden="1" customHeight="1" x14ac:dyDescent="0.3">
      <c r="A1387" t="s">
        <v>222</v>
      </c>
      <c r="B1387" s="2">
        <v>45809</v>
      </c>
      <c r="C1387" t="str" cm="1">
        <f t="array" ref="C1387">IFERROR(IF(SUMPRODUCT((measured[Site Name]=A1387)*(measured[Date]=B1387)*ISNUMBER(measured[Measured Value (kWh)]))=0,"",SUMIFS(measured[Measured Value (kWh)],measured[Site Name],A1387,measured[Date],B1387)),"")</f>
        <v/>
      </c>
      <c r="D1387" cm="1">
        <f t="array" ref="D1387">IFERROR(IF(SUMPRODUCT((expected_production[Site Name]=A1387)*(expected_production[Date]=B1387)*ISNUMBER(expected_production[Expected Production (kWh)]))=0,"",SUMIFS(expected_production[Expected Production (kWh)],expected_production[Site Name],A1387,expected_production[Date],B1387)),"")</f>
        <v>7545.6</v>
      </c>
      <c r="E1387" s="9" t="str">
        <f t="shared" si="44"/>
        <v/>
      </c>
      <c r="F1387" t="str">
        <f t="shared" si="45"/>
        <v/>
      </c>
    </row>
    <row r="1388" spans="1:6" ht="15" hidden="1" customHeight="1" x14ac:dyDescent="0.3">
      <c r="A1388" t="s">
        <v>222</v>
      </c>
      <c r="B1388" s="2">
        <v>45839</v>
      </c>
      <c r="C1388" t="str" cm="1">
        <f t="array" ref="C1388">IFERROR(IF(SUMPRODUCT((measured[Site Name]=A1388)*(measured[Date]=B1388)*ISNUMBER(measured[Measured Value (kWh)]))=0,"",SUMIFS(measured[Measured Value (kWh)],measured[Site Name],A1388,measured[Date],B1388)),"")</f>
        <v/>
      </c>
      <c r="D1388" cm="1">
        <f t="array" ref="D1388">IFERROR(IF(SUMPRODUCT((expected_production[Site Name]=A1388)*(expected_production[Date]=B1388)*ISNUMBER(expected_production[Expected Production (kWh)]))=0,"",SUMIFS(expected_production[Expected Production (kWh)],expected_production[Site Name],A1388,expected_production[Date],B1388)),"")</f>
        <v>8307</v>
      </c>
      <c r="E1388" s="9" t="str">
        <f t="shared" si="44"/>
        <v/>
      </c>
      <c r="F1388" t="str">
        <f t="shared" si="45"/>
        <v/>
      </c>
    </row>
    <row r="1389" spans="1:6" ht="15" hidden="1" customHeight="1" x14ac:dyDescent="0.3">
      <c r="A1389" t="s">
        <v>222</v>
      </c>
      <c r="B1389" s="2">
        <v>45870</v>
      </c>
      <c r="C1389" t="str" cm="1">
        <f t="array" ref="C1389">IFERROR(IF(SUMPRODUCT((measured[Site Name]=A1389)*(measured[Date]=B1389)*ISNUMBER(measured[Measured Value (kWh)]))=0,"",SUMIFS(measured[Measured Value (kWh)],measured[Site Name],A1389,measured[Date],B1389)),"")</f>
        <v/>
      </c>
      <c r="D1389" cm="1">
        <f t="array" ref="D1389">IFERROR(IF(SUMPRODUCT((expected_production[Site Name]=A1389)*(expected_production[Date]=B1389)*ISNUMBER(expected_production[Expected Production (kWh)]))=0,"",SUMIFS(expected_production[Expected Production (kWh)],expected_production[Site Name],A1389,expected_production[Date],B1389)),"")</f>
        <v>9720.9</v>
      </c>
      <c r="E1389" s="9" t="str">
        <f t="shared" si="44"/>
        <v/>
      </c>
      <c r="F1389" t="str">
        <f t="shared" si="45"/>
        <v/>
      </c>
    </row>
    <row r="1390" spans="1:6" ht="15" hidden="1" customHeight="1" x14ac:dyDescent="0.3">
      <c r="A1390" t="s">
        <v>222</v>
      </c>
      <c r="B1390" s="2">
        <v>45901</v>
      </c>
      <c r="C1390" t="str" cm="1">
        <f t="array" ref="C1390">IFERROR(IF(SUMPRODUCT((measured[Site Name]=A1390)*(measured[Date]=B1390)*ISNUMBER(measured[Measured Value (kWh)]))=0,"",SUMIFS(measured[Measured Value (kWh)],measured[Site Name],A1390,measured[Date],B1390)),"")</f>
        <v/>
      </c>
      <c r="D1390" cm="1">
        <f t="array" ref="D1390">IFERROR(IF(SUMPRODUCT((expected_production[Site Name]=A1390)*(expected_production[Date]=B1390)*ISNUMBER(expected_production[Expected Production (kWh)]))=0,"",SUMIFS(expected_production[Expected Production (kWh)],expected_production[Site Name],A1390,expected_production[Date],B1390)),"")</f>
        <v>10755.9</v>
      </c>
      <c r="E1390" s="9" t="str">
        <f t="shared" si="44"/>
        <v/>
      </c>
      <c r="F1390" t="str">
        <f t="shared" si="45"/>
        <v/>
      </c>
    </row>
    <row r="1391" spans="1:6" ht="15" hidden="1" customHeight="1" x14ac:dyDescent="0.3">
      <c r="A1391" t="s">
        <v>222</v>
      </c>
      <c r="B1391" s="2">
        <v>45931</v>
      </c>
      <c r="C1391" cm="1">
        <f t="array" ref="C1391">IFERROR(IF(SUMPRODUCT((measured[Site Name]=A1391)*(measured[Date]=B1391)*ISNUMBER(measured[Measured Value (kWh)]))=0,"",SUMIFS(measured[Measured Value (kWh)],measured[Site Name],A1391,measured[Date],B1391)),"")</f>
        <v>11800</v>
      </c>
      <c r="D1391" cm="1">
        <f t="array" ref="D1391">IFERROR(IF(SUMPRODUCT((expected_production[Site Name]=A1391)*(expected_production[Date]=B1391)*ISNUMBER(expected_production[Expected Production (kWh)]))=0,"",SUMIFS(expected_production[Expected Production (kWh)],expected_production[Site Name],A1391,expected_production[Date],B1391)),"")</f>
        <v>12188.858946938706</v>
      </c>
      <c r="E1391" s="9">
        <f t="shared" si="44"/>
        <v>0.96809718213726892</v>
      </c>
      <c r="F1391" t="str">
        <f t="shared" si="45"/>
        <v>Expected</v>
      </c>
    </row>
    <row r="1392" spans="1:6" ht="15" hidden="1" customHeight="1" x14ac:dyDescent="0.3">
      <c r="A1392" t="s">
        <v>222</v>
      </c>
      <c r="B1392" s="2">
        <v>45962</v>
      </c>
      <c r="C1392" cm="1">
        <f t="array" ref="C1392">IFERROR(IF(SUMPRODUCT((measured[Site Name]=A1392)*(measured[Date]=B1392)*ISNUMBER(measured[Measured Value (kWh)]))=0,"",SUMIFS(measured[Measured Value (kWh)],measured[Site Name],A1392,measured[Date],B1392)),"")</f>
        <v>9938</v>
      </c>
      <c r="D1392" cm="1">
        <f t="array" ref="D1392">IFERROR(IF(SUMPRODUCT((expected_production[Site Name]=A1392)*(expected_production[Date]=B1392)*ISNUMBER(expected_production[Expected Production (kWh)]))=0,"",SUMIFS(expected_production[Expected Production (kWh)],expected_production[Site Name],A1392,expected_production[Date],B1392)),"")</f>
        <v>12254.440823324096</v>
      </c>
      <c r="E1392" s="9">
        <f t="shared" si="44"/>
        <v>0.81097131589103821</v>
      </c>
      <c r="F1392" t="str">
        <f t="shared" si="45"/>
        <v>Moderate</v>
      </c>
    </row>
    <row r="1393" spans="1:7" ht="15" hidden="1" customHeight="1" x14ac:dyDescent="0.3">
      <c r="A1393" t="s">
        <v>222</v>
      </c>
      <c r="B1393" s="2">
        <v>45992</v>
      </c>
      <c r="C1393" cm="1">
        <f t="array" ref="C1393">IFERROR(IF(SUMPRODUCT((measured[Site Name]=A1393)*(measured[Date]=B1393)*ISNUMBER(measured[Measured Value (kWh)]))=0,"",SUMIFS(measured[Measured Value (kWh)],measured[Site Name],A1393,measured[Date],B1393)),"")</f>
        <v>9094</v>
      </c>
      <c r="D1393" cm="1">
        <f t="array" ref="D1393">IFERROR(IF(SUMPRODUCT((expected_production[Site Name]=A1393)*(expected_production[Date]=B1393)*ISNUMBER(expected_production[Expected Production (kWh)]))=0,"",SUMIFS(expected_production[Expected Production (kWh)],expected_production[Site Name],A1393,expected_production[Date],B1393)),"")</f>
        <v>12523.311303851551</v>
      </c>
      <c r="E1393" s="9">
        <f t="shared" si="44"/>
        <v>0.72616577032650587</v>
      </c>
      <c r="F1393" t="str">
        <f t="shared" si="45"/>
        <v>Moderate</v>
      </c>
    </row>
    <row r="1394" spans="1:7" ht="15" hidden="1" customHeight="1" x14ac:dyDescent="0.3">
      <c r="A1394" t="s">
        <v>222</v>
      </c>
      <c r="B1394" s="2">
        <v>46023</v>
      </c>
      <c r="C1394" cm="1">
        <f t="array" ref="C1394">IFERROR(IF(SUMPRODUCT((measured[Site Name]=A1394)*(measured[Date]=B1394)*ISNUMBER(measured[Measured Value (kWh)]))=0,"",SUMIFS(measured[Measured Value (kWh)],measured[Site Name],A1394,measured[Date],B1394)),"")</f>
        <v>11835.67402</v>
      </c>
      <c r="D1394" cm="1">
        <f t="array" ref="D1394">IFERROR(IF(SUMPRODUCT((expected_production[Site Name]=A1394)*(expected_production[Date]=B1394)*ISNUMBER(expected_production[Expected Production (kWh)]))=0,"",SUMIFS(expected_production[Expected Production (kWh)],expected_production[Site Name],A1394,expected_production[Date],B1394)),"")</f>
        <v>12346.070658909113</v>
      </c>
      <c r="E1394" s="9">
        <f t="shared" si="44"/>
        <v>0.95865918371844061</v>
      </c>
      <c r="F1394" t="str">
        <f t="shared" si="45"/>
        <v>Expected</v>
      </c>
    </row>
    <row r="1395" spans="1:7" ht="15" hidden="1" customHeight="1" x14ac:dyDescent="0.3">
      <c r="A1395" t="s">
        <v>222</v>
      </c>
      <c r="B1395" s="2">
        <v>46054</v>
      </c>
      <c r="C1395" cm="1">
        <f t="array" ref="C1395">IFERROR(IF(SUMPRODUCT((measured[Site Name]=A1395)*(measured[Date]=B1395)*ISNUMBER(measured[Measured Value (kWh)]))=0,"",SUMIFS(measured[Measured Value (kWh)],measured[Site Name],A1395,measured[Date],B1395)),"")</f>
        <v>9479.8287500000097</v>
      </c>
      <c r="D1395" cm="1">
        <f t="array" ref="D1395">IFERROR(IF(SUMPRODUCT((expected_production[Site Name]=A1395)*(expected_production[Date]=B1395)*ISNUMBER(expected_production[Expected Production (kWh)]))=0,"",SUMIFS(expected_production[Expected Production (kWh)],expected_production[Site Name],A1395,expected_production[Date],B1395)),"")</f>
        <v>10774.827016739244</v>
      </c>
      <c r="E1395" s="9">
        <f t="shared" si="44"/>
        <v>0.87981261650628928</v>
      </c>
      <c r="F1395" t="str">
        <f t="shared" si="45"/>
        <v>Moderate</v>
      </c>
    </row>
    <row r="1396" spans="1:7" ht="15" hidden="1" customHeight="1" x14ac:dyDescent="0.3">
      <c r="A1396" t="s">
        <v>222</v>
      </c>
      <c r="B1396" s="2">
        <v>46082</v>
      </c>
      <c r="C1396" cm="1">
        <f t="array" ref="C1396">IFERROR(IF(SUMPRODUCT((measured[Site Name]=A1396)*(measured[Date]=B1396)*ISNUMBER(measured[Measured Value (kWh)]))=0,"",SUMIFS(measured[Measured Value (kWh)],measured[Site Name],A1396,measured[Date],B1396)),"")</f>
        <v>9043</v>
      </c>
      <c r="D1396" cm="1">
        <f t="array" ref="D1396">IFERROR(IF(SUMPRODUCT((expected_production[Site Name]=A1396)*(expected_production[Date]=B1396)*ISNUMBER(expected_production[Expected Production (kWh)]))=0,"",SUMIFS(expected_production[Expected Production (kWh)],expected_production[Site Name],A1396,expected_production[Date],B1396)),"")</f>
        <v>10505.229095164099</v>
      </c>
      <c r="E1396" s="9">
        <f t="shared" si="44"/>
        <v>0.8608094043529988</v>
      </c>
      <c r="F1396" t="str">
        <f t="shared" si="45"/>
        <v>Moderate</v>
      </c>
    </row>
    <row r="1397" spans="1:7" ht="15" hidden="1" customHeight="1" x14ac:dyDescent="0.3">
      <c r="A1397" t="s">
        <v>222</v>
      </c>
      <c r="B1397" s="2">
        <v>46113</v>
      </c>
      <c r="C1397" cm="1">
        <f t="array" ref="C1397">IFERROR(IF(SUMPRODUCT((measured[Site Name]=A1397)*(measured[Date]=B1397)*ISNUMBER(measured[Measured Value (kWh)]))=0,"",SUMIFS(measured[Measured Value (kWh)],measured[Site Name],A1397,measured[Date],B1397)),"")</f>
        <v>7039.32</v>
      </c>
      <c r="D1397" cm="1">
        <f t="array" ref="D1397">IFERROR(IF(SUMPRODUCT((expected_production[Site Name]=A1397)*(expected_production[Date]=B1397)*ISNUMBER(expected_production[Expected Production (kWh)]))=0,"",SUMIFS(expected_production[Expected Production (kWh)],expected_production[Site Name],A1397,expected_production[Date],B1397)),"")</f>
        <v>9140.4149231760857</v>
      </c>
      <c r="E1397" s="9">
        <f t="shared" si="44"/>
        <v>0.77013134077221923</v>
      </c>
      <c r="F1397" t="str">
        <f t="shared" si="45"/>
        <v>Moderate</v>
      </c>
    </row>
    <row r="1398" spans="1:7" ht="15" hidden="1" customHeight="1" x14ac:dyDescent="0.3">
      <c r="A1398" t="s">
        <v>222</v>
      </c>
      <c r="B1398" s="2">
        <v>46143</v>
      </c>
      <c r="C1398" cm="1">
        <f t="array" ref="C1398">IFERROR(IF(SUMPRODUCT((measured[Site Name]=A1398)*(measured[Date]=B1398)*ISNUMBER(measured[Measured Value (kWh)]))=0,"",SUMIFS(measured[Measured Value (kWh)],measured[Site Name],A1398,measured[Date],B1398)),"")</f>
        <v>8144.81</v>
      </c>
      <c r="D1398" cm="1">
        <f t="array" ref="D1398">IFERROR(IF(SUMPRODUCT((expected_production[Site Name]=A1398)*(expected_production[Date]=B1398)*ISNUMBER(expected_production[Expected Production (kWh)]))=0,"",SUMIFS(expected_production[Expected Production (kWh)],expected_production[Site Name],A1398,expected_production[Date],B1398)),"")</f>
        <v>8467.4608245024319</v>
      </c>
      <c r="E1398" s="9">
        <f t="shared" si="44"/>
        <v>0.96189520906092985</v>
      </c>
      <c r="F1398" t="str">
        <f t="shared" si="45"/>
        <v>Expected</v>
      </c>
    </row>
    <row r="1399" spans="1:7" ht="15" hidden="1" customHeight="1" x14ac:dyDescent="0.3">
      <c r="A1399" t="s">
        <v>222</v>
      </c>
      <c r="B1399" s="2">
        <v>46174</v>
      </c>
      <c r="C1399" cm="1">
        <f t="array" ref="C1399">IFERROR(IF(SUMPRODUCT((measured[Site Name]=A1399)*(measured[Date]=B1399)*ISNUMBER(measured[Measured Value (kWh)]))=0,"",SUMIFS(measured[Measured Value (kWh)],measured[Site Name],A1399,measured[Date],B1399)),"")</f>
        <v>5600</v>
      </c>
      <c r="D1399" cm="1">
        <f t="array" ref="D1399">IFERROR(IF(SUMPRODUCT((expected_production[Site Name]=A1399)*(expected_production[Date]=B1399)*ISNUMBER(expected_production[Expected Production (kWh)]))=0,"",SUMIFS(expected_production[Expected Production (kWh)],expected_production[Site Name],A1399,expected_production[Date],B1399)),"")</f>
        <v>7509.4071784508033</v>
      </c>
      <c r="E1399" s="9">
        <f t="shared" si="44"/>
        <v>0.74573130300750112</v>
      </c>
      <c r="F1399" t="str">
        <f t="shared" si="45"/>
        <v>Moderate</v>
      </c>
    </row>
    <row r="1400" spans="1:7" ht="15" hidden="1" customHeight="1" x14ac:dyDescent="0.3">
      <c r="A1400" t="s">
        <v>134</v>
      </c>
      <c r="B1400" s="2">
        <v>46204</v>
      </c>
      <c r="C1400" cm="1">
        <f t="array" ref="C1400">IFERROR(IF(SUMPRODUCT((measured[Site Name]=A1400)*(measured[Date]=B1400)*ISNUMBER(measured[Measured Value (kWh)]))=0,"",SUMIFS(measured[Measured Value (kWh)],measured[Site Name],A1400,measured[Date],B1400)),"")</f>
        <v>27326.29</v>
      </c>
      <c r="D1400" cm="1">
        <f t="array" ref="D1400">IFERROR(IF(SUMPRODUCT((expected_production[Site Name]=A1400)*(expected_production[Date]=B1400)*ISNUMBER(expected_production[Expected Production (kWh)]))=0,"",SUMIFS(expected_production[Expected Production (kWh)],expected_production[Site Name],A1400,expected_production[Date],B1400)),"")</f>
        <v>27900.216565541741</v>
      </c>
      <c r="E1400" s="9">
        <f t="shared" si="44"/>
        <v>0.97942931503081698</v>
      </c>
      <c r="F1400" t="str">
        <f t="shared" si="45"/>
        <v>Expected</v>
      </c>
      <c r="G1400" t="s">
        <v>874</v>
      </c>
    </row>
    <row r="1401" spans="1:7" ht="15" hidden="1" customHeight="1" x14ac:dyDescent="0.3">
      <c r="A1401" t="s">
        <v>222</v>
      </c>
      <c r="B1401" s="2">
        <v>46235</v>
      </c>
      <c r="C1401" cm="1">
        <f t="array" ref="C1401">IFERROR(IF(SUMPRODUCT((measured[Site Name]=A1401)*(measured[Date]=B1401)*ISNUMBER(measured[Measured Value (kWh)]))=0,"",SUMIFS(measured[Measured Value (kWh)],measured[Site Name],A1401,measured[Date],B1401)),"")</f>
        <v>9590.4248599999992</v>
      </c>
      <c r="D1401" cm="1">
        <f t="array" ref="D1401">IFERROR(IF(SUMPRODUCT((expected_production[Site Name]=A1401)*(expected_production[Date]=B1401)*ISNUMBER(expected_production[Expected Production (kWh)]))=0,"",SUMIFS(expected_production[Expected Production (kWh)],expected_production[Site Name],A1401,expected_production[Date],B1401)),"")</f>
        <v>9662.930307584993</v>
      </c>
      <c r="E1401" s="9">
        <f t="shared" si="44"/>
        <v>0.99249653621861678</v>
      </c>
      <c r="F1401" t="str">
        <f t="shared" si="45"/>
        <v>Expected</v>
      </c>
      <c r="G1401" t="s">
        <v>874</v>
      </c>
    </row>
    <row r="1402" spans="1:7" ht="15" customHeight="1" x14ac:dyDescent="0.3">
      <c r="A1402" t="s">
        <v>194</v>
      </c>
      <c r="B1402" s="2">
        <v>46266</v>
      </c>
      <c r="C1402" cm="1">
        <f t="array" ref="C1402">IFERROR(IF(SUMPRODUCT((measured[Site Name]=A1402)*(measured[Date]=B1402)*ISNUMBER(measured[Measured Value (kWh)]))=0,"",SUMIFS(measured[Measured Value (kWh)],measured[Site Name],A1402,measured[Date],B1402)),"")</f>
        <v>4853.26</v>
      </c>
      <c r="D1402" cm="1">
        <f t="array" ref="D1402">IFERROR(IF(SUMPRODUCT((expected_production[Site Name]=A1402)*(expected_production[Date]=B1402)*ISNUMBER(expected_production[Expected Production (kWh)]))=0,"",SUMIFS(expected_production[Expected Production (kWh)],expected_production[Site Name],A1402,expected_production[Date],B1402)),"")</f>
        <v>6201.3597513117256</v>
      </c>
      <c r="E1402" s="9">
        <f t="shared" si="44"/>
        <v>0.78261223257906098</v>
      </c>
      <c r="F1402" t="str">
        <f t="shared" si="45"/>
        <v>Moderate</v>
      </c>
      <c r="G1402" t="s">
        <v>874</v>
      </c>
    </row>
    <row r="1403" spans="1:7" ht="15" hidden="1" customHeight="1" x14ac:dyDescent="0.3">
      <c r="A1403" t="s">
        <v>222</v>
      </c>
      <c r="B1403" s="2">
        <v>46296</v>
      </c>
      <c r="C1403" t="str" cm="1">
        <f t="array" ref="C1403">IFERROR(IF(SUMPRODUCT((measured[Site Name]=A1403)*(measured[Date]=B1403)*ISNUMBER(measured[Measured Value (kWh)]))=0,"",SUMIFS(measured[Measured Value (kWh)],measured[Site Name],A1403,measured[Date],B1403)),"")</f>
        <v/>
      </c>
      <c r="D1403" cm="1">
        <f t="array" ref="D1403">IFERROR(IF(SUMPRODUCT((expected_production[Site Name]=A1403)*(expected_production[Date]=B1403)*ISNUMBER(expected_production[Expected Production (kWh)]))=0,"",SUMIFS(expected_production[Expected Production (kWh)],expected_production[Site Name],A1403,expected_production[Date],B1403)),"")</f>
        <v>12103.595129307218</v>
      </c>
      <c r="E1403" s="9" t="str">
        <f t="shared" si="44"/>
        <v/>
      </c>
      <c r="F1403" t="str">
        <f t="shared" si="45"/>
        <v/>
      </c>
    </row>
    <row r="1404" spans="1:7" ht="15" hidden="1" customHeight="1" x14ac:dyDescent="0.3">
      <c r="A1404" t="s">
        <v>222</v>
      </c>
      <c r="B1404" s="2">
        <v>46327</v>
      </c>
      <c r="C1404" t="str" cm="1">
        <f t="array" ref="C1404">IFERROR(IF(SUMPRODUCT((measured[Site Name]=A1404)*(measured[Date]=B1404)*ISNUMBER(measured[Measured Value (kWh)]))=0,"",SUMIFS(measured[Measured Value (kWh)],measured[Site Name],A1404,measured[Date],B1404)),"")</f>
        <v/>
      </c>
      <c r="D1404" cm="1">
        <f t="array" ref="D1404">IFERROR(IF(SUMPRODUCT((expected_production[Site Name]=A1404)*(expected_production[Date]=B1404)*ISNUMBER(expected_production[Expected Production (kWh)]))=0,"",SUMIFS(expected_production[Expected Production (kWh)],expected_production[Site Name],A1404,expected_production[Date],B1404)),"")</f>
        <v>12168.718245674758</v>
      </c>
      <c r="E1404" s="9" t="str">
        <f t="shared" si="44"/>
        <v/>
      </c>
      <c r="F1404" t="str">
        <f t="shared" si="45"/>
        <v/>
      </c>
    </row>
    <row r="1405" spans="1:7" ht="15" hidden="1" customHeight="1" x14ac:dyDescent="0.3">
      <c r="A1405" t="s">
        <v>222</v>
      </c>
      <c r="B1405" s="2">
        <v>46357</v>
      </c>
      <c r="C1405" t="str" cm="1">
        <f t="array" ref="C1405">IFERROR(IF(SUMPRODUCT((measured[Site Name]=A1405)*(measured[Date]=B1405)*ISNUMBER(measured[Measured Value (kWh)]))=0,"",SUMIFS(measured[Measured Value (kWh)],measured[Site Name],A1405,measured[Date],B1405)),"")</f>
        <v/>
      </c>
      <c r="D1405" cm="1">
        <f t="array" ref="D1405">IFERROR(IF(SUMPRODUCT((expected_production[Site Name]=A1405)*(expected_production[Date]=B1405)*ISNUMBER(expected_production[Expected Production (kWh)]))=0,"",SUMIFS(expected_production[Expected Production (kWh)],expected_production[Site Name],A1405,expected_production[Date],B1405)),"")</f>
        <v>12435.70791654497</v>
      </c>
      <c r="E1405" s="9" t="str">
        <f t="shared" si="44"/>
        <v/>
      </c>
      <c r="F1405" t="str">
        <f t="shared" si="45"/>
        <v/>
      </c>
    </row>
    <row r="1406" spans="1:7" ht="15" hidden="1" customHeight="1" x14ac:dyDescent="0.3">
      <c r="A1406" t="s">
        <v>142</v>
      </c>
      <c r="B1406" s="2">
        <v>45292</v>
      </c>
      <c r="C1406" cm="1">
        <f t="array" ref="C1406">IFERROR(IF(SUMPRODUCT((measured[Site Name]=A1406)*(measured[Date]=B1406)*ISNUMBER(measured[Measured Value (kWh)]))=0,"",SUMIFS(measured[Measured Value (kWh)],measured[Site Name],A1406,measured[Date],B1406)),"")</f>
        <v>337</v>
      </c>
      <c r="D1406" cm="1">
        <f t="array" ref="D1406">IFERROR(IF(SUMPRODUCT((expected_production[Site Name]=A1406)*(expected_production[Date]=B1406)*ISNUMBER(expected_production[Expected Production (kWh)]))=0,"",SUMIFS(expected_production[Expected Production (kWh)],expected_production[Site Name],A1406,expected_production[Date],B1406)),"")</f>
        <v>5672.4123127778821</v>
      </c>
      <c r="E1406" s="9">
        <f t="shared" si="44"/>
        <v>5.9410349850778928E-2</v>
      </c>
      <c r="F1406" t="str">
        <f t="shared" si="45"/>
        <v>Poor</v>
      </c>
    </row>
    <row r="1407" spans="1:7" ht="15" hidden="1" customHeight="1" x14ac:dyDescent="0.3">
      <c r="A1407" t="s">
        <v>142</v>
      </c>
      <c r="B1407" s="2">
        <v>45323</v>
      </c>
      <c r="C1407" cm="1">
        <f t="array" ref="C1407">IFERROR(IF(SUMPRODUCT((measured[Site Name]=A1407)*(measured[Date]=B1407)*ISNUMBER(measured[Measured Value (kWh)]))=0,"",SUMIFS(measured[Measured Value (kWh)],measured[Site Name],A1407,measured[Date],B1407)),"")</f>
        <v>4222</v>
      </c>
      <c r="D1407" cm="1">
        <f t="array" ref="D1407">IFERROR(IF(SUMPRODUCT((expected_production[Site Name]=A1407)*(expected_production[Date]=B1407)*ISNUMBER(expected_production[Expected Production (kWh)]))=0,"",SUMIFS(expected_production[Expected Production (kWh)],expected_production[Site Name],A1407,expected_production[Date],B1407)),"")</f>
        <v>4767.1196556375544</v>
      </c>
      <c r="E1407" s="9">
        <f t="shared" si="44"/>
        <v>0.88565010005719058</v>
      </c>
      <c r="F1407" t="str">
        <f t="shared" si="45"/>
        <v>Moderate</v>
      </c>
    </row>
    <row r="1408" spans="1:7" ht="15" hidden="1" customHeight="1" x14ac:dyDescent="0.3">
      <c r="A1408" t="s">
        <v>142</v>
      </c>
      <c r="B1408" s="2">
        <v>45352</v>
      </c>
      <c r="C1408" cm="1">
        <f t="array" ref="C1408">IFERROR(IF(SUMPRODUCT((measured[Site Name]=A1408)*(measured[Date]=B1408)*ISNUMBER(measured[Measured Value (kWh)]))=0,"",SUMIFS(measured[Measured Value (kWh)],measured[Site Name],A1408,measured[Date],B1408)),"")</f>
        <v>5410</v>
      </c>
      <c r="D1408" cm="1">
        <f t="array" ref="D1408">IFERROR(IF(SUMPRODUCT((expected_production[Site Name]=A1408)*(expected_production[Date]=B1408)*ISNUMBER(expected_production[Expected Production (kWh)]))=0,"",SUMIFS(expected_production[Expected Production (kWh)],expected_production[Site Name],A1408,expected_production[Date],B1408)),"")</f>
        <v>4918.7325630500081</v>
      </c>
      <c r="E1408" s="9">
        <f t="shared" si="44"/>
        <v>1.0998768342561334</v>
      </c>
      <c r="F1408" t="str">
        <f t="shared" si="45"/>
        <v>Expected</v>
      </c>
    </row>
    <row r="1409" spans="1:6" ht="15" hidden="1" customHeight="1" x14ac:dyDescent="0.3">
      <c r="A1409" t="s">
        <v>142</v>
      </c>
      <c r="B1409" s="2">
        <v>45383</v>
      </c>
      <c r="C1409" cm="1">
        <f t="array" ref="C1409">IFERROR(IF(SUMPRODUCT((measured[Site Name]=A1409)*(measured[Date]=B1409)*ISNUMBER(measured[Measured Value (kWh)]))=0,"",SUMIFS(measured[Measured Value (kWh)],measured[Site Name],A1409,measured[Date],B1409)),"")</f>
        <v>4799</v>
      </c>
      <c r="D1409" cm="1">
        <f t="array" ref="D1409">IFERROR(IF(SUMPRODUCT((expected_production[Site Name]=A1409)*(expected_production[Date]=B1409)*ISNUMBER(expected_production[Expected Production (kWh)]))=0,"",SUMIFS(expected_production[Expected Production (kWh)],expected_production[Site Name],A1409,expected_production[Date],B1409)),"")</f>
        <v>4342.1114950565761</v>
      </c>
      <c r="E1409" s="9">
        <f t="shared" si="44"/>
        <v>1.1052226561808889</v>
      </c>
      <c r="F1409" t="str">
        <f t="shared" si="45"/>
        <v>Expected</v>
      </c>
    </row>
    <row r="1410" spans="1:6" ht="15" hidden="1" customHeight="1" x14ac:dyDescent="0.3">
      <c r="A1410" t="s">
        <v>142</v>
      </c>
      <c r="B1410" s="2">
        <v>45413</v>
      </c>
      <c r="C1410" cm="1">
        <f t="array" ref="C1410">IFERROR(IF(SUMPRODUCT((measured[Site Name]=A1410)*(measured[Date]=B1410)*ISNUMBER(measured[Measured Value (kWh)]))=0,"",SUMIFS(measured[Measured Value (kWh)],measured[Site Name],A1410,measured[Date],B1410)),"")</f>
        <v>4368</v>
      </c>
      <c r="D1410" cm="1">
        <f t="array" ref="D1410">IFERROR(IF(SUMPRODUCT((expected_production[Site Name]=A1410)*(expected_production[Date]=B1410)*ISNUMBER(expected_production[Expected Production (kWh)]))=0,"",SUMIFS(expected_production[Expected Production (kWh)],expected_production[Site Name],A1410,expected_production[Date],B1410)),"")</f>
        <v>4174.7663865462173</v>
      </c>
      <c r="E1410" s="9">
        <f t="shared" si="44"/>
        <v>1.0462860901813587</v>
      </c>
      <c r="F1410" t="str">
        <f t="shared" si="45"/>
        <v>Expected</v>
      </c>
    </row>
    <row r="1411" spans="1:6" ht="15" hidden="1" customHeight="1" x14ac:dyDescent="0.3">
      <c r="A1411" t="s">
        <v>142</v>
      </c>
      <c r="B1411" s="2">
        <v>45444</v>
      </c>
      <c r="C1411" cm="1">
        <f t="array" ref="C1411">IFERROR(IF(SUMPRODUCT((measured[Site Name]=A1411)*(measured[Date]=B1411)*ISNUMBER(measured[Measured Value (kWh)]))=0,"",SUMIFS(measured[Measured Value (kWh)],measured[Site Name],A1411,measured[Date],B1411)),"")</f>
        <v>3307</v>
      </c>
      <c r="D1411" cm="1">
        <f t="array" ref="D1411">IFERROR(IF(SUMPRODUCT((expected_production[Site Name]=A1411)*(expected_production[Date]=B1411)*ISNUMBER(expected_production[Expected Production (kWh)]))=0,"",SUMIFS(expected_production[Expected Production (kWh)],expected_production[Site Name],A1411,expected_production[Date],B1411)),"")</f>
        <v>3798.9219029459723</v>
      </c>
      <c r="E1411" s="9">
        <f t="shared" si="44"/>
        <v>0.8705101301070447</v>
      </c>
      <c r="F1411" t="str">
        <f t="shared" si="45"/>
        <v>Moderate</v>
      </c>
    </row>
    <row r="1412" spans="1:6" ht="15" hidden="1" customHeight="1" x14ac:dyDescent="0.3">
      <c r="A1412" t="s">
        <v>142</v>
      </c>
      <c r="B1412" s="2">
        <v>45474</v>
      </c>
      <c r="C1412" cm="1">
        <f t="array" ref="C1412">IFERROR(IF(SUMPRODUCT((measured[Site Name]=A1412)*(measured[Date]=B1412)*ISNUMBER(measured[Measured Value (kWh)]))=0,"",SUMIFS(measured[Measured Value (kWh)],measured[Site Name],A1412,measured[Date],B1412)),"")</f>
        <v>3819</v>
      </c>
      <c r="D1412" cm="1">
        <f t="array" ref="D1412">IFERROR(IF(SUMPRODUCT((expected_production[Site Name]=A1412)*(expected_production[Date]=B1412)*ISNUMBER(expected_production[Expected Production (kWh)]))=0,"",SUMIFS(expected_production[Expected Production (kWh)],expected_production[Site Name],A1412,expected_production[Date],B1412)),"")</f>
        <v>4193.1369119823676</v>
      </c>
      <c r="E1412" s="9">
        <f t="shared" si="44"/>
        <v>0.91077398142826471</v>
      </c>
      <c r="F1412" t="str">
        <f t="shared" si="45"/>
        <v>Expected</v>
      </c>
    </row>
    <row r="1413" spans="1:6" ht="15" hidden="1" customHeight="1" x14ac:dyDescent="0.3">
      <c r="A1413" t="s">
        <v>142</v>
      </c>
      <c r="B1413" s="2">
        <v>45505</v>
      </c>
      <c r="C1413" cm="1">
        <f t="array" ref="C1413">IFERROR(IF(SUMPRODUCT((measured[Site Name]=A1413)*(measured[Date]=B1413)*ISNUMBER(measured[Measured Value (kWh)]))=0,"",SUMIFS(measured[Measured Value (kWh)],measured[Site Name],A1413,measured[Date],B1413)),"")</f>
        <v>5147</v>
      </c>
      <c r="D1413" cm="1">
        <f t="array" ref="D1413">IFERROR(IF(SUMPRODUCT((expected_production[Site Name]=A1413)*(expected_production[Date]=B1413)*ISNUMBER(expected_production[Expected Production (kWh)]))=0,"",SUMIFS(expected_production[Expected Production (kWh)],expected_production[Site Name],A1413,expected_production[Date],B1413)),"")</f>
        <v>4813.9570474027714</v>
      </c>
      <c r="E1413" s="9">
        <f t="shared" si="44"/>
        <v>1.0691827844157671</v>
      </c>
      <c r="F1413" t="str">
        <f t="shared" si="45"/>
        <v>Expected</v>
      </c>
    </row>
    <row r="1414" spans="1:6" ht="15" hidden="1" customHeight="1" x14ac:dyDescent="0.3">
      <c r="A1414" t="s">
        <v>142</v>
      </c>
      <c r="B1414" s="2">
        <v>45536</v>
      </c>
      <c r="C1414" cm="1">
        <f t="array" ref="C1414">IFERROR(IF(SUMPRODUCT((measured[Site Name]=A1414)*(measured[Date]=B1414)*ISNUMBER(measured[Measured Value (kWh)]))=0,"",SUMIFS(measured[Measured Value (kWh)],measured[Site Name],A1414,measured[Date],B1414)),"")</f>
        <v>4101</v>
      </c>
      <c r="D1414" cm="1">
        <f t="array" ref="D1414">IFERROR(IF(SUMPRODUCT((expected_production[Site Name]=A1414)*(expected_production[Date]=B1414)*ISNUMBER(expected_production[Expected Production (kWh)]))=0,"",SUMIFS(expected_production[Expected Production (kWh)],expected_production[Site Name],A1414,expected_production[Date],B1414)),"")</f>
        <v>5263.3282747339335</v>
      </c>
      <c r="E1414" s="9">
        <f t="shared" si="44"/>
        <v>0.77916477672244555</v>
      </c>
      <c r="F1414" t="str">
        <f t="shared" si="45"/>
        <v>Moderate</v>
      </c>
    </row>
    <row r="1415" spans="1:6" ht="15" hidden="1" customHeight="1" x14ac:dyDescent="0.3">
      <c r="A1415" t="s">
        <v>142</v>
      </c>
      <c r="B1415" s="2">
        <v>45566</v>
      </c>
      <c r="C1415" cm="1">
        <f t="array" ref="C1415">IFERROR(IF(SUMPRODUCT((measured[Site Name]=A1415)*(measured[Date]=B1415)*ISNUMBER(measured[Measured Value (kWh)]))=0,"",SUMIFS(measured[Measured Value (kWh)],measured[Site Name],A1415,measured[Date],B1415)),"")</f>
        <v>6591</v>
      </c>
      <c r="D1415" cm="1">
        <f t="array" ref="D1415">IFERROR(IF(SUMPRODUCT((expected_production[Site Name]=A1415)*(expected_production[Date]=B1415)*ISNUMBER(expected_production[Expected Production (kWh)]))=0,"",SUMIFS(expected_production[Expected Production (kWh)],expected_production[Site Name],A1415,expected_production[Date],B1415)),"")</f>
        <v>5624.734424846456</v>
      </c>
      <c r="E1415" s="9">
        <f t="shared" si="44"/>
        <v>1.1717886574137979</v>
      </c>
      <c r="F1415" t="str">
        <f t="shared" si="45"/>
        <v>Expected</v>
      </c>
    </row>
    <row r="1416" spans="1:6" ht="15" hidden="1" customHeight="1" x14ac:dyDescent="0.3">
      <c r="A1416" t="s">
        <v>142</v>
      </c>
      <c r="B1416" s="2">
        <v>45597</v>
      </c>
      <c r="C1416" cm="1">
        <f t="array" ref="C1416">IFERROR(IF(SUMPRODUCT((measured[Site Name]=A1416)*(measured[Date]=B1416)*ISNUMBER(measured[Measured Value (kWh)]))=0,"",SUMIFS(measured[Measured Value (kWh)],measured[Site Name],A1416,measured[Date],B1416)),"")</f>
        <v>4960</v>
      </c>
      <c r="D1416" cm="1">
        <f t="array" ref="D1416">IFERROR(IF(SUMPRODUCT((expected_production[Site Name]=A1416)*(expected_production[Date]=B1416)*ISNUMBER(expected_production[Expected Production (kWh)]))=0,"",SUMIFS(expected_production[Expected Production (kWh)],expected_production[Site Name],A1416,expected_production[Date],B1416)),"")</f>
        <v>5578.5319606063595</v>
      </c>
      <c r="E1416" s="9">
        <f t="shared" si="44"/>
        <v>0.88912280776121466</v>
      </c>
      <c r="F1416" t="str">
        <f t="shared" si="45"/>
        <v>Moderate</v>
      </c>
    </row>
    <row r="1417" spans="1:6" ht="15" hidden="1" customHeight="1" x14ac:dyDescent="0.3">
      <c r="A1417" t="s">
        <v>142</v>
      </c>
      <c r="B1417" s="2">
        <v>45627</v>
      </c>
      <c r="C1417" cm="1">
        <f t="array" ref="C1417">IFERROR(IF(SUMPRODUCT((measured[Site Name]=A1417)*(measured[Date]=B1417)*ISNUMBER(measured[Measured Value (kWh)]))=0,"",SUMIFS(measured[Measured Value (kWh)],measured[Site Name],A1417,measured[Date],B1417)),"")</f>
        <v>652</v>
      </c>
      <c r="D1417" cm="1">
        <f t="array" ref="D1417">IFERROR(IF(SUMPRODUCT((expected_production[Site Name]=A1417)*(expected_production[Date]=B1417)*ISNUMBER(expected_production[Expected Production (kWh)]))=0,"",SUMIFS(expected_production[Expected Production (kWh)],expected_production[Site Name],A1417,expected_production[Date],B1417)),"")</f>
        <v>5943.7899621587394</v>
      </c>
      <c r="E1417" s="9">
        <f t="shared" si="44"/>
        <v>0.10969432031598884</v>
      </c>
      <c r="F1417" t="str">
        <f t="shared" si="45"/>
        <v>Poor</v>
      </c>
    </row>
    <row r="1418" spans="1:6" ht="15" hidden="1" customHeight="1" x14ac:dyDescent="0.3">
      <c r="A1418" t="s">
        <v>142</v>
      </c>
      <c r="B1418" s="2">
        <v>45658</v>
      </c>
      <c r="C1418" cm="1">
        <f t="array" ref="C1418">IFERROR(IF(SUMPRODUCT((measured[Site Name]=A1418)*(measured[Date]=B1418)*ISNUMBER(measured[Measured Value (kWh)]))=0,"",SUMIFS(measured[Measured Value (kWh)],measured[Site Name],A1418,measured[Date],B1418)),"")</f>
        <v>720</v>
      </c>
      <c r="D1418" cm="1">
        <f t="array" ref="D1418">IFERROR(IF(SUMPRODUCT((expected_production[Site Name]=A1418)*(expected_production[Date]=B1418)*ISNUMBER(expected_production[Expected Production (kWh)]))=0,"",SUMIFS(expected_production[Expected Production (kWh)],expected_production[Site Name],A1418,expected_production[Date],B1418)),"")</f>
        <v>5632.6241795631604</v>
      </c>
      <c r="E1418" s="9">
        <f t="shared" si="44"/>
        <v>0.12782674239342554</v>
      </c>
      <c r="F1418" t="str">
        <f t="shared" si="45"/>
        <v>Poor</v>
      </c>
    </row>
    <row r="1419" spans="1:6" ht="15" hidden="1" customHeight="1" x14ac:dyDescent="0.3">
      <c r="A1419" t="s">
        <v>142</v>
      </c>
      <c r="B1419" s="2">
        <v>45689</v>
      </c>
      <c r="C1419" cm="1">
        <f t="array" ref="C1419">IFERROR(IF(SUMPRODUCT((measured[Site Name]=A1419)*(measured[Date]=B1419)*ISNUMBER(measured[Measured Value (kWh)]))=0,"",SUMIFS(measured[Measured Value (kWh)],measured[Site Name],A1419,measured[Date],B1419)),"")</f>
        <v>3776</v>
      </c>
      <c r="D1419" cm="1">
        <f t="array" ref="D1419">IFERROR(IF(SUMPRODUCT((expected_production[Site Name]=A1419)*(expected_production[Date]=B1419)*ISNUMBER(expected_production[Expected Production (kWh)]))=0,"",SUMIFS(expected_production[Expected Production (kWh)],expected_production[Site Name],A1419,expected_production[Date],B1419)),"")</f>
        <v>4733.6815376993081</v>
      </c>
      <c r="E1419" s="9">
        <f t="shared" si="44"/>
        <v>0.79768779752666541</v>
      </c>
      <c r="F1419" t="str">
        <f t="shared" si="45"/>
        <v>Moderate</v>
      </c>
    </row>
    <row r="1420" spans="1:6" ht="15" hidden="1" customHeight="1" x14ac:dyDescent="0.3">
      <c r="A1420" t="s">
        <v>142</v>
      </c>
      <c r="B1420" s="2">
        <v>45717</v>
      </c>
      <c r="C1420" cm="1">
        <f t="array" ref="C1420">IFERROR(IF(SUMPRODUCT((measured[Site Name]=A1420)*(measured[Date]=B1420)*ISNUMBER(measured[Measured Value (kWh)]))=0,"",SUMIFS(measured[Measured Value (kWh)],measured[Site Name],A1420,measured[Date],B1420)),"")</f>
        <v>4415</v>
      </c>
      <c r="D1420" cm="1">
        <f t="array" ref="D1420">IFERROR(IF(SUMPRODUCT((expected_production[Site Name]=A1420)*(expected_production[Date]=B1420)*ISNUMBER(expected_production[Expected Production (kWh)]))=0,"",SUMIFS(expected_production[Expected Production (kWh)],expected_production[Site Name],A1420,expected_production[Date],B1420)),"")</f>
        <v>4884.3249193107813</v>
      </c>
      <c r="E1420" s="9">
        <f t="shared" si="44"/>
        <v>0.90391201915023156</v>
      </c>
      <c r="F1420" t="str">
        <f t="shared" si="45"/>
        <v>Expected</v>
      </c>
    </row>
    <row r="1421" spans="1:6" ht="15" hidden="1" customHeight="1" x14ac:dyDescent="0.3">
      <c r="A1421" t="s">
        <v>142</v>
      </c>
      <c r="B1421" s="2">
        <v>45748</v>
      </c>
      <c r="C1421" cm="1">
        <f t="array" ref="C1421">IFERROR(IF(SUMPRODUCT((measured[Site Name]=A1421)*(measured[Date]=B1421)*ISNUMBER(measured[Measured Value (kWh)]))=0,"",SUMIFS(measured[Measured Value (kWh)],measured[Site Name],A1421,measured[Date],B1421)),"")</f>
        <v>3551</v>
      </c>
      <c r="D1421" cm="1">
        <f t="array" ref="D1421">IFERROR(IF(SUMPRODUCT((expected_production[Site Name]=A1421)*(expected_production[Date]=B1421)*ISNUMBER(expected_production[Expected Production (kWh)]))=0,"",SUMIFS(expected_production[Expected Production (kWh)],expected_production[Site Name],A1421,expected_production[Date],B1421)),"")</f>
        <v>4311.7374457495998</v>
      </c>
      <c r="E1421" s="9">
        <f t="shared" si="44"/>
        <v>0.82356591621794706</v>
      </c>
      <c r="F1421" t="str">
        <f t="shared" si="45"/>
        <v>Moderate</v>
      </c>
    </row>
    <row r="1422" spans="1:6" ht="15" hidden="1" customHeight="1" x14ac:dyDescent="0.3">
      <c r="A1422" t="s">
        <v>142</v>
      </c>
      <c r="B1422" s="2">
        <v>45778</v>
      </c>
      <c r="C1422" cm="1">
        <f t="array" ref="C1422">IFERROR(IF(SUMPRODUCT((measured[Site Name]=A1422)*(measured[Date]=B1422)*ISNUMBER(measured[Measured Value (kWh)]))=0,"",SUMIFS(measured[Measured Value (kWh)],measured[Site Name],A1422,measured[Date],B1422)),"")</f>
        <v>4580</v>
      </c>
      <c r="D1422" cm="1">
        <f t="array" ref="D1422">IFERROR(IF(SUMPRODUCT((expected_production[Site Name]=A1422)*(expected_production[Date]=B1422)*ISNUMBER(expected_production[Expected Production (kWh)]))=0,"",SUMIFS(expected_production[Expected Production (kWh)],expected_production[Site Name],A1422,expected_production[Date],B1422)),"")</f>
        <v>4145.5629540193404</v>
      </c>
      <c r="E1422" s="9">
        <f t="shared" si="44"/>
        <v>1.1047956696832815</v>
      </c>
      <c r="F1422" t="str">
        <f t="shared" si="45"/>
        <v>Expected</v>
      </c>
    </row>
    <row r="1423" spans="1:6" ht="15" hidden="1" customHeight="1" x14ac:dyDescent="0.3">
      <c r="A1423" t="s">
        <v>142</v>
      </c>
      <c r="B1423" s="2">
        <v>45809</v>
      </c>
      <c r="C1423" cm="1">
        <f t="array" ref="C1423">IFERROR(IF(SUMPRODUCT((measured[Site Name]=A1423)*(measured[Date]=B1423)*ISNUMBER(measured[Measured Value (kWh)]))=0,"",SUMIFS(measured[Measured Value (kWh)],measured[Site Name],A1423,measured[Date],B1423)),"")</f>
        <v>3965.8</v>
      </c>
      <c r="D1423" cm="1">
        <f t="array" ref="D1423">IFERROR(IF(SUMPRODUCT((expected_production[Site Name]=A1423)*(expected_production[Date]=B1423)*ISNUMBER(expected_production[Expected Production (kWh)]))=0,"",SUMIFS(expected_production[Expected Production (kWh)],expected_production[Site Name],A1423,expected_production[Date],B1423)),"")</f>
        <v>3772.3475873567018</v>
      </c>
      <c r="E1423" s="9">
        <f t="shared" si="44"/>
        <v>1.0512817040751146</v>
      </c>
      <c r="F1423" t="str">
        <f t="shared" si="45"/>
        <v>Expected</v>
      </c>
    </row>
    <row r="1424" spans="1:6" ht="15" hidden="1" customHeight="1" x14ac:dyDescent="0.3">
      <c r="A1424" t="s">
        <v>142</v>
      </c>
      <c r="B1424" s="2">
        <v>45839</v>
      </c>
      <c r="C1424" cm="1">
        <f t="array" ref="C1424">IFERROR(IF(SUMPRODUCT((measured[Site Name]=A1424)*(measured[Date]=B1424)*ISNUMBER(measured[Measured Value (kWh)]))=0,"",SUMIFS(measured[Measured Value (kWh)],measured[Site Name],A1424,measured[Date],B1424)),"")</f>
        <v>4015</v>
      </c>
      <c r="D1424" cm="1">
        <f t="array" ref="D1424">IFERROR(IF(SUMPRODUCT((expected_production[Site Name]=A1424)*(expected_production[Date]=B1424)*ISNUMBER(expected_production[Expected Production (kWh)]))=0,"",SUMIFS(expected_production[Expected Production (kWh)],expected_production[Site Name],A1424,expected_production[Date],B1424)),"")</f>
        <v>4163.8049734864417</v>
      </c>
      <c r="E1424" s="9">
        <f t="shared" si="44"/>
        <v>0.96426226145701432</v>
      </c>
      <c r="F1424" t="str">
        <f t="shared" si="45"/>
        <v>Expected</v>
      </c>
    </row>
    <row r="1425" spans="1:7" ht="15" hidden="1" customHeight="1" x14ac:dyDescent="0.3">
      <c r="A1425" t="s">
        <v>142</v>
      </c>
      <c r="B1425" s="2">
        <v>45870</v>
      </c>
      <c r="C1425" cm="1">
        <f t="array" ref="C1425">IFERROR(IF(SUMPRODUCT((measured[Site Name]=A1425)*(measured[Date]=B1425)*ISNUMBER(measured[Measured Value (kWh)]))=0,"",SUMIFS(measured[Measured Value (kWh)],measured[Site Name],A1425,measured[Date],B1425)),"")</f>
        <v>4593</v>
      </c>
      <c r="D1425" cm="1">
        <f t="array" ref="D1425">IFERROR(IF(SUMPRODUCT((expected_production[Site Name]=A1425)*(expected_production[Date]=B1425)*ISNUMBER(expected_production[Expected Production (kWh)]))=0,"",SUMIFS(expected_production[Expected Production (kWh)],expected_production[Site Name],A1425,expected_production[Date],B1425)),"")</f>
        <v>4780.2823320284788</v>
      </c>
      <c r="E1425" s="9">
        <f t="shared" si="44"/>
        <v>0.96082190987472349</v>
      </c>
      <c r="F1425" t="str">
        <f t="shared" si="45"/>
        <v>Expected</v>
      </c>
    </row>
    <row r="1426" spans="1:7" ht="15" hidden="1" customHeight="1" x14ac:dyDescent="0.3">
      <c r="A1426" t="s">
        <v>142</v>
      </c>
      <c r="B1426" s="2">
        <v>45901</v>
      </c>
      <c r="C1426" cm="1">
        <f t="array" ref="C1426">IFERROR(IF(SUMPRODUCT((measured[Site Name]=A1426)*(measured[Date]=B1426)*ISNUMBER(measured[Measured Value (kWh)]))=0,"",SUMIFS(measured[Measured Value (kWh)],measured[Site Name],A1426,measured[Date],B1426)),"")</f>
        <v>4428</v>
      </c>
      <c r="D1426" cm="1">
        <f t="array" ref="D1426">IFERROR(IF(SUMPRODUCT((expected_production[Site Name]=A1426)*(expected_production[Date]=B1426)*ISNUMBER(expected_production[Expected Production (kWh)]))=0,"",SUMIFS(expected_production[Expected Production (kWh)],expected_production[Site Name],A1426,expected_production[Date],B1426)),"")</f>
        <v>5226.5101062650729</v>
      </c>
      <c r="E1426" s="9">
        <f t="shared" si="44"/>
        <v>0.84721925529085074</v>
      </c>
      <c r="F1426" t="str">
        <f t="shared" si="45"/>
        <v>Moderate</v>
      </c>
    </row>
    <row r="1427" spans="1:7" ht="15" hidden="1" customHeight="1" x14ac:dyDescent="0.3">
      <c r="A1427" t="s">
        <v>142</v>
      </c>
      <c r="B1427" s="2">
        <v>45931</v>
      </c>
      <c r="C1427" cm="1">
        <f t="array" ref="C1427">IFERROR(IF(SUMPRODUCT((measured[Site Name]=A1427)*(measured[Date]=B1427)*ISNUMBER(measured[Measured Value (kWh)]))=0,"",SUMIFS(measured[Measured Value (kWh)],measured[Site Name],A1427,measured[Date],B1427)),"")</f>
        <v>6002</v>
      </c>
      <c r="D1427" cm="1">
        <f t="array" ref="D1427">IFERROR(IF(SUMPRODUCT((expected_production[Site Name]=A1427)*(expected_production[Date]=B1427)*ISNUMBER(expected_production[Expected Production (kWh)]))=0,"",SUMIFS(expected_production[Expected Production (kWh)],expected_production[Site Name],A1427,expected_production[Date],B1427)),"")</f>
        <v>5585.3881388394202</v>
      </c>
      <c r="E1427" s="9">
        <f t="shared" si="44"/>
        <v>1.0745895989328949</v>
      </c>
      <c r="F1427" t="str">
        <f t="shared" si="45"/>
        <v>Expected</v>
      </c>
    </row>
    <row r="1428" spans="1:7" ht="15" hidden="1" customHeight="1" x14ac:dyDescent="0.3">
      <c r="A1428" t="s">
        <v>142</v>
      </c>
      <c r="B1428" s="2">
        <v>45962</v>
      </c>
      <c r="C1428" cm="1">
        <f t="array" ref="C1428">IFERROR(IF(SUMPRODUCT((measured[Site Name]=A1428)*(measured[Date]=B1428)*ISNUMBER(measured[Measured Value (kWh)]))=0,"",SUMIFS(measured[Measured Value (kWh)],measured[Site Name],A1428,measured[Date],B1428)),"")</f>
        <v>4286</v>
      </c>
      <c r="D1428" cm="1">
        <f t="array" ref="D1428">IFERROR(IF(SUMPRODUCT((expected_production[Site Name]=A1428)*(expected_production[Date]=B1428)*ISNUMBER(expected_production[Expected Production (kWh)]))=0,"",SUMIFS(expected_production[Expected Production (kWh)],expected_production[Site Name],A1428,expected_production[Date],B1428)),"")</f>
        <v>5539.50887125803</v>
      </c>
      <c r="E1428" s="9">
        <f t="shared" si="44"/>
        <v>0.77371480028456807</v>
      </c>
      <c r="F1428" t="str">
        <f t="shared" si="45"/>
        <v>Moderate</v>
      </c>
    </row>
    <row r="1429" spans="1:7" ht="15" hidden="1" customHeight="1" x14ac:dyDescent="0.3">
      <c r="A1429" t="s">
        <v>142</v>
      </c>
      <c r="B1429" s="2">
        <v>45992</v>
      </c>
      <c r="C1429" cm="1">
        <f t="array" ref="C1429">IFERROR(IF(SUMPRODUCT((measured[Site Name]=A1429)*(measured[Date]=B1429)*ISNUMBER(measured[Measured Value (kWh)]))=0,"",SUMIFS(measured[Measured Value (kWh)],measured[Site Name],A1429,measured[Date],B1429)),"")</f>
        <v>985</v>
      </c>
      <c r="D1429" cm="1">
        <f t="array" ref="D1429">IFERROR(IF(SUMPRODUCT((expected_production[Site Name]=A1429)*(expected_production[Date]=B1429)*ISNUMBER(expected_production[Expected Production (kWh)]))=0,"",SUMIFS(expected_production[Expected Production (kWh)],expected_production[Site Name],A1429,expected_production[Date],B1429)),"")</f>
        <v>5902.2118107025972</v>
      </c>
      <c r="E1429" s="9">
        <f t="shared" si="44"/>
        <v>0.16688658956865629</v>
      </c>
      <c r="F1429" t="str">
        <f t="shared" si="45"/>
        <v>Poor</v>
      </c>
    </row>
    <row r="1430" spans="1:7" ht="15" hidden="1" customHeight="1" x14ac:dyDescent="0.3">
      <c r="A1430" t="s">
        <v>142</v>
      </c>
      <c r="B1430" s="2">
        <v>46023</v>
      </c>
      <c r="C1430" cm="1">
        <f t="array" ref="C1430">IFERROR(IF(SUMPRODUCT((measured[Site Name]=A1430)*(measured[Date]=B1430)*ISNUMBER(measured[Measured Value (kWh)]))=0,"",SUMIFS(measured[Measured Value (kWh)],measured[Site Name],A1430,measured[Date],B1430)),"")</f>
        <v>1496.8</v>
      </c>
      <c r="D1430" cm="1">
        <f t="array" ref="D1430">IFERROR(IF(SUMPRODUCT((expected_production[Site Name]=A1430)*(expected_production[Date]=B1430)*ISNUMBER(expected_production[Expected Production (kWh)]))=0,"",SUMIFS(expected_production[Expected Production (kWh)],expected_production[Site Name],A1430,expected_production[Date],B1430)),"")</f>
        <v>5593.222702942282</v>
      </c>
      <c r="E1430" s="9">
        <f t="shared" ref="E1430:E1493" si="46">IF(OR(C1430="",D1430="",D1430=0),"",C1430/D1430)</f>
        <v>0.26760958386524053</v>
      </c>
      <c r="F1430" t="str">
        <f t="shared" ref="F1430:F1493" si="47">IF(E1430="","",IF(E1430&gt;=0.9,"Expected",IF(E1430&gt;=0.7,"Moderate","Poor")))</f>
        <v>Poor</v>
      </c>
    </row>
    <row r="1431" spans="1:7" ht="15" hidden="1" customHeight="1" x14ac:dyDescent="0.3">
      <c r="A1431" t="s">
        <v>142</v>
      </c>
      <c r="B1431" s="2">
        <v>46054</v>
      </c>
      <c r="C1431" cm="1">
        <f t="array" ref="C1431">IFERROR(IF(SUMPRODUCT((measured[Site Name]=A1431)*(measured[Date]=B1431)*ISNUMBER(measured[Measured Value (kWh)]))=0,"",SUMIFS(measured[Measured Value (kWh)],measured[Site Name],A1431,measured[Date],B1431)),"")</f>
        <v>4735</v>
      </c>
      <c r="D1431" cm="1">
        <f t="array" ref="D1431">IFERROR(IF(SUMPRODUCT((expected_production[Site Name]=A1431)*(expected_production[Date]=B1431)*ISNUMBER(expected_production[Expected Production (kWh)]))=0,"",SUMIFS(expected_production[Expected Production (kWh)],expected_production[Site Name],A1431,expected_production[Date],B1431)),"")</f>
        <v>4700.5683676221934</v>
      </c>
      <c r="E1431" s="9">
        <f t="shared" si="46"/>
        <v>1.0073249934231303</v>
      </c>
      <c r="F1431" t="str">
        <f t="shared" si="47"/>
        <v>Expected</v>
      </c>
    </row>
    <row r="1432" spans="1:7" ht="15" hidden="1" customHeight="1" x14ac:dyDescent="0.3">
      <c r="A1432" t="s">
        <v>142</v>
      </c>
      <c r="B1432" s="2">
        <v>46082</v>
      </c>
      <c r="C1432" cm="1">
        <f t="array" ref="C1432">IFERROR(IF(SUMPRODUCT((measured[Site Name]=A1432)*(measured[Date]=B1432)*ISNUMBER(measured[Measured Value (kWh)]))=0,"",SUMIFS(measured[Measured Value (kWh)],measured[Site Name],A1432,measured[Date],B1432)),"")</f>
        <v>4747</v>
      </c>
      <c r="D1432" cm="1">
        <f t="array" ref="D1432">IFERROR(IF(SUMPRODUCT((expected_production[Site Name]=A1432)*(expected_production[Date]=B1432)*ISNUMBER(expected_production[Expected Production (kWh)]))=0,"",SUMIFS(expected_production[Expected Production (kWh)],expected_production[Site Name],A1432,expected_production[Date],B1432)),"")</f>
        <v>4850.1579648004372</v>
      </c>
      <c r="E1432" s="9">
        <f t="shared" si="46"/>
        <v>0.978731009268338</v>
      </c>
      <c r="F1432" t="str">
        <f t="shared" si="47"/>
        <v>Expected</v>
      </c>
    </row>
    <row r="1433" spans="1:7" ht="15" hidden="1" customHeight="1" x14ac:dyDescent="0.3">
      <c r="A1433" t="s">
        <v>142</v>
      </c>
      <c r="B1433" s="2">
        <v>46113</v>
      </c>
      <c r="C1433" s="5" cm="1">
        <f t="array" ref="C1433">IFERROR(IF(SUMPRODUCT((measured[Site Name]=A1433)*(measured[Date]=B1433)*ISNUMBER(measured[Measured Value (kWh)]))=0,"",SUMIFS(measured[Measured Value (kWh)],measured[Site Name],A1433,measured[Date],B1433)),"")</f>
        <v>4036.9</v>
      </c>
      <c r="D1433" cm="1">
        <f t="array" ref="D1433">IFERROR(IF(SUMPRODUCT((expected_production[Site Name]=A1433)*(expected_production[Date]=B1433)*ISNUMBER(expected_production[Expected Production (kWh)]))=0,"",SUMIFS(expected_production[Expected Production (kWh)],expected_production[Site Name],A1433,expected_production[Date],B1433)),"")</f>
        <v>4281.5758697686433</v>
      </c>
      <c r="E1433" s="9">
        <f t="shared" si="46"/>
        <v>0.94285378159563848</v>
      </c>
      <c r="F1433" t="str">
        <f t="shared" si="47"/>
        <v>Expected</v>
      </c>
    </row>
    <row r="1434" spans="1:7" ht="15" hidden="1" customHeight="1" x14ac:dyDescent="0.3">
      <c r="A1434" t="s">
        <v>142</v>
      </c>
      <c r="B1434" s="2">
        <v>46143</v>
      </c>
      <c r="C1434" s="5" cm="1">
        <f t="array" ref="C1434">IFERROR(IF(SUMPRODUCT((measured[Site Name]=A1434)*(measured[Date]=B1434)*ISNUMBER(measured[Measured Value (kWh)]))=0,"",SUMIFS(measured[Measured Value (kWh)],measured[Site Name],A1434,measured[Date],B1434)),"")</f>
        <v>4180</v>
      </c>
      <c r="D1434" cm="1">
        <f t="array" ref="D1434">IFERROR(IF(SUMPRODUCT((expected_production[Site Name]=A1434)*(expected_production[Date]=B1434)*ISNUMBER(expected_production[Expected Production (kWh)]))=0,"",SUMIFS(expected_production[Expected Production (kWh)],expected_production[Site Name],A1434,expected_production[Date],B1434)),"")</f>
        <v>4116.5638060900637</v>
      </c>
      <c r="E1434" s="9">
        <f t="shared" si="46"/>
        <v>1.0154099867992059</v>
      </c>
      <c r="F1434" t="str">
        <f t="shared" si="47"/>
        <v>Expected</v>
      </c>
    </row>
    <row r="1435" spans="1:7" ht="15" hidden="1" customHeight="1" x14ac:dyDescent="0.3">
      <c r="A1435" t="s">
        <v>142</v>
      </c>
      <c r="B1435" s="2">
        <v>46174</v>
      </c>
      <c r="C1435" cm="1">
        <f t="array" ref="C1435">IFERROR(IF(SUMPRODUCT((measured[Site Name]=A1435)*(measured[Date]=B1435)*ISNUMBER(measured[Measured Value (kWh)]))=0,"",SUMIFS(measured[Measured Value (kWh)],measured[Site Name],A1435,measured[Date],B1435)),"")</f>
        <v>3164</v>
      </c>
      <c r="D1435" cm="1">
        <f t="array" ref="D1435">IFERROR(IF(SUMPRODUCT((expected_production[Site Name]=A1435)*(expected_production[Date]=B1435)*ISNUMBER(expected_production[Expected Production (kWh)]))=0,"",SUMIFS(expected_production[Expected Production (kWh)],expected_production[Site Name],A1435,expected_production[Date],B1435)),"")</f>
        <v>3745.9591650990342</v>
      </c>
      <c r="E1435" s="9">
        <f t="shared" si="46"/>
        <v>0.84464348396503452</v>
      </c>
      <c r="F1435" t="str">
        <f t="shared" si="47"/>
        <v>Moderate</v>
      </c>
    </row>
    <row r="1436" spans="1:7" ht="15" hidden="1" customHeight="1" x14ac:dyDescent="0.3">
      <c r="A1436" t="s">
        <v>138</v>
      </c>
      <c r="B1436" s="2">
        <v>46204</v>
      </c>
      <c r="C1436" cm="1">
        <f t="array" ref="C1436">IFERROR(IF(SUMPRODUCT((measured[Site Name]=A1436)*(measured[Date]=B1436)*ISNUMBER(measured[Measured Value (kWh)]))=0,"",SUMIFS(measured[Measured Value (kWh)],measured[Site Name],A1436,measured[Date],B1436)),"")</f>
        <v>0</v>
      </c>
      <c r="D1436" cm="1">
        <f t="array" ref="D1436">IFERROR(IF(SUMPRODUCT((expected_production[Site Name]=A1436)*(expected_production[Date]=B1436)*ISNUMBER(expected_production[Expected Production (kWh)]))=0,"",SUMIFS(expected_production[Expected Production (kWh)],expected_production[Site Name],A1436,expected_production[Date],B1436)),"")</f>
        <v>19626.417582134673</v>
      </c>
      <c r="E1436" s="9">
        <f t="shared" si="46"/>
        <v>0</v>
      </c>
      <c r="F1436" t="str">
        <f t="shared" si="47"/>
        <v>Poor</v>
      </c>
      <c r="G1436" t="s">
        <v>874</v>
      </c>
    </row>
    <row r="1437" spans="1:7" ht="15" hidden="1" customHeight="1" x14ac:dyDescent="0.3">
      <c r="A1437" t="s">
        <v>142</v>
      </c>
      <c r="B1437" s="2">
        <v>46235</v>
      </c>
      <c r="C1437" cm="1">
        <f t="array" ref="C1437">IFERROR(IF(SUMPRODUCT((measured[Site Name]=A1437)*(measured[Date]=B1437)*ISNUMBER(measured[Measured Value (kWh)]))=0,"",SUMIFS(measured[Measured Value (kWh)],measured[Site Name],A1437,measured[Date],B1437)),"")</f>
        <v>4901</v>
      </c>
      <c r="D1437" cm="1">
        <f t="array" ref="D1437">IFERROR(IF(SUMPRODUCT((expected_production[Site Name]=A1437)*(expected_production[Date]=B1437)*ISNUMBER(expected_production[Expected Production (kWh)]))=0,"",SUMIFS(expected_production[Expected Production (kWh)],expected_production[Site Name],A1437,expected_production[Date],B1437)),"")</f>
        <v>4746.8431788838379</v>
      </c>
      <c r="E1437" s="9">
        <f t="shared" si="46"/>
        <v>1.0324756507233952</v>
      </c>
      <c r="F1437" t="str">
        <f t="shared" si="47"/>
        <v>Expected</v>
      </c>
      <c r="G1437" t="s">
        <v>874</v>
      </c>
    </row>
    <row r="1438" spans="1:7" ht="15" customHeight="1" x14ac:dyDescent="0.3">
      <c r="A1438" t="s">
        <v>142</v>
      </c>
      <c r="B1438" s="2">
        <v>46266</v>
      </c>
      <c r="C1438" cm="1">
        <f t="array" ref="C1438">IFERROR(IF(SUMPRODUCT((measured[Site Name]=A1438)*(measured[Date]=B1438)*ISNUMBER(measured[Measured Value (kWh)]))=0,"",SUMIFS(measured[Measured Value (kWh)],measured[Site Name],A1438,measured[Date],B1438)),"")</f>
        <v>4904</v>
      </c>
      <c r="D1438" cm="1">
        <f t="array" ref="D1438">IFERROR(IF(SUMPRODUCT((expected_production[Site Name]=A1438)*(expected_production[Date]=B1438)*ISNUMBER(expected_production[Expected Production (kWh)]))=0,"",SUMIFS(expected_production[Expected Production (kWh)],expected_production[Site Name],A1438,expected_production[Date],B1438)),"")</f>
        <v>5189.9494891892937</v>
      </c>
      <c r="E1438" s="9">
        <f t="shared" si="46"/>
        <v>0.94490322308821528</v>
      </c>
      <c r="F1438" t="str">
        <f t="shared" si="47"/>
        <v>Expected</v>
      </c>
      <c r="G1438" t="s">
        <v>874</v>
      </c>
    </row>
    <row r="1439" spans="1:7" ht="15" hidden="1" customHeight="1" x14ac:dyDescent="0.3">
      <c r="A1439" t="s">
        <v>142</v>
      </c>
      <c r="B1439" s="2">
        <v>46296</v>
      </c>
      <c r="C1439" t="str" cm="1">
        <f t="array" ref="C1439">IFERROR(IF(SUMPRODUCT((measured[Site Name]=A1439)*(measured[Date]=B1439)*ISNUMBER(measured[Measured Value (kWh)]))=0,"",SUMIFS(measured[Measured Value (kWh)],measured[Site Name],A1439,measured[Date],B1439)),"")</f>
        <v/>
      </c>
      <c r="D1439" cm="1">
        <f t="array" ref="D1439">IFERROR(IF(SUMPRODUCT((expected_production[Site Name]=A1439)*(expected_production[Date]=B1439)*ISNUMBER(expected_production[Expected Production (kWh)]))=0,"",SUMIFS(expected_production[Expected Production (kWh)],expected_production[Site Name],A1439,expected_production[Date],B1439)),"")</f>
        <v>5546.317088977883</v>
      </c>
      <c r="E1439" s="9" t="str">
        <f t="shared" si="46"/>
        <v/>
      </c>
      <c r="F1439" t="str">
        <f t="shared" si="47"/>
        <v/>
      </c>
    </row>
    <row r="1440" spans="1:7" ht="15" hidden="1" customHeight="1" x14ac:dyDescent="0.3">
      <c r="A1440" t="s">
        <v>142</v>
      </c>
      <c r="B1440" s="2">
        <v>46327</v>
      </c>
      <c r="C1440" t="str" cm="1">
        <f t="array" ref="C1440">IFERROR(IF(SUMPRODUCT((measured[Site Name]=A1440)*(measured[Date]=B1440)*ISNUMBER(measured[Measured Value (kWh)]))=0,"",SUMIFS(measured[Measured Value (kWh)],measured[Site Name],A1440,measured[Date],B1440)),"")</f>
        <v/>
      </c>
      <c r="D1440" cm="1">
        <f t="array" ref="D1440">IFERROR(IF(SUMPRODUCT((expected_production[Site Name]=A1440)*(expected_production[Date]=B1440)*ISNUMBER(expected_production[Expected Production (kWh)]))=0,"",SUMIFS(expected_production[Expected Production (kWh)],expected_production[Site Name],A1440,expected_production[Date],B1440)),"")</f>
        <v>5500.7587572216717</v>
      </c>
      <c r="E1440" s="9" t="str">
        <f t="shared" si="46"/>
        <v/>
      </c>
      <c r="F1440" t="str">
        <f t="shared" si="47"/>
        <v/>
      </c>
    </row>
    <row r="1441" spans="1:6" ht="15" hidden="1" customHeight="1" x14ac:dyDescent="0.3">
      <c r="A1441" t="s">
        <v>142</v>
      </c>
      <c r="B1441" s="2">
        <v>46357</v>
      </c>
      <c r="C1441" t="str" cm="1">
        <f t="array" ref="C1441">IFERROR(IF(SUMPRODUCT((measured[Site Name]=A1441)*(measured[Date]=B1441)*ISNUMBER(measured[Measured Value (kWh)]))=0,"",SUMIFS(measured[Measured Value (kWh)],measured[Site Name],A1441,measured[Date],B1441)),"")</f>
        <v/>
      </c>
      <c r="D1441" cm="1">
        <f t="array" ref="D1441">IFERROR(IF(SUMPRODUCT((expected_production[Site Name]=A1441)*(expected_production[Date]=B1441)*ISNUMBER(expected_production[Expected Production (kWh)]))=0,"",SUMIFS(expected_production[Expected Production (kWh)],expected_production[Site Name],A1441,expected_production[Date],B1441)),"")</f>
        <v>5860.924507794185</v>
      </c>
      <c r="E1441" s="9" t="str">
        <f t="shared" si="46"/>
        <v/>
      </c>
      <c r="F1441" t="str">
        <f t="shared" si="47"/>
        <v/>
      </c>
    </row>
    <row r="1442" spans="1:6" ht="15" hidden="1" customHeight="1" x14ac:dyDescent="0.3">
      <c r="A1442" t="s">
        <v>145</v>
      </c>
      <c r="B1442" s="2">
        <v>45292</v>
      </c>
      <c r="C1442" cm="1">
        <f t="array" ref="C1442">IFERROR(IF(SUMPRODUCT((measured[Site Name]=A1442)*(measured[Date]=B1442)*ISNUMBER(measured[Measured Value (kWh)]))=0,"",SUMIFS(measured[Measured Value (kWh)],measured[Site Name],A1442,measured[Date],B1442)),"")</f>
        <v>27336</v>
      </c>
      <c r="D1442" cm="1">
        <f t="array" ref="D1442">IFERROR(IF(SUMPRODUCT((expected_production[Site Name]=A1442)*(expected_production[Date]=B1442)*ISNUMBER(expected_production[Expected Production (kWh)]))=0,"",SUMIFS(expected_production[Expected Production (kWh)],expected_production[Site Name],A1442,expected_production[Date],B1442)),"")</f>
        <v>41057.38334802485</v>
      </c>
      <c r="E1442" s="9">
        <f t="shared" si="46"/>
        <v>0.66579985792774721</v>
      </c>
      <c r="F1442" t="str">
        <f t="shared" si="47"/>
        <v>Poor</v>
      </c>
    </row>
    <row r="1443" spans="1:6" ht="15" hidden="1" customHeight="1" x14ac:dyDescent="0.3">
      <c r="A1443" t="s">
        <v>145</v>
      </c>
      <c r="B1443" s="2">
        <v>45323</v>
      </c>
      <c r="C1443" cm="1">
        <f t="array" ref="C1443">IFERROR(IF(SUMPRODUCT((measured[Site Name]=A1443)*(measured[Date]=B1443)*ISNUMBER(measured[Measured Value (kWh)]))=0,"",SUMIFS(measured[Measured Value (kWh)],measured[Site Name],A1443,measured[Date],B1443)),"")</f>
        <v>34673</v>
      </c>
      <c r="D1443" cm="1">
        <f t="array" ref="D1443">IFERROR(IF(SUMPRODUCT((expected_production[Site Name]=A1443)*(expected_production[Date]=B1443)*ISNUMBER(expected_production[Expected Production (kWh)]))=0,"",SUMIFS(expected_production[Expected Production (kWh)],expected_production[Site Name],A1443,expected_production[Date],B1443)),"")</f>
        <v>35822.874352265928</v>
      </c>
      <c r="E1443" s="9">
        <f t="shared" si="46"/>
        <v>0.96790111421661518</v>
      </c>
      <c r="F1443" t="str">
        <f t="shared" si="47"/>
        <v>Expected</v>
      </c>
    </row>
    <row r="1444" spans="1:6" ht="15" hidden="1" customHeight="1" x14ac:dyDescent="0.3">
      <c r="A1444" t="s">
        <v>145</v>
      </c>
      <c r="B1444" s="2">
        <v>45352</v>
      </c>
      <c r="C1444" cm="1">
        <f t="array" ref="C1444">IFERROR(IF(SUMPRODUCT((measured[Site Name]=A1444)*(measured[Date]=B1444)*ISNUMBER(measured[Measured Value (kWh)]))=0,"",SUMIFS(measured[Measured Value (kWh)],measured[Site Name],A1444,measured[Date],B1444)),"")</f>
        <v>35335</v>
      </c>
      <c r="D1444" cm="1">
        <f t="array" ref="D1444">IFERROR(IF(SUMPRODUCT((expected_production[Site Name]=A1444)*(expected_production[Date]=B1444)*ISNUMBER(expected_production[Expected Production (kWh)]))=0,"",SUMIFS(expected_production[Expected Production (kWh)],expected_production[Site Name],A1444,expected_production[Date],B1444)),"")</f>
        <v>36383.918599643985</v>
      </c>
      <c r="E1444" s="9">
        <f t="shared" si="46"/>
        <v>0.97117081831712737</v>
      </c>
      <c r="F1444" t="str">
        <f t="shared" si="47"/>
        <v>Expected</v>
      </c>
    </row>
    <row r="1445" spans="1:6" ht="15" hidden="1" customHeight="1" x14ac:dyDescent="0.3">
      <c r="A1445" t="s">
        <v>145</v>
      </c>
      <c r="B1445" s="2">
        <v>45383</v>
      </c>
      <c r="C1445" cm="1">
        <f t="array" ref="C1445">IFERROR(IF(SUMPRODUCT((measured[Site Name]=A1445)*(measured[Date]=B1445)*ISNUMBER(measured[Measured Value (kWh)]))=0,"",SUMIFS(measured[Measured Value (kWh)],measured[Site Name],A1445,measured[Date],B1445)),"")</f>
        <v>23354</v>
      </c>
      <c r="D1445" cm="1">
        <f t="array" ref="D1445">IFERROR(IF(SUMPRODUCT((expected_production[Site Name]=A1445)*(expected_production[Date]=B1445)*ISNUMBER(expected_production[Expected Production (kWh)]))=0,"",SUMIFS(expected_production[Expected Production (kWh)],expected_production[Site Name],A1445,expected_production[Date],B1445)),"")</f>
        <v>33422.350703269716</v>
      </c>
      <c r="E1445" s="9">
        <f t="shared" si="46"/>
        <v>0.6987539627999676</v>
      </c>
      <c r="F1445" t="str">
        <f t="shared" si="47"/>
        <v>Poor</v>
      </c>
    </row>
    <row r="1446" spans="1:6" ht="15" hidden="1" customHeight="1" x14ac:dyDescent="0.3">
      <c r="A1446" t="s">
        <v>145</v>
      </c>
      <c r="B1446" s="2">
        <v>45413</v>
      </c>
      <c r="C1446" cm="1">
        <f t="array" ref="C1446">IFERROR(IF(SUMPRODUCT((measured[Site Name]=A1446)*(measured[Date]=B1446)*ISNUMBER(measured[Measured Value (kWh)]))=0,"",SUMIFS(measured[Measured Value (kWh)],measured[Site Name],A1446,measured[Date],B1446)),"")</f>
        <v>24682</v>
      </c>
      <c r="D1446" cm="1">
        <f t="array" ref="D1446">IFERROR(IF(SUMPRODUCT((expected_production[Site Name]=A1446)*(expected_production[Date]=B1446)*ISNUMBER(expected_production[Expected Production (kWh)]))=0,"",SUMIFS(expected_production[Expected Production (kWh)],expected_production[Site Name],A1446,expected_production[Date],B1446)),"")</f>
        <v>32761.454157855402</v>
      </c>
      <c r="E1446" s="9">
        <f t="shared" si="46"/>
        <v>0.75338536198894135</v>
      </c>
      <c r="F1446" t="str">
        <f t="shared" si="47"/>
        <v>Moderate</v>
      </c>
    </row>
    <row r="1447" spans="1:6" ht="15" hidden="1" customHeight="1" x14ac:dyDescent="0.3">
      <c r="A1447" t="s">
        <v>145</v>
      </c>
      <c r="B1447" s="2">
        <v>45444</v>
      </c>
      <c r="C1447" cm="1">
        <f t="array" ref="C1447">IFERROR(IF(SUMPRODUCT((measured[Site Name]=A1447)*(measured[Date]=B1447)*ISNUMBER(measured[Measured Value (kWh)]))=0,"",SUMIFS(measured[Measured Value (kWh)],measured[Site Name],A1447,measured[Date],B1447)),"")</f>
        <v>21004</v>
      </c>
      <c r="D1447" cm="1">
        <f t="array" ref="D1447">IFERROR(IF(SUMPRODUCT((expected_production[Site Name]=A1447)*(expected_production[Date]=B1447)*ISNUMBER(expected_production[Expected Production (kWh)]))=0,"",SUMIFS(expected_production[Expected Production (kWh)],expected_production[Site Name],A1447,expected_production[Date],B1447)),"")</f>
        <v>29820.851842680007</v>
      </c>
      <c r="E1447" s="9">
        <f t="shared" si="46"/>
        <v>0.70433937000883362</v>
      </c>
      <c r="F1447" t="str">
        <f t="shared" si="47"/>
        <v>Moderate</v>
      </c>
    </row>
    <row r="1448" spans="1:6" ht="15" hidden="1" customHeight="1" x14ac:dyDescent="0.3">
      <c r="A1448" t="s">
        <v>145</v>
      </c>
      <c r="B1448" s="2">
        <v>45474</v>
      </c>
      <c r="C1448" cm="1">
        <f t="array" ref="C1448">IFERROR(IF(SUMPRODUCT((measured[Site Name]=A1448)*(measured[Date]=B1448)*ISNUMBER(measured[Measured Value (kWh)]))=0,"",SUMIFS(measured[Measured Value (kWh)],measured[Site Name],A1448,measured[Date],B1448)),"")</f>
        <v>24855</v>
      </c>
      <c r="D1448" cm="1">
        <f t="array" ref="D1448">IFERROR(IF(SUMPRODUCT((expected_production[Site Name]=A1448)*(expected_production[Date]=B1448)*ISNUMBER(expected_production[Expected Production (kWh)]))=0,"",SUMIFS(expected_production[Expected Production (kWh)],expected_production[Site Name],A1448,expected_production[Date],B1448)),"")</f>
        <v>32227.786990866716</v>
      </c>
      <c r="E1448" s="9">
        <f t="shared" si="46"/>
        <v>0.77122887795689643</v>
      </c>
      <c r="F1448" t="str">
        <f t="shared" si="47"/>
        <v>Moderate</v>
      </c>
    </row>
    <row r="1449" spans="1:6" ht="15" hidden="1" customHeight="1" x14ac:dyDescent="0.3">
      <c r="A1449" t="s">
        <v>145</v>
      </c>
      <c r="B1449" s="2">
        <v>45505</v>
      </c>
      <c r="C1449" cm="1">
        <f t="array" ref="C1449">IFERROR(IF(SUMPRODUCT((measured[Site Name]=A1449)*(measured[Date]=B1449)*ISNUMBER(measured[Measured Value (kWh)]))=0,"",SUMIFS(measured[Measured Value (kWh)],measured[Site Name],A1449,measured[Date],B1449)),"")</f>
        <v>27804</v>
      </c>
      <c r="D1449" cm="1">
        <f t="array" ref="D1449">IFERROR(IF(SUMPRODUCT((expected_production[Site Name]=A1449)*(expected_production[Date]=B1449)*ISNUMBER(expected_production[Expected Production (kWh)]))=0,"",SUMIFS(expected_production[Expected Production (kWh)],expected_production[Site Name],A1449,expected_production[Date],B1449)),"")</f>
        <v>36223.577021832592</v>
      </c>
      <c r="E1449" s="9">
        <f t="shared" si="46"/>
        <v>0.76756638316646741</v>
      </c>
      <c r="F1449" t="str">
        <f t="shared" si="47"/>
        <v>Moderate</v>
      </c>
    </row>
    <row r="1450" spans="1:6" ht="15" hidden="1" customHeight="1" x14ac:dyDescent="0.3">
      <c r="A1450" t="s">
        <v>145</v>
      </c>
      <c r="B1450" s="2">
        <v>45536</v>
      </c>
      <c r="C1450" cm="1">
        <f t="array" ref="C1450">IFERROR(IF(SUMPRODUCT((measured[Site Name]=A1450)*(measured[Date]=B1450)*ISNUMBER(measured[Measured Value (kWh)]))=0,"",SUMIFS(measured[Measured Value (kWh)],measured[Site Name],A1450,measured[Date],B1450)),"")</f>
        <v>24854</v>
      </c>
      <c r="D1450" cm="1">
        <f t="array" ref="D1450">IFERROR(IF(SUMPRODUCT((expected_production[Site Name]=A1450)*(expected_production[Date]=B1450)*ISNUMBER(expected_production[Expected Production (kWh)]))=0,"",SUMIFS(expected_production[Expected Production (kWh)],expected_production[Site Name],A1450,expected_production[Date],B1450)),"")</f>
        <v>37059.526648582301</v>
      </c>
      <c r="E1450" s="9">
        <f t="shared" si="46"/>
        <v>0.67065076776825971</v>
      </c>
      <c r="F1450" t="str">
        <f t="shared" si="47"/>
        <v>Poor</v>
      </c>
    </row>
    <row r="1451" spans="1:6" ht="15" hidden="1" customHeight="1" x14ac:dyDescent="0.3">
      <c r="A1451" t="s">
        <v>145</v>
      </c>
      <c r="B1451" s="2">
        <v>45566</v>
      </c>
      <c r="C1451" cm="1">
        <f t="array" ref="C1451">IFERROR(IF(SUMPRODUCT((measured[Site Name]=A1451)*(measured[Date]=B1451)*ISNUMBER(measured[Measured Value (kWh)]))=0,"",SUMIFS(measured[Measured Value (kWh)],measured[Site Name],A1451,measured[Date],B1451)),"")</f>
        <v>41343</v>
      </c>
      <c r="D1451" cm="1">
        <f t="array" ref="D1451">IFERROR(IF(SUMPRODUCT((expected_production[Site Name]=A1451)*(expected_production[Date]=B1451)*ISNUMBER(expected_production[Expected Production (kWh)]))=0,"",SUMIFS(expected_production[Expected Production (kWh)],expected_production[Site Name],A1451,expected_production[Date],B1451)),"")</f>
        <v>39825.230230078167</v>
      </c>
      <c r="E1451" s="9">
        <f t="shared" si="46"/>
        <v>1.0381107594646253</v>
      </c>
      <c r="F1451" t="str">
        <f t="shared" si="47"/>
        <v>Expected</v>
      </c>
    </row>
    <row r="1452" spans="1:6" ht="15" hidden="1" customHeight="1" x14ac:dyDescent="0.3">
      <c r="A1452" t="s">
        <v>145</v>
      </c>
      <c r="B1452" s="2">
        <v>45597</v>
      </c>
      <c r="C1452" cm="1">
        <f t="array" ref="C1452">IFERROR(IF(SUMPRODUCT((measured[Site Name]=A1452)*(measured[Date]=B1452)*ISNUMBER(measured[Measured Value (kWh)]))=0,"",SUMIFS(measured[Measured Value (kWh)],measured[Site Name],A1452,measured[Date],B1452)),"")</f>
        <v>40614</v>
      </c>
      <c r="D1452" cm="1">
        <f t="array" ref="D1452">IFERROR(IF(SUMPRODUCT((expected_production[Site Name]=A1452)*(expected_production[Date]=B1452)*ISNUMBER(expected_production[Expected Production (kWh)]))=0,"",SUMIFS(expected_production[Expected Production (kWh)],expected_production[Site Name],A1452,expected_production[Date],B1452)),"")</f>
        <v>39947.64244179157</v>
      </c>
      <c r="E1452" s="9">
        <f t="shared" si="46"/>
        <v>1.0166807730688836</v>
      </c>
      <c r="F1452" t="str">
        <f t="shared" si="47"/>
        <v>Expected</v>
      </c>
    </row>
    <row r="1453" spans="1:6" ht="15" hidden="1" customHeight="1" x14ac:dyDescent="0.3">
      <c r="A1453" t="s">
        <v>145</v>
      </c>
      <c r="B1453" s="2">
        <v>45627</v>
      </c>
      <c r="C1453" cm="1">
        <f t="array" ref="C1453">IFERROR(IF(SUMPRODUCT((measured[Site Name]=A1453)*(measured[Date]=B1453)*ISNUMBER(measured[Measured Value (kWh)]))=0,"",SUMIFS(measured[Measured Value (kWh)],measured[Site Name],A1453,measured[Date],B1453)),"")</f>
        <v>20454</v>
      </c>
      <c r="D1453" cm="1">
        <f t="array" ref="D1453">IFERROR(IF(SUMPRODUCT((expected_production[Site Name]=A1453)*(expected_production[Date]=B1453)*ISNUMBER(expected_production[Expected Production (kWh)]))=0,"",SUMIFS(expected_production[Expected Production (kWh)],expected_production[Site Name],A1453,expected_production[Date],B1453)),"")</f>
        <v>42172.635161375096</v>
      </c>
      <c r="E1453" s="9">
        <f t="shared" si="46"/>
        <v>0.48500644841689494</v>
      </c>
      <c r="F1453" t="str">
        <f t="shared" si="47"/>
        <v>Poor</v>
      </c>
    </row>
    <row r="1454" spans="1:6" ht="15" hidden="1" customHeight="1" x14ac:dyDescent="0.3">
      <c r="A1454" t="s">
        <v>145</v>
      </c>
      <c r="B1454" s="2">
        <v>45658</v>
      </c>
      <c r="C1454" cm="1">
        <f t="array" ref="C1454">IFERROR(IF(SUMPRODUCT((measured[Site Name]=A1454)*(measured[Date]=B1454)*ISNUMBER(measured[Measured Value (kWh)]))=0,"",SUMIFS(measured[Measured Value (kWh)],measured[Site Name],A1454,measured[Date],B1454)),"")</f>
        <v>35500</v>
      </c>
      <c r="D1454" cm="1">
        <f t="array" ref="D1454">IFERROR(IF(SUMPRODUCT((expected_production[Site Name]=A1454)*(expected_production[Date]=B1454)*ISNUMBER(expected_production[Expected Production (kWh)]))=0,"",SUMIFS(expected_production[Expected Production (kWh)],expected_production[Site Name],A1454,expected_production[Date],B1454)),"")</f>
        <v>40769.393591987682</v>
      </c>
      <c r="E1454" s="9">
        <f t="shared" si="46"/>
        <v>0.87075123940466792</v>
      </c>
      <c r="F1454" t="str">
        <f t="shared" si="47"/>
        <v>Moderate</v>
      </c>
    </row>
    <row r="1455" spans="1:6" ht="15" hidden="1" customHeight="1" x14ac:dyDescent="0.3">
      <c r="A1455" t="s">
        <v>145</v>
      </c>
      <c r="B1455" s="2">
        <v>45689</v>
      </c>
      <c r="C1455" cm="1">
        <f t="array" ref="C1455">IFERROR(IF(SUMPRODUCT((measured[Site Name]=A1455)*(measured[Date]=B1455)*ISNUMBER(measured[Measured Value (kWh)]))=0,"",SUMIFS(measured[Measured Value (kWh)],measured[Site Name],A1455,measured[Date],B1455)),"")</f>
        <v>33170</v>
      </c>
      <c r="D1455" cm="1">
        <f t="array" ref="D1455">IFERROR(IF(SUMPRODUCT((expected_production[Site Name]=A1455)*(expected_production[Date]=B1455)*ISNUMBER(expected_production[Expected Production (kWh)]))=0,"",SUMIFS(expected_production[Expected Production (kWh)],expected_production[Site Name],A1455,expected_production[Date],B1455)),"")</f>
        <v>35571.601134053017</v>
      </c>
      <c r="E1455" s="9">
        <f t="shared" si="46"/>
        <v>0.93248543620506463</v>
      </c>
      <c r="F1455" t="str">
        <f t="shared" si="47"/>
        <v>Expected</v>
      </c>
    </row>
    <row r="1456" spans="1:6" ht="15" hidden="1" customHeight="1" x14ac:dyDescent="0.3">
      <c r="A1456" t="s">
        <v>145</v>
      </c>
      <c r="B1456" s="2">
        <v>45717</v>
      </c>
      <c r="C1456" cm="1">
        <f t="array" ref="C1456">IFERROR(IF(SUMPRODUCT((measured[Site Name]=A1456)*(measured[Date]=B1456)*ISNUMBER(measured[Measured Value (kWh)]))=0,"",SUMIFS(measured[Measured Value (kWh)],measured[Site Name],A1456,measured[Date],B1456)),"")</f>
        <v>29562</v>
      </c>
      <c r="D1456" cm="1">
        <f t="array" ref="D1456">IFERROR(IF(SUMPRODUCT((expected_production[Site Name]=A1456)*(expected_production[Date]=B1456)*ISNUMBER(expected_production[Expected Production (kWh)]))=0,"",SUMIFS(expected_production[Expected Production (kWh)],expected_production[Site Name],A1456,expected_production[Date],B1456)),"")</f>
        <v>36129.404882346593</v>
      </c>
      <c r="E1456" s="9">
        <f t="shared" si="46"/>
        <v>0.81822548963280783</v>
      </c>
      <c r="F1456" t="str">
        <f t="shared" si="47"/>
        <v>Moderate</v>
      </c>
    </row>
    <row r="1457" spans="1:7" ht="15" hidden="1" customHeight="1" x14ac:dyDescent="0.3">
      <c r="A1457" t="s">
        <v>145</v>
      </c>
      <c r="B1457" s="2">
        <v>45748</v>
      </c>
      <c r="C1457" cm="1">
        <f t="array" ref="C1457">IFERROR(IF(SUMPRODUCT((measured[Site Name]=A1457)*(measured[Date]=B1457)*ISNUMBER(measured[Measured Value (kWh)]))=0,"",SUMIFS(measured[Measured Value (kWh)],measured[Site Name],A1457,measured[Date],B1457)),"")</f>
        <v>23660</v>
      </c>
      <c r="D1457" cm="1">
        <f t="array" ref="D1457">IFERROR(IF(SUMPRODUCT((expected_production[Site Name]=A1457)*(expected_production[Date]=B1457)*ISNUMBER(expected_production[Expected Production (kWh)]))=0,"",SUMIFS(expected_production[Expected Production (kWh)],expected_production[Site Name],A1457,expected_production[Date],B1457)),"")</f>
        <v>33188.553821413523</v>
      </c>
      <c r="E1457" s="9">
        <f t="shared" si="46"/>
        <v>0.71289638371450748</v>
      </c>
      <c r="F1457" t="str">
        <f t="shared" si="47"/>
        <v>Moderate</v>
      </c>
    </row>
    <row r="1458" spans="1:7" ht="15" hidden="1" customHeight="1" x14ac:dyDescent="0.3">
      <c r="A1458" t="s">
        <v>145</v>
      </c>
      <c r="B1458" s="2">
        <v>45778</v>
      </c>
      <c r="C1458" cm="1">
        <f t="array" ref="C1458">IFERROR(IF(SUMPRODUCT((measured[Site Name]=A1458)*(measured[Date]=B1458)*ISNUMBER(measured[Measured Value (kWh)]))=0,"",SUMIFS(measured[Measured Value (kWh)],measured[Site Name],A1458,measured[Date],B1458)),"")</f>
        <v>27021</v>
      </c>
      <c r="D1458" cm="1">
        <f t="array" ref="D1458">IFERROR(IF(SUMPRODUCT((expected_production[Site Name]=A1458)*(expected_production[Date]=B1458)*ISNUMBER(expected_production[Expected Production (kWh)]))=0,"",SUMIFS(expected_production[Expected Production (kWh)],expected_production[Site Name],A1458,expected_production[Date],B1458)),"")</f>
        <v>32532.280396405051</v>
      </c>
      <c r="E1458" s="9">
        <f t="shared" si="46"/>
        <v>0.83059040653620853</v>
      </c>
      <c r="F1458" t="str">
        <f t="shared" si="47"/>
        <v>Moderate</v>
      </c>
    </row>
    <row r="1459" spans="1:7" ht="15" hidden="1" customHeight="1" x14ac:dyDescent="0.3">
      <c r="A1459" t="s">
        <v>145</v>
      </c>
      <c r="B1459" s="2">
        <v>45809</v>
      </c>
      <c r="C1459" cm="1">
        <f t="array" ref="C1459">IFERROR(IF(SUMPRODUCT((measured[Site Name]=A1459)*(measured[Date]=B1459)*ISNUMBER(measured[Measured Value (kWh)]))=0,"",SUMIFS(measured[Measured Value (kWh)],measured[Site Name],A1459,measured[Date],B1459)),"")</f>
        <v>23016.87</v>
      </c>
      <c r="D1459" cm="1">
        <f t="array" ref="D1459">IFERROR(IF(SUMPRODUCT((expected_production[Site Name]=A1459)*(expected_production[Date]=B1459)*ISNUMBER(expected_production[Expected Production (kWh)]))=0,"",SUMIFS(expected_production[Expected Production (kWh)],expected_production[Site Name],A1459,expected_production[Date],B1459)),"")</f>
        <v>29612.248257701405</v>
      </c>
      <c r="E1459" s="9">
        <f t="shared" si="46"/>
        <v>0.77727532876582195</v>
      </c>
      <c r="F1459" t="str">
        <f t="shared" si="47"/>
        <v>Moderate</v>
      </c>
    </row>
    <row r="1460" spans="1:7" ht="15" hidden="1" customHeight="1" x14ac:dyDescent="0.3">
      <c r="A1460" t="s">
        <v>145</v>
      </c>
      <c r="B1460" s="2">
        <v>45839</v>
      </c>
      <c r="C1460" cm="1">
        <f t="array" ref="C1460">IFERROR(IF(SUMPRODUCT((measured[Site Name]=A1460)*(measured[Date]=B1460)*ISNUMBER(measured[Measured Value (kWh)]))=0,"",SUMIFS(measured[Measured Value (kWh)],measured[Site Name],A1460,measured[Date],B1460)),"")</f>
        <v>23980</v>
      </c>
      <c r="D1460" cm="1">
        <f t="array" ref="D1460">IFERROR(IF(SUMPRODUCT((expected_production[Site Name]=A1460)*(expected_production[Date]=B1460)*ISNUMBER(expected_production[Expected Production (kWh)]))=0,"",SUMIFS(expected_production[Expected Production (kWh)],expected_production[Site Name],A1460,expected_production[Date],B1460)),"")</f>
        <v>32002.346351622473</v>
      </c>
      <c r="E1460" s="9">
        <f t="shared" si="46"/>
        <v>0.74932005723962325</v>
      </c>
      <c r="F1460" t="str">
        <f t="shared" si="47"/>
        <v>Moderate</v>
      </c>
    </row>
    <row r="1461" spans="1:7" ht="15" hidden="1" customHeight="1" x14ac:dyDescent="0.3">
      <c r="A1461" t="s">
        <v>145</v>
      </c>
      <c r="B1461" s="2">
        <v>45870</v>
      </c>
      <c r="C1461" cm="1">
        <f t="array" ref="C1461">IFERROR(IF(SUMPRODUCT((measured[Site Name]=A1461)*(measured[Date]=B1461)*ISNUMBER(measured[Measured Value (kWh)]))=0,"",SUMIFS(measured[Measured Value (kWh)],measured[Site Name],A1461,measured[Date],B1461)),"")</f>
        <v>26825</v>
      </c>
      <c r="D1461" cm="1">
        <f t="array" ref="D1461">IFERROR(IF(SUMPRODUCT((expected_production[Site Name]=A1461)*(expected_production[Date]=B1461)*ISNUMBER(expected_production[Expected Production (kWh)]))=0,"",SUMIFS(expected_production[Expected Production (kWh)],expected_production[Site Name],A1461,expected_production[Date],B1461)),"")</f>
        <v>35970.184930038355</v>
      </c>
      <c r="E1461" s="9">
        <f t="shared" si="46"/>
        <v>0.74575652174639506</v>
      </c>
      <c r="F1461" t="str">
        <f t="shared" si="47"/>
        <v>Moderate</v>
      </c>
    </row>
    <row r="1462" spans="1:7" ht="15" hidden="1" customHeight="1" x14ac:dyDescent="0.3">
      <c r="A1462" t="s">
        <v>145</v>
      </c>
      <c r="B1462" s="2">
        <v>45901</v>
      </c>
      <c r="C1462" cm="1">
        <f t="array" ref="C1462">IFERROR(IF(SUMPRODUCT((measured[Site Name]=A1462)*(measured[Date]=B1462)*ISNUMBER(measured[Measured Value (kWh)]))=0,"",SUMIFS(measured[Measured Value (kWh)],measured[Site Name],A1462,measured[Date],B1462)),"")</f>
        <v>29989</v>
      </c>
      <c r="D1462" cm="1">
        <f t="array" ref="D1462">IFERROR(IF(SUMPRODUCT((expected_production[Site Name]=A1462)*(expected_production[Date]=B1462)*ISNUMBER(expected_production[Expected Production (kWh)]))=0,"",SUMIFS(expected_production[Expected Production (kWh)],expected_production[Site Name],A1462,expected_production[Date],B1462)),"")</f>
        <v>36800.286900593623</v>
      </c>
      <c r="E1462" s="9">
        <f t="shared" si="46"/>
        <v>0.81491212503335808</v>
      </c>
      <c r="F1462" t="str">
        <f t="shared" si="47"/>
        <v>Moderate</v>
      </c>
    </row>
    <row r="1463" spans="1:7" ht="15" hidden="1" customHeight="1" x14ac:dyDescent="0.3">
      <c r="A1463" t="s">
        <v>145</v>
      </c>
      <c r="B1463" s="2">
        <v>45931</v>
      </c>
      <c r="C1463" cm="1">
        <f t="array" ref="C1463">IFERROR(IF(SUMPRODUCT((measured[Site Name]=A1463)*(measured[Date]=B1463)*ISNUMBER(measured[Measured Value (kWh)]))=0,"",SUMIFS(measured[Measured Value (kWh)],measured[Site Name],A1463,measured[Date],B1463)),"")</f>
        <v>39431.18</v>
      </c>
      <c r="D1463" cm="1">
        <f t="array" ref="D1463">IFERROR(IF(SUMPRODUCT((expected_production[Site Name]=A1463)*(expected_production[Date]=B1463)*ISNUMBER(expected_production[Expected Production (kWh)]))=0,"",SUMIFS(expected_production[Expected Production (kWh)],expected_production[Site Name],A1463,expected_production[Date],B1463)),"")</f>
        <v>39546.643761709674</v>
      </c>
      <c r="E1463" s="9">
        <f t="shared" si="46"/>
        <v>0.99708031451656409</v>
      </c>
      <c r="F1463" t="str">
        <f t="shared" si="47"/>
        <v>Expected</v>
      </c>
    </row>
    <row r="1464" spans="1:7" ht="15" hidden="1" customHeight="1" x14ac:dyDescent="0.3">
      <c r="A1464" t="s">
        <v>145</v>
      </c>
      <c r="B1464" s="2">
        <v>45962</v>
      </c>
      <c r="C1464" cm="1">
        <f t="array" ref="C1464">IFERROR(IF(SUMPRODUCT((measured[Site Name]=A1464)*(measured[Date]=B1464)*ISNUMBER(measured[Measured Value (kWh)]))=0,"",SUMIFS(measured[Measured Value (kWh)],measured[Site Name],A1464,measured[Date],B1464)),"")</f>
        <v>36933</v>
      </c>
      <c r="D1464" cm="1">
        <f t="array" ref="D1464">IFERROR(IF(SUMPRODUCT((expected_production[Site Name]=A1464)*(expected_production[Date]=B1464)*ISNUMBER(expected_production[Expected Production (kWh)]))=0,"",SUMIFS(expected_production[Expected Production (kWh)],expected_production[Site Name],A1464,expected_production[Date],B1464)),"")</f>
        <v>39668.199672391049</v>
      </c>
      <c r="E1464" s="9">
        <f t="shared" si="46"/>
        <v>0.93104805121028122</v>
      </c>
      <c r="F1464" t="str">
        <f t="shared" si="47"/>
        <v>Expected</v>
      </c>
    </row>
    <row r="1465" spans="1:7" ht="15" hidden="1" customHeight="1" x14ac:dyDescent="0.3">
      <c r="A1465" t="s">
        <v>145</v>
      </c>
      <c r="B1465" s="2">
        <v>45992</v>
      </c>
      <c r="C1465" cm="1">
        <f t="array" ref="C1465">IFERROR(IF(SUMPRODUCT((measured[Site Name]=A1465)*(measured[Date]=B1465)*ISNUMBER(measured[Measured Value (kWh)]))=0,"",SUMIFS(measured[Measured Value (kWh)],measured[Site Name],A1465,measured[Date],B1465)),"")</f>
        <v>24542</v>
      </c>
      <c r="D1465" cm="1">
        <f t="array" ref="D1465">IFERROR(IF(SUMPRODUCT((expected_production[Site Name]=A1465)*(expected_production[Date]=B1465)*ISNUMBER(expected_production[Expected Production (kWh)]))=0,"",SUMIFS(expected_production[Expected Production (kWh)],expected_production[Site Name],A1465,expected_production[Date],B1465)),"")</f>
        <v>41877.628066035642</v>
      </c>
      <c r="E1465" s="9">
        <f t="shared" si="46"/>
        <v>0.58604083214312941</v>
      </c>
      <c r="F1465" t="str">
        <f t="shared" si="47"/>
        <v>Poor</v>
      </c>
    </row>
    <row r="1466" spans="1:7" ht="15" hidden="1" customHeight="1" x14ac:dyDescent="0.3">
      <c r="A1466" t="s">
        <v>145</v>
      </c>
      <c r="B1466" s="2">
        <v>46023</v>
      </c>
      <c r="C1466" cm="1">
        <f t="array" ref="C1466">IFERROR(IF(SUMPRODUCT((measured[Site Name]=A1466)*(measured[Date]=B1466)*ISNUMBER(measured[Measured Value (kWh)]))=0,"",SUMIFS(measured[Measured Value (kWh)],measured[Site Name],A1466,measured[Date],B1466)),"")</f>
        <v>38558.838300000003</v>
      </c>
      <c r="D1466" cm="1">
        <f t="array" ref="D1466">IFERROR(IF(SUMPRODUCT((expected_production[Site Name]=A1466)*(expected_production[Date]=B1466)*ISNUMBER(expected_production[Expected Production (kWh)]))=0,"",SUMIFS(expected_production[Expected Production (kWh)],expected_production[Site Name],A1466,expected_production[Date],B1466)),"")</f>
        <v>40484.20248793879</v>
      </c>
      <c r="E1466" s="9">
        <f t="shared" si="46"/>
        <v>0.95244159277900065</v>
      </c>
      <c r="F1466" t="str">
        <f t="shared" si="47"/>
        <v>Expected</v>
      </c>
    </row>
    <row r="1467" spans="1:7" ht="15" hidden="1" customHeight="1" x14ac:dyDescent="0.3">
      <c r="A1467" t="s">
        <v>145</v>
      </c>
      <c r="B1467" s="2">
        <v>46054</v>
      </c>
      <c r="C1467" cm="1">
        <f t="array" ref="C1467">IFERROR(IF(SUMPRODUCT((measured[Site Name]=A1467)*(measured[Date]=B1467)*ISNUMBER(measured[Measured Value (kWh)]))=0,"",SUMIFS(measured[Measured Value (kWh)],measured[Site Name],A1467,measured[Date],B1467)),"")</f>
        <v>35289.594859999997</v>
      </c>
      <c r="D1467" cm="1">
        <f t="array" ref="D1467">IFERROR(IF(SUMPRODUCT((expected_production[Site Name]=A1467)*(expected_production[Date]=B1467)*ISNUMBER(expected_production[Expected Production (kWh)]))=0,"",SUMIFS(expected_production[Expected Production (kWh)],expected_production[Site Name],A1467,expected_production[Date],B1467)),"")</f>
        <v>35322.769760652336</v>
      </c>
      <c r="E1467" s="9">
        <f t="shared" si="46"/>
        <v>0.99906080692773724</v>
      </c>
      <c r="F1467" t="str">
        <f t="shared" si="47"/>
        <v>Expected</v>
      </c>
    </row>
    <row r="1468" spans="1:7" ht="15" hidden="1" customHeight="1" x14ac:dyDescent="0.3">
      <c r="A1468" t="s">
        <v>145</v>
      </c>
      <c r="B1468" s="2">
        <v>46082</v>
      </c>
      <c r="C1468" cm="1">
        <f t="array" ref="C1468">IFERROR(IF(SUMPRODUCT((measured[Site Name]=A1468)*(measured[Date]=B1468)*ISNUMBER(measured[Measured Value (kWh)]))=0,"",SUMIFS(measured[Measured Value (kWh)],measured[Site Name],A1468,measured[Date],B1468)),"")</f>
        <v>33082</v>
      </c>
      <c r="D1468" cm="1">
        <f t="array" ref="D1468">IFERROR(IF(SUMPRODUCT((expected_production[Site Name]=A1468)*(expected_production[Date]=B1468)*ISNUMBER(expected_production[Expected Production (kWh)]))=0,"",SUMIFS(expected_production[Expected Production (kWh)],expected_production[Site Name],A1468,expected_production[Date],B1468)),"")</f>
        <v>35876.671545909361</v>
      </c>
      <c r="E1468" s="9">
        <f t="shared" si="46"/>
        <v>0.92210337733440029</v>
      </c>
      <c r="F1468" t="str">
        <f t="shared" si="47"/>
        <v>Expected</v>
      </c>
    </row>
    <row r="1469" spans="1:7" ht="15" hidden="1" customHeight="1" x14ac:dyDescent="0.3">
      <c r="A1469" t="s">
        <v>145</v>
      </c>
      <c r="B1469" s="2">
        <v>46113</v>
      </c>
      <c r="C1469" cm="1">
        <f t="array" ref="C1469">IFERROR(IF(SUMPRODUCT((measured[Site Name]=A1469)*(measured[Date]=B1469)*ISNUMBER(measured[Measured Value (kWh)]))=0,"",SUMIFS(measured[Measured Value (kWh)],measured[Site Name],A1469,measured[Date],B1469)),"")</f>
        <v>26958.67</v>
      </c>
      <c r="D1469" cm="1">
        <f t="array" ref="D1469">IFERROR(IF(SUMPRODUCT((expected_production[Site Name]=A1469)*(expected_production[Date]=B1469)*ISNUMBER(expected_production[Expected Production (kWh)]))=0,"",SUMIFS(expected_production[Expected Production (kWh)],expected_production[Site Name],A1469,expected_production[Date],B1469)),"")</f>
        <v>32956.392401480734</v>
      </c>
      <c r="E1469" s="9">
        <f t="shared" si="46"/>
        <v>0.81801034747931767</v>
      </c>
      <c r="F1469" t="str">
        <f t="shared" si="47"/>
        <v>Moderate</v>
      </c>
    </row>
    <row r="1470" spans="1:7" ht="15" hidden="1" customHeight="1" x14ac:dyDescent="0.3">
      <c r="A1470" t="s">
        <v>145</v>
      </c>
      <c r="B1470" s="2">
        <v>46143</v>
      </c>
      <c r="C1470" cm="1">
        <f t="array" ref="C1470">IFERROR(IF(SUMPRODUCT((measured[Site Name]=A1470)*(measured[Date]=B1470)*ISNUMBER(measured[Measured Value (kWh)]))=0,"",SUMIFS(measured[Measured Value (kWh)],measured[Site Name],A1470,measured[Date],B1470)),"")</f>
        <v>28264.560000000001</v>
      </c>
      <c r="D1470" cm="1">
        <f t="array" ref="D1470">IFERROR(IF(SUMPRODUCT((expected_production[Site Name]=A1470)*(expected_production[Date]=B1470)*ISNUMBER(expected_production[Expected Production (kWh)]))=0,"",SUMIFS(expected_production[Expected Production (kWh)],expected_production[Site Name],A1470,expected_production[Date],B1470)),"")</f>
        <v>32304.70975710807</v>
      </c>
      <c r="E1470" s="9">
        <f t="shared" si="46"/>
        <v>0.87493620009326634</v>
      </c>
      <c r="F1470" t="str">
        <f t="shared" si="47"/>
        <v>Moderate</v>
      </c>
    </row>
    <row r="1471" spans="1:7" ht="15" hidden="1" customHeight="1" x14ac:dyDescent="0.3">
      <c r="A1471" t="s">
        <v>145</v>
      </c>
      <c r="B1471" s="2">
        <v>46174</v>
      </c>
      <c r="C1471" cm="1">
        <f t="array" ref="C1471">IFERROR(IF(SUMPRODUCT((measured[Site Name]=A1471)*(measured[Date]=B1471)*ISNUMBER(measured[Measured Value (kWh)]))=0,"",SUMIFS(measured[Measured Value (kWh)],measured[Site Name],A1471,measured[Date],B1471)),"")</f>
        <v>20267.330000000002</v>
      </c>
      <c r="D1471" cm="1">
        <f t="array" ref="D1471">IFERROR(IF(SUMPRODUCT((expected_production[Site Name]=A1471)*(expected_production[Date]=B1471)*ISNUMBER(expected_production[Expected Production (kWh)]))=0,"",SUMIFS(expected_production[Expected Production (kWh)],expected_production[Site Name],A1471,expected_production[Date],B1471)),"")</f>
        <v>29405.103901851991</v>
      </c>
      <c r="E1471" s="9">
        <f t="shared" si="46"/>
        <v>0.6892453115502688</v>
      </c>
      <c r="F1471" t="str">
        <f t="shared" si="47"/>
        <v>Poor</v>
      </c>
    </row>
    <row r="1472" spans="1:7" ht="15" hidden="1" customHeight="1" x14ac:dyDescent="0.3">
      <c r="A1472" t="s">
        <v>220</v>
      </c>
      <c r="B1472" s="2">
        <v>46204</v>
      </c>
      <c r="C1472" cm="1">
        <f t="array" ref="C1472">IFERROR(IF(SUMPRODUCT((measured[Site Name]=A1472)*(measured[Date]=B1472)*ISNUMBER(measured[Measured Value (kWh)]))=0,"",SUMIFS(measured[Measured Value (kWh)],measured[Site Name],A1472,measured[Date],B1472)),"")</f>
        <v>27717.592700000001</v>
      </c>
      <c r="D1472" cm="1">
        <f t="array" ref="D1472">IFERROR(IF(SUMPRODUCT((expected_production[Site Name]=A1472)*(expected_production[Date]=B1472)*ISNUMBER(expected_production[Expected Production (kWh)]))=0,"",SUMIFS(expected_production[Expected Production (kWh)],expected_production[Site Name],A1472,expected_production[Date],B1472)),"")</f>
        <v>31061.381498944545</v>
      </c>
      <c r="E1472" s="9">
        <f t="shared" si="46"/>
        <v>0.89234899938181544</v>
      </c>
      <c r="F1472" t="str">
        <f t="shared" si="47"/>
        <v>Moderate</v>
      </c>
      <c r="G1472" t="s">
        <v>875</v>
      </c>
    </row>
    <row r="1473" spans="1:7" ht="15" hidden="1" customHeight="1" x14ac:dyDescent="0.3">
      <c r="A1473" t="s">
        <v>145</v>
      </c>
      <c r="B1473" s="2">
        <v>46235</v>
      </c>
      <c r="C1473" cm="1">
        <f t="array" ref="C1473">IFERROR(IF(SUMPRODUCT((measured[Site Name]=A1473)*(measured[Date]=B1473)*ISNUMBER(measured[Measured Value (kWh)]))=0,"",SUMIFS(measured[Measured Value (kWh)],measured[Site Name],A1473,measured[Date],B1473)),"")</f>
        <v>24964.912</v>
      </c>
      <c r="D1473" cm="1">
        <f t="array" ref="D1473">IFERROR(IF(SUMPRODUCT((expected_production[Site Name]=A1473)*(expected_production[Date]=B1473)*ISNUMBER(expected_production[Expected Production (kWh)]))=0,"",SUMIFS(expected_production[Expected Production (kWh)],expected_production[Site Name],A1473,expected_production[Date],B1473)),"")</f>
        <v>35718.565373080899</v>
      </c>
      <c r="E1473" s="9">
        <f t="shared" si="46"/>
        <v>0.69893378245293891</v>
      </c>
      <c r="F1473" t="str">
        <f t="shared" si="47"/>
        <v>Poor</v>
      </c>
      <c r="G1473" t="s">
        <v>875</v>
      </c>
    </row>
    <row r="1474" spans="1:7" ht="15" customHeight="1" x14ac:dyDescent="0.3">
      <c r="A1474" t="s">
        <v>145</v>
      </c>
      <c r="B1474" s="2">
        <v>46266</v>
      </c>
      <c r="C1474" cm="1">
        <f t="array" ref="C1474">IFERROR(IF(SUMPRODUCT((measured[Site Name]=A1474)*(measured[Date]=B1474)*ISNUMBER(measured[Measured Value (kWh)]))=0,"",SUMIFS(measured[Measured Value (kWh)],measured[Site Name],A1474,measured[Date],B1474)),"")</f>
        <v>22767.148420000001</v>
      </c>
      <c r="D1474" cm="1">
        <f t="array" ref="D1474">IFERROR(IF(SUMPRODUCT((expected_production[Site Name]=A1474)*(expected_production[Date]=B1474)*ISNUMBER(expected_production[Expected Production (kWh)]))=0,"",SUMIFS(expected_production[Expected Production (kWh)],expected_production[Site Name],A1474,expected_production[Date],B1474)),"")</f>
        <v>36542.86059311578</v>
      </c>
      <c r="E1474" s="9">
        <f t="shared" si="46"/>
        <v>0.62302589481155857</v>
      </c>
      <c r="F1474" t="str">
        <f t="shared" si="47"/>
        <v>Poor</v>
      </c>
      <c r="G1474" t="s">
        <v>874</v>
      </c>
    </row>
    <row r="1475" spans="1:7" ht="15" hidden="1" customHeight="1" x14ac:dyDescent="0.3">
      <c r="A1475" t="s">
        <v>145</v>
      </c>
      <c r="B1475" s="2">
        <v>46296</v>
      </c>
      <c r="C1475" t="str" cm="1">
        <f t="array" ref="C1475">IFERROR(IF(SUMPRODUCT((measured[Site Name]=A1475)*(measured[Date]=B1475)*ISNUMBER(measured[Measured Value (kWh)]))=0,"",SUMIFS(measured[Measured Value (kWh)],measured[Site Name],A1475,measured[Date],B1475)),"")</f>
        <v/>
      </c>
      <c r="D1475" cm="1">
        <f t="array" ref="D1475">IFERROR(IF(SUMPRODUCT((expected_production[Site Name]=A1475)*(expected_production[Date]=B1475)*ISNUMBER(expected_production[Expected Production (kWh)]))=0,"",SUMIFS(expected_production[Expected Production (kWh)],expected_production[Site Name],A1475,expected_production[Date],B1475)),"")</f>
        <v>39270.00606852489</v>
      </c>
      <c r="E1475" s="9" t="str">
        <f t="shared" si="46"/>
        <v/>
      </c>
      <c r="F1475" t="str">
        <f t="shared" si="47"/>
        <v/>
      </c>
    </row>
    <row r="1476" spans="1:7" ht="15" hidden="1" customHeight="1" x14ac:dyDescent="0.3">
      <c r="A1476" t="s">
        <v>145</v>
      </c>
      <c r="B1476" s="2">
        <v>46327</v>
      </c>
      <c r="C1476" t="str" cm="1">
        <f t="array" ref="C1476">IFERROR(IF(SUMPRODUCT((measured[Site Name]=A1476)*(measured[Date]=B1476)*ISNUMBER(measured[Measured Value (kWh)]))=0,"",SUMIFS(measured[Measured Value (kWh)],measured[Site Name],A1476,measured[Date],B1476)),"")</f>
        <v/>
      </c>
      <c r="D1476" cm="1">
        <f t="array" ref="D1476">IFERROR(IF(SUMPRODUCT((expected_production[Site Name]=A1476)*(expected_production[Date]=B1476)*ISNUMBER(expected_production[Expected Production (kWh)]))=0,"",SUMIFS(expected_production[Expected Production (kWh)],expected_production[Site Name],A1476,expected_production[Date],B1476)),"")</f>
        <v>39390.711668193107</v>
      </c>
      <c r="E1476" s="9" t="str">
        <f t="shared" si="46"/>
        <v/>
      </c>
      <c r="F1476" t="str">
        <f t="shared" si="47"/>
        <v/>
      </c>
    </row>
    <row r="1477" spans="1:7" ht="15" hidden="1" customHeight="1" x14ac:dyDescent="0.3">
      <c r="A1477" t="s">
        <v>145</v>
      </c>
      <c r="B1477" s="2">
        <v>46357</v>
      </c>
      <c r="C1477" t="str" cm="1">
        <f t="array" ref="C1477">IFERROR(IF(SUMPRODUCT((measured[Site Name]=A1477)*(measured[Date]=B1477)*ISNUMBER(measured[Measured Value (kWh)]))=0,"",SUMIFS(measured[Measured Value (kWh)],measured[Site Name],A1477,measured[Date],B1477)),"")</f>
        <v/>
      </c>
      <c r="D1477" cm="1">
        <f t="array" ref="D1477">IFERROR(IF(SUMPRODUCT((expected_production[Site Name]=A1477)*(expected_production[Date]=B1477)*ISNUMBER(expected_production[Expected Production (kWh)]))=0,"",SUMIFS(expected_production[Expected Production (kWh)],expected_production[Site Name],A1477,expected_production[Date],B1477)),"")</f>
        <v>41584.684611869365</v>
      </c>
      <c r="E1477" s="9" t="str">
        <f t="shared" si="46"/>
        <v/>
      </c>
      <c r="F1477" t="str">
        <f t="shared" si="47"/>
        <v/>
      </c>
    </row>
    <row r="1478" spans="1:7" ht="15" hidden="1" customHeight="1" x14ac:dyDescent="0.3">
      <c r="A1478" t="s">
        <v>152</v>
      </c>
      <c r="B1478" s="2">
        <v>45292</v>
      </c>
      <c r="C1478" cm="1">
        <f t="array" ref="C1478">IFERROR(IF(SUMPRODUCT((measured[Site Name]=A1478)*(measured[Date]=B1478)*ISNUMBER(measured[Measured Value (kWh)]))=0,"",SUMIFS(measured[Measured Value (kWh)],measured[Site Name],A1478,measured[Date],B1478)),"")</f>
        <v>12283</v>
      </c>
      <c r="D1478" cm="1">
        <f t="array" ref="D1478">IFERROR(IF(SUMPRODUCT((expected_production[Site Name]=A1478)*(expected_production[Date]=B1478)*ISNUMBER(expected_production[Expected Production (kWh)]))=0,"",SUMIFS(expected_production[Expected Production (kWh)],expected_production[Site Name],A1478,expected_production[Date],B1478)),"")</f>
        <v>11292.6340757449</v>
      </c>
      <c r="E1478" s="9">
        <f t="shared" si="46"/>
        <v>1.0877001696514967</v>
      </c>
      <c r="F1478" t="str">
        <f t="shared" si="47"/>
        <v>Expected</v>
      </c>
    </row>
    <row r="1479" spans="1:7" ht="15" hidden="1" customHeight="1" x14ac:dyDescent="0.3">
      <c r="A1479" t="s">
        <v>152</v>
      </c>
      <c r="B1479" s="2">
        <v>45323</v>
      </c>
      <c r="C1479" cm="1">
        <f t="array" ref="C1479">IFERROR(IF(SUMPRODUCT((measured[Site Name]=A1479)*(measured[Date]=B1479)*ISNUMBER(measured[Measured Value (kWh)]))=0,"",SUMIFS(measured[Measured Value (kWh)],measured[Site Name],A1479,measured[Date],B1479)),"")</f>
        <v>11752</v>
      </c>
      <c r="D1479" cm="1">
        <f t="array" ref="D1479">IFERROR(IF(SUMPRODUCT((expected_production[Site Name]=A1479)*(expected_production[Date]=B1479)*ISNUMBER(expected_production[Expected Production (kWh)]))=0,"",SUMIFS(expected_production[Expected Production (kWh)],expected_production[Site Name],A1479,expected_production[Date],B1479)),"")</f>
        <v>9644.3615304485174</v>
      </c>
      <c r="E1479" s="9">
        <f t="shared" si="46"/>
        <v>1.2185358214639084</v>
      </c>
      <c r="F1479" t="str">
        <f t="shared" si="47"/>
        <v>Expected</v>
      </c>
    </row>
    <row r="1480" spans="1:7" ht="15" hidden="1" customHeight="1" x14ac:dyDescent="0.3">
      <c r="A1480" t="s">
        <v>152</v>
      </c>
      <c r="B1480" s="2">
        <v>45352</v>
      </c>
      <c r="C1480" cm="1">
        <f t="array" ref="C1480">IFERROR(IF(SUMPRODUCT((measured[Site Name]=A1480)*(measured[Date]=B1480)*ISNUMBER(measured[Measured Value (kWh)]))=0,"",SUMIFS(measured[Measured Value (kWh)],measured[Site Name],A1480,measured[Date],B1480)),"")</f>
        <v>11293</v>
      </c>
      <c r="D1480" cm="1">
        <f t="array" ref="D1480">IFERROR(IF(SUMPRODUCT((expected_production[Site Name]=A1480)*(expected_production[Date]=B1480)*ISNUMBER(expected_production[Expected Production (kWh)]))=0,"",SUMIFS(expected_production[Expected Production (kWh)],expected_production[Site Name],A1480,expected_production[Date],B1480)),"")</f>
        <v>10111.163565904926</v>
      </c>
      <c r="E1480" s="9">
        <f t="shared" si="46"/>
        <v>1.1168843156766104</v>
      </c>
      <c r="F1480" t="str">
        <f t="shared" si="47"/>
        <v>Expected</v>
      </c>
    </row>
    <row r="1481" spans="1:7" ht="15" hidden="1" customHeight="1" x14ac:dyDescent="0.3">
      <c r="A1481" t="s">
        <v>152</v>
      </c>
      <c r="B1481" s="2">
        <v>45383</v>
      </c>
      <c r="C1481" cm="1">
        <f t="array" ref="C1481">IFERROR(IF(SUMPRODUCT((measured[Site Name]=A1481)*(measured[Date]=B1481)*ISNUMBER(measured[Measured Value (kWh)]))=0,"",SUMIFS(measured[Measured Value (kWh)],measured[Site Name],A1481,measured[Date],B1481)),"")</f>
        <v>10034</v>
      </c>
      <c r="D1481" cm="1">
        <f t="array" ref="D1481">IFERROR(IF(SUMPRODUCT((expected_production[Site Name]=A1481)*(expected_production[Date]=B1481)*ISNUMBER(expected_production[Expected Production (kWh)]))=0,"",SUMIFS(expected_production[Expected Production (kWh)],expected_production[Site Name],A1481,expected_production[Date],B1481)),"")</f>
        <v>8614.660990069644</v>
      </c>
      <c r="E1481" s="9">
        <f t="shared" si="46"/>
        <v>1.1647585449463962</v>
      </c>
      <c r="F1481" t="str">
        <f t="shared" si="47"/>
        <v>Expected</v>
      </c>
    </row>
    <row r="1482" spans="1:7" ht="15" hidden="1" customHeight="1" x14ac:dyDescent="0.3">
      <c r="A1482" t="s">
        <v>152</v>
      </c>
      <c r="B1482" s="2">
        <v>45413</v>
      </c>
      <c r="C1482" cm="1">
        <f t="array" ref="C1482">IFERROR(IF(SUMPRODUCT((measured[Site Name]=A1482)*(measured[Date]=B1482)*ISNUMBER(measured[Measured Value (kWh)]))=0,"",SUMIFS(measured[Measured Value (kWh)],measured[Site Name],A1482,measured[Date],B1482)),"")</f>
        <v>7886</v>
      </c>
      <c r="D1482" cm="1">
        <f t="array" ref="D1482">IFERROR(IF(SUMPRODUCT((expected_production[Site Name]=A1482)*(expected_production[Date]=B1482)*ISNUMBER(expected_production[Expected Production (kWh)]))=0,"",SUMIFS(expected_production[Expected Production (kWh)],expected_production[Site Name],A1482,expected_production[Date],B1482)),"")</f>
        <v>8334.9478468330108</v>
      </c>
      <c r="E1482" s="9">
        <f t="shared" si="46"/>
        <v>0.94613669394421041</v>
      </c>
      <c r="F1482" t="str">
        <f t="shared" si="47"/>
        <v>Expected</v>
      </c>
    </row>
    <row r="1483" spans="1:7" ht="15" hidden="1" customHeight="1" x14ac:dyDescent="0.3">
      <c r="A1483" t="s">
        <v>152</v>
      </c>
      <c r="B1483" s="2">
        <v>45444</v>
      </c>
      <c r="C1483" cm="1">
        <f t="array" ref="C1483">IFERROR(IF(SUMPRODUCT((measured[Site Name]=A1483)*(measured[Date]=B1483)*ISNUMBER(measured[Measured Value (kWh)]))=0,"",SUMIFS(measured[Measured Value (kWh)],measured[Site Name],A1483,measured[Date],B1483)),"")</f>
        <v>9067</v>
      </c>
      <c r="D1483" cm="1">
        <f t="array" ref="D1483">IFERROR(IF(SUMPRODUCT((expected_production[Site Name]=A1483)*(expected_production[Date]=B1483)*ISNUMBER(expected_production[Expected Production (kWh)]))=0,"",SUMIFS(expected_production[Expected Production (kWh)],expected_production[Site Name],A1483,expected_production[Date],B1483)),"")</f>
        <v>7512.3266669254726</v>
      </c>
      <c r="E1483" s="9">
        <f t="shared" si="46"/>
        <v>1.2069496444981938</v>
      </c>
      <c r="F1483" t="str">
        <f t="shared" si="47"/>
        <v>Expected</v>
      </c>
    </row>
    <row r="1484" spans="1:7" ht="15" hidden="1" customHeight="1" x14ac:dyDescent="0.3">
      <c r="A1484" t="s">
        <v>152</v>
      </c>
      <c r="B1484" s="2">
        <v>45474</v>
      </c>
      <c r="C1484" cm="1">
        <f t="array" ref="C1484">IFERROR(IF(SUMPRODUCT((measured[Site Name]=A1484)*(measured[Date]=B1484)*ISNUMBER(measured[Measured Value (kWh)]))=0,"",SUMIFS(measured[Measured Value (kWh)],measured[Site Name],A1484,measured[Date],B1484)),"")</f>
        <v>8952</v>
      </c>
      <c r="D1484" cm="1">
        <f t="array" ref="D1484">IFERROR(IF(SUMPRODUCT((expected_production[Site Name]=A1484)*(expected_production[Date]=B1484)*ISNUMBER(expected_production[Expected Production (kWh)]))=0,"",SUMIFS(expected_production[Expected Production (kWh)],expected_production[Site Name],A1484,expected_production[Date],B1484)),"")</f>
        <v>8275.5639818759628</v>
      </c>
      <c r="E1484" s="9">
        <f t="shared" si="46"/>
        <v>1.081738963000646</v>
      </c>
      <c r="F1484" t="str">
        <f t="shared" si="47"/>
        <v>Expected</v>
      </c>
    </row>
    <row r="1485" spans="1:7" ht="15" hidden="1" customHeight="1" x14ac:dyDescent="0.3">
      <c r="A1485" t="s">
        <v>152</v>
      </c>
      <c r="B1485" s="2">
        <v>45505</v>
      </c>
      <c r="C1485" cm="1">
        <f t="array" ref="C1485">IFERROR(IF(SUMPRODUCT((measured[Site Name]=A1485)*(measured[Date]=B1485)*ISNUMBER(measured[Measured Value (kWh)]))=0,"",SUMIFS(measured[Measured Value (kWh)],measured[Site Name],A1485,measured[Date],B1485)),"")</f>
        <v>8952</v>
      </c>
      <c r="D1485" cm="1">
        <f t="array" ref="D1485">IFERROR(IF(SUMPRODUCT((expected_production[Site Name]=A1485)*(expected_production[Date]=B1485)*ISNUMBER(expected_production[Expected Production (kWh)]))=0,"",SUMIFS(expected_production[Expected Production (kWh)],expected_production[Site Name],A1485,expected_production[Date],B1485)),"")</f>
        <v>9560.1453120931837</v>
      </c>
      <c r="E1485" s="9">
        <f t="shared" si="46"/>
        <v>0.93638744054194389</v>
      </c>
      <c r="F1485" t="str">
        <f t="shared" si="47"/>
        <v>Expected</v>
      </c>
    </row>
    <row r="1486" spans="1:7" ht="15" hidden="1" customHeight="1" x14ac:dyDescent="0.3">
      <c r="A1486" t="s">
        <v>152</v>
      </c>
      <c r="B1486" s="2">
        <v>45536</v>
      </c>
      <c r="C1486" cm="1">
        <f t="array" ref="C1486">IFERROR(IF(SUMPRODUCT((measured[Site Name]=A1486)*(measured[Date]=B1486)*ISNUMBER(measured[Measured Value (kWh)]))=0,"",SUMIFS(measured[Measured Value (kWh)],measured[Site Name],A1486,measured[Date],B1486)),"")</f>
        <v>8110</v>
      </c>
      <c r="D1486" cm="1">
        <f t="array" ref="D1486">IFERROR(IF(SUMPRODUCT((expected_production[Site Name]=A1486)*(expected_production[Date]=B1486)*ISNUMBER(expected_production[Expected Production (kWh)]))=0,"",SUMIFS(expected_production[Expected Production (kWh)],expected_production[Site Name],A1486,expected_production[Date],B1486)),"")</f>
        <v>10427.063521174501</v>
      </c>
      <c r="E1486" s="9">
        <f t="shared" si="46"/>
        <v>0.77778369562349148</v>
      </c>
      <c r="F1486" t="str">
        <f t="shared" si="47"/>
        <v>Moderate</v>
      </c>
    </row>
    <row r="1487" spans="1:7" ht="15" hidden="1" customHeight="1" x14ac:dyDescent="0.3">
      <c r="A1487" t="s">
        <v>152</v>
      </c>
      <c r="B1487" s="2">
        <v>45566</v>
      </c>
      <c r="C1487" cm="1">
        <f t="array" ref="C1487">IFERROR(IF(SUMPRODUCT((measured[Site Name]=A1487)*(measured[Date]=B1487)*ISNUMBER(measured[Measured Value (kWh)]))=0,"",SUMIFS(measured[Measured Value (kWh)],measured[Site Name],A1487,measured[Date],B1487)),"")</f>
        <v>12770</v>
      </c>
      <c r="D1487" cm="1">
        <f t="array" ref="D1487">IFERROR(IF(SUMPRODUCT((expected_production[Site Name]=A1487)*(expected_production[Date]=B1487)*ISNUMBER(expected_production[Expected Production (kWh)]))=0,"",SUMIFS(expected_production[Expected Production (kWh)],expected_production[Site Name],A1487,expected_production[Date],B1487)),"")</f>
        <v>11106.202898719344</v>
      </c>
      <c r="E1487" s="9">
        <f t="shared" si="46"/>
        <v>1.1498079151311478</v>
      </c>
      <c r="F1487" t="str">
        <f t="shared" si="47"/>
        <v>Expected</v>
      </c>
    </row>
    <row r="1488" spans="1:7" ht="15" hidden="1" customHeight="1" x14ac:dyDescent="0.3">
      <c r="A1488" t="s">
        <v>152</v>
      </c>
      <c r="B1488" s="2">
        <v>45597</v>
      </c>
      <c r="C1488" cm="1">
        <f t="array" ref="C1488">IFERROR(IF(SUMPRODUCT((measured[Site Name]=A1488)*(measured[Date]=B1488)*ISNUMBER(measured[Measured Value (kWh)]))=0,"",SUMIFS(measured[Measured Value (kWh)],measured[Site Name],A1488,measured[Date],B1488)),"")</f>
        <v>10951</v>
      </c>
      <c r="D1488" cm="1">
        <f t="array" ref="D1488">IFERROR(IF(SUMPRODUCT((expected_production[Site Name]=A1488)*(expected_production[Date]=B1488)*ISNUMBER(expected_production[Expected Production (kWh)]))=0,"",SUMIFS(expected_production[Expected Production (kWh)],expected_production[Site Name],A1488,expected_production[Date],B1488)),"")</f>
        <v>11031.490107179579</v>
      </c>
      <c r="E1488" s="9">
        <f t="shared" si="46"/>
        <v>0.99270360518864131</v>
      </c>
      <c r="F1488" t="str">
        <f t="shared" si="47"/>
        <v>Expected</v>
      </c>
    </row>
    <row r="1489" spans="1:6" ht="15" hidden="1" customHeight="1" x14ac:dyDescent="0.3">
      <c r="A1489" t="s">
        <v>152</v>
      </c>
      <c r="B1489" s="2">
        <v>45627</v>
      </c>
      <c r="C1489" cm="1">
        <f t="array" ref="C1489">IFERROR(IF(SUMPRODUCT((measured[Site Name]=A1489)*(measured[Date]=B1489)*ISNUMBER(measured[Measured Value (kWh)]))=0,"",SUMIFS(measured[Measured Value (kWh)],measured[Site Name],A1489,measured[Date],B1489)),"")</f>
        <v>11135</v>
      </c>
      <c r="D1489" cm="1">
        <f t="array" ref="D1489">IFERROR(IF(SUMPRODUCT((expected_production[Site Name]=A1489)*(expected_production[Date]=B1489)*ISNUMBER(expected_production[Expected Production (kWh)]))=0,"",SUMIFS(expected_production[Expected Production (kWh)],expected_production[Site Name],A1489,expected_production[Date],B1489)),"")</f>
        <v>11766.098394115954</v>
      </c>
      <c r="E1489" s="9">
        <f t="shared" si="46"/>
        <v>0.94636298516494166</v>
      </c>
      <c r="F1489" t="str">
        <f t="shared" si="47"/>
        <v>Expected</v>
      </c>
    </row>
    <row r="1490" spans="1:6" ht="15" hidden="1" customHeight="1" x14ac:dyDescent="0.3">
      <c r="A1490" t="s">
        <v>152</v>
      </c>
      <c r="B1490" s="2">
        <v>45658</v>
      </c>
      <c r="C1490" cm="1">
        <f t="array" ref="C1490">IFERROR(IF(SUMPRODUCT((measured[Site Name]=A1490)*(measured[Date]=B1490)*ISNUMBER(measured[Measured Value (kWh)]))=0,"",SUMIFS(measured[Measured Value (kWh)],measured[Site Name],A1490,measured[Date],B1490)),"")</f>
        <v>10294</v>
      </c>
      <c r="D1490" cm="1">
        <f t="array" ref="D1490">IFERROR(IF(SUMPRODUCT((expected_production[Site Name]=A1490)*(expected_production[Date]=B1490)*ISNUMBER(expected_production[Expected Production (kWh)]))=0,"",SUMIFS(expected_production[Expected Production (kWh)],expected_production[Site Name],A1490,expected_production[Date],B1490)),"")</f>
        <v>11213.423890699163</v>
      </c>
      <c r="E1490" s="9">
        <f t="shared" si="46"/>
        <v>0.91800685502830515</v>
      </c>
      <c r="F1490" t="str">
        <f t="shared" si="47"/>
        <v>Expected</v>
      </c>
    </row>
    <row r="1491" spans="1:6" ht="15" hidden="1" customHeight="1" x14ac:dyDescent="0.3">
      <c r="A1491" t="s">
        <v>152</v>
      </c>
      <c r="B1491" s="2">
        <v>45689</v>
      </c>
      <c r="C1491" cm="1">
        <f t="array" ref="C1491">IFERROR(IF(SUMPRODUCT((measured[Site Name]=A1491)*(measured[Date]=B1491)*ISNUMBER(measured[Measured Value (kWh)]))=0,"",SUMIFS(measured[Measured Value (kWh)],measured[Site Name],A1491,measured[Date],B1491)),"")</f>
        <v>7952</v>
      </c>
      <c r="D1491" cm="1">
        <f t="array" ref="D1491">IFERROR(IF(SUMPRODUCT((expected_production[Site Name]=A1491)*(expected_production[Date]=B1491)*ISNUMBER(expected_production[Expected Production (kWh)]))=0,"",SUMIFS(expected_production[Expected Production (kWh)],expected_production[Site Name],A1491,expected_production[Date],B1491)),"")</f>
        <v>9576.7128617366161</v>
      </c>
      <c r="E1491" s="9">
        <f t="shared" si="46"/>
        <v>0.83034754354721307</v>
      </c>
      <c r="F1491" t="str">
        <f t="shared" si="47"/>
        <v>Moderate</v>
      </c>
    </row>
    <row r="1492" spans="1:6" ht="15" hidden="1" customHeight="1" x14ac:dyDescent="0.3">
      <c r="A1492" t="s">
        <v>152</v>
      </c>
      <c r="B1492" s="2">
        <v>45717</v>
      </c>
      <c r="C1492" cm="1">
        <f t="array" ref="C1492">IFERROR(IF(SUMPRODUCT((measured[Site Name]=A1492)*(measured[Date]=B1492)*ISNUMBER(measured[Measured Value (kWh)]))=0,"",SUMIFS(measured[Measured Value (kWh)],measured[Site Name],A1492,measured[Date],B1492)),"")</f>
        <v>9856</v>
      </c>
      <c r="D1492" cm="1">
        <f t="array" ref="D1492">IFERROR(IF(SUMPRODUCT((expected_production[Site Name]=A1492)*(expected_production[Date]=B1492)*ISNUMBER(expected_production[Expected Production (kWh)]))=0,"",SUMIFS(expected_production[Expected Production (kWh)],expected_production[Site Name],A1492,expected_production[Date],B1492)),"")</f>
        <v>10040.433696105096</v>
      </c>
      <c r="E1492" s="9">
        <f t="shared" si="46"/>
        <v>0.98163090343630854</v>
      </c>
      <c r="F1492" t="str">
        <f t="shared" si="47"/>
        <v>Expected</v>
      </c>
    </row>
    <row r="1493" spans="1:6" ht="15" hidden="1" customHeight="1" x14ac:dyDescent="0.3">
      <c r="A1493" t="s">
        <v>152</v>
      </c>
      <c r="B1493" s="2">
        <v>45748</v>
      </c>
      <c r="C1493" cm="1">
        <f t="array" ref="C1493">IFERROR(IF(SUMPRODUCT((measured[Site Name]=A1493)*(measured[Date]=B1493)*ISNUMBER(measured[Measured Value (kWh)]))=0,"",SUMIFS(measured[Measured Value (kWh)],measured[Site Name],A1493,measured[Date],B1493)),"")</f>
        <v>7739</v>
      </c>
      <c r="D1493" cm="1">
        <f t="array" ref="D1493">IFERROR(IF(SUMPRODUCT((expected_production[Site Name]=A1493)*(expected_production[Date]=B1493)*ISNUMBER(expected_production[Expected Production (kWh)]))=0,"",SUMIFS(expected_production[Expected Production (kWh)],expected_production[Site Name],A1493,expected_production[Date],B1493)),"")</f>
        <v>8554.3994933362792</v>
      </c>
      <c r="E1493" s="9">
        <f t="shared" si="46"/>
        <v>0.90468068577210348</v>
      </c>
      <c r="F1493" t="str">
        <f t="shared" si="47"/>
        <v>Expected</v>
      </c>
    </row>
    <row r="1494" spans="1:6" ht="15" hidden="1" customHeight="1" x14ac:dyDescent="0.3">
      <c r="A1494" t="s">
        <v>152</v>
      </c>
      <c r="B1494" s="2">
        <v>45778</v>
      </c>
      <c r="C1494" cm="1">
        <f t="array" ref="C1494">IFERROR(IF(SUMPRODUCT((measured[Site Name]=A1494)*(measured[Date]=B1494)*ISNUMBER(measured[Measured Value (kWh)]))=0,"",SUMIFS(measured[Measured Value (kWh)],measured[Site Name],A1494,measured[Date],B1494)),"")</f>
        <v>9189</v>
      </c>
      <c r="D1494" cm="1">
        <f t="array" ref="D1494">IFERROR(IF(SUMPRODUCT((expected_production[Site Name]=A1494)*(expected_production[Date]=B1494)*ISNUMBER(expected_production[Expected Production (kWh)]))=0,"",SUMIFS(expected_production[Expected Production (kWh)],expected_production[Site Name],A1494,expected_production[Date],B1494)),"")</f>
        <v>8276.6430066281919</v>
      </c>
      <c r="E1494" s="9">
        <f t="shared" ref="E1494:E1557" si="48">IF(OR(C1494="",D1494="",D1494=0),"",C1494/D1494)</f>
        <v>1.1102327347743721</v>
      </c>
      <c r="F1494" t="str">
        <f t="shared" ref="F1494:F1557" si="49">IF(E1494="","",IF(E1494&gt;=0.9,"Expected",IF(E1494&gt;=0.7,"Moderate","Poor")))</f>
        <v>Expected</v>
      </c>
    </row>
    <row r="1495" spans="1:6" ht="15" hidden="1" customHeight="1" x14ac:dyDescent="0.3">
      <c r="A1495" t="s">
        <v>152</v>
      </c>
      <c r="B1495" s="2">
        <v>45809</v>
      </c>
      <c r="C1495" cm="1">
        <f t="array" ref="C1495">IFERROR(IF(SUMPRODUCT((measured[Site Name]=A1495)*(measured[Date]=B1495)*ISNUMBER(measured[Measured Value (kWh)]))=0,"",SUMIFS(measured[Measured Value (kWh)],measured[Site Name],A1495,measured[Date],B1495)),"")</f>
        <v>7656.32</v>
      </c>
      <c r="D1495" cm="1">
        <f t="array" ref="D1495">IFERROR(IF(SUMPRODUCT((expected_production[Site Name]=A1495)*(expected_production[Date]=B1495)*ISNUMBER(expected_production[Expected Production (kWh)]))=0,"",SUMIFS(expected_production[Expected Production (kWh)],expected_production[Site Name],A1495,expected_production[Date],B1495)),"")</f>
        <v>7459.7762474230976</v>
      </c>
      <c r="E1495" s="9">
        <f t="shared" si="48"/>
        <v>1.0263471377770608</v>
      </c>
      <c r="F1495" t="str">
        <f t="shared" si="49"/>
        <v>Expected</v>
      </c>
    </row>
    <row r="1496" spans="1:6" ht="15" hidden="1" customHeight="1" x14ac:dyDescent="0.3">
      <c r="A1496" t="s">
        <v>152</v>
      </c>
      <c r="B1496" s="2">
        <v>45839</v>
      </c>
      <c r="C1496" cm="1">
        <f t="array" ref="C1496">IFERROR(IF(SUMPRODUCT((measured[Site Name]=A1496)*(measured[Date]=B1496)*ISNUMBER(measured[Measured Value (kWh)]))=0,"",SUMIFS(measured[Measured Value (kWh)],measured[Site Name],A1496,measured[Date],B1496)),"")</f>
        <v>8158</v>
      </c>
      <c r="D1496" cm="1">
        <f t="array" ref="D1496">IFERROR(IF(SUMPRODUCT((expected_production[Site Name]=A1496)*(expected_production[Date]=B1496)*ISNUMBER(expected_production[Expected Production (kWh)]))=0,"",SUMIFS(expected_production[Expected Production (kWh)],expected_production[Site Name],A1496,expected_production[Date],B1496)),"")</f>
        <v>8217.67454520104</v>
      </c>
      <c r="E1496" s="9">
        <f t="shared" si="48"/>
        <v>0.99273826860959236</v>
      </c>
      <c r="F1496" t="str">
        <f t="shared" si="49"/>
        <v>Expected</v>
      </c>
    </row>
    <row r="1497" spans="1:6" ht="15" hidden="1" customHeight="1" x14ac:dyDescent="0.3">
      <c r="A1497" t="s">
        <v>152</v>
      </c>
      <c r="B1497" s="2">
        <v>45870</v>
      </c>
      <c r="C1497" cm="1">
        <f t="array" ref="C1497">IFERROR(IF(SUMPRODUCT((measured[Site Name]=A1497)*(measured[Date]=B1497)*ISNUMBER(measured[Measured Value (kWh)]))=0,"",SUMIFS(measured[Measured Value (kWh)],measured[Site Name],A1497,measured[Date],B1497)),"")</f>
        <v>5429</v>
      </c>
      <c r="D1497" cm="1">
        <f t="array" ref="D1497">IFERROR(IF(SUMPRODUCT((expected_production[Site Name]=A1497)*(expected_production[Date]=B1497)*ISNUMBER(expected_production[Expected Production (kWh)]))=0,"",SUMIFS(expected_production[Expected Production (kWh)],expected_production[Site Name],A1497,expected_production[Date],B1497)),"")</f>
        <v>9493.2699392654777</v>
      </c>
      <c r="E1497" s="9">
        <f t="shared" si="48"/>
        <v>0.57187881886144465</v>
      </c>
      <c r="F1497" t="str">
        <f t="shared" si="49"/>
        <v>Poor</v>
      </c>
    </row>
    <row r="1498" spans="1:6" ht="15" hidden="1" customHeight="1" x14ac:dyDescent="0.3">
      <c r="A1498" t="s">
        <v>152</v>
      </c>
      <c r="B1498" s="2">
        <v>45901</v>
      </c>
      <c r="C1498" cm="1">
        <f t="array" ref="C1498">IFERROR(IF(SUMPRODUCT((measured[Site Name]=A1498)*(measured[Date]=B1498)*ISNUMBER(measured[Measured Value (kWh)]))=0,"",SUMIFS(measured[Measured Value (kWh)],measured[Site Name],A1498,measured[Date],B1498)),"")</f>
        <v>7249</v>
      </c>
      <c r="D1498" cm="1">
        <f t="array" ref="D1498">IFERROR(IF(SUMPRODUCT((expected_production[Site Name]=A1498)*(expected_production[Date]=B1498)*ISNUMBER(expected_production[Expected Production (kWh)]))=0,"",SUMIFS(expected_production[Expected Production (kWh)],expected_production[Site Name],A1498,expected_production[Date],B1498)),"")</f>
        <v>10354.123859933721</v>
      </c>
      <c r="E1498" s="9">
        <f t="shared" si="48"/>
        <v>0.70010752218743522</v>
      </c>
      <c r="F1498" t="str">
        <f t="shared" si="49"/>
        <v>Moderate</v>
      </c>
    </row>
    <row r="1499" spans="1:6" ht="15" hidden="1" customHeight="1" x14ac:dyDescent="0.3">
      <c r="A1499" t="s">
        <v>152</v>
      </c>
      <c r="B1499" s="2">
        <v>45931</v>
      </c>
      <c r="C1499" cm="1">
        <f t="array" ref="C1499">IFERROR(IF(SUMPRODUCT((measured[Site Name]=A1499)*(measured[Date]=B1499)*ISNUMBER(measured[Measured Value (kWh)]))=0,"",SUMIFS(measured[Measured Value (kWh)],measured[Site Name],A1499,measured[Date],B1499)),"")</f>
        <v>8107</v>
      </c>
      <c r="D1499" cm="1">
        <f t="array" ref="D1499">IFERROR(IF(SUMPRODUCT((expected_production[Site Name]=A1499)*(expected_production[Date]=B1499)*ISNUMBER(expected_production[Expected Production (kWh)]))=0,"",SUMIFS(expected_production[Expected Production (kWh)],expected_production[Site Name],A1499,expected_production[Date],B1499)),"")</f>
        <v>11028.512504347149</v>
      </c>
      <c r="E1499" s="9">
        <f t="shared" si="48"/>
        <v>0.73509460109007763</v>
      </c>
      <c r="F1499" t="str">
        <f t="shared" si="49"/>
        <v>Moderate</v>
      </c>
    </row>
    <row r="1500" spans="1:6" ht="15" hidden="1" customHeight="1" x14ac:dyDescent="0.3">
      <c r="A1500" t="s">
        <v>152</v>
      </c>
      <c r="B1500" s="2">
        <v>45962</v>
      </c>
      <c r="C1500" cm="1">
        <f t="array" ref="C1500">IFERROR(IF(SUMPRODUCT((measured[Site Name]=A1500)*(measured[Date]=B1500)*ISNUMBER(measured[Measured Value (kWh)]))=0,"",SUMIFS(measured[Measured Value (kWh)],measured[Site Name],A1500,measured[Date],B1500)),"")</f>
        <v>2305</v>
      </c>
      <c r="D1500" cm="1">
        <f t="array" ref="D1500">IFERROR(IF(SUMPRODUCT((expected_production[Site Name]=A1500)*(expected_production[Date]=B1500)*ISNUMBER(expected_production[Expected Production (kWh)]))=0,"",SUMIFS(expected_production[Expected Production (kWh)],expected_production[Site Name],A1500,expected_production[Date],B1500)),"")</f>
        <v>10954.322345636292</v>
      </c>
      <c r="E1500" s="9">
        <f t="shared" si="48"/>
        <v>0.21041922332313034</v>
      </c>
      <c r="F1500" t="str">
        <f t="shared" si="49"/>
        <v>Poor</v>
      </c>
    </row>
    <row r="1501" spans="1:6" ht="15" hidden="1" customHeight="1" x14ac:dyDescent="0.3">
      <c r="A1501" t="s">
        <v>152</v>
      </c>
      <c r="B1501" s="2">
        <v>45992</v>
      </c>
      <c r="C1501" cm="1">
        <f t="array" ref="C1501">IFERROR(IF(SUMPRODUCT((measured[Site Name]=A1501)*(measured[Date]=B1501)*ISNUMBER(measured[Measured Value (kWh)]))=0,"",SUMIFS(measured[Measured Value (kWh)],measured[Site Name],A1501,measured[Date],B1501)),"")</f>
        <v>7641</v>
      </c>
      <c r="D1501" cm="1">
        <f t="array" ref="D1501">IFERROR(IF(SUMPRODUCT((expected_production[Site Name]=A1501)*(expected_production[Date]=B1501)*ISNUMBER(expected_production[Expected Production (kWh)]))=0,"",SUMIFS(expected_production[Expected Production (kWh)],expected_production[Site Name],A1501,expected_production[Date],B1501)),"")</f>
        <v>11683.79188190859</v>
      </c>
      <c r="E1501" s="9">
        <f t="shared" si="48"/>
        <v>0.65398289161855683</v>
      </c>
      <c r="F1501" t="str">
        <f t="shared" si="49"/>
        <v>Poor</v>
      </c>
    </row>
    <row r="1502" spans="1:6" ht="15" hidden="1" customHeight="1" x14ac:dyDescent="0.3">
      <c r="A1502" t="s">
        <v>152</v>
      </c>
      <c r="B1502" s="2">
        <v>46023</v>
      </c>
      <c r="C1502" cm="1">
        <f t="array" ref="C1502">IFERROR(IF(SUMPRODUCT((measured[Site Name]=A1502)*(measured[Date]=B1502)*ISNUMBER(measured[Measured Value (kWh)]))=0,"",SUMIFS(measured[Measured Value (kWh)],measured[Site Name],A1502,measured[Date],B1502)),"")</f>
        <v>9717</v>
      </c>
      <c r="D1502" cm="1">
        <f t="array" ref="D1502">IFERROR(IF(SUMPRODUCT((expected_production[Site Name]=A1502)*(expected_production[Date]=B1502)*ISNUMBER(expected_production[Expected Production (kWh)]))=0,"",SUMIFS(expected_production[Expected Production (kWh)],expected_production[Site Name],A1502,expected_production[Date],B1502)),"")</f>
        <v>11134.983461303491</v>
      </c>
      <c r="E1502" s="9">
        <f t="shared" si="48"/>
        <v>0.87265509048744483</v>
      </c>
      <c r="F1502" t="str">
        <f t="shared" si="49"/>
        <v>Moderate</v>
      </c>
    </row>
    <row r="1503" spans="1:6" ht="15" hidden="1" customHeight="1" x14ac:dyDescent="0.3">
      <c r="A1503" t="s">
        <v>152</v>
      </c>
      <c r="B1503" s="2">
        <v>46054</v>
      </c>
      <c r="C1503" cm="1">
        <f t="array" ref="C1503">IFERROR(IF(SUMPRODUCT((measured[Site Name]=A1503)*(measured[Date]=B1503)*ISNUMBER(measured[Measured Value (kWh)]))=0,"",SUMIFS(measured[Measured Value (kWh)],measured[Site Name],A1503,measured[Date],B1503)),"")</f>
        <v>8045</v>
      </c>
      <c r="D1503" cm="1">
        <f t="array" ref="D1503">IFERROR(IF(SUMPRODUCT((expected_production[Site Name]=A1503)*(expected_production[Date]=B1503)*ISNUMBER(expected_production[Expected Production (kWh)]))=0,"",SUMIFS(expected_production[Expected Production (kWh)],expected_production[Site Name],A1503,expected_production[Date],B1503)),"")</f>
        <v>9509.7215951622074</v>
      </c>
      <c r="E1503" s="9">
        <f t="shared" si="48"/>
        <v>0.84597639578561989</v>
      </c>
      <c r="F1503" t="str">
        <f t="shared" si="49"/>
        <v>Moderate</v>
      </c>
    </row>
    <row r="1504" spans="1:6" ht="15" hidden="1" customHeight="1" x14ac:dyDescent="0.3">
      <c r="A1504" t="s">
        <v>152</v>
      </c>
      <c r="B1504" s="2">
        <v>46082</v>
      </c>
      <c r="C1504" cm="1">
        <f t="array" ref="C1504">IFERROR(IF(SUMPRODUCT((measured[Site Name]=A1504)*(measured[Date]=B1504)*ISNUMBER(measured[Measured Value (kWh)]))=0,"",SUMIFS(measured[Measured Value (kWh)],measured[Site Name],A1504,measured[Date],B1504)),"")</f>
        <v>7035</v>
      </c>
      <c r="D1504" cm="1">
        <f t="array" ref="D1504">IFERROR(IF(SUMPRODUCT((expected_production[Site Name]=A1504)*(expected_production[Date]=B1504)*ISNUMBER(expected_production[Expected Production (kWh)]))=0,"",SUMIFS(expected_production[Expected Production (kWh)],expected_production[Site Name],A1504,expected_production[Date],B1504)),"")</f>
        <v>9970.1985976982196</v>
      </c>
      <c r="E1504" s="9">
        <f t="shared" si="48"/>
        <v>0.70560279527673031</v>
      </c>
      <c r="F1504" t="str">
        <f t="shared" si="49"/>
        <v>Moderate</v>
      </c>
    </row>
    <row r="1505" spans="1:7" ht="15" hidden="1" customHeight="1" x14ac:dyDescent="0.3">
      <c r="A1505" t="s">
        <v>152</v>
      </c>
      <c r="B1505" s="2">
        <v>46113</v>
      </c>
      <c r="C1505" cm="1">
        <f t="array" ref="C1505">IFERROR(IF(SUMPRODUCT((measured[Site Name]=A1505)*(measured[Date]=B1505)*ISNUMBER(measured[Measured Value (kWh)]))=0,"",SUMIFS(measured[Measured Value (kWh)],measured[Site Name],A1505,measured[Date],B1505)),"")</f>
        <v>3742.54</v>
      </c>
      <c r="D1505" cm="1">
        <f t="array" ref="D1505">IFERROR(IF(SUMPRODUCT((expected_production[Site Name]=A1505)*(expected_production[Date]=B1505)*ISNUMBER(expected_production[Expected Production (kWh)]))=0,"",SUMIFS(expected_production[Expected Production (kWh)],expected_production[Site Name],A1505,expected_production[Date],B1505)),"")</f>
        <v>8494.5595393650419</v>
      </c>
      <c r="E1505" s="9">
        <f t="shared" si="48"/>
        <v>0.44058081912976388</v>
      </c>
      <c r="F1505" t="str">
        <f t="shared" si="49"/>
        <v>Poor</v>
      </c>
    </row>
    <row r="1506" spans="1:7" ht="15" hidden="1" customHeight="1" x14ac:dyDescent="0.3">
      <c r="A1506" t="s">
        <v>152</v>
      </c>
      <c r="B1506" s="2">
        <v>46143</v>
      </c>
      <c r="C1506" cm="1">
        <f t="array" ref="C1506">IFERROR(IF(SUMPRODUCT((measured[Site Name]=A1506)*(measured[Date]=B1506)*ISNUMBER(measured[Measured Value (kWh)]))=0,"",SUMIFS(measured[Measured Value (kWh)],measured[Site Name],A1506,measured[Date],B1506)),"")</f>
        <v>6041.14</v>
      </c>
      <c r="D1506" cm="1">
        <f t="array" ref="D1506">IFERROR(IF(SUMPRODUCT((expected_production[Site Name]=A1506)*(expected_production[Date]=B1506)*ISNUMBER(expected_production[Expected Production (kWh)]))=0,"",SUMIFS(expected_production[Expected Production (kWh)],expected_production[Site Name],A1506,expected_production[Date],B1506)),"")</f>
        <v>8218.7460219317436</v>
      </c>
      <c r="E1506" s="9">
        <f t="shared" si="48"/>
        <v>0.7350440059686969</v>
      </c>
      <c r="F1506" t="str">
        <f t="shared" si="49"/>
        <v>Moderate</v>
      </c>
    </row>
    <row r="1507" spans="1:7" ht="15" hidden="1" customHeight="1" x14ac:dyDescent="0.3">
      <c r="A1507" t="s">
        <v>152</v>
      </c>
      <c r="B1507" s="2">
        <v>46174</v>
      </c>
      <c r="C1507" cm="1">
        <f t="array" ref="C1507">IFERROR(IF(SUMPRODUCT((measured[Site Name]=A1507)*(measured[Date]=B1507)*ISNUMBER(measured[Measured Value (kWh)]))=0,"",SUMIFS(measured[Measured Value (kWh)],measured[Site Name],A1507,measured[Date],B1507)),"")</f>
        <v>3334</v>
      </c>
      <c r="D1507" cm="1">
        <f t="array" ref="D1507">IFERROR(IF(SUMPRODUCT((expected_production[Site Name]=A1507)*(expected_production[Date]=B1507)*ISNUMBER(expected_production[Expected Production (kWh)]))=0,"",SUMIFS(expected_production[Expected Production (kWh)],expected_production[Site Name],A1507,expected_production[Date],B1507)),"")</f>
        <v>7407.5934299583223</v>
      </c>
      <c r="E1507" s="9">
        <f t="shared" si="48"/>
        <v>0.4500786971537068</v>
      </c>
      <c r="F1507" t="str">
        <f t="shared" si="49"/>
        <v>Poor</v>
      </c>
    </row>
    <row r="1508" spans="1:7" ht="15" hidden="1" customHeight="1" x14ac:dyDescent="0.3">
      <c r="A1508" t="s">
        <v>222</v>
      </c>
      <c r="B1508" s="2">
        <v>46204</v>
      </c>
      <c r="C1508" cm="1">
        <f t="array" ref="C1508">IFERROR(IF(SUMPRODUCT((measured[Site Name]=A1508)*(measured[Date]=B1508)*ISNUMBER(measured[Measured Value (kWh)]))=0,"",SUMIFS(measured[Measured Value (kWh)],measured[Site Name],A1508,measured[Date],B1508)),"")</f>
        <v>7966.5733399999999</v>
      </c>
      <c r="D1508" cm="1">
        <f t="array" ref="D1508">IFERROR(IF(SUMPRODUCT((expected_production[Site Name]=A1508)*(expected_production[Date]=B1508)*ISNUMBER(expected_production[Expected Production (kWh)]))=0,"",SUMIFS(expected_production[Expected Production (kWh)],expected_production[Site Name],A1508,expected_production[Date],B1508)),"")</f>
        <v>8262.3865597065669</v>
      </c>
      <c r="E1508" s="9">
        <f t="shared" si="48"/>
        <v>0.96419760591338488</v>
      </c>
      <c r="F1508" t="str">
        <f t="shared" si="49"/>
        <v>Expected</v>
      </c>
      <c r="G1508" t="s">
        <v>875</v>
      </c>
    </row>
    <row r="1509" spans="1:7" ht="15" hidden="1" customHeight="1" x14ac:dyDescent="0.3">
      <c r="A1509" t="s">
        <v>152</v>
      </c>
      <c r="B1509" s="2">
        <v>46235</v>
      </c>
      <c r="C1509" cm="1">
        <f t="array" ref="C1509">IFERROR(IF(SUMPRODUCT((measured[Site Name]=A1509)*(measured[Date]=B1509)*ISNUMBER(measured[Measured Value (kWh)]))=0,"",SUMIFS(measured[Measured Value (kWh)],measured[Site Name],A1509,measured[Date],B1509)),"")</f>
        <v>6624</v>
      </c>
      <c r="D1509" cm="1">
        <f t="array" ref="D1509">IFERROR(IF(SUMPRODUCT((expected_production[Site Name]=A1509)*(expected_production[Date]=B1509)*ISNUMBER(expected_production[Expected Production (kWh)]))=0,"",SUMIFS(expected_production[Expected Production (kWh)],expected_production[Site Name],A1509,expected_production[Date],B1509)),"")</f>
        <v>9426.8623747549937</v>
      </c>
      <c r="E1509" s="9">
        <f t="shared" si="48"/>
        <v>0.70267282332868042</v>
      </c>
      <c r="F1509" t="str">
        <f t="shared" si="49"/>
        <v>Moderate</v>
      </c>
      <c r="G1509" t="s">
        <v>875</v>
      </c>
    </row>
    <row r="1510" spans="1:7" ht="15" customHeight="1" x14ac:dyDescent="0.3">
      <c r="A1510" t="s">
        <v>152</v>
      </c>
      <c r="B1510" s="2">
        <v>46266</v>
      </c>
      <c r="C1510" cm="1">
        <f t="array" ref="C1510">IFERROR(IF(SUMPRODUCT((measured[Site Name]=A1510)*(measured[Date]=B1510)*ISNUMBER(measured[Measured Value (kWh)]))=0,"",SUMIFS(measured[Measured Value (kWh)],measured[Site Name],A1510,measured[Date],B1510)),"")</f>
        <v>6723.42</v>
      </c>
      <c r="D1510" cm="1">
        <f t="array" ref="D1510">IFERROR(IF(SUMPRODUCT((expected_production[Site Name]=A1510)*(expected_production[Date]=B1510)*ISNUMBER(expected_production[Expected Production (kWh)]))=0,"",SUMIFS(expected_production[Expected Production (kWh)],expected_production[Site Name],A1510,expected_production[Date],B1510)),"")</f>
        <v>10281.694428075461</v>
      </c>
      <c r="E1510" s="9">
        <f t="shared" si="48"/>
        <v>0.65392139856256137</v>
      </c>
      <c r="F1510" t="str">
        <f t="shared" si="49"/>
        <v>Poor</v>
      </c>
      <c r="G1510" t="s">
        <v>874</v>
      </c>
    </row>
    <row r="1511" spans="1:7" ht="15" hidden="1" customHeight="1" x14ac:dyDescent="0.3">
      <c r="A1511" t="s">
        <v>152</v>
      </c>
      <c r="B1511" s="2">
        <v>46296</v>
      </c>
      <c r="C1511" t="str" cm="1">
        <f t="array" ref="C1511">IFERROR(IF(SUMPRODUCT((measured[Site Name]=A1511)*(measured[Date]=B1511)*ISNUMBER(measured[Measured Value (kWh)]))=0,"",SUMIFS(measured[Measured Value (kWh)],measured[Site Name],A1511,measured[Date],B1511)),"")</f>
        <v/>
      </c>
      <c r="D1511" cm="1">
        <f t="array" ref="D1511">IFERROR(IF(SUMPRODUCT((expected_production[Site Name]=A1511)*(expected_production[Date]=B1511)*ISNUMBER(expected_production[Expected Production (kWh)]))=0,"",SUMIFS(expected_production[Expected Production (kWh)],expected_production[Site Name],A1511,expected_production[Date],B1511)),"")</f>
        <v>10951.365571807297</v>
      </c>
      <c r="E1511" s="9" t="str">
        <f t="shared" si="48"/>
        <v/>
      </c>
      <c r="F1511" t="str">
        <f t="shared" si="49"/>
        <v/>
      </c>
    </row>
    <row r="1512" spans="1:7" ht="15" hidden="1" customHeight="1" x14ac:dyDescent="0.3">
      <c r="A1512" t="s">
        <v>152</v>
      </c>
      <c r="B1512" s="2">
        <v>46327</v>
      </c>
      <c r="C1512" t="str" cm="1">
        <f t="array" ref="C1512">IFERROR(IF(SUMPRODUCT((measured[Site Name]=A1512)*(measured[Date]=B1512)*ISNUMBER(measured[Measured Value (kWh)]))=0,"",SUMIFS(measured[Measured Value (kWh)],measured[Site Name],A1512,measured[Date],B1512)),"")</f>
        <v/>
      </c>
      <c r="D1512" cm="1">
        <f t="array" ref="D1512">IFERROR(IF(SUMPRODUCT((expected_production[Site Name]=A1512)*(expected_production[Date]=B1512)*ISNUMBER(expected_production[Expected Production (kWh)]))=0,"",SUMIFS(expected_production[Expected Production (kWh)],expected_production[Site Name],A1512,expected_production[Date],B1512)),"")</f>
        <v>10877.694389990826</v>
      </c>
      <c r="E1512" s="9" t="str">
        <f t="shared" si="48"/>
        <v/>
      </c>
      <c r="F1512" t="str">
        <f t="shared" si="49"/>
        <v/>
      </c>
    </row>
    <row r="1513" spans="1:7" ht="15" hidden="1" customHeight="1" x14ac:dyDescent="0.3">
      <c r="A1513" t="s">
        <v>152</v>
      </c>
      <c r="B1513" s="2">
        <v>46357</v>
      </c>
      <c r="C1513" t="str" cm="1">
        <f t="array" ref="C1513">IFERROR(IF(SUMPRODUCT((measured[Site Name]=A1513)*(measured[Date]=B1513)*ISNUMBER(measured[Measured Value (kWh)]))=0,"",SUMIFS(measured[Measured Value (kWh)],measured[Site Name],A1513,measured[Date],B1513)),"")</f>
        <v/>
      </c>
      <c r="D1513" cm="1">
        <f t="array" ref="D1513">IFERROR(IF(SUMPRODUCT((expected_production[Site Name]=A1513)*(expected_production[Date]=B1513)*ISNUMBER(expected_production[Expected Production (kWh)]))=0,"",SUMIFS(expected_production[Expected Production (kWh)],expected_production[Site Name],A1513,expected_production[Date],B1513)),"")</f>
        <v>11602.061122319028</v>
      </c>
      <c r="E1513" s="9" t="str">
        <f t="shared" si="48"/>
        <v/>
      </c>
      <c r="F1513" t="str">
        <f t="shared" si="49"/>
        <v/>
      </c>
    </row>
    <row r="1514" spans="1:7" ht="15" hidden="1" customHeight="1" x14ac:dyDescent="0.3">
      <c r="A1514" t="s">
        <v>149</v>
      </c>
      <c r="B1514" s="2">
        <v>45292</v>
      </c>
      <c r="C1514" cm="1">
        <f t="array" ref="C1514">IFERROR(IF(SUMPRODUCT((measured[Site Name]=A1514)*(measured[Date]=B1514)*ISNUMBER(measured[Measured Value (kWh)]))=0,"",SUMIFS(measured[Measured Value (kWh)],measured[Site Name],A1514,measured[Date],B1514)),"")</f>
        <v>4452</v>
      </c>
      <c r="D1514" cm="1">
        <f t="array" ref="D1514">IFERROR(IF(SUMPRODUCT((expected_production[Site Name]=A1514)*(expected_production[Date]=B1514)*ISNUMBER(expected_production[Expected Production (kWh)]))=0,"",SUMIFS(expected_production[Expected Production (kWh)],expected_production[Site Name],A1514,expected_production[Date],B1514)),"")</f>
        <v>8491.8061461740599</v>
      </c>
      <c r="E1514" s="9">
        <f t="shared" si="48"/>
        <v>0.52427009323638718</v>
      </c>
      <c r="F1514" t="str">
        <f t="shared" si="49"/>
        <v>Poor</v>
      </c>
    </row>
    <row r="1515" spans="1:7" ht="15" hidden="1" customHeight="1" x14ac:dyDescent="0.3">
      <c r="A1515" t="s">
        <v>149</v>
      </c>
      <c r="B1515" s="2">
        <v>45323</v>
      </c>
      <c r="C1515" cm="1">
        <f t="array" ref="C1515">IFERROR(IF(SUMPRODUCT((measured[Site Name]=A1515)*(measured[Date]=B1515)*ISNUMBER(measured[Measured Value (kWh)]))=0,"",SUMIFS(measured[Measured Value (kWh)],measured[Site Name],A1515,measured[Date],B1515)),"")</f>
        <v>6906</v>
      </c>
      <c r="D1515" cm="1">
        <f t="array" ref="D1515">IFERROR(IF(SUMPRODUCT((expected_production[Site Name]=A1515)*(expected_production[Date]=B1515)*ISNUMBER(expected_production[Expected Production (kWh)]))=0,"",SUMIFS(expected_production[Expected Production (kWh)],expected_production[Site Name],A1515,expected_production[Date],B1515)),"")</f>
        <v>7375.8449085576594</v>
      </c>
      <c r="E1515" s="9">
        <f t="shared" si="48"/>
        <v>0.93629951356318075</v>
      </c>
      <c r="F1515" t="str">
        <f t="shared" si="49"/>
        <v>Expected</v>
      </c>
    </row>
    <row r="1516" spans="1:7" ht="15" hidden="1" customHeight="1" x14ac:dyDescent="0.3">
      <c r="A1516" t="s">
        <v>149</v>
      </c>
      <c r="B1516" s="2">
        <v>45352</v>
      </c>
      <c r="C1516" cm="1">
        <f t="array" ref="C1516">IFERROR(IF(SUMPRODUCT((measured[Site Name]=A1516)*(measured[Date]=B1516)*ISNUMBER(measured[Measured Value (kWh)]))=0,"",SUMIFS(measured[Measured Value (kWh)],measured[Site Name],A1516,measured[Date],B1516)),"")</f>
        <v>6752</v>
      </c>
      <c r="D1516" cm="1">
        <f t="array" ref="D1516">IFERROR(IF(SUMPRODUCT((expected_production[Site Name]=A1516)*(expected_production[Date]=B1516)*ISNUMBER(expected_production[Expected Production (kWh)]))=0,"",SUMIFS(expected_production[Expected Production (kWh)],expected_production[Site Name],A1516,expected_production[Date],B1516)),"")</f>
        <v>7831.2020831736218</v>
      </c>
      <c r="E1516" s="9">
        <f t="shared" si="48"/>
        <v>0.86219202726329447</v>
      </c>
      <c r="F1516" t="str">
        <f t="shared" si="49"/>
        <v>Moderate</v>
      </c>
    </row>
    <row r="1517" spans="1:7" ht="15" hidden="1" customHeight="1" x14ac:dyDescent="0.3">
      <c r="A1517" t="s">
        <v>149</v>
      </c>
      <c r="B1517" s="2">
        <v>45383</v>
      </c>
      <c r="C1517" cm="1">
        <f t="array" ref="C1517">IFERROR(IF(SUMPRODUCT((measured[Site Name]=A1517)*(measured[Date]=B1517)*ISNUMBER(measured[Measured Value (kWh)]))=0,"",SUMIFS(measured[Measured Value (kWh)],measured[Site Name],A1517,measured[Date],B1517)),"")</f>
        <v>6350</v>
      </c>
      <c r="D1517" cm="1">
        <f t="array" ref="D1517">IFERROR(IF(SUMPRODUCT((expected_production[Site Name]=A1517)*(expected_production[Date]=B1517)*ISNUMBER(expected_production[Expected Production (kWh)]))=0,"",SUMIFS(expected_production[Expected Production (kWh)],expected_production[Site Name],A1517,expected_production[Date],B1517)),"")</f>
        <v>6894.3777887979795</v>
      </c>
      <c r="E1517" s="9">
        <f t="shared" si="48"/>
        <v>0.92104033090810788</v>
      </c>
      <c r="F1517" t="str">
        <f t="shared" si="49"/>
        <v>Expected</v>
      </c>
    </row>
    <row r="1518" spans="1:7" ht="15" hidden="1" customHeight="1" x14ac:dyDescent="0.3">
      <c r="A1518" t="s">
        <v>149</v>
      </c>
      <c r="B1518" s="2">
        <v>45413</v>
      </c>
      <c r="C1518" cm="1">
        <f t="array" ref="C1518">IFERROR(IF(SUMPRODUCT((measured[Site Name]=A1518)*(measured[Date]=B1518)*ISNUMBER(measured[Measured Value (kWh)]))=0,"",SUMIFS(measured[Measured Value (kWh)],measured[Site Name],A1518,measured[Date],B1518)),"")</f>
        <v>7236</v>
      </c>
      <c r="D1518" cm="1">
        <f t="array" ref="D1518">IFERROR(IF(SUMPRODUCT((expected_production[Site Name]=A1518)*(expected_production[Date]=B1518)*ISNUMBER(expected_production[Expected Production (kWh)]))=0,"",SUMIFS(expected_production[Expected Production (kWh)],expected_production[Site Name],A1518,expected_production[Date],B1518)),"")</f>
        <v>6763.5571148332356</v>
      </c>
      <c r="E1518" s="9">
        <f t="shared" si="48"/>
        <v>1.0698512450099142</v>
      </c>
      <c r="F1518" t="str">
        <f t="shared" si="49"/>
        <v>Expected</v>
      </c>
    </row>
    <row r="1519" spans="1:7" ht="15" hidden="1" customHeight="1" x14ac:dyDescent="0.3">
      <c r="A1519" t="s">
        <v>149</v>
      </c>
      <c r="B1519" s="2">
        <v>45444</v>
      </c>
      <c r="C1519" cm="1">
        <f t="array" ref="C1519">IFERROR(IF(SUMPRODUCT((measured[Site Name]=A1519)*(measured[Date]=B1519)*ISNUMBER(measured[Measured Value (kWh)]))=0,"",SUMIFS(measured[Measured Value (kWh)],measured[Site Name],A1519,measured[Date],B1519)),"")</f>
        <v>6002</v>
      </c>
      <c r="D1519" cm="1">
        <f t="array" ref="D1519">IFERROR(IF(SUMPRODUCT((expected_production[Site Name]=A1519)*(expected_production[Date]=B1519)*ISNUMBER(expected_production[Expected Production (kWh)]))=0,"",SUMIFS(expected_production[Expected Production (kWh)],expected_production[Site Name],A1519,expected_production[Date],B1519)),"")</f>
        <v>6283.4237940448729</v>
      </c>
      <c r="E1519" s="9">
        <f t="shared" si="48"/>
        <v>0.95521171207461875</v>
      </c>
      <c r="F1519" t="str">
        <f t="shared" si="49"/>
        <v>Expected</v>
      </c>
    </row>
    <row r="1520" spans="1:7" ht="15" hidden="1" customHeight="1" x14ac:dyDescent="0.3">
      <c r="A1520" t="s">
        <v>149</v>
      </c>
      <c r="B1520" s="2">
        <v>45474</v>
      </c>
      <c r="C1520" cm="1">
        <f t="array" ref="C1520">IFERROR(IF(SUMPRODUCT((measured[Site Name]=A1520)*(measured[Date]=B1520)*ISNUMBER(measured[Measured Value (kWh)]))=0,"",SUMIFS(measured[Measured Value (kWh)],measured[Site Name],A1520,measured[Date],B1520)),"")</f>
        <v>7142</v>
      </c>
      <c r="D1520" cm="1">
        <f t="array" ref="D1520">IFERROR(IF(SUMPRODUCT((expected_production[Site Name]=A1520)*(expected_production[Date]=B1520)*ISNUMBER(expected_production[Expected Production (kWh)]))=0,"",SUMIFS(expected_production[Expected Production (kWh)],expected_production[Site Name],A1520,expected_production[Date],B1520)),"")</f>
        <v>6842.503684002103</v>
      </c>
      <c r="E1520" s="9">
        <f t="shared" si="48"/>
        <v>1.0437699897331623</v>
      </c>
      <c r="F1520" t="str">
        <f t="shared" si="49"/>
        <v>Expected</v>
      </c>
    </row>
    <row r="1521" spans="1:6" ht="15" hidden="1" customHeight="1" x14ac:dyDescent="0.3">
      <c r="A1521" t="s">
        <v>149</v>
      </c>
      <c r="B1521" s="2">
        <v>45505</v>
      </c>
      <c r="C1521" cm="1">
        <f t="array" ref="C1521">IFERROR(IF(SUMPRODUCT((measured[Site Name]=A1521)*(measured[Date]=B1521)*ISNUMBER(measured[Measured Value (kWh)]))=0,"",SUMIFS(measured[Measured Value (kWh)],measured[Site Name],A1521,measured[Date],B1521)),"")</f>
        <v>6654</v>
      </c>
      <c r="D1521" cm="1">
        <f t="array" ref="D1521">IFERROR(IF(SUMPRODUCT((expected_production[Site Name]=A1521)*(expected_production[Date]=B1521)*ISNUMBER(expected_production[Expected Production (kWh)]))=0,"",SUMIFS(expected_production[Expected Production (kWh)],expected_production[Site Name],A1521,expected_production[Date],B1521)),"")</f>
        <v>7730.2269863567444</v>
      </c>
      <c r="E1521" s="9">
        <f t="shared" si="48"/>
        <v>0.86077679371431104</v>
      </c>
      <c r="F1521" t="str">
        <f t="shared" si="49"/>
        <v>Moderate</v>
      </c>
    </row>
    <row r="1522" spans="1:6" ht="15" hidden="1" customHeight="1" x14ac:dyDescent="0.3">
      <c r="A1522" t="s">
        <v>149</v>
      </c>
      <c r="B1522" s="2">
        <v>45536</v>
      </c>
      <c r="C1522" cm="1">
        <f t="array" ref="C1522">IFERROR(IF(SUMPRODUCT((measured[Site Name]=A1522)*(measured[Date]=B1522)*ISNUMBER(measured[Measured Value (kWh)]))=0,"",SUMIFS(measured[Measured Value (kWh)],measured[Site Name],A1522,measured[Date],B1522)),"")</f>
        <v>6375</v>
      </c>
      <c r="D1522" cm="1">
        <f t="array" ref="D1522">IFERROR(IF(SUMPRODUCT((expected_production[Site Name]=A1522)*(expected_production[Date]=B1522)*ISNUMBER(expected_production[Expected Production (kWh)]))=0,"",SUMIFS(expected_production[Expected Production (kWh)],expected_production[Site Name],A1522,expected_production[Date],B1522)),"")</f>
        <v>8212.021787785834</v>
      </c>
      <c r="E1522" s="9">
        <f t="shared" si="48"/>
        <v>0.7763009116076468</v>
      </c>
      <c r="F1522" t="str">
        <f t="shared" si="49"/>
        <v>Moderate</v>
      </c>
    </row>
    <row r="1523" spans="1:6" ht="15" hidden="1" customHeight="1" x14ac:dyDescent="0.3">
      <c r="A1523" t="s">
        <v>149</v>
      </c>
      <c r="B1523" s="2">
        <v>45566</v>
      </c>
      <c r="C1523" cm="1">
        <f t="array" ref="C1523">IFERROR(IF(SUMPRODUCT((measured[Site Name]=A1523)*(measured[Date]=B1523)*ISNUMBER(measured[Measured Value (kWh)]))=0,"",SUMIFS(measured[Measured Value (kWh)],measured[Site Name],A1523,measured[Date],B1523)),"")</f>
        <v>6305</v>
      </c>
      <c r="D1523" cm="1">
        <f t="array" ref="D1523">IFERROR(IF(SUMPRODUCT((expected_production[Site Name]=A1523)*(expected_production[Date]=B1523)*ISNUMBER(expected_production[Expected Production (kWh)]))=0,"",SUMIFS(expected_production[Expected Production (kWh)],expected_production[Site Name],A1523,expected_production[Date],B1523)),"")</f>
        <v>8639.4997150284034</v>
      </c>
      <c r="E1523" s="9">
        <f t="shared" si="48"/>
        <v>0.72978762752112336</v>
      </c>
      <c r="F1523" t="str">
        <f t="shared" si="49"/>
        <v>Moderate</v>
      </c>
    </row>
    <row r="1524" spans="1:6" ht="15" hidden="1" customHeight="1" x14ac:dyDescent="0.3">
      <c r="A1524" t="s">
        <v>149</v>
      </c>
      <c r="B1524" s="2">
        <v>45597</v>
      </c>
      <c r="C1524" cm="1">
        <f t="array" ref="C1524">IFERROR(IF(SUMPRODUCT((measured[Site Name]=A1524)*(measured[Date]=B1524)*ISNUMBER(measured[Measured Value (kWh)]))=0,"",SUMIFS(measured[Measured Value (kWh)],measured[Site Name],A1524,measured[Date],B1524)),"")</f>
        <v>7074</v>
      </c>
      <c r="D1524" cm="1">
        <f t="array" ref="D1524">IFERROR(IF(SUMPRODUCT((expected_production[Site Name]=A1524)*(expected_production[Date]=B1524)*ISNUMBER(expected_production[Expected Production (kWh)]))=0,"",SUMIFS(expected_production[Expected Production (kWh)],expected_production[Site Name],A1524,expected_production[Date],B1524)),"")</f>
        <v>8403.5949387715409</v>
      </c>
      <c r="E1524" s="9">
        <f t="shared" si="48"/>
        <v>0.84178260036818187</v>
      </c>
      <c r="F1524" t="str">
        <f t="shared" si="49"/>
        <v>Moderate</v>
      </c>
    </row>
    <row r="1525" spans="1:6" ht="15" hidden="1" customHeight="1" x14ac:dyDescent="0.3">
      <c r="A1525" t="s">
        <v>149</v>
      </c>
      <c r="B1525" s="2">
        <v>45627</v>
      </c>
      <c r="C1525" cm="1">
        <f t="array" ref="C1525">IFERROR(IF(SUMPRODUCT((measured[Site Name]=A1525)*(measured[Date]=B1525)*ISNUMBER(measured[Measured Value (kWh)]))=0,"",SUMIFS(measured[Measured Value (kWh)],measured[Site Name],A1525,measured[Date],B1525)),"")</f>
        <v>3371</v>
      </c>
      <c r="D1525" cm="1">
        <f t="array" ref="D1525">IFERROR(IF(SUMPRODUCT((expected_production[Site Name]=A1525)*(expected_production[Date]=B1525)*ISNUMBER(expected_production[Expected Production (kWh)]))=0,"",SUMIFS(expected_production[Expected Production (kWh)],expected_production[Site Name],A1525,expected_production[Date],B1525)),"")</f>
        <v>8946.024561087268</v>
      </c>
      <c r="E1525" s="9">
        <f t="shared" si="48"/>
        <v>0.37681541974106769</v>
      </c>
      <c r="F1525" t="str">
        <f t="shared" si="49"/>
        <v>Poor</v>
      </c>
    </row>
    <row r="1526" spans="1:6" ht="15" hidden="1" customHeight="1" x14ac:dyDescent="0.3">
      <c r="A1526" t="s">
        <v>149</v>
      </c>
      <c r="B1526" s="2">
        <v>45658</v>
      </c>
      <c r="C1526" cm="1">
        <f t="array" ref="C1526">IFERROR(IF(SUMPRODUCT((measured[Site Name]=A1526)*(measured[Date]=B1526)*ISNUMBER(measured[Measured Value (kWh)]))=0,"",SUMIFS(measured[Measured Value (kWh)],measured[Site Name],A1526,measured[Date],B1526)),"")</f>
        <v>5083</v>
      </c>
      <c r="D1526" cm="1">
        <f t="array" ref="D1526">IFERROR(IF(SUMPRODUCT((expected_production[Site Name]=A1526)*(expected_production[Date]=B1526)*ISNUMBER(expected_production[Expected Production (kWh)]))=0,"",SUMIFS(expected_production[Expected Production (kWh)],expected_production[Site Name],A1526,expected_production[Date],B1526)),"")</f>
        <v>8432.2418734189796</v>
      </c>
      <c r="E1526" s="9">
        <f t="shared" si="48"/>
        <v>0.60280528906828201</v>
      </c>
      <c r="F1526" t="str">
        <f t="shared" si="49"/>
        <v>Poor</v>
      </c>
    </row>
    <row r="1527" spans="1:6" ht="15" hidden="1" customHeight="1" x14ac:dyDescent="0.3">
      <c r="A1527" t="s">
        <v>149</v>
      </c>
      <c r="B1527" s="2">
        <v>45689</v>
      </c>
      <c r="C1527" cm="1">
        <f t="array" ref="C1527">IFERROR(IF(SUMPRODUCT((measured[Site Name]=A1527)*(measured[Date]=B1527)*ISNUMBER(measured[Measured Value (kWh)]))=0,"",SUMIFS(measured[Measured Value (kWh)],measured[Site Name],A1527,measured[Date],B1527)),"")</f>
        <v>4977</v>
      </c>
      <c r="D1527" cm="1">
        <f t="array" ref="D1527">IFERROR(IF(SUMPRODUCT((expected_production[Site Name]=A1527)*(expected_production[Date]=B1527)*ISNUMBER(expected_production[Expected Production (kWh)]))=0,"",SUMIFS(expected_production[Expected Production (kWh)],expected_production[Site Name],A1527,expected_production[Date],B1527)),"")</f>
        <v>7324.1083485879726</v>
      </c>
      <c r="E1527" s="9">
        <f t="shared" si="48"/>
        <v>0.67953664297709693</v>
      </c>
      <c r="F1527" t="str">
        <f t="shared" si="49"/>
        <v>Poor</v>
      </c>
    </row>
    <row r="1528" spans="1:6" ht="15" hidden="1" customHeight="1" x14ac:dyDescent="0.3">
      <c r="A1528" t="s">
        <v>149</v>
      </c>
      <c r="B1528" s="2">
        <v>45717</v>
      </c>
      <c r="C1528" cm="1">
        <f t="array" ref="C1528">IFERROR(IF(SUMPRODUCT((measured[Site Name]=A1528)*(measured[Date]=B1528)*ISNUMBER(measured[Measured Value (kWh)]))=0,"",SUMIFS(measured[Measured Value (kWh)],measured[Site Name],A1528,measured[Date],B1528)),"")</f>
        <v>5306</v>
      </c>
      <c r="D1528" cm="1">
        <f t="array" ref="D1528">IFERROR(IF(SUMPRODUCT((expected_production[Site Name]=A1528)*(expected_production[Date]=B1528)*ISNUMBER(expected_production[Expected Production (kWh)]))=0,"",SUMIFS(expected_production[Expected Production (kWh)],expected_production[Site Name],A1528,expected_production[Date],B1528)),"")</f>
        <v>7776.4210582096111</v>
      </c>
      <c r="E1528" s="9">
        <f t="shared" si="48"/>
        <v>0.68231902057289273</v>
      </c>
      <c r="F1528" t="str">
        <f t="shared" si="49"/>
        <v>Poor</v>
      </c>
    </row>
    <row r="1529" spans="1:6" ht="15" hidden="1" customHeight="1" x14ac:dyDescent="0.3">
      <c r="A1529" t="s">
        <v>149</v>
      </c>
      <c r="B1529" s="2">
        <v>45748</v>
      </c>
      <c r="C1529" cm="1">
        <f t="array" ref="C1529">IFERROR(IF(SUMPRODUCT((measured[Site Name]=A1529)*(measured[Date]=B1529)*ISNUMBER(measured[Measured Value (kWh)]))=0,"",SUMIFS(measured[Measured Value (kWh)],measured[Site Name],A1529,measured[Date],B1529)),"")</f>
        <v>4700</v>
      </c>
      <c r="D1529" cm="1">
        <f t="array" ref="D1529">IFERROR(IF(SUMPRODUCT((expected_production[Site Name]=A1529)*(expected_production[Date]=B1529)*ISNUMBER(expected_production[Expected Production (kWh)]))=0,"",SUMIFS(expected_production[Expected Production (kWh)],expected_production[Site Name],A1529,expected_production[Date],B1529)),"")</f>
        <v>6846.1500610815729</v>
      </c>
      <c r="E1529" s="9">
        <f t="shared" si="48"/>
        <v>0.68651723349129767</v>
      </c>
      <c r="F1529" t="str">
        <f t="shared" si="49"/>
        <v>Poor</v>
      </c>
    </row>
    <row r="1530" spans="1:6" ht="15" hidden="1" customHeight="1" x14ac:dyDescent="0.3">
      <c r="A1530" t="s">
        <v>149</v>
      </c>
      <c r="B1530" s="2">
        <v>45778</v>
      </c>
      <c r="C1530" cm="1">
        <f t="array" ref="C1530">IFERROR(IF(SUMPRODUCT((measured[Site Name]=A1530)*(measured[Date]=B1530)*ISNUMBER(measured[Measured Value (kWh)]))=0,"",SUMIFS(measured[Measured Value (kWh)],measured[Site Name],A1530,measured[Date],B1530)),"")</f>
        <v>6568</v>
      </c>
      <c r="D1530" cm="1">
        <f t="array" ref="D1530">IFERROR(IF(SUMPRODUCT((expected_production[Site Name]=A1530)*(expected_production[Date]=B1530)*ISNUMBER(expected_production[Expected Production (kWh)]))=0,"",SUMIFS(expected_production[Expected Production (kWh)],expected_production[Site Name],A1530,expected_production[Date],B1530)),"")</f>
        <v>6716.2445072388937</v>
      </c>
      <c r="E1530" s="9">
        <f t="shared" si="48"/>
        <v>0.97792747016891468</v>
      </c>
      <c r="F1530" t="str">
        <f t="shared" si="49"/>
        <v>Expected</v>
      </c>
    </row>
    <row r="1531" spans="1:6" ht="15" hidden="1" customHeight="1" x14ac:dyDescent="0.3">
      <c r="A1531" t="s">
        <v>149</v>
      </c>
      <c r="B1531" s="2">
        <v>45809</v>
      </c>
      <c r="C1531" cm="1">
        <f t="array" ref="C1531">IFERROR(IF(SUMPRODUCT((measured[Site Name]=A1531)*(measured[Date]=B1531)*ISNUMBER(measured[Measured Value (kWh)]))=0,"",SUMIFS(measured[Measured Value (kWh)],measured[Site Name],A1531,measured[Date],B1531)),"")</f>
        <v>6255.59</v>
      </c>
      <c r="D1531" cm="1">
        <f t="array" ref="D1531">IFERROR(IF(SUMPRODUCT((expected_production[Site Name]=A1531)*(expected_production[Date]=B1531)*ISNUMBER(expected_production[Expected Production (kWh)]))=0,"",SUMIFS(expected_production[Expected Production (kWh)],expected_production[Site Name],A1531,expected_production[Date],B1531)),"")</f>
        <v>6239.4698273274753</v>
      </c>
      <c r="E1531" s="9">
        <f t="shared" si="48"/>
        <v>1.0025835805154346</v>
      </c>
      <c r="F1531" t="str">
        <f t="shared" si="49"/>
        <v>Expected</v>
      </c>
    </row>
    <row r="1532" spans="1:6" ht="15" hidden="1" customHeight="1" x14ac:dyDescent="0.3">
      <c r="A1532" t="s">
        <v>149</v>
      </c>
      <c r="B1532" s="2">
        <v>45839</v>
      </c>
      <c r="C1532" cm="1">
        <f t="array" ref="C1532">IFERROR(IF(SUMPRODUCT((measured[Site Name]=A1532)*(measured[Date]=B1532)*ISNUMBER(measured[Measured Value (kWh)]))=0,"",SUMIFS(measured[Measured Value (kWh)],measured[Site Name],A1532,measured[Date],B1532)),"")</f>
        <v>5980</v>
      </c>
      <c r="D1532" cm="1">
        <f t="array" ref="D1532">IFERROR(IF(SUMPRODUCT((expected_production[Site Name]=A1532)*(expected_production[Date]=B1532)*ISNUMBER(expected_production[Expected Production (kWh)]))=0,"",SUMIFS(expected_production[Expected Production (kWh)],expected_production[Site Name],A1532,expected_production[Date],B1532)),"")</f>
        <v>6794.6388273493758</v>
      </c>
      <c r="E1532" s="9">
        <f t="shared" si="48"/>
        <v>0.88010564681225734</v>
      </c>
      <c r="F1532" t="str">
        <f t="shared" si="49"/>
        <v>Moderate</v>
      </c>
    </row>
    <row r="1533" spans="1:6" ht="15" hidden="1" customHeight="1" x14ac:dyDescent="0.3">
      <c r="A1533" t="s">
        <v>149</v>
      </c>
      <c r="B1533" s="2">
        <v>45870</v>
      </c>
      <c r="C1533" cm="1">
        <f t="array" ref="C1533">IFERROR(IF(SUMPRODUCT((measured[Site Name]=A1533)*(measured[Date]=B1533)*ISNUMBER(measured[Measured Value (kWh)]))=0,"",SUMIFS(measured[Measured Value (kWh)],measured[Site Name],A1533,measured[Date],B1533)),"")</f>
        <v>6685</v>
      </c>
      <c r="D1533" cm="1">
        <f t="array" ref="D1533">IFERROR(IF(SUMPRODUCT((expected_production[Site Name]=A1533)*(expected_production[Date]=B1533)*ISNUMBER(expected_production[Expected Production (kWh)]))=0,"",SUMIFS(expected_production[Expected Production (kWh)],expected_production[Site Name],A1533,expected_production[Date],B1533)),"")</f>
        <v>7676.1523049707339</v>
      </c>
      <c r="E1533" s="9">
        <f t="shared" si="48"/>
        <v>0.87087902042682142</v>
      </c>
      <c r="F1533" t="str">
        <f t="shared" si="49"/>
        <v>Moderate</v>
      </c>
    </row>
    <row r="1534" spans="1:6" ht="15" hidden="1" customHeight="1" x14ac:dyDescent="0.3">
      <c r="A1534" t="s">
        <v>149</v>
      </c>
      <c r="B1534" s="2">
        <v>45901</v>
      </c>
      <c r="C1534" cm="1">
        <f t="array" ref="C1534">IFERROR(IF(SUMPRODUCT((measured[Site Name]=A1534)*(measured[Date]=B1534)*ISNUMBER(measured[Measured Value (kWh)]))=0,"",SUMIFS(measured[Measured Value (kWh)],measured[Site Name],A1534,measured[Date],B1534)),"")</f>
        <v>7118</v>
      </c>
      <c r="D1534" cm="1">
        <f t="array" ref="D1534">IFERROR(IF(SUMPRODUCT((expected_production[Site Name]=A1534)*(expected_production[Date]=B1534)*ISNUMBER(expected_production[Expected Production (kWh)]))=0,"",SUMIFS(expected_production[Expected Production (kWh)],expected_production[Site Name],A1534,expected_production[Date],B1534)),"")</f>
        <v>8154.5768430910357</v>
      </c>
      <c r="E1534" s="9">
        <f t="shared" si="48"/>
        <v>0.87288404253995411</v>
      </c>
      <c r="F1534" t="str">
        <f t="shared" si="49"/>
        <v>Moderate</v>
      </c>
    </row>
    <row r="1535" spans="1:6" ht="15" hidden="1" customHeight="1" x14ac:dyDescent="0.3">
      <c r="A1535" t="s">
        <v>149</v>
      </c>
      <c r="B1535" s="2">
        <v>45931</v>
      </c>
      <c r="C1535" cm="1">
        <f t="array" ref="C1535">IFERROR(IF(SUMPRODUCT((measured[Site Name]=A1535)*(measured[Date]=B1535)*ISNUMBER(measured[Measured Value (kWh)]))=0,"",SUMIFS(measured[Measured Value (kWh)],measured[Site Name],A1535,measured[Date],B1535)),"")</f>
        <v>7677</v>
      </c>
      <c r="D1535" cm="1">
        <f t="array" ref="D1535">IFERROR(IF(SUMPRODUCT((expected_production[Site Name]=A1535)*(expected_production[Date]=B1535)*ISNUMBER(expected_production[Expected Production (kWh)]))=0,"",SUMIFS(expected_production[Expected Production (kWh)],expected_production[Site Name],A1535,expected_production[Date],B1535)),"")</f>
        <v>8579.0644658113724</v>
      </c>
      <c r="E1535" s="9">
        <f t="shared" si="48"/>
        <v>0.89485281648060688</v>
      </c>
      <c r="F1535" t="str">
        <f t="shared" si="49"/>
        <v>Moderate</v>
      </c>
    </row>
    <row r="1536" spans="1:6" ht="15" hidden="1" customHeight="1" x14ac:dyDescent="0.3">
      <c r="A1536" t="s">
        <v>149</v>
      </c>
      <c r="B1536" s="2">
        <v>45962</v>
      </c>
      <c r="C1536" cm="1">
        <f t="array" ref="C1536">IFERROR(IF(SUMPRODUCT((measured[Site Name]=A1536)*(measured[Date]=B1536)*ISNUMBER(measured[Measured Value (kWh)]))=0,"",SUMIFS(measured[Measured Value (kWh)],measured[Site Name],A1536,measured[Date],B1536)),"")</f>
        <v>5691</v>
      </c>
      <c r="D1536" cm="1">
        <f t="array" ref="D1536">IFERROR(IF(SUMPRODUCT((expected_production[Site Name]=A1536)*(expected_production[Date]=B1536)*ISNUMBER(expected_production[Expected Production (kWh)]))=0,"",SUMIFS(expected_production[Expected Production (kWh)],expected_production[Site Name],A1536,expected_production[Date],B1536)),"")</f>
        <v>8344.8098966746929</v>
      </c>
      <c r="E1536" s="9">
        <f t="shared" si="48"/>
        <v>0.68198078451946464</v>
      </c>
      <c r="F1536" t="str">
        <f t="shared" si="49"/>
        <v>Poor</v>
      </c>
    </row>
    <row r="1537" spans="1:7" ht="15" hidden="1" customHeight="1" x14ac:dyDescent="0.3">
      <c r="A1537" t="s">
        <v>149</v>
      </c>
      <c r="B1537" s="2">
        <v>45992</v>
      </c>
      <c r="C1537" cm="1">
        <f t="array" ref="C1537">IFERROR(IF(SUMPRODUCT((measured[Site Name]=A1537)*(measured[Date]=B1537)*ISNUMBER(measured[Measured Value (kWh)]))=0,"",SUMIFS(measured[Measured Value (kWh)],measured[Site Name],A1537,measured[Date],B1537)),"")</f>
        <v>3680</v>
      </c>
      <c r="D1537" cm="1">
        <f t="array" ref="D1537">IFERROR(IF(SUMPRODUCT((expected_production[Site Name]=A1537)*(expected_production[Date]=B1537)*ISNUMBER(expected_production[Expected Production (kWh)]))=0,"",SUMIFS(expected_production[Expected Production (kWh)],expected_production[Site Name],A1537,expected_production[Date],B1537)),"")</f>
        <v>8883.4451014328479</v>
      </c>
      <c r="E1537" s="9">
        <f t="shared" si="48"/>
        <v>0.41425369977312487</v>
      </c>
      <c r="F1537" t="str">
        <f t="shared" si="49"/>
        <v>Poor</v>
      </c>
    </row>
    <row r="1538" spans="1:7" ht="15" hidden="1" customHeight="1" x14ac:dyDescent="0.3">
      <c r="A1538" t="s">
        <v>149</v>
      </c>
      <c r="B1538" s="2">
        <v>46023</v>
      </c>
      <c r="C1538" cm="1">
        <f t="array" ref="C1538">IFERROR(IF(SUMPRODUCT((measured[Site Name]=A1538)*(measured[Date]=B1538)*ISNUMBER(measured[Measured Value (kWh)]))=0,"",SUMIFS(measured[Measured Value (kWh)],measured[Site Name],A1538,measured[Date],B1538)),"")</f>
        <v>5605</v>
      </c>
      <c r="D1538" cm="1">
        <f t="array" ref="D1538">IFERROR(IF(SUMPRODUCT((expected_production[Site Name]=A1538)*(expected_production[Date]=B1538)*ISNUMBER(expected_production[Expected Production (kWh)]))=0,"",SUMIFS(expected_production[Expected Production (kWh)],expected_production[Site Name],A1538,expected_production[Date],B1538)),"")</f>
        <v>8373.2564395527224</v>
      </c>
      <c r="E1538" s="9">
        <f t="shared" si="48"/>
        <v>0.66939308982866941</v>
      </c>
      <c r="F1538" t="str">
        <f t="shared" si="49"/>
        <v>Poor</v>
      </c>
    </row>
    <row r="1539" spans="1:7" ht="15" hidden="1" customHeight="1" x14ac:dyDescent="0.3">
      <c r="A1539" t="s">
        <v>149</v>
      </c>
      <c r="B1539" s="2">
        <v>46054</v>
      </c>
      <c r="C1539" cm="1">
        <f t="array" ref="C1539">IFERROR(IF(SUMPRODUCT((measured[Site Name]=A1539)*(measured[Date]=B1539)*ISNUMBER(measured[Measured Value (kWh)]))=0,"",SUMIFS(measured[Measured Value (kWh)],measured[Site Name],A1539,measured[Date],B1539)),"")</f>
        <v>7388</v>
      </c>
      <c r="D1539" cm="1">
        <f t="array" ref="D1539">IFERROR(IF(SUMPRODUCT((expected_production[Site Name]=A1539)*(expected_production[Date]=B1539)*ISNUMBER(expected_production[Expected Production (kWh)]))=0,"",SUMIFS(expected_production[Expected Production (kWh)],expected_production[Site Name],A1539,expected_production[Date],B1539)),"")</f>
        <v>7272.8745586765617</v>
      </c>
      <c r="E1539" s="9">
        <f t="shared" si="48"/>
        <v>1.0158294276072855</v>
      </c>
      <c r="F1539" t="str">
        <f t="shared" si="49"/>
        <v>Expected</v>
      </c>
    </row>
    <row r="1540" spans="1:7" ht="15" hidden="1" customHeight="1" x14ac:dyDescent="0.3">
      <c r="A1540" t="s">
        <v>149</v>
      </c>
      <c r="B1540" s="2">
        <v>46082</v>
      </c>
      <c r="C1540" cm="1">
        <f t="array" ref="C1540">IFERROR(IF(SUMPRODUCT((measured[Site Name]=A1540)*(measured[Date]=B1540)*ISNUMBER(measured[Measured Value (kWh)]))=0,"",SUMIFS(measured[Measured Value (kWh)],measured[Site Name],A1540,measured[Date],B1540)),"")</f>
        <v>6319.4</v>
      </c>
      <c r="D1540" cm="1">
        <f t="array" ref="D1540">IFERROR(IF(SUMPRODUCT((expected_production[Site Name]=A1540)*(expected_production[Date]=B1540)*ISNUMBER(expected_production[Expected Production (kWh)]))=0,"",SUMIFS(expected_production[Expected Production (kWh)],expected_production[Site Name],A1540,expected_production[Date],B1540)),"")</f>
        <v>7722.0232388715367</v>
      </c>
      <c r="E1540" s="9">
        <f t="shared" si="48"/>
        <v>0.81836065555838566</v>
      </c>
      <c r="F1540" t="str">
        <f t="shared" si="49"/>
        <v>Moderate</v>
      </c>
    </row>
    <row r="1541" spans="1:7" ht="15" hidden="1" customHeight="1" x14ac:dyDescent="0.3">
      <c r="A1541" t="s">
        <v>149</v>
      </c>
      <c r="B1541" s="2">
        <v>46113</v>
      </c>
      <c r="C1541" s="5" cm="1">
        <f t="array" ref="C1541">IFERROR(IF(SUMPRODUCT((measured[Site Name]=A1541)*(measured[Date]=B1541)*ISNUMBER(measured[Measured Value (kWh)]))=0,"",SUMIFS(measured[Measured Value (kWh)],measured[Site Name],A1541,measured[Date],B1541)),"")</f>
        <v>4370.4799999999996</v>
      </c>
      <c r="D1541" cm="1">
        <f t="array" ref="D1541">IFERROR(IF(SUMPRODUCT((expected_production[Site Name]=A1541)*(expected_production[Date]=B1541)*ISNUMBER(expected_production[Expected Production (kWh)]))=0,"",SUMIFS(expected_production[Expected Production (kWh)],expected_production[Site Name],A1541,expected_production[Date],B1541)),"")</f>
        <v>6798.2596971987032</v>
      </c>
      <c r="E1541" s="9">
        <f t="shared" si="48"/>
        <v>0.64288217789045388</v>
      </c>
      <c r="F1541" t="str">
        <f t="shared" si="49"/>
        <v>Poor</v>
      </c>
    </row>
    <row r="1542" spans="1:7" ht="15" hidden="1" customHeight="1" x14ac:dyDescent="0.3">
      <c r="A1542" t="s">
        <v>149</v>
      </c>
      <c r="B1542" s="2">
        <v>46143</v>
      </c>
      <c r="C1542" s="5" cm="1">
        <f t="array" ref="C1542">IFERROR(IF(SUMPRODUCT((measured[Site Name]=A1542)*(measured[Date]=B1542)*ISNUMBER(measured[Measured Value (kWh)]))=0,"",SUMIFS(measured[Measured Value (kWh)],measured[Site Name],A1542,measured[Date],B1542)),"")</f>
        <v>5968.12</v>
      </c>
      <c r="D1542" cm="1">
        <f t="array" ref="D1542">IFERROR(IF(SUMPRODUCT((expected_production[Site Name]=A1542)*(expected_production[Date]=B1542)*ISNUMBER(expected_production[Expected Production (kWh)]))=0,"",SUMIFS(expected_production[Expected Production (kWh)],expected_production[Site Name],A1542,expected_production[Date],B1542)),"")</f>
        <v>6669.2628620064233</v>
      </c>
      <c r="E1542" s="9">
        <f t="shared" si="48"/>
        <v>0.89486951159164729</v>
      </c>
      <c r="F1542" t="str">
        <f t="shared" si="49"/>
        <v>Moderate</v>
      </c>
    </row>
    <row r="1543" spans="1:7" ht="15" hidden="1" customHeight="1" x14ac:dyDescent="0.3">
      <c r="A1543" t="s">
        <v>149</v>
      </c>
      <c r="B1543" s="2">
        <v>46174</v>
      </c>
      <c r="C1543" cm="1">
        <f t="array" ref="C1543">IFERROR(IF(SUMPRODUCT((measured[Site Name]=A1543)*(measured[Date]=B1543)*ISNUMBER(measured[Measured Value (kWh)]))=0,"",SUMIFS(measured[Measured Value (kWh)],measured[Site Name],A1543,measured[Date],B1543)),"")</f>
        <v>5956</v>
      </c>
      <c r="D1543" cm="1">
        <f t="array" ref="D1543">IFERROR(IF(SUMPRODUCT((expected_production[Site Name]=A1543)*(expected_production[Date]=B1543)*ISNUMBER(expected_production[Expected Production (kWh)]))=0,"",SUMIFS(expected_production[Expected Production (kWh)],expected_production[Site Name],A1543,expected_production[Date],B1543)),"")</f>
        <v>6195.8233285214455</v>
      </c>
      <c r="E1543" s="9">
        <f t="shared" si="48"/>
        <v>0.96129274257749431</v>
      </c>
      <c r="F1543" t="str">
        <f t="shared" si="49"/>
        <v>Expected</v>
      </c>
    </row>
    <row r="1544" spans="1:7" ht="15" hidden="1" customHeight="1" x14ac:dyDescent="0.3">
      <c r="A1544" t="s">
        <v>142</v>
      </c>
      <c r="B1544" s="2">
        <v>46204</v>
      </c>
      <c r="C1544" cm="1">
        <f t="array" ref="C1544">IFERROR(IF(SUMPRODUCT((measured[Site Name]=A1544)*(measured[Date]=B1544)*ISNUMBER(measured[Measured Value (kWh)]))=0,"",SUMIFS(measured[Measured Value (kWh)],measured[Site Name],A1544,measured[Date],B1544)),"")</f>
        <v>3812</v>
      </c>
      <c r="D1544" cm="1">
        <f t="array" ref="D1544">IFERROR(IF(SUMPRODUCT((expected_production[Site Name]=A1544)*(expected_production[Date]=B1544)*ISNUMBER(expected_production[Expected Production (kWh)]))=0,"",SUMIFS(expected_production[Expected Production (kWh)],expected_production[Site Name],A1544,expected_production[Date],B1544)),"")</f>
        <v>4134.6782185163547</v>
      </c>
      <c r="E1544" s="9">
        <f t="shared" si="48"/>
        <v>0.92195808199261964</v>
      </c>
      <c r="F1544" t="str">
        <f t="shared" si="49"/>
        <v>Expected</v>
      </c>
      <c r="G1544" t="s">
        <v>874</v>
      </c>
    </row>
    <row r="1545" spans="1:7" ht="15" hidden="1" customHeight="1" x14ac:dyDescent="0.3">
      <c r="A1545" t="s">
        <v>149</v>
      </c>
      <c r="B1545" s="2">
        <v>46235</v>
      </c>
      <c r="C1545" cm="1">
        <f t="array" ref="C1545">IFERROR(IF(SUMPRODUCT((measured[Site Name]=A1545)*(measured[Date]=B1545)*ISNUMBER(measured[Measured Value (kWh)]))=0,"",SUMIFS(measured[Measured Value (kWh)],measured[Site Name],A1545,measured[Date],B1545)),"")</f>
        <v>6801</v>
      </c>
      <c r="D1545" cm="1">
        <f t="array" ref="D1545">IFERROR(IF(SUMPRODUCT((expected_production[Site Name]=A1545)*(expected_production[Date]=B1545)*ISNUMBER(expected_production[Expected Production (kWh)]))=0,"",SUMIFS(expected_production[Expected Production (kWh)],expected_production[Site Name],A1545,expected_production[Date],B1545)),"")</f>
        <v>7622.4558881780085</v>
      </c>
      <c r="E1545" s="9">
        <f t="shared" si="48"/>
        <v>0.89223212305471788</v>
      </c>
      <c r="F1545" t="str">
        <f t="shared" si="49"/>
        <v>Moderate</v>
      </c>
      <c r="G1545" t="s">
        <v>874</v>
      </c>
    </row>
    <row r="1546" spans="1:7" ht="15" customHeight="1" x14ac:dyDescent="0.3">
      <c r="A1546" t="s">
        <v>251</v>
      </c>
      <c r="B1546" s="2">
        <v>46266</v>
      </c>
      <c r="C1546" cm="1">
        <f t="array" ref="C1546">IFERROR(IF(SUMPRODUCT((measured[Site Name]=A1546)*(measured[Date]=B1546)*ISNUMBER(measured[Measured Value (kWh)]))=0,"",SUMIFS(measured[Measured Value (kWh)],measured[Site Name],A1546,measured[Date],B1546)),"")</f>
        <v>18541.739600000001</v>
      </c>
      <c r="D1546" cm="1">
        <f t="array" ref="D1546">IFERROR(IF(SUMPRODUCT((expected_production[Site Name]=A1546)*(expected_production[Date]=B1546)*ISNUMBER(expected_production[Expected Production (kWh)]))=0,"",SUMIFS(expected_production[Expected Production (kWh)],expected_production[Site Name],A1546,expected_production[Date],B1546)),"")</f>
        <v>23596.944044916185</v>
      </c>
      <c r="E1546" s="9">
        <f t="shared" si="48"/>
        <v>0.78576868109303766</v>
      </c>
      <c r="F1546" t="str">
        <f t="shared" si="49"/>
        <v>Moderate</v>
      </c>
      <c r="G1546" t="s">
        <v>874</v>
      </c>
    </row>
    <row r="1547" spans="1:7" ht="15" hidden="1" customHeight="1" x14ac:dyDescent="0.3">
      <c r="A1547" t="s">
        <v>149</v>
      </c>
      <c r="B1547" s="2">
        <v>46296</v>
      </c>
      <c r="C1547" t="str" cm="1">
        <f t="array" ref="C1547">IFERROR(IF(SUMPRODUCT((measured[Site Name]=A1547)*(measured[Date]=B1547)*ISNUMBER(measured[Measured Value (kWh)]))=0,"",SUMIFS(measured[Measured Value (kWh)],measured[Site Name],A1547,measured[Date],B1547)),"")</f>
        <v/>
      </c>
      <c r="D1547" cm="1">
        <f t="array" ref="D1547">IFERROR(IF(SUMPRODUCT((expected_production[Site Name]=A1547)*(expected_production[Date]=B1547)*ISNUMBER(expected_production[Expected Production (kWh)]))=0,"",SUMIFS(expected_production[Expected Production (kWh)],expected_production[Site Name],A1547,expected_production[Date],B1547)),"")</f>
        <v>8519.0519747942835</v>
      </c>
      <c r="E1547" s="9" t="str">
        <f t="shared" si="48"/>
        <v/>
      </c>
      <c r="F1547" t="str">
        <f t="shared" si="49"/>
        <v/>
      </c>
    </row>
    <row r="1548" spans="1:7" ht="15" hidden="1" customHeight="1" x14ac:dyDescent="0.3">
      <c r="A1548" t="s">
        <v>149</v>
      </c>
      <c r="B1548" s="2">
        <v>46327</v>
      </c>
      <c r="C1548" t="str" cm="1">
        <f t="array" ref="C1548">IFERROR(IF(SUMPRODUCT((measured[Site Name]=A1548)*(measured[Date]=B1548)*ISNUMBER(measured[Measured Value (kWh)]))=0,"",SUMIFS(measured[Measured Value (kWh)],measured[Site Name],A1548,measured[Date],B1548)),"")</f>
        <v/>
      </c>
      <c r="D1548" cm="1">
        <f t="array" ref="D1548">IFERROR(IF(SUMPRODUCT((expected_production[Site Name]=A1548)*(expected_production[Date]=B1548)*ISNUMBER(expected_production[Expected Production (kWh)]))=0,"",SUMIFS(expected_production[Expected Production (kWh)],expected_production[Site Name],A1548,expected_production[Date],B1548)),"")</f>
        <v>8286.4360692067658</v>
      </c>
      <c r="E1548" s="9" t="str">
        <f t="shared" si="48"/>
        <v/>
      </c>
      <c r="F1548" t="str">
        <f t="shared" si="49"/>
        <v/>
      </c>
    </row>
    <row r="1549" spans="1:7" ht="15" hidden="1" customHeight="1" x14ac:dyDescent="0.3">
      <c r="A1549" t="s">
        <v>149</v>
      </c>
      <c r="B1549" s="2">
        <v>46357</v>
      </c>
      <c r="C1549" t="str" cm="1">
        <f t="array" ref="C1549">IFERROR(IF(SUMPRODUCT((measured[Site Name]=A1549)*(measured[Date]=B1549)*ISNUMBER(measured[Measured Value (kWh)]))=0,"",SUMIFS(measured[Measured Value (kWh)],measured[Site Name],A1549,measured[Date],B1549)),"")</f>
        <v/>
      </c>
      <c r="D1549" cm="1">
        <f t="array" ref="D1549">IFERROR(IF(SUMPRODUCT((expected_production[Site Name]=A1549)*(expected_production[Date]=B1549)*ISNUMBER(expected_production[Expected Production (kWh)]))=0,"",SUMIFS(expected_production[Expected Production (kWh)],expected_production[Site Name],A1549,expected_production[Date],B1549)),"")</f>
        <v>8821.3033992140245</v>
      </c>
      <c r="E1549" s="9" t="str">
        <f t="shared" si="48"/>
        <v/>
      </c>
      <c r="F1549" t="str">
        <f t="shared" si="49"/>
        <v/>
      </c>
    </row>
    <row r="1550" spans="1:7" ht="15" hidden="1" customHeight="1" x14ac:dyDescent="0.3">
      <c r="A1550" t="s">
        <v>155</v>
      </c>
      <c r="B1550" s="2">
        <v>45292</v>
      </c>
      <c r="C1550" cm="1">
        <f t="array" ref="C1550">IFERROR(IF(SUMPRODUCT((measured[Site Name]=A1550)*(measured[Date]=B1550)*ISNUMBER(measured[Measured Value (kWh)]))=0,"",SUMIFS(measured[Measured Value (kWh)],measured[Site Name],A1550,measured[Date],B1550)),"")</f>
        <v>4700</v>
      </c>
      <c r="D1550" cm="1">
        <f t="array" ref="D1550">IFERROR(IF(SUMPRODUCT((expected_production[Site Name]=A1550)*(expected_production[Date]=B1550)*ISNUMBER(expected_production[Expected Production (kWh)]))=0,"",SUMIFS(expected_production[Expected Production (kWh)],expected_production[Site Name],A1550,expected_production[Date],B1550)),"")</f>
        <v>4875.5004226916781</v>
      </c>
      <c r="E1550" s="9">
        <f t="shared" si="48"/>
        <v>0.96400360835272225</v>
      </c>
      <c r="F1550" t="str">
        <f t="shared" si="49"/>
        <v>Expected</v>
      </c>
    </row>
    <row r="1551" spans="1:7" ht="15" hidden="1" customHeight="1" x14ac:dyDescent="0.3">
      <c r="A1551" t="s">
        <v>155</v>
      </c>
      <c r="B1551" s="2">
        <v>45323</v>
      </c>
      <c r="C1551" cm="1">
        <f t="array" ref="C1551">IFERROR(IF(SUMPRODUCT((measured[Site Name]=A1551)*(measured[Date]=B1551)*ISNUMBER(measured[Measured Value (kWh)]))=0,"",SUMIFS(measured[Measured Value (kWh)],measured[Site Name],A1551,measured[Date],B1551)),"")</f>
        <v>4300</v>
      </c>
      <c r="D1551" cm="1">
        <f t="array" ref="D1551">IFERROR(IF(SUMPRODUCT((expected_production[Site Name]=A1551)*(expected_production[Date]=B1551)*ISNUMBER(expected_production[Expected Production (kWh)]))=0,"",SUMIFS(expected_production[Expected Production (kWh)],expected_production[Site Name],A1551,expected_production[Date],B1551)),"")</f>
        <v>4507.3806371943701</v>
      </c>
      <c r="E1551" s="9">
        <f t="shared" si="48"/>
        <v>0.9539908754359262</v>
      </c>
      <c r="F1551" t="str">
        <f t="shared" si="49"/>
        <v>Expected</v>
      </c>
    </row>
    <row r="1552" spans="1:7" ht="15" hidden="1" customHeight="1" x14ac:dyDescent="0.3">
      <c r="A1552" t="s">
        <v>155</v>
      </c>
      <c r="B1552" s="2">
        <v>45352</v>
      </c>
      <c r="C1552" cm="1">
        <f t="array" ref="C1552">IFERROR(IF(SUMPRODUCT((measured[Site Name]=A1552)*(measured[Date]=B1552)*ISNUMBER(measured[Measured Value (kWh)]))=0,"",SUMIFS(measured[Measured Value (kWh)],measured[Site Name],A1552,measured[Date],B1552)),"")</f>
        <v>5200</v>
      </c>
      <c r="D1552" cm="1">
        <f t="array" ref="D1552">IFERROR(IF(SUMPRODUCT((expected_production[Site Name]=A1552)*(expected_production[Date]=B1552)*ISNUMBER(expected_production[Expected Production (kWh)]))=0,"",SUMIFS(expected_production[Expected Production (kWh)],expected_production[Site Name],A1552,expected_production[Date],B1552)),"")</f>
        <v>4730.536137983514</v>
      </c>
      <c r="E1552" s="9">
        <f t="shared" si="48"/>
        <v>1.0992411532906299</v>
      </c>
      <c r="F1552" t="str">
        <f t="shared" si="49"/>
        <v>Expected</v>
      </c>
    </row>
    <row r="1553" spans="1:6" ht="15" hidden="1" customHeight="1" x14ac:dyDescent="0.3">
      <c r="A1553" t="s">
        <v>155</v>
      </c>
      <c r="B1553" s="2">
        <v>45383</v>
      </c>
      <c r="C1553" cm="1">
        <f t="array" ref="C1553">IFERROR(IF(SUMPRODUCT((measured[Site Name]=A1553)*(measured[Date]=B1553)*ISNUMBER(measured[Measured Value (kWh)]))=0,"",SUMIFS(measured[Measured Value (kWh)],measured[Site Name],A1553,measured[Date],B1553)),"")</f>
        <v>4500</v>
      </c>
      <c r="D1553" cm="1">
        <f t="array" ref="D1553">IFERROR(IF(SUMPRODUCT((expected_production[Site Name]=A1553)*(expected_production[Date]=B1553)*ISNUMBER(expected_production[Expected Production (kWh)]))=0,"",SUMIFS(expected_production[Expected Production (kWh)],expected_production[Site Name],A1553,expected_production[Date],B1553)),"")</f>
        <v>4148.3084343493883</v>
      </c>
      <c r="E1553" s="9">
        <f t="shared" si="48"/>
        <v>1.0847795122316575</v>
      </c>
      <c r="F1553" t="str">
        <f t="shared" si="49"/>
        <v>Expected</v>
      </c>
    </row>
    <row r="1554" spans="1:6" ht="15" hidden="1" customHeight="1" x14ac:dyDescent="0.3">
      <c r="A1554" t="s">
        <v>155</v>
      </c>
      <c r="B1554" s="2">
        <v>45413</v>
      </c>
      <c r="C1554" cm="1">
        <f t="array" ref="C1554">IFERROR(IF(SUMPRODUCT((measured[Site Name]=A1554)*(measured[Date]=B1554)*ISNUMBER(measured[Measured Value (kWh)]))=0,"",SUMIFS(measured[Measured Value (kWh)],measured[Site Name],A1554,measured[Date],B1554)),"")</f>
        <v>4300</v>
      </c>
      <c r="D1554" cm="1">
        <f t="array" ref="D1554">IFERROR(IF(SUMPRODUCT((expected_production[Site Name]=A1554)*(expected_production[Date]=B1554)*ISNUMBER(expected_production[Expected Production (kWh)]))=0,"",SUMIFS(expected_production[Expected Production (kWh)],expected_production[Site Name],A1554,expected_production[Date],B1554)),"")</f>
        <v>4092.1585738901158</v>
      </c>
      <c r="E1554" s="9">
        <f t="shared" si="48"/>
        <v>1.0507901691386081</v>
      </c>
      <c r="F1554" t="str">
        <f t="shared" si="49"/>
        <v>Expected</v>
      </c>
    </row>
    <row r="1555" spans="1:6" ht="15" hidden="1" customHeight="1" x14ac:dyDescent="0.3">
      <c r="A1555" t="s">
        <v>155</v>
      </c>
      <c r="B1555" s="2">
        <v>45444</v>
      </c>
      <c r="C1555" cm="1">
        <f t="array" ref="C1555">IFERROR(IF(SUMPRODUCT((measured[Site Name]=A1555)*(measured[Date]=B1555)*ISNUMBER(measured[Measured Value (kWh)]))=0,"",SUMIFS(measured[Measured Value (kWh)],measured[Site Name],A1555,measured[Date],B1555)),"")</f>
        <v>3800</v>
      </c>
      <c r="D1555" cm="1">
        <f t="array" ref="D1555">IFERROR(IF(SUMPRODUCT((expected_production[Site Name]=A1555)*(expected_production[Date]=B1555)*ISNUMBER(expected_production[Expected Production (kWh)]))=0,"",SUMIFS(expected_production[Expected Production (kWh)],expected_production[Site Name],A1555,expected_production[Date],B1555)),"")</f>
        <v>3703.9003194998368</v>
      </c>
      <c r="E1555" s="9">
        <f t="shared" si="48"/>
        <v>1.0259455363834251</v>
      </c>
      <c r="F1555" t="str">
        <f t="shared" si="49"/>
        <v>Expected</v>
      </c>
    </row>
    <row r="1556" spans="1:6" ht="15" hidden="1" customHeight="1" x14ac:dyDescent="0.3">
      <c r="A1556" t="s">
        <v>155</v>
      </c>
      <c r="B1556" s="2">
        <v>45474</v>
      </c>
      <c r="C1556" cm="1">
        <f t="array" ref="C1556">IFERROR(IF(SUMPRODUCT((measured[Site Name]=A1556)*(measured[Date]=B1556)*ISNUMBER(measured[Measured Value (kWh)]))=0,"",SUMIFS(measured[Measured Value (kWh)],measured[Site Name],A1556,measured[Date],B1556)),"")</f>
        <v>4100</v>
      </c>
      <c r="D1556" cm="1">
        <f t="array" ref="D1556">IFERROR(IF(SUMPRODUCT((expected_production[Site Name]=A1556)*(expected_production[Date]=B1556)*ISNUMBER(expected_production[Expected Production (kWh)]))=0,"",SUMIFS(expected_production[Expected Production (kWh)],expected_production[Site Name],A1556,expected_production[Date],B1556)),"")</f>
        <v>4075.4781965416919</v>
      </c>
      <c r="E1556" s="9">
        <f t="shared" si="48"/>
        <v>1.0060169144026132</v>
      </c>
      <c r="F1556" t="str">
        <f t="shared" si="49"/>
        <v>Expected</v>
      </c>
    </row>
    <row r="1557" spans="1:6" ht="15" hidden="1" customHeight="1" x14ac:dyDescent="0.3">
      <c r="A1557" t="s">
        <v>155</v>
      </c>
      <c r="B1557" s="2">
        <v>45505</v>
      </c>
      <c r="C1557" cm="1">
        <f t="array" ref="C1557">IFERROR(IF(SUMPRODUCT((measured[Site Name]=A1557)*(measured[Date]=B1557)*ISNUMBER(measured[Measured Value (kWh)]))=0,"",SUMIFS(measured[Measured Value (kWh)],measured[Site Name],A1557,measured[Date],B1557)),"")</f>
        <v>4000</v>
      </c>
      <c r="D1557" cm="1">
        <f t="array" ref="D1557">IFERROR(IF(SUMPRODUCT((expected_production[Site Name]=A1557)*(expected_production[Date]=B1557)*ISNUMBER(expected_production[Expected Production (kWh)]))=0,"",SUMIFS(expected_production[Expected Production (kWh)],expected_production[Site Name],A1557,expected_production[Date],B1557)),"")</f>
        <v>4588.2406686280901</v>
      </c>
      <c r="E1557" s="9">
        <f t="shared" si="48"/>
        <v>0.87179385060374848</v>
      </c>
      <c r="F1557" t="str">
        <f t="shared" si="49"/>
        <v>Moderate</v>
      </c>
    </row>
    <row r="1558" spans="1:6" ht="15" hidden="1" customHeight="1" x14ac:dyDescent="0.3">
      <c r="A1558" t="s">
        <v>155</v>
      </c>
      <c r="B1558" s="2">
        <v>45536</v>
      </c>
      <c r="C1558" cm="1">
        <f t="array" ref="C1558">IFERROR(IF(SUMPRODUCT((measured[Site Name]=A1558)*(measured[Date]=B1558)*ISNUMBER(measured[Measured Value (kWh)]))=0,"",SUMIFS(measured[Measured Value (kWh)],measured[Site Name],A1558,measured[Date],B1558)),"")</f>
        <v>3700</v>
      </c>
      <c r="D1558" cm="1">
        <f t="array" ref="D1558">IFERROR(IF(SUMPRODUCT((expected_production[Site Name]=A1558)*(expected_production[Date]=B1558)*ISNUMBER(expected_production[Expected Production (kWh)]))=0,"",SUMIFS(expected_production[Expected Production (kWh)],expected_production[Site Name],A1558,expected_production[Date],B1558)),"")</f>
        <v>4756.212033798578</v>
      </c>
      <c r="E1558" s="9">
        <f t="shared" ref="E1558:E1621" si="50">IF(OR(C1558="",D1558="",D1558=0),"",C1558/D1558)</f>
        <v>0.77792999422798492</v>
      </c>
      <c r="F1558" t="str">
        <f t="shared" ref="F1558:F1621" si="51">IF(E1558="","",IF(E1558&gt;=0.9,"Expected",IF(E1558&gt;=0.7,"Moderate","Poor")))</f>
        <v>Moderate</v>
      </c>
    </row>
    <row r="1559" spans="1:6" ht="15" hidden="1" customHeight="1" x14ac:dyDescent="0.3">
      <c r="A1559" t="s">
        <v>155</v>
      </c>
      <c r="B1559" s="2">
        <v>45566</v>
      </c>
      <c r="C1559" cm="1">
        <f t="array" ref="C1559">IFERROR(IF(SUMPRODUCT((measured[Site Name]=A1559)*(measured[Date]=B1559)*ISNUMBER(measured[Measured Value (kWh)]))=0,"",SUMIFS(measured[Measured Value (kWh)],measured[Site Name],A1559,measured[Date],B1559)),"")</f>
        <v>5479</v>
      </c>
      <c r="D1559" cm="1">
        <f t="array" ref="D1559">IFERROR(IF(SUMPRODUCT((expected_production[Site Name]=A1559)*(expected_production[Date]=B1559)*ISNUMBER(expected_production[Expected Production (kWh)]))=0,"",SUMIFS(expected_production[Expected Production (kWh)],expected_production[Site Name],A1559,expected_production[Date],B1559)),"")</f>
        <v>5022.9804928747708</v>
      </c>
      <c r="E1559" s="9">
        <f t="shared" si="50"/>
        <v>1.0907866370916839</v>
      </c>
      <c r="F1559" t="str">
        <f t="shared" si="51"/>
        <v>Expected</v>
      </c>
    </row>
    <row r="1560" spans="1:6" ht="15" hidden="1" customHeight="1" x14ac:dyDescent="0.3">
      <c r="A1560" t="s">
        <v>155</v>
      </c>
      <c r="B1560" s="2">
        <v>45597</v>
      </c>
      <c r="C1560" cm="1">
        <f t="array" ref="C1560">IFERROR(IF(SUMPRODUCT((measured[Site Name]=A1560)*(measured[Date]=B1560)*ISNUMBER(measured[Measured Value (kWh)]))=0,"",SUMIFS(measured[Measured Value (kWh)],measured[Site Name],A1560,measured[Date],B1560)),"")</f>
        <v>5500</v>
      </c>
      <c r="D1560" cm="1">
        <f t="array" ref="D1560">IFERROR(IF(SUMPRODUCT((expected_production[Site Name]=A1560)*(expected_production[Date]=B1560)*ISNUMBER(expected_production[Expected Production (kWh)]))=0,"",SUMIFS(expected_production[Expected Production (kWh)],expected_production[Site Name],A1560,expected_production[Date],B1560)),"")</f>
        <v>4815.8786936150345</v>
      </c>
      <c r="E1560" s="9">
        <f t="shared" si="50"/>
        <v>1.1420553443947796</v>
      </c>
      <c r="F1560" t="str">
        <f t="shared" si="51"/>
        <v>Expected</v>
      </c>
    </row>
    <row r="1561" spans="1:6" ht="15" hidden="1" customHeight="1" x14ac:dyDescent="0.3">
      <c r="A1561" t="s">
        <v>155</v>
      </c>
      <c r="B1561" s="2">
        <v>45627</v>
      </c>
      <c r="C1561" cm="1">
        <f t="array" ref="C1561">IFERROR(IF(SUMPRODUCT((measured[Site Name]=A1561)*(measured[Date]=B1561)*ISNUMBER(measured[Measured Value (kWh)]))=0,"",SUMIFS(measured[Measured Value (kWh)],measured[Site Name],A1561,measured[Date],B1561)),"")</f>
        <v>2742</v>
      </c>
      <c r="D1561" cm="1">
        <f t="array" ref="D1561">IFERROR(IF(SUMPRODUCT((expected_production[Site Name]=A1561)*(expected_production[Date]=B1561)*ISNUMBER(expected_production[Expected Production (kWh)]))=0,"",SUMIFS(expected_production[Expected Production (kWh)],expected_production[Site Name],A1561,expected_production[Date],B1561)),"")</f>
        <v>5030.3638499160634</v>
      </c>
      <c r="E1561" s="9">
        <f t="shared" si="50"/>
        <v>0.54508979505443789</v>
      </c>
      <c r="F1561" t="str">
        <f t="shared" si="51"/>
        <v>Poor</v>
      </c>
    </row>
    <row r="1562" spans="1:6" ht="15" hidden="1" customHeight="1" x14ac:dyDescent="0.3">
      <c r="A1562" t="s">
        <v>155</v>
      </c>
      <c r="B1562" s="2">
        <v>45658</v>
      </c>
      <c r="C1562" cm="1">
        <f t="array" ref="C1562">IFERROR(IF(SUMPRODUCT((measured[Site Name]=A1562)*(measured[Date]=B1562)*ISNUMBER(measured[Measured Value (kWh)]))=0,"",SUMIFS(measured[Measured Value (kWh)],measured[Site Name],A1562,measured[Date],B1562)),"")</f>
        <v>5100</v>
      </c>
      <c r="D1562" cm="1">
        <f t="array" ref="D1562">IFERROR(IF(SUMPRODUCT((expected_production[Site Name]=A1562)*(expected_production[Date]=B1562)*ISNUMBER(expected_production[Expected Production (kWh)]))=0,"",SUMIFS(expected_production[Expected Production (kWh)],expected_production[Site Name],A1562,expected_production[Date],B1562)),"")</f>
        <v>4841.3020870260025</v>
      </c>
      <c r="E1562" s="9">
        <f t="shared" si="50"/>
        <v>1.0534356064388692</v>
      </c>
      <c r="F1562" t="str">
        <f t="shared" si="51"/>
        <v>Expected</v>
      </c>
    </row>
    <row r="1563" spans="1:6" ht="15" hidden="1" customHeight="1" x14ac:dyDescent="0.3">
      <c r="A1563" t="s">
        <v>155</v>
      </c>
      <c r="B1563" s="2">
        <v>45689</v>
      </c>
      <c r="C1563" cm="1">
        <f t="array" ref="C1563">IFERROR(IF(SUMPRODUCT((measured[Site Name]=A1563)*(measured[Date]=B1563)*ISNUMBER(measured[Measured Value (kWh)]))=0,"",SUMIFS(measured[Measured Value (kWh)],measured[Site Name],A1563,measured[Date],B1563)),"")</f>
        <v>3970</v>
      </c>
      <c r="D1563" cm="1">
        <f t="array" ref="D1563">IFERROR(IF(SUMPRODUCT((expected_production[Site Name]=A1563)*(expected_production[Date]=B1563)*ISNUMBER(expected_production[Expected Production (kWh)]))=0,"",SUMIFS(expected_production[Expected Production (kWh)],expected_production[Site Name],A1563,expected_production[Date],B1563)),"")</f>
        <v>4475.7644126758951</v>
      </c>
      <c r="E1563" s="9">
        <f t="shared" si="50"/>
        <v>0.88699932211724319</v>
      </c>
      <c r="F1563" t="str">
        <f t="shared" si="51"/>
        <v>Moderate</v>
      </c>
    </row>
    <row r="1564" spans="1:6" ht="15" hidden="1" customHeight="1" x14ac:dyDescent="0.3">
      <c r="A1564" t="s">
        <v>155</v>
      </c>
      <c r="B1564" s="2">
        <v>45717</v>
      </c>
      <c r="C1564" cm="1">
        <f t="array" ref="C1564">IFERROR(IF(SUMPRODUCT((measured[Site Name]=A1564)*(measured[Date]=B1564)*ISNUMBER(measured[Measured Value (kWh)]))=0,"",SUMIFS(measured[Measured Value (kWh)],measured[Site Name],A1564,measured[Date],B1564)),"")</f>
        <v>4540</v>
      </c>
      <c r="D1564" cm="1">
        <f t="array" ref="D1564">IFERROR(IF(SUMPRODUCT((expected_production[Site Name]=A1564)*(expected_production[Date]=B1564)*ISNUMBER(expected_production[Expected Production (kWh)]))=0,"",SUMIFS(expected_production[Expected Production (kWh)],expected_production[Site Name],A1564,expected_production[Date],B1564)),"")</f>
        <v>4697.4449706868818</v>
      </c>
      <c r="E1564" s="9">
        <f t="shared" si="50"/>
        <v>0.96648284936398954</v>
      </c>
      <c r="F1564" t="str">
        <f t="shared" si="51"/>
        <v>Expected</v>
      </c>
    </row>
    <row r="1565" spans="1:6" ht="15" hidden="1" customHeight="1" x14ac:dyDescent="0.3">
      <c r="A1565" t="s">
        <v>155</v>
      </c>
      <c r="B1565" s="2">
        <v>45748</v>
      </c>
      <c r="C1565" cm="1">
        <f t="array" ref="C1565">IFERROR(IF(SUMPRODUCT((measured[Site Name]=A1565)*(measured[Date]=B1565)*ISNUMBER(measured[Measured Value (kWh)]))=0,"",SUMIFS(measured[Measured Value (kWh)],measured[Site Name],A1565,measured[Date],B1565)),"")</f>
        <v>3526</v>
      </c>
      <c r="D1565" cm="1">
        <f t="array" ref="D1565">IFERROR(IF(SUMPRODUCT((expected_production[Site Name]=A1565)*(expected_production[Date]=B1565)*ISNUMBER(expected_production[Expected Production (kWh)]))=0,"",SUMIFS(expected_production[Expected Production (kWh)],expected_production[Site Name],A1565,expected_production[Date],B1565)),"")</f>
        <v>4119.2900811659383</v>
      </c>
      <c r="E1565" s="9">
        <f t="shared" si="50"/>
        <v>0.85597273572003174</v>
      </c>
      <c r="F1565" t="str">
        <f t="shared" si="51"/>
        <v>Moderate</v>
      </c>
    </row>
    <row r="1566" spans="1:6" ht="15" hidden="1" customHeight="1" x14ac:dyDescent="0.3">
      <c r="A1566" t="s">
        <v>155</v>
      </c>
      <c r="B1566" s="2">
        <v>45778</v>
      </c>
      <c r="C1566" cm="1">
        <f t="array" ref="C1566">IFERROR(IF(SUMPRODUCT((measured[Site Name]=A1566)*(measured[Date]=B1566)*ISNUMBER(measured[Measured Value (kWh)]))=0,"",SUMIFS(measured[Measured Value (kWh)],measured[Site Name],A1566,measured[Date],B1566)),"")</f>
        <v>4309</v>
      </c>
      <c r="D1566" cm="1">
        <f t="array" ref="D1566">IFERROR(IF(SUMPRODUCT((expected_production[Site Name]=A1566)*(expected_production[Date]=B1566)*ISNUMBER(expected_production[Expected Production (kWh)]))=0,"",SUMIFS(expected_production[Expected Production (kWh)],expected_production[Site Name],A1566,expected_production[Date],B1566)),"")</f>
        <v>4063.5330016456419</v>
      </c>
      <c r="E1566" s="9">
        <f t="shared" si="50"/>
        <v>1.0604072855455953</v>
      </c>
      <c r="F1566" t="str">
        <f t="shared" si="51"/>
        <v>Expected</v>
      </c>
    </row>
    <row r="1567" spans="1:6" ht="15" hidden="1" customHeight="1" x14ac:dyDescent="0.3">
      <c r="A1567" t="s">
        <v>155</v>
      </c>
      <c r="B1567" s="2">
        <v>45809</v>
      </c>
      <c r="C1567" cm="1">
        <f t="array" ref="C1567">IFERROR(IF(SUMPRODUCT((measured[Site Name]=A1567)*(measured[Date]=B1567)*ISNUMBER(measured[Measured Value (kWh)]))=0,"",SUMIFS(measured[Measured Value (kWh)],measured[Site Name],A1567,measured[Date],B1567)),"")</f>
        <v>3564</v>
      </c>
      <c r="D1567" cm="1">
        <f t="array" ref="D1567">IFERROR(IF(SUMPRODUCT((expected_production[Site Name]=A1567)*(expected_production[Date]=B1567)*ISNUMBER(expected_production[Expected Production (kWh)]))=0,"",SUMIFS(expected_production[Expected Production (kWh)],expected_production[Site Name],A1567,expected_production[Date],B1567)),"")</f>
        <v>3677.9907013196739</v>
      </c>
      <c r="E1567" s="9">
        <f t="shared" si="50"/>
        <v>0.96900734379813036</v>
      </c>
      <c r="F1567" t="str">
        <f t="shared" si="51"/>
        <v>Expected</v>
      </c>
    </row>
    <row r="1568" spans="1:6" ht="15" hidden="1" customHeight="1" x14ac:dyDescent="0.3">
      <c r="A1568" t="s">
        <v>155</v>
      </c>
      <c r="B1568" s="2">
        <v>45839</v>
      </c>
      <c r="C1568" cm="1">
        <f t="array" ref="C1568">IFERROR(IF(SUMPRODUCT((measured[Site Name]=A1568)*(measured[Date]=B1568)*ISNUMBER(measured[Measured Value (kWh)]))=0,"",SUMIFS(measured[Measured Value (kWh)],measured[Site Name],A1568,measured[Date],B1568)),"")</f>
        <v>3444</v>
      </c>
      <c r="D1568" cm="1">
        <f t="array" ref="D1568">IFERROR(IF(SUMPRODUCT((expected_production[Site Name]=A1568)*(expected_production[Date]=B1568)*ISNUMBER(expected_production[Expected Production (kWh)]))=0,"",SUMIFS(expected_production[Expected Production (kWh)],expected_production[Site Name],A1568,expected_production[Date],B1568)),"")</f>
        <v>4046.9693072991663</v>
      </c>
      <c r="E1568" s="9">
        <f t="shared" si="50"/>
        <v>0.85100719538158021</v>
      </c>
      <c r="F1568" t="str">
        <f t="shared" si="51"/>
        <v>Moderate</v>
      </c>
    </row>
    <row r="1569" spans="1:7" ht="15" hidden="1" customHeight="1" x14ac:dyDescent="0.3">
      <c r="A1569" t="s">
        <v>155</v>
      </c>
      <c r="B1569" s="2">
        <v>45870</v>
      </c>
      <c r="C1569" cm="1">
        <f t="array" ref="C1569">IFERROR(IF(SUMPRODUCT((measured[Site Name]=A1569)*(measured[Date]=B1569)*ISNUMBER(measured[Measured Value (kWh)]))=0,"",SUMIFS(measured[Measured Value (kWh)],measured[Site Name],A1569,measured[Date],B1569)),"")</f>
        <v>4434</v>
      </c>
      <c r="D1569" cm="1">
        <f t="array" ref="D1569">IFERROR(IF(SUMPRODUCT((expected_production[Site Name]=A1569)*(expected_production[Date]=B1569)*ISNUMBER(expected_production[Expected Production (kWh)]))=0,"",SUMIFS(expected_production[Expected Production (kWh)],expected_production[Site Name],A1569,expected_production[Date],B1569)),"")</f>
        <v>4556.144890235516</v>
      </c>
      <c r="E1569" s="9">
        <f t="shared" si="50"/>
        <v>0.97319117517590581</v>
      </c>
      <c r="F1569" t="str">
        <f t="shared" si="51"/>
        <v>Expected</v>
      </c>
    </row>
    <row r="1570" spans="1:7" ht="15" hidden="1" customHeight="1" x14ac:dyDescent="0.3">
      <c r="A1570" t="s">
        <v>155</v>
      </c>
      <c r="B1570" s="2">
        <v>45901</v>
      </c>
      <c r="C1570" cm="1">
        <f t="array" ref="C1570">IFERROR(IF(SUMPRODUCT((measured[Site Name]=A1570)*(measured[Date]=B1570)*ISNUMBER(measured[Measured Value (kWh)]))=0,"",SUMIFS(measured[Measured Value (kWh)],measured[Site Name],A1570,measured[Date],B1570)),"")</f>
        <v>4300</v>
      </c>
      <c r="D1570" cm="1">
        <f t="array" ref="D1570">IFERROR(IF(SUMPRODUCT((expected_production[Site Name]=A1570)*(expected_production[Date]=B1570)*ISNUMBER(expected_production[Expected Production (kWh)]))=0,"",SUMIFS(expected_production[Expected Production (kWh)],expected_production[Site Name],A1570,expected_production[Date],B1570)),"")</f>
        <v>4722.9412578193096</v>
      </c>
      <c r="E1570" s="9">
        <f t="shared" si="50"/>
        <v>0.91044960444530465</v>
      </c>
      <c r="F1570" t="str">
        <f t="shared" si="51"/>
        <v>Expected</v>
      </c>
    </row>
    <row r="1571" spans="1:7" ht="15" hidden="1" customHeight="1" x14ac:dyDescent="0.3">
      <c r="A1571" t="s">
        <v>155</v>
      </c>
      <c r="B1571" s="2">
        <v>45931</v>
      </c>
      <c r="C1571" cm="1">
        <f t="array" ref="C1571">IFERROR(IF(SUMPRODUCT((measured[Site Name]=A1571)*(measured[Date]=B1571)*ISNUMBER(measured[Measured Value (kWh)]))=0,"",SUMIFS(measured[Measured Value (kWh)],measured[Site Name],A1571,measured[Date],B1571)),"")</f>
        <v>4956</v>
      </c>
      <c r="D1571" cm="1">
        <f t="array" ref="D1571">IFERROR(IF(SUMPRODUCT((expected_production[Site Name]=A1571)*(expected_production[Date]=B1571)*ISNUMBER(expected_production[Expected Production (kWh)]))=0,"",SUMIFS(expected_production[Expected Production (kWh)],expected_production[Site Name],A1571,expected_production[Date],B1571)),"")</f>
        <v>4987.8436113524385</v>
      </c>
      <c r="E1571" s="9">
        <f t="shared" si="50"/>
        <v>0.99361575585891226</v>
      </c>
      <c r="F1571" t="str">
        <f t="shared" si="51"/>
        <v>Expected</v>
      </c>
    </row>
    <row r="1572" spans="1:7" ht="15" hidden="1" customHeight="1" x14ac:dyDescent="0.3">
      <c r="A1572" t="s">
        <v>155</v>
      </c>
      <c r="B1572" s="2">
        <v>45962</v>
      </c>
      <c r="C1572" cm="1">
        <f t="array" ref="C1572">IFERROR(IF(SUMPRODUCT((measured[Site Name]=A1572)*(measured[Date]=B1572)*ISNUMBER(measured[Measured Value (kWh)]))=0,"",SUMIFS(measured[Measured Value (kWh)],measured[Site Name],A1572,measured[Date],B1572)),"")</f>
        <v>4173</v>
      </c>
      <c r="D1572" cm="1">
        <f t="array" ref="D1572">IFERROR(IF(SUMPRODUCT((expected_production[Site Name]=A1572)*(expected_production[Date]=B1572)*ISNUMBER(expected_production[Expected Production (kWh)]))=0,"",SUMIFS(expected_production[Expected Production (kWh)],expected_production[Site Name],A1572,expected_production[Date],B1572)),"")</f>
        <v>4782.190535892044</v>
      </c>
      <c r="E1572" s="9">
        <f t="shared" si="50"/>
        <v>0.87261265913186603</v>
      </c>
      <c r="F1572" t="str">
        <f t="shared" si="51"/>
        <v>Moderate</v>
      </c>
    </row>
    <row r="1573" spans="1:7" ht="15" hidden="1" customHeight="1" x14ac:dyDescent="0.3">
      <c r="A1573" t="s">
        <v>155</v>
      </c>
      <c r="B1573" s="2">
        <v>45992</v>
      </c>
      <c r="C1573" cm="1">
        <f t="array" ref="C1573">IFERROR(IF(SUMPRODUCT((measured[Site Name]=A1573)*(measured[Date]=B1573)*ISNUMBER(measured[Measured Value (kWh)]))=0,"",SUMIFS(measured[Measured Value (kWh)],measured[Site Name],A1573,measured[Date],B1573)),"")</f>
        <v>5010</v>
      </c>
      <c r="D1573" cm="1">
        <f t="array" ref="D1573">IFERROR(IF(SUMPRODUCT((expected_production[Site Name]=A1573)*(expected_production[Date]=B1573)*ISNUMBER(expected_production[Expected Production (kWh)]))=0,"",SUMIFS(expected_production[Expected Production (kWh)],expected_production[Site Name],A1573,expected_production[Date],B1573)),"")</f>
        <v>4995.1753201458505</v>
      </c>
      <c r="E1573" s="9">
        <f t="shared" si="50"/>
        <v>1.0029677997075219</v>
      </c>
      <c r="F1573" t="str">
        <f t="shared" si="51"/>
        <v>Expected</v>
      </c>
    </row>
    <row r="1574" spans="1:7" ht="15" hidden="1" customHeight="1" x14ac:dyDescent="0.3">
      <c r="A1574" t="s">
        <v>155</v>
      </c>
      <c r="B1574" s="2">
        <v>46023</v>
      </c>
      <c r="C1574" cm="1">
        <f t="array" ref="C1574">IFERROR(IF(SUMPRODUCT((measured[Site Name]=A1574)*(measured[Date]=B1574)*ISNUMBER(measured[Measured Value (kWh)]))=0,"",SUMIFS(measured[Measured Value (kWh)],measured[Site Name],A1574,measured[Date],B1574)),"")</f>
        <v>4573</v>
      </c>
      <c r="D1574" cm="1">
        <f t="array" ref="D1574">IFERROR(IF(SUMPRODUCT((expected_production[Site Name]=A1574)*(expected_production[Date]=B1574)*ISNUMBER(expected_production[Expected Production (kWh)]))=0,"",SUMIFS(expected_production[Expected Production (kWh)],expected_production[Site Name],A1574,expected_production[Date],B1574)),"")</f>
        <v>4807.4360869316451</v>
      </c>
      <c r="E1574" s="9">
        <f t="shared" si="50"/>
        <v>0.95123469502404256</v>
      </c>
      <c r="F1574" t="str">
        <f t="shared" si="51"/>
        <v>Expected</v>
      </c>
    </row>
    <row r="1575" spans="1:7" ht="15" hidden="1" customHeight="1" x14ac:dyDescent="0.3">
      <c r="A1575" t="s">
        <v>155</v>
      </c>
      <c r="B1575" s="2">
        <v>46054</v>
      </c>
      <c r="C1575" cm="1">
        <f t="array" ref="C1575">IFERROR(IF(SUMPRODUCT((measured[Site Name]=A1575)*(measured[Date]=B1575)*ISNUMBER(measured[Measured Value (kWh)]))=0,"",SUMIFS(measured[Measured Value (kWh)],measured[Site Name],A1575,measured[Date],B1575)),"")</f>
        <v>4586.7700000000004</v>
      </c>
      <c r="D1575" cm="1">
        <f t="array" ref="D1575">IFERROR(IF(SUMPRODUCT((expected_production[Site Name]=A1575)*(expected_production[Date]=B1575)*ISNUMBER(expected_production[Expected Production (kWh)]))=0,"",SUMIFS(expected_production[Expected Production (kWh)],expected_production[Site Name],A1575,expected_production[Date],B1575)),"")</f>
        <v>4444.455431063654</v>
      </c>
      <c r="E1575" s="9">
        <f t="shared" si="50"/>
        <v>1.0320206988558522</v>
      </c>
      <c r="F1575" t="str">
        <f t="shared" si="51"/>
        <v>Expected</v>
      </c>
    </row>
    <row r="1576" spans="1:7" ht="15" hidden="1" customHeight="1" x14ac:dyDescent="0.3">
      <c r="A1576" t="s">
        <v>155</v>
      </c>
      <c r="B1576" s="2">
        <v>46082</v>
      </c>
      <c r="C1576" cm="1">
        <f t="array" ref="C1576">IFERROR(IF(SUMPRODUCT((measured[Site Name]=A1576)*(measured[Date]=B1576)*ISNUMBER(measured[Measured Value (kWh)]))=0,"",SUMIFS(measured[Measured Value (kWh)],measured[Site Name],A1576,measured[Date],B1576)),"")</f>
        <v>4089</v>
      </c>
      <c r="D1576" cm="1">
        <f t="array" ref="D1576">IFERROR(IF(SUMPRODUCT((expected_production[Site Name]=A1576)*(expected_production[Date]=B1576)*ISNUMBER(expected_production[Expected Production (kWh)]))=0,"",SUMIFS(expected_production[Expected Production (kWh)],expected_production[Site Name],A1576,expected_production[Date],B1576)),"")</f>
        <v>4664.5852835694759</v>
      </c>
      <c r="E1576" s="9">
        <f t="shared" si="50"/>
        <v>0.87660526100853675</v>
      </c>
      <c r="F1576" t="str">
        <f t="shared" si="51"/>
        <v>Moderate</v>
      </c>
    </row>
    <row r="1577" spans="1:7" ht="15" hidden="1" customHeight="1" x14ac:dyDescent="0.3">
      <c r="A1577" t="s">
        <v>155</v>
      </c>
      <c r="B1577" s="2">
        <v>46113</v>
      </c>
      <c r="C1577" cm="1">
        <f t="array" ref="C1577">IFERROR(IF(SUMPRODUCT((measured[Site Name]=A1577)*(measured[Date]=B1577)*ISNUMBER(measured[Measured Value (kWh)]))=0,"",SUMIFS(measured[Measured Value (kWh)],measured[Site Name],A1577,measured[Date],B1577)),"")</f>
        <v>844.2</v>
      </c>
      <c r="D1577" cm="1">
        <f t="array" ref="D1577">IFERROR(IF(SUMPRODUCT((expected_production[Site Name]=A1577)*(expected_production[Date]=B1577)*ISNUMBER(expected_production[Expected Production (kWh)]))=0,"",SUMIFS(expected_production[Expected Production (kWh)],expected_production[Site Name],A1577,expected_production[Date],B1577)),"")</f>
        <v>4090.4747179083342</v>
      </c>
      <c r="E1577" s="9">
        <f t="shared" si="50"/>
        <v>0.20638191364538785</v>
      </c>
      <c r="F1577" t="str">
        <f t="shared" si="51"/>
        <v>Poor</v>
      </c>
    </row>
    <row r="1578" spans="1:7" ht="15" hidden="1" customHeight="1" x14ac:dyDescent="0.3">
      <c r="A1578" t="s">
        <v>155</v>
      </c>
      <c r="B1578" s="2">
        <v>46143</v>
      </c>
      <c r="C1578" cm="1">
        <f t="array" ref="C1578">IFERROR(IF(SUMPRODUCT((measured[Site Name]=A1578)*(measured[Date]=B1578)*ISNUMBER(measured[Measured Value (kWh)]))=0,"",SUMIFS(measured[Measured Value (kWh)],measured[Site Name],A1578,measured[Date],B1578)),"")</f>
        <v>0</v>
      </c>
      <c r="D1578" cm="1">
        <f t="array" ref="D1578">IFERROR(IF(SUMPRODUCT((expected_production[Site Name]=A1578)*(expected_production[Date]=B1578)*ISNUMBER(expected_production[Expected Production (kWh)]))=0,"",SUMIFS(expected_production[Expected Production (kWh)],expected_production[Site Name],A1578,expected_production[Date],B1578)),"")</f>
        <v>4035.1076717357514</v>
      </c>
      <c r="E1578" s="9">
        <f t="shared" si="50"/>
        <v>0</v>
      </c>
      <c r="F1578" t="str">
        <f t="shared" si="51"/>
        <v>Poor</v>
      </c>
    </row>
    <row r="1579" spans="1:7" ht="15" hidden="1" customHeight="1" x14ac:dyDescent="0.3">
      <c r="A1579" t="s">
        <v>155</v>
      </c>
      <c r="B1579" s="2">
        <v>46174</v>
      </c>
      <c r="C1579" t="str" cm="1">
        <f t="array" ref="C1579">IFERROR(IF(SUMPRODUCT((measured[Site Name]=A1579)*(measured[Date]=B1579)*ISNUMBER(measured[Measured Value (kWh)]))=0,"",SUMIFS(measured[Measured Value (kWh)],measured[Site Name],A1579,measured[Date],B1579)),"")</f>
        <v/>
      </c>
      <c r="D1579" cm="1">
        <f t="array" ref="D1579">IFERROR(IF(SUMPRODUCT((expected_production[Site Name]=A1579)*(expected_production[Date]=B1579)*ISNUMBER(expected_production[Expected Production (kWh)]))=0,"",SUMIFS(expected_production[Expected Production (kWh)],expected_production[Site Name],A1579,expected_production[Date],B1579)),"")</f>
        <v>3652.2623267628087</v>
      </c>
      <c r="E1579" s="9" t="str">
        <f t="shared" si="50"/>
        <v/>
      </c>
      <c r="F1579" t="str">
        <f t="shared" si="51"/>
        <v/>
      </c>
    </row>
    <row r="1580" spans="1:7" ht="15" hidden="1" customHeight="1" x14ac:dyDescent="0.3">
      <c r="A1580" s="12" t="s">
        <v>145</v>
      </c>
      <c r="B1580" s="42">
        <v>46204</v>
      </c>
      <c r="C1580" s="12" cm="1">
        <f t="array" ref="C1580">IFERROR(IF(SUMPRODUCT((measured[Site Name]=A1580)*(measured[Date]=B1580)*ISNUMBER(measured[Measured Value (kWh)]))=0,"",SUMIFS(measured[Measured Value (kWh)],measured[Site Name],A1580,measured[Date],B1580)),"")</f>
        <v>25915.636999999999</v>
      </c>
      <c r="D1580" s="12" cm="1">
        <f t="array" ref="D1580">IFERROR(IF(SUMPRODUCT((expected_production[Site Name]=A1580)*(expected_production[Date]=B1580)*ISNUMBER(expected_production[Expected Production (kWh)]))=0,"",SUMIFS(expected_production[Expected Production (kWh)],expected_production[Site Name],A1580,expected_production[Date],B1580)),"")</f>
        <v>31778.482720499745</v>
      </c>
      <c r="E1580" s="43">
        <f t="shared" si="50"/>
        <v>0.81550894760882564</v>
      </c>
      <c r="F1580" s="12" t="str">
        <f t="shared" si="51"/>
        <v>Moderate</v>
      </c>
      <c r="G1580" s="12" t="s">
        <v>875</v>
      </c>
    </row>
    <row r="1581" spans="1:7" ht="15" hidden="1" customHeight="1" x14ac:dyDescent="0.3">
      <c r="A1581" t="s">
        <v>155</v>
      </c>
      <c r="B1581" s="2">
        <v>46235</v>
      </c>
      <c r="C1581" t="str" cm="1">
        <f t="array" ref="C1581">IFERROR(IF(SUMPRODUCT((measured[Site Name]=A1581)*(measured[Date]=B1581)*ISNUMBER(measured[Measured Value (kWh)]))=0,"",SUMIFS(measured[Measured Value (kWh)],measured[Site Name],A1581,measured[Date],B1581)),"")</f>
        <v/>
      </c>
      <c r="D1581" cm="1">
        <f t="array" ref="D1581">IFERROR(IF(SUMPRODUCT((expected_production[Site Name]=A1581)*(expected_production[Date]=B1581)*ISNUMBER(expected_production[Expected Production (kWh)]))=0,"",SUMIFS(expected_production[Expected Production (kWh)],expected_production[Site Name],A1581,expected_production[Date],B1581)),"")</f>
        <v>4524.2736290522662</v>
      </c>
      <c r="E1581" s="9" t="str">
        <f t="shared" si="50"/>
        <v/>
      </c>
      <c r="F1581" t="str">
        <f t="shared" si="51"/>
        <v/>
      </c>
      <c r="G1581" t="s">
        <v>874</v>
      </c>
    </row>
    <row r="1582" spans="1:7" ht="15" customHeight="1" x14ac:dyDescent="0.3">
      <c r="A1582" t="s">
        <v>155</v>
      </c>
      <c r="B1582" s="2">
        <v>46266</v>
      </c>
      <c r="C1582" cm="1">
        <f t="array" ref="C1582">IFERROR(IF(SUMPRODUCT((measured[Site Name]=A1582)*(measured[Date]=B1582)*ISNUMBER(measured[Measured Value (kWh)]))=0,"",SUMIFS(measured[Measured Value (kWh)],measured[Site Name],A1582,measured[Date],B1582)),"")</f>
        <v>0</v>
      </c>
      <c r="D1582" cm="1">
        <f t="array" ref="D1582">IFERROR(IF(SUMPRODUCT((expected_production[Site Name]=A1582)*(expected_production[Date]=B1582)*ISNUMBER(expected_production[Expected Production (kWh)]))=0,"",SUMIFS(expected_production[Expected Production (kWh)],expected_production[Site Name],A1582,expected_production[Date],B1582)),"")</f>
        <v>4689.9032184225152</v>
      </c>
      <c r="E1582" s="9">
        <f t="shared" si="50"/>
        <v>0</v>
      </c>
      <c r="F1582" t="str">
        <f t="shared" si="51"/>
        <v>Poor</v>
      </c>
      <c r="G1582" t="s">
        <v>874</v>
      </c>
    </row>
    <row r="1583" spans="1:7" ht="15" hidden="1" customHeight="1" x14ac:dyDescent="0.3">
      <c r="A1583" t="s">
        <v>155</v>
      </c>
      <c r="B1583" s="2">
        <v>46296</v>
      </c>
      <c r="C1583" t="str" cm="1">
        <f t="array" ref="C1583">IFERROR(IF(SUMPRODUCT((measured[Site Name]=A1583)*(measured[Date]=B1583)*ISNUMBER(measured[Measured Value (kWh)]))=0,"",SUMIFS(measured[Measured Value (kWh)],measured[Site Name],A1583,measured[Date],B1583)),"")</f>
        <v/>
      </c>
      <c r="D1583" cm="1">
        <f t="array" ref="D1583">IFERROR(IF(SUMPRODUCT((expected_production[Site Name]=A1583)*(expected_production[Date]=B1583)*ISNUMBER(expected_production[Expected Production (kWh)]))=0,"",SUMIFS(expected_production[Expected Production (kWh)],expected_production[Site Name],A1583,expected_production[Date],B1583)),"")</f>
        <v>4952.952520241769</v>
      </c>
      <c r="E1583" s="9" t="str">
        <f t="shared" si="50"/>
        <v/>
      </c>
      <c r="F1583" t="str">
        <f t="shared" si="51"/>
        <v/>
      </c>
    </row>
    <row r="1584" spans="1:7" ht="15" hidden="1" customHeight="1" x14ac:dyDescent="0.3">
      <c r="A1584" t="s">
        <v>155</v>
      </c>
      <c r="B1584" s="2">
        <v>46327</v>
      </c>
      <c r="C1584" t="str" cm="1">
        <f t="array" ref="C1584">IFERROR(IF(SUMPRODUCT((measured[Site Name]=A1584)*(measured[Date]=B1584)*ISNUMBER(measured[Measured Value (kWh)]))=0,"",SUMIFS(measured[Measured Value (kWh)],measured[Site Name],A1584,measured[Date],B1584)),"")</f>
        <v/>
      </c>
      <c r="D1584" cm="1">
        <f t="array" ref="D1584">IFERROR(IF(SUMPRODUCT((expected_production[Site Name]=A1584)*(expected_production[Date]=B1584)*ISNUMBER(expected_production[Expected Production (kWh)]))=0,"",SUMIFS(expected_production[Expected Production (kWh)],expected_production[Site Name],A1584,expected_production[Date],B1584)),"")</f>
        <v>4748.7380344309659</v>
      </c>
      <c r="E1584" s="9" t="str">
        <f t="shared" si="50"/>
        <v/>
      </c>
      <c r="F1584" t="str">
        <f t="shared" si="51"/>
        <v/>
      </c>
    </row>
    <row r="1585" spans="1:6" ht="15" hidden="1" customHeight="1" x14ac:dyDescent="0.3">
      <c r="A1585" t="s">
        <v>155</v>
      </c>
      <c r="B1585" s="2">
        <v>46357</v>
      </c>
      <c r="C1585" t="str" cm="1">
        <f t="array" ref="C1585">IFERROR(IF(SUMPRODUCT((measured[Site Name]=A1585)*(measured[Date]=B1585)*ISNUMBER(measured[Measured Value (kWh)]))=0,"",SUMIFS(measured[Measured Value (kWh)],measured[Site Name],A1585,measured[Date],B1585)),"")</f>
        <v/>
      </c>
      <c r="D1585" cm="1">
        <f t="array" ref="D1585">IFERROR(IF(SUMPRODUCT((expected_production[Site Name]=A1585)*(expected_production[Date]=B1585)*ISNUMBER(expected_production[Expected Production (kWh)]))=0,"",SUMIFS(expected_production[Expected Production (kWh)],expected_production[Site Name],A1585,expected_production[Date],B1585)),"")</f>
        <v>4960.2329420784436</v>
      </c>
      <c r="E1585" s="9" t="str">
        <f t="shared" si="50"/>
        <v/>
      </c>
      <c r="F1585" t="str">
        <f t="shared" si="51"/>
        <v/>
      </c>
    </row>
    <row r="1586" spans="1:6" ht="15" hidden="1" customHeight="1" x14ac:dyDescent="0.3">
      <c r="A1586" t="s">
        <v>157</v>
      </c>
      <c r="B1586" s="2">
        <v>45292</v>
      </c>
      <c r="C1586" cm="1">
        <f t="array" ref="C1586">IFERROR(IF(SUMPRODUCT((measured[Site Name]=A1586)*(measured[Date]=B1586)*ISNUMBER(measured[Measured Value (kWh)]))=0,"",SUMIFS(measured[Measured Value (kWh)],measured[Site Name],A1586,measured[Date],B1586)),"")</f>
        <v>6159</v>
      </c>
      <c r="D1586" cm="1">
        <f t="array" ref="D1586">IFERROR(IF(SUMPRODUCT((expected_production[Site Name]=A1586)*(expected_production[Date]=B1586)*ISNUMBER(expected_production[Expected Production (kWh)]))=0,"",SUMIFS(expected_production[Expected Production (kWh)],expected_production[Site Name],A1586,expected_production[Date],B1586)),"")</f>
        <v>5831.4971053860845</v>
      </c>
      <c r="E1586" s="9">
        <f t="shared" si="50"/>
        <v>1.0561610318405932</v>
      </c>
      <c r="F1586" t="str">
        <f t="shared" si="51"/>
        <v>Expected</v>
      </c>
    </row>
    <row r="1587" spans="1:6" ht="15" hidden="1" customHeight="1" x14ac:dyDescent="0.3">
      <c r="A1587" t="s">
        <v>157</v>
      </c>
      <c r="B1587" s="2">
        <v>45323</v>
      </c>
      <c r="C1587" cm="1">
        <f t="array" ref="C1587">IFERROR(IF(SUMPRODUCT((measured[Site Name]=A1587)*(measured[Date]=B1587)*ISNUMBER(measured[Measured Value (kWh)]))=0,"",SUMIFS(measured[Measured Value (kWh)],measured[Site Name],A1587,measured[Date],B1587)),"")</f>
        <v>4495</v>
      </c>
      <c r="D1587" cm="1">
        <f t="array" ref="D1587">IFERROR(IF(SUMPRODUCT((expected_production[Site Name]=A1587)*(expected_production[Date]=B1587)*ISNUMBER(expected_production[Expected Production (kWh)]))=0,"",SUMIFS(expected_production[Expected Production (kWh)],expected_production[Site Name],A1587,expected_production[Date],B1587)),"")</f>
        <v>5232.3605089452421</v>
      </c>
      <c r="E1587" s="9">
        <f t="shared" si="50"/>
        <v>0.85907689126453524</v>
      </c>
      <c r="F1587" t="str">
        <f t="shared" si="51"/>
        <v>Moderate</v>
      </c>
    </row>
    <row r="1588" spans="1:6" ht="15" hidden="1" customHeight="1" x14ac:dyDescent="0.3">
      <c r="A1588" t="s">
        <v>157</v>
      </c>
      <c r="B1588" s="2">
        <v>45352</v>
      </c>
      <c r="C1588" cm="1">
        <f t="array" ref="C1588">IFERROR(IF(SUMPRODUCT((measured[Site Name]=A1588)*(measured[Date]=B1588)*ISNUMBER(measured[Measured Value (kWh)]))=0,"",SUMIFS(measured[Measured Value (kWh)],measured[Site Name],A1588,measured[Date],B1588)),"")</f>
        <v>5040</v>
      </c>
      <c r="D1588" cm="1">
        <f t="array" ref="D1588">IFERROR(IF(SUMPRODUCT((expected_production[Site Name]=A1588)*(expected_production[Date]=B1588)*ISNUMBER(expected_production[Expected Production (kWh)]))=0,"",SUMIFS(expected_production[Expected Production (kWh)],expected_production[Site Name],A1588,expected_production[Date],B1588)),"")</f>
        <v>5626.8025492105453</v>
      </c>
      <c r="E1588" s="9">
        <f t="shared" si="50"/>
        <v>0.8957129659200721</v>
      </c>
      <c r="F1588" t="str">
        <f t="shared" si="51"/>
        <v>Moderate</v>
      </c>
    </row>
    <row r="1589" spans="1:6" ht="15" hidden="1" customHeight="1" x14ac:dyDescent="0.3">
      <c r="A1589" t="s">
        <v>157</v>
      </c>
      <c r="B1589" s="2">
        <v>45383</v>
      </c>
      <c r="C1589" cm="1">
        <f t="array" ref="C1589">IFERROR(IF(SUMPRODUCT((measured[Site Name]=A1589)*(measured[Date]=B1589)*ISNUMBER(measured[Measured Value (kWh)]))=0,"",SUMIFS(measured[Measured Value (kWh)],measured[Site Name],A1589,measured[Date],B1589)),"")</f>
        <v>4485</v>
      </c>
      <c r="D1589" cm="1">
        <f t="array" ref="D1589">IFERROR(IF(SUMPRODUCT((expected_production[Site Name]=A1589)*(expected_production[Date]=B1589)*ISNUMBER(expected_production[Expected Production (kWh)]))=0,"",SUMIFS(expected_production[Expected Production (kWh)],expected_production[Site Name],A1589,expected_production[Date],B1589)),"")</f>
        <v>5015.9594279192534</v>
      </c>
      <c r="E1589" s="9">
        <f t="shared" si="50"/>
        <v>0.89414598831005521</v>
      </c>
      <c r="F1589" t="str">
        <f t="shared" si="51"/>
        <v>Moderate</v>
      </c>
    </row>
    <row r="1590" spans="1:6" ht="15" hidden="1" customHeight="1" x14ac:dyDescent="0.3">
      <c r="A1590" t="s">
        <v>157</v>
      </c>
      <c r="B1590" s="2">
        <v>45413</v>
      </c>
      <c r="C1590" cm="1">
        <f t="array" ref="C1590">IFERROR(IF(SUMPRODUCT((measured[Site Name]=A1590)*(measured[Date]=B1590)*ISNUMBER(measured[Measured Value (kWh)]))=0,"",SUMIFS(measured[Measured Value (kWh)],measured[Site Name],A1590,measured[Date],B1590)),"")</f>
        <v>4861</v>
      </c>
      <c r="D1590" cm="1">
        <f t="array" ref="D1590">IFERROR(IF(SUMPRODUCT((expected_production[Site Name]=A1590)*(expected_production[Date]=B1590)*ISNUMBER(expected_production[Expected Production (kWh)]))=0,"",SUMIFS(expected_production[Expected Production (kWh)],expected_production[Site Name],A1590,expected_production[Date],B1590)),"")</f>
        <v>5130.0761886185155</v>
      </c>
      <c r="E1590" s="9">
        <f t="shared" si="50"/>
        <v>0.94754928022014906</v>
      </c>
      <c r="F1590" t="str">
        <f t="shared" si="51"/>
        <v>Expected</v>
      </c>
    </row>
    <row r="1591" spans="1:6" ht="15" hidden="1" customHeight="1" x14ac:dyDescent="0.3">
      <c r="A1591" t="s">
        <v>157</v>
      </c>
      <c r="B1591" s="2">
        <v>45444</v>
      </c>
      <c r="C1591" cm="1">
        <f t="array" ref="C1591">IFERROR(IF(SUMPRODUCT((measured[Site Name]=A1591)*(measured[Date]=B1591)*ISNUMBER(measured[Measured Value (kWh)]))=0,"",SUMIFS(measured[Measured Value (kWh)],measured[Site Name],A1591,measured[Date],B1591)),"")</f>
        <v>3929</v>
      </c>
      <c r="D1591" cm="1">
        <f t="array" ref="D1591">IFERROR(IF(SUMPRODUCT((expected_production[Site Name]=A1591)*(expected_production[Date]=B1591)*ISNUMBER(expected_production[Expected Production (kWh)]))=0,"",SUMIFS(expected_production[Expected Production (kWh)],expected_production[Site Name],A1591,expected_production[Date],B1591)),"")</f>
        <v>4752.4373848051455</v>
      </c>
      <c r="E1591" s="9">
        <f t="shared" si="50"/>
        <v>0.82673366987687158</v>
      </c>
      <c r="F1591" t="str">
        <f t="shared" si="51"/>
        <v>Moderate</v>
      </c>
    </row>
    <row r="1592" spans="1:6" ht="15" hidden="1" customHeight="1" x14ac:dyDescent="0.3">
      <c r="A1592" t="s">
        <v>157</v>
      </c>
      <c r="B1592" s="2">
        <v>45474</v>
      </c>
      <c r="C1592" cm="1">
        <f t="array" ref="C1592">IFERROR(IF(SUMPRODUCT((measured[Site Name]=A1592)*(measured[Date]=B1592)*ISNUMBER(measured[Measured Value (kWh)]))=0,"",SUMIFS(measured[Measured Value (kWh)],measured[Site Name],A1592,measured[Date],B1592)),"")</f>
        <v>4619</v>
      </c>
      <c r="D1592" cm="1">
        <f t="array" ref="D1592">IFERROR(IF(SUMPRODUCT((expected_production[Site Name]=A1592)*(expected_production[Date]=B1592)*ISNUMBER(expected_production[Expected Production (kWh)]))=0,"",SUMIFS(expected_production[Expected Production (kWh)],expected_production[Site Name],A1592,expected_production[Date],B1592)),"")</f>
        <v>5221.0860481246846</v>
      </c>
      <c r="E1592" s="9">
        <f t="shared" si="50"/>
        <v>0.88468183772973008</v>
      </c>
      <c r="F1592" t="str">
        <f t="shared" si="51"/>
        <v>Moderate</v>
      </c>
    </row>
    <row r="1593" spans="1:6" ht="15" hidden="1" customHeight="1" x14ac:dyDescent="0.3">
      <c r="A1593" t="s">
        <v>157</v>
      </c>
      <c r="B1593" s="2">
        <v>45505</v>
      </c>
      <c r="C1593" cm="1">
        <f t="array" ref="C1593">IFERROR(IF(SUMPRODUCT((measured[Site Name]=A1593)*(measured[Date]=B1593)*ISNUMBER(measured[Measured Value (kWh)]))=0,"",SUMIFS(measured[Measured Value (kWh)],measured[Site Name],A1593,measured[Date],B1593)),"")</f>
        <v>5354</v>
      </c>
      <c r="D1593" cm="1">
        <f t="array" ref="D1593">IFERROR(IF(SUMPRODUCT((expected_production[Site Name]=A1593)*(expected_production[Date]=B1593)*ISNUMBER(expected_production[Expected Production (kWh)]))=0,"",SUMIFS(expected_production[Expected Production (kWh)],expected_production[Site Name],A1593,expected_production[Date],B1593)),"")</f>
        <v>5739.3819259215579</v>
      </c>
      <c r="E1593" s="9">
        <f t="shared" si="50"/>
        <v>0.93285306137565016</v>
      </c>
      <c r="F1593" t="str">
        <f t="shared" si="51"/>
        <v>Expected</v>
      </c>
    </row>
    <row r="1594" spans="1:6" ht="15" hidden="1" customHeight="1" x14ac:dyDescent="0.3">
      <c r="A1594" t="s">
        <v>157</v>
      </c>
      <c r="B1594" s="2">
        <v>45536</v>
      </c>
      <c r="C1594" cm="1">
        <f t="array" ref="C1594">IFERROR(IF(SUMPRODUCT((measured[Site Name]=A1594)*(measured[Date]=B1594)*ISNUMBER(measured[Measured Value (kWh)]))=0,"",SUMIFS(measured[Measured Value (kWh)],measured[Site Name],A1594,measured[Date],B1594)),"")</f>
        <v>4908</v>
      </c>
      <c r="D1594" cm="1">
        <f t="array" ref="D1594">IFERROR(IF(SUMPRODUCT((expected_production[Site Name]=A1594)*(expected_production[Date]=B1594)*ISNUMBER(expected_production[Expected Production (kWh)]))=0,"",SUMIFS(expected_production[Expected Production (kWh)],expected_production[Site Name],A1594,expected_production[Date],B1594)),"")</f>
        <v>5921.5488170771587</v>
      </c>
      <c r="E1594" s="9">
        <f t="shared" si="50"/>
        <v>0.82883720992822274</v>
      </c>
      <c r="F1594" t="str">
        <f t="shared" si="51"/>
        <v>Moderate</v>
      </c>
    </row>
    <row r="1595" spans="1:6" ht="15" hidden="1" customHeight="1" x14ac:dyDescent="0.3">
      <c r="A1595" t="s">
        <v>157</v>
      </c>
      <c r="B1595" s="2">
        <v>45566</v>
      </c>
      <c r="C1595" cm="1">
        <f t="array" ref="C1595">IFERROR(IF(SUMPRODUCT((measured[Site Name]=A1595)*(measured[Date]=B1595)*ISNUMBER(measured[Measured Value (kWh)]))=0,"",SUMIFS(measured[Measured Value (kWh)],measured[Site Name],A1595,measured[Date],B1595)),"")</f>
        <v>6335</v>
      </c>
      <c r="D1595" cm="1">
        <f t="array" ref="D1595">IFERROR(IF(SUMPRODUCT((expected_production[Site Name]=A1595)*(expected_production[Date]=B1595)*ISNUMBER(expected_production[Expected Production (kWh)]))=0,"",SUMIFS(expected_production[Expected Production (kWh)],expected_production[Site Name],A1595,expected_production[Date],B1595)),"")</f>
        <v>6023.3893165515155</v>
      </c>
      <c r="E1595" s="9">
        <f t="shared" si="50"/>
        <v>1.0517334455855638</v>
      </c>
      <c r="F1595" t="str">
        <f t="shared" si="51"/>
        <v>Expected</v>
      </c>
    </row>
    <row r="1596" spans="1:6" ht="15" hidden="1" customHeight="1" x14ac:dyDescent="0.3">
      <c r="A1596" t="s">
        <v>157</v>
      </c>
      <c r="B1596" s="2">
        <v>45597</v>
      </c>
      <c r="C1596" cm="1">
        <f t="array" ref="C1596">IFERROR(IF(SUMPRODUCT((measured[Site Name]=A1596)*(measured[Date]=B1596)*ISNUMBER(measured[Measured Value (kWh)]))=0,"",SUMIFS(measured[Measured Value (kWh)],measured[Site Name],A1596,measured[Date],B1596)),"")</f>
        <v>5824</v>
      </c>
      <c r="D1596" cm="1">
        <f t="array" ref="D1596">IFERROR(IF(SUMPRODUCT((expected_production[Site Name]=A1596)*(expected_production[Date]=B1596)*ISNUMBER(expected_production[Expected Production (kWh)]))=0,"",SUMIFS(expected_production[Expected Production (kWh)],expected_production[Site Name],A1596,expected_production[Date],B1596)),"")</f>
        <v>5823.0258062264011</v>
      </c>
      <c r="E1596" s="9">
        <f t="shared" si="50"/>
        <v>1.0001673002672524</v>
      </c>
      <c r="F1596" t="str">
        <f t="shared" si="51"/>
        <v>Expected</v>
      </c>
    </row>
    <row r="1597" spans="1:6" ht="15" hidden="1" customHeight="1" x14ac:dyDescent="0.3">
      <c r="A1597" t="s">
        <v>157</v>
      </c>
      <c r="B1597" s="2">
        <v>45627</v>
      </c>
      <c r="C1597" cm="1">
        <f t="array" ref="C1597">IFERROR(IF(SUMPRODUCT((measured[Site Name]=A1597)*(measured[Date]=B1597)*ISNUMBER(measured[Measured Value (kWh)]))=0,"",SUMIFS(measured[Measured Value (kWh)],measured[Site Name],A1597,measured[Date],B1597)),"")</f>
        <v>6091</v>
      </c>
      <c r="D1597" cm="1">
        <f t="array" ref="D1597">IFERROR(IF(SUMPRODUCT((expected_production[Site Name]=A1597)*(expected_production[Date]=B1597)*ISNUMBER(expected_production[Expected Production (kWh)]))=0,"",SUMIFS(expected_production[Expected Production (kWh)],expected_production[Site Name],A1597,expected_production[Date],B1597)),"")</f>
        <v>6073.0456101982199</v>
      </c>
      <c r="E1597" s="9">
        <f t="shared" si="50"/>
        <v>1.0029564062176035</v>
      </c>
      <c r="F1597" t="str">
        <f t="shared" si="51"/>
        <v>Expected</v>
      </c>
    </row>
    <row r="1598" spans="1:6" ht="15" hidden="1" customHeight="1" x14ac:dyDescent="0.3">
      <c r="A1598" t="s">
        <v>157</v>
      </c>
      <c r="B1598" s="2">
        <v>45658</v>
      </c>
      <c r="C1598" cm="1">
        <f t="array" ref="C1598">IFERROR(IF(SUMPRODUCT((measured[Site Name]=A1598)*(measured[Date]=B1598)*ISNUMBER(measured[Measured Value (kWh)]))=0,"",SUMIFS(measured[Measured Value (kWh)],measured[Site Name],A1598,measured[Date],B1598)),"")</f>
        <v>5309</v>
      </c>
      <c r="D1598" cm="1">
        <f t="array" ref="D1598">IFERROR(IF(SUMPRODUCT((expected_production[Site Name]=A1598)*(expected_production[Date]=B1598)*ISNUMBER(expected_production[Expected Production (kWh)]))=0,"",SUMIFS(expected_production[Expected Production (kWh)],expected_production[Site Name],A1598,expected_production[Date],B1598)),"")</f>
        <v>5790.593100021787</v>
      </c>
      <c r="E1598" s="9">
        <f t="shared" si="50"/>
        <v>0.91683181813966952</v>
      </c>
      <c r="F1598" t="str">
        <f t="shared" si="51"/>
        <v>Expected</v>
      </c>
    </row>
    <row r="1599" spans="1:6" ht="15" hidden="1" customHeight="1" x14ac:dyDescent="0.3">
      <c r="A1599" t="s">
        <v>157</v>
      </c>
      <c r="B1599" s="2">
        <v>45689</v>
      </c>
      <c r="C1599" cm="1">
        <f t="array" ref="C1599">IFERROR(IF(SUMPRODUCT((measured[Site Name]=A1599)*(measured[Date]=B1599)*ISNUMBER(measured[Measured Value (kWh)]))=0,"",SUMIFS(measured[Measured Value (kWh)],measured[Site Name],A1599,measured[Date],B1599)),"")</f>
        <v>3761</v>
      </c>
      <c r="D1599" cm="1">
        <f t="array" ref="D1599">IFERROR(IF(SUMPRODUCT((expected_production[Site Name]=A1599)*(expected_production[Date]=B1599)*ISNUMBER(expected_production[Expected Production (kWh)]))=0,"",SUMIFS(expected_production[Expected Production (kWh)],expected_production[Site Name],A1599,expected_production[Date],B1599)),"")</f>
        <v>5195.6590413018548</v>
      </c>
      <c r="E1599" s="9">
        <f t="shared" si="50"/>
        <v>0.72387352020266937</v>
      </c>
      <c r="F1599" t="str">
        <f t="shared" si="51"/>
        <v>Moderate</v>
      </c>
    </row>
    <row r="1600" spans="1:6" ht="15" hidden="1" customHeight="1" x14ac:dyDescent="0.3">
      <c r="A1600" t="s">
        <v>157</v>
      </c>
      <c r="B1600" s="2">
        <v>45717</v>
      </c>
      <c r="C1600" cm="1">
        <f t="array" ref="C1600">IFERROR(IF(SUMPRODUCT((measured[Site Name]=A1600)*(measured[Date]=B1600)*ISNUMBER(measured[Measured Value (kWh)]))=0,"",SUMIFS(measured[Measured Value (kWh)],measured[Site Name],A1600,measured[Date],B1600)),"")</f>
        <v>4074</v>
      </c>
      <c r="D1600" cm="1">
        <f t="array" ref="D1600">IFERROR(IF(SUMPRODUCT((expected_production[Site Name]=A1600)*(expected_production[Date]=B1600)*ISNUMBER(expected_production[Expected Production (kWh)]))=0,"",SUMIFS(expected_production[Expected Production (kWh)],expected_production[Site Name],A1600,expected_production[Date],B1600)),"")</f>
        <v>5587.4417962071002</v>
      </c>
      <c r="E1600" s="9">
        <f t="shared" si="50"/>
        <v>0.72913511202309733</v>
      </c>
      <c r="F1600" t="str">
        <f t="shared" si="51"/>
        <v>Moderate</v>
      </c>
    </row>
    <row r="1601" spans="1:7" ht="15" hidden="1" customHeight="1" x14ac:dyDescent="0.3">
      <c r="A1601" t="s">
        <v>157</v>
      </c>
      <c r="B1601" s="2">
        <v>45748</v>
      </c>
      <c r="C1601" cm="1">
        <f t="array" ref="C1601">IFERROR(IF(SUMPRODUCT((measured[Site Name]=A1601)*(measured[Date]=B1601)*ISNUMBER(measured[Measured Value (kWh)]))=0,"",SUMIFS(measured[Measured Value (kWh)],measured[Site Name],A1601,measured[Date],B1601)),"")</f>
        <v>3902</v>
      </c>
      <c r="D1601" cm="1">
        <f t="array" ref="D1601">IFERROR(IF(SUMPRODUCT((expected_production[Site Name]=A1601)*(expected_production[Date]=B1601)*ISNUMBER(expected_production[Expected Production (kWh)]))=0,"",SUMIFS(expected_production[Expected Production (kWh)],expected_production[Site Name],A1601,expected_production[Date],B1601)),"")</f>
        <v>4980.8716603299445</v>
      </c>
      <c r="E1601" s="9">
        <f t="shared" si="50"/>
        <v>0.78339701684695129</v>
      </c>
      <c r="F1601" t="str">
        <f t="shared" si="51"/>
        <v>Moderate</v>
      </c>
    </row>
    <row r="1602" spans="1:7" ht="15" hidden="1" customHeight="1" x14ac:dyDescent="0.3">
      <c r="A1602" t="s">
        <v>157</v>
      </c>
      <c r="B1602" s="2">
        <v>45778</v>
      </c>
      <c r="C1602" cm="1">
        <f t="array" ref="C1602">IFERROR(IF(SUMPRODUCT((measured[Site Name]=A1602)*(measured[Date]=B1602)*ISNUMBER(measured[Measured Value (kWh)]))=0,"",SUMIFS(measured[Measured Value (kWh)],measured[Site Name],A1602,measured[Date],B1602)),"")</f>
        <v>5047</v>
      </c>
      <c r="D1602" cm="1">
        <f t="array" ref="D1602">IFERROR(IF(SUMPRODUCT((expected_production[Site Name]=A1602)*(expected_production[Date]=B1602)*ISNUMBER(expected_production[Expected Production (kWh)]))=0,"",SUMIFS(expected_production[Expected Production (kWh)],expected_production[Site Name],A1602,expected_production[Date],B1602)),"")</f>
        <v>5094.1901485481394</v>
      </c>
      <c r="E1602" s="9">
        <f t="shared" si="50"/>
        <v>0.99073647681534061</v>
      </c>
      <c r="F1602" t="str">
        <f t="shared" si="51"/>
        <v>Expected</v>
      </c>
    </row>
    <row r="1603" spans="1:7" ht="15" hidden="1" customHeight="1" x14ac:dyDescent="0.3">
      <c r="A1603" t="s">
        <v>157</v>
      </c>
      <c r="B1603" s="2">
        <v>45809</v>
      </c>
      <c r="C1603" cm="1">
        <f t="array" ref="C1603">IFERROR(IF(SUMPRODUCT((measured[Site Name]=A1603)*(measured[Date]=B1603)*ISNUMBER(measured[Measured Value (kWh)]))=0,"",SUMIFS(measured[Measured Value (kWh)],measured[Site Name],A1603,measured[Date],B1603)),"")</f>
        <v>4585.3599999999997</v>
      </c>
      <c r="D1603" cm="1">
        <f t="array" ref="D1603">IFERROR(IF(SUMPRODUCT((expected_production[Site Name]=A1603)*(expected_production[Date]=B1603)*ISNUMBER(expected_production[Expected Production (kWh)]))=0,"",SUMIFS(expected_production[Expected Production (kWh)],expected_production[Site Name],A1603,expected_production[Date],B1603)),"")</f>
        <v>4719.1930133469905</v>
      </c>
      <c r="E1603" s="9">
        <f t="shared" si="50"/>
        <v>0.97164069938049169</v>
      </c>
      <c r="F1603" t="str">
        <f t="shared" si="51"/>
        <v>Expected</v>
      </c>
    </row>
    <row r="1604" spans="1:7" ht="15" hidden="1" customHeight="1" x14ac:dyDescent="0.3">
      <c r="A1604" t="s">
        <v>157</v>
      </c>
      <c r="B1604" s="2">
        <v>45839</v>
      </c>
      <c r="C1604" cm="1">
        <f t="array" ref="C1604">IFERROR(IF(SUMPRODUCT((measured[Site Name]=A1604)*(measured[Date]=B1604)*ISNUMBER(measured[Measured Value (kWh)]))=0,"",SUMIFS(measured[Measured Value (kWh)],measured[Site Name],A1604,measured[Date],B1604)),"")</f>
        <v>4750</v>
      </c>
      <c r="D1604" cm="1">
        <f t="array" ref="D1604">IFERROR(IF(SUMPRODUCT((expected_production[Site Name]=A1604)*(expected_production[Date]=B1604)*ISNUMBER(expected_production[Expected Production (kWh)]))=0,"",SUMIFS(expected_production[Expected Production (kWh)],expected_production[Site Name],A1604,expected_production[Date],B1604)),"")</f>
        <v>5184.5633735590382</v>
      </c>
      <c r="E1604" s="9">
        <f t="shared" si="50"/>
        <v>0.91618129777807611</v>
      </c>
      <c r="F1604" t="str">
        <f t="shared" si="51"/>
        <v>Expected</v>
      </c>
    </row>
    <row r="1605" spans="1:7" ht="15" hidden="1" customHeight="1" x14ac:dyDescent="0.3">
      <c r="A1605" t="s">
        <v>157</v>
      </c>
      <c r="B1605" s="2">
        <v>45870</v>
      </c>
      <c r="C1605" cm="1">
        <f t="array" ref="C1605">IFERROR(IF(SUMPRODUCT((measured[Site Name]=A1605)*(measured[Date]=B1605)*ISNUMBER(measured[Measured Value (kWh)]))=0,"",SUMIFS(measured[Measured Value (kWh)],measured[Site Name],A1605,measured[Date],B1605)),"")</f>
        <v>4940</v>
      </c>
      <c r="D1605" cm="1">
        <f t="array" ref="D1605">IFERROR(IF(SUMPRODUCT((expected_production[Site Name]=A1605)*(expected_production[Date]=B1605)*ISNUMBER(expected_production[Expected Production (kWh)]))=0,"",SUMIFS(expected_production[Expected Production (kWh)],expected_production[Site Name],A1605,expected_production[Date],B1605)),"")</f>
        <v>5699.2336547848117</v>
      </c>
      <c r="E1605" s="9">
        <f t="shared" si="50"/>
        <v>0.86678320265964282</v>
      </c>
      <c r="F1605" t="str">
        <f t="shared" si="51"/>
        <v>Moderate</v>
      </c>
    </row>
    <row r="1606" spans="1:7" ht="15" hidden="1" customHeight="1" x14ac:dyDescent="0.3">
      <c r="A1606" t="s">
        <v>157</v>
      </c>
      <c r="B1606" s="2">
        <v>45901</v>
      </c>
      <c r="C1606" cm="1">
        <f t="array" ref="C1606">IFERROR(IF(SUMPRODUCT((measured[Site Name]=A1606)*(measured[Date]=B1606)*ISNUMBER(measured[Measured Value (kWh)]))=0,"",SUMIFS(measured[Measured Value (kWh)],measured[Site Name],A1606,measured[Date],B1606)),"")</f>
        <v>4923</v>
      </c>
      <c r="D1606" cm="1">
        <f t="array" ref="D1606">IFERROR(IF(SUMPRODUCT((expected_production[Site Name]=A1606)*(expected_production[Date]=B1606)*ISNUMBER(expected_production[Expected Production (kWh)]))=0,"",SUMIFS(expected_production[Expected Production (kWh)],expected_production[Site Name],A1606,expected_production[Date],B1606)),"")</f>
        <v>5880.1262474475352</v>
      </c>
      <c r="E1606" s="9">
        <f t="shared" si="50"/>
        <v>0.83722692214933181</v>
      </c>
      <c r="F1606" t="str">
        <f t="shared" si="51"/>
        <v>Moderate</v>
      </c>
    </row>
    <row r="1607" spans="1:7" ht="15" hidden="1" customHeight="1" x14ac:dyDescent="0.3">
      <c r="A1607" t="s">
        <v>157</v>
      </c>
      <c r="B1607" s="2">
        <v>45931</v>
      </c>
      <c r="C1607" cm="1">
        <f t="array" ref="C1607">IFERROR(IF(SUMPRODUCT((measured[Site Name]=A1607)*(measured[Date]=B1607)*ISNUMBER(measured[Measured Value (kWh)]))=0,"",SUMIFS(measured[Measured Value (kWh)],measured[Site Name],A1607,measured[Date],B1607)),"")</f>
        <v>5673</v>
      </c>
      <c r="D1607" cm="1">
        <f t="array" ref="D1607">IFERROR(IF(SUMPRODUCT((expected_production[Site Name]=A1607)*(expected_production[Date]=B1607)*ISNUMBER(expected_production[Expected Production (kWh)]))=0,"",SUMIFS(expected_production[Expected Production (kWh)],expected_production[Site Name],A1607,expected_production[Date],B1607)),"")</f>
        <v>5981.2543496571052</v>
      </c>
      <c r="E1607" s="9">
        <f t="shared" si="50"/>
        <v>0.9484632601061721</v>
      </c>
      <c r="F1607" t="str">
        <f t="shared" si="51"/>
        <v>Expected</v>
      </c>
    </row>
    <row r="1608" spans="1:7" ht="15" hidden="1" customHeight="1" x14ac:dyDescent="0.3">
      <c r="A1608" t="s">
        <v>157</v>
      </c>
      <c r="B1608" s="2">
        <v>45962</v>
      </c>
      <c r="C1608" cm="1">
        <f t="array" ref="C1608">IFERROR(IF(SUMPRODUCT((measured[Site Name]=A1608)*(measured[Date]=B1608)*ISNUMBER(measured[Measured Value (kWh)]))=0,"",SUMIFS(measured[Measured Value (kWh)],measured[Site Name],A1608,measured[Date],B1608)),"")</f>
        <v>4641</v>
      </c>
      <c r="D1608" cm="1">
        <f t="array" ref="D1608">IFERROR(IF(SUMPRODUCT((expected_production[Site Name]=A1608)*(expected_production[Date]=B1608)*ISNUMBER(expected_production[Expected Production (kWh)]))=0,"",SUMIFS(expected_production[Expected Production (kWh)],expected_production[Site Name],A1608,expected_production[Date],B1608)),"")</f>
        <v>5782.2924272803575</v>
      </c>
      <c r="E1608" s="9">
        <f t="shared" si="50"/>
        <v>0.80262284524112992</v>
      </c>
      <c r="F1608" t="str">
        <f t="shared" si="51"/>
        <v>Moderate</v>
      </c>
    </row>
    <row r="1609" spans="1:7" ht="15" hidden="1" customHeight="1" x14ac:dyDescent="0.3">
      <c r="A1609" t="s">
        <v>157</v>
      </c>
      <c r="B1609" s="2">
        <v>45992</v>
      </c>
      <c r="C1609" cm="1">
        <f t="array" ref="C1609">IFERROR(IF(SUMPRODUCT((measured[Site Name]=A1609)*(measured[Date]=B1609)*ISNUMBER(measured[Measured Value (kWh)]))=0,"",SUMIFS(measured[Measured Value (kWh)],measured[Site Name],A1609,measured[Date],B1609)),"")</f>
        <v>5262</v>
      </c>
      <c r="D1609" cm="1">
        <f t="array" ref="D1609">IFERROR(IF(SUMPRODUCT((expected_production[Site Name]=A1609)*(expected_production[Date]=B1609)*ISNUMBER(expected_production[Expected Production (kWh)]))=0,"",SUMIFS(expected_production[Expected Production (kWh)],expected_production[Site Name],A1609,expected_production[Date],B1609)),"")</f>
        <v>6030.563286329364</v>
      </c>
      <c r="E1609" s="9">
        <f t="shared" si="50"/>
        <v>0.8725553070520603</v>
      </c>
      <c r="F1609" t="str">
        <f t="shared" si="51"/>
        <v>Moderate</v>
      </c>
    </row>
    <row r="1610" spans="1:7" ht="15" hidden="1" customHeight="1" x14ac:dyDescent="0.3">
      <c r="A1610" t="s">
        <v>157</v>
      </c>
      <c r="B1610" s="2">
        <v>46023</v>
      </c>
      <c r="C1610" cm="1">
        <f t="array" ref="C1610">IFERROR(IF(SUMPRODUCT((measured[Site Name]=A1610)*(measured[Date]=B1610)*ISNUMBER(measured[Measured Value (kWh)]))=0,"",SUMIFS(measured[Measured Value (kWh)],measured[Site Name],A1610,measured[Date],B1610)),"")</f>
        <v>5546</v>
      </c>
      <c r="D1610" cm="1">
        <f t="array" ref="D1610">IFERROR(IF(SUMPRODUCT((expected_production[Site Name]=A1610)*(expected_production[Date]=B1610)*ISNUMBER(expected_production[Expected Production (kWh)]))=0,"",SUMIFS(expected_production[Expected Production (kWh)],expected_production[Site Name],A1610,expected_production[Date],B1610)),"")</f>
        <v>5750.0865951711085</v>
      </c>
      <c r="E1610" s="9">
        <f t="shared" si="50"/>
        <v>0.96450721362309577</v>
      </c>
      <c r="F1610" t="str">
        <f t="shared" si="51"/>
        <v>Expected</v>
      </c>
    </row>
    <row r="1611" spans="1:7" ht="15" hidden="1" customHeight="1" x14ac:dyDescent="0.3">
      <c r="A1611" t="s">
        <v>157</v>
      </c>
      <c r="B1611" s="2">
        <v>46054</v>
      </c>
      <c r="C1611" cm="1">
        <f t="array" ref="C1611">IFERROR(IF(SUMPRODUCT((measured[Site Name]=A1611)*(measured[Date]=B1611)*ISNUMBER(measured[Measured Value (kWh)]))=0,"",SUMIFS(measured[Measured Value (kWh)],measured[Site Name],A1611,measured[Date],B1611)),"")</f>
        <v>5201.2299999999996</v>
      </c>
      <c r="D1611" cm="1">
        <f t="array" ref="D1611">IFERROR(IF(SUMPRODUCT((expected_production[Site Name]=A1611)*(expected_production[Date]=B1611)*ISNUMBER(expected_production[Expected Production (kWh)]))=0,"",SUMIFS(expected_production[Expected Production (kWh)],expected_production[Site Name],A1611,expected_production[Date],B1611)),"")</f>
        <v>5159.3142343842046</v>
      </c>
      <c r="E1611" s="9">
        <f t="shared" si="50"/>
        <v>1.0081242901113578</v>
      </c>
      <c r="F1611" t="str">
        <f t="shared" si="51"/>
        <v>Expected</v>
      </c>
    </row>
    <row r="1612" spans="1:7" ht="15" hidden="1" customHeight="1" x14ac:dyDescent="0.3">
      <c r="A1612" t="s">
        <v>157</v>
      </c>
      <c r="B1612" s="2">
        <v>46082</v>
      </c>
      <c r="C1612" cm="1">
        <f t="array" ref="C1612">IFERROR(IF(SUMPRODUCT((measured[Site Name]=A1612)*(measured[Date]=B1612)*ISNUMBER(measured[Measured Value (kWh)]))=0,"",SUMIFS(measured[Measured Value (kWh)],measured[Site Name],A1612,measured[Date],B1612)),"")</f>
        <v>4579</v>
      </c>
      <c r="D1612" cm="1">
        <f t="array" ref="D1612">IFERROR(IF(SUMPRODUCT((expected_production[Site Name]=A1612)*(expected_production[Date]=B1612)*ISNUMBER(expected_production[Expected Production (kWh)]))=0,"",SUMIFS(expected_production[Expected Production (kWh)],expected_production[Site Name],A1612,expected_production[Date],B1612)),"")</f>
        <v>5548.3563805490576</v>
      </c>
      <c r="E1612" s="9">
        <f t="shared" si="50"/>
        <v>0.82528945257602015</v>
      </c>
      <c r="F1612" t="str">
        <f t="shared" si="51"/>
        <v>Moderate</v>
      </c>
    </row>
    <row r="1613" spans="1:7" ht="15" hidden="1" customHeight="1" x14ac:dyDescent="0.3">
      <c r="A1613" t="s">
        <v>157</v>
      </c>
      <c r="B1613" s="2">
        <v>46113</v>
      </c>
      <c r="C1613" cm="1">
        <f t="array" ref="C1613">IFERROR(IF(SUMPRODUCT((measured[Site Name]=A1613)*(measured[Date]=B1613)*ISNUMBER(measured[Measured Value (kWh)]))=0,"",SUMIFS(measured[Measured Value (kWh)],measured[Site Name],A1613,measured[Date],B1613)),"")</f>
        <v>4134.1099999999997</v>
      </c>
      <c r="D1613" cm="1">
        <f t="array" ref="D1613">IFERROR(IF(SUMPRODUCT((expected_production[Site Name]=A1613)*(expected_production[Date]=B1613)*ISNUMBER(expected_production[Expected Production (kWh)]))=0,"",SUMIFS(expected_production[Expected Production (kWh)],expected_production[Site Name],A1613,expected_production[Date],B1613)),"")</f>
        <v>4946.0293395892577</v>
      </c>
      <c r="E1613" s="9">
        <f t="shared" si="50"/>
        <v>0.83584421283342336</v>
      </c>
      <c r="F1613" t="str">
        <f t="shared" si="51"/>
        <v>Moderate</v>
      </c>
    </row>
    <row r="1614" spans="1:7" ht="15" hidden="1" customHeight="1" x14ac:dyDescent="0.3">
      <c r="A1614" t="s">
        <v>157</v>
      </c>
      <c r="B1614" s="2">
        <v>46143</v>
      </c>
      <c r="C1614" cm="1">
        <f t="array" ref="C1614">IFERROR(IF(SUMPRODUCT((measured[Site Name]=A1614)*(measured[Date]=B1614)*ISNUMBER(measured[Measured Value (kWh)]))=0,"",SUMIFS(measured[Measured Value (kWh)],measured[Site Name],A1614,measured[Date],B1614)),"")</f>
        <v>4665.67</v>
      </c>
      <c r="D1614" cm="1">
        <f t="array" ref="D1614">IFERROR(IF(SUMPRODUCT((expected_production[Site Name]=A1614)*(expected_production[Date]=B1614)*ISNUMBER(expected_production[Expected Production (kWh)]))=0,"",SUMIFS(expected_production[Expected Production (kWh)],expected_production[Site Name],A1614,expected_production[Date],B1614)),"")</f>
        <v>5058.5551394224467</v>
      </c>
      <c r="E1614" s="9">
        <f t="shared" si="50"/>
        <v>0.9223325379295354</v>
      </c>
      <c r="F1614" t="str">
        <f t="shared" si="51"/>
        <v>Expected</v>
      </c>
    </row>
    <row r="1615" spans="1:7" ht="15" hidden="1" customHeight="1" x14ac:dyDescent="0.3">
      <c r="A1615" t="s">
        <v>157</v>
      </c>
      <c r="B1615" s="2">
        <v>46174</v>
      </c>
      <c r="C1615" cm="1">
        <f t="array" ref="C1615">IFERROR(IF(SUMPRODUCT((measured[Site Name]=A1615)*(measured[Date]=B1615)*ISNUMBER(measured[Measured Value (kWh)]))=0,"",SUMIFS(measured[Measured Value (kWh)],measured[Site Name],A1615,measured[Date],B1615)),"")</f>
        <v>3785</v>
      </c>
      <c r="D1615" cm="1">
        <f t="array" ref="D1615">IFERROR(IF(SUMPRODUCT((expected_production[Site Name]=A1615)*(expected_production[Date]=B1615)*ISNUMBER(expected_production[Expected Production (kWh)]))=0,"",SUMIFS(expected_production[Expected Production (kWh)],expected_production[Site Name],A1615,expected_production[Date],B1615)),"")</f>
        <v>4686.1811937657267</v>
      </c>
      <c r="E1615" s="9">
        <f t="shared" si="50"/>
        <v>0.80769390757561499</v>
      </c>
      <c r="F1615" t="str">
        <f t="shared" si="51"/>
        <v>Moderate</v>
      </c>
    </row>
    <row r="1616" spans="1:7" ht="15" hidden="1" customHeight="1" x14ac:dyDescent="0.3">
      <c r="A1616" t="s">
        <v>149</v>
      </c>
      <c r="B1616" s="2">
        <v>46204</v>
      </c>
      <c r="C1616" cm="1">
        <f t="array" ref="C1616">IFERROR(IF(SUMPRODUCT((measured[Site Name]=A1616)*(measured[Date]=B1616)*ISNUMBER(measured[Measured Value (kWh)]))=0,"",SUMIFS(measured[Measured Value (kWh)],measured[Site Name],A1616,measured[Date],B1616)),"")</f>
        <v>6917</v>
      </c>
      <c r="D1616" cm="1">
        <f t="array" ref="D1616">IFERROR(IF(SUMPRODUCT((expected_production[Site Name]=A1616)*(expected_production[Date]=B1616)*ISNUMBER(expected_production[Expected Production (kWh)]))=0,"",SUMIFS(expected_production[Expected Production (kWh)],expected_production[Site Name],A1616,expected_production[Date],B1616)),"")</f>
        <v>6747.1087961652456</v>
      </c>
      <c r="E1616" s="9">
        <f t="shared" si="50"/>
        <v>1.0251798524326914</v>
      </c>
      <c r="F1616" t="str">
        <f t="shared" si="51"/>
        <v>Expected</v>
      </c>
      <c r="G1616" t="s">
        <v>874</v>
      </c>
    </row>
    <row r="1617" spans="1:7" ht="15" hidden="1" customHeight="1" x14ac:dyDescent="0.3">
      <c r="A1617" t="s">
        <v>157</v>
      </c>
      <c r="B1617" s="2">
        <v>46235</v>
      </c>
      <c r="C1617" cm="1">
        <f t="array" ref="C1617">IFERROR(IF(SUMPRODUCT((measured[Site Name]=A1617)*(measured[Date]=B1617)*ISNUMBER(measured[Measured Value (kWh)]))=0,"",SUMIFS(measured[Measured Value (kWh)],measured[Site Name],A1617,measured[Date],B1617)),"")</f>
        <v>5246</v>
      </c>
      <c r="D1617" cm="1">
        <f t="array" ref="D1617">IFERROR(IF(SUMPRODUCT((expected_production[Site Name]=A1617)*(expected_production[Date]=B1617)*ISNUMBER(expected_production[Expected Production (kWh)]))=0,"",SUMIFS(expected_production[Expected Production (kWh)],expected_production[Site Name],A1617,expected_production[Date],B1617)),"")</f>
        <v>5659.3662298604422</v>
      </c>
      <c r="E1617" s="9">
        <f t="shared" si="50"/>
        <v>0.92695891853059387</v>
      </c>
      <c r="F1617" t="str">
        <f t="shared" si="51"/>
        <v>Expected</v>
      </c>
      <c r="G1617" t="s">
        <v>874</v>
      </c>
    </row>
    <row r="1618" spans="1:7" ht="15" customHeight="1" x14ac:dyDescent="0.3">
      <c r="A1618" t="s">
        <v>71</v>
      </c>
      <c r="B1618" s="2">
        <v>46266</v>
      </c>
      <c r="C1618" cm="1">
        <f t="array" ref="C1618">IFERROR(IF(SUMPRODUCT((measured[Site Name]=A1618)*(measured[Date]=B1618)*ISNUMBER(measured[Measured Value (kWh)]))=0,"",SUMIFS(measured[Measured Value (kWh)],measured[Site Name],A1618,measured[Date],B1618)),"")</f>
        <v>15296.73</v>
      </c>
      <c r="D1618" cm="1">
        <f t="array" ref="D1618">IFERROR(IF(SUMPRODUCT((expected_production[Site Name]=A1618)*(expected_production[Date]=B1618)*ISNUMBER(expected_production[Expected Production (kWh)]))=0,"",SUMIFS(expected_production[Expected Production (kWh)],expected_production[Site Name],A1618,expected_production[Date],B1618)),"")</f>
        <v>19202.491608828415</v>
      </c>
      <c r="E1618" s="9">
        <f t="shared" si="50"/>
        <v>0.79660131151768199</v>
      </c>
      <c r="F1618" t="str">
        <f t="shared" si="51"/>
        <v>Moderate</v>
      </c>
      <c r="G1618" t="s">
        <v>874</v>
      </c>
    </row>
    <row r="1619" spans="1:7" ht="15" hidden="1" customHeight="1" x14ac:dyDescent="0.3">
      <c r="A1619" t="s">
        <v>157</v>
      </c>
      <c r="B1619" s="2">
        <v>46296</v>
      </c>
      <c r="C1619" t="str" cm="1">
        <f t="array" ref="C1619">IFERROR(IF(SUMPRODUCT((measured[Site Name]=A1619)*(measured[Date]=B1619)*ISNUMBER(measured[Measured Value (kWh)]))=0,"",SUMIFS(measured[Measured Value (kWh)],measured[Site Name],A1619,measured[Date],B1619)),"")</f>
        <v/>
      </c>
      <c r="D1619" cm="1">
        <f t="array" ref="D1619">IFERROR(IF(SUMPRODUCT((expected_production[Site Name]=A1619)*(expected_production[Date]=B1619)*ISNUMBER(expected_production[Expected Production (kWh)]))=0,"",SUMIFS(expected_production[Expected Production (kWh)],expected_production[Site Name],A1619,expected_production[Date],B1619)),"")</f>
        <v>5939.4141263600095</v>
      </c>
      <c r="E1619" s="9" t="str">
        <f t="shared" si="50"/>
        <v/>
      </c>
      <c r="F1619" t="str">
        <f t="shared" si="51"/>
        <v/>
      </c>
    </row>
    <row r="1620" spans="1:7" ht="15" hidden="1" customHeight="1" x14ac:dyDescent="0.3">
      <c r="A1620" t="s">
        <v>157</v>
      </c>
      <c r="B1620" s="2">
        <v>46327</v>
      </c>
      <c r="C1620" t="str" cm="1">
        <f t="array" ref="C1620">IFERROR(IF(SUMPRODUCT((measured[Site Name]=A1620)*(measured[Date]=B1620)*ISNUMBER(measured[Measured Value (kWh)]))=0,"",SUMIFS(measured[Measured Value (kWh)],measured[Site Name],A1620,measured[Date],B1620)),"")</f>
        <v/>
      </c>
      <c r="D1620" cm="1">
        <f t="array" ref="D1620">IFERROR(IF(SUMPRODUCT((expected_production[Site Name]=A1620)*(expected_production[Date]=B1620)*ISNUMBER(expected_production[Expected Production (kWh)]))=0,"",SUMIFS(expected_production[Expected Production (kWh)],expected_production[Site Name],A1620,expected_production[Date],B1620)),"")</f>
        <v>5741.8439875077893</v>
      </c>
      <c r="E1620" s="9" t="str">
        <f t="shared" si="50"/>
        <v/>
      </c>
      <c r="F1620" t="str">
        <f t="shared" si="51"/>
        <v/>
      </c>
    </row>
    <row r="1621" spans="1:7" ht="15" hidden="1" customHeight="1" x14ac:dyDescent="0.3">
      <c r="A1621" t="s">
        <v>157</v>
      </c>
      <c r="B1621" s="2">
        <v>46357</v>
      </c>
      <c r="C1621" t="str" cm="1">
        <f t="array" ref="C1621">IFERROR(IF(SUMPRODUCT((measured[Site Name]=A1621)*(measured[Date]=B1621)*ISNUMBER(measured[Measured Value (kWh)]))=0,"",SUMIFS(measured[Measured Value (kWh)],measured[Site Name],A1621,measured[Date],B1621)),"")</f>
        <v/>
      </c>
      <c r="D1621" cm="1">
        <f t="array" ref="D1621">IFERROR(IF(SUMPRODUCT((expected_production[Site Name]=A1621)*(expected_production[Date]=B1621)*ISNUMBER(expected_production[Expected Production (kWh)]))=0,"",SUMIFS(expected_production[Expected Production (kWh)],expected_production[Site Name],A1621,expected_production[Date],B1621)),"")</f>
        <v>5988.3781358982087</v>
      </c>
      <c r="E1621" s="9" t="str">
        <f t="shared" si="50"/>
        <v/>
      </c>
      <c r="F1621" t="str">
        <f t="shared" si="51"/>
        <v/>
      </c>
    </row>
    <row r="1622" spans="1:7" ht="15" hidden="1" customHeight="1" x14ac:dyDescent="0.3">
      <c r="A1622" t="s">
        <v>160</v>
      </c>
      <c r="B1622" s="2">
        <v>45292</v>
      </c>
      <c r="C1622" cm="1">
        <f t="array" ref="C1622">IFERROR(IF(SUMPRODUCT((measured[Site Name]=A1622)*(measured[Date]=B1622)*ISNUMBER(measured[Measured Value (kWh)]))=0,"",SUMIFS(measured[Measured Value (kWh)],measured[Site Name],A1622,measured[Date],B1622)),"")</f>
        <v>6600</v>
      </c>
      <c r="D1622" cm="1">
        <f t="array" ref="D1622">IFERROR(IF(SUMPRODUCT((expected_production[Site Name]=A1622)*(expected_production[Date]=B1622)*ISNUMBER(expected_production[Expected Production (kWh)]))=0,"",SUMIFS(expected_production[Expected Production (kWh)],expected_production[Site Name],A1622,expected_production[Date],B1622)),"")</f>
        <v>17022.669060659769</v>
      </c>
      <c r="E1622" s="9">
        <f t="shared" ref="E1622:E1685" si="52">IF(OR(C1622="",D1622="",D1622=0),"",C1622/D1622)</f>
        <v>0.38771828180886903</v>
      </c>
      <c r="F1622" t="str">
        <f t="shared" ref="F1622:F1685" si="53">IF(E1622="","",IF(E1622&gt;=0.9,"Expected",IF(E1622&gt;=0.7,"Moderate","Poor")))</f>
        <v>Poor</v>
      </c>
    </row>
    <row r="1623" spans="1:7" ht="15" hidden="1" customHeight="1" x14ac:dyDescent="0.3">
      <c r="A1623" t="s">
        <v>160</v>
      </c>
      <c r="B1623" s="2">
        <v>45323</v>
      </c>
      <c r="C1623" cm="1">
        <f t="array" ref="C1623">IFERROR(IF(SUMPRODUCT((measured[Site Name]=A1623)*(measured[Date]=B1623)*ISNUMBER(measured[Measured Value (kWh)]))=0,"",SUMIFS(measured[Measured Value (kWh)],measured[Site Name],A1623,measured[Date],B1623)),"")</f>
        <v>13300</v>
      </c>
      <c r="D1623" cm="1">
        <f t="array" ref="D1623">IFERROR(IF(SUMPRODUCT((expected_production[Site Name]=A1623)*(expected_production[Date]=B1623)*ISNUMBER(expected_production[Expected Production (kWh)]))=0,"",SUMIFS(expected_production[Expected Production (kWh)],expected_production[Site Name],A1623,expected_production[Date],B1623)),"")</f>
        <v>14954.986275618499</v>
      </c>
      <c r="E1623" s="9">
        <f t="shared" si="52"/>
        <v>0.88933548683246433</v>
      </c>
      <c r="F1623" t="str">
        <f t="shared" si="53"/>
        <v>Moderate</v>
      </c>
    </row>
    <row r="1624" spans="1:7" ht="15" hidden="1" customHeight="1" x14ac:dyDescent="0.3">
      <c r="A1624" t="s">
        <v>160</v>
      </c>
      <c r="B1624" s="2">
        <v>45352</v>
      </c>
      <c r="C1624" cm="1">
        <f t="array" ref="C1624">IFERROR(IF(SUMPRODUCT((measured[Site Name]=A1624)*(measured[Date]=B1624)*ISNUMBER(measured[Measured Value (kWh)]))=0,"",SUMIFS(measured[Measured Value (kWh)],measured[Site Name],A1624,measured[Date],B1624)),"")</f>
        <v>15420</v>
      </c>
      <c r="D1624" cm="1">
        <f t="array" ref="D1624">IFERROR(IF(SUMPRODUCT((expected_production[Site Name]=A1624)*(expected_production[Date]=B1624)*ISNUMBER(expected_production[Expected Production (kWh)]))=0,"",SUMIFS(expected_production[Expected Production (kWh)],expected_production[Site Name],A1624,expected_production[Date],B1624)),"")</f>
        <v>16197.55458576403</v>
      </c>
      <c r="E1624" s="9">
        <f t="shared" si="52"/>
        <v>0.95199555700541239</v>
      </c>
      <c r="F1624" t="str">
        <f t="shared" si="53"/>
        <v>Expected</v>
      </c>
    </row>
    <row r="1625" spans="1:7" ht="15" hidden="1" customHeight="1" x14ac:dyDescent="0.3">
      <c r="A1625" t="s">
        <v>160</v>
      </c>
      <c r="B1625" s="2">
        <v>45383</v>
      </c>
      <c r="C1625" cm="1">
        <f t="array" ref="C1625">IFERROR(IF(SUMPRODUCT((measured[Site Name]=A1625)*(measured[Date]=B1625)*ISNUMBER(measured[Measured Value (kWh)]))=0,"",SUMIFS(measured[Measured Value (kWh)],measured[Site Name],A1625,measured[Date],B1625)),"")</f>
        <v>12860</v>
      </c>
      <c r="D1625" cm="1">
        <f t="array" ref="D1625">IFERROR(IF(SUMPRODUCT((expected_production[Site Name]=A1625)*(expected_production[Date]=B1625)*ISNUMBER(expected_production[Expected Production (kWh)]))=0,"",SUMIFS(expected_production[Expected Production (kWh)],expected_production[Site Name],A1625,expected_production[Date],B1625)),"")</f>
        <v>14161.456419653477</v>
      </c>
      <c r="E1625" s="9">
        <f t="shared" si="52"/>
        <v>0.90809868836320418</v>
      </c>
      <c r="F1625" t="str">
        <f t="shared" si="53"/>
        <v>Expected</v>
      </c>
    </row>
    <row r="1626" spans="1:7" ht="15" hidden="1" customHeight="1" x14ac:dyDescent="0.3">
      <c r="A1626" t="s">
        <v>160</v>
      </c>
      <c r="B1626" s="2">
        <v>45413</v>
      </c>
      <c r="C1626" cm="1">
        <f t="array" ref="C1626">IFERROR(IF(SUMPRODUCT((measured[Site Name]=A1626)*(measured[Date]=B1626)*ISNUMBER(measured[Measured Value (kWh)]))=0,"",SUMIFS(measured[Measured Value (kWh)],measured[Site Name],A1626,measured[Date],B1626)),"")</f>
        <v>14610</v>
      </c>
      <c r="D1626" cm="1">
        <f t="array" ref="D1626">IFERROR(IF(SUMPRODUCT((expected_production[Site Name]=A1626)*(expected_production[Date]=B1626)*ISNUMBER(expected_production[Expected Production (kWh)]))=0,"",SUMIFS(expected_production[Expected Production (kWh)],expected_production[Site Name],A1626,expected_production[Date],B1626)),"")</f>
        <v>14682.611720915475</v>
      </c>
      <c r="E1626" s="9">
        <f t="shared" si="52"/>
        <v>0.99505457732618241</v>
      </c>
      <c r="F1626" t="str">
        <f t="shared" si="53"/>
        <v>Expected</v>
      </c>
    </row>
    <row r="1627" spans="1:7" ht="15" hidden="1" customHeight="1" x14ac:dyDescent="0.3">
      <c r="A1627" t="s">
        <v>160</v>
      </c>
      <c r="B1627" s="2">
        <v>45444</v>
      </c>
      <c r="C1627" cm="1">
        <f t="array" ref="C1627">IFERROR(IF(SUMPRODUCT((measured[Site Name]=A1627)*(measured[Date]=B1627)*ISNUMBER(measured[Measured Value (kWh)]))=0,"",SUMIFS(measured[Measured Value (kWh)],measured[Site Name],A1627,measured[Date],B1627)),"")</f>
        <v>12010</v>
      </c>
      <c r="D1627" cm="1">
        <f t="array" ref="D1627">IFERROR(IF(SUMPRODUCT((expected_production[Site Name]=A1627)*(expected_production[Date]=B1627)*ISNUMBER(expected_production[Expected Production (kWh)]))=0,"",SUMIFS(expected_production[Expected Production (kWh)],expected_production[Site Name],A1627,expected_production[Date],B1627)),"")</f>
        <v>13768.556219070188</v>
      </c>
      <c r="E1627" s="9">
        <f t="shared" si="52"/>
        <v>0.87227736945762746</v>
      </c>
      <c r="F1627" t="str">
        <f t="shared" si="53"/>
        <v>Moderate</v>
      </c>
    </row>
    <row r="1628" spans="1:7" ht="15" hidden="1" customHeight="1" x14ac:dyDescent="0.3">
      <c r="A1628" t="s">
        <v>160</v>
      </c>
      <c r="B1628" s="2">
        <v>45474</v>
      </c>
      <c r="C1628" cm="1">
        <f t="array" ref="C1628">IFERROR(IF(SUMPRODUCT((measured[Site Name]=A1628)*(measured[Date]=B1628)*ISNUMBER(measured[Measured Value (kWh)]))=0,"",SUMIFS(measured[Measured Value (kWh)],measured[Site Name],A1628,measured[Date],B1628)),"")</f>
        <v>13050</v>
      </c>
      <c r="D1628" cm="1">
        <f t="array" ref="D1628">IFERROR(IF(SUMPRODUCT((expected_production[Site Name]=A1628)*(expected_production[Date]=B1628)*ISNUMBER(expected_production[Expected Production (kWh)]))=0,"",SUMIFS(expected_production[Expected Production (kWh)],expected_production[Site Name],A1628,expected_production[Date],B1628)),"")</f>
        <v>14990.038805471615</v>
      </c>
      <c r="E1628" s="9">
        <f t="shared" si="52"/>
        <v>0.87057813320913702</v>
      </c>
      <c r="F1628" t="str">
        <f t="shared" si="53"/>
        <v>Moderate</v>
      </c>
    </row>
    <row r="1629" spans="1:7" ht="15" hidden="1" customHeight="1" x14ac:dyDescent="0.3">
      <c r="A1629" t="s">
        <v>160</v>
      </c>
      <c r="B1629" s="2">
        <v>45505</v>
      </c>
      <c r="C1629" cm="1">
        <f t="array" ref="C1629">IFERROR(IF(SUMPRODUCT((measured[Site Name]=A1629)*(measured[Date]=B1629)*ISNUMBER(measured[Measured Value (kWh)]))=0,"",SUMIFS(measured[Measured Value (kWh)],measured[Site Name],A1629,measured[Date],B1629)),"")</f>
        <v>17380</v>
      </c>
      <c r="D1629" cm="1">
        <f t="array" ref="D1629">IFERROR(IF(SUMPRODUCT((expected_production[Site Name]=A1629)*(expected_production[Date]=B1629)*ISNUMBER(expected_production[Expected Production (kWh)]))=0,"",SUMIFS(expected_production[Expected Production (kWh)],expected_production[Site Name],A1629,expected_production[Date],B1629)),"")</f>
        <v>16620.202526523441</v>
      </c>
      <c r="E1629" s="9">
        <f t="shared" si="52"/>
        <v>1.0457152957230234</v>
      </c>
      <c r="F1629" t="str">
        <f t="shared" si="53"/>
        <v>Expected</v>
      </c>
    </row>
    <row r="1630" spans="1:7" ht="15" hidden="1" customHeight="1" x14ac:dyDescent="0.3">
      <c r="A1630" t="s">
        <v>160</v>
      </c>
      <c r="B1630" s="2">
        <v>45536</v>
      </c>
      <c r="C1630" cm="1">
        <f t="array" ref="C1630">IFERROR(IF(SUMPRODUCT((measured[Site Name]=A1630)*(measured[Date]=B1630)*ISNUMBER(measured[Measured Value (kWh)]))=0,"",SUMIFS(measured[Measured Value (kWh)],measured[Site Name],A1630,measured[Date],B1630)),"")</f>
        <v>15040</v>
      </c>
      <c r="D1630" cm="1">
        <f t="array" ref="D1630">IFERROR(IF(SUMPRODUCT((expected_production[Site Name]=A1630)*(expected_production[Date]=B1630)*ISNUMBER(expected_production[Expected Production (kWh)]))=0,"",SUMIFS(expected_production[Expected Production (kWh)],expected_production[Site Name],A1630,expected_production[Date],B1630)),"")</f>
        <v>16780.425253423226</v>
      </c>
      <c r="E1630" s="9">
        <f t="shared" si="52"/>
        <v>0.89628241077691539</v>
      </c>
      <c r="F1630" t="str">
        <f t="shared" si="53"/>
        <v>Moderate</v>
      </c>
    </row>
    <row r="1631" spans="1:7" ht="15" hidden="1" customHeight="1" x14ac:dyDescent="0.3">
      <c r="A1631" t="s">
        <v>160</v>
      </c>
      <c r="B1631" s="2">
        <v>45566</v>
      </c>
      <c r="C1631" cm="1">
        <f t="array" ref="C1631">IFERROR(IF(SUMPRODUCT((measured[Site Name]=A1631)*(measured[Date]=B1631)*ISNUMBER(measured[Measured Value (kWh)]))=0,"",SUMIFS(measured[Measured Value (kWh)],measured[Site Name],A1631,measured[Date],B1631)),"")</f>
        <v>16040</v>
      </c>
      <c r="D1631" cm="1">
        <f t="array" ref="D1631">IFERROR(IF(SUMPRODUCT((expected_production[Site Name]=A1631)*(expected_production[Date]=B1631)*ISNUMBER(expected_production[Expected Production (kWh)]))=0,"",SUMIFS(expected_production[Expected Production (kWh)],expected_production[Site Name],A1631,expected_production[Date],B1631)),"")</f>
        <v>17412.990734865249</v>
      </c>
      <c r="E1631" s="9">
        <f t="shared" si="52"/>
        <v>0.92115135442436258</v>
      </c>
      <c r="F1631" t="str">
        <f t="shared" si="53"/>
        <v>Expected</v>
      </c>
    </row>
    <row r="1632" spans="1:7" ht="15" hidden="1" customHeight="1" x14ac:dyDescent="0.3">
      <c r="A1632" t="s">
        <v>160</v>
      </c>
      <c r="B1632" s="2">
        <v>45597</v>
      </c>
      <c r="C1632" cm="1">
        <f t="array" ref="C1632">IFERROR(IF(SUMPRODUCT((measured[Site Name]=A1632)*(measured[Date]=B1632)*ISNUMBER(measured[Measured Value (kWh)]))=0,"",SUMIFS(measured[Measured Value (kWh)],measured[Site Name],A1632,measured[Date],B1632)),"")</f>
        <v>12800</v>
      </c>
      <c r="D1632" cm="1">
        <f t="array" ref="D1632">IFERROR(IF(SUMPRODUCT((expected_production[Site Name]=A1632)*(expected_production[Date]=B1632)*ISNUMBER(expected_production[Expected Production (kWh)]))=0,"",SUMIFS(expected_production[Expected Production (kWh)],expected_production[Site Name],A1632,expected_production[Date],B1632)),"")</f>
        <v>16425.939234862391</v>
      </c>
      <c r="E1632" s="9">
        <f t="shared" si="52"/>
        <v>0.77925528744397743</v>
      </c>
      <c r="F1632" t="str">
        <f t="shared" si="53"/>
        <v>Moderate</v>
      </c>
    </row>
    <row r="1633" spans="1:6" ht="15" hidden="1" customHeight="1" x14ac:dyDescent="0.3">
      <c r="A1633" t="s">
        <v>160</v>
      </c>
      <c r="B1633" s="2">
        <v>45627</v>
      </c>
      <c r="C1633" cm="1">
        <f t="array" ref="C1633">IFERROR(IF(SUMPRODUCT((measured[Site Name]=A1633)*(measured[Date]=B1633)*ISNUMBER(measured[Measured Value (kWh)]))=0,"",SUMIFS(measured[Measured Value (kWh)],measured[Site Name],A1633,measured[Date],B1633)),"")</f>
        <v>11928</v>
      </c>
      <c r="D1633" cm="1">
        <f t="array" ref="D1633">IFERROR(IF(SUMPRODUCT((expected_production[Site Name]=A1633)*(expected_production[Date]=B1633)*ISNUMBER(expected_production[Expected Production (kWh)]))=0,"",SUMIFS(expected_production[Expected Production (kWh)],expected_production[Site Name],A1633,expected_production[Date],B1633)),"")</f>
        <v>17538.023833642143</v>
      </c>
      <c r="E1633" s="9">
        <f t="shared" si="52"/>
        <v>0.68012223686908391</v>
      </c>
      <c r="F1633" t="str">
        <f t="shared" si="53"/>
        <v>Poor</v>
      </c>
    </row>
    <row r="1634" spans="1:6" ht="15" hidden="1" customHeight="1" x14ac:dyDescent="0.3">
      <c r="A1634" t="s">
        <v>160</v>
      </c>
      <c r="B1634" s="2">
        <v>45658</v>
      </c>
      <c r="C1634" cm="1">
        <f t="array" ref="C1634">IFERROR(IF(SUMPRODUCT((measured[Site Name]=A1634)*(measured[Date]=B1634)*ISNUMBER(measured[Measured Value (kWh)]))=0,"",SUMIFS(measured[Measured Value (kWh)],measured[Site Name],A1634,measured[Date],B1634)),"")</f>
        <v>11300</v>
      </c>
      <c r="D1634" cm="1">
        <f t="array" ref="D1634">IFERROR(IF(SUMPRODUCT((expected_production[Site Name]=A1634)*(expected_production[Date]=B1634)*ISNUMBER(expected_production[Expected Production (kWh)]))=0,"",SUMIFS(expected_production[Expected Production (kWh)],expected_production[Site Name],A1634,expected_production[Date],B1634)),"")</f>
        <v>16903.266558354015</v>
      </c>
      <c r="E1634" s="9">
        <f t="shared" si="52"/>
        <v>0.66850983867465896</v>
      </c>
      <c r="F1634" t="str">
        <f t="shared" si="53"/>
        <v>Poor</v>
      </c>
    </row>
    <row r="1635" spans="1:6" ht="15" hidden="1" customHeight="1" x14ac:dyDescent="0.3">
      <c r="A1635" t="s">
        <v>160</v>
      </c>
      <c r="B1635" s="2">
        <v>45689</v>
      </c>
      <c r="C1635" cm="1">
        <f t="array" ref="C1635">IFERROR(IF(SUMPRODUCT((measured[Site Name]=A1635)*(measured[Date]=B1635)*ISNUMBER(measured[Measured Value (kWh)]))=0,"",SUMIFS(measured[Measured Value (kWh)],measured[Site Name],A1635,measured[Date],B1635)),"")</f>
        <v>8382</v>
      </c>
      <c r="D1635" cm="1">
        <f t="array" ref="D1635">IFERROR(IF(SUMPRODUCT((expected_production[Site Name]=A1635)*(expected_production[Date]=B1635)*ISNUMBER(expected_production[Expected Production (kWh)]))=0,"",SUMIFS(expected_production[Expected Production (kWh)],expected_production[Site Name],A1635,expected_production[Date],B1635)),"")</f>
        <v>14850.087168616305</v>
      </c>
      <c r="E1635" s="9">
        <f t="shared" si="52"/>
        <v>0.56444113120859307</v>
      </c>
      <c r="F1635" t="str">
        <f t="shared" si="53"/>
        <v>Poor</v>
      </c>
    </row>
    <row r="1636" spans="1:6" ht="15" hidden="1" customHeight="1" x14ac:dyDescent="0.3">
      <c r="A1636" t="s">
        <v>160</v>
      </c>
      <c r="B1636" s="2">
        <v>45717</v>
      </c>
      <c r="C1636" cm="1">
        <f t="array" ref="C1636">IFERROR(IF(SUMPRODUCT((measured[Site Name]=A1636)*(measured[Date]=B1636)*ISNUMBER(measured[Measured Value (kWh)]))=0,"",SUMIFS(measured[Measured Value (kWh)],measured[Site Name],A1636,measured[Date],B1636)),"")</f>
        <v>11945</v>
      </c>
      <c r="D1636" cm="1">
        <f t="array" ref="D1636">IFERROR(IF(SUMPRODUCT((expected_production[Site Name]=A1636)*(expected_production[Date]=B1636)*ISNUMBER(expected_production[Expected Production (kWh)]))=0,"",SUMIFS(expected_production[Expected Production (kWh)],expected_production[Site Name],A1636,expected_production[Date],B1636)),"")</f>
        <v>16084.249037944599</v>
      </c>
      <c r="E1636" s="9">
        <f t="shared" si="52"/>
        <v>0.74265201762422151</v>
      </c>
      <c r="F1636" t="str">
        <f t="shared" si="53"/>
        <v>Moderate</v>
      </c>
    </row>
    <row r="1637" spans="1:6" ht="15" hidden="1" customHeight="1" x14ac:dyDescent="0.3">
      <c r="A1637" t="s">
        <v>160</v>
      </c>
      <c r="B1637" s="2">
        <v>45748</v>
      </c>
      <c r="C1637" cm="1">
        <f t="array" ref="C1637">IFERROR(IF(SUMPRODUCT((measured[Site Name]=A1637)*(measured[Date]=B1637)*ISNUMBER(measured[Measured Value (kWh)]))=0,"",SUMIFS(measured[Measured Value (kWh)],measured[Site Name],A1637,measured[Date],B1637)),"")</f>
        <v>13271</v>
      </c>
      <c r="D1637" cm="1">
        <f t="array" ref="D1637">IFERROR(IF(SUMPRODUCT((expected_production[Site Name]=A1637)*(expected_production[Date]=B1637)*ISNUMBER(expected_production[Expected Production (kWh)]))=0,"",SUMIFS(expected_production[Expected Production (kWh)],expected_production[Site Name],A1637,expected_production[Date],B1637)),"")</f>
        <v>14062.393837764721</v>
      </c>
      <c r="E1637" s="9">
        <f t="shared" si="52"/>
        <v>0.94372268001487603</v>
      </c>
      <c r="F1637" t="str">
        <f t="shared" si="53"/>
        <v>Expected</v>
      </c>
    </row>
    <row r="1638" spans="1:6" ht="15" hidden="1" customHeight="1" x14ac:dyDescent="0.3">
      <c r="A1638" t="s">
        <v>160</v>
      </c>
      <c r="B1638" s="2">
        <v>45778</v>
      </c>
      <c r="C1638" cm="1">
        <f t="array" ref="C1638">IFERROR(IF(SUMPRODUCT((measured[Site Name]=A1638)*(measured[Date]=B1638)*ISNUMBER(measured[Measured Value (kWh)]))=0,"",SUMIFS(measured[Measured Value (kWh)],measured[Site Name],A1638,measured[Date],B1638)),"")</f>
        <v>17380</v>
      </c>
      <c r="D1638" cm="1">
        <f t="array" ref="D1638">IFERROR(IF(SUMPRODUCT((expected_production[Site Name]=A1638)*(expected_production[Date]=B1638)*ISNUMBER(expected_production[Expected Production (kWh)]))=0,"",SUMIFS(expected_production[Expected Production (kWh)],expected_production[Site Name],A1638,expected_production[Date],B1638)),"")</f>
        <v>14579.903540143516</v>
      </c>
      <c r="E1638" s="9">
        <f t="shared" si="52"/>
        <v>1.192051782245805</v>
      </c>
      <c r="F1638" t="str">
        <f t="shared" si="53"/>
        <v>Expected</v>
      </c>
    </row>
    <row r="1639" spans="1:6" ht="15" hidden="1" customHeight="1" x14ac:dyDescent="0.3">
      <c r="A1639" t="s">
        <v>160</v>
      </c>
      <c r="B1639" s="2">
        <v>45809</v>
      </c>
      <c r="C1639" cm="1">
        <f t="array" ref="C1639">IFERROR(IF(SUMPRODUCT((measured[Site Name]=A1639)*(measured[Date]=B1639)*ISNUMBER(measured[Measured Value (kWh)]))=0,"",SUMIFS(measured[Measured Value (kWh)],measured[Site Name],A1639,measured[Date],B1639)),"")</f>
        <v>15760.44</v>
      </c>
      <c r="D1639" cm="1">
        <f t="array" ref="D1639">IFERROR(IF(SUMPRODUCT((expected_production[Site Name]=A1639)*(expected_production[Date]=B1639)*ISNUMBER(expected_production[Expected Production (kWh)]))=0,"",SUMIFS(expected_production[Expected Production (kWh)],expected_production[Site Name],A1639,expected_production[Date],B1639)),"")</f>
        <v>13672.242062706391</v>
      </c>
      <c r="E1639" s="9">
        <f t="shared" si="52"/>
        <v>1.1527326628446377</v>
      </c>
      <c r="F1639" t="str">
        <f t="shared" si="53"/>
        <v>Expected</v>
      </c>
    </row>
    <row r="1640" spans="1:6" ht="15" hidden="1" customHeight="1" x14ac:dyDescent="0.3">
      <c r="A1640" t="s">
        <v>160</v>
      </c>
      <c r="B1640" s="2">
        <v>45839</v>
      </c>
      <c r="C1640" cm="1">
        <f t="array" ref="C1640">IFERROR(IF(SUMPRODUCT((measured[Site Name]=A1640)*(measured[Date]=B1640)*ISNUMBER(measured[Measured Value (kWh)]))=0,"",SUMIFS(measured[Measured Value (kWh)],measured[Site Name],A1640,measured[Date],B1640)),"")</f>
        <v>15336</v>
      </c>
      <c r="D1640" cm="1">
        <f t="array" ref="D1640">IFERROR(IF(SUMPRODUCT((expected_production[Site Name]=A1640)*(expected_production[Date]=B1640)*ISNUMBER(expected_production[Expected Production (kWh)]))=0,"",SUMIFS(expected_production[Expected Production (kWh)],expected_production[Site Name],A1640,expected_production[Date],B1640)),"")</f>
        <v>14885.180102900473</v>
      </c>
      <c r="E1640" s="9">
        <f t="shared" si="52"/>
        <v>1.030286492604257</v>
      </c>
      <c r="F1640" t="str">
        <f t="shared" si="53"/>
        <v>Expected</v>
      </c>
    </row>
    <row r="1641" spans="1:6" ht="15" hidden="1" customHeight="1" x14ac:dyDescent="0.3">
      <c r="A1641" t="s">
        <v>160</v>
      </c>
      <c r="B1641" s="2">
        <v>45870</v>
      </c>
      <c r="C1641" cm="1">
        <f t="array" ref="C1641">IFERROR(IF(SUMPRODUCT((measured[Site Name]=A1641)*(measured[Date]=B1641)*ISNUMBER(measured[Measured Value (kWh)]))=0,"",SUMIFS(measured[Measured Value (kWh)],measured[Site Name],A1641,measured[Date],B1641)),"")</f>
        <v>18373</v>
      </c>
      <c r="D1641" cm="1">
        <f t="array" ref="D1641">IFERROR(IF(SUMPRODUCT((expected_production[Site Name]=A1641)*(expected_production[Date]=B1641)*ISNUMBER(expected_production[Expected Production (kWh)]))=0,"",SUMIFS(expected_production[Expected Production (kWh)],expected_production[Site Name],A1641,expected_production[Date],B1641)),"")</f>
        <v>16503.940461026668</v>
      </c>
      <c r="E1641" s="9">
        <f t="shared" si="52"/>
        <v>1.1132492899733268</v>
      </c>
      <c r="F1641" t="str">
        <f t="shared" si="53"/>
        <v>Expected</v>
      </c>
    </row>
    <row r="1642" spans="1:6" ht="15" hidden="1" customHeight="1" x14ac:dyDescent="0.3">
      <c r="A1642" t="s">
        <v>160</v>
      </c>
      <c r="B1642" s="2">
        <v>45901</v>
      </c>
      <c r="C1642" cm="1">
        <f t="array" ref="C1642">IFERROR(IF(SUMPRODUCT((measured[Site Name]=A1642)*(measured[Date]=B1642)*ISNUMBER(measured[Measured Value (kWh)]))=0,"",SUMIFS(measured[Measured Value (kWh)],measured[Site Name],A1642,measured[Date],B1642)),"")</f>
        <v>14826</v>
      </c>
      <c r="D1642" cm="1">
        <f t="array" ref="D1642">IFERROR(IF(SUMPRODUCT((expected_production[Site Name]=A1642)*(expected_production[Date]=B1642)*ISNUMBER(expected_production[Expected Production (kWh)]))=0,"",SUMIFS(expected_production[Expected Production (kWh)],expected_production[Site Name],A1642,expected_production[Date],B1642)),"")</f>
        <v>16663.042393812237</v>
      </c>
      <c r="E1642" s="9">
        <f t="shared" si="52"/>
        <v>0.8897534825636394</v>
      </c>
      <c r="F1642" t="str">
        <f t="shared" si="53"/>
        <v>Moderate</v>
      </c>
    </row>
    <row r="1643" spans="1:6" ht="15" hidden="1" customHeight="1" x14ac:dyDescent="0.3">
      <c r="A1643" t="s">
        <v>160</v>
      </c>
      <c r="B1643" s="2">
        <v>45931</v>
      </c>
      <c r="C1643" cm="1">
        <f t="array" ref="C1643">IFERROR(IF(SUMPRODUCT((measured[Site Name]=A1643)*(measured[Date]=B1643)*ISNUMBER(measured[Measured Value (kWh)]))=0,"",SUMIFS(measured[Measured Value (kWh)],measured[Site Name],A1643,measured[Date],B1643)),"")</f>
        <v>14653</v>
      </c>
      <c r="D1643" cm="1">
        <f t="array" ref="D1643">IFERROR(IF(SUMPRODUCT((expected_production[Site Name]=A1643)*(expected_production[Date]=B1643)*ISNUMBER(expected_production[Expected Production (kWh)]))=0,"",SUMIFS(expected_production[Expected Production (kWh)],expected_production[Site Name],A1643,expected_production[Date],B1643)),"")</f>
        <v>17291.182937031208</v>
      </c>
      <c r="E1643" s="9">
        <f t="shared" si="52"/>
        <v>0.84742611615187924</v>
      </c>
      <c r="F1643" t="str">
        <f t="shared" si="53"/>
        <v>Moderate</v>
      </c>
    </row>
    <row r="1644" spans="1:6" ht="15" hidden="1" customHeight="1" x14ac:dyDescent="0.3">
      <c r="A1644" t="s">
        <v>160</v>
      </c>
      <c r="B1644" s="2">
        <v>45962</v>
      </c>
      <c r="C1644" cm="1">
        <f t="array" ref="C1644">IFERROR(IF(SUMPRODUCT((measured[Site Name]=A1644)*(measured[Date]=B1644)*ISNUMBER(measured[Measured Value (kWh)]))=0,"",SUMIFS(measured[Measured Value (kWh)],measured[Site Name],A1644,measured[Date],B1644)),"")</f>
        <v>11613</v>
      </c>
      <c r="D1644" cm="1">
        <f t="array" ref="D1644">IFERROR(IF(SUMPRODUCT((expected_production[Site Name]=A1644)*(expected_production[Date]=B1644)*ISNUMBER(expected_production[Expected Production (kWh)]))=0,"",SUMIFS(expected_production[Expected Production (kWh)],expected_production[Site Name],A1644,expected_production[Date],B1644)),"")</f>
        <v>16311.036084908477</v>
      </c>
      <c r="E1644" s="9">
        <f t="shared" si="52"/>
        <v>0.71197193970680628</v>
      </c>
      <c r="F1644" t="str">
        <f t="shared" si="53"/>
        <v>Moderate</v>
      </c>
    </row>
    <row r="1645" spans="1:6" ht="15" hidden="1" customHeight="1" x14ac:dyDescent="0.3">
      <c r="A1645" t="s">
        <v>160</v>
      </c>
      <c r="B1645" s="2">
        <v>45992</v>
      </c>
      <c r="C1645" cm="1">
        <f t="array" ref="C1645">IFERROR(IF(SUMPRODUCT((measured[Site Name]=A1645)*(measured[Date]=B1645)*ISNUMBER(measured[Measured Value (kWh)]))=0,"",SUMIFS(measured[Measured Value (kWh)],measured[Site Name],A1645,measured[Date],B1645)),"")</f>
        <v>12623</v>
      </c>
      <c r="D1645" cm="1">
        <f t="array" ref="D1645">IFERROR(IF(SUMPRODUCT((expected_production[Site Name]=A1645)*(expected_production[Date]=B1645)*ISNUMBER(expected_production[Expected Production (kWh)]))=0,"",SUMIFS(expected_production[Expected Production (kWh)],expected_production[Site Name],A1645,expected_production[Date],B1645)),"")</f>
        <v>17415.34140107991</v>
      </c>
      <c r="E1645" s="9">
        <f t="shared" si="52"/>
        <v>0.72482070315413161</v>
      </c>
      <c r="F1645" t="str">
        <f t="shared" si="53"/>
        <v>Moderate</v>
      </c>
    </row>
    <row r="1646" spans="1:6" ht="15" hidden="1" customHeight="1" x14ac:dyDescent="0.3">
      <c r="A1646" t="s">
        <v>160</v>
      </c>
      <c r="B1646" s="2">
        <v>46023</v>
      </c>
      <c r="C1646" cm="1">
        <f t="array" ref="C1646">IFERROR(IF(SUMPRODUCT((measured[Site Name]=A1646)*(measured[Date]=B1646)*ISNUMBER(measured[Measured Value (kWh)]))=0,"",SUMIFS(measured[Measured Value (kWh)],measured[Site Name],A1646,measured[Date],B1646)),"")</f>
        <v>13947</v>
      </c>
      <c r="D1646" cm="1">
        <f t="array" ref="D1646">IFERROR(IF(SUMPRODUCT((expected_production[Site Name]=A1646)*(expected_production[Date]=B1646)*ISNUMBER(expected_production[Expected Production (kWh)]))=0,"",SUMIFS(expected_production[Expected Production (kWh)],expected_production[Site Name],A1646,expected_production[Date],B1646)),"")</f>
        <v>16785.024396107161</v>
      </c>
      <c r="E1646" s="9">
        <f t="shared" si="52"/>
        <v>0.83091925700356051</v>
      </c>
      <c r="F1646" t="str">
        <f t="shared" si="53"/>
        <v>Moderate</v>
      </c>
    </row>
    <row r="1647" spans="1:6" ht="15" hidden="1" customHeight="1" x14ac:dyDescent="0.3">
      <c r="A1647" t="s">
        <v>160</v>
      </c>
      <c r="B1647" s="2">
        <v>46054</v>
      </c>
      <c r="C1647" cm="1">
        <f t="array" ref="C1647">IFERROR(IF(SUMPRODUCT((measured[Site Name]=A1647)*(measured[Date]=B1647)*ISNUMBER(measured[Measured Value (kWh)]))=0,"",SUMIFS(measured[Measured Value (kWh)],measured[Site Name],A1647,measured[Date],B1647)),"")</f>
        <v>15878</v>
      </c>
      <c r="D1647" cm="1">
        <f t="array" ref="D1647">IFERROR(IF(SUMPRODUCT((expected_production[Site Name]=A1647)*(expected_production[Date]=B1647)*ISNUMBER(expected_production[Expected Production (kWh)]))=0,"",SUMIFS(expected_production[Expected Production (kWh)],expected_production[Site Name],A1647,expected_production[Date],B1647)),"")</f>
        <v>14746.207459312209</v>
      </c>
      <c r="E1647" s="9">
        <f t="shared" si="52"/>
        <v>1.0767514321096212</v>
      </c>
      <c r="F1647" t="str">
        <f t="shared" si="53"/>
        <v>Expected</v>
      </c>
    </row>
    <row r="1648" spans="1:6" ht="15" hidden="1" customHeight="1" x14ac:dyDescent="0.3">
      <c r="A1648" t="s">
        <v>160</v>
      </c>
      <c r="B1648" s="2">
        <v>46082</v>
      </c>
      <c r="C1648" cm="1">
        <f t="array" ref="C1648">IFERROR(IF(SUMPRODUCT((measured[Site Name]=A1648)*(measured[Date]=B1648)*ISNUMBER(measured[Measured Value (kWh)]))=0,"",SUMIFS(measured[Measured Value (kWh)],measured[Site Name],A1648,measured[Date],B1648)),"")</f>
        <v>15307</v>
      </c>
      <c r="D1648" cm="1">
        <f t="array" ref="D1648">IFERROR(IF(SUMPRODUCT((expected_production[Site Name]=A1648)*(expected_production[Date]=B1648)*ISNUMBER(expected_production[Expected Production (kWh)]))=0,"",SUMIFS(expected_production[Expected Production (kWh)],expected_production[Site Name],A1648,expected_production[Date],B1648)),"")</f>
        <v>15971.736087989166</v>
      </c>
      <c r="E1648" s="9">
        <f t="shared" si="52"/>
        <v>0.95838047383658864</v>
      </c>
      <c r="F1648" t="str">
        <f t="shared" si="53"/>
        <v>Expected</v>
      </c>
    </row>
    <row r="1649" spans="1:7" ht="15" hidden="1" customHeight="1" x14ac:dyDescent="0.3">
      <c r="A1649" t="s">
        <v>160</v>
      </c>
      <c r="B1649" s="2">
        <v>46113</v>
      </c>
      <c r="C1649" s="5" cm="1">
        <f t="array" ref="C1649">IFERROR(IF(SUMPRODUCT((measured[Site Name]=A1649)*(measured[Date]=B1649)*ISNUMBER(measured[Measured Value (kWh)]))=0,"",SUMIFS(measured[Measured Value (kWh)],measured[Site Name],A1649,measured[Date],B1649)),"")</f>
        <v>13475.98</v>
      </c>
      <c r="D1649" cm="1">
        <f t="array" ref="D1649">IFERROR(IF(SUMPRODUCT((expected_production[Site Name]=A1649)*(expected_production[Date]=B1649)*ISNUMBER(expected_production[Expected Production (kWh)]))=0,"",SUMIFS(expected_production[Expected Production (kWh)],expected_production[Site Name],A1649,expected_production[Date],B1649)),"")</f>
        <v>13964.02422098066</v>
      </c>
      <c r="E1649" s="9">
        <f t="shared" si="52"/>
        <v>0.96504988724902208</v>
      </c>
      <c r="F1649" t="str">
        <f t="shared" si="53"/>
        <v>Expected</v>
      </c>
    </row>
    <row r="1650" spans="1:7" ht="15" hidden="1" customHeight="1" x14ac:dyDescent="0.3">
      <c r="A1650" t="s">
        <v>160</v>
      </c>
      <c r="B1650" s="2">
        <v>46143</v>
      </c>
      <c r="C1650" s="5" cm="1">
        <f t="array" ref="C1650">IFERROR(IF(SUMPRODUCT((measured[Site Name]=A1650)*(measured[Date]=B1650)*ISNUMBER(measured[Measured Value (kWh)]))=0,"",SUMIFS(measured[Measured Value (kWh)],measured[Site Name],A1650,measured[Date],B1650)),"")</f>
        <v>16989.47</v>
      </c>
      <c r="D1650" cm="1">
        <f t="array" ref="D1650">IFERROR(IF(SUMPRODUCT((expected_production[Site Name]=A1650)*(expected_production[Date]=B1650)*ISNUMBER(expected_production[Expected Production (kWh)]))=0,"",SUMIFS(expected_production[Expected Production (kWh)],expected_production[Site Name],A1650,expected_production[Date],B1650)),"")</f>
        <v>14477.913826262735</v>
      </c>
      <c r="E1650" s="9">
        <f t="shared" si="52"/>
        <v>1.173475005023261</v>
      </c>
      <c r="F1650" t="str">
        <f t="shared" si="53"/>
        <v>Expected</v>
      </c>
    </row>
    <row r="1651" spans="1:7" ht="15" hidden="1" customHeight="1" x14ac:dyDescent="0.3">
      <c r="A1651" t="s">
        <v>160</v>
      </c>
      <c r="B1651" s="2">
        <v>46174</v>
      </c>
      <c r="C1651" cm="1">
        <f t="array" ref="C1651">IFERROR(IF(SUMPRODUCT((measured[Site Name]=A1651)*(measured[Date]=B1651)*ISNUMBER(measured[Measured Value (kWh)]))=0,"",SUMIFS(measured[Measured Value (kWh)],measured[Site Name],A1651,measured[Date],B1651)),"")</f>
        <v>13699</v>
      </c>
      <c r="D1651" cm="1">
        <f t="array" ref="D1651">IFERROR(IF(SUMPRODUCT((expected_production[Site Name]=A1651)*(expected_production[Date]=B1651)*ISNUMBER(expected_production[Expected Production (kWh)]))=0,"",SUMIFS(expected_production[Expected Production (kWh)],expected_production[Site Name],A1651,expected_production[Date],B1651)),"")</f>
        <v>13576.601645590812</v>
      </c>
      <c r="E1651" s="9">
        <f t="shared" si="52"/>
        <v>1.009015389683245</v>
      </c>
      <c r="F1651" t="str">
        <f t="shared" si="53"/>
        <v>Expected</v>
      </c>
    </row>
    <row r="1652" spans="1:7" ht="15" hidden="1" customHeight="1" x14ac:dyDescent="0.3">
      <c r="A1652" t="s">
        <v>152</v>
      </c>
      <c r="B1652" s="2">
        <v>46204</v>
      </c>
      <c r="C1652" cm="1">
        <f t="array" ref="C1652">IFERROR(IF(SUMPRODUCT((measured[Site Name]=A1652)*(measured[Date]=B1652)*ISNUMBER(measured[Measured Value (kWh)]))=0,"",SUMIFS(measured[Measured Value (kWh)],measured[Site Name],A1652,measured[Date],B1652)),"")</f>
        <v>6388</v>
      </c>
      <c r="D1652" cm="1">
        <f t="array" ref="D1652">IFERROR(IF(SUMPRODUCT((expected_production[Site Name]=A1652)*(expected_production[Date]=B1652)*ISNUMBER(expected_production[Expected Production (kWh)]))=0,"",SUMIFS(expected_production[Expected Production (kWh)],expected_production[Site Name],A1652,expected_production[Date],B1652)),"")</f>
        <v>8160.1900581930959</v>
      </c>
      <c r="E1652" s="9">
        <f t="shared" si="52"/>
        <v>0.78282490413152084</v>
      </c>
      <c r="F1652" t="str">
        <f t="shared" si="53"/>
        <v>Moderate</v>
      </c>
      <c r="G1652" t="s">
        <v>874</v>
      </c>
    </row>
    <row r="1653" spans="1:7" ht="15" hidden="1" customHeight="1" x14ac:dyDescent="0.3">
      <c r="A1653" t="s">
        <v>160</v>
      </c>
      <c r="B1653" s="2">
        <v>46235</v>
      </c>
      <c r="C1653" cm="1">
        <f t="array" ref="C1653">IFERROR(IF(SUMPRODUCT((measured[Site Name]=A1653)*(measured[Date]=B1653)*ISNUMBER(measured[Measured Value (kWh)]))=0,"",SUMIFS(measured[Measured Value (kWh)],measured[Site Name],A1653,measured[Date],B1653)),"")</f>
        <v>18348</v>
      </c>
      <c r="D1653" cm="1">
        <f t="array" ref="D1653">IFERROR(IF(SUMPRODUCT((expected_production[Site Name]=A1653)*(expected_production[Date]=B1653)*ISNUMBER(expected_production[Expected Production (kWh)]))=0,"",SUMIFS(expected_production[Expected Production (kWh)],expected_production[Site Name],A1653,expected_production[Date],B1653)),"")</f>
        <v>16388.491674901914</v>
      </c>
      <c r="E1653" s="9">
        <f t="shared" si="52"/>
        <v>1.1195661177348595</v>
      </c>
      <c r="F1653" t="str">
        <f t="shared" si="53"/>
        <v>Expected</v>
      </c>
      <c r="G1653" t="s">
        <v>874</v>
      </c>
    </row>
    <row r="1654" spans="1:7" ht="15" customHeight="1" x14ac:dyDescent="0.3">
      <c r="A1654" t="s">
        <v>160</v>
      </c>
      <c r="B1654" s="2">
        <v>46266</v>
      </c>
      <c r="C1654" cm="1">
        <f t="array" ref="C1654">IFERROR(IF(SUMPRODUCT((measured[Site Name]=A1654)*(measured[Date]=B1654)*ISNUMBER(measured[Measured Value (kWh)]))=0,"",SUMIFS(measured[Measured Value (kWh)],measured[Site Name],A1654,measured[Date],B1654)),"")</f>
        <v>16094</v>
      </c>
      <c r="D1654" cm="1">
        <f t="array" ref="D1654">IFERROR(IF(SUMPRODUCT((expected_production[Site Name]=A1654)*(expected_production[Date]=B1654)*ISNUMBER(expected_production[Expected Production (kWh)]))=0,"",SUMIFS(expected_production[Expected Production (kWh)],expected_production[Site Name],A1654,expected_production[Date],B1654)),"")</f>
        <v>16546.480653780891</v>
      </c>
      <c r="E1654" s="9">
        <f t="shared" si="52"/>
        <v>0.9726539641118489</v>
      </c>
      <c r="F1654" t="str">
        <f t="shared" si="53"/>
        <v>Expected</v>
      </c>
      <c r="G1654" t="s">
        <v>874</v>
      </c>
    </row>
    <row r="1655" spans="1:7" ht="15" hidden="1" customHeight="1" x14ac:dyDescent="0.3">
      <c r="A1655" t="s">
        <v>160</v>
      </c>
      <c r="B1655" s="2">
        <v>46296</v>
      </c>
      <c r="C1655" t="str" cm="1">
        <f t="array" ref="C1655">IFERROR(IF(SUMPRODUCT((measured[Site Name]=A1655)*(measured[Date]=B1655)*ISNUMBER(measured[Measured Value (kWh)]))=0,"",SUMIFS(measured[Measured Value (kWh)],measured[Site Name],A1655,measured[Date],B1655)),"")</f>
        <v/>
      </c>
      <c r="D1655" cm="1">
        <f t="array" ref="D1655">IFERROR(IF(SUMPRODUCT((expected_production[Site Name]=A1655)*(expected_production[Date]=B1655)*ISNUMBER(expected_production[Expected Production (kWh)]))=0,"",SUMIFS(expected_production[Expected Production (kWh)],expected_production[Site Name],A1655,expected_production[Date],B1655)),"")</f>
        <v>17170.227212217767</v>
      </c>
      <c r="E1655" s="9" t="str">
        <f t="shared" si="52"/>
        <v/>
      </c>
      <c r="F1655" t="str">
        <f t="shared" si="53"/>
        <v/>
      </c>
    </row>
    <row r="1656" spans="1:7" ht="15" hidden="1" customHeight="1" x14ac:dyDescent="0.3">
      <c r="A1656" t="s">
        <v>160</v>
      </c>
      <c r="B1656" s="2">
        <v>46327</v>
      </c>
      <c r="C1656" t="str" cm="1">
        <f t="array" ref="C1656">IFERROR(IF(SUMPRODUCT((measured[Site Name]=A1656)*(measured[Date]=B1656)*ISNUMBER(measured[Measured Value (kWh)]))=0,"",SUMIFS(measured[Measured Value (kWh)],measured[Site Name],A1656,measured[Date],B1656)),"")</f>
        <v/>
      </c>
      <c r="D1656" cm="1">
        <f t="array" ref="D1656">IFERROR(IF(SUMPRODUCT((expected_production[Site Name]=A1656)*(expected_production[Date]=B1656)*ISNUMBER(expected_production[Expected Production (kWh)]))=0,"",SUMIFS(expected_production[Expected Production (kWh)],expected_production[Site Name],A1656,expected_production[Date],B1656)),"")</f>
        <v>16196.936708405841</v>
      </c>
      <c r="E1656" s="9" t="str">
        <f t="shared" si="52"/>
        <v/>
      </c>
      <c r="F1656" t="str">
        <f t="shared" si="53"/>
        <v/>
      </c>
    </row>
    <row r="1657" spans="1:7" ht="15" hidden="1" customHeight="1" x14ac:dyDescent="0.3">
      <c r="A1657" t="s">
        <v>160</v>
      </c>
      <c r="B1657" s="2">
        <v>46357</v>
      </c>
      <c r="C1657" t="str" cm="1">
        <f t="array" ref="C1657">IFERROR(IF(SUMPRODUCT((measured[Site Name]=A1657)*(measured[Date]=B1657)*ISNUMBER(measured[Measured Value (kWh)]))=0,"",SUMIFS(measured[Measured Value (kWh)],measured[Site Name],A1657,measured[Date],B1657)),"")</f>
        <v/>
      </c>
      <c r="D1657" cm="1">
        <f t="array" ref="D1657">IFERROR(IF(SUMPRODUCT((expected_production[Site Name]=A1657)*(expected_production[Date]=B1657)*ISNUMBER(expected_production[Expected Production (kWh)]))=0,"",SUMIFS(expected_production[Expected Production (kWh)],expected_production[Site Name],A1657,expected_production[Date],B1657)),"")</f>
        <v>17293.517159805488</v>
      </c>
      <c r="E1657" s="9" t="str">
        <f t="shared" si="52"/>
        <v/>
      </c>
      <c r="F1657" t="str">
        <f t="shared" si="53"/>
        <v/>
      </c>
    </row>
    <row r="1658" spans="1:7" ht="15" hidden="1" customHeight="1" x14ac:dyDescent="0.3">
      <c r="A1658" t="s">
        <v>244</v>
      </c>
      <c r="B1658" s="2">
        <v>45292</v>
      </c>
      <c r="C1658" t="str" cm="1">
        <f t="array" ref="C1658">IFERROR(IF(SUMPRODUCT((measured[Site Name]=A1658)*(measured[Date]=B1658)*ISNUMBER(measured[Measured Value (kWh)]))=0,"",SUMIFS(measured[Measured Value (kWh)],measured[Site Name],A1658,measured[Date],B1658)),"")</f>
        <v/>
      </c>
      <c r="D1658" cm="1">
        <f t="array" ref="D1658">IFERROR(IF(SUMPRODUCT((expected_production[Site Name]=A1658)*(expected_production[Date]=B1658)*ISNUMBER(expected_production[Expected Production (kWh)]))=0,"",SUMIFS(expected_production[Expected Production (kWh)],expected_production[Site Name],A1658,expected_production[Date],B1658)),"")</f>
        <v>20178</v>
      </c>
      <c r="E1658" s="9" t="str">
        <f t="shared" si="52"/>
        <v/>
      </c>
      <c r="F1658" t="str">
        <f t="shared" si="53"/>
        <v/>
      </c>
    </row>
    <row r="1659" spans="1:7" ht="15" hidden="1" customHeight="1" x14ac:dyDescent="0.3">
      <c r="A1659" t="s">
        <v>244</v>
      </c>
      <c r="B1659" s="2">
        <v>45323</v>
      </c>
      <c r="C1659" t="str" cm="1">
        <f t="array" ref="C1659">IFERROR(IF(SUMPRODUCT((measured[Site Name]=A1659)*(measured[Date]=B1659)*ISNUMBER(measured[Measured Value (kWh)]))=0,"",SUMIFS(measured[Measured Value (kWh)],measured[Site Name],A1659,measured[Date],B1659)),"")</f>
        <v/>
      </c>
      <c r="D1659" cm="1">
        <f t="array" ref="D1659">IFERROR(IF(SUMPRODUCT((expected_production[Site Name]=A1659)*(expected_production[Date]=B1659)*ISNUMBER(expected_production[Expected Production (kWh)]))=0,"",SUMIFS(expected_production[Expected Production (kWh)],expected_production[Site Name],A1659,expected_production[Date],B1659)),"")</f>
        <v>17954</v>
      </c>
      <c r="E1659" s="9" t="str">
        <f t="shared" si="52"/>
        <v/>
      </c>
      <c r="F1659" t="str">
        <f t="shared" si="53"/>
        <v/>
      </c>
    </row>
    <row r="1660" spans="1:7" ht="15" hidden="1" customHeight="1" x14ac:dyDescent="0.3">
      <c r="A1660" t="s">
        <v>244</v>
      </c>
      <c r="B1660" s="2">
        <v>45352</v>
      </c>
      <c r="C1660" t="str" cm="1">
        <f t="array" ref="C1660">IFERROR(IF(SUMPRODUCT((measured[Site Name]=A1660)*(measured[Date]=B1660)*ISNUMBER(measured[Measured Value (kWh)]))=0,"",SUMIFS(measured[Measured Value (kWh)],measured[Site Name],A1660,measured[Date],B1660)),"")</f>
        <v/>
      </c>
      <c r="D1660" cm="1">
        <f t="array" ref="D1660">IFERROR(IF(SUMPRODUCT((expected_production[Site Name]=A1660)*(expected_production[Date]=B1660)*ISNUMBER(expected_production[Expected Production (kWh)]))=0,"",SUMIFS(expected_production[Expected Production (kWh)],expected_production[Site Name],A1660,expected_production[Date],B1660)),"")</f>
        <v>19150</v>
      </c>
      <c r="E1660" s="9" t="str">
        <f t="shared" si="52"/>
        <v/>
      </c>
      <c r="F1660" t="str">
        <f t="shared" si="53"/>
        <v/>
      </c>
    </row>
    <row r="1661" spans="1:7" ht="15" hidden="1" customHeight="1" x14ac:dyDescent="0.3">
      <c r="A1661" t="s">
        <v>244</v>
      </c>
      <c r="B1661" s="2">
        <v>45383</v>
      </c>
      <c r="C1661" t="str" cm="1">
        <f t="array" ref="C1661">IFERROR(IF(SUMPRODUCT((measured[Site Name]=A1661)*(measured[Date]=B1661)*ISNUMBER(measured[Measured Value (kWh)]))=0,"",SUMIFS(measured[Measured Value (kWh)],measured[Site Name],A1661,measured[Date],B1661)),"")</f>
        <v/>
      </c>
      <c r="D1661" cm="1">
        <f t="array" ref="D1661">IFERROR(IF(SUMPRODUCT((expected_production[Site Name]=A1661)*(expected_production[Date]=B1661)*ISNUMBER(expected_production[Expected Production (kWh)]))=0,"",SUMIFS(expected_production[Expected Production (kWh)],expected_production[Site Name],A1661,expected_production[Date],B1661)),"")</f>
        <v>18060</v>
      </c>
      <c r="E1661" s="9" t="str">
        <f t="shared" si="52"/>
        <v/>
      </c>
      <c r="F1661" t="str">
        <f t="shared" si="53"/>
        <v/>
      </c>
    </row>
    <row r="1662" spans="1:7" ht="15" hidden="1" customHeight="1" x14ac:dyDescent="0.3">
      <c r="A1662" t="s">
        <v>244</v>
      </c>
      <c r="B1662" s="2">
        <v>45413</v>
      </c>
      <c r="C1662" t="str" cm="1">
        <f t="array" ref="C1662">IFERROR(IF(SUMPRODUCT((measured[Site Name]=A1662)*(measured[Date]=B1662)*ISNUMBER(measured[Measured Value (kWh)]))=0,"",SUMIFS(measured[Measured Value (kWh)],measured[Site Name],A1662,measured[Date],B1662)),"")</f>
        <v/>
      </c>
      <c r="D1662" cm="1">
        <f t="array" ref="D1662">IFERROR(IF(SUMPRODUCT((expected_production[Site Name]=A1662)*(expected_production[Date]=B1662)*ISNUMBER(expected_production[Expected Production (kWh)]))=0,"",SUMIFS(expected_production[Expected Production (kWh)],expected_production[Site Name],A1662,expected_production[Date],B1662)),"")</f>
        <v>18124</v>
      </c>
      <c r="E1662" s="9" t="str">
        <f t="shared" si="52"/>
        <v/>
      </c>
      <c r="F1662" t="str">
        <f t="shared" si="53"/>
        <v/>
      </c>
    </row>
    <row r="1663" spans="1:7" ht="15" hidden="1" customHeight="1" x14ac:dyDescent="0.3">
      <c r="A1663" t="s">
        <v>244</v>
      </c>
      <c r="B1663" s="2">
        <v>45444</v>
      </c>
      <c r="C1663" t="str" cm="1">
        <f t="array" ref="C1663">IFERROR(IF(SUMPRODUCT((measured[Site Name]=A1663)*(measured[Date]=B1663)*ISNUMBER(measured[Measured Value (kWh)]))=0,"",SUMIFS(measured[Measured Value (kWh)],measured[Site Name],A1663,measured[Date],B1663)),"")</f>
        <v/>
      </c>
      <c r="D1663" cm="1">
        <f t="array" ref="D1663">IFERROR(IF(SUMPRODUCT((expected_production[Site Name]=A1663)*(expected_production[Date]=B1663)*ISNUMBER(expected_production[Expected Production (kWh)]))=0,"",SUMIFS(expected_production[Expected Production (kWh)],expected_production[Site Name],A1663,expected_production[Date],B1663)),"")</f>
        <v>15908</v>
      </c>
      <c r="E1663" s="9" t="str">
        <f t="shared" si="52"/>
        <v/>
      </c>
      <c r="F1663" t="str">
        <f t="shared" si="53"/>
        <v/>
      </c>
    </row>
    <row r="1664" spans="1:7" ht="15" hidden="1" customHeight="1" x14ac:dyDescent="0.3">
      <c r="A1664" t="s">
        <v>244</v>
      </c>
      <c r="B1664" s="2">
        <v>45474</v>
      </c>
      <c r="C1664" t="str" cm="1">
        <f t="array" ref="C1664">IFERROR(IF(SUMPRODUCT((measured[Site Name]=A1664)*(measured[Date]=B1664)*ISNUMBER(measured[Measured Value (kWh)]))=0,"",SUMIFS(measured[Measured Value (kWh)],measured[Site Name],A1664,measured[Date],B1664)),"")</f>
        <v/>
      </c>
      <c r="D1664" cm="1">
        <f t="array" ref="D1664">IFERROR(IF(SUMPRODUCT((expected_production[Site Name]=A1664)*(expected_production[Date]=B1664)*ISNUMBER(expected_production[Expected Production (kWh)]))=0,"",SUMIFS(expected_production[Expected Production (kWh)],expected_production[Site Name],A1664,expected_production[Date],B1664)),"")</f>
        <v>16827</v>
      </c>
      <c r="E1664" s="9" t="str">
        <f t="shared" si="52"/>
        <v/>
      </c>
      <c r="F1664" t="str">
        <f t="shared" si="53"/>
        <v/>
      </c>
    </row>
    <row r="1665" spans="1:6" ht="15" hidden="1" customHeight="1" x14ac:dyDescent="0.3">
      <c r="A1665" t="s">
        <v>244</v>
      </c>
      <c r="B1665" s="2">
        <v>45505</v>
      </c>
      <c r="C1665" t="str" cm="1">
        <f t="array" ref="C1665">IFERROR(IF(SUMPRODUCT((measured[Site Name]=A1665)*(measured[Date]=B1665)*ISNUMBER(measured[Measured Value (kWh)]))=0,"",SUMIFS(measured[Measured Value (kWh)],measured[Site Name],A1665,measured[Date],B1665)),"")</f>
        <v/>
      </c>
      <c r="D1665" cm="1">
        <f t="array" ref="D1665">IFERROR(IF(SUMPRODUCT((expected_production[Site Name]=A1665)*(expected_production[Date]=B1665)*ISNUMBER(expected_production[Expected Production (kWh)]))=0,"",SUMIFS(expected_production[Expected Production (kWh)],expected_production[Site Name],A1665,expected_production[Date],B1665)),"")</f>
        <v>19405</v>
      </c>
      <c r="E1665" s="9" t="str">
        <f t="shared" si="52"/>
        <v/>
      </c>
      <c r="F1665" t="str">
        <f t="shared" si="53"/>
        <v/>
      </c>
    </row>
    <row r="1666" spans="1:6" ht="15" hidden="1" customHeight="1" x14ac:dyDescent="0.3">
      <c r="A1666" t="s">
        <v>244</v>
      </c>
      <c r="B1666" s="2">
        <v>45536</v>
      </c>
      <c r="C1666" t="str" cm="1">
        <f t="array" ref="C1666">IFERROR(IF(SUMPRODUCT((measured[Site Name]=A1666)*(measured[Date]=B1666)*ISNUMBER(measured[Measured Value (kWh)]))=0,"",SUMIFS(measured[Measured Value (kWh)],measured[Site Name],A1666,measured[Date],B1666)),"")</f>
        <v/>
      </c>
      <c r="D1666" cm="1">
        <f t="array" ref="D1666">IFERROR(IF(SUMPRODUCT((expected_production[Site Name]=A1666)*(expected_production[Date]=B1666)*ISNUMBER(expected_production[Expected Production (kWh)]))=0,"",SUMIFS(expected_production[Expected Production (kWh)],expected_production[Site Name],A1666,expected_production[Date],B1666)),"")</f>
        <v>19981</v>
      </c>
      <c r="E1666" s="9" t="str">
        <f t="shared" si="52"/>
        <v/>
      </c>
      <c r="F1666" t="str">
        <f t="shared" si="53"/>
        <v/>
      </c>
    </row>
    <row r="1667" spans="1:6" ht="15" hidden="1" customHeight="1" x14ac:dyDescent="0.3">
      <c r="A1667" t="s">
        <v>244</v>
      </c>
      <c r="B1667" s="2">
        <v>45566</v>
      </c>
      <c r="C1667" t="str" cm="1">
        <f t="array" ref="C1667">IFERROR(IF(SUMPRODUCT((measured[Site Name]=A1667)*(measured[Date]=B1667)*ISNUMBER(measured[Measured Value (kWh)]))=0,"",SUMIFS(measured[Measured Value (kWh)],measured[Site Name],A1667,measured[Date],B1667)),"")</f>
        <v/>
      </c>
      <c r="D1667" cm="1">
        <f t="array" ref="D1667">IFERROR(IF(SUMPRODUCT((expected_production[Site Name]=A1667)*(expected_production[Date]=B1667)*ISNUMBER(expected_production[Expected Production (kWh)]))=0,"",SUMIFS(expected_production[Expected Production (kWh)],expected_production[Site Name],A1667,expected_production[Date],B1667)),"")</f>
        <v>22401</v>
      </c>
      <c r="E1667" s="9" t="str">
        <f t="shared" si="52"/>
        <v/>
      </c>
      <c r="F1667" t="str">
        <f t="shared" si="53"/>
        <v/>
      </c>
    </row>
    <row r="1668" spans="1:6" ht="15" hidden="1" customHeight="1" x14ac:dyDescent="0.3">
      <c r="A1668" t="s">
        <v>244</v>
      </c>
      <c r="B1668" s="2">
        <v>45597</v>
      </c>
      <c r="C1668" t="str" cm="1">
        <f t="array" ref="C1668">IFERROR(IF(SUMPRODUCT((measured[Site Name]=A1668)*(measured[Date]=B1668)*ISNUMBER(measured[Measured Value (kWh)]))=0,"",SUMIFS(measured[Measured Value (kWh)],measured[Site Name],A1668,measured[Date],B1668)),"")</f>
        <v/>
      </c>
      <c r="D1668" cm="1">
        <f t="array" ref="D1668">IFERROR(IF(SUMPRODUCT((expected_production[Site Name]=A1668)*(expected_production[Date]=B1668)*ISNUMBER(expected_production[Expected Production (kWh)]))=0,"",SUMIFS(expected_production[Expected Production (kWh)],expected_production[Site Name],A1668,expected_production[Date],B1668)),"")</f>
        <v>20125</v>
      </c>
      <c r="E1668" s="9" t="str">
        <f t="shared" si="52"/>
        <v/>
      </c>
      <c r="F1668" t="str">
        <f t="shared" si="53"/>
        <v/>
      </c>
    </row>
    <row r="1669" spans="1:6" ht="15" hidden="1" customHeight="1" x14ac:dyDescent="0.3">
      <c r="A1669" t="s">
        <v>244</v>
      </c>
      <c r="B1669" s="2">
        <v>45627</v>
      </c>
      <c r="C1669" t="str" cm="1">
        <f t="array" ref="C1669">IFERROR(IF(SUMPRODUCT((measured[Site Name]=A1669)*(measured[Date]=B1669)*ISNUMBER(measured[Measured Value (kWh)]))=0,"",SUMIFS(measured[Measured Value (kWh)],measured[Site Name],A1669,measured[Date],B1669)),"")</f>
        <v/>
      </c>
      <c r="D1669" cm="1">
        <f t="array" ref="D1669">IFERROR(IF(SUMPRODUCT((expected_production[Site Name]=A1669)*(expected_production[Date]=B1669)*ISNUMBER(expected_production[Expected Production (kWh)]))=0,"",SUMIFS(expected_production[Expected Production (kWh)],expected_production[Site Name],A1669,expected_production[Date],B1669)),"")</f>
        <v>20771</v>
      </c>
      <c r="E1669" s="9" t="str">
        <f t="shared" si="52"/>
        <v/>
      </c>
      <c r="F1669" t="str">
        <f t="shared" si="53"/>
        <v/>
      </c>
    </row>
    <row r="1670" spans="1:6" ht="15" hidden="1" customHeight="1" x14ac:dyDescent="0.3">
      <c r="A1670" t="s">
        <v>244</v>
      </c>
      <c r="B1670" s="2">
        <v>45658</v>
      </c>
      <c r="C1670" t="str" cm="1">
        <f t="array" ref="C1670">IFERROR(IF(SUMPRODUCT((measured[Site Name]=A1670)*(measured[Date]=B1670)*ISNUMBER(measured[Measured Value (kWh)]))=0,"",SUMIFS(measured[Measured Value (kWh)],measured[Site Name],A1670,measured[Date],B1670)),"")</f>
        <v/>
      </c>
      <c r="D1670" cm="1">
        <f t="array" ref="D1670">IFERROR(IF(SUMPRODUCT((expected_production[Site Name]=A1670)*(expected_production[Date]=B1670)*ISNUMBER(expected_production[Expected Production (kWh)]))=0,"",SUMIFS(expected_production[Expected Production (kWh)],expected_production[Site Name],A1670,expected_production[Date],B1670)),"")</f>
        <v>20178</v>
      </c>
      <c r="E1670" s="9" t="str">
        <f t="shared" si="52"/>
        <v/>
      </c>
      <c r="F1670" t="str">
        <f t="shared" si="53"/>
        <v/>
      </c>
    </row>
    <row r="1671" spans="1:6" ht="15" hidden="1" customHeight="1" x14ac:dyDescent="0.3">
      <c r="A1671" t="s">
        <v>244</v>
      </c>
      <c r="B1671" s="2">
        <v>45689</v>
      </c>
      <c r="C1671" t="str" cm="1">
        <f t="array" ref="C1671">IFERROR(IF(SUMPRODUCT((measured[Site Name]=A1671)*(measured[Date]=B1671)*ISNUMBER(measured[Measured Value (kWh)]))=0,"",SUMIFS(measured[Measured Value (kWh)],measured[Site Name],A1671,measured[Date],B1671)),"")</f>
        <v/>
      </c>
      <c r="D1671" cm="1">
        <f t="array" ref="D1671">IFERROR(IF(SUMPRODUCT((expected_production[Site Name]=A1671)*(expected_production[Date]=B1671)*ISNUMBER(expected_production[Expected Production (kWh)]))=0,"",SUMIFS(expected_production[Expected Production (kWh)],expected_production[Site Name],A1671,expected_production[Date],B1671)),"")</f>
        <v>17954</v>
      </c>
      <c r="E1671" s="9" t="str">
        <f t="shared" si="52"/>
        <v/>
      </c>
      <c r="F1671" t="str">
        <f t="shared" si="53"/>
        <v/>
      </c>
    </row>
    <row r="1672" spans="1:6" ht="15" hidden="1" customHeight="1" x14ac:dyDescent="0.3">
      <c r="A1672" t="s">
        <v>244</v>
      </c>
      <c r="B1672" s="2">
        <v>45717</v>
      </c>
      <c r="C1672" t="str" cm="1">
        <f t="array" ref="C1672">IFERROR(IF(SUMPRODUCT((measured[Site Name]=A1672)*(measured[Date]=B1672)*ISNUMBER(measured[Measured Value (kWh)]))=0,"",SUMIFS(measured[Measured Value (kWh)],measured[Site Name],A1672,measured[Date],B1672)),"")</f>
        <v/>
      </c>
      <c r="D1672" cm="1">
        <f t="array" ref="D1672">IFERROR(IF(SUMPRODUCT((expected_production[Site Name]=A1672)*(expected_production[Date]=B1672)*ISNUMBER(expected_production[Expected Production (kWh)]))=0,"",SUMIFS(expected_production[Expected Production (kWh)],expected_production[Site Name],A1672,expected_production[Date],B1672)),"")</f>
        <v>19150</v>
      </c>
      <c r="E1672" s="9" t="str">
        <f t="shared" si="52"/>
        <v/>
      </c>
      <c r="F1672" t="str">
        <f t="shared" si="53"/>
        <v/>
      </c>
    </row>
    <row r="1673" spans="1:6" ht="15" hidden="1" customHeight="1" x14ac:dyDescent="0.3">
      <c r="A1673" t="s">
        <v>244</v>
      </c>
      <c r="B1673" s="2">
        <v>45748</v>
      </c>
      <c r="C1673" t="str" cm="1">
        <f t="array" ref="C1673">IFERROR(IF(SUMPRODUCT((measured[Site Name]=A1673)*(measured[Date]=B1673)*ISNUMBER(measured[Measured Value (kWh)]))=0,"",SUMIFS(measured[Measured Value (kWh)],measured[Site Name],A1673,measured[Date],B1673)),"")</f>
        <v/>
      </c>
      <c r="D1673" cm="1">
        <f t="array" ref="D1673">IFERROR(IF(SUMPRODUCT((expected_production[Site Name]=A1673)*(expected_production[Date]=B1673)*ISNUMBER(expected_production[Expected Production (kWh)]))=0,"",SUMIFS(expected_production[Expected Production (kWh)],expected_production[Site Name],A1673,expected_production[Date],B1673)),"")</f>
        <v>18060</v>
      </c>
      <c r="E1673" s="9" t="str">
        <f t="shared" si="52"/>
        <v/>
      </c>
      <c r="F1673" t="str">
        <f t="shared" si="53"/>
        <v/>
      </c>
    </row>
    <row r="1674" spans="1:6" ht="15" hidden="1" customHeight="1" x14ac:dyDescent="0.3">
      <c r="A1674" t="s">
        <v>244</v>
      </c>
      <c r="B1674" s="2">
        <v>45778</v>
      </c>
      <c r="C1674" t="str" cm="1">
        <f t="array" ref="C1674">IFERROR(IF(SUMPRODUCT((measured[Site Name]=A1674)*(measured[Date]=B1674)*ISNUMBER(measured[Measured Value (kWh)]))=0,"",SUMIFS(measured[Measured Value (kWh)],measured[Site Name],A1674,measured[Date],B1674)),"")</f>
        <v/>
      </c>
      <c r="D1674" cm="1">
        <f t="array" ref="D1674">IFERROR(IF(SUMPRODUCT((expected_production[Site Name]=A1674)*(expected_production[Date]=B1674)*ISNUMBER(expected_production[Expected Production (kWh)]))=0,"",SUMIFS(expected_production[Expected Production (kWh)],expected_production[Site Name],A1674,expected_production[Date],B1674)),"")</f>
        <v>18124</v>
      </c>
      <c r="E1674" s="9" t="str">
        <f t="shared" si="52"/>
        <v/>
      </c>
      <c r="F1674" t="str">
        <f t="shared" si="53"/>
        <v/>
      </c>
    </row>
    <row r="1675" spans="1:6" ht="15" hidden="1" customHeight="1" x14ac:dyDescent="0.3">
      <c r="A1675" t="s">
        <v>244</v>
      </c>
      <c r="B1675" s="2">
        <v>45809</v>
      </c>
      <c r="C1675" t="str" cm="1">
        <f t="array" ref="C1675">IFERROR(IF(SUMPRODUCT((measured[Site Name]=A1675)*(measured[Date]=B1675)*ISNUMBER(measured[Measured Value (kWh)]))=0,"",SUMIFS(measured[Measured Value (kWh)],measured[Site Name],A1675,measured[Date],B1675)),"")</f>
        <v/>
      </c>
      <c r="D1675" cm="1">
        <f t="array" ref="D1675">IFERROR(IF(SUMPRODUCT((expected_production[Site Name]=A1675)*(expected_production[Date]=B1675)*ISNUMBER(expected_production[Expected Production (kWh)]))=0,"",SUMIFS(expected_production[Expected Production (kWh)],expected_production[Site Name],A1675,expected_production[Date],B1675)),"")</f>
        <v>15908</v>
      </c>
      <c r="E1675" s="9" t="str">
        <f t="shared" si="52"/>
        <v/>
      </c>
      <c r="F1675" t="str">
        <f t="shared" si="53"/>
        <v/>
      </c>
    </row>
    <row r="1676" spans="1:6" ht="15" hidden="1" customHeight="1" x14ac:dyDescent="0.3">
      <c r="A1676" t="s">
        <v>244</v>
      </c>
      <c r="B1676" s="2">
        <v>45839</v>
      </c>
      <c r="C1676" t="str" cm="1">
        <f t="array" ref="C1676">IFERROR(IF(SUMPRODUCT((measured[Site Name]=A1676)*(measured[Date]=B1676)*ISNUMBER(measured[Measured Value (kWh)]))=0,"",SUMIFS(measured[Measured Value (kWh)],measured[Site Name],A1676,measured[Date],B1676)),"")</f>
        <v/>
      </c>
      <c r="D1676" cm="1">
        <f t="array" ref="D1676">IFERROR(IF(SUMPRODUCT((expected_production[Site Name]=A1676)*(expected_production[Date]=B1676)*ISNUMBER(expected_production[Expected Production (kWh)]))=0,"",SUMIFS(expected_production[Expected Production (kWh)],expected_production[Site Name],A1676,expected_production[Date],B1676)),"")</f>
        <v>16827</v>
      </c>
      <c r="E1676" s="9" t="str">
        <f t="shared" si="52"/>
        <v/>
      </c>
      <c r="F1676" t="str">
        <f t="shared" si="53"/>
        <v/>
      </c>
    </row>
    <row r="1677" spans="1:6" ht="15" hidden="1" customHeight="1" x14ac:dyDescent="0.3">
      <c r="A1677" t="s">
        <v>244</v>
      </c>
      <c r="B1677" s="2">
        <v>45870</v>
      </c>
      <c r="C1677" t="str" cm="1">
        <f t="array" ref="C1677">IFERROR(IF(SUMPRODUCT((measured[Site Name]=A1677)*(measured[Date]=B1677)*ISNUMBER(measured[Measured Value (kWh)]))=0,"",SUMIFS(measured[Measured Value (kWh)],measured[Site Name],A1677,measured[Date],B1677)),"")</f>
        <v/>
      </c>
      <c r="D1677" cm="1">
        <f t="array" ref="D1677">IFERROR(IF(SUMPRODUCT((expected_production[Site Name]=A1677)*(expected_production[Date]=B1677)*ISNUMBER(expected_production[Expected Production (kWh)]))=0,"",SUMIFS(expected_production[Expected Production (kWh)],expected_production[Site Name],A1677,expected_production[Date],B1677)),"")</f>
        <v>19405</v>
      </c>
      <c r="E1677" s="9" t="str">
        <f t="shared" si="52"/>
        <v/>
      </c>
      <c r="F1677" t="str">
        <f t="shared" si="53"/>
        <v/>
      </c>
    </row>
    <row r="1678" spans="1:6" ht="15" hidden="1" customHeight="1" x14ac:dyDescent="0.3">
      <c r="A1678" t="s">
        <v>244</v>
      </c>
      <c r="B1678" s="2">
        <v>45901</v>
      </c>
      <c r="C1678" t="str" cm="1">
        <f t="array" ref="C1678">IFERROR(IF(SUMPRODUCT((measured[Site Name]=A1678)*(measured[Date]=B1678)*ISNUMBER(measured[Measured Value (kWh)]))=0,"",SUMIFS(measured[Measured Value (kWh)],measured[Site Name],A1678,measured[Date],B1678)),"")</f>
        <v/>
      </c>
      <c r="D1678" cm="1">
        <f t="array" ref="D1678">IFERROR(IF(SUMPRODUCT((expected_production[Site Name]=A1678)*(expected_production[Date]=B1678)*ISNUMBER(expected_production[Expected Production (kWh)]))=0,"",SUMIFS(expected_production[Expected Production (kWh)],expected_production[Site Name],A1678,expected_production[Date],B1678)),"")</f>
        <v>19981</v>
      </c>
      <c r="E1678" s="9" t="str">
        <f t="shared" si="52"/>
        <v/>
      </c>
      <c r="F1678" t="str">
        <f t="shared" si="53"/>
        <v/>
      </c>
    </row>
    <row r="1679" spans="1:6" ht="15" hidden="1" customHeight="1" x14ac:dyDescent="0.3">
      <c r="A1679" t="s">
        <v>244</v>
      </c>
      <c r="B1679" s="2">
        <v>45931</v>
      </c>
      <c r="C1679" t="str" cm="1">
        <f t="array" ref="C1679">IFERROR(IF(SUMPRODUCT((measured[Site Name]=A1679)*(measured[Date]=B1679)*ISNUMBER(measured[Measured Value (kWh)]))=0,"",SUMIFS(measured[Measured Value (kWh)],measured[Site Name],A1679,measured[Date],B1679)),"")</f>
        <v/>
      </c>
      <c r="D1679" cm="1">
        <f t="array" ref="D1679">IFERROR(IF(SUMPRODUCT((expected_production[Site Name]=A1679)*(expected_production[Date]=B1679)*ISNUMBER(expected_production[Expected Production (kWh)]))=0,"",SUMIFS(expected_production[Expected Production (kWh)],expected_production[Site Name],A1679,expected_production[Date],B1679)),"")</f>
        <v>22401</v>
      </c>
      <c r="E1679" s="9" t="str">
        <f t="shared" si="52"/>
        <v/>
      </c>
      <c r="F1679" t="str">
        <f t="shared" si="53"/>
        <v/>
      </c>
    </row>
    <row r="1680" spans="1:6" ht="15" hidden="1" customHeight="1" x14ac:dyDescent="0.3">
      <c r="A1680" t="s">
        <v>244</v>
      </c>
      <c r="B1680" s="2">
        <v>45962</v>
      </c>
      <c r="C1680" t="str" cm="1">
        <f t="array" ref="C1680">IFERROR(IF(SUMPRODUCT((measured[Site Name]=A1680)*(measured[Date]=B1680)*ISNUMBER(measured[Measured Value (kWh)]))=0,"",SUMIFS(measured[Measured Value (kWh)],measured[Site Name],A1680,measured[Date],B1680)),"")</f>
        <v/>
      </c>
      <c r="D1680" cm="1">
        <f t="array" ref="D1680">IFERROR(IF(SUMPRODUCT((expected_production[Site Name]=A1680)*(expected_production[Date]=B1680)*ISNUMBER(expected_production[Expected Production (kWh)]))=0,"",SUMIFS(expected_production[Expected Production (kWh)],expected_production[Site Name],A1680,expected_production[Date],B1680)),"")</f>
        <v>20125</v>
      </c>
      <c r="E1680" s="9" t="str">
        <f t="shared" si="52"/>
        <v/>
      </c>
      <c r="F1680" t="str">
        <f t="shared" si="53"/>
        <v/>
      </c>
    </row>
    <row r="1681" spans="1:7" ht="15" hidden="1" customHeight="1" x14ac:dyDescent="0.3">
      <c r="A1681" t="s">
        <v>244</v>
      </c>
      <c r="B1681" s="2">
        <v>45992</v>
      </c>
      <c r="C1681" t="str" cm="1">
        <f t="array" ref="C1681">IFERROR(IF(SUMPRODUCT((measured[Site Name]=A1681)*(measured[Date]=B1681)*ISNUMBER(measured[Measured Value (kWh)]))=0,"",SUMIFS(measured[Measured Value (kWh)],measured[Site Name],A1681,measured[Date],B1681)),"")</f>
        <v/>
      </c>
      <c r="D1681" cm="1">
        <f t="array" ref="D1681">IFERROR(IF(SUMPRODUCT((expected_production[Site Name]=A1681)*(expected_production[Date]=B1681)*ISNUMBER(expected_production[Expected Production (kWh)]))=0,"",SUMIFS(expected_production[Expected Production (kWh)],expected_production[Site Name],A1681,expected_production[Date],B1681)),"")</f>
        <v>20771</v>
      </c>
      <c r="E1681" s="9" t="str">
        <f t="shared" si="52"/>
        <v/>
      </c>
      <c r="F1681" t="str">
        <f t="shared" si="53"/>
        <v/>
      </c>
    </row>
    <row r="1682" spans="1:7" ht="15" hidden="1" customHeight="1" x14ac:dyDescent="0.3">
      <c r="A1682" t="s">
        <v>244</v>
      </c>
      <c r="B1682" s="2">
        <v>46023</v>
      </c>
      <c r="C1682" t="str" cm="1">
        <f t="array" ref="C1682">IFERROR(IF(SUMPRODUCT((measured[Site Name]=A1682)*(measured[Date]=B1682)*ISNUMBER(measured[Measured Value (kWh)]))=0,"",SUMIFS(measured[Measured Value (kWh)],measured[Site Name],A1682,measured[Date],B1682)),"")</f>
        <v/>
      </c>
      <c r="D1682" cm="1">
        <f t="array" ref="D1682">IFERROR(IF(SUMPRODUCT((expected_production[Site Name]=A1682)*(expected_production[Date]=B1682)*ISNUMBER(expected_production[Expected Production (kWh)]))=0,"",SUMIFS(expected_production[Expected Production (kWh)],expected_production[Site Name],A1682,expected_production[Date],B1682)),"")</f>
        <v>20178</v>
      </c>
      <c r="E1682" s="9" t="str">
        <f t="shared" si="52"/>
        <v/>
      </c>
      <c r="F1682" t="str">
        <f t="shared" si="53"/>
        <v/>
      </c>
    </row>
    <row r="1683" spans="1:7" ht="15" hidden="1" customHeight="1" x14ac:dyDescent="0.3">
      <c r="A1683" t="s">
        <v>244</v>
      </c>
      <c r="B1683" s="2">
        <v>46054</v>
      </c>
      <c r="C1683" t="str" cm="1">
        <f t="array" ref="C1683">IFERROR(IF(SUMPRODUCT((measured[Site Name]=A1683)*(measured[Date]=B1683)*ISNUMBER(measured[Measured Value (kWh)]))=0,"",SUMIFS(measured[Measured Value (kWh)],measured[Site Name],A1683,measured[Date],B1683)),"")</f>
        <v/>
      </c>
      <c r="D1683" cm="1">
        <f t="array" ref="D1683">IFERROR(IF(SUMPRODUCT((expected_production[Site Name]=A1683)*(expected_production[Date]=B1683)*ISNUMBER(expected_production[Expected Production (kWh)]))=0,"",SUMIFS(expected_production[Expected Production (kWh)],expected_production[Site Name],A1683,expected_production[Date],B1683)),"")</f>
        <v>17954</v>
      </c>
      <c r="E1683" s="9" t="str">
        <f t="shared" si="52"/>
        <v/>
      </c>
      <c r="F1683" t="str">
        <f t="shared" si="53"/>
        <v/>
      </c>
    </row>
    <row r="1684" spans="1:7" ht="15" hidden="1" customHeight="1" x14ac:dyDescent="0.3">
      <c r="A1684" t="s">
        <v>244</v>
      </c>
      <c r="B1684" s="2">
        <v>46082</v>
      </c>
      <c r="C1684" t="str" cm="1">
        <f t="array" ref="C1684">IFERROR(IF(SUMPRODUCT((measured[Site Name]=A1684)*(measured[Date]=B1684)*ISNUMBER(measured[Measured Value (kWh)]))=0,"",SUMIFS(measured[Measured Value (kWh)],measured[Site Name],A1684,measured[Date],B1684)),"")</f>
        <v/>
      </c>
      <c r="D1684" cm="1">
        <f t="array" ref="D1684">IFERROR(IF(SUMPRODUCT((expected_production[Site Name]=A1684)*(expected_production[Date]=B1684)*ISNUMBER(expected_production[Expected Production (kWh)]))=0,"",SUMIFS(expected_production[Expected Production (kWh)],expected_production[Site Name],A1684,expected_production[Date],B1684)),"")</f>
        <v>19150</v>
      </c>
      <c r="E1684" s="9" t="str">
        <f t="shared" si="52"/>
        <v/>
      </c>
      <c r="F1684" t="str">
        <f t="shared" si="53"/>
        <v/>
      </c>
    </row>
    <row r="1685" spans="1:7" ht="15" hidden="1" customHeight="1" x14ac:dyDescent="0.3">
      <c r="A1685" t="s">
        <v>244</v>
      </c>
      <c r="B1685" s="2">
        <v>46113</v>
      </c>
      <c r="C1685" cm="1">
        <f t="array" ref="C1685">IFERROR(IF(SUMPRODUCT((measured[Site Name]=A1685)*(measured[Date]=B1685)*ISNUMBER(measured[Measured Value (kWh)]))=0,"",SUMIFS(measured[Measured Value (kWh)],measured[Site Name],A1685,measured[Date],B1685)),"")</f>
        <v>10820</v>
      </c>
      <c r="D1685" cm="1">
        <f t="array" ref="D1685">IFERROR(IF(SUMPRODUCT((expected_production[Site Name]=A1685)*(expected_production[Date]=B1685)*ISNUMBER(expected_production[Expected Production (kWh)]))=0,"",SUMIFS(expected_production[Expected Production (kWh)],expected_production[Site Name],A1685,expected_production[Date],B1685)),"")</f>
        <v>18060</v>
      </c>
      <c r="E1685" s="9">
        <f t="shared" si="52"/>
        <v>0.5991140642303433</v>
      </c>
      <c r="F1685" t="str">
        <f t="shared" si="53"/>
        <v>Poor</v>
      </c>
    </row>
    <row r="1686" spans="1:7" ht="15" hidden="1" customHeight="1" x14ac:dyDescent="0.3">
      <c r="A1686" t="s">
        <v>244</v>
      </c>
      <c r="B1686" s="2">
        <v>46143</v>
      </c>
      <c r="C1686" cm="1">
        <f t="array" ref="C1686">IFERROR(IF(SUMPRODUCT((measured[Site Name]=A1686)*(measured[Date]=B1686)*ISNUMBER(measured[Measured Value (kWh)]))=0,"",SUMIFS(measured[Measured Value (kWh)],measured[Site Name],A1686,measured[Date],B1686)),"")</f>
        <v>11820</v>
      </c>
      <c r="D1686" cm="1">
        <f t="array" ref="D1686">IFERROR(IF(SUMPRODUCT((expected_production[Site Name]=A1686)*(expected_production[Date]=B1686)*ISNUMBER(expected_production[Expected Production (kWh)]))=0,"",SUMIFS(expected_production[Expected Production (kWh)],expected_production[Site Name],A1686,expected_production[Date],B1686)),"")</f>
        <v>18113.894373473599</v>
      </c>
      <c r="E1686" s="9">
        <f t="shared" ref="E1686:E1749" si="54">IF(OR(C1686="",D1686="",D1686=0),"",C1686/D1686)</f>
        <v>0.65253775672389247</v>
      </c>
      <c r="F1686" t="str">
        <f t="shared" ref="F1686:F1749" si="55">IF(E1686="","",IF(E1686&gt;=0.9,"Expected",IF(E1686&gt;=0.7,"Moderate","Poor")))</f>
        <v>Poor</v>
      </c>
    </row>
    <row r="1687" spans="1:7" ht="15" hidden="1" customHeight="1" x14ac:dyDescent="0.3">
      <c r="A1687" t="s">
        <v>244</v>
      </c>
      <c r="B1687" s="2">
        <v>46174</v>
      </c>
      <c r="C1687" cm="1">
        <f t="array" ref="C1687">IFERROR(IF(SUMPRODUCT((measured[Site Name]=A1687)*(measured[Date]=B1687)*ISNUMBER(measured[Measured Value (kWh)]))=0,"",SUMIFS(measured[Measured Value (kWh)],measured[Site Name],A1687,measured[Date],B1687)),"")</f>
        <v>10720</v>
      </c>
      <c r="D1687" cm="1">
        <f t="array" ref="D1687">IFERROR(IF(SUMPRODUCT((expected_production[Site Name]=A1687)*(expected_production[Date]=B1687)*ISNUMBER(expected_production[Expected Production (kWh)]))=0,"",SUMIFS(expected_production[Expected Production (kWh)],expected_production[Site Name],A1687,expected_production[Date],B1687)),"")</f>
        <v>15889.653696235797</v>
      </c>
      <c r="E1687" s="9">
        <f t="shared" si="54"/>
        <v>0.67465284045425922</v>
      </c>
      <c r="F1687" t="str">
        <f t="shared" si="55"/>
        <v>Poor</v>
      </c>
    </row>
    <row r="1688" spans="1:7" ht="15" hidden="1" customHeight="1" x14ac:dyDescent="0.3">
      <c r="A1688" t="s">
        <v>155</v>
      </c>
      <c r="B1688" s="2">
        <v>46204</v>
      </c>
      <c r="C1688" cm="1">
        <f t="array" ref="C1688">IFERROR(IF(SUMPRODUCT((measured[Site Name]=A1688)*(measured[Date]=B1688)*ISNUMBER(measured[Measured Value (kWh)]))=0,"",SUMIFS(measured[Measured Value (kWh)],measured[Site Name],A1688,measured[Date],B1688)),"")</f>
        <v>0</v>
      </c>
      <c r="D1688" cm="1">
        <f t="array" ref="D1688">IFERROR(IF(SUMPRODUCT((expected_production[Site Name]=A1688)*(expected_production[Date]=B1688)*ISNUMBER(expected_production[Expected Production (kWh)]))=0,"",SUMIFS(expected_production[Expected Production (kWh)],expected_production[Site Name],A1688,expected_production[Date],B1688)),"")</f>
        <v>4018.6598441673082</v>
      </c>
      <c r="E1688" s="9">
        <f t="shared" si="54"/>
        <v>0</v>
      </c>
      <c r="F1688" t="str">
        <f t="shared" si="55"/>
        <v>Poor</v>
      </c>
      <c r="G1688" t="s">
        <v>874</v>
      </c>
    </row>
    <row r="1689" spans="1:7" ht="15" hidden="1" customHeight="1" x14ac:dyDescent="0.3">
      <c r="A1689" t="s">
        <v>244</v>
      </c>
      <c r="B1689" s="2">
        <v>46235</v>
      </c>
      <c r="C1689" cm="1">
        <f t="array" ref="C1689">IFERROR(IF(SUMPRODUCT((measured[Site Name]=A1689)*(measured[Date]=B1689)*ISNUMBER(measured[Measured Value (kWh)]))=0,"",SUMIFS(measured[Measured Value (kWh)],measured[Site Name],A1689,measured[Date],B1689)),"")</f>
        <v>9230</v>
      </c>
      <c r="D1689" cm="1">
        <f t="array" ref="D1689">IFERROR(IF(SUMPRODUCT((expected_production[Site Name]=A1689)*(expected_production[Date]=B1689)*ISNUMBER(expected_production[Expected Production (kWh)]))=0,"",SUMIFS(expected_production[Expected Production (kWh)],expected_production[Site Name],A1689,expected_production[Date],B1689)),"")</f>
        <v>19359.894854591596</v>
      </c>
      <c r="E1689" s="9">
        <f t="shared" si="54"/>
        <v>0.47675878765482638</v>
      </c>
      <c r="F1689" t="str">
        <f t="shared" si="55"/>
        <v>Poor</v>
      </c>
      <c r="G1689" t="s">
        <v>874</v>
      </c>
    </row>
    <row r="1690" spans="1:7" ht="15" customHeight="1" x14ac:dyDescent="0.3">
      <c r="A1690" t="s">
        <v>244</v>
      </c>
      <c r="B1690" s="2">
        <v>46266</v>
      </c>
      <c r="C1690" cm="1">
        <f t="array" ref="C1690">IFERROR(IF(SUMPRODUCT((measured[Site Name]=A1690)*(measured[Date]=B1690)*ISNUMBER(measured[Measured Value (kWh)]))=0,"",SUMIFS(measured[Measured Value (kWh)],measured[Site Name],A1690,measured[Date],B1690)),"")</f>
        <v>11370</v>
      </c>
      <c r="D1690" cm="1">
        <f t="array" ref="D1690">IFERROR(IF(SUMPRODUCT((expected_production[Site Name]=A1690)*(expected_production[Date]=B1690)*ISNUMBER(expected_production[Expected Production (kWh)]))=0,"",SUMIFS(expected_production[Expected Production (kWh)],expected_production[Site Name],A1690,expected_production[Date],B1690)),"")</f>
        <v>19922.674500009034</v>
      </c>
      <c r="E1690" s="9">
        <f t="shared" si="54"/>
        <v>0.57070650830513969</v>
      </c>
      <c r="F1690" t="str">
        <f t="shared" si="55"/>
        <v>Poor</v>
      </c>
      <c r="G1690" t="s">
        <v>874</v>
      </c>
    </row>
    <row r="1691" spans="1:7" ht="15" hidden="1" customHeight="1" x14ac:dyDescent="0.3">
      <c r="A1691" t="s">
        <v>244</v>
      </c>
      <c r="B1691" s="2">
        <v>46296</v>
      </c>
      <c r="C1691" t="str" cm="1">
        <f t="array" ref="C1691">IFERROR(IF(SUMPRODUCT((measured[Site Name]=A1691)*(measured[Date]=B1691)*ISNUMBER(measured[Measured Value (kWh)]))=0,"",SUMIFS(measured[Measured Value (kWh)],measured[Site Name],A1691,measured[Date],B1691)),"")</f>
        <v/>
      </c>
      <c r="D1691" cm="1">
        <f t="array" ref="D1691">IFERROR(IF(SUMPRODUCT((expected_production[Site Name]=A1691)*(expected_production[Date]=B1691)*ISNUMBER(expected_production[Expected Production (kWh)]))=0,"",SUMIFS(expected_production[Expected Production (kWh)],expected_production[Site Name],A1691,expected_production[Date],B1691)),"")</f>
        <v>22322.727133958444</v>
      </c>
      <c r="E1691" s="9" t="str">
        <f t="shared" si="54"/>
        <v/>
      </c>
      <c r="F1691" t="str">
        <f t="shared" si="55"/>
        <v/>
      </c>
    </row>
    <row r="1692" spans="1:7" ht="15" hidden="1" customHeight="1" x14ac:dyDescent="0.3">
      <c r="A1692" t="s">
        <v>244</v>
      </c>
      <c r="B1692" s="2">
        <v>46327</v>
      </c>
      <c r="C1692" t="str" cm="1">
        <f t="array" ref="C1692">IFERROR(IF(SUMPRODUCT((measured[Site Name]=A1692)*(measured[Date]=B1692)*ISNUMBER(measured[Measured Value (kWh)]))=0,"",SUMIFS(measured[Measured Value (kWh)],measured[Site Name],A1692,measured[Date],B1692)),"")</f>
        <v/>
      </c>
      <c r="D1692" cm="1">
        <f t="array" ref="D1692">IFERROR(IF(SUMPRODUCT((expected_production[Site Name]=A1692)*(expected_production[Date]=B1692)*ISNUMBER(expected_production[Expected Production (kWh)]))=0,"",SUMIFS(expected_production[Expected Production (kWh)],expected_production[Site Name],A1692,expected_production[Date],B1692)),"")</f>
        <v>20042.72676903884</v>
      </c>
      <c r="E1692" s="9" t="str">
        <f t="shared" si="54"/>
        <v/>
      </c>
      <c r="F1692" t="str">
        <f t="shared" si="55"/>
        <v/>
      </c>
    </row>
    <row r="1693" spans="1:7" ht="15" hidden="1" customHeight="1" x14ac:dyDescent="0.3">
      <c r="A1693" t="s">
        <v>244</v>
      </c>
      <c r="B1693" s="2">
        <v>46357</v>
      </c>
      <c r="C1693" t="str" cm="1">
        <f t="array" ref="C1693">IFERROR(IF(SUMPRODUCT((measured[Site Name]=A1693)*(measured[Date]=B1693)*ISNUMBER(measured[Measured Value (kWh)]))=0,"",SUMIFS(measured[Measured Value (kWh)],measured[Site Name],A1693,measured[Date],B1693)),"")</f>
        <v/>
      </c>
      <c r="D1693" cm="1">
        <f t="array" ref="D1693">IFERROR(IF(SUMPRODUCT((expected_production[Site Name]=A1693)*(expected_production[Date]=B1693)*ISNUMBER(expected_production[Expected Production (kWh)]))=0,"",SUMIFS(expected_production[Expected Production (kWh)],expected_production[Site Name],A1693,expected_production[Date],B1693)),"")</f>
        <v>20674.154032144703</v>
      </c>
      <c r="E1693" s="9" t="str">
        <f t="shared" si="54"/>
        <v/>
      </c>
      <c r="F1693" t="str">
        <f t="shared" si="55"/>
        <v/>
      </c>
    </row>
    <row r="1694" spans="1:7" ht="15" hidden="1" customHeight="1" x14ac:dyDescent="0.3">
      <c r="A1694" t="s">
        <v>213</v>
      </c>
      <c r="B1694" s="2">
        <v>45292</v>
      </c>
      <c r="C1694" t="str" cm="1">
        <f t="array" ref="C1694">IFERROR(IF(SUMPRODUCT((measured[Site Name]=A1694)*(measured[Date]=B1694)*ISNUMBER(measured[Measured Value (kWh)]))=0,"",SUMIFS(measured[Measured Value (kWh)],measured[Site Name],A1694,measured[Date],B1694)),"")</f>
        <v/>
      </c>
      <c r="D1694" cm="1">
        <f t="array" ref="D1694">IFERROR(IF(SUMPRODUCT((expected_production[Site Name]=A1694)*(expected_production[Date]=B1694)*ISNUMBER(expected_production[Expected Production (kWh)]))=0,"",SUMIFS(expected_production[Expected Production (kWh)],expected_production[Site Name],A1694,expected_production[Date],B1694)),"")</f>
        <v>9307.7999999999993</v>
      </c>
      <c r="E1694" s="9" t="str">
        <f t="shared" si="54"/>
        <v/>
      </c>
      <c r="F1694" t="str">
        <f t="shared" si="55"/>
        <v/>
      </c>
    </row>
    <row r="1695" spans="1:7" ht="15" hidden="1" customHeight="1" x14ac:dyDescent="0.3">
      <c r="A1695" t="s">
        <v>213</v>
      </c>
      <c r="B1695" s="2">
        <v>45323</v>
      </c>
      <c r="C1695" t="str" cm="1">
        <f t="array" ref="C1695">IFERROR(IF(SUMPRODUCT((measured[Site Name]=A1695)*(measured[Date]=B1695)*ISNUMBER(measured[Measured Value (kWh)]))=0,"",SUMIFS(measured[Measured Value (kWh)],measured[Site Name],A1695,measured[Date],B1695)),"")</f>
        <v/>
      </c>
      <c r="D1695" cm="1">
        <f t="array" ref="D1695">IFERROR(IF(SUMPRODUCT((expected_production[Site Name]=A1695)*(expected_production[Date]=B1695)*ISNUMBER(expected_production[Expected Production (kWh)]))=0,"",SUMIFS(expected_production[Expected Production (kWh)],expected_production[Site Name],A1695,expected_production[Date],B1695)),"")</f>
        <v>8001.9</v>
      </c>
      <c r="E1695" s="9" t="str">
        <f t="shared" si="54"/>
        <v/>
      </c>
      <c r="F1695" t="str">
        <f t="shared" si="55"/>
        <v/>
      </c>
    </row>
    <row r="1696" spans="1:7" ht="15" hidden="1" customHeight="1" x14ac:dyDescent="0.3">
      <c r="A1696" t="s">
        <v>213</v>
      </c>
      <c r="B1696" s="2">
        <v>45352</v>
      </c>
      <c r="C1696" t="str" cm="1">
        <f t="array" ref="C1696">IFERROR(IF(SUMPRODUCT((measured[Site Name]=A1696)*(measured[Date]=B1696)*ISNUMBER(measured[Measured Value (kWh)]))=0,"",SUMIFS(measured[Measured Value (kWh)],measured[Site Name],A1696,measured[Date],B1696)),"")</f>
        <v/>
      </c>
      <c r="D1696" cm="1">
        <f t="array" ref="D1696">IFERROR(IF(SUMPRODUCT((expected_production[Site Name]=A1696)*(expected_production[Date]=B1696)*ISNUMBER(expected_production[Expected Production (kWh)]))=0,"",SUMIFS(expected_production[Expected Production (kWh)],expected_production[Site Name],A1696,expected_production[Date],B1696)),"")</f>
        <v>7803.9</v>
      </c>
      <c r="E1696" s="9" t="str">
        <f t="shared" si="54"/>
        <v/>
      </c>
      <c r="F1696" t="str">
        <f t="shared" si="55"/>
        <v/>
      </c>
    </row>
    <row r="1697" spans="1:6" ht="15" hidden="1" customHeight="1" x14ac:dyDescent="0.3">
      <c r="A1697" t="s">
        <v>213</v>
      </c>
      <c r="B1697" s="2">
        <v>45383</v>
      </c>
      <c r="C1697" t="str" cm="1">
        <f t="array" ref="C1697">IFERROR(IF(SUMPRODUCT((measured[Site Name]=A1697)*(measured[Date]=B1697)*ISNUMBER(measured[Measured Value (kWh)]))=0,"",SUMIFS(measured[Measured Value (kWh)],measured[Site Name],A1697,measured[Date],B1697)),"")</f>
        <v/>
      </c>
      <c r="D1697" cm="1">
        <f t="array" ref="D1697">IFERROR(IF(SUMPRODUCT((expected_production[Site Name]=A1697)*(expected_production[Date]=B1697)*ISNUMBER(expected_production[Expected Production (kWh)]))=0,"",SUMIFS(expected_production[Expected Production (kWh)],expected_production[Site Name],A1697,expected_production[Date],B1697)),"")</f>
        <v>6785.1</v>
      </c>
      <c r="E1697" s="9" t="str">
        <f t="shared" si="54"/>
        <v/>
      </c>
      <c r="F1697" t="str">
        <f t="shared" si="55"/>
        <v/>
      </c>
    </row>
    <row r="1698" spans="1:6" ht="15" hidden="1" customHeight="1" x14ac:dyDescent="0.3">
      <c r="A1698" t="s">
        <v>213</v>
      </c>
      <c r="B1698" s="2">
        <v>45413</v>
      </c>
      <c r="C1698" t="str" cm="1">
        <f t="array" ref="C1698">IFERROR(IF(SUMPRODUCT((measured[Site Name]=A1698)*(measured[Date]=B1698)*ISNUMBER(measured[Measured Value (kWh)]))=0,"",SUMIFS(measured[Measured Value (kWh)],measured[Site Name],A1698,measured[Date],B1698)),"")</f>
        <v/>
      </c>
      <c r="D1698" cm="1">
        <f t="array" ref="D1698">IFERROR(IF(SUMPRODUCT((expected_production[Site Name]=A1698)*(expected_production[Date]=B1698)*ISNUMBER(expected_production[Expected Production (kWh)]))=0,"",SUMIFS(expected_production[Expected Production (kWh)],expected_production[Site Name],A1698,expected_production[Date],B1698)),"")</f>
        <v>6244.2</v>
      </c>
      <c r="E1698" s="9" t="str">
        <f t="shared" si="54"/>
        <v/>
      </c>
      <c r="F1698" t="str">
        <f t="shared" si="55"/>
        <v/>
      </c>
    </row>
    <row r="1699" spans="1:6" ht="15" hidden="1" customHeight="1" x14ac:dyDescent="0.3">
      <c r="A1699" t="s">
        <v>213</v>
      </c>
      <c r="B1699" s="2">
        <v>45444</v>
      </c>
      <c r="C1699" t="str" cm="1">
        <f t="array" ref="C1699">IFERROR(IF(SUMPRODUCT((measured[Site Name]=A1699)*(measured[Date]=B1699)*ISNUMBER(measured[Measured Value (kWh)]))=0,"",SUMIFS(measured[Measured Value (kWh)],measured[Site Name],A1699,measured[Date],B1699)),"")</f>
        <v/>
      </c>
      <c r="D1699" cm="1">
        <f t="array" ref="D1699">IFERROR(IF(SUMPRODUCT((expected_production[Site Name]=A1699)*(expected_production[Date]=B1699)*ISNUMBER(expected_production[Expected Production (kWh)]))=0,"",SUMIFS(expected_production[Expected Production (kWh)],expected_production[Site Name],A1699,expected_production[Date],B1699)),"")</f>
        <v>5524.2</v>
      </c>
      <c r="E1699" s="9" t="str">
        <f t="shared" si="54"/>
        <v/>
      </c>
      <c r="F1699" t="str">
        <f t="shared" si="55"/>
        <v/>
      </c>
    </row>
    <row r="1700" spans="1:6" ht="15" hidden="1" customHeight="1" x14ac:dyDescent="0.3">
      <c r="A1700" t="s">
        <v>213</v>
      </c>
      <c r="B1700" s="2">
        <v>45474</v>
      </c>
      <c r="C1700" t="str" cm="1">
        <f t="array" ref="C1700">IFERROR(IF(SUMPRODUCT((measured[Site Name]=A1700)*(measured[Date]=B1700)*ISNUMBER(measured[Measured Value (kWh)]))=0,"",SUMIFS(measured[Measured Value (kWh)],measured[Site Name],A1700,measured[Date],B1700)),"")</f>
        <v/>
      </c>
      <c r="D1700" cm="1">
        <f t="array" ref="D1700">IFERROR(IF(SUMPRODUCT((expected_production[Site Name]=A1700)*(expected_production[Date]=B1700)*ISNUMBER(expected_production[Expected Production (kWh)]))=0,"",SUMIFS(expected_production[Expected Production (kWh)],expected_production[Site Name],A1700,expected_production[Date],B1700)),"")</f>
        <v>6086.7</v>
      </c>
      <c r="E1700" s="9" t="str">
        <f t="shared" si="54"/>
        <v/>
      </c>
      <c r="F1700" t="str">
        <f t="shared" si="55"/>
        <v/>
      </c>
    </row>
    <row r="1701" spans="1:6" ht="15" hidden="1" customHeight="1" x14ac:dyDescent="0.3">
      <c r="A1701" t="s">
        <v>213</v>
      </c>
      <c r="B1701" s="2">
        <v>45505</v>
      </c>
      <c r="C1701" t="str" cm="1">
        <f t="array" ref="C1701">IFERROR(IF(SUMPRODUCT((measured[Site Name]=A1701)*(measured[Date]=B1701)*ISNUMBER(measured[Measured Value (kWh)]))=0,"",SUMIFS(measured[Measured Value (kWh)],measured[Site Name],A1701,measured[Date],B1701)),"")</f>
        <v/>
      </c>
      <c r="D1701" cm="1">
        <f t="array" ref="D1701">IFERROR(IF(SUMPRODUCT((expected_production[Site Name]=A1701)*(expected_production[Date]=B1701)*ISNUMBER(expected_production[Expected Production (kWh)]))=0,"",SUMIFS(expected_production[Expected Production (kWh)],expected_production[Site Name],A1701,expected_production[Date],B1701)),"")</f>
        <v>2298.1935483870998</v>
      </c>
      <c r="E1701" s="9" t="str">
        <f t="shared" si="54"/>
        <v/>
      </c>
      <c r="F1701" t="str">
        <f t="shared" si="55"/>
        <v/>
      </c>
    </row>
    <row r="1702" spans="1:6" ht="15" hidden="1" customHeight="1" x14ac:dyDescent="0.3">
      <c r="A1702" t="s">
        <v>213</v>
      </c>
      <c r="B1702" s="2">
        <v>45536</v>
      </c>
      <c r="C1702" t="str" cm="1">
        <f t="array" ref="C1702">IFERROR(IF(SUMPRODUCT((measured[Site Name]=A1702)*(measured[Date]=B1702)*ISNUMBER(measured[Measured Value (kWh)]))=0,"",SUMIFS(measured[Measured Value (kWh)],measured[Site Name],A1702,measured[Date],B1702)),"")</f>
        <v/>
      </c>
      <c r="D1702" cm="1">
        <f t="array" ref="D1702">IFERROR(IF(SUMPRODUCT((expected_production[Site Name]=A1702)*(expected_production[Date]=B1702)*ISNUMBER(expected_production[Expected Production (kWh)]))=0,"",SUMIFS(expected_production[Expected Production (kWh)],expected_production[Site Name],A1702,expected_production[Date],B1702)),"")</f>
        <v>7864.2</v>
      </c>
      <c r="E1702" s="9" t="str">
        <f t="shared" si="54"/>
        <v/>
      </c>
      <c r="F1702" t="str">
        <f t="shared" si="55"/>
        <v/>
      </c>
    </row>
    <row r="1703" spans="1:6" ht="15" hidden="1" customHeight="1" x14ac:dyDescent="0.3">
      <c r="A1703" t="s">
        <v>213</v>
      </c>
      <c r="B1703" s="2">
        <v>45566</v>
      </c>
      <c r="C1703" t="str" cm="1">
        <f t="array" ref="C1703">IFERROR(IF(SUMPRODUCT((measured[Site Name]=A1703)*(measured[Date]=B1703)*ISNUMBER(measured[Measured Value (kWh)]))=0,"",SUMIFS(measured[Measured Value (kWh)],measured[Site Name],A1703,measured[Date],B1703)),"")</f>
        <v/>
      </c>
      <c r="D1703" cm="1">
        <f t="array" ref="D1703">IFERROR(IF(SUMPRODUCT((expected_production[Site Name]=A1703)*(expected_production[Date]=B1703)*ISNUMBER(expected_production[Expected Production (kWh)]))=0,"",SUMIFS(expected_production[Expected Production (kWh)],expected_production[Site Name],A1703,expected_production[Date],B1703)),"")</f>
        <v>9007.2000000000007</v>
      </c>
      <c r="E1703" s="9" t="str">
        <f t="shared" si="54"/>
        <v/>
      </c>
      <c r="F1703" t="str">
        <f t="shared" si="55"/>
        <v/>
      </c>
    </row>
    <row r="1704" spans="1:6" ht="15" hidden="1" customHeight="1" x14ac:dyDescent="0.3">
      <c r="A1704" t="s">
        <v>213</v>
      </c>
      <c r="B1704" s="2">
        <v>45597</v>
      </c>
      <c r="C1704" t="str" cm="1">
        <f t="array" ref="C1704">IFERROR(IF(SUMPRODUCT((measured[Site Name]=A1704)*(measured[Date]=B1704)*ISNUMBER(measured[Measured Value (kWh)]))=0,"",SUMIFS(measured[Measured Value (kWh)],measured[Site Name],A1704,measured[Date],B1704)),"")</f>
        <v/>
      </c>
      <c r="D1704" cm="1">
        <f t="array" ref="D1704">IFERROR(IF(SUMPRODUCT((expected_production[Site Name]=A1704)*(expected_production[Date]=B1704)*ISNUMBER(expected_production[Expected Production (kWh)]))=0,"",SUMIFS(expected_production[Expected Production (kWh)],expected_production[Site Name],A1704,expected_production[Date],B1704)),"")</f>
        <v>8999.1</v>
      </c>
      <c r="E1704" s="9" t="str">
        <f t="shared" si="54"/>
        <v/>
      </c>
      <c r="F1704" t="str">
        <f t="shared" si="55"/>
        <v/>
      </c>
    </row>
    <row r="1705" spans="1:6" ht="15" hidden="1" customHeight="1" x14ac:dyDescent="0.3">
      <c r="A1705" t="s">
        <v>213</v>
      </c>
      <c r="B1705" s="2">
        <v>45627</v>
      </c>
      <c r="C1705" t="str" cm="1">
        <f t="array" ref="C1705">IFERROR(IF(SUMPRODUCT((measured[Site Name]=A1705)*(measured[Date]=B1705)*ISNUMBER(measured[Measured Value (kWh)]))=0,"",SUMIFS(measured[Measured Value (kWh)],measured[Site Name],A1705,measured[Date],B1705)),"")</f>
        <v/>
      </c>
      <c r="D1705" cm="1">
        <f t="array" ref="D1705">IFERROR(IF(SUMPRODUCT((expected_production[Site Name]=A1705)*(expected_production[Date]=B1705)*ISNUMBER(expected_production[Expected Production (kWh)]))=0,"",SUMIFS(expected_production[Expected Production (kWh)],expected_production[Site Name],A1705,expected_production[Date],B1705)),"")</f>
        <v>9241.2000000000007</v>
      </c>
      <c r="E1705" s="9" t="str">
        <f t="shared" si="54"/>
        <v/>
      </c>
      <c r="F1705" t="str">
        <f t="shared" si="55"/>
        <v/>
      </c>
    </row>
    <row r="1706" spans="1:6" ht="15" hidden="1" customHeight="1" x14ac:dyDescent="0.3">
      <c r="A1706" t="s">
        <v>213</v>
      </c>
      <c r="B1706" s="2">
        <v>45658</v>
      </c>
      <c r="C1706" t="str" cm="1">
        <f t="array" ref="C1706">IFERROR(IF(SUMPRODUCT((measured[Site Name]=A1706)*(measured[Date]=B1706)*ISNUMBER(measured[Measured Value (kWh)]))=0,"",SUMIFS(measured[Measured Value (kWh)],measured[Site Name],A1706,measured[Date],B1706)),"")</f>
        <v/>
      </c>
      <c r="D1706" cm="1">
        <f t="array" ref="D1706">IFERROR(IF(SUMPRODUCT((expected_production[Site Name]=A1706)*(expected_production[Date]=B1706)*ISNUMBER(expected_production[Expected Production (kWh)]))=0,"",SUMIFS(expected_production[Expected Production (kWh)],expected_production[Site Name],A1706,expected_production[Date],B1706)),"")</f>
        <v>9307.7999999999993</v>
      </c>
      <c r="E1706" s="9" t="str">
        <f t="shared" si="54"/>
        <v/>
      </c>
      <c r="F1706" t="str">
        <f t="shared" si="55"/>
        <v/>
      </c>
    </row>
    <row r="1707" spans="1:6" ht="15" hidden="1" customHeight="1" x14ac:dyDescent="0.3">
      <c r="A1707" t="s">
        <v>213</v>
      </c>
      <c r="B1707" s="2">
        <v>45689</v>
      </c>
      <c r="C1707" t="str" cm="1">
        <f t="array" ref="C1707">IFERROR(IF(SUMPRODUCT((measured[Site Name]=A1707)*(measured[Date]=B1707)*ISNUMBER(measured[Measured Value (kWh)]))=0,"",SUMIFS(measured[Measured Value (kWh)],measured[Site Name],A1707,measured[Date],B1707)),"")</f>
        <v/>
      </c>
      <c r="D1707" cm="1">
        <f t="array" ref="D1707">IFERROR(IF(SUMPRODUCT((expected_production[Site Name]=A1707)*(expected_production[Date]=B1707)*ISNUMBER(expected_production[Expected Production (kWh)]))=0,"",SUMIFS(expected_production[Expected Production (kWh)],expected_production[Site Name],A1707,expected_production[Date],B1707)),"")</f>
        <v>8001.9</v>
      </c>
      <c r="E1707" s="9" t="str">
        <f t="shared" si="54"/>
        <v/>
      </c>
      <c r="F1707" t="str">
        <f t="shared" si="55"/>
        <v/>
      </c>
    </row>
    <row r="1708" spans="1:6" ht="15" hidden="1" customHeight="1" x14ac:dyDescent="0.3">
      <c r="A1708" t="s">
        <v>213</v>
      </c>
      <c r="B1708" s="2">
        <v>45717</v>
      </c>
      <c r="C1708" t="str" cm="1">
        <f t="array" ref="C1708">IFERROR(IF(SUMPRODUCT((measured[Site Name]=A1708)*(measured[Date]=B1708)*ISNUMBER(measured[Measured Value (kWh)]))=0,"",SUMIFS(measured[Measured Value (kWh)],measured[Site Name],A1708,measured[Date],B1708)),"")</f>
        <v/>
      </c>
      <c r="D1708" cm="1">
        <f t="array" ref="D1708">IFERROR(IF(SUMPRODUCT((expected_production[Site Name]=A1708)*(expected_production[Date]=B1708)*ISNUMBER(expected_production[Expected Production (kWh)]))=0,"",SUMIFS(expected_production[Expected Production (kWh)],expected_production[Site Name],A1708,expected_production[Date],B1708)),"")</f>
        <v>7803.9</v>
      </c>
      <c r="E1708" s="9" t="str">
        <f t="shared" si="54"/>
        <v/>
      </c>
      <c r="F1708" t="str">
        <f t="shared" si="55"/>
        <v/>
      </c>
    </row>
    <row r="1709" spans="1:6" ht="15" hidden="1" customHeight="1" x14ac:dyDescent="0.3">
      <c r="A1709" t="s">
        <v>213</v>
      </c>
      <c r="B1709" s="2">
        <v>45748</v>
      </c>
      <c r="C1709" t="str" cm="1">
        <f t="array" ref="C1709">IFERROR(IF(SUMPRODUCT((measured[Site Name]=A1709)*(measured[Date]=B1709)*ISNUMBER(measured[Measured Value (kWh)]))=0,"",SUMIFS(measured[Measured Value (kWh)],measured[Site Name],A1709,measured[Date],B1709)),"")</f>
        <v/>
      </c>
      <c r="D1709" cm="1">
        <f t="array" ref="D1709">IFERROR(IF(SUMPRODUCT((expected_production[Site Name]=A1709)*(expected_production[Date]=B1709)*ISNUMBER(expected_production[Expected Production (kWh)]))=0,"",SUMIFS(expected_production[Expected Production (kWh)],expected_production[Site Name],A1709,expected_production[Date],B1709)),"")</f>
        <v>6785.1</v>
      </c>
      <c r="E1709" s="9" t="str">
        <f t="shared" si="54"/>
        <v/>
      </c>
      <c r="F1709" t="str">
        <f t="shared" si="55"/>
        <v/>
      </c>
    </row>
    <row r="1710" spans="1:6" ht="15" hidden="1" customHeight="1" x14ac:dyDescent="0.3">
      <c r="A1710" t="s">
        <v>213</v>
      </c>
      <c r="B1710" s="2">
        <v>45778</v>
      </c>
      <c r="C1710" t="str" cm="1">
        <f t="array" ref="C1710">IFERROR(IF(SUMPRODUCT((measured[Site Name]=A1710)*(measured[Date]=B1710)*ISNUMBER(measured[Measured Value (kWh)]))=0,"",SUMIFS(measured[Measured Value (kWh)],measured[Site Name],A1710,measured[Date],B1710)),"")</f>
        <v/>
      </c>
      <c r="D1710" cm="1">
        <f t="array" ref="D1710">IFERROR(IF(SUMPRODUCT((expected_production[Site Name]=A1710)*(expected_production[Date]=B1710)*ISNUMBER(expected_production[Expected Production (kWh)]))=0,"",SUMIFS(expected_production[Expected Production (kWh)],expected_production[Site Name],A1710,expected_production[Date],B1710)),"")</f>
        <v>6244.2</v>
      </c>
      <c r="E1710" s="9" t="str">
        <f t="shared" si="54"/>
        <v/>
      </c>
      <c r="F1710" t="str">
        <f t="shared" si="55"/>
        <v/>
      </c>
    </row>
    <row r="1711" spans="1:6" ht="15" hidden="1" customHeight="1" x14ac:dyDescent="0.3">
      <c r="A1711" t="s">
        <v>213</v>
      </c>
      <c r="B1711" s="2">
        <v>45809</v>
      </c>
      <c r="C1711" t="str" cm="1">
        <f t="array" ref="C1711">IFERROR(IF(SUMPRODUCT((measured[Site Name]=A1711)*(measured[Date]=B1711)*ISNUMBER(measured[Measured Value (kWh)]))=0,"",SUMIFS(measured[Measured Value (kWh)],measured[Site Name],A1711,measured[Date],B1711)),"")</f>
        <v/>
      </c>
      <c r="D1711" cm="1">
        <f t="array" ref="D1711">IFERROR(IF(SUMPRODUCT((expected_production[Site Name]=A1711)*(expected_production[Date]=B1711)*ISNUMBER(expected_production[Expected Production (kWh)]))=0,"",SUMIFS(expected_production[Expected Production (kWh)],expected_production[Site Name],A1711,expected_production[Date],B1711)),"")</f>
        <v>5524.2</v>
      </c>
      <c r="E1711" s="9" t="str">
        <f t="shared" si="54"/>
        <v/>
      </c>
      <c r="F1711" t="str">
        <f t="shared" si="55"/>
        <v/>
      </c>
    </row>
    <row r="1712" spans="1:6" ht="15" hidden="1" customHeight="1" x14ac:dyDescent="0.3">
      <c r="A1712" t="s">
        <v>213</v>
      </c>
      <c r="B1712" s="2">
        <v>45839</v>
      </c>
      <c r="C1712" t="str" cm="1">
        <f t="array" ref="C1712">IFERROR(IF(SUMPRODUCT((measured[Site Name]=A1712)*(measured[Date]=B1712)*ISNUMBER(measured[Measured Value (kWh)]))=0,"",SUMIFS(measured[Measured Value (kWh)],measured[Site Name],A1712,measured[Date],B1712)),"")</f>
        <v/>
      </c>
      <c r="D1712" cm="1">
        <f t="array" ref="D1712">IFERROR(IF(SUMPRODUCT((expected_production[Site Name]=A1712)*(expected_production[Date]=B1712)*ISNUMBER(expected_production[Expected Production (kWh)]))=0,"",SUMIFS(expected_production[Expected Production (kWh)],expected_production[Site Name],A1712,expected_production[Date],B1712)),"")</f>
        <v>6086.7</v>
      </c>
      <c r="E1712" s="9" t="str">
        <f t="shared" si="54"/>
        <v/>
      </c>
      <c r="F1712" t="str">
        <f t="shared" si="55"/>
        <v/>
      </c>
    </row>
    <row r="1713" spans="1:7" ht="15" hidden="1" customHeight="1" x14ac:dyDescent="0.3">
      <c r="A1713" t="s">
        <v>213</v>
      </c>
      <c r="B1713" s="2">
        <v>45870</v>
      </c>
      <c r="C1713" cm="1">
        <f t="array" ref="C1713">IFERROR(IF(SUMPRODUCT((measured[Site Name]=A1713)*(measured[Date]=B1713)*ISNUMBER(measured[Measured Value (kWh)]))=0,"",SUMIFS(measured[Measured Value (kWh)],measured[Site Name],A1713,measured[Date],B1713)),"")</f>
        <v>2845</v>
      </c>
      <c r="D1713" cm="1">
        <f t="array" ref="D1713">IFERROR(IF(SUMPRODUCT((expected_production[Site Name]=A1713)*(expected_production[Date]=B1713)*ISNUMBER(expected_production[Expected Production (kWh)]))=0,"",SUMIFS(expected_production[Expected Production (kWh)],expected_production[Site Name],A1713,expected_production[Date],B1713)),"")</f>
        <v>2298.1935483870998</v>
      </c>
      <c r="E1713" s="9">
        <f t="shared" si="54"/>
        <v>1.2379288080399737</v>
      </c>
      <c r="F1713" t="str">
        <f t="shared" si="55"/>
        <v>Expected</v>
      </c>
    </row>
    <row r="1714" spans="1:7" ht="15" hidden="1" customHeight="1" x14ac:dyDescent="0.3">
      <c r="A1714" t="s">
        <v>213</v>
      </c>
      <c r="B1714" s="2">
        <v>45901</v>
      </c>
      <c r="C1714" cm="1">
        <f t="array" ref="C1714">IFERROR(IF(SUMPRODUCT((measured[Site Name]=A1714)*(measured[Date]=B1714)*ISNUMBER(measured[Measured Value (kWh)]))=0,"",SUMIFS(measured[Measured Value (kWh)],measured[Site Name],A1714,measured[Date],B1714)),"")</f>
        <v>7367</v>
      </c>
      <c r="D1714" cm="1">
        <f t="array" ref="D1714">IFERROR(IF(SUMPRODUCT((expected_production[Site Name]=A1714)*(expected_production[Date]=B1714)*ISNUMBER(expected_production[Expected Production (kWh)]))=0,"",SUMIFS(expected_production[Expected Production (kWh)],expected_production[Site Name],A1714,expected_production[Date],B1714)),"")</f>
        <v>7862.3852450902705</v>
      </c>
      <c r="E1714" s="9">
        <f t="shared" si="54"/>
        <v>0.9369930078916423</v>
      </c>
      <c r="F1714" t="str">
        <f t="shared" si="55"/>
        <v>Expected</v>
      </c>
    </row>
    <row r="1715" spans="1:7" ht="15" hidden="1" customHeight="1" x14ac:dyDescent="0.3">
      <c r="A1715" t="s">
        <v>213</v>
      </c>
      <c r="B1715" s="2">
        <v>45931</v>
      </c>
      <c r="C1715" cm="1">
        <f t="array" ref="C1715">IFERROR(IF(SUMPRODUCT((measured[Site Name]=A1715)*(measured[Date]=B1715)*ISNUMBER(measured[Measured Value (kWh)]))=0,"",SUMIFS(measured[Measured Value (kWh)],measured[Site Name],A1715,measured[Date],B1715)),"")</f>
        <v>8824</v>
      </c>
      <c r="D1715" cm="1">
        <f t="array" ref="D1715">IFERROR(IF(SUMPRODUCT((expected_production[Site Name]=A1715)*(expected_production[Date]=B1715)*ISNUMBER(expected_production[Expected Production (kWh)]))=0,"",SUMIFS(expected_production[Expected Production (kWh)],expected_production[Site Name],A1715,expected_production[Date],B1715)),"")</f>
        <v>8999.9272944607237</v>
      </c>
      <c r="E1715" s="9">
        <f t="shared" si="54"/>
        <v>0.98045236492421406</v>
      </c>
      <c r="F1715" t="str">
        <f t="shared" si="55"/>
        <v>Expected</v>
      </c>
    </row>
    <row r="1716" spans="1:7" ht="15" hidden="1" customHeight="1" x14ac:dyDescent="0.3">
      <c r="A1716" t="s">
        <v>213</v>
      </c>
      <c r="B1716" s="2">
        <v>45962</v>
      </c>
      <c r="C1716" cm="1">
        <f t="array" ref="C1716">IFERROR(IF(SUMPRODUCT((measured[Site Name]=A1716)*(measured[Date]=B1716)*ISNUMBER(measured[Measured Value (kWh)]))=0,"",SUMIFS(measured[Measured Value (kWh)],measured[Site Name],A1716,measured[Date],B1716)),"")</f>
        <v>7686</v>
      </c>
      <c r="D1716" cm="1">
        <f t="array" ref="D1716">IFERROR(IF(SUMPRODUCT((expected_production[Site Name]=A1716)*(expected_production[Date]=B1716)*ISNUMBER(expected_production[Expected Production (kWh)]))=0,"",SUMIFS(expected_production[Expected Production (kWh)],expected_production[Site Name],A1716,expected_production[Date],B1716)),"")</f>
        <v>8986.4744761828006</v>
      </c>
      <c r="E1716" s="9">
        <f t="shared" si="54"/>
        <v>0.85528535360229441</v>
      </c>
      <c r="F1716" t="str">
        <f t="shared" si="55"/>
        <v>Moderate</v>
      </c>
    </row>
    <row r="1717" spans="1:7" ht="15" hidden="1" customHeight="1" x14ac:dyDescent="0.3">
      <c r="A1717" t="s">
        <v>213</v>
      </c>
      <c r="B1717" s="2">
        <v>45992</v>
      </c>
      <c r="C1717" cm="1">
        <f t="array" ref="C1717">IFERROR(IF(SUMPRODUCT((measured[Site Name]=A1717)*(measured[Date]=B1717)*ISNUMBER(measured[Measured Value (kWh)]))=0,"",SUMIFS(measured[Measured Value (kWh)],measured[Site Name],A1717,measured[Date],B1717)),"")</f>
        <v>9330</v>
      </c>
      <c r="D1717" cm="1">
        <f t="array" ref="D1717">IFERROR(IF(SUMPRODUCT((expected_production[Site Name]=A1717)*(expected_production[Date]=B1717)*ISNUMBER(expected_production[Expected Production (kWh)]))=0,"",SUMIFS(expected_production[Expected Production (kWh)],expected_production[Site Name],A1717,expected_production[Date],B1717)),"")</f>
        <v>9222.9119327736062</v>
      </c>
      <c r="E1717" s="9">
        <f t="shared" si="54"/>
        <v>1.0116110907278488</v>
      </c>
      <c r="F1717" t="str">
        <f t="shared" si="55"/>
        <v>Expected</v>
      </c>
    </row>
    <row r="1718" spans="1:7" ht="15" hidden="1" customHeight="1" x14ac:dyDescent="0.3">
      <c r="A1718" t="s">
        <v>213</v>
      </c>
      <c r="B1718" s="2">
        <v>46023</v>
      </c>
      <c r="C1718" cm="1">
        <f t="array" ref="C1718">IFERROR(IF(SUMPRODUCT((measured[Site Name]=A1718)*(measured[Date]=B1718)*ISNUMBER(measured[Measured Value (kWh)]))=0,"",SUMIFS(measured[Measured Value (kWh)],measured[Site Name],A1718,measured[Date],B1718)),"")</f>
        <v>9387</v>
      </c>
      <c r="D1718" cm="1">
        <f t="array" ref="D1718">IFERROR(IF(SUMPRODUCT((expected_production[Site Name]=A1718)*(expected_production[Date]=B1718)*ISNUMBER(expected_production[Expected Production (kWh)]))=0,"",SUMIFS(expected_production[Expected Production (kWh)],expected_production[Site Name],A1718,expected_production[Date],B1718)),"")</f>
        <v>9283.8434297647691</v>
      </c>
      <c r="E1718" s="9">
        <f t="shared" si="54"/>
        <v>1.011111407793081</v>
      </c>
      <c r="F1718" t="str">
        <f t="shared" si="55"/>
        <v>Expected</v>
      </c>
    </row>
    <row r="1719" spans="1:7" ht="15" hidden="1" customHeight="1" x14ac:dyDescent="0.3">
      <c r="A1719" t="s">
        <v>213</v>
      </c>
      <c r="B1719" s="2">
        <v>46054</v>
      </c>
      <c r="C1719" cm="1">
        <f t="array" ref="C1719">IFERROR(IF(SUMPRODUCT((measured[Site Name]=A1719)*(measured[Date]=B1719)*ISNUMBER(measured[Measured Value (kWh)]))=0,"",SUMIFS(measured[Measured Value (kWh)],measured[Site Name],A1719,measured[Date],B1719)),"")</f>
        <v>8600</v>
      </c>
      <c r="D1719" cm="1">
        <f t="array" ref="D1719">IFERROR(IF(SUMPRODUCT((expected_production[Site Name]=A1719)*(expected_production[Date]=B1719)*ISNUMBER(expected_production[Expected Production (kWh)]))=0,"",SUMIFS(expected_production[Expected Production (kWh)],expected_production[Site Name],A1719,expected_production[Date],B1719)),"")</f>
        <v>7976.5475191757214</v>
      </c>
      <c r="E1719" s="9">
        <f t="shared" si="54"/>
        <v>1.0781606928718837</v>
      </c>
      <c r="F1719" t="str">
        <f t="shared" si="55"/>
        <v>Expected</v>
      </c>
    </row>
    <row r="1720" spans="1:7" ht="15" hidden="1" customHeight="1" x14ac:dyDescent="0.3">
      <c r="A1720" t="s">
        <v>213</v>
      </c>
      <c r="B1720" s="2">
        <v>46082</v>
      </c>
      <c r="C1720" cm="1">
        <f t="array" ref="C1720">IFERROR(IF(SUMPRODUCT((measured[Site Name]=A1720)*(measured[Date]=B1720)*ISNUMBER(measured[Measured Value (kWh)]))=0,"",SUMIFS(measured[Measured Value (kWh)],measured[Site Name],A1720,measured[Date],B1720)),"")</f>
        <v>6749</v>
      </c>
      <c r="D1720" cm="1">
        <f t="array" ref="D1720">IFERROR(IF(SUMPRODUCT((expected_production[Site Name]=A1720)*(expected_production[Date]=B1720)*ISNUMBER(expected_production[Expected Production (kWh)]))=0,"",SUMIFS(expected_production[Expected Production (kWh)],expected_production[Site Name],A1720,expected_production[Date],B1720)),"")</f>
        <v>7774.9868415836163</v>
      </c>
      <c r="E1720" s="9">
        <f t="shared" si="54"/>
        <v>0.86804005428070374</v>
      </c>
      <c r="F1720" t="str">
        <f t="shared" si="55"/>
        <v>Moderate</v>
      </c>
    </row>
    <row r="1721" spans="1:7" ht="15" hidden="1" customHeight="1" x14ac:dyDescent="0.3">
      <c r="A1721" t="s">
        <v>213</v>
      </c>
      <c r="B1721" s="2">
        <v>46113</v>
      </c>
      <c r="C1721" cm="1">
        <f t="array" ref="C1721">IFERROR(IF(SUMPRODUCT((measured[Site Name]=A1721)*(measured[Date]=B1721)*ISNUMBER(measured[Measured Value (kWh)]))=0,"",SUMIFS(measured[Measured Value (kWh)],measured[Site Name],A1721,measured[Date],B1721)),"")</f>
        <v>6091.51</v>
      </c>
      <c r="D1721" cm="1">
        <f t="array" ref="D1721">IFERROR(IF(SUMPRODUCT((expected_production[Site Name]=A1721)*(expected_production[Date]=B1721)*ISNUMBER(expected_production[Expected Production (kWh)]))=0,"",SUMIFS(expected_production[Expected Production (kWh)],expected_production[Site Name],A1721,expected_production[Date],B1721)),"")</f>
        <v>6755.9323510139957</v>
      </c>
      <c r="E1721" s="9">
        <f t="shared" si="54"/>
        <v>0.9016534925909564</v>
      </c>
      <c r="F1721" t="str">
        <f t="shared" si="55"/>
        <v>Expected</v>
      </c>
    </row>
    <row r="1722" spans="1:7" ht="15" hidden="1" customHeight="1" x14ac:dyDescent="0.3">
      <c r="A1722" t="s">
        <v>213</v>
      </c>
      <c r="B1722" s="2">
        <v>46143</v>
      </c>
      <c r="C1722" cm="1">
        <f t="array" ref="C1722">IFERROR(IF(SUMPRODUCT((measured[Site Name]=A1722)*(measured[Date]=B1722)*ISNUMBER(measured[Measured Value (kWh)]))=0,"",SUMIFS(measured[Measured Value (kWh)],measured[Site Name],A1722,measured[Date],B1722)),"")</f>
        <v>6169.97</v>
      </c>
      <c r="D1722" cm="1">
        <f t="array" ref="D1722">IFERROR(IF(SUMPRODUCT((expected_production[Site Name]=A1722)*(expected_production[Date]=B1722)*ISNUMBER(expected_production[Expected Production (kWh)]))=0,"",SUMIFS(expected_production[Expected Production (kWh)],expected_production[Site Name],A1722,expected_production[Date],B1722)),"")</f>
        <v>6213.7713640850643</v>
      </c>
      <c r="E1722" s="9">
        <f t="shared" si="54"/>
        <v>0.99295092118480066</v>
      </c>
      <c r="F1722" t="str">
        <f t="shared" si="55"/>
        <v>Expected</v>
      </c>
    </row>
    <row r="1723" spans="1:7" ht="15" hidden="1" customHeight="1" x14ac:dyDescent="0.3">
      <c r="A1723" t="s">
        <v>213</v>
      </c>
      <c r="B1723" s="2">
        <v>46174</v>
      </c>
      <c r="C1723" cm="1">
        <f t="array" ref="C1723">IFERROR(IF(SUMPRODUCT((measured[Site Name]=A1723)*(measured[Date]=B1723)*ISNUMBER(measured[Measured Value (kWh)]))=0,"",SUMIFS(measured[Measured Value (kWh)],measured[Site Name],A1723,measured[Date],B1723)),"")</f>
        <v>4726</v>
      </c>
      <c r="D1723" cm="1">
        <f t="array" ref="D1723">IFERROR(IF(SUMPRODUCT((expected_production[Site Name]=A1723)*(expected_production[Date]=B1723)*ISNUMBER(expected_production[Expected Production (kWh)]))=0,"",SUMIFS(expected_production[Expected Production (kWh)],expected_production[Site Name],A1723,expected_production[Date],B1723)),"")</f>
        <v>5494.0034822044072</v>
      </c>
      <c r="E1723" s="9">
        <f t="shared" si="54"/>
        <v>0.86021059420656676</v>
      </c>
      <c r="F1723" t="str">
        <f t="shared" si="55"/>
        <v>Moderate</v>
      </c>
    </row>
    <row r="1724" spans="1:7" ht="15" hidden="1" customHeight="1" x14ac:dyDescent="0.3">
      <c r="A1724" t="s">
        <v>157</v>
      </c>
      <c r="B1724" s="2">
        <v>46204</v>
      </c>
      <c r="C1724" cm="1">
        <f t="array" ref="C1724">IFERROR(IF(SUMPRODUCT((measured[Site Name]=A1724)*(measured[Date]=B1724)*ISNUMBER(measured[Measured Value (kWh)]))=0,"",SUMIFS(measured[Measured Value (kWh)],measured[Site Name],A1724,measured[Date],B1724)),"")</f>
        <v>4628</v>
      </c>
      <c r="D1724" cm="1">
        <f t="array" ref="D1724">IFERROR(IF(SUMPRODUCT((expected_production[Site Name]=A1724)*(expected_production[Date]=B1724)*ISNUMBER(expected_production[Expected Production (kWh)]))=0,"",SUMIFS(expected_production[Expected Production (kWh)],expected_production[Site Name],A1724,expected_production[Date],B1724)),"")</f>
        <v>5148.2961833399686</v>
      </c>
      <c r="E1724" s="9">
        <f t="shared" si="54"/>
        <v>0.89893817977612445</v>
      </c>
      <c r="F1724" t="str">
        <f t="shared" si="55"/>
        <v>Moderate</v>
      </c>
      <c r="G1724" t="s">
        <v>874</v>
      </c>
    </row>
    <row r="1725" spans="1:7" ht="15" hidden="1" customHeight="1" x14ac:dyDescent="0.3">
      <c r="A1725" t="s">
        <v>213</v>
      </c>
      <c r="B1725" s="2">
        <v>46235</v>
      </c>
      <c r="C1725" cm="1">
        <f t="array" ref="C1725">IFERROR(IF(SUMPRODUCT((measured[Site Name]=A1725)*(measured[Date]=B1725)*ISNUMBER(measured[Measured Value (kWh)]))=0,"",SUMIFS(measured[Measured Value (kWh)],measured[Site Name],A1725,measured[Date],B1725)),"")</f>
        <v>6659</v>
      </c>
      <c r="D1725" cm="1">
        <f t="array" ref="D1725">IFERROR(IF(SUMPRODUCT((expected_production[Site Name]=A1725)*(expected_production[Date]=B1725)*ISNUMBER(expected_production[Expected Production (kWh)]))=0,"",SUMIFS(expected_production[Expected Production (kWh)],expected_production[Site Name],A1725,expected_production[Date],B1725)),"")</f>
        <v>7076.7514890459479</v>
      </c>
      <c r="E1725" s="9">
        <f t="shared" si="54"/>
        <v>0.94096846700176173</v>
      </c>
      <c r="F1725" t="str">
        <f t="shared" si="55"/>
        <v>Expected</v>
      </c>
      <c r="G1725" t="s">
        <v>874</v>
      </c>
    </row>
    <row r="1726" spans="1:7" ht="15" customHeight="1" x14ac:dyDescent="0.3">
      <c r="A1726" t="s">
        <v>117</v>
      </c>
      <c r="B1726" s="2">
        <v>46266</v>
      </c>
      <c r="C1726" cm="1">
        <f t="array" ref="C1726">IFERROR(IF(SUMPRODUCT((measured[Site Name]=A1726)*(measured[Date]=B1726)*ISNUMBER(measured[Measured Value (kWh)]))=0,"",SUMIFS(measured[Measured Value (kWh)],measured[Site Name],A1726,measured[Date],B1726)),"")</f>
        <v>23016.89</v>
      </c>
      <c r="D1726" cm="1">
        <f t="array" ref="D1726">IFERROR(IF(SUMPRODUCT((expected_production[Site Name]=A1726)*(expected_production[Date]=B1726)*ISNUMBER(expected_production[Expected Production (kWh)]))=0,"",SUMIFS(expected_production[Expected Production (kWh)],expected_production[Site Name],A1726,expected_production[Date],B1726)),"")</f>
        <v>28398.521223834094</v>
      </c>
      <c r="E1726" s="9">
        <f t="shared" si="54"/>
        <v>0.81049607543235591</v>
      </c>
      <c r="F1726" t="str">
        <f t="shared" si="55"/>
        <v>Moderate</v>
      </c>
      <c r="G1726" t="s">
        <v>874</v>
      </c>
    </row>
    <row r="1727" spans="1:7" ht="15" hidden="1" customHeight="1" x14ac:dyDescent="0.3">
      <c r="A1727" t="s">
        <v>213</v>
      </c>
      <c r="B1727" s="2">
        <v>46296</v>
      </c>
      <c r="C1727" t="str" cm="1">
        <f t="array" ref="C1727">IFERROR(IF(SUMPRODUCT((measured[Site Name]=A1727)*(measured[Date]=B1727)*ISNUMBER(measured[Measured Value (kWh)]))=0,"",SUMIFS(measured[Measured Value (kWh)],measured[Site Name],A1727,measured[Date],B1727)),"")</f>
        <v/>
      </c>
      <c r="D1727" cm="1">
        <f t="array" ref="D1727">IFERROR(IF(SUMPRODUCT((expected_production[Site Name]=A1727)*(expected_production[Date]=B1727)*ISNUMBER(expected_production[Expected Production (kWh)]))=0,"",SUMIFS(expected_production[Expected Production (kWh)],expected_production[Site Name],A1727,expected_production[Date],B1727)),"")</f>
        <v>8936.9707730281516</v>
      </c>
      <c r="E1727" s="9" t="str">
        <f t="shared" si="54"/>
        <v/>
      </c>
      <c r="F1727" t="str">
        <f t="shared" si="55"/>
        <v/>
      </c>
    </row>
    <row r="1728" spans="1:7" ht="15" hidden="1" customHeight="1" x14ac:dyDescent="0.3">
      <c r="A1728" t="s">
        <v>213</v>
      </c>
      <c r="B1728" s="2">
        <v>46327</v>
      </c>
      <c r="C1728" t="str" cm="1">
        <f t="array" ref="C1728">IFERROR(IF(SUMPRODUCT((measured[Site Name]=A1728)*(measured[Date]=B1728)*ISNUMBER(measured[Measured Value (kWh)]))=0,"",SUMIFS(measured[Measured Value (kWh)],measured[Site Name],A1728,measured[Date],B1728)),"")</f>
        <v/>
      </c>
      <c r="D1728" cm="1">
        <f t="array" ref="D1728">IFERROR(IF(SUMPRODUCT((expected_production[Site Name]=A1728)*(expected_production[Date]=B1728)*ISNUMBER(expected_production[Expected Production (kWh)]))=0,"",SUMIFS(expected_production[Expected Production (kWh)],expected_production[Site Name],A1728,expected_production[Date],B1728)),"")</f>
        <v>8923.6120602484771</v>
      </c>
      <c r="E1728" s="9" t="str">
        <f t="shared" si="54"/>
        <v/>
      </c>
      <c r="F1728" t="str">
        <f t="shared" si="55"/>
        <v/>
      </c>
    </row>
    <row r="1729" spans="1:6" ht="15" hidden="1" customHeight="1" x14ac:dyDescent="0.3">
      <c r="A1729" t="s">
        <v>213</v>
      </c>
      <c r="B1729" s="2">
        <v>46357</v>
      </c>
      <c r="C1729" t="str" cm="1">
        <f t="array" ref="C1729">IFERROR(IF(SUMPRODUCT((measured[Site Name]=A1729)*(measured[Date]=B1729)*ISNUMBER(measured[Measured Value (kWh)]))=0,"",SUMIFS(measured[Measured Value (kWh)],measured[Site Name],A1729,measured[Date],B1729)),"")</f>
        <v/>
      </c>
      <c r="D1729" cm="1">
        <f t="array" ref="D1729">IFERROR(IF(SUMPRODUCT((expected_production[Site Name]=A1729)*(expected_production[Date]=B1729)*ISNUMBER(expected_production[Expected Production (kWh)]))=0,"",SUMIFS(expected_production[Expected Production (kWh)],expected_production[Site Name],A1729,expected_production[Date],B1729)),"")</f>
        <v>9158.3955835000106</v>
      </c>
      <c r="E1729" s="9" t="str">
        <f t="shared" si="54"/>
        <v/>
      </c>
      <c r="F1729" t="str">
        <f t="shared" si="55"/>
        <v/>
      </c>
    </row>
    <row r="1730" spans="1:6" ht="15" hidden="1" customHeight="1" x14ac:dyDescent="0.3">
      <c r="A1730" t="s">
        <v>216</v>
      </c>
      <c r="B1730" s="2">
        <v>45292</v>
      </c>
      <c r="C1730" t="str" cm="1">
        <f t="array" ref="C1730">IFERROR(IF(SUMPRODUCT((measured[Site Name]=A1730)*(measured[Date]=B1730)*ISNUMBER(measured[Measured Value (kWh)]))=0,"",SUMIFS(measured[Measured Value (kWh)],measured[Site Name],A1730,measured[Date],B1730)),"")</f>
        <v/>
      </c>
      <c r="D1730" cm="1">
        <f t="array" ref="D1730">IFERROR(IF(SUMPRODUCT((expected_production[Site Name]=A1730)*(expected_production[Date]=B1730)*ISNUMBER(expected_production[Expected Production (kWh)]))=0,"",SUMIFS(expected_production[Expected Production (kWh)],expected_production[Site Name],A1730,expected_production[Date],B1730)),"")</f>
        <v>28699.56</v>
      </c>
      <c r="E1730" s="9" t="str">
        <f t="shared" si="54"/>
        <v/>
      </c>
      <c r="F1730" t="str">
        <f t="shared" si="55"/>
        <v/>
      </c>
    </row>
    <row r="1731" spans="1:6" ht="15" hidden="1" customHeight="1" x14ac:dyDescent="0.3">
      <c r="A1731" t="s">
        <v>216</v>
      </c>
      <c r="B1731" s="2">
        <v>45323</v>
      </c>
      <c r="C1731" t="str" cm="1">
        <f t="array" ref="C1731">IFERROR(IF(SUMPRODUCT((measured[Site Name]=A1731)*(measured[Date]=B1731)*ISNUMBER(measured[Measured Value (kWh)]))=0,"",SUMIFS(measured[Measured Value (kWh)],measured[Site Name],A1731,measured[Date],B1731)),"")</f>
        <v/>
      </c>
      <c r="D1731" cm="1">
        <f t="array" ref="D1731">IFERROR(IF(SUMPRODUCT((expected_production[Site Name]=A1731)*(expected_production[Date]=B1731)*ISNUMBER(expected_production[Expected Production (kWh)]))=0,"",SUMIFS(expected_production[Expected Production (kWh)],expected_production[Site Name],A1731,expected_production[Date],B1731)),"")</f>
        <v>24909.3</v>
      </c>
      <c r="E1731" s="9" t="str">
        <f t="shared" si="54"/>
        <v/>
      </c>
      <c r="F1731" t="str">
        <f t="shared" si="55"/>
        <v/>
      </c>
    </row>
    <row r="1732" spans="1:6" ht="15" hidden="1" customHeight="1" x14ac:dyDescent="0.3">
      <c r="A1732" t="s">
        <v>216</v>
      </c>
      <c r="B1732" s="2">
        <v>45352</v>
      </c>
      <c r="C1732" t="str" cm="1">
        <f t="array" ref="C1732">IFERROR(IF(SUMPRODUCT((measured[Site Name]=A1732)*(measured[Date]=B1732)*ISNUMBER(measured[Measured Value (kWh)]))=0,"",SUMIFS(measured[Measured Value (kWh)],measured[Site Name],A1732,measured[Date],B1732)),"")</f>
        <v/>
      </c>
      <c r="D1732" cm="1">
        <f t="array" ref="D1732">IFERROR(IF(SUMPRODUCT((expected_production[Site Name]=A1732)*(expected_production[Date]=B1732)*ISNUMBER(expected_production[Expected Production (kWh)]))=0,"",SUMIFS(expected_production[Expected Production (kWh)],expected_production[Site Name],A1732,expected_production[Date],B1732)),"")</f>
        <v>24570</v>
      </c>
      <c r="E1732" s="9" t="str">
        <f t="shared" si="54"/>
        <v/>
      </c>
      <c r="F1732" t="str">
        <f t="shared" si="55"/>
        <v/>
      </c>
    </row>
    <row r="1733" spans="1:6" ht="15" hidden="1" customHeight="1" x14ac:dyDescent="0.3">
      <c r="A1733" t="s">
        <v>216</v>
      </c>
      <c r="B1733" s="2">
        <v>45383</v>
      </c>
      <c r="C1733" t="str" cm="1">
        <f t="array" ref="C1733">IFERROR(IF(SUMPRODUCT((measured[Site Name]=A1733)*(measured[Date]=B1733)*ISNUMBER(measured[Measured Value (kWh)]))=0,"",SUMIFS(measured[Measured Value (kWh)],measured[Site Name],A1733,measured[Date],B1733)),"")</f>
        <v/>
      </c>
      <c r="D1733" cm="1">
        <f t="array" ref="D1733">IFERROR(IF(SUMPRODUCT((expected_production[Site Name]=A1733)*(expected_production[Date]=B1733)*ISNUMBER(expected_production[Expected Production (kWh)]))=0,"",SUMIFS(expected_production[Expected Production (kWh)],expected_production[Site Name],A1733,expected_production[Date],B1733)),"")</f>
        <v>21388.5</v>
      </c>
      <c r="E1733" s="9" t="str">
        <f t="shared" si="54"/>
        <v/>
      </c>
      <c r="F1733" t="str">
        <f t="shared" si="55"/>
        <v/>
      </c>
    </row>
    <row r="1734" spans="1:6" ht="15" hidden="1" customHeight="1" x14ac:dyDescent="0.3">
      <c r="A1734" t="s">
        <v>216</v>
      </c>
      <c r="B1734" s="2">
        <v>45413</v>
      </c>
      <c r="C1734" t="str" cm="1">
        <f t="array" ref="C1734">IFERROR(IF(SUMPRODUCT((measured[Site Name]=A1734)*(measured[Date]=B1734)*ISNUMBER(measured[Measured Value (kWh)]))=0,"",SUMIFS(measured[Measured Value (kWh)],measured[Site Name],A1734,measured[Date],B1734)),"")</f>
        <v/>
      </c>
      <c r="D1734" cm="1">
        <f t="array" ref="D1734">IFERROR(IF(SUMPRODUCT((expected_production[Site Name]=A1734)*(expected_production[Date]=B1734)*ISNUMBER(expected_production[Expected Production (kWh)]))=0,"",SUMIFS(expected_production[Expected Production (kWh)],expected_production[Site Name],A1734,expected_production[Date],B1734)),"")</f>
        <v>19723.5</v>
      </c>
      <c r="E1734" s="9" t="str">
        <f t="shared" si="54"/>
        <v/>
      </c>
      <c r="F1734" t="str">
        <f t="shared" si="55"/>
        <v/>
      </c>
    </row>
    <row r="1735" spans="1:6" ht="15" hidden="1" customHeight="1" x14ac:dyDescent="0.3">
      <c r="A1735" t="s">
        <v>216</v>
      </c>
      <c r="B1735" s="2">
        <v>45444</v>
      </c>
      <c r="C1735" t="str" cm="1">
        <f t="array" ref="C1735">IFERROR(IF(SUMPRODUCT((measured[Site Name]=A1735)*(measured[Date]=B1735)*ISNUMBER(measured[Measured Value (kWh)]))=0,"",SUMIFS(measured[Measured Value (kWh)],measured[Site Name],A1735,measured[Date],B1735)),"")</f>
        <v/>
      </c>
      <c r="D1735" cm="1">
        <f t="array" ref="D1735">IFERROR(IF(SUMPRODUCT((expected_production[Site Name]=A1735)*(expected_production[Date]=B1735)*ISNUMBER(expected_production[Expected Production (kWh)]))=0,"",SUMIFS(expected_production[Expected Production (kWh)],expected_production[Site Name],A1735,expected_production[Date],B1735)),"")</f>
        <v>17431.2</v>
      </c>
      <c r="E1735" s="9" t="str">
        <f t="shared" si="54"/>
        <v/>
      </c>
      <c r="F1735" t="str">
        <f t="shared" si="55"/>
        <v/>
      </c>
    </row>
    <row r="1736" spans="1:6" ht="15" hidden="1" customHeight="1" x14ac:dyDescent="0.3">
      <c r="A1736" t="s">
        <v>216</v>
      </c>
      <c r="B1736" s="2">
        <v>45474</v>
      </c>
      <c r="C1736" t="str" cm="1">
        <f t="array" ref="C1736">IFERROR(IF(SUMPRODUCT((measured[Site Name]=A1736)*(measured[Date]=B1736)*ISNUMBER(measured[Measured Value (kWh)]))=0,"",SUMIFS(measured[Measured Value (kWh)],measured[Site Name],A1736,measured[Date],B1736)),"")</f>
        <v/>
      </c>
      <c r="D1736" cm="1">
        <f t="array" ref="D1736">IFERROR(IF(SUMPRODUCT((expected_production[Site Name]=A1736)*(expected_production[Date]=B1736)*ISNUMBER(expected_production[Expected Production (kWh)]))=0,"",SUMIFS(expected_production[Expected Production (kWh)],expected_production[Site Name],A1736,expected_production[Date],B1736)),"")</f>
        <v>19181.7</v>
      </c>
      <c r="E1736" s="9" t="str">
        <f t="shared" si="54"/>
        <v/>
      </c>
      <c r="F1736" t="str">
        <f t="shared" si="55"/>
        <v/>
      </c>
    </row>
    <row r="1737" spans="1:6" ht="15" hidden="1" customHeight="1" x14ac:dyDescent="0.3">
      <c r="A1737" t="s">
        <v>216</v>
      </c>
      <c r="B1737" s="2">
        <v>45505</v>
      </c>
      <c r="C1737" t="str" cm="1">
        <f t="array" ref="C1737">IFERROR(IF(SUMPRODUCT((measured[Site Name]=A1737)*(measured[Date]=B1737)*ISNUMBER(measured[Measured Value (kWh)]))=0,"",SUMIFS(measured[Measured Value (kWh)],measured[Site Name],A1737,measured[Date],B1737)),"")</f>
        <v/>
      </c>
      <c r="D1737" cm="1">
        <f t="array" ref="D1737">IFERROR(IF(SUMPRODUCT((expected_production[Site Name]=A1737)*(expected_production[Date]=B1737)*ISNUMBER(expected_production[Expected Production (kWh)]))=0,"",SUMIFS(expected_production[Expected Production (kWh)],expected_production[Site Name],A1737,expected_production[Date],B1737)),"")</f>
        <v>7231.3548387096798</v>
      </c>
      <c r="E1737" s="9" t="str">
        <f t="shared" si="54"/>
        <v/>
      </c>
      <c r="F1737" t="str">
        <f t="shared" si="55"/>
        <v/>
      </c>
    </row>
    <row r="1738" spans="1:6" ht="15" hidden="1" customHeight="1" x14ac:dyDescent="0.3">
      <c r="A1738" t="s">
        <v>216</v>
      </c>
      <c r="B1738" s="2">
        <v>45536</v>
      </c>
      <c r="C1738" t="str" cm="1">
        <f t="array" ref="C1738">IFERROR(IF(SUMPRODUCT((measured[Site Name]=A1738)*(measured[Date]=B1738)*ISNUMBER(measured[Measured Value (kWh)]))=0,"",SUMIFS(measured[Measured Value (kWh)],measured[Site Name],A1738,measured[Date],B1738)),"")</f>
        <v/>
      </c>
      <c r="D1738" cm="1">
        <f t="array" ref="D1738">IFERROR(IF(SUMPRODUCT((expected_production[Site Name]=A1738)*(expected_production[Date]=B1738)*ISNUMBER(expected_production[Expected Production (kWh)]))=0,"",SUMIFS(expected_production[Expected Production (kWh)],expected_production[Site Name],A1738,expected_production[Date],B1738)),"")</f>
        <v>24780.6</v>
      </c>
      <c r="E1738" s="9" t="str">
        <f t="shared" si="54"/>
        <v/>
      </c>
      <c r="F1738" t="str">
        <f t="shared" si="55"/>
        <v/>
      </c>
    </row>
    <row r="1739" spans="1:6" ht="15" hidden="1" customHeight="1" x14ac:dyDescent="0.3">
      <c r="A1739" t="s">
        <v>216</v>
      </c>
      <c r="B1739" s="2">
        <v>45566</v>
      </c>
      <c r="C1739" t="str" cm="1">
        <f t="array" ref="C1739">IFERROR(IF(SUMPRODUCT((measured[Site Name]=A1739)*(measured[Date]=B1739)*ISNUMBER(measured[Measured Value (kWh)]))=0,"",SUMIFS(measured[Measured Value (kWh)],measured[Site Name],A1739,measured[Date],B1739)),"")</f>
        <v/>
      </c>
      <c r="D1739" cm="1">
        <f t="array" ref="D1739">IFERROR(IF(SUMPRODUCT((expected_production[Site Name]=A1739)*(expected_production[Date]=B1739)*ISNUMBER(expected_production[Expected Production (kWh)]))=0,"",SUMIFS(expected_production[Expected Production (kWh)],expected_production[Site Name],A1739,expected_production[Date],B1739)),"")</f>
        <v>28127.7</v>
      </c>
      <c r="E1739" s="9" t="str">
        <f t="shared" si="54"/>
        <v/>
      </c>
      <c r="F1739" t="str">
        <f t="shared" si="55"/>
        <v/>
      </c>
    </row>
    <row r="1740" spans="1:6" ht="15" hidden="1" customHeight="1" x14ac:dyDescent="0.3">
      <c r="A1740" t="s">
        <v>216</v>
      </c>
      <c r="B1740" s="2">
        <v>45597</v>
      </c>
      <c r="C1740" t="str" cm="1">
        <f t="array" ref="C1740">IFERROR(IF(SUMPRODUCT((measured[Site Name]=A1740)*(measured[Date]=B1740)*ISNUMBER(measured[Measured Value (kWh)]))=0,"",SUMIFS(measured[Measured Value (kWh)],measured[Site Name],A1740,measured[Date],B1740)),"")</f>
        <v/>
      </c>
      <c r="D1740" cm="1">
        <f t="array" ref="D1740">IFERROR(IF(SUMPRODUCT((expected_production[Site Name]=A1740)*(expected_production[Date]=B1740)*ISNUMBER(expected_production[Expected Production (kWh)]))=0,"",SUMIFS(expected_production[Expected Production (kWh)],expected_production[Site Name],A1740,expected_production[Date],B1740)),"")</f>
        <v>28061.1</v>
      </c>
      <c r="E1740" s="9" t="str">
        <f t="shared" si="54"/>
        <v/>
      </c>
      <c r="F1740" t="str">
        <f t="shared" si="55"/>
        <v/>
      </c>
    </row>
    <row r="1741" spans="1:6" ht="15" hidden="1" customHeight="1" x14ac:dyDescent="0.3">
      <c r="A1741" t="s">
        <v>216</v>
      </c>
      <c r="B1741" s="2">
        <v>45627</v>
      </c>
      <c r="C1741" t="str" cm="1">
        <f t="array" ref="C1741">IFERROR(IF(SUMPRODUCT((measured[Site Name]=A1741)*(measured[Date]=B1741)*ISNUMBER(measured[Measured Value (kWh)]))=0,"",SUMIFS(measured[Measured Value (kWh)],measured[Site Name],A1741,measured[Date],B1741)),"")</f>
        <v/>
      </c>
      <c r="D1741" cm="1">
        <f t="array" ref="D1741">IFERROR(IF(SUMPRODUCT((expected_production[Site Name]=A1741)*(expected_production[Date]=B1741)*ISNUMBER(expected_production[Expected Production (kWh)]))=0,"",SUMIFS(expected_production[Expected Production (kWh)],expected_production[Site Name],A1741,expected_production[Date],B1741)),"")</f>
        <v>28703.7</v>
      </c>
      <c r="E1741" s="9" t="str">
        <f t="shared" si="54"/>
        <v/>
      </c>
      <c r="F1741" t="str">
        <f t="shared" si="55"/>
        <v/>
      </c>
    </row>
    <row r="1742" spans="1:6" ht="15" hidden="1" customHeight="1" x14ac:dyDescent="0.3">
      <c r="A1742" t="s">
        <v>216</v>
      </c>
      <c r="B1742" s="2">
        <v>45658</v>
      </c>
      <c r="C1742" t="str" cm="1">
        <f t="array" ref="C1742">IFERROR(IF(SUMPRODUCT((measured[Site Name]=A1742)*(measured[Date]=B1742)*ISNUMBER(measured[Measured Value (kWh)]))=0,"",SUMIFS(measured[Measured Value (kWh)],measured[Site Name],A1742,measured[Date],B1742)),"")</f>
        <v/>
      </c>
      <c r="D1742" cm="1">
        <f t="array" ref="D1742">IFERROR(IF(SUMPRODUCT((expected_production[Site Name]=A1742)*(expected_production[Date]=B1742)*ISNUMBER(expected_production[Expected Production (kWh)]))=0,"",SUMIFS(expected_production[Expected Production (kWh)],expected_production[Site Name],A1742,expected_production[Date],B1742)),"")</f>
        <v>28699.56</v>
      </c>
      <c r="E1742" s="9" t="str">
        <f t="shared" si="54"/>
        <v/>
      </c>
      <c r="F1742" t="str">
        <f t="shared" si="55"/>
        <v/>
      </c>
    </row>
    <row r="1743" spans="1:6" ht="15" hidden="1" customHeight="1" x14ac:dyDescent="0.3">
      <c r="A1743" t="s">
        <v>216</v>
      </c>
      <c r="B1743" s="2">
        <v>45689</v>
      </c>
      <c r="C1743" t="str" cm="1">
        <f t="array" ref="C1743">IFERROR(IF(SUMPRODUCT((measured[Site Name]=A1743)*(measured[Date]=B1743)*ISNUMBER(measured[Measured Value (kWh)]))=0,"",SUMIFS(measured[Measured Value (kWh)],measured[Site Name],A1743,measured[Date],B1743)),"")</f>
        <v/>
      </c>
      <c r="D1743" cm="1">
        <f t="array" ref="D1743">IFERROR(IF(SUMPRODUCT((expected_production[Site Name]=A1743)*(expected_production[Date]=B1743)*ISNUMBER(expected_production[Expected Production (kWh)]))=0,"",SUMIFS(expected_production[Expected Production (kWh)],expected_production[Site Name],A1743,expected_production[Date],B1743)),"")</f>
        <v>24909.3</v>
      </c>
      <c r="E1743" s="9" t="str">
        <f t="shared" si="54"/>
        <v/>
      </c>
      <c r="F1743" t="str">
        <f t="shared" si="55"/>
        <v/>
      </c>
    </row>
    <row r="1744" spans="1:6" ht="15" hidden="1" customHeight="1" x14ac:dyDescent="0.3">
      <c r="A1744" t="s">
        <v>216</v>
      </c>
      <c r="B1744" s="2">
        <v>45717</v>
      </c>
      <c r="C1744" t="str" cm="1">
        <f t="array" ref="C1744">IFERROR(IF(SUMPRODUCT((measured[Site Name]=A1744)*(measured[Date]=B1744)*ISNUMBER(measured[Measured Value (kWh)]))=0,"",SUMIFS(measured[Measured Value (kWh)],measured[Site Name],A1744,measured[Date],B1744)),"")</f>
        <v/>
      </c>
      <c r="D1744" cm="1">
        <f t="array" ref="D1744">IFERROR(IF(SUMPRODUCT((expected_production[Site Name]=A1744)*(expected_production[Date]=B1744)*ISNUMBER(expected_production[Expected Production (kWh)]))=0,"",SUMIFS(expected_production[Expected Production (kWh)],expected_production[Site Name],A1744,expected_production[Date],B1744)),"")</f>
        <v>24570</v>
      </c>
      <c r="E1744" s="9" t="str">
        <f t="shared" si="54"/>
        <v/>
      </c>
      <c r="F1744" t="str">
        <f t="shared" si="55"/>
        <v/>
      </c>
    </row>
    <row r="1745" spans="1:7" ht="15" hidden="1" customHeight="1" x14ac:dyDescent="0.3">
      <c r="A1745" t="s">
        <v>216</v>
      </c>
      <c r="B1745" s="2">
        <v>45748</v>
      </c>
      <c r="C1745" t="str" cm="1">
        <f t="array" ref="C1745">IFERROR(IF(SUMPRODUCT((measured[Site Name]=A1745)*(measured[Date]=B1745)*ISNUMBER(measured[Measured Value (kWh)]))=0,"",SUMIFS(measured[Measured Value (kWh)],measured[Site Name],A1745,measured[Date],B1745)),"")</f>
        <v/>
      </c>
      <c r="D1745" cm="1">
        <f t="array" ref="D1745">IFERROR(IF(SUMPRODUCT((expected_production[Site Name]=A1745)*(expected_production[Date]=B1745)*ISNUMBER(expected_production[Expected Production (kWh)]))=0,"",SUMIFS(expected_production[Expected Production (kWh)],expected_production[Site Name],A1745,expected_production[Date],B1745)),"")</f>
        <v>21388.5</v>
      </c>
      <c r="E1745" s="9" t="str">
        <f t="shared" si="54"/>
        <v/>
      </c>
      <c r="F1745" t="str">
        <f t="shared" si="55"/>
        <v/>
      </c>
    </row>
    <row r="1746" spans="1:7" ht="15" hidden="1" customHeight="1" x14ac:dyDescent="0.3">
      <c r="A1746" t="s">
        <v>216</v>
      </c>
      <c r="B1746" s="2">
        <v>45778</v>
      </c>
      <c r="C1746" t="str" cm="1">
        <f t="array" ref="C1746">IFERROR(IF(SUMPRODUCT((measured[Site Name]=A1746)*(measured[Date]=B1746)*ISNUMBER(measured[Measured Value (kWh)]))=0,"",SUMIFS(measured[Measured Value (kWh)],measured[Site Name],A1746,measured[Date],B1746)),"")</f>
        <v/>
      </c>
      <c r="D1746" cm="1">
        <f t="array" ref="D1746">IFERROR(IF(SUMPRODUCT((expected_production[Site Name]=A1746)*(expected_production[Date]=B1746)*ISNUMBER(expected_production[Expected Production (kWh)]))=0,"",SUMIFS(expected_production[Expected Production (kWh)],expected_production[Site Name],A1746,expected_production[Date],B1746)),"")</f>
        <v>19723.5</v>
      </c>
      <c r="E1746" s="9" t="str">
        <f t="shared" si="54"/>
        <v/>
      </c>
      <c r="F1746" t="str">
        <f t="shared" si="55"/>
        <v/>
      </c>
    </row>
    <row r="1747" spans="1:7" ht="15" hidden="1" customHeight="1" x14ac:dyDescent="0.3">
      <c r="A1747" t="s">
        <v>216</v>
      </c>
      <c r="B1747" s="2">
        <v>45809</v>
      </c>
      <c r="C1747" t="str" cm="1">
        <f t="array" ref="C1747">IFERROR(IF(SUMPRODUCT((measured[Site Name]=A1747)*(measured[Date]=B1747)*ISNUMBER(measured[Measured Value (kWh)]))=0,"",SUMIFS(measured[Measured Value (kWh)],measured[Site Name],A1747,measured[Date],B1747)),"")</f>
        <v/>
      </c>
      <c r="D1747" cm="1">
        <f t="array" ref="D1747">IFERROR(IF(SUMPRODUCT((expected_production[Site Name]=A1747)*(expected_production[Date]=B1747)*ISNUMBER(expected_production[Expected Production (kWh)]))=0,"",SUMIFS(expected_production[Expected Production (kWh)],expected_production[Site Name],A1747,expected_production[Date],B1747)),"")</f>
        <v>17431.2</v>
      </c>
      <c r="E1747" s="9" t="str">
        <f t="shared" si="54"/>
        <v/>
      </c>
      <c r="F1747" t="str">
        <f t="shared" si="55"/>
        <v/>
      </c>
    </row>
    <row r="1748" spans="1:7" ht="15" hidden="1" customHeight="1" x14ac:dyDescent="0.3">
      <c r="A1748" t="s">
        <v>216</v>
      </c>
      <c r="B1748" s="2">
        <v>45839</v>
      </c>
      <c r="C1748" t="str" cm="1">
        <f t="array" ref="C1748">IFERROR(IF(SUMPRODUCT((measured[Site Name]=A1748)*(measured[Date]=B1748)*ISNUMBER(measured[Measured Value (kWh)]))=0,"",SUMIFS(measured[Measured Value (kWh)],measured[Site Name],A1748,measured[Date],B1748)),"")</f>
        <v/>
      </c>
      <c r="D1748" cm="1">
        <f t="array" ref="D1748">IFERROR(IF(SUMPRODUCT((expected_production[Site Name]=A1748)*(expected_production[Date]=B1748)*ISNUMBER(expected_production[Expected Production (kWh)]))=0,"",SUMIFS(expected_production[Expected Production (kWh)],expected_production[Site Name],A1748,expected_production[Date],B1748)),"")</f>
        <v>19181.7</v>
      </c>
      <c r="E1748" s="9" t="str">
        <f t="shared" si="54"/>
        <v/>
      </c>
      <c r="F1748" t="str">
        <f t="shared" si="55"/>
        <v/>
      </c>
    </row>
    <row r="1749" spans="1:7" ht="15" hidden="1" customHeight="1" x14ac:dyDescent="0.3">
      <c r="A1749" t="s">
        <v>216</v>
      </c>
      <c r="B1749" s="2">
        <v>45870</v>
      </c>
      <c r="C1749" cm="1">
        <f t="array" ref="C1749">IFERROR(IF(SUMPRODUCT((measured[Site Name]=A1749)*(measured[Date]=B1749)*ISNUMBER(measured[Measured Value (kWh)]))=0,"",SUMIFS(measured[Measured Value (kWh)],measured[Site Name],A1749,measured[Date],B1749)),"")</f>
        <v>8229</v>
      </c>
      <c r="D1749" cm="1">
        <f t="array" ref="D1749">IFERROR(IF(SUMPRODUCT((expected_production[Site Name]=A1749)*(expected_production[Date]=B1749)*ISNUMBER(expected_production[Expected Production (kWh)]))=0,"",SUMIFS(expected_production[Expected Production (kWh)],expected_production[Site Name],A1749,expected_production[Date],B1749)),"")</f>
        <v>7231.3548387096798</v>
      </c>
      <c r="E1749" s="9">
        <f t="shared" si="54"/>
        <v>1.1379610299234513</v>
      </c>
      <c r="F1749" t="str">
        <f t="shared" si="55"/>
        <v>Expected</v>
      </c>
    </row>
    <row r="1750" spans="1:7" ht="15" hidden="1" customHeight="1" x14ac:dyDescent="0.3">
      <c r="A1750" t="s">
        <v>216</v>
      </c>
      <c r="B1750" s="2">
        <v>45901</v>
      </c>
      <c r="C1750" cm="1">
        <f t="array" ref="C1750">IFERROR(IF(SUMPRODUCT((measured[Site Name]=A1750)*(measured[Date]=B1750)*ISNUMBER(measured[Measured Value (kWh)]))=0,"",SUMIFS(measured[Measured Value (kWh)],measured[Site Name],A1750,measured[Date],B1750)),"")</f>
        <v>21334</v>
      </c>
      <c r="D1750" cm="1">
        <f t="array" ref="D1750">IFERROR(IF(SUMPRODUCT((expected_production[Site Name]=A1750)*(expected_production[Date]=B1750)*ISNUMBER(expected_production[Expected Production (kWh)]))=0,"",SUMIFS(expected_production[Expected Production (kWh)],expected_production[Site Name],A1750,expected_production[Date],B1750)),"")</f>
        <v>24774.881590560257</v>
      </c>
      <c r="E1750" s="9">
        <f t="shared" ref="E1750:E1813" si="56">IF(OR(C1750="",D1750="",D1750=0),"",C1750/D1750)</f>
        <v>0.86111410551115186</v>
      </c>
      <c r="F1750" t="str">
        <f t="shared" ref="F1750:F1813" si="57">IF(E1750="","",IF(E1750&gt;=0.9,"Expected",IF(E1750&gt;=0.7,"Moderate","Poor")))</f>
        <v>Moderate</v>
      </c>
    </row>
    <row r="1751" spans="1:7" ht="15" hidden="1" customHeight="1" x14ac:dyDescent="0.3">
      <c r="A1751" t="s">
        <v>216</v>
      </c>
      <c r="B1751" s="2">
        <v>45931</v>
      </c>
      <c r="C1751" cm="1">
        <f t="array" ref="C1751">IFERROR(IF(SUMPRODUCT((measured[Site Name]=A1751)*(measured[Date]=B1751)*ISNUMBER(measured[Measured Value (kWh)]))=0,"",SUMIFS(measured[Measured Value (kWh)],measured[Site Name],A1751,measured[Date],B1751)),"")</f>
        <v>26578</v>
      </c>
      <c r="D1751" cm="1">
        <f t="array" ref="D1751">IFERROR(IF(SUMPRODUCT((expected_production[Site Name]=A1751)*(expected_production[Date]=B1751)*ISNUMBER(expected_production[Expected Production (kWh)]))=0,"",SUMIFS(expected_production[Expected Production (kWh)],expected_production[Site Name],A1751,expected_production[Date],B1751)),"")</f>
        <v>28104.988782352219</v>
      </c>
      <c r="E1751" s="9">
        <f t="shared" si="56"/>
        <v>0.94566840804750474</v>
      </c>
      <c r="F1751" t="str">
        <f t="shared" si="57"/>
        <v>Expected</v>
      </c>
    </row>
    <row r="1752" spans="1:7" ht="15" hidden="1" customHeight="1" x14ac:dyDescent="0.3">
      <c r="A1752" t="s">
        <v>216</v>
      </c>
      <c r="B1752" s="2">
        <v>45962</v>
      </c>
      <c r="C1752" cm="1">
        <f t="array" ref="C1752">IFERROR(IF(SUMPRODUCT((measured[Site Name]=A1752)*(measured[Date]=B1752)*ISNUMBER(measured[Measured Value (kWh)]))=0,"",SUMIFS(measured[Measured Value (kWh)],measured[Site Name],A1752,measured[Date],B1752)),"")</f>
        <v>22629</v>
      </c>
      <c r="D1752" cm="1">
        <f t="array" ref="D1752">IFERROR(IF(SUMPRODUCT((expected_production[Site Name]=A1752)*(expected_production[Date]=B1752)*ISNUMBER(expected_production[Expected Production (kWh)]))=0,"",SUMIFS(expected_production[Expected Production (kWh)],expected_production[Site Name],A1752,expected_production[Date],B1752)),"")</f>
        <v>28021.730942384591</v>
      </c>
      <c r="E1752" s="9">
        <f t="shared" si="56"/>
        <v>0.80755182634960809</v>
      </c>
      <c r="F1752" t="str">
        <f t="shared" si="57"/>
        <v>Moderate</v>
      </c>
    </row>
    <row r="1753" spans="1:7" ht="15" hidden="1" customHeight="1" x14ac:dyDescent="0.3">
      <c r="A1753" t="s">
        <v>216</v>
      </c>
      <c r="B1753" s="2">
        <v>45992</v>
      </c>
      <c r="C1753" cm="1">
        <f t="array" ref="C1753">IFERROR(IF(SUMPRODUCT((measured[Site Name]=A1753)*(measured[Date]=B1753)*ISNUMBER(measured[Measured Value (kWh)]))=0,"",SUMIFS(measured[Measured Value (kWh)],measured[Site Name],A1753,measured[Date],B1753)),"")</f>
        <v>27791</v>
      </c>
      <c r="D1753" cm="1">
        <f t="array" ref="D1753">IFERROR(IF(SUMPRODUCT((expected_production[Site Name]=A1753)*(expected_production[Date]=B1753)*ISNUMBER(expected_production[Expected Production (kWh)]))=0,"",SUMIFS(expected_production[Expected Production (kWh)],expected_production[Site Name],A1753,expected_production[Date],B1753)),"")</f>
        <v>28646.896208799044</v>
      </c>
      <c r="E1753" s="9">
        <f t="shared" si="56"/>
        <v>0.97012255001167802</v>
      </c>
      <c r="F1753" t="str">
        <f t="shared" si="57"/>
        <v>Expected</v>
      </c>
    </row>
    <row r="1754" spans="1:7" ht="15" hidden="1" customHeight="1" x14ac:dyDescent="0.3">
      <c r="A1754" t="s">
        <v>216</v>
      </c>
      <c r="B1754" s="2">
        <v>46023</v>
      </c>
      <c r="C1754" cm="1">
        <f t="array" ref="C1754">IFERROR(IF(SUMPRODUCT((measured[Site Name]=A1754)*(measured[Date]=B1754)*ISNUMBER(measured[Measured Value (kWh)]))=0,"",SUMIFS(measured[Measured Value (kWh)],measured[Site Name],A1754,measured[Date],B1754)),"")</f>
        <v>27879</v>
      </c>
      <c r="D1754" cm="1">
        <f t="array" ref="D1754">IFERROR(IF(SUMPRODUCT((expected_production[Site Name]=A1754)*(expected_production[Date]=B1754)*ISNUMBER(expected_production[Expected Production (kWh)]))=0,"",SUMIFS(expected_production[Expected Production (kWh)],expected_production[Site Name],A1754,expected_production[Date],B1754)),"")</f>
        <v>28625.692595794906</v>
      </c>
      <c r="E1754" s="9">
        <f t="shared" si="56"/>
        <v>0.97391530027453044</v>
      </c>
      <c r="F1754" t="str">
        <f t="shared" si="57"/>
        <v>Expected</v>
      </c>
    </row>
    <row r="1755" spans="1:7" ht="15" hidden="1" customHeight="1" x14ac:dyDescent="0.3">
      <c r="A1755" t="s">
        <v>216</v>
      </c>
      <c r="B1755" s="2">
        <v>46054</v>
      </c>
      <c r="C1755" cm="1">
        <f t="array" ref="C1755">IFERROR(IF(SUMPRODUCT((measured[Site Name]=A1755)*(measured[Date]=B1755)*ISNUMBER(measured[Measured Value (kWh)]))=0,"",SUMIFS(measured[Measured Value (kWh)],measured[Site Name],A1755,measured[Date],B1755)),"")</f>
        <v>25500</v>
      </c>
      <c r="D1755" cm="1">
        <f t="array" ref="D1755">IFERROR(IF(SUMPRODUCT((expected_production[Site Name]=A1755)*(expected_production[Date]=B1755)*ISNUMBER(expected_production[Expected Production (kWh)]))=0,"",SUMIFS(expected_production[Expected Production (kWh)],expected_production[Site Name],A1755,expected_production[Date],B1755)),"")</f>
        <v>24830.379674752719</v>
      </c>
      <c r="E1755" s="9">
        <f t="shared" si="56"/>
        <v>1.0269677843842293</v>
      </c>
      <c r="F1755" t="str">
        <f t="shared" si="57"/>
        <v>Expected</v>
      </c>
    </row>
    <row r="1756" spans="1:7" ht="15" hidden="1" customHeight="1" x14ac:dyDescent="0.3">
      <c r="A1756" t="s">
        <v>216</v>
      </c>
      <c r="B1756" s="2">
        <v>46082</v>
      </c>
      <c r="C1756" cm="1">
        <f t="array" ref="C1756">IFERROR(IF(SUMPRODUCT((measured[Site Name]=A1756)*(measured[Date]=B1756)*ISNUMBER(measured[Measured Value (kWh)]))=0,"",SUMIFS(measured[Measured Value (kWh)],measured[Site Name],A1756,measured[Date],B1756)),"")</f>
        <v>20753</v>
      </c>
      <c r="D1756" cm="1">
        <f t="array" ref="D1756">IFERROR(IF(SUMPRODUCT((expected_production[Site Name]=A1756)*(expected_production[Date]=B1756)*ISNUMBER(expected_production[Expected Production (kWh)]))=0,"",SUMIFS(expected_production[Expected Production (kWh)],expected_production[Site Name],A1756,expected_production[Date],B1756)),"")</f>
        <v>24478.969066455167</v>
      </c>
      <c r="E1756" s="9">
        <f t="shared" si="56"/>
        <v>0.84778897116377905</v>
      </c>
      <c r="F1756" t="str">
        <f t="shared" si="57"/>
        <v>Moderate</v>
      </c>
    </row>
    <row r="1757" spans="1:7" ht="15" hidden="1" customHeight="1" x14ac:dyDescent="0.3">
      <c r="A1757" t="s">
        <v>216</v>
      </c>
      <c r="B1757" s="2">
        <v>46113</v>
      </c>
      <c r="C1757" cm="1">
        <f t="array" ref="C1757">IFERROR(IF(SUMPRODUCT((measured[Site Name]=A1757)*(measured[Date]=B1757)*ISNUMBER(measured[Measured Value (kWh)]))=0,"",SUMIFS(measured[Measured Value (kWh)],measured[Site Name],A1757,measured[Date],B1757)),"")</f>
        <v>18061.39</v>
      </c>
      <c r="D1757" cm="1">
        <f t="array" ref="D1757">IFERROR(IF(SUMPRODUCT((expected_production[Site Name]=A1757)*(expected_production[Date]=B1757)*ISNUMBER(expected_production[Expected Production (kWh)]))=0,"",SUMIFS(expected_production[Expected Production (kWh)],expected_production[Site Name],A1757,expected_production[Date],B1757)),"")</f>
        <v>21296.555554032049</v>
      </c>
      <c r="E1757" s="9">
        <f t="shared" si="56"/>
        <v>0.84808972766398649</v>
      </c>
      <c r="F1757" t="str">
        <f t="shared" si="57"/>
        <v>Moderate</v>
      </c>
    </row>
    <row r="1758" spans="1:7" ht="15" hidden="1" customHeight="1" x14ac:dyDescent="0.3">
      <c r="A1758" t="s">
        <v>216</v>
      </c>
      <c r="B1758" s="2">
        <v>46143</v>
      </c>
      <c r="C1758" cm="1">
        <f t="array" ref="C1758">IFERROR(IF(SUMPRODUCT((measured[Site Name]=A1758)*(measured[Date]=B1758)*ISNUMBER(measured[Measured Value (kWh)]))=0,"",SUMIFS(measured[Measured Value (kWh)],measured[Site Name],A1758,measured[Date],B1758)),"")</f>
        <v>18908.48</v>
      </c>
      <c r="D1758" cm="1">
        <f t="array" ref="D1758">IFERROR(IF(SUMPRODUCT((expected_production[Site Name]=A1758)*(expected_production[Date]=B1758)*ISNUMBER(expected_production[Expected Production (kWh)]))=0,"",SUMIFS(expected_production[Expected Production (kWh)],expected_production[Site Name],A1758,expected_production[Date],B1758)),"")</f>
        <v>19627.385333514583</v>
      </c>
      <c r="E1758" s="9">
        <f t="shared" si="56"/>
        <v>0.96337233302863712</v>
      </c>
      <c r="F1758" t="str">
        <f t="shared" si="57"/>
        <v>Expected</v>
      </c>
    </row>
    <row r="1759" spans="1:7" ht="15" hidden="1" customHeight="1" x14ac:dyDescent="0.3">
      <c r="A1759" t="s">
        <v>216</v>
      </c>
      <c r="B1759" s="2">
        <v>46174</v>
      </c>
      <c r="C1759" cm="1">
        <f t="array" ref="C1759">IFERROR(IF(SUMPRODUCT((measured[Site Name]=A1759)*(measured[Date]=B1759)*ISNUMBER(measured[Measured Value (kWh)]))=0,"",SUMIFS(measured[Measured Value (kWh)],measured[Site Name],A1759,measured[Date],B1759)),"")</f>
        <v>14035.5</v>
      </c>
      <c r="D1759" cm="1">
        <f t="array" ref="D1759">IFERROR(IF(SUMPRODUCT((expected_production[Site Name]=A1759)*(expected_production[Date]=B1759)*ISNUMBER(expected_production[Expected Production (kWh)]))=0,"",SUMIFS(expected_production[Expected Production (kWh)],expected_production[Site Name],A1759,expected_production[Date],B1759)),"")</f>
        <v>17335.91714619338</v>
      </c>
      <c r="E1759" s="9">
        <f t="shared" si="56"/>
        <v>0.80961969774307063</v>
      </c>
      <c r="F1759" t="str">
        <f t="shared" si="57"/>
        <v>Moderate</v>
      </c>
    </row>
    <row r="1760" spans="1:7" ht="15" hidden="1" customHeight="1" x14ac:dyDescent="0.3">
      <c r="A1760" t="s">
        <v>160</v>
      </c>
      <c r="B1760" s="2">
        <v>46204</v>
      </c>
      <c r="C1760" cm="1">
        <f t="array" ref="C1760">IFERROR(IF(SUMPRODUCT((measured[Site Name]=A1760)*(measured[Date]=B1760)*ISNUMBER(measured[Measured Value (kWh)]))=0,"",SUMIFS(measured[Measured Value (kWh)],measured[Site Name],A1760,measured[Date],B1760)),"")</f>
        <v>16691</v>
      </c>
      <c r="D1760" cm="1">
        <f t="array" ref="D1760">IFERROR(IF(SUMPRODUCT((expected_production[Site Name]=A1760)*(expected_production[Date]=B1760)*ISNUMBER(expected_production[Expected Production (kWh)]))=0,"",SUMIFS(expected_production[Expected Production (kWh)],expected_production[Site Name],A1760,expected_production[Date],B1760)),"")</f>
        <v>14781.054910605559</v>
      </c>
      <c r="E1760" s="9">
        <f t="shared" si="56"/>
        <v>1.1292157495487034</v>
      </c>
      <c r="F1760" t="str">
        <f t="shared" si="57"/>
        <v>Expected</v>
      </c>
      <c r="G1760" t="s">
        <v>874</v>
      </c>
    </row>
    <row r="1761" spans="1:7" ht="15" hidden="1" customHeight="1" x14ac:dyDescent="0.3">
      <c r="A1761" t="s">
        <v>216</v>
      </c>
      <c r="B1761" s="2">
        <v>46235</v>
      </c>
      <c r="C1761" cm="1">
        <f t="array" ref="C1761">IFERROR(IF(SUMPRODUCT((measured[Site Name]=A1761)*(measured[Date]=B1761)*ISNUMBER(measured[Measured Value (kWh)]))=0,"",SUMIFS(measured[Measured Value (kWh)],measured[Site Name],A1761,measured[Date],B1761)),"")</f>
        <v>20112.53</v>
      </c>
      <c r="D1761" cm="1">
        <f t="array" ref="D1761">IFERROR(IF(SUMPRODUCT((expected_production[Site Name]=A1761)*(expected_production[Date]=B1761)*ISNUMBER(expected_production[Expected Production (kWh)]))=0,"",SUMIFS(expected_production[Expected Production (kWh)],expected_production[Site Name],A1761,expected_production[Date],B1761)),"")</f>
        <v>22268.323712793797</v>
      </c>
      <c r="E1761" s="9">
        <f t="shared" si="56"/>
        <v>0.90319012151079736</v>
      </c>
      <c r="F1761" t="str">
        <f t="shared" si="57"/>
        <v>Expected</v>
      </c>
      <c r="G1761" t="s">
        <v>875</v>
      </c>
    </row>
    <row r="1762" spans="1:7" ht="15" customHeight="1" x14ac:dyDescent="0.3">
      <c r="A1762" t="s">
        <v>218</v>
      </c>
      <c r="B1762" s="2">
        <v>46266</v>
      </c>
      <c r="C1762" cm="1">
        <f t="array" ref="C1762">IFERROR(IF(SUMPRODUCT((measured[Site Name]=A1762)*(measured[Date]=B1762)*ISNUMBER(measured[Measured Value (kWh)]))=0,"",SUMIFS(measured[Measured Value (kWh)],measured[Site Name],A1762,measured[Date],B1762)),"")</f>
        <v>6579.8013199999996</v>
      </c>
      <c r="D1762" cm="1">
        <f t="array" ref="D1762">IFERROR(IF(SUMPRODUCT((expected_production[Site Name]=A1762)*(expected_production[Date]=B1762)*ISNUMBER(expected_production[Expected Production (kWh)]))=0,"",SUMIFS(expected_production[Expected Production (kWh)],expected_production[Site Name],A1762,expected_production[Date],B1762)),"")</f>
        <v>8095.0924636172822</v>
      </c>
      <c r="E1762" s="9">
        <f t="shared" si="56"/>
        <v>0.81281360893311194</v>
      </c>
      <c r="F1762" t="str">
        <f t="shared" si="57"/>
        <v>Moderate</v>
      </c>
      <c r="G1762" t="s">
        <v>874</v>
      </c>
    </row>
    <row r="1763" spans="1:7" ht="15" hidden="1" customHeight="1" x14ac:dyDescent="0.3">
      <c r="A1763" t="s">
        <v>216</v>
      </c>
      <c r="B1763" s="2">
        <v>46296</v>
      </c>
      <c r="C1763" t="str" cm="1">
        <f t="array" ref="C1763">IFERROR(IF(SUMPRODUCT((measured[Site Name]=A1763)*(measured[Date]=B1763)*ISNUMBER(measured[Measured Value (kWh)]))=0,"",SUMIFS(measured[Measured Value (kWh)],measured[Site Name],A1763,measured[Date],B1763)),"")</f>
        <v/>
      </c>
      <c r="D1763" cm="1">
        <f t="array" ref="D1763">IFERROR(IF(SUMPRODUCT((expected_production[Site Name]=A1763)*(expected_production[Date]=B1763)*ISNUMBER(expected_production[Expected Production (kWh)]))=0,"",SUMIFS(expected_production[Expected Production (kWh)],expected_production[Site Name],A1763,expected_production[Date],B1763)),"")</f>
        <v>27908.388046507673</v>
      </c>
      <c r="E1763" s="9" t="str">
        <f t="shared" si="56"/>
        <v/>
      </c>
      <c r="F1763" t="str">
        <f t="shared" si="57"/>
        <v/>
      </c>
    </row>
    <row r="1764" spans="1:7" ht="15" hidden="1" customHeight="1" x14ac:dyDescent="0.3">
      <c r="A1764" t="s">
        <v>216</v>
      </c>
      <c r="B1764" s="2">
        <v>46327</v>
      </c>
      <c r="C1764" t="str" cm="1">
        <f t="array" ref="C1764">IFERROR(IF(SUMPRODUCT((measured[Site Name]=A1764)*(measured[Date]=B1764)*ISNUMBER(measured[Measured Value (kWh)]))=0,"",SUMIFS(measured[Measured Value (kWh)],measured[Site Name],A1764,measured[Date],B1764)),"")</f>
        <v/>
      </c>
      <c r="D1764" cm="1">
        <f t="array" ref="D1764">IFERROR(IF(SUMPRODUCT((expected_production[Site Name]=A1764)*(expected_production[Date]=B1764)*ISNUMBER(expected_production[Expected Production (kWh)]))=0,"",SUMIFS(expected_production[Expected Production (kWh)],expected_production[Site Name],A1764,expected_production[Date],B1764)),"")</f>
        <v>27825.712613910113</v>
      </c>
      <c r="E1764" s="9" t="str">
        <f t="shared" si="56"/>
        <v/>
      </c>
      <c r="F1764" t="str">
        <f t="shared" si="57"/>
        <v/>
      </c>
    </row>
    <row r="1765" spans="1:7" ht="15" hidden="1" customHeight="1" x14ac:dyDescent="0.3">
      <c r="A1765" t="s">
        <v>216</v>
      </c>
      <c r="B1765" s="2">
        <v>46357</v>
      </c>
      <c r="C1765" t="str" cm="1">
        <f t="array" ref="C1765">IFERROR(IF(SUMPRODUCT((measured[Site Name]=A1765)*(measured[Date]=B1765)*ISNUMBER(measured[Measured Value (kWh)]))=0,"",SUMIFS(measured[Measured Value (kWh)],measured[Site Name],A1765,measured[Date],B1765)),"")</f>
        <v/>
      </c>
      <c r="D1765" cm="1">
        <f t="array" ref="D1765">IFERROR(IF(SUMPRODUCT((expected_production[Site Name]=A1765)*(expected_production[Date]=B1765)*ISNUMBER(expected_production[Expected Production (kWh)]))=0,"",SUMIFS(expected_production[Expected Production (kWh)],expected_production[Site Name],A1765,expected_production[Date],B1765)),"")</f>
        <v>28446.504708274817</v>
      </c>
      <c r="E1765" s="9" t="str">
        <f t="shared" si="56"/>
        <v/>
      </c>
      <c r="F1765" t="str">
        <f t="shared" si="57"/>
        <v/>
      </c>
    </row>
    <row r="1766" spans="1:7" ht="15" hidden="1" customHeight="1" x14ac:dyDescent="0.3">
      <c r="A1766" t="s">
        <v>218</v>
      </c>
      <c r="B1766" s="2">
        <v>45292</v>
      </c>
      <c r="C1766" t="str" cm="1">
        <f t="array" ref="C1766">IFERROR(IF(SUMPRODUCT((measured[Site Name]=A1766)*(measured[Date]=B1766)*ISNUMBER(measured[Measured Value (kWh)]))=0,"",SUMIFS(measured[Measured Value (kWh)],measured[Site Name],A1766,measured[Date],B1766)),"")</f>
        <v/>
      </c>
      <c r="D1766" cm="1">
        <f t="array" ref="D1766">IFERROR(IF(SUMPRODUCT((expected_production[Site Name]=A1766)*(expected_production[Date]=B1766)*ISNUMBER(expected_production[Expected Production (kWh)]))=0,"",SUMIFS(expected_production[Expected Production (kWh)],expected_production[Site Name],A1766,expected_production[Date],B1766)),"")</f>
        <v>9601.92</v>
      </c>
      <c r="E1766" s="9" t="str">
        <f t="shared" si="56"/>
        <v/>
      </c>
      <c r="F1766" t="str">
        <f t="shared" si="57"/>
        <v/>
      </c>
    </row>
    <row r="1767" spans="1:7" ht="15" hidden="1" customHeight="1" x14ac:dyDescent="0.3">
      <c r="A1767" t="s">
        <v>218</v>
      </c>
      <c r="B1767" s="2">
        <v>45323</v>
      </c>
      <c r="C1767" t="str" cm="1">
        <f t="array" ref="C1767">IFERROR(IF(SUMPRODUCT((measured[Site Name]=A1767)*(measured[Date]=B1767)*ISNUMBER(measured[Measured Value (kWh)]))=0,"",SUMIFS(measured[Measured Value (kWh)],measured[Site Name],A1767,measured[Date],B1767)),"")</f>
        <v/>
      </c>
      <c r="D1767" cm="1">
        <f t="array" ref="D1767">IFERROR(IF(SUMPRODUCT((expected_production[Site Name]=A1767)*(expected_production[Date]=B1767)*ISNUMBER(expected_production[Expected Production (kWh)]))=0,"",SUMIFS(expected_production[Expected Production (kWh)],expected_production[Site Name],A1767,expected_production[Date],B1767)),"")</f>
        <v>8296.74</v>
      </c>
      <c r="E1767" s="9" t="str">
        <f t="shared" si="56"/>
        <v/>
      </c>
      <c r="F1767" t="str">
        <f t="shared" si="57"/>
        <v/>
      </c>
    </row>
    <row r="1768" spans="1:7" ht="15" hidden="1" customHeight="1" x14ac:dyDescent="0.3">
      <c r="A1768" t="s">
        <v>218</v>
      </c>
      <c r="B1768" s="2">
        <v>45352</v>
      </c>
      <c r="C1768" t="str" cm="1">
        <f t="array" ref="C1768">IFERROR(IF(SUMPRODUCT((measured[Site Name]=A1768)*(measured[Date]=B1768)*ISNUMBER(measured[Measured Value (kWh)]))=0,"",SUMIFS(measured[Measured Value (kWh)],measured[Site Name],A1768,measured[Date],B1768)),"")</f>
        <v/>
      </c>
      <c r="D1768" cm="1">
        <f t="array" ref="D1768">IFERROR(IF(SUMPRODUCT((expected_production[Site Name]=A1768)*(expected_production[Date]=B1768)*ISNUMBER(expected_production[Expected Production (kWh)]))=0,"",SUMIFS(expected_production[Expected Production (kWh)],expected_production[Site Name],A1768,expected_production[Date],B1768)),"")</f>
        <v>8140.5</v>
      </c>
      <c r="E1768" s="9" t="str">
        <f t="shared" si="56"/>
        <v/>
      </c>
      <c r="F1768" t="str">
        <f t="shared" si="57"/>
        <v/>
      </c>
    </row>
    <row r="1769" spans="1:7" ht="15" hidden="1" customHeight="1" x14ac:dyDescent="0.3">
      <c r="A1769" t="s">
        <v>218</v>
      </c>
      <c r="B1769" s="2">
        <v>45383</v>
      </c>
      <c r="C1769" t="str" cm="1">
        <f t="array" ref="C1769">IFERROR(IF(SUMPRODUCT((measured[Site Name]=A1769)*(measured[Date]=B1769)*ISNUMBER(measured[Measured Value (kWh)]))=0,"",SUMIFS(measured[Measured Value (kWh)],measured[Site Name],A1769,measured[Date],B1769)),"")</f>
        <v/>
      </c>
      <c r="D1769" cm="1">
        <f t="array" ref="D1769">IFERROR(IF(SUMPRODUCT((expected_production[Site Name]=A1769)*(expected_production[Date]=B1769)*ISNUMBER(expected_production[Expected Production (kWh)]))=0,"",SUMIFS(expected_production[Expected Production (kWh)],expected_production[Site Name],A1769,expected_production[Date],B1769)),"")</f>
        <v>7017.3</v>
      </c>
      <c r="E1769" s="9" t="str">
        <f t="shared" si="56"/>
        <v/>
      </c>
      <c r="F1769" t="str">
        <f t="shared" si="57"/>
        <v/>
      </c>
    </row>
    <row r="1770" spans="1:7" ht="15" hidden="1" customHeight="1" x14ac:dyDescent="0.3">
      <c r="A1770" t="s">
        <v>218</v>
      </c>
      <c r="B1770" s="2">
        <v>45413</v>
      </c>
      <c r="C1770" t="str" cm="1">
        <f t="array" ref="C1770">IFERROR(IF(SUMPRODUCT((measured[Site Name]=A1770)*(measured[Date]=B1770)*ISNUMBER(measured[Measured Value (kWh)]))=0,"",SUMIFS(measured[Measured Value (kWh)],measured[Site Name],A1770,measured[Date],B1770)),"")</f>
        <v/>
      </c>
      <c r="D1770" cm="1">
        <f t="array" ref="D1770">IFERROR(IF(SUMPRODUCT((expected_production[Site Name]=A1770)*(expected_production[Date]=B1770)*ISNUMBER(expected_production[Expected Production (kWh)]))=0,"",SUMIFS(expected_production[Expected Production (kWh)],expected_production[Site Name],A1770,expected_production[Date],B1770)),"")</f>
        <v>6430.32</v>
      </c>
      <c r="E1770" s="9" t="str">
        <f t="shared" si="56"/>
        <v/>
      </c>
      <c r="F1770" t="str">
        <f t="shared" si="57"/>
        <v/>
      </c>
    </row>
    <row r="1771" spans="1:7" ht="15" hidden="1" customHeight="1" x14ac:dyDescent="0.3">
      <c r="A1771" t="s">
        <v>218</v>
      </c>
      <c r="B1771" s="2">
        <v>45444</v>
      </c>
      <c r="C1771" t="str" cm="1">
        <f t="array" ref="C1771">IFERROR(IF(SUMPRODUCT((measured[Site Name]=A1771)*(measured[Date]=B1771)*ISNUMBER(measured[Measured Value (kWh)]))=0,"",SUMIFS(measured[Measured Value (kWh)],measured[Site Name],A1771,measured[Date],B1771)),"")</f>
        <v/>
      </c>
      <c r="D1771" cm="1">
        <f t="array" ref="D1771">IFERROR(IF(SUMPRODUCT((expected_production[Site Name]=A1771)*(expected_production[Date]=B1771)*ISNUMBER(expected_production[Expected Production (kWh)]))=0,"",SUMIFS(expected_production[Expected Production (kWh)],expected_production[Site Name],A1771,expected_production[Date],B1771)),"")</f>
        <v>5669.28</v>
      </c>
      <c r="E1771" s="9" t="str">
        <f t="shared" si="56"/>
        <v/>
      </c>
      <c r="F1771" t="str">
        <f t="shared" si="57"/>
        <v/>
      </c>
    </row>
    <row r="1772" spans="1:7" ht="15" hidden="1" customHeight="1" x14ac:dyDescent="0.3">
      <c r="A1772" t="s">
        <v>218</v>
      </c>
      <c r="B1772" s="2">
        <v>45474</v>
      </c>
      <c r="C1772" t="str" cm="1">
        <f t="array" ref="C1772">IFERROR(IF(SUMPRODUCT((measured[Site Name]=A1772)*(measured[Date]=B1772)*ISNUMBER(measured[Measured Value (kWh)]))=0,"",SUMIFS(measured[Measured Value (kWh)],measured[Site Name],A1772,measured[Date],B1772)),"")</f>
        <v/>
      </c>
      <c r="D1772" cm="1">
        <f t="array" ref="D1772">IFERROR(IF(SUMPRODUCT((expected_production[Site Name]=A1772)*(expected_production[Date]=B1772)*ISNUMBER(expected_production[Expected Production (kWh)]))=0,"",SUMIFS(expected_production[Expected Production (kWh)],expected_production[Site Name],A1772,expected_production[Date],B1772)),"")</f>
        <v>6247.44</v>
      </c>
      <c r="E1772" s="9" t="str">
        <f t="shared" si="56"/>
        <v/>
      </c>
      <c r="F1772" t="str">
        <f t="shared" si="57"/>
        <v/>
      </c>
    </row>
    <row r="1773" spans="1:7" ht="15" hidden="1" customHeight="1" x14ac:dyDescent="0.3">
      <c r="A1773" t="s">
        <v>218</v>
      </c>
      <c r="B1773" s="2">
        <v>45505</v>
      </c>
      <c r="C1773" t="str" cm="1">
        <f t="array" ref="C1773">IFERROR(IF(SUMPRODUCT((measured[Site Name]=A1773)*(measured[Date]=B1773)*ISNUMBER(measured[Measured Value (kWh)]))=0,"",SUMIFS(measured[Measured Value (kWh)],measured[Site Name],A1773,measured[Date],B1773)),"")</f>
        <v/>
      </c>
      <c r="D1773" cm="1">
        <f t="array" ref="D1773">IFERROR(IF(SUMPRODUCT((expected_production[Site Name]=A1773)*(expected_production[Date]=B1773)*ISNUMBER(expected_production[Expected Production (kWh)]))=0,"",SUMIFS(expected_production[Expected Production (kWh)],expected_production[Site Name],A1773,expected_production[Date],B1773)),"")</f>
        <v>2367.7838709677399</v>
      </c>
      <c r="E1773" s="9" t="str">
        <f t="shared" si="56"/>
        <v/>
      </c>
      <c r="F1773" t="str">
        <f t="shared" si="57"/>
        <v/>
      </c>
    </row>
    <row r="1774" spans="1:7" ht="15" hidden="1" customHeight="1" x14ac:dyDescent="0.3">
      <c r="A1774" t="s">
        <v>218</v>
      </c>
      <c r="B1774" s="2">
        <v>45536</v>
      </c>
      <c r="C1774" t="str" cm="1">
        <f t="array" ref="C1774">IFERROR(IF(SUMPRODUCT((measured[Site Name]=A1774)*(measured[Date]=B1774)*ISNUMBER(measured[Measured Value (kWh)]))=0,"",SUMIFS(measured[Measured Value (kWh)],measured[Site Name],A1774,measured[Date],B1774)),"")</f>
        <v/>
      </c>
      <c r="D1774" cm="1">
        <f t="array" ref="D1774">IFERROR(IF(SUMPRODUCT((expected_production[Site Name]=A1774)*(expected_production[Date]=B1774)*ISNUMBER(expected_production[Expected Production (kWh)]))=0,"",SUMIFS(expected_production[Expected Production (kWh)],expected_production[Site Name],A1774,expected_production[Date],B1774)),"")</f>
        <v>8154</v>
      </c>
      <c r="E1774" s="9" t="str">
        <f t="shared" si="56"/>
        <v/>
      </c>
      <c r="F1774" t="str">
        <f t="shared" si="57"/>
        <v/>
      </c>
    </row>
    <row r="1775" spans="1:7" ht="15" hidden="1" customHeight="1" x14ac:dyDescent="0.3">
      <c r="A1775" t="s">
        <v>218</v>
      </c>
      <c r="B1775" s="2">
        <v>45566</v>
      </c>
      <c r="C1775" t="str" cm="1">
        <f t="array" ref="C1775">IFERROR(IF(SUMPRODUCT((measured[Site Name]=A1775)*(measured[Date]=B1775)*ISNUMBER(measured[Measured Value (kWh)]))=0,"",SUMIFS(measured[Measured Value (kWh)],measured[Site Name],A1775,measured[Date],B1775)),"")</f>
        <v/>
      </c>
      <c r="D1775" cm="1">
        <f t="array" ref="D1775">IFERROR(IF(SUMPRODUCT((expected_production[Site Name]=A1775)*(expected_production[Date]=B1775)*ISNUMBER(expected_production[Expected Production (kWh)]))=0,"",SUMIFS(expected_production[Expected Production (kWh)],expected_production[Site Name],A1775,expected_production[Date],B1775)),"")</f>
        <v>9352.7999999999993</v>
      </c>
      <c r="E1775" s="9" t="str">
        <f t="shared" si="56"/>
        <v/>
      </c>
      <c r="F1775" t="str">
        <f t="shared" si="57"/>
        <v/>
      </c>
    </row>
    <row r="1776" spans="1:7" ht="15" hidden="1" customHeight="1" x14ac:dyDescent="0.3">
      <c r="A1776" t="s">
        <v>218</v>
      </c>
      <c r="B1776" s="2">
        <v>45597</v>
      </c>
      <c r="C1776" t="str" cm="1">
        <f t="array" ref="C1776">IFERROR(IF(SUMPRODUCT((measured[Site Name]=A1776)*(measured[Date]=B1776)*ISNUMBER(measured[Measured Value (kWh)]))=0,"",SUMIFS(measured[Measured Value (kWh)],measured[Site Name],A1776,measured[Date],B1776)),"")</f>
        <v/>
      </c>
      <c r="D1776" cm="1">
        <f t="array" ref="D1776">IFERROR(IF(SUMPRODUCT((expected_production[Site Name]=A1776)*(expected_production[Date]=B1776)*ISNUMBER(expected_production[Expected Production (kWh)]))=0,"",SUMIFS(expected_production[Expected Production (kWh)],expected_production[Site Name],A1776,expected_production[Date],B1776)),"")</f>
        <v>9353.7000000000007</v>
      </c>
      <c r="E1776" s="9" t="str">
        <f t="shared" si="56"/>
        <v/>
      </c>
      <c r="F1776" t="str">
        <f t="shared" si="57"/>
        <v/>
      </c>
    </row>
    <row r="1777" spans="1:6" ht="15" hidden="1" customHeight="1" x14ac:dyDescent="0.3">
      <c r="A1777" t="s">
        <v>218</v>
      </c>
      <c r="B1777" s="2">
        <v>45627</v>
      </c>
      <c r="C1777" t="str" cm="1">
        <f t="array" ref="C1777">IFERROR(IF(SUMPRODUCT((measured[Site Name]=A1777)*(measured[Date]=B1777)*ISNUMBER(measured[Measured Value (kWh)]))=0,"",SUMIFS(measured[Measured Value (kWh)],measured[Site Name],A1777,measured[Date],B1777)),"")</f>
        <v/>
      </c>
      <c r="D1777" cm="1">
        <f t="array" ref="D1777">IFERROR(IF(SUMPRODUCT((expected_production[Site Name]=A1777)*(expected_production[Date]=B1777)*ISNUMBER(expected_production[Expected Production (kWh)]))=0,"",SUMIFS(expected_production[Expected Production (kWh)],expected_production[Site Name],A1777,expected_production[Date],B1777)),"")</f>
        <v>9582.2999999999993</v>
      </c>
      <c r="E1777" s="9" t="str">
        <f t="shared" si="56"/>
        <v/>
      </c>
      <c r="F1777" t="str">
        <f t="shared" si="57"/>
        <v/>
      </c>
    </row>
    <row r="1778" spans="1:6" ht="15" hidden="1" customHeight="1" x14ac:dyDescent="0.3">
      <c r="A1778" t="s">
        <v>218</v>
      </c>
      <c r="B1778" s="2">
        <v>45658</v>
      </c>
      <c r="C1778" t="str" cm="1">
        <f t="array" ref="C1778">IFERROR(IF(SUMPRODUCT((measured[Site Name]=A1778)*(measured[Date]=B1778)*ISNUMBER(measured[Measured Value (kWh)]))=0,"",SUMIFS(measured[Measured Value (kWh)],measured[Site Name],A1778,measured[Date],B1778)),"")</f>
        <v/>
      </c>
      <c r="D1778" cm="1">
        <f t="array" ref="D1778">IFERROR(IF(SUMPRODUCT((expected_production[Site Name]=A1778)*(expected_production[Date]=B1778)*ISNUMBER(expected_production[Expected Production (kWh)]))=0,"",SUMIFS(expected_production[Expected Production (kWh)],expected_production[Site Name],A1778,expected_production[Date],B1778)),"")</f>
        <v>9601.92</v>
      </c>
      <c r="E1778" s="9" t="str">
        <f t="shared" si="56"/>
        <v/>
      </c>
      <c r="F1778" t="str">
        <f t="shared" si="57"/>
        <v/>
      </c>
    </row>
    <row r="1779" spans="1:6" ht="15" hidden="1" customHeight="1" x14ac:dyDescent="0.3">
      <c r="A1779" t="s">
        <v>218</v>
      </c>
      <c r="B1779" s="2">
        <v>45689</v>
      </c>
      <c r="C1779" t="str" cm="1">
        <f t="array" ref="C1779">IFERROR(IF(SUMPRODUCT((measured[Site Name]=A1779)*(measured[Date]=B1779)*ISNUMBER(measured[Measured Value (kWh)]))=0,"",SUMIFS(measured[Measured Value (kWh)],measured[Site Name],A1779,measured[Date],B1779)),"")</f>
        <v/>
      </c>
      <c r="D1779" cm="1">
        <f t="array" ref="D1779">IFERROR(IF(SUMPRODUCT((expected_production[Site Name]=A1779)*(expected_production[Date]=B1779)*ISNUMBER(expected_production[Expected Production (kWh)]))=0,"",SUMIFS(expected_production[Expected Production (kWh)],expected_production[Site Name],A1779,expected_production[Date],B1779)),"")</f>
        <v>8296.74</v>
      </c>
      <c r="E1779" s="9" t="str">
        <f t="shared" si="56"/>
        <v/>
      </c>
      <c r="F1779" t="str">
        <f t="shared" si="57"/>
        <v/>
      </c>
    </row>
    <row r="1780" spans="1:6" ht="15" hidden="1" customHeight="1" x14ac:dyDescent="0.3">
      <c r="A1780" t="s">
        <v>218</v>
      </c>
      <c r="B1780" s="2">
        <v>45717</v>
      </c>
      <c r="C1780" t="str" cm="1">
        <f t="array" ref="C1780">IFERROR(IF(SUMPRODUCT((measured[Site Name]=A1780)*(measured[Date]=B1780)*ISNUMBER(measured[Measured Value (kWh)]))=0,"",SUMIFS(measured[Measured Value (kWh)],measured[Site Name],A1780,measured[Date],B1780)),"")</f>
        <v/>
      </c>
      <c r="D1780" cm="1">
        <f t="array" ref="D1780">IFERROR(IF(SUMPRODUCT((expected_production[Site Name]=A1780)*(expected_production[Date]=B1780)*ISNUMBER(expected_production[Expected Production (kWh)]))=0,"",SUMIFS(expected_production[Expected Production (kWh)],expected_production[Site Name],A1780,expected_production[Date],B1780)),"")</f>
        <v>8140.5</v>
      </c>
      <c r="E1780" s="9" t="str">
        <f t="shared" si="56"/>
        <v/>
      </c>
      <c r="F1780" t="str">
        <f t="shared" si="57"/>
        <v/>
      </c>
    </row>
    <row r="1781" spans="1:6" ht="15" hidden="1" customHeight="1" x14ac:dyDescent="0.3">
      <c r="A1781" t="s">
        <v>218</v>
      </c>
      <c r="B1781" s="2">
        <v>45748</v>
      </c>
      <c r="C1781" t="str" cm="1">
        <f t="array" ref="C1781">IFERROR(IF(SUMPRODUCT((measured[Site Name]=A1781)*(measured[Date]=B1781)*ISNUMBER(measured[Measured Value (kWh)]))=0,"",SUMIFS(measured[Measured Value (kWh)],measured[Site Name],A1781,measured[Date],B1781)),"")</f>
        <v/>
      </c>
      <c r="D1781" cm="1">
        <f t="array" ref="D1781">IFERROR(IF(SUMPRODUCT((expected_production[Site Name]=A1781)*(expected_production[Date]=B1781)*ISNUMBER(expected_production[Expected Production (kWh)]))=0,"",SUMIFS(expected_production[Expected Production (kWh)],expected_production[Site Name],A1781,expected_production[Date],B1781)),"")</f>
        <v>7017.3</v>
      </c>
      <c r="E1781" s="9" t="str">
        <f t="shared" si="56"/>
        <v/>
      </c>
      <c r="F1781" t="str">
        <f t="shared" si="57"/>
        <v/>
      </c>
    </row>
    <row r="1782" spans="1:6" ht="15" hidden="1" customHeight="1" x14ac:dyDescent="0.3">
      <c r="A1782" t="s">
        <v>218</v>
      </c>
      <c r="B1782" s="2">
        <v>45778</v>
      </c>
      <c r="C1782" t="str" cm="1">
        <f t="array" ref="C1782">IFERROR(IF(SUMPRODUCT((measured[Site Name]=A1782)*(measured[Date]=B1782)*ISNUMBER(measured[Measured Value (kWh)]))=0,"",SUMIFS(measured[Measured Value (kWh)],measured[Site Name],A1782,measured[Date],B1782)),"")</f>
        <v/>
      </c>
      <c r="D1782" cm="1">
        <f t="array" ref="D1782">IFERROR(IF(SUMPRODUCT((expected_production[Site Name]=A1782)*(expected_production[Date]=B1782)*ISNUMBER(expected_production[Expected Production (kWh)]))=0,"",SUMIFS(expected_production[Expected Production (kWh)],expected_production[Site Name],A1782,expected_production[Date],B1782)),"")</f>
        <v>6430.32</v>
      </c>
      <c r="E1782" s="9" t="str">
        <f t="shared" si="56"/>
        <v/>
      </c>
      <c r="F1782" t="str">
        <f t="shared" si="57"/>
        <v/>
      </c>
    </row>
    <row r="1783" spans="1:6" ht="15" hidden="1" customHeight="1" x14ac:dyDescent="0.3">
      <c r="A1783" t="s">
        <v>218</v>
      </c>
      <c r="B1783" s="2">
        <v>45809</v>
      </c>
      <c r="C1783" t="str" cm="1">
        <f t="array" ref="C1783">IFERROR(IF(SUMPRODUCT((measured[Site Name]=A1783)*(measured[Date]=B1783)*ISNUMBER(measured[Measured Value (kWh)]))=0,"",SUMIFS(measured[Measured Value (kWh)],measured[Site Name],A1783,measured[Date],B1783)),"")</f>
        <v/>
      </c>
      <c r="D1783" cm="1">
        <f t="array" ref="D1783">IFERROR(IF(SUMPRODUCT((expected_production[Site Name]=A1783)*(expected_production[Date]=B1783)*ISNUMBER(expected_production[Expected Production (kWh)]))=0,"",SUMIFS(expected_production[Expected Production (kWh)],expected_production[Site Name],A1783,expected_production[Date],B1783)),"")</f>
        <v>5669.28</v>
      </c>
      <c r="E1783" s="9" t="str">
        <f t="shared" si="56"/>
        <v/>
      </c>
      <c r="F1783" t="str">
        <f t="shared" si="57"/>
        <v/>
      </c>
    </row>
    <row r="1784" spans="1:6" ht="15" hidden="1" customHeight="1" x14ac:dyDescent="0.3">
      <c r="A1784" t="s">
        <v>218</v>
      </c>
      <c r="B1784" s="2">
        <v>45839</v>
      </c>
      <c r="C1784" t="str" cm="1">
        <f t="array" ref="C1784">IFERROR(IF(SUMPRODUCT((measured[Site Name]=A1784)*(measured[Date]=B1784)*ISNUMBER(measured[Measured Value (kWh)]))=0,"",SUMIFS(measured[Measured Value (kWh)],measured[Site Name],A1784,measured[Date],B1784)),"")</f>
        <v/>
      </c>
      <c r="D1784" cm="1">
        <f t="array" ref="D1784">IFERROR(IF(SUMPRODUCT((expected_production[Site Name]=A1784)*(expected_production[Date]=B1784)*ISNUMBER(expected_production[Expected Production (kWh)]))=0,"",SUMIFS(expected_production[Expected Production (kWh)],expected_production[Site Name],A1784,expected_production[Date],B1784)),"")</f>
        <v>6247.44</v>
      </c>
      <c r="E1784" s="9" t="str">
        <f t="shared" si="56"/>
        <v/>
      </c>
      <c r="F1784" t="str">
        <f t="shared" si="57"/>
        <v/>
      </c>
    </row>
    <row r="1785" spans="1:6" ht="15" hidden="1" customHeight="1" x14ac:dyDescent="0.3">
      <c r="A1785" t="s">
        <v>218</v>
      </c>
      <c r="B1785" s="2">
        <v>45870</v>
      </c>
      <c r="C1785" cm="1">
        <f t="array" ref="C1785">IFERROR(IF(SUMPRODUCT((measured[Site Name]=A1785)*(measured[Date]=B1785)*ISNUMBER(measured[Measured Value (kWh)]))=0,"",SUMIFS(measured[Measured Value (kWh)],measured[Site Name],A1785,measured[Date],B1785)),"")</f>
        <v>2512</v>
      </c>
      <c r="D1785" cm="1">
        <f t="array" ref="D1785">IFERROR(IF(SUMPRODUCT((expected_production[Site Name]=A1785)*(expected_production[Date]=B1785)*ISNUMBER(expected_production[Expected Production (kWh)]))=0,"",SUMIFS(expected_production[Expected Production (kWh)],expected_production[Site Name],A1785,expected_production[Date],B1785)),"")</f>
        <v>2367.7838709677399</v>
      </c>
      <c r="E1785" s="9">
        <f t="shared" si="56"/>
        <v>1.0609076406003717</v>
      </c>
      <c r="F1785" t="str">
        <f t="shared" si="57"/>
        <v>Expected</v>
      </c>
    </row>
    <row r="1786" spans="1:6" ht="15" hidden="1" customHeight="1" x14ac:dyDescent="0.3">
      <c r="A1786" t="s">
        <v>218</v>
      </c>
      <c r="B1786" s="2">
        <v>45901</v>
      </c>
      <c r="C1786" cm="1">
        <f t="array" ref="C1786">IFERROR(IF(SUMPRODUCT((measured[Site Name]=A1786)*(measured[Date]=B1786)*ISNUMBER(measured[Measured Value (kWh)]))=0,"",SUMIFS(measured[Measured Value (kWh)],measured[Site Name],A1786,measured[Date],B1786)),"")</f>
        <v>7570</v>
      </c>
      <c r="D1786" cm="1">
        <f t="array" ref="D1786">IFERROR(IF(SUMPRODUCT((expected_production[Site Name]=A1786)*(expected_production[Date]=B1786)*ISNUMBER(expected_production[Expected Production (kWh)]))=0,"",SUMIFS(expected_production[Expected Production (kWh)],expected_production[Site Name],A1786,expected_production[Date],B1786)),"")</f>
        <v>8152.1183703957258</v>
      </c>
      <c r="E1786" s="9">
        <f t="shared" si="56"/>
        <v>0.92859299338566059</v>
      </c>
      <c r="F1786" t="str">
        <f t="shared" si="57"/>
        <v>Expected</v>
      </c>
    </row>
    <row r="1787" spans="1:6" ht="15" hidden="1" customHeight="1" x14ac:dyDescent="0.3">
      <c r="A1787" t="s">
        <v>218</v>
      </c>
      <c r="B1787" s="2">
        <v>45931</v>
      </c>
      <c r="C1787" cm="1">
        <f t="array" ref="C1787">IFERROR(IF(SUMPRODUCT((measured[Site Name]=A1787)*(measured[Date]=B1787)*ISNUMBER(measured[Measured Value (kWh)]))=0,"",SUMIFS(measured[Measured Value (kWh)],measured[Site Name],A1787,measured[Date],B1787)),"")</f>
        <v>8856</v>
      </c>
      <c r="D1787" cm="1">
        <f t="array" ref="D1787">IFERROR(IF(SUMPRODUCT((expected_production[Site Name]=A1787)*(expected_production[Date]=B1787)*ISNUMBER(expected_production[Expected Production (kWh)]))=0,"",SUMIFS(expected_production[Expected Production (kWh)],expected_production[Site Name],A1787,expected_production[Date],B1787)),"")</f>
        <v>9345.2482458069371</v>
      </c>
      <c r="E1787" s="9">
        <f t="shared" si="56"/>
        <v>0.9476473783319288</v>
      </c>
      <c r="F1787" t="str">
        <f t="shared" si="57"/>
        <v>Expected</v>
      </c>
    </row>
    <row r="1788" spans="1:6" ht="15" hidden="1" customHeight="1" x14ac:dyDescent="0.3">
      <c r="A1788" t="s">
        <v>218</v>
      </c>
      <c r="B1788" s="2">
        <v>45962</v>
      </c>
      <c r="C1788" cm="1">
        <f t="array" ref="C1788">IFERROR(IF(SUMPRODUCT((measured[Site Name]=A1788)*(measured[Date]=B1788)*ISNUMBER(measured[Measured Value (kWh)]))=0,"",SUMIFS(measured[Measured Value (kWh)],measured[Site Name],A1788,measured[Date],B1788)),"")</f>
        <v>7508</v>
      </c>
      <c r="D1788" cm="1">
        <f t="array" ref="D1788">IFERROR(IF(SUMPRODUCT((expected_production[Site Name]=A1788)*(expected_production[Date]=B1788)*ISNUMBER(expected_production[Expected Production (kWh)]))=0,"",SUMIFS(expected_production[Expected Production (kWh)],expected_production[Site Name],A1788,expected_production[Date],B1788)),"")</f>
        <v>9340.5769807948654</v>
      </c>
      <c r="E1788" s="9">
        <f t="shared" si="56"/>
        <v>0.80380473448665735</v>
      </c>
      <c r="F1788" t="str">
        <f t="shared" si="57"/>
        <v>Moderate</v>
      </c>
    </row>
    <row r="1789" spans="1:6" ht="15" hidden="1" customHeight="1" x14ac:dyDescent="0.3">
      <c r="A1789" t="s">
        <v>218</v>
      </c>
      <c r="B1789" s="2">
        <v>45992</v>
      </c>
      <c r="C1789" cm="1">
        <f t="array" ref="C1789">IFERROR(IF(SUMPRODUCT((measured[Site Name]=A1789)*(measured[Date]=B1789)*ISNUMBER(measured[Measured Value (kWh)]))=0,"",SUMIFS(measured[Measured Value (kWh)],measured[Site Name],A1789,measured[Date],B1789)),"")</f>
        <v>9313</v>
      </c>
      <c r="D1789" cm="1">
        <f t="array" ref="D1789">IFERROR(IF(SUMPRODUCT((expected_production[Site Name]=A1789)*(expected_production[Date]=B1789)*ISNUMBER(expected_production[Expected Production (kWh)]))=0,"",SUMIFS(expected_production[Expected Production (kWh)],expected_production[Site Name],A1789,expected_production[Date],B1789)),"")</f>
        <v>9563.3369057499567</v>
      </c>
      <c r="E1789" s="9">
        <f t="shared" si="56"/>
        <v>0.97382326815241216</v>
      </c>
      <c r="F1789" t="str">
        <f t="shared" si="57"/>
        <v>Expected</v>
      </c>
    </row>
    <row r="1790" spans="1:6" ht="15" hidden="1" customHeight="1" x14ac:dyDescent="0.3">
      <c r="A1790" t="s">
        <v>218</v>
      </c>
      <c r="B1790" s="2">
        <v>46023</v>
      </c>
      <c r="C1790" cm="1">
        <f t="array" ref="C1790">IFERROR(IF(SUMPRODUCT((measured[Site Name]=A1790)*(measured[Date]=B1790)*ISNUMBER(measured[Measured Value (kWh)]))=0,"",SUMIFS(measured[Measured Value (kWh)],measured[Site Name],A1790,measured[Date],B1790)),"")</f>
        <v>9484</v>
      </c>
      <c r="D1790" cm="1">
        <f t="array" ref="D1790">IFERROR(IF(SUMPRODUCT((expected_production[Site Name]=A1790)*(expected_production[Date]=B1790)*ISNUMBER(expected_production[Expected Production (kWh)]))=0,"",SUMIFS(expected_production[Expected Production (kWh)],expected_production[Site Name],A1790,expected_production[Date],B1790)),"")</f>
        <v>9577.2064188236691</v>
      </c>
      <c r="E1790" s="9">
        <f t="shared" si="56"/>
        <v>0.99026789078697575</v>
      </c>
      <c r="F1790" t="str">
        <f t="shared" si="57"/>
        <v>Expected</v>
      </c>
    </row>
    <row r="1791" spans="1:6" ht="15" hidden="1" customHeight="1" x14ac:dyDescent="0.3">
      <c r="A1791" t="s">
        <v>218</v>
      </c>
      <c r="B1791" s="2">
        <v>46054</v>
      </c>
      <c r="C1791" cm="1">
        <f t="array" ref="C1791">IFERROR(IF(SUMPRODUCT((measured[Site Name]=A1791)*(measured[Date]=B1791)*ISNUMBER(measured[Measured Value (kWh)]))=0,"",SUMIFS(measured[Measured Value (kWh)],measured[Site Name],A1791,measured[Date],B1791)),"")</f>
        <v>8425.7999999999993</v>
      </c>
      <c r="D1791" cm="1">
        <f t="array" ref="D1791">IFERROR(IF(SUMPRODUCT((expected_production[Site Name]=A1791)*(expected_production[Date]=B1791)*ISNUMBER(expected_production[Expected Production (kWh)]))=0,"",SUMIFS(expected_production[Expected Production (kWh)],expected_production[Site Name],A1791,expected_production[Date],B1791)),"")</f>
        <v>8270.4533753541</v>
      </c>
      <c r="E1791" s="9">
        <f t="shared" si="56"/>
        <v>1.0187833263299484</v>
      </c>
      <c r="F1791" t="str">
        <f t="shared" si="57"/>
        <v>Expected</v>
      </c>
    </row>
    <row r="1792" spans="1:6" ht="15" hidden="1" customHeight="1" x14ac:dyDescent="0.3">
      <c r="A1792" t="s">
        <v>218</v>
      </c>
      <c r="B1792" s="2">
        <v>46082</v>
      </c>
      <c r="C1792" cm="1">
        <f t="array" ref="C1792">IFERROR(IF(SUMPRODUCT((measured[Site Name]=A1792)*(measured[Date]=B1792)*ISNUMBER(measured[Measured Value (kWh)]))=0,"",SUMIFS(measured[Measured Value (kWh)],measured[Site Name],A1792,measured[Date],B1792)),"")</f>
        <v>7083</v>
      </c>
      <c r="D1792" cm="1">
        <f t="array" ref="D1792">IFERROR(IF(SUMPRODUCT((expected_production[Site Name]=A1792)*(expected_production[Date]=B1792)*ISNUMBER(expected_production[Expected Production (kWh)]))=0,"",SUMIFS(expected_production[Expected Production (kWh)],expected_production[Site Name],A1792,expected_production[Date],B1792)),"")</f>
        <v>8110.3397511387166</v>
      </c>
      <c r="E1792" s="9">
        <f t="shared" si="56"/>
        <v>0.87332962826933669</v>
      </c>
      <c r="F1792" t="str">
        <f t="shared" si="57"/>
        <v>Moderate</v>
      </c>
    </row>
    <row r="1793" spans="1:7" ht="15" hidden="1" customHeight="1" x14ac:dyDescent="0.3">
      <c r="A1793" t="s">
        <v>218</v>
      </c>
      <c r="B1793" s="2">
        <v>46113</v>
      </c>
      <c r="C1793" cm="1">
        <f t="array" ref="C1793">IFERROR(IF(SUMPRODUCT((measured[Site Name]=A1793)*(measured[Date]=B1793)*ISNUMBER(measured[Measured Value (kWh)]))=0,"",SUMIFS(measured[Measured Value (kWh)],measured[Site Name],A1793,measured[Date],B1793)),"")</f>
        <v>6207.8</v>
      </c>
      <c r="D1793" cm="1">
        <f t="array" ref="D1793">IFERROR(IF(SUMPRODUCT((expected_production[Site Name]=A1793)*(expected_production[Date]=B1793)*ISNUMBER(expected_production[Expected Production (kWh)]))=0,"",SUMIFS(expected_production[Expected Production (kWh)],expected_production[Site Name],A1793,expected_production[Date],B1793)),"")</f>
        <v>6987.1341744072324</v>
      </c>
      <c r="E1793" s="9">
        <f t="shared" si="56"/>
        <v>0.8884615416057402</v>
      </c>
      <c r="F1793" t="str">
        <f t="shared" si="57"/>
        <v>Moderate</v>
      </c>
    </row>
    <row r="1794" spans="1:7" ht="15" hidden="1" customHeight="1" x14ac:dyDescent="0.3">
      <c r="A1794" t="s">
        <v>218</v>
      </c>
      <c r="B1794" s="2">
        <v>46143</v>
      </c>
      <c r="C1794" cm="1">
        <f t="array" ref="C1794">IFERROR(IF(SUMPRODUCT((measured[Site Name]=A1794)*(measured[Date]=B1794)*ISNUMBER(measured[Measured Value (kWh)]))=0,"",SUMIFS(measured[Measured Value (kWh)],measured[Site Name],A1794,measured[Date],B1794)),"")</f>
        <v>6478.04</v>
      </c>
      <c r="D1794" cm="1">
        <f t="array" ref="D1794">IFERROR(IF(SUMPRODUCT((expected_production[Site Name]=A1794)*(expected_production[Date]=B1794)*ISNUMBER(expected_production[Expected Production (kWh)]))=0,"",SUMIFS(expected_production[Expected Production (kWh)],expected_production[Site Name],A1794,expected_production[Date],B1794)),"")</f>
        <v>6398.984381971024</v>
      </c>
      <c r="E1794" s="9">
        <f t="shared" si="56"/>
        <v>1.0123544008408136</v>
      </c>
      <c r="F1794" t="str">
        <f t="shared" si="57"/>
        <v>Expected</v>
      </c>
    </row>
    <row r="1795" spans="1:7" ht="15" hidden="1" customHeight="1" x14ac:dyDescent="0.3">
      <c r="A1795" t="s">
        <v>218</v>
      </c>
      <c r="B1795" s="2">
        <v>46174</v>
      </c>
      <c r="C1795" cm="1">
        <f t="array" ref="C1795">IFERROR(IF(SUMPRODUCT((measured[Site Name]=A1795)*(measured[Date]=B1795)*ISNUMBER(measured[Measured Value (kWh)]))=0,"",SUMIFS(measured[Measured Value (kWh)],measured[Site Name],A1795,measured[Date],B1795)),"")</f>
        <v>4827</v>
      </c>
      <c r="D1795" cm="1">
        <f t="array" ref="D1795">IFERROR(IF(SUMPRODUCT((expected_production[Site Name]=A1795)*(expected_production[Date]=B1795)*ISNUMBER(expected_production[Expected Production (kWh)]))=0,"",SUMIFS(expected_production[Expected Production (kWh)],expected_production[Site Name],A1795,expected_production[Date],B1795)),"")</f>
        <v>5638.2904423431082</v>
      </c>
      <c r="E1795" s="9">
        <f t="shared" si="56"/>
        <v>0.8561105621217413</v>
      </c>
      <c r="F1795" t="str">
        <f t="shared" si="57"/>
        <v>Moderate</v>
      </c>
    </row>
    <row r="1796" spans="1:7" ht="15" hidden="1" customHeight="1" x14ac:dyDescent="0.3">
      <c r="A1796" t="s">
        <v>244</v>
      </c>
      <c r="B1796" s="2">
        <v>46204</v>
      </c>
      <c r="C1796" cm="1">
        <f t="array" ref="C1796">IFERROR(IF(SUMPRODUCT((measured[Site Name]=A1796)*(measured[Date]=B1796)*ISNUMBER(measured[Measured Value (kWh)]))=0,"",SUMIFS(measured[Measured Value (kWh)],measured[Site Name],A1796,measured[Date],B1796)),"")</f>
        <v>10570</v>
      </c>
      <c r="D1796" cm="1">
        <f t="array" ref="D1796">IFERROR(IF(SUMPRODUCT((expected_production[Site Name]=A1796)*(expected_production[Date]=B1796)*ISNUMBER(expected_production[Expected Production (kWh)]))=0,"",SUMIFS(expected_production[Expected Production (kWh)],expected_production[Site Name],A1796,expected_production[Date],B1796)),"")</f>
        <v>16797.89914868489</v>
      </c>
      <c r="E1796" s="9">
        <f t="shared" si="56"/>
        <v>0.62924535422202044</v>
      </c>
      <c r="F1796" t="str">
        <f t="shared" si="57"/>
        <v>Poor</v>
      </c>
      <c r="G1796" t="s">
        <v>874</v>
      </c>
    </row>
    <row r="1797" spans="1:7" ht="15" hidden="1" customHeight="1" x14ac:dyDescent="0.3">
      <c r="A1797" t="s">
        <v>218</v>
      </c>
      <c r="B1797" s="2">
        <v>46235</v>
      </c>
      <c r="C1797" cm="1">
        <f t="array" ref="C1797">IFERROR(IF(SUMPRODUCT((measured[Site Name]=A1797)*(measured[Date]=B1797)*ISNUMBER(measured[Measured Value (kWh)]))=0,"",SUMIFS(measured[Measured Value (kWh)],measured[Site Name],A1797,measured[Date],B1797)),"")</f>
        <v>2900</v>
      </c>
      <c r="D1797" cm="1">
        <f t="array" ref="D1797">IFERROR(IF(SUMPRODUCT((expected_production[Site Name]=A1797)*(expected_production[Date]=B1797)*ISNUMBER(expected_production[Expected Production (kWh)]))=0,"",SUMIFS(expected_production[Expected Production (kWh)],expected_production[Site Name],A1797,expected_production[Date],B1797)),"")</f>
        <v>7291.3189120714851</v>
      </c>
      <c r="E1797" s="9">
        <f t="shared" si="56"/>
        <v>0.39773325443203</v>
      </c>
      <c r="F1797" t="str">
        <f t="shared" si="57"/>
        <v>Poor</v>
      </c>
      <c r="G1797" t="s">
        <v>875</v>
      </c>
    </row>
    <row r="1798" spans="1:7" ht="15" customHeight="1" x14ac:dyDescent="0.3">
      <c r="A1798" t="s">
        <v>216</v>
      </c>
      <c r="B1798" s="2">
        <v>46266</v>
      </c>
      <c r="C1798" cm="1">
        <f t="array" ref="C1798">IFERROR(IF(SUMPRODUCT((measured[Site Name]=A1798)*(measured[Date]=B1798)*ISNUMBER(measured[Measured Value (kWh)]))=0,"",SUMIFS(measured[Measured Value (kWh)],measured[Site Name],A1798,measured[Date],B1798)),"")</f>
        <v>20045.689999999999</v>
      </c>
      <c r="D1798" cm="1">
        <f t="array" ref="D1798">IFERROR(IF(SUMPRODUCT((expected_production[Site Name]=A1798)*(expected_production[Date]=B1798)*ISNUMBER(expected_production[Expected Production (kWh)]))=0,"",SUMIFS(expected_production[Expected Production (kWh)],expected_production[Site Name],A1798,expected_production[Date],B1798)),"")</f>
        <v>24601.575705655436</v>
      </c>
      <c r="E1798" s="9">
        <f t="shared" si="56"/>
        <v>0.81481325585953723</v>
      </c>
      <c r="F1798" t="str">
        <f t="shared" si="57"/>
        <v>Moderate</v>
      </c>
      <c r="G1798" t="s">
        <v>874</v>
      </c>
    </row>
    <row r="1799" spans="1:7" ht="15" hidden="1" customHeight="1" x14ac:dyDescent="0.3">
      <c r="A1799" t="s">
        <v>218</v>
      </c>
      <c r="B1799" s="2">
        <v>46296</v>
      </c>
      <c r="C1799" t="str" cm="1">
        <f t="array" ref="C1799">IFERROR(IF(SUMPRODUCT((measured[Site Name]=A1799)*(measured[Date]=B1799)*ISNUMBER(measured[Measured Value (kWh)]))=0,"",SUMIFS(measured[Measured Value (kWh)],measured[Site Name],A1799,measured[Date],B1799)),"")</f>
        <v/>
      </c>
      <c r="D1799" cm="1">
        <f t="array" ref="D1799">IFERROR(IF(SUMPRODUCT((expected_production[Site Name]=A1799)*(expected_production[Date]=B1799)*ISNUMBER(expected_production[Expected Production (kWh)]))=0,"",SUMIFS(expected_production[Expected Production (kWh)],expected_production[Site Name],A1799,expected_production[Date],B1799)),"")</f>
        <v>9279.87612642971</v>
      </c>
      <c r="E1799" s="9" t="str">
        <f t="shared" si="56"/>
        <v/>
      </c>
      <c r="F1799" t="str">
        <f t="shared" si="57"/>
        <v/>
      </c>
    </row>
    <row r="1800" spans="1:7" ht="15" hidden="1" customHeight="1" x14ac:dyDescent="0.3">
      <c r="A1800" t="s">
        <v>218</v>
      </c>
      <c r="B1800" s="2">
        <v>46327</v>
      </c>
      <c r="C1800" t="str" cm="1">
        <f t="array" ref="C1800">IFERROR(IF(SUMPRODUCT((measured[Site Name]=A1800)*(measured[Date]=B1800)*ISNUMBER(measured[Measured Value (kWh)]))=0,"",SUMIFS(measured[Measured Value (kWh)],measured[Site Name],A1800,measured[Date],B1800)),"")</f>
        <v/>
      </c>
      <c r="D1800" cm="1">
        <f t="array" ref="D1800">IFERROR(IF(SUMPRODUCT((expected_production[Site Name]=A1800)*(expected_production[Date]=B1800)*ISNUMBER(expected_production[Expected Production (kWh)]))=0,"",SUMIFS(expected_production[Expected Production (kWh)],expected_production[Site Name],A1800,expected_production[Date],B1800)),"")</f>
        <v>9275.2375379700388</v>
      </c>
      <c r="E1800" s="9" t="str">
        <f t="shared" si="56"/>
        <v/>
      </c>
      <c r="F1800" t="str">
        <f t="shared" si="57"/>
        <v/>
      </c>
    </row>
    <row r="1801" spans="1:7" ht="15" hidden="1" customHeight="1" x14ac:dyDescent="0.3">
      <c r="A1801" t="s">
        <v>218</v>
      </c>
      <c r="B1801" s="2">
        <v>46357</v>
      </c>
      <c r="C1801" t="str" cm="1">
        <f t="array" ref="C1801">IFERROR(IF(SUMPRODUCT((measured[Site Name]=A1801)*(measured[Date]=B1801)*ISNUMBER(measured[Measured Value (kWh)]))=0,"",SUMIFS(measured[Measured Value (kWh)],measured[Site Name],A1801,measured[Date],B1801)),"")</f>
        <v/>
      </c>
      <c r="D1801" cm="1">
        <f t="array" ref="D1801">IFERROR(IF(SUMPRODUCT((expected_production[Site Name]=A1801)*(expected_production[Date]=B1801)*ISNUMBER(expected_production[Expected Production (kWh)]))=0,"",SUMIFS(expected_production[Expected Production (kWh)],expected_production[Site Name],A1801,expected_production[Date],B1801)),"")</f>
        <v>9496.4392070047325</v>
      </c>
      <c r="E1801" s="9" t="str">
        <f t="shared" si="56"/>
        <v/>
      </c>
      <c r="F1801" t="str">
        <f t="shared" si="57"/>
        <v/>
      </c>
    </row>
    <row r="1802" spans="1:7" ht="15" hidden="1" customHeight="1" x14ac:dyDescent="0.3">
      <c r="A1802" t="s">
        <v>163</v>
      </c>
      <c r="B1802" s="2">
        <v>45292</v>
      </c>
      <c r="C1802" cm="1">
        <f t="array" ref="C1802">IFERROR(IF(SUMPRODUCT((measured[Site Name]=A1802)*(measured[Date]=B1802)*ISNUMBER(measured[Measured Value (kWh)]))=0,"",SUMIFS(measured[Measured Value (kWh)],measured[Site Name],A1802,measured[Date],B1802)),"")</f>
        <v>1720</v>
      </c>
      <c r="D1802" cm="1">
        <f t="array" ref="D1802">IFERROR(IF(SUMPRODUCT((expected_production[Site Name]=A1802)*(expected_production[Date]=B1802)*ISNUMBER(expected_production[Expected Production (kWh)]))=0,"",SUMIFS(expected_production[Expected Production (kWh)],expected_production[Site Name],A1802,expected_production[Date],B1802)),"")</f>
        <v>5191.4789549999996</v>
      </c>
      <c r="E1802" s="9">
        <f t="shared" si="56"/>
        <v>0.33131213954810301</v>
      </c>
      <c r="F1802" t="str">
        <f t="shared" si="57"/>
        <v>Poor</v>
      </c>
    </row>
    <row r="1803" spans="1:7" ht="15" hidden="1" customHeight="1" x14ac:dyDescent="0.3">
      <c r="A1803" t="s">
        <v>163</v>
      </c>
      <c r="B1803" s="2">
        <v>45323</v>
      </c>
      <c r="C1803" cm="1">
        <f t="array" ref="C1803">IFERROR(IF(SUMPRODUCT((measured[Site Name]=A1803)*(measured[Date]=B1803)*ISNUMBER(measured[Measured Value (kWh)]))=0,"",SUMIFS(measured[Measured Value (kWh)],measured[Site Name],A1803,measured[Date],B1803)),"")</f>
        <v>1864</v>
      </c>
      <c r="D1803" cm="1">
        <f t="array" ref="D1803">IFERROR(IF(SUMPRODUCT((expected_production[Site Name]=A1803)*(expected_production[Date]=B1803)*ISNUMBER(expected_production[Expected Production (kWh)]))=0,"",SUMIFS(expected_production[Expected Production (kWh)],expected_production[Site Name],A1803,expected_production[Date],B1803)),"")</f>
        <v>4656.5572949999996</v>
      </c>
      <c r="E1803" s="9">
        <f t="shared" si="56"/>
        <v>0.40029572963731785</v>
      </c>
      <c r="F1803" t="str">
        <f t="shared" si="57"/>
        <v>Poor</v>
      </c>
    </row>
    <row r="1804" spans="1:7" ht="15" hidden="1" customHeight="1" x14ac:dyDescent="0.3">
      <c r="A1804" t="s">
        <v>163</v>
      </c>
      <c r="B1804" s="2">
        <v>45352</v>
      </c>
      <c r="C1804" cm="1">
        <f t="array" ref="C1804">IFERROR(IF(SUMPRODUCT((measured[Site Name]=A1804)*(measured[Date]=B1804)*ISNUMBER(measured[Measured Value (kWh)]))=0,"",SUMIFS(measured[Measured Value (kWh)],measured[Site Name],A1804,measured[Date],B1804)),"")</f>
        <v>2167</v>
      </c>
      <c r="D1804" cm="1">
        <f t="array" ref="D1804">IFERROR(IF(SUMPRODUCT((expected_production[Site Name]=A1804)*(expected_production[Date]=B1804)*ISNUMBER(expected_production[Expected Production (kWh)]))=0,"",SUMIFS(expected_production[Expected Production (kWh)],expected_production[Site Name],A1804,expected_production[Date],B1804)),"")</f>
        <v>5018.2718624999998</v>
      </c>
      <c r="E1804" s="9">
        <f t="shared" si="56"/>
        <v>0.4318219616982738</v>
      </c>
      <c r="F1804" t="str">
        <f t="shared" si="57"/>
        <v>Poor</v>
      </c>
    </row>
    <row r="1805" spans="1:7" ht="15" hidden="1" customHeight="1" x14ac:dyDescent="0.3">
      <c r="A1805" t="s">
        <v>163</v>
      </c>
      <c r="B1805" s="2">
        <v>45383</v>
      </c>
      <c r="C1805" cm="1">
        <f t="array" ref="C1805">IFERROR(IF(SUMPRODUCT((measured[Site Name]=A1805)*(measured[Date]=B1805)*ISNUMBER(measured[Measured Value (kWh)]))=0,"",SUMIFS(measured[Measured Value (kWh)],measured[Site Name],A1805,measured[Date],B1805)),"")</f>
        <v>1409</v>
      </c>
      <c r="D1805" cm="1">
        <f t="array" ref="D1805">IFERROR(IF(SUMPRODUCT((expected_production[Site Name]=A1805)*(expected_production[Date]=B1805)*ISNUMBER(expected_production[Expected Production (kWh)]))=0,"",SUMIFS(expected_production[Expected Production (kWh)],expected_production[Site Name],A1805,expected_production[Date],B1805)),"")</f>
        <v>4498.5660525000003</v>
      </c>
      <c r="E1805" s="9">
        <f t="shared" si="56"/>
        <v>0.31321091733597478</v>
      </c>
      <c r="F1805" t="str">
        <f t="shared" si="57"/>
        <v>Poor</v>
      </c>
    </row>
    <row r="1806" spans="1:7" ht="15" hidden="1" customHeight="1" x14ac:dyDescent="0.3">
      <c r="A1806" t="s">
        <v>163</v>
      </c>
      <c r="B1806" s="2">
        <v>45413</v>
      </c>
      <c r="C1806" cm="1">
        <f t="array" ref="C1806">IFERROR(IF(SUMPRODUCT((measured[Site Name]=A1806)*(measured[Date]=B1806)*ISNUMBER(measured[Measured Value (kWh)]))=0,"",SUMIFS(measured[Measured Value (kWh)],measured[Site Name],A1806,measured[Date],B1806)),"")</f>
        <v>1672</v>
      </c>
      <c r="D1806" cm="1">
        <f t="array" ref="D1806">IFERROR(IF(SUMPRODUCT((expected_production[Site Name]=A1806)*(expected_production[Date]=B1806)*ISNUMBER(expected_production[Expected Production (kWh)]))=0,"",SUMIFS(expected_production[Expected Production (kWh)],expected_production[Site Name],A1806,expected_production[Date],B1806)),"")</f>
        <v>4604.0626124999999</v>
      </c>
      <c r="E1806" s="9">
        <f t="shared" si="56"/>
        <v>0.36315752862711531</v>
      </c>
      <c r="F1806" t="str">
        <f t="shared" si="57"/>
        <v>Poor</v>
      </c>
    </row>
    <row r="1807" spans="1:7" ht="15" hidden="1" customHeight="1" x14ac:dyDescent="0.3">
      <c r="A1807" t="s">
        <v>163</v>
      </c>
      <c r="B1807" s="2">
        <v>45444</v>
      </c>
      <c r="C1807" cm="1">
        <f t="array" ref="C1807">IFERROR(IF(SUMPRODUCT((measured[Site Name]=A1807)*(measured[Date]=B1807)*ISNUMBER(measured[Measured Value (kWh)]))=0,"",SUMIFS(measured[Measured Value (kWh)],measured[Site Name],A1807,measured[Date],B1807)),"")</f>
        <v>1125</v>
      </c>
      <c r="D1807" cm="1">
        <f t="array" ref="D1807">IFERROR(IF(SUMPRODUCT((expected_production[Site Name]=A1807)*(expected_production[Date]=B1807)*ISNUMBER(expected_production[Expected Production (kWh)]))=0,"",SUMIFS(expected_production[Expected Production (kWh)],expected_production[Site Name],A1807,expected_production[Date],B1807)),"")</f>
        <v>4265.4254174999996</v>
      </c>
      <c r="E1807" s="9">
        <f t="shared" si="56"/>
        <v>0.26374860415666851</v>
      </c>
      <c r="F1807" t="str">
        <f t="shared" si="57"/>
        <v>Poor</v>
      </c>
    </row>
    <row r="1808" spans="1:7" ht="15" hidden="1" customHeight="1" x14ac:dyDescent="0.3">
      <c r="A1808" t="s">
        <v>163</v>
      </c>
      <c r="B1808" s="2">
        <v>45474</v>
      </c>
      <c r="C1808" cm="1">
        <f t="array" ref="C1808">IFERROR(IF(SUMPRODUCT((measured[Site Name]=A1808)*(measured[Date]=B1808)*ISNUMBER(measured[Measured Value (kWh)]))=0,"",SUMIFS(measured[Measured Value (kWh)],measured[Site Name],A1808,measured[Date],B1808)),"")</f>
        <v>2628</v>
      </c>
      <c r="D1808" cm="1">
        <f t="array" ref="D1808">IFERROR(IF(SUMPRODUCT((expected_production[Site Name]=A1808)*(expected_production[Date]=B1808)*ISNUMBER(expected_production[Expected Production (kWh)]))=0,"",SUMIFS(expected_production[Expected Production (kWh)],expected_production[Site Name],A1808,expected_production[Date],B1808)),"")</f>
        <v>4694.8505175</v>
      </c>
      <c r="E1808" s="9">
        <f t="shared" si="56"/>
        <v>0.55976223102400402</v>
      </c>
      <c r="F1808" t="str">
        <f t="shared" si="57"/>
        <v>Poor</v>
      </c>
    </row>
    <row r="1809" spans="1:6" ht="15" hidden="1" customHeight="1" x14ac:dyDescent="0.3">
      <c r="A1809" t="s">
        <v>163</v>
      </c>
      <c r="B1809" s="2">
        <v>45505</v>
      </c>
      <c r="C1809" cm="1">
        <f t="array" ref="C1809">IFERROR(IF(SUMPRODUCT((measured[Site Name]=A1809)*(measured[Date]=B1809)*ISNUMBER(measured[Measured Value (kWh)]))=0,"",SUMIFS(measured[Measured Value (kWh)],measured[Site Name],A1809,measured[Date],B1809)),"")</f>
        <v>794</v>
      </c>
      <c r="D1809" cm="1">
        <f t="array" ref="D1809">IFERROR(IF(SUMPRODUCT((expected_production[Site Name]=A1809)*(expected_production[Date]=B1809)*ISNUMBER(expected_production[Expected Production (kWh)]))=0,"",SUMIFS(expected_production[Expected Production (kWh)],expected_production[Site Name],A1809,expected_production[Date],B1809)),"")</f>
        <v>5144.2252875000004</v>
      </c>
      <c r="E1809" s="9">
        <f t="shared" si="56"/>
        <v>0.1543478280256014</v>
      </c>
      <c r="F1809" t="str">
        <f t="shared" si="57"/>
        <v>Poor</v>
      </c>
    </row>
    <row r="1810" spans="1:6" ht="15" hidden="1" customHeight="1" x14ac:dyDescent="0.3">
      <c r="A1810" t="s">
        <v>163</v>
      </c>
      <c r="B1810" s="2">
        <v>45536</v>
      </c>
      <c r="C1810" cm="1">
        <f t="array" ref="C1810">IFERROR(IF(SUMPRODUCT((measured[Site Name]=A1810)*(measured[Date]=B1810)*ISNUMBER(measured[Measured Value (kWh)]))=0,"",SUMIFS(measured[Measured Value (kWh)],measured[Site Name],A1810,measured[Date],B1810)),"")</f>
        <v>1822</v>
      </c>
      <c r="D1810" cm="1">
        <f t="array" ref="D1810">IFERROR(IF(SUMPRODUCT((expected_production[Site Name]=A1810)*(expected_production[Date]=B1810)*ISNUMBER(expected_production[Expected Production (kWh)]))=0,"",SUMIFS(expected_production[Expected Production (kWh)],expected_production[Site Name],A1810,expected_production[Date],B1810)),"")</f>
        <v>5295.0312674999996</v>
      </c>
      <c r="E1810" s="9">
        <f t="shared" si="56"/>
        <v>0.34409617393255554</v>
      </c>
      <c r="F1810" t="str">
        <f t="shared" si="57"/>
        <v>Poor</v>
      </c>
    </row>
    <row r="1811" spans="1:6" ht="15" hidden="1" customHeight="1" x14ac:dyDescent="0.3">
      <c r="A1811" t="s">
        <v>163</v>
      </c>
      <c r="B1811" s="2">
        <v>45566</v>
      </c>
      <c r="C1811" cm="1">
        <f t="array" ref="C1811">IFERROR(IF(SUMPRODUCT((measured[Site Name]=A1811)*(measured[Date]=B1811)*ISNUMBER(measured[Measured Value (kWh)]))=0,"",SUMIFS(measured[Measured Value (kWh)],measured[Site Name],A1811,measured[Date],B1811)),"")</f>
        <v>2044</v>
      </c>
      <c r="D1811" cm="1">
        <f t="array" ref="D1811">IFERROR(IF(SUMPRODUCT((expected_production[Site Name]=A1811)*(expected_production[Date]=B1811)*ISNUMBER(expected_production[Expected Production (kWh)]))=0,"",SUMIFS(expected_production[Expected Production (kWh)],expected_production[Site Name],A1811,expected_production[Date],B1811)),"")</f>
        <v>5391.4828500000003</v>
      </c>
      <c r="E1811" s="9">
        <f t="shared" si="56"/>
        <v>0.37911647998657733</v>
      </c>
      <c r="F1811" t="str">
        <f t="shared" si="57"/>
        <v>Poor</v>
      </c>
    </row>
    <row r="1812" spans="1:6" ht="15" hidden="1" customHeight="1" x14ac:dyDescent="0.3">
      <c r="A1812" t="s">
        <v>163</v>
      </c>
      <c r="B1812" s="2">
        <v>45597</v>
      </c>
      <c r="C1812" cm="1">
        <f t="array" ref="C1812">IFERROR(IF(SUMPRODUCT((measured[Site Name]=A1812)*(measured[Date]=B1812)*ISNUMBER(measured[Measured Value (kWh)]))=0,"",SUMIFS(measured[Measured Value (kWh)],measured[Site Name],A1812,measured[Date],B1812)),"")</f>
        <v>1984</v>
      </c>
      <c r="D1812" cm="1">
        <f t="array" ref="D1812">IFERROR(IF(SUMPRODUCT((expected_production[Site Name]=A1812)*(expected_production[Date]=B1812)*ISNUMBER(expected_production[Expected Production (kWh)]))=0,"",SUMIFS(expected_production[Expected Production (kWh)],expected_production[Site Name],A1812,expected_production[Date],B1812)),"")</f>
        <v>5210.6678325000003</v>
      </c>
      <c r="E1812" s="9">
        <f t="shared" si="56"/>
        <v>0.38075733548498075</v>
      </c>
      <c r="F1812" t="str">
        <f t="shared" si="57"/>
        <v>Poor</v>
      </c>
    </row>
    <row r="1813" spans="1:6" ht="15" hidden="1" customHeight="1" x14ac:dyDescent="0.3">
      <c r="A1813" t="s">
        <v>163</v>
      </c>
      <c r="B1813" s="2">
        <v>45627</v>
      </c>
      <c r="C1813" cm="1">
        <f t="array" ref="C1813">IFERROR(IF(SUMPRODUCT((measured[Site Name]=A1813)*(measured[Date]=B1813)*ISNUMBER(measured[Measured Value (kWh)]))=0,"",SUMIFS(measured[Measured Value (kWh)],measured[Site Name],A1813,measured[Date],B1813)),"")</f>
        <v>1687</v>
      </c>
      <c r="D1813" cm="1">
        <f t="array" ref="D1813">IFERROR(IF(SUMPRODUCT((expected_production[Site Name]=A1813)*(expected_production[Date]=B1813)*ISNUMBER(expected_production[Expected Production (kWh)]))=0,"",SUMIFS(expected_production[Expected Production (kWh)],expected_production[Site Name],A1813,expected_production[Date],B1813)),"")</f>
        <v>5439.6663749999998</v>
      </c>
      <c r="E1813" s="9">
        <f t="shared" si="56"/>
        <v>0.31012931376696795</v>
      </c>
      <c r="F1813" t="str">
        <f t="shared" si="57"/>
        <v>Poor</v>
      </c>
    </row>
    <row r="1814" spans="1:6" ht="15" hidden="1" customHeight="1" x14ac:dyDescent="0.3">
      <c r="A1814" t="s">
        <v>163</v>
      </c>
      <c r="B1814" s="2">
        <v>45658</v>
      </c>
      <c r="C1814" cm="1">
        <f t="array" ref="C1814">IFERROR(IF(SUMPRODUCT((measured[Site Name]=A1814)*(measured[Date]=B1814)*ISNUMBER(measured[Measured Value (kWh)]))=0,"",SUMIFS(measured[Measured Value (kWh)],measured[Site Name],A1814,measured[Date],B1814)),"")</f>
        <v>2354</v>
      </c>
      <c r="D1814" cm="1">
        <f t="array" ref="D1814">IFERROR(IF(SUMPRODUCT((expected_production[Site Name]=A1814)*(expected_production[Date]=B1814)*ISNUMBER(expected_production[Expected Production (kWh)]))=0,"",SUMIFS(expected_production[Expected Production (kWh)],expected_production[Site Name],A1814,expected_production[Date],B1814)),"")</f>
        <v>5191.4789549999996</v>
      </c>
      <c r="E1814" s="9">
        <f t="shared" ref="E1814:E1877" si="58">IF(OR(C1814="",D1814="",D1814=0),"",C1814/D1814)</f>
        <v>0.45343533517222939</v>
      </c>
      <c r="F1814" t="str">
        <f t="shared" ref="F1814:F1877" si="59">IF(E1814="","",IF(E1814&gt;=0.9,"Expected",IF(E1814&gt;=0.7,"Moderate","Poor")))</f>
        <v>Poor</v>
      </c>
    </row>
    <row r="1815" spans="1:6" ht="15" hidden="1" customHeight="1" x14ac:dyDescent="0.3">
      <c r="A1815" t="s">
        <v>163</v>
      </c>
      <c r="B1815" s="2">
        <v>45689</v>
      </c>
      <c r="C1815" cm="1">
        <f t="array" ref="C1815">IFERROR(IF(SUMPRODUCT((measured[Site Name]=A1815)*(measured[Date]=B1815)*ISNUMBER(measured[Measured Value (kWh)]))=0,"",SUMIFS(measured[Measured Value (kWh)],measured[Site Name],A1815,measured[Date],B1815)),"")</f>
        <v>1728</v>
      </c>
      <c r="D1815" cm="1">
        <f t="array" ref="D1815">IFERROR(IF(SUMPRODUCT((expected_production[Site Name]=A1815)*(expected_production[Date]=B1815)*ISNUMBER(expected_production[Expected Production (kWh)]))=0,"",SUMIFS(expected_production[Expected Production (kWh)],expected_production[Site Name],A1815,expected_production[Date],B1815)),"")</f>
        <v>4656.5572949999996</v>
      </c>
      <c r="E1815" s="9">
        <f t="shared" si="58"/>
        <v>0.37108960344060365</v>
      </c>
      <c r="F1815" t="str">
        <f t="shared" si="59"/>
        <v>Poor</v>
      </c>
    </row>
    <row r="1816" spans="1:6" ht="15" hidden="1" customHeight="1" x14ac:dyDescent="0.3">
      <c r="A1816" t="s">
        <v>163</v>
      </c>
      <c r="B1816" s="2">
        <v>45717</v>
      </c>
      <c r="C1816" cm="1">
        <f t="array" ref="C1816">IFERROR(IF(SUMPRODUCT((measured[Site Name]=A1816)*(measured[Date]=B1816)*ISNUMBER(measured[Measured Value (kWh)]))=0,"",SUMIFS(measured[Measured Value (kWh)],measured[Site Name],A1816,measured[Date],B1816)),"")</f>
        <v>1704</v>
      </c>
      <c r="D1816" cm="1">
        <f t="array" ref="D1816">IFERROR(IF(SUMPRODUCT((expected_production[Site Name]=A1816)*(expected_production[Date]=B1816)*ISNUMBER(expected_production[Expected Production (kWh)]))=0,"",SUMIFS(expected_production[Expected Production (kWh)],expected_production[Site Name],A1816,expected_production[Date],B1816)),"")</f>
        <v>5018.2718624999998</v>
      </c>
      <c r="E1816" s="9">
        <f t="shared" si="58"/>
        <v>0.33955912447340036</v>
      </c>
      <c r="F1816" t="str">
        <f t="shared" si="59"/>
        <v>Poor</v>
      </c>
    </row>
    <row r="1817" spans="1:6" ht="15" hidden="1" customHeight="1" x14ac:dyDescent="0.3">
      <c r="A1817" t="s">
        <v>163</v>
      </c>
      <c r="B1817" s="2">
        <v>45748</v>
      </c>
      <c r="C1817" cm="1">
        <f t="array" ref="C1817">IFERROR(IF(SUMPRODUCT((measured[Site Name]=A1817)*(measured[Date]=B1817)*ISNUMBER(measured[Measured Value (kWh)]))=0,"",SUMIFS(measured[Measured Value (kWh)],measured[Site Name],A1817,measured[Date],B1817)),"")</f>
        <v>1518</v>
      </c>
      <c r="D1817" cm="1">
        <f t="array" ref="D1817">IFERROR(IF(SUMPRODUCT((expected_production[Site Name]=A1817)*(expected_production[Date]=B1817)*ISNUMBER(expected_production[Expected Production (kWh)]))=0,"",SUMIFS(expected_production[Expected Production (kWh)],expected_production[Site Name],A1817,expected_production[Date],B1817)),"")</f>
        <v>4498.5660525000003</v>
      </c>
      <c r="E1817" s="9">
        <f t="shared" si="58"/>
        <v>0.33744086055075212</v>
      </c>
      <c r="F1817" t="str">
        <f t="shared" si="59"/>
        <v>Poor</v>
      </c>
    </row>
    <row r="1818" spans="1:6" ht="15" hidden="1" customHeight="1" x14ac:dyDescent="0.3">
      <c r="A1818" t="s">
        <v>163</v>
      </c>
      <c r="B1818" s="2">
        <v>45778</v>
      </c>
      <c r="C1818" cm="1">
        <f t="array" ref="C1818">IFERROR(IF(SUMPRODUCT((measured[Site Name]=A1818)*(measured[Date]=B1818)*ISNUMBER(measured[Measured Value (kWh)]))=0,"",SUMIFS(measured[Measured Value (kWh)],measured[Site Name],A1818,measured[Date],B1818)),"")</f>
        <v>2450</v>
      </c>
      <c r="D1818" cm="1">
        <f t="array" ref="D1818">IFERROR(IF(SUMPRODUCT((expected_production[Site Name]=A1818)*(expected_production[Date]=B1818)*ISNUMBER(expected_production[Expected Production (kWh)]))=0,"",SUMIFS(expected_production[Expected Production (kWh)],expected_production[Site Name],A1818,expected_production[Date],B1818)),"")</f>
        <v>4604.0626124999999</v>
      </c>
      <c r="E1818" s="9">
        <f t="shared" si="58"/>
        <v>0.53213872316772282</v>
      </c>
      <c r="F1818" t="str">
        <f t="shared" si="59"/>
        <v>Poor</v>
      </c>
    </row>
    <row r="1819" spans="1:6" ht="15" hidden="1" customHeight="1" x14ac:dyDescent="0.3">
      <c r="A1819" t="s">
        <v>163</v>
      </c>
      <c r="B1819" s="2">
        <v>45809</v>
      </c>
      <c r="C1819" cm="1">
        <f t="array" ref="C1819">IFERROR(IF(SUMPRODUCT((measured[Site Name]=A1819)*(measured[Date]=B1819)*ISNUMBER(measured[Measured Value (kWh)]))=0,"",SUMIFS(measured[Measured Value (kWh)],measured[Site Name],A1819,measured[Date],B1819)),"")</f>
        <v>2470.27</v>
      </c>
      <c r="D1819" cm="1">
        <f t="array" ref="D1819">IFERROR(IF(SUMPRODUCT((expected_production[Site Name]=A1819)*(expected_production[Date]=B1819)*ISNUMBER(expected_production[Expected Production (kWh)]))=0,"",SUMIFS(expected_production[Expected Production (kWh)],expected_production[Site Name],A1819,expected_production[Date],B1819)),"")</f>
        <v>4265.4254174999996</v>
      </c>
      <c r="E1819" s="9">
        <f t="shared" si="58"/>
        <v>0.57913801279119426</v>
      </c>
      <c r="F1819" t="str">
        <f t="shared" si="59"/>
        <v>Poor</v>
      </c>
    </row>
    <row r="1820" spans="1:6" ht="15" hidden="1" customHeight="1" x14ac:dyDescent="0.3">
      <c r="A1820" t="s">
        <v>163</v>
      </c>
      <c r="B1820" s="2">
        <v>45839</v>
      </c>
      <c r="C1820" cm="1">
        <f t="array" ref="C1820">IFERROR(IF(SUMPRODUCT((measured[Site Name]=A1820)*(measured[Date]=B1820)*ISNUMBER(measured[Measured Value (kWh)]))=0,"",SUMIFS(measured[Measured Value (kWh)],measured[Site Name],A1820,measured[Date],B1820)),"")</f>
        <v>2714</v>
      </c>
      <c r="D1820" cm="1">
        <f t="array" ref="D1820">IFERROR(IF(SUMPRODUCT((expected_production[Site Name]=A1820)*(expected_production[Date]=B1820)*ISNUMBER(expected_production[Expected Production (kWh)]))=0,"",SUMIFS(expected_production[Expected Production (kWh)],expected_production[Site Name],A1820,expected_production[Date],B1820)),"")</f>
        <v>4694.8505175</v>
      </c>
      <c r="E1820" s="9">
        <f t="shared" si="58"/>
        <v>0.5780801731351396</v>
      </c>
      <c r="F1820" t="str">
        <f t="shared" si="59"/>
        <v>Poor</v>
      </c>
    </row>
    <row r="1821" spans="1:6" ht="15" hidden="1" customHeight="1" x14ac:dyDescent="0.3">
      <c r="A1821" t="s">
        <v>163</v>
      </c>
      <c r="B1821" s="2">
        <v>45870</v>
      </c>
      <c r="C1821" cm="1">
        <f t="array" ref="C1821">IFERROR(IF(SUMPRODUCT((measured[Site Name]=A1821)*(measured[Date]=B1821)*ISNUMBER(measured[Measured Value (kWh)]))=0,"",SUMIFS(measured[Measured Value (kWh)],measured[Site Name],A1821,measured[Date],B1821)),"")</f>
        <v>2694</v>
      </c>
      <c r="D1821" cm="1">
        <f t="array" ref="D1821">IFERROR(IF(SUMPRODUCT((expected_production[Site Name]=A1821)*(expected_production[Date]=B1821)*ISNUMBER(expected_production[Expected Production (kWh)]))=0,"",SUMIFS(expected_production[Expected Production (kWh)],expected_production[Site Name],A1821,expected_production[Date],B1821)),"")</f>
        <v>5144.2252875000004</v>
      </c>
      <c r="E1821" s="9">
        <f t="shared" si="58"/>
        <v>0.52369401599618415</v>
      </c>
      <c r="F1821" t="str">
        <f t="shared" si="59"/>
        <v>Poor</v>
      </c>
    </row>
    <row r="1822" spans="1:6" ht="15" hidden="1" customHeight="1" x14ac:dyDescent="0.3">
      <c r="A1822" t="s">
        <v>163</v>
      </c>
      <c r="B1822" s="2">
        <v>45901</v>
      </c>
      <c r="C1822" cm="1">
        <f t="array" ref="C1822">IFERROR(IF(SUMPRODUCT((measured[Site Name]=A1822)*(measured[Date]=B1822)*ISNUMBER(measured[Measured Value (kWh)]))=0,"",SUMIFS(measured[Measured Value (kWh)],measured[Site Name],A1822,measured[Date],B1822)),"")</f>
        <v>1488</v>
      </c>
      <c r="D1822" cm="1">
        <f t="array" ref="D1822">IFERROR(IF(SUMPRODUCT((expected_production[Site Name]=A1822)*(expected_production[Date]=B1822)*ISNUMBER(expected_production[Expected Production (kWh)]))=0,"",SUMIFS(expected_production[Expected Production (kWh)],expected_production[Site Name],A1822,expected_production[Date],B1822)),"")</f>
        <v>5295.0312674999996</v>
      </c>
      <c r="E1822" s="9">
        <f t="shared" si="58"/>
        <v>0.2810181705881683</v>
      </c>
      <c r="F1822" t="str">
        <f t="shared" si="59"/>
        <v>Poor</v>
      </c>
    </row>
    <row r="1823" spans="1:6" ht="15" hidden="1" customHeight="1" x14ac:dyDescent="0.3">
      <c r="A1823" t="s">
        <v>163</v>
      </c>
      <c r="B1823" s="2">
        <v>45931</v>
      </c>
      <c r="C1823" cm="1">
        <f t="array" ref="C1823">IFERROR(IF(SUMPRODUCT((measured[Site Name]=A1823)*(measured[Date]=B1823)*ISNUMBER(measured[Measured Value (kWh)]))=0,"",SUMIFS(measured[Measured Value (kWh)],measured[Site Name],A1823,measured[Date],B1823)),"")</f>
        <v>380</v>
      </c>
      <c r="D1823" cm="1">
        <f t="array" ref="D1823">IFERROR(IF(SUMPRODUCT((expected_production[Site Name]=A1823)*(expected_production[Date]=B1823)*ISNUMBER(expected_production[Expected Production (kWh)]))=0,"",SUMIFS(expected_production[Expected Production (kWh)],expected_production[Site Name],A1823,expected_production[Date],B1823)),"")</f>
        <v>5391.4828500000003</v>
      </c>
      <c r="E1823" s="9">
        <f t="shared" si="58"/>
        <v>7.0481537375195399E-2</v>
      </c>
      <c r="F1823" t="str">
        <f t="shared" si="59"/>
        <v>Poor</v>
      </c>
    </row>
    <row r="1824" spans="1:6" ht="15" hidden="1" customHeight="1" x14ac:dyDescent="0.3">
      <c r="A1824" t="s">
        <v>163</v>
      </c>
      <c r="B1824" s="2">
        <v>45962</v>
      </c>
      <c r="C1824" t="str" cm="1">
        <f t="array" ref="C1824">IFERROR(IF(SUMPRODUCT((measured[Site Name]=A1824)*(measured[Date]=B1824)*ISNUMBER(measured[Measured Value (kWh)]))=0,"",SUMIFS(measured[Measured Value (kWh)],measured[Site Name],A1824,measured[Date],B1824)),"")</f>
        <v/>
      </c>
      <c r="D1824" cm="1">
        <f t="array" ref="D1824">IFERROR(IF(SUMPRODUCT((expected_production[Site Name]=A1824)*(expected_production[Date]=B1824)*ISNUMBER(expected_production[Expected Production (kWh)]))=0,"",SUMIFS(expected_production[Expected Production (kWh)],expected_production[Site Name],A1824,expected_production[Date],B1824)),"")</f>
        <v>5210.6678325000003</v>
      </c>
      <c r="E1824" s="9" t="str">
        <f t="shared" si="58"/>
        <v/>
      </c>
      <c r="F1824" t="str">
        <f t="shared" si="59"/>
        <v/>
      </c>
    </row>
    <row r="1825" spans="1:7" ht="15" hidden="1" customHeight="1" x14ac:dyDescent="0.3">
      <c r="A1825" t="s">
        <v>163</v>
      </c>
      <c r="B1825" s="2">
        <v>45992</v>
      </c>
      <c r="C1825" t="str" cm="1">
        <f t="array" ref="C1825">IFERROR(IF(SUMPRODUCT((measured[Site Name]=A1825)*(measured[Date]=B1825)*ISNUMBER(measured[Measured Value (kWh)]))=0,"",SUMIFS(measured[Measured Value (kWh)],measured[Site Name],A1825,measured[Date],B1825)),"")</f>
        <v/>
      </c>
      <c r="D1825" cm="1">
        <f t="array" ref="D1825">IFERROR(IF(SUMPRODUCT((expected_production[Site Name]=A1825)*(expected_production[Date]=B1825)*ISNUMBER(expected_production[Expected Production (kWh)]))=0,"",SUMIFS(expected_production[Expected Production (kWh)],expected_production[Site Name],A1825,expected_production[Date],B1825)),"")</f>
        <v>5439.6663749999998</v>
      </c>
      <c r="E1825" s="9" t="str">
        <f t="shared" si="58"/>
        <v/>
      </c>
      <c r="F1825" t="str">
        <f t="shared" si="59"/>
        <v/>
      </c>
    </row>
    <row r="1826" spans="1:7" ht="15" hidden="1" customHeight="1" x14ac:dyDescent="0.3">
      <c r="A1826" t="s">
        <v>163</v>
      </c>
      <c r="B1826" s="2">
        <v>46023</v>
      </c>
      <c r="C1826" t="str" cm="1">
        <f t="array" ref="C1826">IFERROR(IF(SUMPRODUCT((measured[Site Name]=A1826)*(measured[Date]=B1826)*ISNUMBER(measured[Measured Value (kWh)]))=0,"",SUMIFS(measured[Measured Value (kWh)],measured[Site Name],A1826,measured[Date],B1826)),"")</f>
        <v/>
      </c>
      <c r="D1826" cm="1">
        <f t="array" ref="D1826">IFERROR(IF(SUMPRODUCT((expected_production[Site Name]=A1826)*(expected_production[Date]=B1826)*ISNUMBER(expected_production[Expected Production (kWh)]))=0,"",SUMIFS(expected_production[Expected Production (kWh)],expected_production[Site Name],A1826,expected_production[Date],B1826)),"")</f>
        <v>5191.4789549999996</v>
      </c>
      <c r="E1826" s="9" t="str">
        <f t="shared" si="58"/>
        <v/>
      </c>
      <c r="F1826" t="str">
        <f t="shared" si="59"/>
        <v/>
      </c>
    </row>
    <row r="1827" spans="1:7" ht="15" hidden="1" customHeight="1" x14ac:dyDescent="0.3">
      <c r="A1827" t="s">
        <v>163</v>
      </c>
      <c r="B1827" s="2">
        <v>46054</v>
      </c>
      <c r="C1827" t="str" cm="1">
        <f t="array" ref="C1827">IFERROR(IF(SUMPRODUCT((measured[Site Name]=A1827)*(measured[Date]=B1827)*ISNUMBER(measured[Measured Value (kWh)]))=0,"",SUMIFS(measured[Measured Value (kWh)],measured[Site Name],A1827,measured[Date],B1827)),"")</f>
        <v/>
      </c>
      <c r="D1827" cm="1">
        <f t="array" ref="D1827">IFERROR(IF(SUMPRODUCT((expected_production[Site Name]=A1827)*(expected_production[Date]=B1827)*ISNUMBER(expected_production[Expected Production (kWh)]))=0,"",SUMIFS(expected_production[Expected Production (kWh)],expected_production[Site Name],A1827,expected_production[Date],B1827)),"")</f>
        <v>4656.5572949999996</v>
      </c>
      <c r="E1827" s="9" t="str">
        <f t="shared" si="58"/>
        <v/>
      </c>
      <c r="F1827" t="str">
        <f t="shared" si="59"/>
        <v/>
      </c>
    </row>
    <row r="1828" spans="1:7" ht="15" hidden="1" customHeight="1" x14ac:dyDescent="0.3">
      <c r="A1828" t="s">
        <v>163</v>
      </c>
      <c r="B1828" s="2">
        <v>46082</v>
      </c>
      <c r="C1828" t="str" cm="1">
        <f t="array" ref="C1828">IFERROR(IF(SUMPRODUCT((measured[Site Name]=A1828)*(measured[Date]=B1828)*ISNUMBER(measured[Measured Value (kWh)]))=0,"",SUMIFS(measured[Measured Value (kWh)],measured[Site Name],A1828,measured[Date],B1828)),"")</f>
        <v/>
      </c>
      <c r="D1828" cm="1">
        <f t="array" ref="D1828">IFERROR(IF(SUMPRODUCT((expected_production[Site Name]=A1828)*(expected_production[Date]=B1828)*ISNUMBER(expected_production[Expected Production (kWh)]))=0,"",SUMIFS(expected_production[Expected Production (kWh)],expected_production[Site Name],A1828,expected_production[Date],B1828)),"")</f>
        <v>5018.2718624999998</v>
      </c>
      <c r="E1828" s="9" t="str">
        <f t="shared" si="58"/>
        <v/>
      </c>
      <c r="F1828" t="str">
        <f t="shared" si="59"/>
        <v/>
      </c>
    </row>
    <row r="1829" spans="1:7" ht="15" hidden="1" customHeight="1" x14ac:dyDescent="0.3">
      <c r="A1829" t="s">
        <v>163</v>
      </c>
      <c r="B1829" s="2">
        <v>46113</v>
      </c>
      <c r="C1829" t="str" cm="1">
        <f t="array" ref="C1829">IFERROR(IF(SUMPRODUCT((measured[Site Name]=A1829)*(measured[Date]=B1829)*ISNUMBER(measured[Measured Value (kWh)]))=0,"",SUMIFS(measured[Measured Value (kWh)],measured[Site Name],A1829,measured[Date],B1829)),"")</f>
        <v/>
      </c>
      <c r="D1829" cm="1">
        <f t="array" ref="D1829">IFERROR(IF(SUMPRODUCT((expected_production[Site Name]=A1829)*(expected_production[Date]=B1829)*ISNUMBER(expected_production[Expected Production (kWh)]))=0,"",SUMIFS(expected_production[Expected Production (kWh)],expected_production[Site Name],A1829,expected_production[Date],B1829)),"")</f>
        <v>4498.5660525000003</v>
      </c>
      <c r="E1829" s="9" t="str">
        <f t="shared" si="58"/>
        <v/>
      </c>
      <c r="F1829" t="str">
        <f t="shared" si="59"/>
        <v/>
      </c>
    </row>
    <row r="1830" spans="1:7" ht="15" hidden="1" customHeight="1" x14ac:dyDescent="0.3">
      <c r="A1830" t="s">
        <v>163</v>
      </c>
      <c r="B1830" s="2">
        <v>46143</v>
      </c>
      <c r="C1830" t="str" cm="1">
        <f t="array" ref="C1830">IFERROR(IF(SUMPRODUCT((measured[Site Name]=A1830)*(measured[Date]=B1830)*ISNUMBER(measured[Measured Value (kWh)]))=0,"",SUMIFS(measured[Measured Value (kWh)],measured[Site Name],A1830,measured[Date],B1830)),"")</f>
        <v/>
      </c>
      <c r="D1830" cm="1">
        <f t="array" ref="D1830">IFERROR(IF(SUMPRODUCT((expected_production[Site Name]=A1830)*(expected_production[Date]=B1830)*ISNUMBER(expected_production[Expected Production (kWh)]))=0,"",SUMIFS(expected_production[Expected Production (kWh)],expected_production[Site Name],A1830,expected_production[Date],B1830)),"")</f>
        <v>4604.0626124999999</v>
      </c>
      <c r="E1830" s="9" t="str">
        <f t="shared" si="58"/>
        <v/>
      </c>
      <c r="F1830" t="str">
        <f t="shared" si="59"/>
        <v/>
      </c>
    </row>
    <row r="1831" spans="1:7" ht="15" hidden="1" customHeight="1" x14ac:dyDescent="0.3">
      <c r="A1831" t="s">
        <v>163</v>
      </c>
      <c r="B1831" s="2">
        <v>46174</v>
      </c>
      <c r="C1831" t="str" cm="1">
        <f t="array" ref="C1831">IFERROR(IF(SUMPRODUCT((measured[Site Name]=A1831)*(measured[Date]=B1831)*ISNUMBER(measured[Measured Value (kWh)]))=0,"",SUMIFS(measured[Measured Value (kWh)],measured[Site Name],A1831,measured[Date],B1831)),"")</f>
        <v/>
      </c>
      <c r="D1831" cm="1">
        <f t="array" ref="D1831">IFERROR(IF(SUMPRODUCT((expected_production[Site Name]=A1831)*(expected_production[Date]=B1831)*ISNUMBER(expected_production[Expected Production (kWh)]))=0,"",SUMIFS(expected_production[Expected Production (kWh)],expected_production[Site Name],A1831,expected_production[Date],B1831)),"")</f>
        <v>4265.4254174999996</v>
      </c>
      <c r="E1831" s="9" t="str">
        <f t="shared" si="58"/>
        <v/>
      </c>
      <c r="F1831" t="str">
        <f t="shared" si="59"/>
        <v/>
      </c>
    </row>
    <row r="1832" spans="1:7" ht="15" hidden="1" customHeight="1" x14ac:dyDescent="0.3">
      <c r="A1832" t="s">
        <v>163</v>
      </c>
      <c r="B1832" s="2">
        <v>46204</v>
      </c>
      <c r="C1832" cm="1">
        <f t="array" ref="C1832">IFERROR(IF(SUMPRODUCT((measured[Site Name]=A1832)*(measured[Date]=B1832)*ISNUMBER(measured[Measured Value (kWh)]))=0,"",SUMIFS(measured[Measured Value (kWh)],measured[Site Name],A1832,measured[Date],B1832)),"")</f>
        <v>0</v>
      </c>
      <c r="D1832" cm="1">
        <f t="array" ref="D1832">IFERROR(IF(SUMPRODUCT((expected_production[Site Name]=A1832)*(expected_production[Date]=B1832)*ISNUMBER(expected_production[Expected Production (kWh)]))=0,"",SUMIFS(expected_production[Expected Production (kWh)],expected_production[Site Name],A1832,expected_production[Date],B1832)),"")</f>
        <v>4694.8505175</v>
      </c>
      <c r="E1832" s="9">
        <f t="shared" si="58"/>
        <v>0</v>
      </c>
      <c r="F1832" t="str">
        <f t="shared" si="59"/>
        <v>Poor</v>
      </c>
      <c r="G1832" t="s">
        <v>874</v>
      </c>
    </row>
    <row r="1833" spans="1:7" ht="15" hidden="1" customHeight="1" x14ac:dyDescent="0.3">
      <c r="A1833" t="s">
        <v>163</v>
      </c>
      <c r="B1833" s="2">
        <v>46235</v>
      </c>
      <c r="C1833" t="str" cm="1">
        <f t="array" ref="C1833">IFERROR(IF(SUMPRODUCT((measured[Site Name]=A1833)*(measured[Date]=B1833)*ISNUMBER(measured[Measured Value (kWh)]))=0,"",SUMIFS(measured[Measured Value (kWh)],measured[Site Name],A1833,measured[Date],B1833)),"")</f>
        <v/>
      </c>
      <c r="D1833" cm="1">
        <f t="array" ref="D1833">IFERROR(IF(SUMPRODUCT((expected_production[Site Name]=A1833)*(expected_production[Date]=B1833)*ISNUMBER(expected_production[Expected Production (kWh)]))=0,"",SUMIFS(expected_production[Expected Production (kWh)],expected_production[Site Name],A1833,expected_production[Date],B1833)),"")</f>
        <v>5144.2252875000004</v>
      </c>
      <c r="E1833" s="9" t="str">
        <f t="shared" si="58"/>
        <v/>
      </c>
      <c r="F1833" t="str">
        <f t="shared" si="59"/>
        <v/>
      </c>
      <c r="G1833" t="s">
        <v>874</v>
      </c>
    </row>
    <row r="1834" spans="1:7" ht="15" customHeight="1" x14ac:dyDescent="0.3">
      <c r="A1834" t="s">
        <v>163</v>
      </c>
      <c r="B1834" s="2">
        <v>46266</v>
      </c>
      <c r="C1834" t="str" cm="1">
        <f t="array" ref="C1834">IFERROR(IF(SUMPRODUCT((measured[Site Name]=A1834)*(measured[Date]=B1834)*ISNUMBER(measured[Measured Value (kWh)]))=0,"",SUMIFS(measured[Measured Value (kWh)],measured[Site Name],A1834,measured[Date],B1834)),"")</f>
        <v/>
      </c>
      <c r="D1834" cm="1">
        <f t="array" ref="D1834">IFERROR(IF(SUMPRODUCT((expected_production[Site Name]=A1834)*(expected_production[Date]=B1834)*ISNUMBER(expected_production[Expected Production (kWh)]))=0,"",SUMIFS(expected_production[Expected Production (kWh)],expected_production[Site Name],A1834,expected_production[Date],B1834)),"")</f>
        <v>5295.0312674999996</v>
      </c>
      <c r="E1834" s="9" t="str">
        <f t="shared" si="58"/>
        <v/>
      </c>
      <c r="F1834" t="str">
        <f t="shared" si="59"/>
        <v/>
      </c>
      <c r="G1834" t="s">
        <v>874</v>
      </c>
    </row>
    <row r="1835" spans="1:7" ht="15" hidden="1" customHeight="1" x14ac:dyDescent="0.3">
      <c r="A1835" t="s">
        <v>163</v>
      </c>
      <c r="B1835" s="2">
        <v>46296</v>
      </c>
      <c r="C1835" t="str" cm="1">
        <f t="array" ref="C1835">IFERROR(IF(SUMPRODUCT((measured[Site Name]=A1835)*(measured[Date]=B1835)*ISNUMBER(measured[Measured Value (kWh)]))=0,"",SUMIFS(measured[Measured Value (kWh)],measured[Site Name],A1835,measured[Date],B1835)),"")</f>
        <v/>
      </c>
      <c r="D1835" cm="1">
        <f t="array" ref="D1835">IFERROR(IF(SUMPRODUCT((expected_production[Site Name]=A1835)*(expected_production[Date]=B1835)*ISNUMBER(expected_production[Expected Production (kWh)]))=0,"",SUMIFS(expected_production[Expected Production (kWh)],expected_production[Site Name],A1835,expected_production[Date],B1835)),"")</f>
        <v>5391.4828500000003</v>
      </c>
      <c r="E1835" s="9" t="str">
        <f t="shared" si="58"/>
        <v/>
      </c>
      <c r="F1835" t="str">
        <f t="shared" si="59"/>
        <v/>
      </c>
    </row>
    <row r="1836" spans="1:7" ht="15" hidden="1" customHeight="1" x14ac:dyDescent="0.3">
      <c r="A1836" t="s">
        <v>163</v>
      </c>
      <c r="B1836" s="2">
        <v>46327</v>
      </c>
      <c r="C1836" t="str" cm="1">
        <f t="array" ref="C1836">IFERROR(IF(SUMPRODUCT((measured[Site Name]=A1836)*(measured[Date]=B1836)*ISNUMBER(measured[Measured Value (kWh)]))=0,"",SUMIFS(measured[Measured Value (kWh)],measured[Site Name],A1836,measured[Date],B1836)),"")</f>
        <v/>
      </c>
      <c r="D1836" cm="1">
        <f t="array" ref="D1836">IFERROR(IF(SUMPRODUCT((expected_production[Site Name]=A1836)*(expected_production[Date]=B1836)*ISNUMBER(expected_production[Expected Production (kWh)]))=0,"",SUMIFS(expected_production[Expected Production (kWh)],expected_production[Site Name],A1836,expected_production[Date],B1836)),"")</f>
        <v>5210.6678325000003</v>
      </c>
      <c r="E1836" s="9" t="str">
        <f t="shared" si="58"/>
        <v/>
      </c>
      <c r="F1836" t="str">
        <f t="shared" si="59"/>
        <v/>
      </c>
    </row>
    <row r="1837" spans="1:7" ht="15" hidden="1" customHeight="1" x14ac:dyDescent="0.3">
      <c r="A1837" t="s">
        <v>163</v>
      </c>
      <c r="B1837" s="2">
        <v>46357</v>
      </c>
      <c r="C1837" t="str" cm="1">
        <f t="array" ref="C1837">IFERROR(IF(SUMPRODUCT((measured[Site Name]=A1837)*(measured[Date]=B1837)*ISNUMBER(measured[Measured Value (kWh)]))=0,"",SUMIFS(measured[Measured Value (kWh)],measured[Site Name],A1837,measured[Date],B1837)),"")</f>
        <v/>
      </c>
      <c r="D1837" cm="1">
        <f t="array" ref="D1837">IFERROR(IF(SUMPRODUCT((expected_production[Site Name]=A1837)*(expected_production[Date]=B1837)*ISNUMBER(expected_production[Expected Production (kWh)]))=0,"",SUMIFS(expected_production[Expected Production (kWh)],expected_production[Site Name],A1837,expected_production[Date],B1837)),"")</f>
        <v>5439.6663749999998</v>
      </c>
      <c r="E1837" s="9" t="str">
        <f t="shared" si="58"/>
        <v/>
      </c>
      <c r="F1837" t="str">
        <f t="shared" si="59"/>
        <v/>
      </c>
    </row>
    <row r="1838" spans="1:7" ht="15" hidden="1" customHeight="1" x14ac:dyDescent="0.3">
      <c r="A1838" t="s">
        <v>166</v>
      </c>
      <c r="B1838" s="2">
        <v>45292</v>
      </c>
      <c r="C1838" cm="1">
        <f t="array" ref="C1838">IFERROR(IF(SUMPRODUCT((measured[Site Name]=A1838)*(measured[Date]=B1838)*ISNUMBER(measured[Measured Value (kWh)]))=0,"",SUMIFS(measured[Measured Value (kWh)],measured[Site Name],A1838,measured[Date],B1838)),"")</f>
        <v>17948</v>
      </c>
      <c r="D1838" cm="1">
        <f t="array" ref="D1838">IFERROR(IF(SUMPRODUCT((expected_production[Site Name]=A1838)*(expected_production[Date]=B1838)*ISNUMBER(expected_production[Expected Production (kWh)]))=0,"",SUMIFS(expected_production[Expected Production (kWh)],expected_production[Site Name],A1838,expected_production[Date],B1838)),"")</f>
        <v>22925.413860917866</v>
      </c>
      <c r="E1838" s="9">
        <f t="shared" si="58"/>
        <v>0.78288663004670467</v>
      </c>
      <c r="F1838" t="str">
        <f t="shared" si="59"/>
        <v>Moderate</v>
      </c>
    </row>
    <row r="1839" spans="1:7" ht="15" hidden="1" customHeight="1" x14ac:dyDescent="0.3">
      <c r="A1839" t="s">
        <v>166</v>
      </c>
      <c r="B1839" s="2">
        <v>45323</v>
      </c>
      <c r="C1839" cm="1">
        <f t="array" ref="C1839">IFERROR(IF(SUMPRODUCT((measured[Site Name]=A1839)*(measured[Date]=B1839)*ISNUMBER(measured[Measured Value (kWh)]))=0,"",SUMIFS(measured[Measured Value (kWh)],measured[Site Name],A1839,measured[Date],B1839)),"")</f>
        <v>16954</v>
      </c>
      <c r="D1839" cm="1">
        <f t="array" ref="D1839">IFERROR(IF(SUMPRODUCT((expected_production[Site Name]=A1839)*(expected_production[Date]=B1839)*ISNUMBER(expected_production[Expected Production (kWh)]))=0,"",SUMIFS(expected_production[Expected Production (kWh)],expected_production[Site Name],A1839,expected_production[Date],B1839)),"")</f>
        <v>19806.894833689355</v>
      </c>
      <c r="E1839" s="9">
        <f t="shared" si="58"/>
        <v>0.85596455892536505</v>
      </c>
      <c r="F1839" t="str">
        <f t="shared" si="59"/>
        <v>Moderate</v>
      </c>
    </row>
    <row r="1840" spans="1:7" ht="15" hidden="1" customHeight="1" x14ac:dyDescent="0.3">
      <c r="A1840" t="s">
        <v>166</v>
      </c>
      <c r="B1840" s="2">
        <v>45352</v>
      </c>
      <c r="C1840" cm="1">
        <f t="array" ref="C1840">IFERROR(IF(SUMPRODUCT((measured[Site Name]=A1840)*(measured[Date]=B1840)*ISNUMBER(measured[Measured Value (kWh)]))=0,"",SUMIFS(measured[Measured Value (kWh)],measured[Site Name],A1840,measured[Date],B1840)),"")</f>
        <v>16498</v>
      </c>
      <c r="D1840" cm="1">
        <f t="array" ref="D1840">IFERROR(IF(SUMPRODUCT((expected_production[Site Name]=A1840)*(expected_production[Date]=B1840)*ISNUMBER(expected_production[Expected Production (kWh)]))=0,"",SUMIFS(expected_production[Expected Production (kWh)],expected_production[Site Name],A1840,expected_production[Date],B1840)),"")</f>
        <v>21850.864061856915</v>
      </c>
      <c r="E1840" s="9">
        <f t="shared" si="58"/>
        <v>0.75502735055677139</v>
      </c>
      <c r="F1840" t="str">
        <f t="shared" si="59"/>
        <v>Moderate</v>
      </c>
    </row>
    <row r="1841" spans="1:6" ht="15" hidden="1" customHeight="1" x14ac:dyDescent="0.3">
      <c r="A1841" t="s">
        <v>166</v>
      </c>
      <c r="B1841" s="2">
        <v>45383</v>
      </c>
      <c r="C1841" cm="1">
        <f t="array" ref="C1841">IFERROR(IF(SUMPRODUCT((measured[Site Name]=A1841)*(measured[Date]=B1841)*ISNUMBER(measured[Measured Value (kWh)]))=0,"",SUMIFS(measured[Measured Value (kWh)],measured[Site Name],A1841,measured[Date],B1841)),"")</f>
        <v>13514</v>
      </c>
      <c r="D1841" cm="1">
        <f t="array" ref="D1841">IFERROR(IF(SUMPRODUCT((expected_production[Site Name]=A1841)*(expected_production[Date]=B1841)*ISNUMBER(expected_production[Expected Production (kWh)]))=0,"",SUMIFS(expected_production[Expected Production (kWh)],expected_production[Site Name],A1841,expected_production[Date],B1841)),"")</f>
        <v>21332.003246291635</v>
      </c>
      <c r="E1841" s="9">
        <f t="shared" si="58"/>
        <v>0.63350824786459192</v>
      </c>
      <c r="F1841" t="str">
        <f t="shared" si="59"/>
        <v>Poor</v>
      </c>
    </row>
    <row r="1842" spans="1:6" ht="15" hidden="1" customHeight="1" x14ac:dyDescent="0.3">
      <c r="A1842" t="s">
        <v>166</v>
      </c>
      <c r="B1842" s="2">
        <v>45413</v>
      </c>
      <c r="C1842" cm="1">
        <f t="array" ref="C1842">IFERROR(IF(SUMPRODUCT((measured[Site Name]=A1842)*(measured[Date]=B1842)*ISNUMBER(measured[Measured Value (kWh)]))=0,"",SUMIFS(measured[Measured Value (kWh)],measured[Site Name],A1842,measured[Date],B1842)),"")</f>
        <v>13524</v>
      </c>
      <c r="D1842" cm="1">
        <f t="array" ref="D1842">IFERROR(IF(SUMPRODUCT((expected_production[Site Name]=A1842)*(expected_production[Date]=B1842)*ISNUMBER(expected_production[Expected Production (kWh)]))=0,"",SUMIFS(expected_production[Expected Production (kWh)],expected_production[Site Name],A1842,expected_production[Date],B1842)),"")</f>
        <v>20568.091565194823</v>
      </c>
      <c r="E1842" s="9">
        <f t="shared" si="58"/>
        <v>0.65752332719508189</v>
      </c>
      <c r="F1842" t="str">
        <f t="shared" si="59"/>
        <v>Poor</v>
      </c>
    </row>
    <row r="1843" spans="1:6" ht="15" hidden="1" customHeight="1" x14ac:dyDescent="0.3">
      <c r="A1843" t="s">
        <v>166</v>
      </c>
      <c r="B1843" s="2">
        <v>45444</v>
      </c>
      <c r="C1843" cm="1">
        <f t="array" ref="C1843">IFERROR(IF(SUMPRODUCT((measured[Site Name]=A1843)*(measured[Date]=B1843)*ISNUMBER(measured[Measured Value (kWh)]))=0,"",SUMIFS(measured[Measured Value (kWh)],measured[Site Name],A1843,measured[Date],B1843)),"")</f>
        <v>11348</v>
      </c>
      <c r="D1843" cm="1">
        <f t="array" ref="D1843">IFERROR(IF(SUMPRODUCT((expected_production[Site Name]=A1843)*(expected_production[Date]=B1843)*ISNUMBER(expected_production[Expected Production (kWh)]))=0,"",SUMIFS(expected_production[Expected Production (kWh)],expected_production[Site Name],A1843,expected_production[Date],B1843)),"")</f>
        <v>18526.808067456568</v>
      </c>
      <c r="E1843" s="9">
        <f t="shared" si="58"/>
        <v>0.61251781519415816</v>
      </c>
      <c r="F1843" t="str">
        <f t="shared" si="59"/>
        <v>Poor</v>
      </c>
    </row>
    <row r="1844" spans="1:6" ht="15" hidden="1" customHeight="1" x14ac:dyDescent="0.3">
      <c r="A1844" t="s">
        <v>166</v>
      </c>
      <c r="B1844" s="2">
        <v>45474</v>
      </c>
      <c r="C1844" cm="1">
        <f t="array" ref="C1844">IFERROR(IF(SUMPRODUCT((measured[Site Name]=A1844)*(measured[Date]=B1844)*ISNUMBER(measured[Measured Value (kWh)]))=0,"",SUMIFS(measured[Measured Value (kWh)],measured[Site Name],A1844,measured[Date],B1844)),"")</f>
        <v>12215</v>
      </c>
      <c r="D1844" cm="1">
        <f t="array" ref="D1844">IFERROR(IF(SUMPRODUCT((expected_production[Site Name]=A1844)*(expected_production[Date]=B1844)*ISNUMBER(expected_production[Expected Production (kWh)]))=0,"",SUMIFS(expected_production[Expected Production (kWh)],expected_production[Site Name],A1844,expected_production[Date],B1844)),"")</f>
        <v>19492.959313577136</v>
      </c>
      <c r="E1844" s="9">
        <f t="shared" si="58"/>
        <v>0.62663651031642342</v>
      </c>
      <c r="F1844" t="str">
        <f t="shared" si="59"/>
        <v>Poor</v>
      </c>
    </row>
    <row r="1845" spans="1:6" ht="15" hidden="1" customHeight="1" x14ac:dyDescent="0.3">
      <c r="A1845" t="s">
        <v>166</v>
      </c>
      <c r="B1845" s="2">
        <v>45505</v>
      </c>
      <c r="C1845" cm="1">
        <f t="array" ref="C1845">IFERROR(IF(SUMPRODUCT((measured[Site Name]=A1845)*(measured[Date]=B1845)*ISNUMBER(measured[Measured Value (kWh)]))=0,"",SUMIFS(measured[Measured Value (kWh)],measured[Site Name],A1845,measured[Date],B1845)),"")</f>
        <v>12637</v>
      </c>
      <c r="D1845" cm="1">
        <f t="array" ref="D1845">IFERROR(IF(SUMPRODUCT((expected_production[Site Name]=A1845)*(expected_production[Date]=B1845)*ISNUMBER(expected_production[Expected Production (kWh)]))=0,"",SUMIFS(expected_production[Expected Production (kWh)],expected_production[Site Name],A1845,expected_production[Date],B1845)),"")</f>
        <v>22824.546717214598</v>
      </c>
      <c r="E1845" s="9">
        <f t="shared" si="58"/>
        <v>0.55365831166622881</v>
      </c>
      <c r="F1845" t="str">
        <f t="shared" si="59"/>
        <v>Poor</v>
      </c>
    </row>
    <row r="1846" spans="1:6" ht="15" hidden="1" customHeight="1" x14ac:dyDescent="0.3">
      <c r="A1846" t="s">
        <v>166</v>
      </c>
      <c r="B1846" s="2">
        <v>45536</v>
      </c>
      <c r="C1846" cm="1">
        <f t="array" ref="C1846">IFERROR(IF(SUMPRODUCT((measured[Site Name]=A1846)*(measured[Date]=B1846)*ISNUMBER(measured[Measured Value (kWh)]))=0,"",SUMIFS(measured[Measured Value (kWh)],measured[Site Name],A1846,measured[Date],B1846)),"")</f>
        <v>12990</v>
      </c>
      <c r="D1846" cm="1">
        <f t="array" ref="D1846">IFERROR(IF(SUMPRODUCT((expected_production[Site Name]=A1846)*(expected_production[Date]=B1846)*ISNUMBER(expected_production[Expected Production (kWh)]))=0,"",SUMIFS(expected_production[Expected Production (kWh)],expected_production[Site Name],A1846,expected_production[Date],B1846)),"")</f>
        <v>22485.123113657501</v>
      </c>
      <c r="E1846" s="9">
        <f t="shared" si="58"/>
        <v>0.57771531578183144</v>
      </c>
      <c r="F1846" t="str">
        <f t="shared" si="59"/>
        <v>Poor</v>
      </c>
    </row>
    <row r="1847" spans="1:6" ht="15" hidden="1" customHeight="1" x14ac:dyDescent="0.3">
      <c r="A1847" t="s">
        <v>166</v>
      </c>
      <c r="B1847" s="2">
        <v>45566</v>
      </c>
      <c r="C1847" cm="1">
        <f t="array" ref="C1847">IFERROR(IF(SUMPRODUCT((measured[Site Name]=A1847)*(measured[Date]=B1847)*ISNUMBER(measured[Measured Value (kWh)]))=0,"",SUMIFS(measured[Measured Value (kWh)],measured[Site Name],A1847,measured[Date],B1847)),"")</f>
        <v>10518</v>
      </c>
      <c r="D1847" cm="1">
        <f t="array" ref="D1847">IFERROR(IF(SUMPRODUCT((expected_production[Site Name]=A1847)*(expected_production[Date]=B1847)*ISNUMBER(expected_production[Expected Production (kWh)]))=0,"",SUMIFS(expected_production[Expected Production (kWh)],expected_production[Site Name],A1847,expected_production[Date],B1847)),"")</f>
        <v>21853.007365969643</v>
      </c>
      <c r="E1847" s="9">
        <f t="shared" si="58"/>
        <v>0.48130675214886171</v>
      </c>
      <c r="F1847" t="str">
        <f t="shared" si="59"/>
        <v>Poor</v>
      </c>
    </row>
    <row r="1848" spans="1:6" ht="15" hidden="1" customHeight="1" x14ac:dyDescent="0.3">
      <c r="A1848" t="s">
        <v>166</v>
      </c>
      <c r="B1848" s="2">
        <v>45597</v>
      </c>
      <c r="C1848" cm="1">
        <f t="array" ref="C1848">IFERROR(IF(SUMPRODUCT((measured[Site Name]=A1848)*(measured[Date]=B1848)*ISNUMBER(measured[Measured Value (kWh)]))=0,"",SUMIFS(measured[Measured Value (kWh)],measured[Site Name],A1848,measured[Date],B1848)),"")</f>
        <v>5878</v>
      </c>
      <c r="D1848" cm="1">
        <f t="array" ref="D1848">IFERROR(IF(SUMPRODUCT((expected_production[Site Name]=A1848)*(expected_production[Date]=B1848)*ISNUMBER(expected_production[Expected Production (kWh)]))=0,"",SUMIFS(expected_production[Expected Production (kWh)],expected_production[Site Name],A1848,expected_production[Date],B1848)),"")</f>
        <v>21856.923011996361</v>
      </c>
      <c r="E1848" s="9">
        <f t="shared" si="58"/>
        <v>0.26893080955511484</v>
      </c>
      <c r="F1848" t="str">
        <f t="shared" si="59"/>
        <v>Poor</v>
      </c>
    </row>
    <row r="1849" spans="1:6" ht="15" hidden="1" customHeight="1" x14ac:dyDescent="0.3">
      <c r="A1849" t="s">
        <v>166</v>
      </c>
      <c r="B1849" s="2">
        <v>45627</v>
      </c>
      <c r="C1849" cm="1">
        <f t="array" ref="C1849">IFERROR(IF(SUMPRODUCT((measured[Site Name]=A1849)*(measured[Date]=B1849)*ISNUMBER(measured[Measured Value (kWh)]))=0,"",SUMIFS(measured[Measured Value (kWh)],measured[Site Name],A1849,measured[Date],B1849)),"")</f>
        <v>17496</v>
      </c>
      <c r="D1849" cm="1">
        <f t="array" ref="D1849">IFERROR(IF(SUMPRODUCT((expected_production[Site Name]=A1849)*(expected_production[Date]=B1849)*ISNUMBER(expected_production[Expected Production (kWh)]))=0,"",SUMIFS(expected_production[Expected Production (kWh)],expected_production[Site Name],A1849,expected_production[Date],B1849)),"")</f>
        <v>23102.542741158031</v>
      </c>
      <c r="E1849" s="9">
        <f t="shared" si="58"/>
        <v>0.75731923520393407</v>
      </c>
      <c r="F1849" t="str">
        <f t="shared" si="59"/>
        <v>Moderate</v>
      </c>
    </row>
    <row r="1850" spans="1:6" ht="15" hidden="1" customHeight="1" x14ac:dyDescent="0.3">
      <c r="A1850" t="s">
        <v>166</v>
      </c>
      <c r="B1850" s="2">
        <v>45658</v>
      </c>
      <c r="C1850" cm="1">
        <f t="array" ref="C1850">IFERROR(IF(SUMPRODUCT((measured[Site Name]=A1850)*(measured[Date]=B1850)*ISNUMBER(measured[Measured Value (kWh)]))=0,"",SUMIFS(measured[Measured Value (kWh)],measured[Site Name],A1850,measured[Date],B1850)),"")</f>
        <v>16026</v>
      </c>
      <c r="D1850" cm="1">
        <f t="array" ref="D1850">IFERROR(IF(SUMPRODUCT((expected_production[Site Name]=A1850)*(expected_production[Date]=B1850)*ISNUMBER(expected_production[Expected Production (kWh)]))=0,"",SUMIFS(expected_production[Expected Production (kWh)],expected_production[Site Name],A1850,expected_production[Date],B1850)),"")</f>
        <v>22764.607598889615</v>
      </c>
      <c r="E1850" s="9">
        <f t="shared" si="58"/>
        <v>0.70398753549266968</v>
      </c>
      <c r="F1850" t="str">
        <f t="shared" si="59"/>
        <v>Moderate</v>
      </c>
    </row>
    <row r="1851" spans="1:6" ht="15" hidden="1" customHeight="1" x14ac:dyDescent="0.3">
      <c r="A1851" t="s">
        <v>166</v>
      </c>
      <c r="B1851" s="2">
        <v>45689</v>
      </c>
      <c r="C1851" cm="1">
        <f t="array" ref="C1851">IFERROR(IF(SUMPRODUCT((measured[Site Name]=A1851)*(measured[Date]=B1851)*ISNUMBER(measured[Measured Value (kWh)]))=0,"",SUMIFS(measured[Measured Value (kWh)],measured[Site Name],A1851,measured[Date],B1851)),"")</f>
        <v>13689</v>
      </c>
      <c r="D1851" cm="1">
        <f t="array" ref="D1851">IFERROR(IF(SUMPRODUCT((expected_production[Site Name]=A1851)*(expected_production[Date]=B1851)*ISNUMBER(expected_production[Expected Production (kWh)]))=0,"",SUMIFS(expected_production[Expected Production (kWh)],expected_production[Site Name],A1851,expected_production[Date],B1851)),"")</f>
        <v>19667.962871984531</v>
      </c>
      <c r="E1851" s="9">
        <f t="shared" si="58"/>
        <v>0.69600497464325117</v>
      </c>
      <c r="F1851" t="str">
        <f t="shared" si="59"/>
        <v>Poor</v>
      </c>
    </row>
    <row r="1852" spans="1:6" ht="15" hidden="1" customHeight="1" x14ac:dyDescent="0.3">
      <c r="A1852" t="s">
        <v>166</v>
      </c>
      <c r="B1852" s="2">
        <v>45717</v>
      </c>
      <c r="C1852" cm="1">
        <f t="array" ref="C1852">IFERROR(IF(SUMPRODUCT((measured[Site Name]=A1852)*(measured[Date]=B1852)*ISNUMBER(measured[Measured Value (kWh)]))=0,"",SUMIFS(measured[Measured Value (kWh)],measured[Site Name],A1852,measured[Date],B1852)),"")</f>
        <v>11995</v>
      </c>
      <c r="D1852" cm="1">
        <f t="array" ref="D1852">IFERROR(IF(SUMPRODUCT((expected_production[Site Name]=A1852)*(expected_production[Date]=B1852)*ISNUMBER(expected_production[Expected Production (kWh)]))=0,"",SUMIFS(expected_production[Expected Production (kWh)],expected_production[Site Name],A1852,expected_production[Date],B1852)),"")</f>
        <v>21698.012339101642</v>
      </c>
      <c r="E1852" s="9">
        <f t="shared" si="58"/>
        <v>0.55281561336307294</v>
      </c>
      <c r="F1852" t="str">
        <f t="shared" si="59"/>
        <v>Poor</v>
      </c>
    </row>
    <row r="1853" spans="1:6" ht="15" hidden="1" customHeight="1" x14ac:dyDescent="0.3">
      <c r="A1853" t="s">
        <v>166</v>
      </c>
      <c r="B1853" s="2">
        <v>45748</v>
      </c>
      <c r="C1853" cm="1">
        <f t="array" ref="C1853">IFERROR(IF(SUMPRODUCT((measured[Site Name]=A1853)*(measured[Date]=B1853)*ISNUMBER(measured[Measured Value (kWh)]))=0,"",SUMIFS(measured[Measured Value (kWh)],measured[Site Name],A1853,measured[Date],B1853)),"")</f>
        <v>6680</v>
      </c>
      <c r="D1853" cm="1">
        <f t="array" ref="D1853">IFERROR(IF(SUMPRODUCT((expected_production[Site Name]=A1853)*(expected_production[Date]=B1853)*ISNUMBER(expected_production[Expected Production (kWh)]))=0,"",SUMIFS(expected_production[Expected Production (kWh)],expected_production[Site Name],A1853,expected_production[Date],B1853)),"")</f>
        <v>21182.781071974576</v>
      </c>
      <c r="E1853" s="9">
        <f t="shared" si="58"/>
        <v>0.31535047156002716</v>
      </c>
      <c r="F1853" t="str">
        <f t="shared" si="59"/>
        <v>Poor</v>
      </c>
    </row>
    <row r="1854" spans="1:6" ht="15" hidden="1" customHeight="1" x14ac:dyDescent="0.3">
      <c r="A1854" t="s">
        <v>166</v>
      </c>
      <c r="B1854" s="2">
        <v>45778</v>
      </c>
      <c r="C1854" cm="1">
        <f t="array" ref="C1854">IFERROR(IF(SUMPRODUCT((measured[Site Name]=A1854)*(measured[Date]=B1854)*ISNUMBER(measured[Measured Value (kWh)]))=0,"",SUMIFS(measured[Measured Value (kWh)],measured[Site Name],A1854,measured[Date],B1854)),"")</f>
        <v>11933</v>
      </c>
      <c r="D1854" cm="1">
        <f t="array" ref="D1854">IFERROR(IF(SUMPRODUCT((expected_production[Site Name]=A1854)*(expected_production[Date]=B1854)*ISNUMBER(expected_production[Expected Production (kWh)]))=0,"",SUMIFS(expected_production[Expected Production (kWh)],expected_production[Site Name],A1854,expected_production[Date],B1854)),"")</f>
        <v>20424.213125393617</v>
      </c>
      <c r="E1854" s="9">
        <f t="shared" si="58"/>
        <v>0.58425751468307918</v>
      </c>
      <c r="F1854" t="str">
        <f t="shared" si="59"/>
        <v>Poor</v>
      </c>
    </row>
    <row r="1855" spans="1:6" ht="15" hidden="1" customHeight="1" x14ac:dyDescent="0.3">
      <c r="A1855" t="s">
        <v>166</v>
      </c>
      <c r="B1855" s="2">
        <v>45809</v>
      </c>
      <c r="C1855" cm="1">
        <f t="array" ref="C1855">IFERROR(IF(SUMPRODUCT((measured[Site Name]=A1855)*(measured[Date]=B1855)*ISNUMBER(measured[Measured Value (kWh)]))=0,"",SUMIFS(measured[Measured Value (kWh)],measured[Site Name],A1855,measured[Date],B1855)),"")</f>
        <v>9797.26</v>
      </c>
      <c r="D1855" cm="1">
        <f t="array" ref="D1855">IFERROR(IF(SUMPRODUCT((expected_production[Site Name]=A1855)*(expected_production[Date]=B1855)*ISNUMBER(expected_production[Expected Production (kWh)]))=0,"",SUMIFS(expected_production[Expected Production (kWh)],expected_production[Site Name],A1855,expected_production[Date],B1855)),"")</f>
        <v>18397.208866150366</v>
      </c>
      <c r="E1855" s="9">
        <f t="shared" si="58"/>
        <v>0.53254056478242762</v>
      </c>
      <c r="F1855" t="str">
        <f t="shared" si="59"/>
        <v>Poor</v>
      </c>
    </row>
    <row r="1856" spans="1:6" ht="15" hidden="1" customHeight="1" x14ac:dyDescent="0.3">
      <c r="A1856" t="s">
        <v>166</v>
      </c>
      <c r="B1856" s="2">
        <v>45839</v>
      </c>
      <c r="C1856" cm="1">
        <f t="array" ref="C1856">IFERROR(IF(SUMPRODUCT((measured[Site Name]=A1856)*(measured[Date]=B1856)*ISNUMBER(measured[Measured Value (kWh)]))=0,"",SUMIFS(measured[Measured Value (kWh)],measured[Site Name],A1856,measured[Date],B1856)),"")</f>
        <v>9134.4</v>
      </c>
      <c r="D1856" cm="1">
        <f t="array" ref="D1856">IFERROR(IF(SUMPRODUCT((expected_production[Site Name]=A1856)*(expected_production[Date]=B1856)*ISNUMBER(expected_production[Expected Production (kWh)]))=0,"",SUMIFS(expected_production[Expected Production (kWh)],expected_production[Site Name],A1856,expected_production[Date],B1856)),"")</f>
        <v>19356.601666380939</v>
      </c>
      <c r="E1856" s="9">
        <f t="shared" si="58"/>
        <v>0.47190101637855519</v>
      </c>
      <c r="F1856" t="str">
        <f t="shared" si="59"/>
        <v>Poor</v>
      </c>
    </row>
    <row r="1857" spans="1:7" ht="15" hidden="1" customHeight="1" x14ac:dyDescent="0.3">
      <c r="A1857" t="s">
        <v>166</v>
      </c>
      <c r="B1857" s="2">
        <v>45870</v>
      </c>
      <c r="C1857" cm="1">
        <f t="array" ref="C1857">IFERROR(IF(SUMPRODUCT((measured[Site Name]=A1857)*(measured[Date]=B1857)*ISNUMBER(measured[Measured Value (kWh)]))=0,"",SUMIFS(measured[Measured Value (kWh)],measured[Site Name],A1857,measured[Date],B1857)),"")</f>
        <v>15551</v>
      </c>
      <c r="D1857" cm="1">
        <f t="array" ref="D1857">IFERROR(IF(SUMPRODUCT((expected_production[Site Name]=A1857)*(expected_production[Date]=B1857)*ISNUMBER(expected_production[Expected Production (kWh)]))=0,"",SUMIFS(expected_production[Expected Production (kWh)],expected_production[Site Name],A1857,expected_production[Date],B1857)),"")</f>
        <v>22664.883864662945</v>
      </c>
      <c r="E1857" s="9">
        <f t="shared" si="58"/>
        <v>0.6861274954179547</v>
      </c>
      <c r="F1857" t="str">
        <f t="shared" si="59"/>
        <v>Poor</v>
      </c>
    </row>
    <row r="1858" spans="1:7" ht="15" hidden="1" customHeight="1" x14ac:dyDescent="0.3">
      <c r="A1858" t="s">
        <v>166</v>
      </c>
      <c r="B1858" s="2">
        <v>45901</v>
      </c>
      <c r="C1858" cm="1">
        <f t="array" ref="C1858">IFERROR(IF(SUMPRODUCT((measured[Site Name]=A1858)*(measured[Date]=B1858)*ISNUMBER(measured[Measured Value (kWh)]))=0,"",SUMIFS(measured[Measured Value (kWh)],measured[Site Name],A1858,measured[Date],B1858)),"")</f>
        <v>14894</v>
      </c>
      <c r="D1858" cm="1">
        <f t="array" ref="D1858">IFERROR(IF(SUMPRODUCT((expected_production[Site Name]=A1858)*(expected_production[Date]=B1858)*ISNUMBER(expected_production[Expected Production (kWh)]))=0,"",SUMIFS(expected_production[Expected Production (kWh)],expected_production[Site Name],A1858,expected_production[Date],B1858)),"")</f>
        <v>22327.834605772521</v>
      </c>
      <c r="E1858" s="9">
        <f t="shared" si="58"/>
        <v>0.66705976029352099</v>
      </c>
      <c r="F1858" t="str">
        <f t="shared" si="59"/>
        <v>Poor</v>
      </c>
    </row>
    <row r="1859" spans="1:7" ht="15" hidden="1" customHeight="1" x14ac:dyDescent="0.3">
      <c r="A1859" t="s">
        <v>166</v>
      </c>
      <c r="B1859" s="2">
        <v>45931</v>
      </c>
      <c r="C1859" cm="1">
        <f t="array" ref="C1859">IFERROR(IF(SUMPRODUCT((measured[Site Name]=A1859)*(measured[Date]=B1859)*ISNUMBER(measured[Measured Value (kWh)]))=0,"",SUMIFS(measured[Measured Value (kWh)],measured[Site Name],A1859,measured[Date],B1859)),"")</f>
        <v>17167</v>
      </c>
      <c r="D1859" cm="1">
        <f t="array" ref="D1859">IFERROR(IF(SUMPRODUCT((expected_production[Site Name]=A1859)*(expected_production[Date]=B1859)*ISNUMBER(expected_production[Expected Production (kWh)]))=0,"",SUMIFS(expected_production[Expected Production (kWh)],expected_production[Site Name],A1859,expected_production[Date],B1859)),"")</f>
        <v>21700.140650318659</v>
      </c>
      <c r="E1859" s="9">
        <f t="shared" si="58"/>
        <v>0.79110086319868667</v>
      </c>
      <c r="F1859" t="str">
        <f t="shared" si="59"/>
        <v>Moderate</v>
      </c>
    </row>
    <row r="1860" spans="1:7" ht="15" hidden="1" customHeight="1" x14ac:dyDescent="0.3">
      <c r="A1860" t="s">
        <v>166</v>
      </c>
      <c r="B1860" s="2">
        <v>45962</v>
      </c>
      <c r="C1860" cm="1">
        <f t="array" ref="C1860">IFERROR(IF(SUMPRODUCT((measured[Site Name]=A1860)*(measured[Date]=B1860)*ISNUMBER(measured[Measured Value (kWh)]))=0,"",SUMIFS(measured[Measured Value (kWh)],measured[Site Name],A1860,measured[Date],B1860)),"")</f>
        <v>14437</v>
      </c>
      <c r="D1860" cm="1">
        <f t="array" ref="D1860">IFERROR(IF(SUMPRODUCT((expected_production[Site Name]=A1860)*(expected_production[Date]=B1860)*ISNUMBER(expected_production[Expected Production (kWh)]))=0,"",SUMIFS(expected_production[Expected Production (kWh)],expected_production[Site Name],A1860,expected_production[Date],B1860)),"")</f>
        <v>21704.028905518215</v>
      </c>
      <c r="E1860" s="9">
        <f t="shared" si="58"/>
        <v>0.66517604002680886</v>
      </c>
      <c r="F1860" t="str">
        <f t="shared" si="59"/>
        <v>Poor</v>
      </c>
    </row>
    <row r="1861" spans="1:7" ht="15" hidden="1" customHeight="1" x14ac:dyDescent="0.3">
      <c r="A1861" t="s">
        <v>166</v>
      </c>
      <c r="B1861" s="2">
        <v>45992</v>
      </c>
      <c r="C1861" cm="1">
        <f t="array" ref="C1861">IFERROR(IF(SUMPRODUCT((measured[Site Name]=A1861)*(measured[Date]=B1861)*ISNUMBER(measured[Measured Value (kWh)]))=0,"",SUMIFS(measured[Measured Value (kWh)],measured[Site Name],A1861,measured[Date],B1861)),"")</f>
        <v>14721</v>
      </c>
      <c r="D1861" cm="1">
        <f t="array" ref="D1861">IFERROR(IF(SUMPRODUCT((expected_production[Site Name]=A1861)*(expected_production[Date]=B1861)*ISNUMBER(expected_production[Expected Production (kWh)]))=0,"",SUMIFS(expected_production[Expected Production (kWh)],expected_production[Site Name],A1861,expected_production[Date],B1861)),"")</f>
        <v>22940.935243714597</v>
      </c>
      <c r="E1861" s="9">
        <f t="shared" si="58"/>
        <v>0.64169136278056882</v>
      </c>
      <c r="F1861" t="str">
        <f t="shared" si="59"/>
        <v>Poor</v>
      </c>
    </row>
    <row r="1862" spans="1:7" ht="15" hidden="1" customHeight="1" x14ac:dyDescent="0.3">
      <c r="A1862" t="s">
        <v>166</v>
      </c>
      <c r="B1862" s="2">
        <v>46023</v>
      </c>
      <c r="C1862" cm="1">
        <f t="array" ref="C1862">IFERROR(IF(SUMPRODUCT((measured[Site Name]=A1862)*(measured[Date]=B1862)*ISNUMBER(measured[Measured Value (kWh)]))=0,"",SUMIFS(measured[Measured Value (kWh)],measured[Site Name],A1862,measured[Date],B1862)),"")</f>
        <v>16129</v>
      </c>
      <c r="D1862" cm="1">
        <f t="array" ref="D1862">IFERROR(IF(SUMPRODUCT((expected_production[Site Name]=A1862)*(expected_production[Date]=B1862)*ISNUMBER(expected_production[Expected Production (kWh)]))=0,"",SUMIFS(expected_production[Expected Production (kWh)],expected_production[Site Name],A1862,expected_production[Date],B1862)),"")</f>
        <v>22605.364033990409</v>
      </c>
      <c r="E1862" s="9">
        <f t="shared" si="58"/>
        <v>0.71350321878239753</v>
      </c>
      <c r="F1862" t="str">
        <f t="shared" si="59"/>
        <v>Moderate</v>
      </c>
    </row>
    <row r="1863" spans="1:7" ht="15" hidden="1" customHeight="1" x14ac:dyDescent="0.3">
      <c r="A1863" t="s">
        <v>166</v>
      </c>
      <c r="B1863" s="2">
        <v>46054</v>
      </c>
      <c r="C1863" cm="1">
        <f t="array" ref="C1863">IFERROR(IF(SUMPRODUCT((measured[Site Name]=A1863)*(measured[Date]=B1863)*ISNUMBER(measured[Measured Value (kWh)]))=0,"",SUMIFS(measured[Measured Value (kWh)],measured[Site Name],A1863,measured[Date],B1863)),"")</f>
        <v>15901</v>
      </c>
      <c r="D1863" cm="1">
        <f t="array" ref="D1863">IFERROR(IF(SUMPRODUCT((expected_production[Site Name]=A1863)*(expected_production[Date]=B1863)*ISNUMBER(expected_production[Expected Production (kWh)]))=0,"",SUMIFS(expected_production[Expected Production (kWh)],expected_production[Site Name],A1863,expected_production[Date],B1863)),"")</f>
        <v>19530.381035423779</v>
      </c>
      <c r="E1863" s="9">
        <f t="shared" si="58"/>
        <v>0.81416742311166956</v>
      </c>
      <c r="F1863" t="str">
        <f t="shared" si="59"/>
        <v>Moderate</v>
      </c>
    </row>
    <row r="1864" spans="1:7" ht="15" hidden="1" customHeight="1" x14ac:dyDescent="0.3">
      <c r="A1864" t="s">
        <v>166</v>
      </c>
      <c r="B1864" s="2">
        <v>46082</v>
      </c>
      <c r="C1864" cm="1">
        <f t="array" ref="C1864">IFERROR(IF(SUMPRODUCT((measured[Site Name]=A1864)*(measured[Date]=B1864)*ISNUMBER(measured[Measured Value (kWh)]))=0,"",SUMIFS(measured[Measured Value (kWh)],measured[Site Name],A1864,measured[Date],B1864)),"")</f>
        <v>13942</v>
      </c>
      <c r="D1864" cm="1">
        <f t="array" ref="D1864">IFERROR(IF(SUMPRODUCT((expected_production[Site Name]=A1864)*(expected_production[Date]=B1864)*ISNUMBER(expected_production[Expected Production (kWh)]))=0,"",SUMIFS(expected_production[Expected Production (kWh)],expected_production[Site Name],A1864,expected_production[Date],B1864)),"")</f>
        <v>21546.229848624007</v>
      </c>
      <c r="E1864" s="9">
        <f t="shared" si="58"/>
        <v>0.64707376176488574</v>
      </c>
      <c r="F1864" t="str">
        <f t="shared" si="59"/>
        <v>Poor</v>
      </c>
    </row>
    <row r="1865" spans="1:7" ht="15" hidden="1" customHeight="1" x14ac:dyDescent="0.3">
      <c r="A1865" t="s">
        <v>166</v>
      </c>
      <c r="B1865" s="2">
        <v>46113</v>
      </c>
      <c r="C1865" cm="1">
        <f t="array" ref="C1865">IFERROR(IF(SUMPRODUCT((measured[Site Name]=A1865)*(measured[Date]=B1865)*ISNUMBER(measured[Measured Value (kWh)]))=0,"",SUMIFS(measured[Measured Value (kWh)],measured[Site Name],A1865,measured[Date],B1865)),"")</f>
        <v>12240.56</v>
      </c>
      <c r="D1865" cm="1">
        <f t="array" ref="D1865">IFERROR(IF(SUMPRODUCT((expected_production[Site Name]=A1865)*(expected_production[Date]=B1865)*ISNUMBER(expected_production[Expected Production (kWh)]))=0,"",SUMIFS(expected_production[Expected Production (kWh)],expected_production[Site Name],A1865,expected_production[Date],B1865)),"")</f>
        <v>21034.602740425154</v>
      </c>
      <c r="E1865" s="9">
        <f t="shared" si="58"/>
        <v>0.5819249429643657</v>
      </c>
      <c r="F1865" t="str">
        <f t="shared" si="59"/>
        <v>Poor</v>
      </c>
    </row>
    <row r="1866" spans="1:7" ht="15" hidden="1" customHeight="1" x14ac:dyDescent="0.3">
      <c r="A1866" t="s">
        <v>166</v>
      </c>
      <c r="B1866" s="2">
        <v>46143</v>
      </c>
      <c r="C1866" cm="1">
        <f t="array" ref="C1866">IFERROR(IF(SUMPRODUCT((measured[Site Name]=A1866)*(measured[Date]=B1866)*ISNUMBER(measured[Measured Value (kWh)]))=0,"",SUMIFS(measured[Measured Value (kWh)],measured[Site Name],A1866,measured[Date],B1866)),"")</f>
        <v>12352.61</v>
      </c>
      <c r="D1866" cm="1">
        <f t="array" ref="D1866">IFERROR(IF(SUMPRODUCT((expected_production[Site Name]=A1866)*(expected_production[Date]=B1866)*ISNUMBER(expected_production[Expected Production (kWh)]))=0,"",SUMIFS(expected_production[Expected Production (kWh)],expected_production[Site Name],A1866,expected_production[Date],B1866)),"")</f>
        <v>20281.341147731786</v>
      </c>
      <c r="E1866" s="9">
        <f t="shared" si="58"/>
        <v>0.6090627789366625</v>
      </c>
      <c r="F1866" t="str">
        <f t="shared" si="59"/>
        <v>Poor</v>
      </c>
    </row>
    <row r="1867" spans="1:7" ht="15" hidden="1" customHeight="1" x14ac:dyDescent="0.3">
      <c r="A1867" t="s">
        <v>166</v>
      </c>
      <c r="B1867" s="2">
        <v>46174</v>
      </c>
      <c r="C1867" cm="1">
        <f t="array" ref="C1867">IFERROR(IF(SUMPRODUCT((measured[Site Name]=A1867)*(measured[Date]=B1867)*ISNUMBER(measured[Measured Value (kWh)]))=0,"",SUMIFS(measured[Measured Value (kWh)],measured[Site Name],A1867,measured[Date],B1867)),"")</f>
        <v>11089</v>
      </c>
      <c r="D1867" cm="1">
        <f t="array" ref="D1867">IFERROR(IF(SUMPRODUCT((expected_production[Site Name]=A1867)*(expected_production[Date]=B1867)*ISNUMBER(expected_production[Expected Production (kWh)]))=0,"",SUMIFS(expected_production[Expected Production (kWh)],expected_production[Site Name],A1867,expected_production[Date],B1867)),"")</f>
        <v>18268.516240489469</v>
      </c>
      <c r="E1867" s="9">
        <f t="shared" si="58"/>
        <v>0.60700058253351019</v>
      </c>
      <c r="F1867" t="str">
        <f t="shared" si="59"/>
        <v>Poor</v>
      </c>
    </row>
    <row r="1868" spans="1:7" ht="15" hidden="1" customHeight="1" x14ac:dyDescent="0.3">
      <c r="A1868" t="s">
        <v>166</v>
      </c>
      <c r="B1868" s="2">
        <v>46204</v>
      </c>
      <c r="C1868" cm="1">
        <f t="array" ref="C1868">IFERROR(IF(SUMPRODUCT((measured[Site Name]=A1868)*(measured[Date]=B1868)*ISNUMBER(measured[Measured Value (kWh)]))=0,"",SUMIFS(measured[Measured Value (kWh)],measured[Site Name],A1868,measured[Date],B1868)),"")</f>
        <v>12059</v>
      </c>
      <c r="D1868" cm="1">
        <f t="array" ref="D1868">IFERROR(IF(SUMPRODUCT((expected_production[Site Name]=A1868)*(expected_production[Date]=B1868)*ISNUMBER(expected_production[Expected Production (kWh)]))=0,"",SUMIFS(expected_production[Expected Production (kWh)],expected_production[Site Name],A1868,expected_production[Date],B1868)),"")</f>
        <v>19221.197871683471</v>
      </c>
      <c r="E1868" s="9">
        <f t="shared" si="58"/>
        <v>0.62738025384803053</v>
      </c>
      <c r="F1868" t="str">
        <f t="shared" si="59"/>
        <v>Poor</v>
      </c>
      <c r="G1868" t="s">
        <v>874</v>
      </c>
    </row>
    <row r="1869" spans="1:7" ht="15" hidden="1" customHeight="1" x14ac:dyDescent="0.3">
      <c r="A1869" t="s">
        <v>166</v>
      </c>
      <c r="B1869" s="2">
        <v>46235</v>
      </c>
      <c r="C1869" cm="1">
        <f t="array" ref="C1869">IFERROR(IF(SUMPRODUCT((measured[Site Name]=A1869)*(measured[Date]=B1869)*ISNUMBER(measured[Measured Value (kWh)]))=0,"",SUMIFS(measured[Measured Value (kWh)],measured[Site Name],A1869,measured[Date],B1869)),"")</f>
        <v>13852</v>
      </c>
      <c r="D1869" cm="1">
        <f t="array" ref="D1869">IFERROR(IF(SUMPRODUCT((expected_production[Site Name]=A1869)*(expected_production[Date]=B1869)*ISNUMBER(expected_production[Expected Production (kWh)]))=0,"",SUMIFS(expected_production[Expected Production (kWh)],expected_production[Site Name],A1869,expected_production[Date],B1869)),"")</f>
        <v>22506.337889778166</v>
      </c>
      <c r="E1869" s="9">
        <f t="shared" si="58"/>
        <v>0.61547107609591356</v>
      </c>
      <c r="F1869" t="str">
        <f t="shared" si="59"/>
        <v>Poor</v>
      </c>
      <c r="G1869" t="s">
        <v>874</v>
      </c>
    </row>
    <row r="1870" spans="1:7" ht="15" customHeight="1" x14ac:dyDescent="0.3">
      <c r="A1870" t="s">
        <v>166</v>
      </c>
      <c r="B1870" s="2">
        <v>46266</v>
      </c>
      <c r="C1870" cm="1">
        <f t="array" ref="C1870">IFERROR(IF(SUMPRODUCT((measured[Site Name]=A1870)*(measured[Date]=B1870)*ISNUMBER(measured[Measured Value (kWh)]))=0,"",SUMIFS(measured[Measured Value (kWh)],measured[Site Name],A1870,measured[Date],B1870)),"")</f>
        <v>13027.93</v>
      </c>
      <c r="D1870" cm="1">
        <f t="array" ref="D1870">IFERROR(IF(SUMPRODUCT((expected_production[Site Name]=A1870)*(expected_production[Date]=B1870)*ISNUMBER(expected_production[Expected Production (kWh)]))=0,"",SUMIFS(expected_production[Expected Production (kWh)],expected_production[Site Name],A1870,expected_production[Date],B1870)),"")</f>
        <v>22171.646366477918</v>
      </c>
      <c r="E1870" s="9">
        <f t="shared" si="58"/>
        <v>0.58759416349420857</v>
      </c>
      <c r="F1870" t="str">
        <f t="shared" si="59"/>
        <v>Poor</v>
      </c>
      <c r="G1870" t="s">
        <v>874</v>
      </c>
    </row>
    <row r="1871" spans="1:7" ht="15" hidden="1" customHeight="1" x14ac:dyDescent="0.3">
      <c r="A1871" t="s">
        <v>166</v>
      </c>
      <c r="B1871" s="2">
        <v>46296</v>
      </c>
      <c r="C1871" t="str" cm="1">
        <f t="array" ref="C1871">IFERROR(IF(SUMPRODUCT((measured[Site Name]=A1871)*(measured[Date]=B1871)*ISNUMBER(measured[Measured Value (kWh)]))=0,"",SUMIFS(measured[Measured Value (kWh)],measured[Site Name],A1871,measured[Date],B1871)),"")</f>
        <v/>
      </c>
      <c r="D1871" cm="1">
        <f t="array" ref="D1871">IFERROR(IF(SUMPRODUCT((expected_production[Site Name]=A1871)*(expected_production[Date]=B1871)*ISNUMBER(expected_production[Expected Production (kWh)]))=0,"",SUMIFS(expected_production[Expected Production (kWh)],expected_production[Site Name],A1871,expected_production[Date],B1871)),"")</f>
        <v>21548.343271824004</v>
      </c>
      <c r="E1871" s="9" t="str">
        <f t="shared" si="58"/>
        <v/>
      </c>
      <c r="F1871" t="str">
        <f t="shared" si="59"/>
        <v/>
      </c>
    </row>
    <row r="1872" spans="1:7" ht="15" hidden="1" customHeight="1" x14ac:dyDescent="0.3">
      <c r="A1872" t="s">
        <v>166</v>
      </c>
      <c r="B1872" s="2">
        <v>46327</v>
      </c>
      <c r="C1872" t="str" cm="1">
        <f t="array" ref="C1872">IFERROR(IF(SUMPRODUCT((measured[Site Name]=A1872)*(measured[Date]=B1872)*ISNUMBER(measured[Measured Value (kWh)]))=0,"",SUMIFS(measured[Measured Value (kWh)],measured[Site Name],A1872,measured[Date],B1872)),"")</f>
        <v/>
      </c>
      <c r="D1872" cm="1">
        <f t="array" ref="D1872">IFERROR(IF(SUMPRODUCT((expected_production[Site Name]=A1872)*(expected_production[Date]=B1872)*ISNUMBER(expected_production[Expected Production (kWh)]))=0,"",SUMIFS(expected_production[Expected Production (kWh)],expected_production[Site Name],A1872,expected_production[Date],B1872)),"")</f>
        <v>21552.204327801413</v>
      </c>
      <c r="E1872" s="9" t="str">
        <f t="shared" si="58"/>
        <v/>
      </c>
      <c r="F1872" t="str">
        <f t="shared" si="59"/>
        <v/>
      </c>
    </row>
    <row r="1873" spans="1:6" ht="15" hidden="1" customHeight="1" x14ac:dyDescent="0.3">
      <c r="A1873" t="s">
        <v>166</v>
      </c>
      <c r="B1873" s="2">
        <v>46357</v>
      </c>
      <c r="C1873" t="str" cm="1">
        <f t="array" ref="C1873">IFERROR(IF(SUMPRODUCT((measured[Site Name]=A1873)*(measured[Date]=B1873)*ISNUMBER(measured[Measured Value (kWh)]))=0,"",SUMIFS(measured[Measured Value (kWh)],measured[Site Name],A1873,measured[Date],B1873)),"")</f>
        <v/>
      </c>
      <c r="D1873" cm="1">
        <f t="array" ref="D1873">IFERROR(IF(SUMPRODUCT((expected_production[Site Name]=A1873)*(expected_production[Date]=B1873)*ISNUMBER(expected_production[Expected Production (kWh)]))=0,"",SUMIFS(expected_production[Expected Production (kWh)],expected_production[Site Name],A1873,expected_production[Date],B1873)),"")</f>
        <v>22780.458227167685</v>
      </c>
      <c r="E1873" s="9" t="str">
        <f t="shared" si="58"/>
        <v/>
      </c>
      <c r="F1873" t="str">
        <f t="shared" si="59"/>
        <v/>
      </c>
    </row>
    <row r="1874" spans="1:6" ht="15" hidden="1" customHeight="1" x14ac:dyDescent="0.3">
      <c r="A1874" t="s">
        <v>169</v>
      </c>
      <c r="B1874" s="2">
        <v>45292</v>
      </c>
      <c r="C1874" cm="1">
        <f t="array" ref="C1874">IFERROR(IF(SUMPRODUCT((measured[Site Name]=A1874)*(measured[Date]=B1874)*ISNUMBER(measured[Measured Value (kWh)]))=0,"",SUMIFS(measured[Measured Value (kWh)],measured[Site Name],A1874,measured[Date],B1874)),"")</f>
        <v>1424</v>
      </c>
      <c r="D1874" cm="1">
        <f t="array" ref="D1874">IFERROR(IF(SUMPRODUCT((expected_production[Site Name]=A1874)*(expected_production[Date]=B1874)*ISNUMBER(expected_production[Expected Production (kWh)]))=0,"",SUMIFS(expected_production[Expected Production (kWh)],expected_production[Site Name],A1874,expected_production[Date],B1874)),"")</f>
        <v>3296.9581087629563</v>
      </c>
      <c r="E1874" s="9">
        <f t="shared" si="58"/>
        <v>0.43191328279700092</v>
      </c>
      <c r="F1874" t="str">
        <f t="shared" si="59"/>
        <v>Poor</v>
      </c>
    </row>
    <row r="1875" spans="1:6" ht="15" hidden="1" customHeight="1" x14ac:dyDescent="0.3">
      <c r="A1875" t="s">
        <v>169</v>
      </c>
      <c r="B1875" s="2">
        <v>45323</v>
      </c>
      <c r="C1875" cm="1">
        <f t="array" ref="C1875">IFERROR(IF(SUMPRODUCT((measured[Site Name]=A1875)*(measured[Date]=B1875)*ISNUMBER(measured[Measured Value (kWh)]))=0,"",SUMIFS(measured[Measured Value (kWh)],measured[Site Name],A1875,measured[Date],B1875)),"")</f>
        <v>1471</v>
      </c>
      <c r="D1875" cm="1">
        <f t="array" ref="D1875">IFERROR(IF(SUMPRODUCT((expected_production[Site Name]=A1875)*(expected_production[Date]=B1875)*ISNUMBER(expected_production[Expected Production (kWh)]))=0,"",SUMIFS(expected_production[Expected Production (kWh)],expected_production[Site Name],A1875,expected_production[Date],B1875)),"")</f>
        <v>2844.9716379286688</v>
      </c>
      <c r="E1875" s="9">
        <f t="shared" si="58"/>
        <v>0.51705260621543037</v>
      </c>
      <c r="F1875" t="str">
        <f t="shared" si="59"/>
        <v>Poor</v>
      </c>
    </row>
    <row r="1876" spans="1:6" ht="15" hidden="1" customHeight="1" x14ac:dyDescent="0.3">
      <c r="A1876" t="s">
        <v>169</v>
      </c>
      <c r="B1876" s="2">
        <v>45352</v>
      </c>
      <c r="C1876" cm="1">
        <f t="array" ref="C1876">IFERROR(IF(SUMPRODUCT((measured[Site Name]=A1876)*(measured[Date]=B1876)*ISNUMBER(measured[Measured Value (kWh)]))=0,"",SUMIFS(measured[Measured Value (kWh)],measured[Site Name],A1876,measured[Date],B1876)),"")</f>
        <v>1705</v>
      </c>
      <c r="D1876" cm="1">
        <f t="array" ref="D1876">IFERROR(IF(SUMPRODUCT((expected_production[Site Name]=A1876)*(expected_production[Date]=B1876)*ISNUMBER(expected_production[Expected Production (kWh)]))=0,"",SUMIFS(expected_production[Expected Production (kWh)],expected_production[Site Name],A1876,expected_production[Date],B1876)),"")</f>
        <v>3141.0325356476278</v>
      </c>
      <c r="E1876" s="9">
        <f t="shared" si="58"/>
        <v>0.542815135039172</v>
      </c>
      <c r="F1876" t="str">
        <f t="shared" si="59"/>
        <v>Poor</v>
      </c>
    </row>
    <row r="1877" spans="1:6" ht="15" hidden="1" customHeight="1" x14ac:dyDescent="0.3">
      <c r="A1877" t="s">
        <v>169</v>
      </c>
      <c r="B1877" s="2">
        <v>45383</v>
      </c>
      <c r="C1877" cm="1">
        <f t="array" ref="C1877">IFERROR(IF(SUMPRODUCT((measured[Site Name]=A1877)*(measured[Date]=B1877)*ISNUMBER(measured[Measured Value (kWh)]))=0,"",SUMIFS(measured[Measured Value (kWh)],measured[Site Name],A1877,measured[Date],B1877)),"")</f>
        <v>1306</v>
      </c>
      <c r="D1877" cm="1">
        <f t="array" ref="D1877">IFERROR(IF(SUMPRODUCT((expected_production[Site Name]=A1877)*(expected_production[Date]=B1877)*ISNUMBER(expected_production[Expected Production (kWh)]))=0,"",SUMIFS(expected_production[Expected Production (kWh)],expected_production[Site Name],A1877,expected_production[Date],B1877)),"")</f>
        <v>3065.7653515537581</v>
      </c>
      <c r="E1877" s="9">
        <f t="shared" si="58"/>
        <v>0.42599476810516734</v>
      </c>
      <c r="F1877" t="str">
        <f t="shared" si="59"/>
        <v>Poor</v>
      </c>
    </row>
    <row r="1878" spans="1:6" ht="15" hidden="1" customHeight="1" x14ac:dyDescent="0.3">
      <c r="A1878" t="s">
        <v>169</v>
      </c>
      <c r="B1878" s="2">
        <v>45413</v>
      </c>
      <c r="C1878" cm="1">
        <f t="array" ref="C1878">IFERROR(IF(SUMPRODUCT((measured[Site Name]=A1878)*(measured[Date]=B1878)*ISNUMBER(measured[Measured Value (kWh)]))=0,"",SUMIFS(measured[Measured Value (kWh)],measured[Site Name],A1878,measured[Date],B1878)),"")</f>
        <v>856</v>
      </c>
      <c r="D1878" cm="1">
        <f t="array" ref="D1878">IFERROR(IF(SUMPRODUCT((expected_production[Site Name]=A1878)*(expected_production[Date]=B1878)*ISNUMBER(expected_production[Expected Production (kWh)]))=0,"",SUMIFS(expected_production[Expected Production (kWh)],expected_production[Site Name],A1878,expected_production[Date],B1878)),"")</f>
        <v>2955.6580874858428</v>
      </c>
      <c r="E1878" s="9">
        <f t="shared" ref="E1878:E1941" si="60">IF(OR(C1878="",D1878="",D1878=0),"",C1878/D1878)</f>
        <v>0.28961401307691009</v>
      </c>
      <c r="F1878" t="str">
        <f t="shared" ref="F1878:F1941" si="61">IF(E1878="","",IF(E1878&gt;=0.9,"Expected",IF(E1878&gt;=0.7,"Moderate","Poor")))</f>
        <v>Poor</v>
      </c>
    </row>
    <row r="1879" spans="1:6" ht="15" hidden="1" customHeight="1" x14ac:dyDescent="0.3">
      <c r="A1879" t="s">
        <v>169</v>
      </c>
      <c r="B1879" s="2">
        <v>45444</v>
      </c>
      <c r="C1879" cm="1">
        <f t="array" ref="C1879">IFERROR(IF(SUMPRODUCT((measured[Site Name]=A1879)*(measured[Date]=B1879)*ISNUMBER(measured[Measured Value (kWh)]))=0,"",SUMIFS(measured[Measured Value (kWh)],measured[Site Name],A1879,measured[Date],B1879)),"")</f>
        <v>1086</v>
      </c>
      <c r="D1879" cm="1">
        <f t="array" ref="D1879">IFERROR(IF(SUMPRODUCT((expected_production[Site Name]=A1879)*(expected_production[Date]=B1879)*ISNUMBER(expected_production[Expected Production (kWh)]))=0,"",SUMIFS(expected_production[Expected Production (kWh)],expected_production[Site Name],A1879,expected_production[Date],B1879)),"")</f>
        <v>2661.5894909511239</v>
      </c>
      <c r="E1879" s="9">
        <f t="shared" si="60"/>
        <v>0.40802685902246927</v>
      </c>
      <c r="F1879" t="str">
        <f t="shared" si="61"/>
        <v>Poor</v>
      </c>
    </row>
    <row r="1880" spans="1:6" ht="15" hidden="1" customHeight="1" x14ac:dyDescent="0.3">
      <c r="A1880" t="s">
        <v>169</v>
      </c>
      <c r="B1880" s="2">
        <v>45474</v>
      </c>
      <c r="C1880" cm="1">
        <f t="array" ref="C1880">IFERROR(IF(SUMPRODUCT((measured[Site Name]=A1880)*(measured[Date]=B1880)*ISNUMBER(measured[Measured Value (kWh)]))=0,"",SUMIFS(measured[Measured Value (kWh)],measured[Site Name],A1880,measured[Date],B1880)),"")</f>
        <v>1232</v>
      </c>
      <c r="D1880" cm="1">
        <f t="array" ref="D1880">IFERROR(IF(SUMPRODUCT((expected_production[Site Name]=A1880)*(expected_production[Date]=B1880)*ISNUMBER(expected_production[Expected Production (kWh)]))=0,"",SUMIFS(expected_production[Expected Production (kWh)],expected_production[Site Name],A1880,expected_production[Date],B1880)),"")</f>
        <v>2799.4129607656869</v>
      </c>
      <c r="E1880" s="9">
        <f t="shared" si="60"/>
        <v>0.44009226836723192</v>
      </c>
      <c r="F1880" t="str">
        <f t="shared" si="61"/>
        <v>Poor</v>
      </c>
    </row>
    <row r="1881" spans="1:6" ht="15" hidden="1" customHeight="1" x14ac:dyDescent="0.3">
      <c r="A1881" t="s">
        <v>169</v>
      </c>
      <c r="B1881" s="2">
        <v>45505</v>
      </c>
      <c r="C1881" cm="1">
        <f t="array" ref="C1881">IFERROR(IF(SUMPRODUCT((measured[Site Name]=A1881)*(measured[Date]=B1881)*ISNUMBER(measured[Measured Value (kWh)]))=0,"",SUMIFS(measured[Measured Value (kWh)],measured[Site Name],A1881,measured[Date],B1881)),"")</f>
        <v>1007</v>
      </c>
      <c r="D1881" cm="1">
        <f t="array" ref="D1881">IFERROR(IF(SUMPRODUCT((expected_production[Site Name]=A1881)*(expected_production[Date]=B1881)*ISNUMBER(expected_production[Expected Production (kWh)]))=0,"",SUMIFS(expected_production[Expected Production (kWh)],expected_production[Site Name],A1881,expected_production[Date],B1881)),"")</f>
        <v>3279.4305780728128</v>
      </c>
      <c r="E1881" s="9">
        <f t="shared" si="60"/>
        <v>0.30706550299710039</v>
      </c>
      <c r="F1881" t="str">
        <f t="shared" si="61"/>
        <v>Poor</v>
      </c>
    </row>
    <row r="1882" spans="1:6" ht="15" hidden="1" customHeight="1" x14ac:dyDescent="0.3">
      <c r="A1882" t="s">
        <v>169</v>
      </c>
      <c r="B1882" s="2">
        <v>45536</v>
      </c>
      <c r="C1882" cm="1">
        <f t="array" ref="C1882">IFERROR(IF(SUMPRODUCT((measured[Site Name]=A1882)*(measured[Date]=B1882)*ISNUMBER(measured[Measured Value (kWh)]))=0,"",SUMIFS(measured[Measured Value (kWh)],measured[Site Name],A1882,measured[Date],B1882)),"")</f>
        <v>1218</v>
      </c>
      <c r="D1882" cm="1">
        <f t="array" ref="D1882">IFERROR(IF(SUMPRODUCT((expected_production[Site Name]=A1882)*(expected_production[Date]=B1882)*ISNUMBER(expected_production[Expected Production (kWh)]))=0,"",SUMIFS(expected_production[Expected Production (kWh)],expected_production[Site Name],A1882,expected_production[Date],B1882)),"")</f>
        <v>3229.2517430747398</v>
      </c>
      <c r="E1882" s="9">
        <f t="shared" si="60"/>
        <v>0.37717715957328196</v>
      </c>
      <c r="F1882" t="str">
        <f t="shared" si="61"/>
        <v>Poor</v>
      </c>
    </row>
    <row r="1883" spans="1:6" ht="15" hidden="1" customHeight="1" x14ac:dyDescent="0.3">
      <c r="A1883" t="s">
        <v>169</v>
      </c>
      <c r="B1883" s="2">
        <v>45566</v>
      </c>
      <c r="C1883" cm="1">
        <f t="array" ref="C1883">IFERROR(IF(SUMPRODUCT((measured[Site Name]=A1883)*(measured[Date]=B1883)*ISNUMBER(measured[Measured Value (kWh)]))=0,"",SUMIFS(measured[Measured Value (kWh)],measured[Site Name],A1883,measured[Date],B1883)),"")</f>
        <v>1389</v>
      </c>
      <c r="D1883" cm="1">
        <f t="array" ref="D1883">IFERROR(IF(SUMPRODUCT((expected_production[Site Name]=A1883)*(expected_production[Date]=B1883)*ISNUMBER(expected_production[Expected Production (kWh)]))=0,"",SUMIFS(expected_production[Expected Production (kWh)],expected_production[Site Name],A1883,expected_production[Date],B1883)),"")</f>
        <v>3142.6241071871982</v>
      </c>
      <c r="E1883" s="9">
        <f t="shared" si="60"/>
        <v>0.44198731780340816</v>
      </c>
      <c r="F1883" t="str">
        <f t="shared" si="61"/>
        <v>Poor</v>
      </c>
    </row>
    <row r="1884" spans="1:6" ht="15" hidden="1" customHeight="1" x14ac:dyDescent="0.3">
      <c r="A1884" t="s">
        <v>169</v>
      </c>
      <c r="B1884" s="2">
        <v>45597</v>
      </c>
      <c r="C1884" cm="1">
        <f t="array" ref="C1884">IFERROR(IF(SUMPRODUCT((measured[Site Name]=A1884)*(measured[Date]=B1884)*ISNUMBER(measured[Measured Value (kWh)]))=0,"",SUMIFS(measured[Measured Value (kWh)],measured[Site Name],A1884,measured[Date],B1884)),"")</f>
        <v>1731</v>
      </c>
      <c r="D1884" cm="1">
        <f t="array" ref="D1884">IFERROR(IF(SUMPRODUCT((expected_production[Site Name]=A1884)*(expected_production[Date]=B1884)*ISNUMBER(expected_production[Expected Production (kWh)]))=0,"",SUMIFS(expected_production[Expected Production (kWh)],expected_production[Site Name],A1884,expected_production[Date],B1884)),"")</f>
        <v>3143.6141376507799</v>
      </c>
      <c r="E1884" s="9">
        <f t="shared" si="60"/>
        <v>0.55064009900832633</v>
      </c>
      <c r="F1884" t="str">
        <f t="shared" si="61"/>
        <v>Poor</v>
      </c>
    </row>
    <row r="1885" spans="1:6" ht="15" hidden="1" customHeight="1" x14ac:dyDescent="0.3">
      <c r="A1885" t="s">
        <v>169</v>
      </c>
      <c r="B1885" s="2">
        <v>45627</v>
      </c>
      <c r="C1885" cm="1">
        <f t="array" ref="C1885">IFERROR(IF(SUMPRODUCT((measured[Site Name]=A1885)*(measured[Date]=B1885)*ISNUMBER(measured[Measured Value (kWh)]))=0,"",SUMIFS(measured[Measured Value (kWh)],measured[Site Name],A1885,measured[Date],B1885)),"")</f>
        <v>1418</v>
      </c>
      <c r="D1885" cm="1">
        <f t="array" ref="D1885">IFERROR(IF(SUMPRODUCT((expected_production[Site Name]=A1885)*(expected_production[Date]=B1885)*ISNUMBER(expected_production[Expected Production (kWh)]))=0,"",SUMIFS(expected_production[Expected Production (kWh)],expected_production[Site Name],A1885,expected_production[Date],B1885)),"")</f>
        <v>3321.0630536948756</v>
      </c>
      <c r="E1885" s="9">
        <f t="shared" si="60"/>
        <v>0.42697171871590711</v>
      </c>
      <c r="F1885" t="str">
        <f t="shared" si="61"/>
        <v>Poor</v>
      </c>
    </row>
    <row r="1886" spans="1:6" ht="15" hidden="1" customHeight="1" x14ac:dyDescent="0.3">
      <c r="A1886" t="s">
        <v>169</v>
      </c>
      <c r="B1886" s="2">
        <v>45658</v>
      </c>
      <c r="C1886" cm="1">
        <f t="array" ref="C1886">IFERROR(IF(SUMPRODUCT((measured[Site Name]=A1886)*(measured[Date]=B1886)*ISNUMBER(measured[Measured Value (kWh)]))=0,"",SUMIFS(measured[Measured Value (kWh)],measured[Site Name],A1886,measured[Date],B1886)),"")</f>
        <v>1493</v>
      </c>
      <c r="D1886" cm="1">
        <f t="array" ref="D1886">IFERROR(IF(SUMPRODUCT((expected_production[Site Name]=A1886)*(expected_production[Date]=B1886)*ISNUMBER(expected_production[Expected Production (kWh)]))=0,"",SUMIFS(expected_production[Expected Production (kWh)],expected_production[Site Name],A1886,expected_production[Date],B1886)),"")</f>
        <v>3273.8321790523601</v>
      </c>
      <c r="E1886" s="9">
        <f t="shared" si="60"/>
        <v>0.45604048049651774</v>
      </c>
      <c r="F1886" t="str">
        <f t="shared" si="61"/>
        <v>Poor</v>
      </c>
    </row>
    <row r="1887" spans="1:6" ht="15" hidden="1" customHeight="1" x14ac:dyDescent="0.3">
      <c r="A1887" t="s">
        <v>169</v>
      </c>
      <c r="B1887" s="2">
        <v>45689</v>
      </c>
      <c r="C1887" cm="1">
        <f t="array" ref="C1887">IFERROR(IF(SUMPRODUCT((measured[Site Name]=A1887)*(measured[Date]=B1887)*ISNUMBER(measured[Measured Value (kWh)]))=0,"",SUMIFS(measured[Measured Value (kWh)],measured[Site Name],A1887,measured[Date],B1887)),"")</f>
        <v>1368.9</v>
      </c>
      <c r="D1887" cm="1">
        <f t="array" ref="D1887">IFERROR(IF(SUMPRODUCT((expected_production[Site Name]=A1887)*(expected_production[Date]=B1887)*ISNUMBER(expected_production[Expected Production (kWh)]))=0,"",SUMIFS(expected_production[Expected Production (kWh)],expected_production[Site Name],A1887,expected_production[Date],B1887)),"")</f>
        <v>2825.0160874008939</v>
      </c>
      <c r="E1887" s="9">
        <f t="shared" si="60"/>
        <v>0.48456361225872957</v>
      </c>
      <c r="F1887" t="str">
        <f t="shared" si="61"/>
        <v>Poor</v>
      </c>
    </row>
    <row r="1888" spans="1:6" ht="15" hidden="1" customHeight="1" x14ac:dyDescent="0.3">
      <c r="A1888" t="s">
        <v>169</v>
      </c>
      <c r="B1888" s="2">
        <v>45717</v>
      </c>
      <c r="C1888" cm="1">
        <f t="array" ref="C1888">IFERROR(IF(SUMPRODUCT((measured[Site Name]=A1888)*(measured[Date]=B1888)*ISNUMBER(measured[Measured Value (kWh)]))=0,"",SUMIFS(measured[Measured Value (kWh)],measured[Site Name],A1888,measured[Date],B1888)),"")</f>
        <v>960</v>
      </c>
      <c r="D1888" cm="1">
        <f t="array" ref="D1888">IFERROR(IF(SUMPRODUCT((expected_production[Site Name]=A1888)*(expected_production[Date]=B1888)*ISNUMBER(expected_production[Expected Production (kWh)]))=0,"",SUMIFS(expected_production[Expected Production (kWh)],expected_production[Site Name],A1888,expected_production[Date],B1888)),"")</f>
        <v>3119.0603045749817</v>
      </c>
      <c r="E1888" s="9">
        <f t="shared" si="60"/>
        <v>0.30778500774476503</v>
      </c>
      <c r="F1888" t="str">
        <f t="shared" si="61"/>
        <v>Poor</v>
      </c>
    </row>
    <row r="1889" spans="1:7" ht="15" hidden="1" customHeight="1" x14ac:dyDescent="0.3">
      <c r="A1889" t="s">
        <v>169</v>
      </c>
      <c r="B1889" s="2">
        <v>45748</v>
      </c>
      <c r="C1889" cm="1">
        <f t="array" ref="C1889">IFERROR(IF(SUMPRODUCT((measured[Site Name]=A1889)*(measured[Date]=B1889)*ISNUMBER(measured[Measured Value (kWh)]))=0,"",SUMIFS(measured[Measured Value (kWh)],measured[Site Name],A1889,measured[Date],B1889)),"")</f>
        <v>694</v>
      </c>
      <c r="D1889" cm="1">
        <f t="array" ref="D1889">IFERROR(IF(SUMPRODUCT((expected_production[Site Name]=A1889)*(expected_production[Date]=B1889)*ISNUMBER(expected_production[Expected Production (kWh)]))=0,"",SUMIFS(expected_production[Expected Production (kWh)],expected_production[Site Name],A1889,expected_production[Date],B1889)),"")</f>
        <v>3044.3196314109823</v>
      </c>
      <c r="E1889" s="9">
        <f t="shared" si="60"/>
        <v>0.22796555027907653</v>
      </c>
      <c r="F1889" t="str">
        <f t="shared" si="61"/>
        <v>Poor</v>
      </c>
    </row>
    <row r="1890" spans="1:7" ht="15" hidden="1" customHeight="1" x14ac:dyDescent="0.3">
      <c r="A1890" t="s">
        <v>169</v>
      </c>
      <c r="B1890" s="2">
        <v>45778</v>
      </c>
      <c r="C1890" cm="1">
        <f t="array" ref="C1890">IFERROR(IF(SUMPRODUCT((measured[Site Name]=A1890)*(measured[Date]=B1890)*ISNUMBER(measured[Measured Value (kWh)]))=0,"",SUMIFS(measured[Measured Value (kWh)],measured[Site Name],A1890,measured[Date],B1890)),"")</f>
        <v>580</v>
      </c>
      <c r="D1890" cm="1">
        <f t="array" ref="D1890">IFERROR(IF(SUMPRODUCT((expected_production[Site Name]=A1890)*(expected_production[Date]=B1890)*ISNUMBER(expected_production[Expected Production (kWh)]))=0,"",SUMIFS(expected_production[Expected Production (kWh)],expected_production[Site Name],A1890,expected_production[Date],B1890)),"")</f>
        <v>2934.9825924908237</v>
      </c>
      <c r="E1890" s="9">
        <f t="shared" si="60"/>
        <v>0.19761616354520622</v>
      </c>
      <c r="F1890" t="str">
        <f t="shared" si="61"/>
        <v>Poor</v>
      </c>
    </row>
    <row r="1891" spans="1:7" ht="15" hidden="1" customHeight="1" x14ac:dyDescent="0.3">
      <c r="A1891" t="s">
        <v>169</v>
      </c>
      <c r="B1891" s="2">
        <v>45809</v>
      </c>
      <c r="C1891" cm="1">
        <f t="array" ref="C1891">IFERROR(IF(SUMPRODUCT((measured[Site Name]=A1891)*(measured[Date]=B1891)*ISNUMBER(measured[Measured Value (kWh)]))=0,"",SUMIFS(measured[Measured Value (kWh)],measured[Site Name],A1891,measured[Date],B1891)),"")</f>
        <v>449.2</v>
      </c>
      <c r="D1891" cm="1">
        <f t="array" ref="D1891">IFERROR(IF(SUMPRODUCT((expected_production[Site Name]=A1891)*(expected_production[Date]=B1891)*ISNUMBER(expected_production[Expected Production (kWh)]))=0,"",SUMIFS(expected_production[Expected Production (kWh)],expected_production[Site Name],A1891,expected_production[Date],B1891)),"")</f>
        <v>2642.9710721184615</v>
      </c>
      <c r="E1891" s="9">
        <f t="shared" si="60"/>
        <v>0.16996024085876421</v>
      </c>
      <c r="F1891" t="str">
        <f t="shared" si="61"/>
        <v>Poor</v>
      </c>
    </row>
    <row r="1892" spans="1:7" ht="15" hidden="1" customHeight="1" x14ac:dyDescent="0.3">
      <c r="A1892" t="s">
        <v>169</v>
      </c>
      <c r="B1892" s="2">
        <v>45839</v>
      </c>
      <c r="C1892" cm="1">
        <f t="array" ref="C1892">IFERROR(IF(SUMPRODUCT((measured[Site Name]=A1892)*(measured[Date]=B1892)*ISNUMBER(measured[Measured Value (kWh)]))=0,"",SUMIFS(measured[Measured Value (kWh)],measured[Site Name],A1892,measured[Date],B1892)),"")</f>
        <v>575</v>
      </c>
      <c r="D1892" cm="1">
        <f t="array" ref="D1892">IFERROR(IF(SUMPRODUCT((expected_production[Site Name]=A1892)*(expected_production[Date]=B1892)*ISNUMBER(expected_production[Expected Production (kWh)]))=0,"",SUMIFS(expected_production[Expected Production (kWh)],expected_production[Site Name],A1892,expected_production[Date],B1892)),"")</f>
        <v>2779.830435674452</v>
      </c>
      <c r="E1892" s="9">
        <f t="shared" si="60"/>
        <v>0.206847148883918</v>
      </c>
      <c r="F1892" t="str">
        <f t="shared" si="61"/>
        <v>Poor</v>
      </c>
    </row>
    <row r="1893" spans="1:7" ht="15" hidden="1" customHeight="1" x14ac:dyDescent="0.3">
      <c r="A1893" t="s">
        <v>169</v>
      </c>
      <c r="B1893" s="2">
        <v>45870</v>
      </c>
      <c r="C1893" cm="1">
        <f t="array" ref="C1893">IFERROR(IF(SUMPRODUCT((measured[Site Name]=A1893)*(measured[Date]=B1893)*ISNUMBER(measured[Measured Value (kWh)]))=0,"",SUMIFS(measured[Measured Value (kWh)],measured[Site Name],A1893,measured[Date],B1893)),"")</f>
        <v>1437</v>
      </c>
      <c r="D1893" cm="1">
        <f t="array" ref="D1893">IFERROR(IF(SUMPRODUCT((expected_production[Site Name]=A1893)*(expected_production[Date]=B1893)*ISNUMBER(expected_production[Expected Production (kWh)]))=0,"",SUMIFS(expected_production[Expected Production (kWh)],expected_production[Site Name],A1893,expected_production[Date],B1893)),"")</f>
        <v>3256.4902214765821</v>
      </c>
      <c r="E1893" s="9">
        <f t="shared" si="60"/>
        <v>0.44127262858735833</v>
      </c>
      <c r="F1893" t="str">
        <f t="shared" si="61"/>
        <v>Poor</v>
      </c>
    </row>
    <row r="1894" spans="1:7" ht="15" hidden="1" customHeight="1" x14ac:dyDescent="0.3">
      <c r="A1894" t="s">
        <v>169</v>
      </c>
      <c r="B1894" s="2">
        <v>45901</v>
      </c>
      <c r="C1894" cm="1">
        <f t="array" ref="C1894">IFERROR(IF(SUMPRODUCT((measured[Site Name]=A1894)*(measured[Date]=B1894)*ISNUMBER(measured[Measured Value (kWh)]))=0,"",SUMIFS(measured[Measured Value (kWh)],measured[Site Name],A1894,measured[Date],B1894)),"")</f>
        <v>1257</v>
      </c>
      <c r="D1894" cm="1">
        <f t="array" ref="D1894">IFERROR(IF(SUMPRODUCT((expected_production[Site Name]=A1894)*(expected_production[Date]=B1894)*ISNUMBER(expected_production[Expected Production (kWh)]))=0,"",SUMIFS(expected_production[Expected Production (kWh)],expected_production[Site Name],A1894,expected_production[Date],B1894)),"")</f>
        <v>3206.6623987475705</v>
      </c>
      <c r="E1894" s="9">
        <f t="shared" si="60"/>
        <v>0.39199636372414753</v>
      </c>
      <c r="F1894" t="str">
        <f t="shared" si="61"/>
        <v>Poor</v>
      </c>
    </row>
    <row r="1895" spans="1:7" ht="15" hidden="1" customHeight="1" x14ac:dyDescent="0.3">
      <c r="A1895" t="s">
        <v>169</v>
      </c>
      <c r="B1895" s="2">
        <v>45931</v>
      </c>
      <c r="C1895" cm="1">
        <f t="array" ref="C1895">IFERROR(IF(SUMPRODUCT((measured[Site Name]=A1895)*(measured[Date]=B1895)*ISNUMBER(measured[Measured Value (kWh)]))=0,"",SUMIFS(measured[Measured Value (kWh)],measured[Site Name],A1895,measured[Date],B1895)),"")</f>
        <v>1616</v>
      </c>
      <c r="D1895" cm="1">
        <f t="array" ref="D1895">IFERROR(IF(SUMPRODUCT((expected_production[Site Name]=A1895)*(expected_production[Date]=B1895)*ISNUMBER(expected_production[Expected Production (kWh)]))=0,"",SUMIFS(expected_production[Expected Production (kWh)],expected_production[Site Name],A1895,expected_production[Date],B1895)),"")</f>
        <v>3120.6407427126405</v>
      </c>
      <c r="E1895" s="9">
        <f t="shared" si="60"/>
        <v>0.51784237060087857</v>
      </c>
      <c r="F1895" t="str">
        <f t="shared" si="61"/>
        <v>Poor</v>
      </c>
    </row>
    <row r="1896" spans="1:7" ht="15" hidden="1" customHeight="1" x14ac:dyDescent="0.3">
      <c r="A1896" t="s">
        <v>169</v>
      </c>
      <c r="B1896" s="2">
        <v>45962</v>
      </c>
      <c r="C1896" cm="1">
        <f t="array" ref="C1896">IFERROR(IF(SUMPRODUCT((measured[Site Name]=A1896)*(measured[Date]=B1896)*ISNUMBER(measured[Measured Value (kWh)]))=0,"",SUMIFS(measured[Measured Value (kWh)],measured[Site Name],A1896,measured[Date],B1896)),"")</f>
        <v>1463</v>
      </c>
      <c r="D1896" cm="1">
        <f t="array" ref="D1896">IFERROR(IF(SUMPRODUCT((expected_production[Site Name]=A1896)*(expected_production[Date]=B1896)*ISNUMBER(expected_production[Expected Production (kWh)]))=0,"",SUMIFS(expected_production[Expected Production (kWh)],expected_production[Site Name],A1896,expected_production[Date],B1896)),"")</f>
        <v>3121.6238476898197</v>
      </c>
      <c r="E1896" s="9">
        <f t="shared" si="60"/>
        <v>0.46866633245472661</v>
      </c>
      <c r="F1896" t="str">
        <f t="shared" si="61"/>
        <v>Poor</v>
      </c>
    </row>
    <row r="1897" spans="1:7" ht="15" hidden="1" customHeight="1" x14ac:dyDescent="0.3">
      <c r="A1897" t="s">
        <v>169</v>
      </c>
      <c r="B1897" s="2">
        <v>45992</v>
      </c>
      <c r="C1897" cm="1">
        <f t="array" ref="C1897">IFERROR(IF(SUMPRODUCT((measured[Site Name]=A1897)*(measured[Date]=B1897)*ISNUMBER(measured[Measured Value (kWh)]))=0,"",SUMIFS(measured[Measured Value (kWh)],measured[Site Name],A1897,measured[Date],B1897)),"")</f>
        <v>1836</v>
      </c>
      <c r="D1897" cm="1">
        <f t="array" ref="D1897">IFERROR(IF(SUMPRODUCT((expected_production[Site Name]=A1897)*(expected_production[Date]=B1897)*ISNUMBER(expected_production[Expected Production (kWh)]))=0,"",SUMIFS(expected_production[Expected Production (kWh)],expected_production[Site Name],A1897,expected_production[Date],B1897)),"")</f>
        <v>3297.8314685411206</v>
      </c>
      <c r="E1897" s="9">
        <f t="shared" si="60"/>
        <v>0.55672948042193349</v>
      </c>
      <c r="F1897" t="str">
        <f t="shared" si="61"/>
        <v>Poor</v>
      </c>
    </row>
    <row r="1898" spans="1:7" ht="15" hidden="1" customHeight="1" x14ac:dyDescent="0.3">
      <c r="A1898" t="s">
        <v>169</v>
      </c>
      <c r="B1898" s="2">
        <v>46023</v>
      </c>
      <c r="C1898" cm="1">
        <f t="array" ref="C1898">IFERROR(IF(SUMPRODUCT((measured[Site Name]=A1898)*(measured[Date]=B1898)*ISNUMBER(measured[Measured Value (kWh)]))=0,"",SUMIFS(measured[Measured Value (kWh)],measured[Site Name],A1898,measured[Date],B1898)),"")</f>
        <v>1637</v>
      </c>
      <c r="D1898" cm="1">
        <f t="array" ref="D1898">IFERROR(IF(SUMPRODUCT((expected_production[Site Name]=A1898)*(expected_production[Date]=B1898)*ISNUMBER(expected_production[Expected Production (kWh)]))=0,"",SUMIFS(expected_production[Expected Production (kWh)],expected_production[Site Name],A1898,expected_production[Date],B1898)),"")</f>
        <v>3250.9309845200428</v>
      </c>
      <c r="E1898" s="9">
        <f t="shared" si="60"/>
        <v>0.50354806293794074</v>
      </c>
      <c r="F1898" t="str">
        <f t="shared" si="61"/>
        <v>Poor</v>
      </c>
    </row>
    <row r="1899" spans="1:7" ht="15" hidden="1" customHeight="1" x14ac:dyDescent="0.3">
      <c r="A1899" t="s">
        <v>169</v>
      </c>
      <c r="B1899" s="2">
        <v>46054</v>
      </c>
      <c r="C1899" cm="1">
        <f t="array" ref="C1899">IFERROR(IF(SUMPRODUCT((measured[Site Name]=A1899)*(measured[Date]=B1899)*ISNUMBER(measured[Measured Value (kWh)]))=0,"",SUMIFS(measured[Measured Value (kWh)],measured[Site Name],A1899,measured[Date],B1899)),"")</f>
        <v>1801</v>
      </c>
      <c r="D1899" cm="1">
        <f t="array" ref="D1899">IFERROR(IF(SUMPRODUCT((expected_production[Site Name]=A1899)*(expected_production[Date]=B1899)*ISNUMBER(expected_production[Expected Production (kWh)]))=0,"",SUMIFS(expected_production[Expected Production (kWh)],expected_production[Site Name],A1899,expected_production[Date],B1899)),"")</f>
        <v>2805.2544626638492</v>
      </c>
      <c r="E1899" s="9">
        <f t="shared" si="60"/>
        <v>0.64200949467157553</v>
      </c>
      <c r="F1899" t="str">
        <f t="shared" si="61"/>
        <v>Poor</v>
      </c>
    </row>
    <row r="1900" spans="1:7" ht="15" hidden="1" customHeight="1" x14ac:dyDescent="0.3">
      <c r="A1900" t="s">
        <v>169</v>
      </c>
      <c r="B1900" s="2">
        <v>46082</v>
      </c>
      <c r="C1900" cm="1">
        <f t="array" ref="C1900">IFERROR(IF(SUMPRODUCT((measured[Site Name]=A1900)*(measured[Date]=B1900)*ISNUMBER(measured[Measured Value (kWh)]))=0,"",SUMIFS(measured[Measured Value (kWh)],measured[Site Name],A1900,measured[Date],B1900)),"")</f>
        <v>1516</v>
      </c>
      <c r="D1900" cm="1">
        <f t="array" ref="D1900">IFERROR(IF(SUMPRODUCT((expected_production[Site Name]=A1900)*(expected_production[Date]=B1900)*ISNUMBER(expected_production[Expected Production (kWh)]))=0,"",SUMIFS(expected_production[Expected Production (kWh)],expected_production[Site Name],A1900,expected_production[Date],B1900)),"")</f>
        <v>3097.2417742147059</v>
      </c>
      <c r="E1900" s="9">
        <f t="shared" si="60"/>
        <v>0.48946776212986348</v>
      </c>
      <c r="F1900" t="str">
        <f t="shared" si="61"/>
        <v>Poor</v>
      </c>
    </row>
    <row r="1901" spans="1:7" ht="15" hidden="1" customHeight="1" x14ac:dyDescent="0.3">
      <c r="A1901" t="s">
        <v>169</v>
      </c>
      <c r="B1901" s="2">
        <v>46113</v>
      </c>
      <c r="C1901" cm="1">
        <f t="array" ref="C1901">IFERROR(IF(SUMPRODUCT((measured[Site Name]=A1901)*(measured[Date]=B1901)*ISNUMBER(measured[Measured Value (kWh)]))=0,"",SUMIFS(measured[Measured Value (kWh)],measured[Site Name],A1901,measured[Date],B1901)),"")</f>
        <v>1353.29</v>
      </c>
      <c r="D1901" cm="1">
        <f t="array" ref="D1901">IFERROR(IF(SUMPRODUCT((expected_production[Site Name]=A1901)*(expected_production[Date]=B1901)*ISNUMBER(expected_production[Expected Production (kWh)]))=0,"",SUMIFS(expected_production[Expected Production (kWh)],expected_production[Site Name],A1901,expected_production[Date],B1901)),"")</f>
        <v>3023.0239289178644</v>
      </c>
      <c r="E1901" s="9">
        <f t="shared" si="60"/>
        <v>0.44766102810321778</v>
      </c>
      <c r="F1901" t="str">
        <f t="shared" si="61"/>
        <v>Poor</v>
      </c>
    </row>
    <row r="1902" spans="1:7" ht="15" hidden="1" customHeight="1" x14ac:dyDescent="0.3">
      <c r="A1902" t="s">
        <v>169</v>
      </c>
      <c r="B1902" s="2">
        <v>46143</v>
      </c>
      <c r="C1902" cm="1">
        <f t="array" ref="C1902">IFERROR(IF(SUMPRODUCT((measured[Site Name]=A1902)*(measured[Date]=B1902)*ISNUMBER(measured[Measured Value (kWh)]))=0,"",SUMIFS(measured[Measured Value (kWh)],measured[Site Name],A1902,measured[Date],B1902)),"")</f>
        <v>1302.0899999999999</v>
      </c>
      <c r="D1902" cm="1">
        <f t="array" ref="D1902">IFERROR(IF(SUMPRODUCT((expected_production[Site Name]=A1902)*(expected_production[Date]=B1902)*ISNUMBER(expected_production[Expected Production (kWh)]))=0,"",SUMIFS(expected_production[Expected Production (kWh)],expected_production[Site Name],A1902,expected_production[Date],B1902)),"")</f>
        <v>2914.4517272468229</v>
      </c>
      <c r="E1902" s="9">
        <f t="shared" si="60"/>
        <v>0.44677013787084996</v>
      </c>
      <c r="F1902" t="str">
        <f t="shared" si="61"/>
        <v>Poor</v>
      </c>
    </row>
    <row r="1903" spans="1:7" ht="15" hidden="1" customHeight="1" x14ac:dyDescent="0.3">
      <c r="A1903" t="s">
        <v>169</v>
      </c>
      <c r="B1903" s="2">
        <v>46174</v>
      </c>
      <c r="C1903" cm="1">
        <f t="array" ref="C1903">IFERROR(IF(SUMPRODUCT((measured[Site Name]=A1903)*(measured[Date]=B1903)*ISNUMBER(measured[Measured Value (kWh)]))=0,"",SUMIFS(measured[Measured Value (kWh)],measured[Site Name],A1903,measured[Date],B1903)),"")</f>
        <v>1100</v>
      </c>
      <c r="D1903" cm="1">
        <f t="array" ref="D1903">IFERROR(IF(SUMPRODUCT((expected_production[Site Name]=A1903)*(expected_production[Date]=B1903)*ISNUMBER(expected_production[Expected Production (kWh)]))=0,"",SUMIFS(expected_production[Expected Production (kWh)],expected_production[Site Name],A1903,expected_production[Date],B1903)),"")</f>
        <v>2624.4828933250724</v>
      </c>
      <c r="E1903" s="9">
        <f t="shared" si="60"/>
        <v>0.41913018476807895</v>
      </c>
      <c r="F1903" t="str">
        <f t="shared" si="61"/>
        <v>Poor</v>
      </c>
    </row>
    <row r="1904" spans="1:7" ht="15" hidden="1" customHeight="1" x14ac:dyDescent="0.3">
      <c r="A1904" t="s">
        <v>169</v>
      </c>
      <c r="B1904" s="2">
        <v>46204</v>
      </c>
      <c r="C1904" cm="1">
        <f t="array" ref="C1904">IFERROR(IF(SUMPRODUCT((measured[Site Name]=A1904)*(measured[Date]=B1904)*ISNUMBER(measured[Measured Value (kWh)]))=0,"",SUMIFS(measured[Measured Value (kWh)],measured[Site Name],A1904,measured[Date],B1904)),"")</f>
        <v>1098</v>
      </c>
      <c r="D1904" cm="1">
        <f t="array" ref="D1904">IFERROR(IF(SUMPRODUCT((expected_production[Site Name]=A1904)*(expected_production[Date]=B1904)*ISNUMBER(expected_production[Expected Production (kWh)]))=0,"",SUMIFS(expected_production[Expected Production (kWh)],expected_production[Site Name],A1904,expected_production[Date],B1904)),"")</f>
        <v>2760.38489476323</v>
      </c>
      <c r="E1904" s="9">
        <f t="shared" si="60"/>
        <v>0.39777061600468588</v>
      </c>
      <c r="F1904" t="str">
        <f t="shared" si="61"/>
        <v>Poor</v>
      </c>
      <c r="G1904" t="s">
        <v>874</v>
      </c>
    </row>
    <row r="1905" spans="1:7" ht="15" hidden="1" customHeight="1" x14ac:dyDescent="0.3">
      <c r="A1905" t="s">
        <v>169</v>
      </c>
      <c r="B1905" s="2">
        <v>46235</v>
      </c>
      <c r="C1905" cm="1">
        <f t="array" ref="C1905">IFERROR(IF(SUMPRODUCT((measured[Site Name]=A1905)*(measured[Date]=B1905)*ISNUMBER(measured[Measured Value (kWh)]))=0,"",SUMIFS(measured[Measured Value (kWh)],measured[Site Name],A1905,measured[Date],B1905)),"")</f>
        <v>1071</v>
      </c>
      <c r="D1905" cm="1">
        <f t="array" ref="D1905">IFERROR(IF(SUMPRODUCT((expected_production[Site Name]=A1905)*(expected_production[Date]=B1905)*ISNUMBER(expected_production[Expected Production (kWh)]))=0,"",SUMIFS(expected_production[Expected Production (kWh)],expected_production[Site Name],A1905,expected_production[Date],B1905)),"")</f>
        <v>3233.7103378491288</v>
      </c>
      <c r="E1905" s="9">
        <f t="shared" si="60"/>
        <v>0.33119849587776168</v>
      </c>
      <c r="F1905" t="str">
        <f t="shared" si="61"/>
        <v>Poor</v>
      </c>
      <c r="G1905" t="s">
        <v>874</v>
      </c>
    </row>
    <row r="1906" spans="1:7" ht="15" customHeight="1" x14ac:dyDescent="0.3">
      <c r="A1906" t="s">
        <v>169</v>
      </c>
      <c r="B1906" s="2">
        <v>46266</v>
      </c>
      <c r="C1906" cm="1">
        <f t="array" ref="C1906">IFERROR(IF(SUMPRODUCT((measured[Site Name]=A1906)*(measured[Date]=B1906)*ISNUMBER(measured[Measured Value (kWh)]))=0,"",SUMIFS(measured[Measured Value (kWh)],measured[Site Name],A1906,measured[Date],B1906)),"")</f>
        <v>1290.9100000000001</v>
      </c>
      <c r="D1906" cm="1">
        <f t="array" ref="D1906">IFERROR(IF(SUMPRODUCT((expected_production[Site Name]=A1906)*(expected_production[Date]=B1906)*ISNUMBER(expected_production[Expected Production (kWh)]))=0,"",SUMIFS(expected_production[Expected Production (kWh)],expected_production[Site Name],A1906,expected_production[Date],B1906)),"")</f>
        <v>3184.2310719791831</v>
      </c>
      <c r="E1906" s="9">
        <f t="shared" si="60"/>
        <v>0.40540713623450231</v>
      </c>
      <c r="F1906" t="str">
        <f t="shared" si="61"/>
        <v>Poor</v>
      </c>
      <c r="G1906" t="s">
        <v>874</v>
      </c>
    </row>
    <row r="1907" spans="1:7" ht="15" hidden="1" customHeight="1" x14ac:dyDescent="0.3">
      <c r="A1907" t="s">
        <v>169</v>
      </c>
      <c r="B1907" s="2">
        <v>46296</v>
      </c>
      <c r="C1907" t="str" cm="1">
        <f t="array" ref="C1907">IFERROR(IF(SUMPRODUCT((measured[Site Name]=A1907)*(measured[Date]=B1907)*ISNUMBER(measured[Measured Value (kWh)]))=0,"",SUMIFS(measured[Measured Value (kWh)],measured[Site Name],A1907,measured[Date],B1907)),"")</f>
        <v/>
      </c>
      <c r="D1907" cm="1">
        <f t="array" ref="D1907">IFERROR(IF(SUMPRODUCT((expected_production[Site Name]=A1907)*(expected_production[Date]=B1907)*ISNUMBER(expected_production[Expected Production (kWh)]))=0,"",SUMIFS(expected_production[Expected Production (kWh)],expected_production[Site Name],A1907,expected_production[Date],B1907)),"")</f>
        <v>3098.8111568311115</v>
      </c>
      <c r="E1907" s="9" t="str">
        <f t="shared" si="60"/>
        <v/>
      </c>
      <c r="F1907" t="str">
        <f t="shared" si="61"/>
        <v/>
      </c>
    </row>
    <row r="1908" spans="1:7" ht="15" hidden="1" customHeight="1" x14ac:dyDescent="0.3">
      <c r="A1908" t="s">
        <v>169</v>
      </c>
      <c r="B1908" s="2">
        <v>46327</v>
      </c>
      <c r="C1908" t="str" cm="1">
        <f t="array" ref="C1908">IFERROR(IF(SUMPRODUCT((measured[Site Name]=A1908)*(measured[Date]=B1908)*ISNUMBER(measured[Measured Value (kWh)]))=0,"",SUMIFS(measured[Measured Value (kWh)],measured[Site Name],A1908,measured[Date],B1908)),"")</f>
        <v/>
      </c>
      <c r="D1908" cm="1">
        <f t="array" ref="D1908">IFERROR(IF(SUMPRODUCT((expected_production[Site Name]=A1908)*(expected_production[Date]=B1908)*ISNUMBER(expected_production[Expected Production (kWh)]))=0,"",SUMIFS(expected_production[Expected Production (kWh)],expected_production[Site Name],A1908,expected_production[Date],B1908)),"")</f>
        <v>3099.7873847672276</v>
      </c>
      <c r="E1908" s="9" t="str">
        <f t="shared" si="60"/>
        <v/>
      </c>
      <c r="F1908" t="str">
        <f t="shared" si="61"/>
        <v/>
      </c>
    </row>
    <row r="1909" spans="1:7" ht="15" hidden="1" customHeight="1" x14ac:dyDescent="0.3">
      <c r="A1909" t="s">
        <v>169</v>
      </c>
      <c r="B1909" s="2">
        <v>46357</v>
      </c>
      <c r="C1909" t="str" cm="1">
        <f t="array" ref="C1909">IFERROR(IF(SUMPRODUCT((measured[Site Name]=A1909)*(measured[Date]=B1909)*ISNUMBER(measured[Measured Value (kWh)]))=0,"",SUMIFS(measured[Measured Value (kWh)],measured[Site Name],A1909,measured[Date],B1909)),"")</f>
        <v/>
      </c>
      <c r="D1909" cm="1">
        <f t="array" ref="D1909">IFERROR(IF(SUMPRODUCT((expected_production[Site Name]=A1909)*(expected_production[Date]=B1909)*ISNUMBER(expected_production[Expected Production (kWh)]))=0,"",SUMIFS(expected_production[Expected Production (kWh)],expected_production[Site Name],A1909,expected_production[Date],B1909)),"")</f>
        <v>3274.762393565592</v>
      </c>
      <c r="E1909" s="9" t="str">
        <f t="shared" si="60"/>
        <v/>
      </c>
      <c r="F1909" t="str">
        <f t="shared" si="61"/>
        <v/>
      </c>
    </row>
    <row r="1910" spans="1:7" ht="15" hidden="1" customHeight="1" x14ac:dyDescent="0.3">
      <c r="A1910" t="s">
        <v>171</v>
      </c>
      <c r="B1910" s="2">
        <v>45292</v>
      </c>
      <c r="C1910" cm="1">
        <f t="array" ref="C1910">IFERROR(IF(SUMPRODUCT((measured[Site Name]=A1910)*(measured[Date]=B1910)*ISNUMBER(measured[Measured Value (kWh)]))=0,"",SUMIFS(measured[Measured Value (kWh)],measured[Site Name],A1910,measured[Date],B1910)),"")</f>
        <v>8341</v>
      </c>
      <c r="D1910" cm="1">
        <f t="array" ref="D1910">IFERROR(IF(SUMPRODUCT((expected_production[Site Name]=A1910)*(expected_production[Date]=B1910)*ISNUMBER(expected_production[Expected Production (kWh)]))=0,"",SUMIFS(expected_production[Expected Production (kWh)],expected_production[Site Name],A1910,expected_production[Date],B1910)),"")</f>
        <v>12446.153758201615</v>
      </c>
      <c r="E1910" s="9">
        <f t="shared" si="60"/>
        <v>0.67016687741813807</v>
      </c>
      <c r="F1910" t="str">
        <f t="shared" si="61"/>
        <v>Poor</v>
      </c>
    </row>
    <row r="1911" spans="1:7" ht="15" hidden="1" customHeight="1" x14ac:dyDescent="0.3">
      <c r="A1911" t="s">
        <v>171</v>
      </c>
      <c r="B1911" s="2">
        <v>45323</v>
      </c>
      <c r="C1911" cm="1">
        <f t="array" ref="C1911">IFERROR(IF(SUMPRODUCT((measured[Site Name]=A1911)*(measured[Date]=B1911)*ISNUMBER(measured[Measured Value (kWh)]))=0,"",SUMIFS(measured[Measured Value (kWh)],measured[Site Name],A1911,measured[Date],B1911)),"")</f>
        <v>8056</v>
      </c>
      <c r="D1911" cm="1">
        <f t="array" ref="D1911">IFERROR(IF(SUMPRODUCT((expected_production[Site Name]=A1911)*(expected_production[Date]=B1911)*ISNUMBER(expected_production[Expected Production (kWh)]))=0,"",SUMIFS(expected_production[Expected Production (kWh)],expected_production[Site Name],A1911,expected_production[Date],B1911)),"")</f>
        <v>10833.429147702178</v>
      </c>
      <c r="E1911" s="9">
        <f t="shared" si="60"/>
        <v>0.74362419231852517</v>
      </c>
      <c r="F1911" t="str">
        <f t="shared" si="61"/>
        <v>Moderate</v>
      </c>
    </row>
    <row r="1912" spans="1:7" ht="15" hidden="1" customHeight="1" x14ac:dyDescent="0.3">
      <c r="A1912" t="s">
        <v>171</v>
      </c>
      <c r="B1912" s="2">
        <v>45352</v>
      </c>
      <c r="C1912" cm="1">
        <f t="array" ref="C1912">IFERROR(IF(SUMPRODUCT((measured[Site Name]=A1912)*(measured[Date]=B1912)*ISNUMBER(measured[Measured Value (kWh)]))=0,"",SUMIFS(measured[Measured Value (kWh)],measured[Site Name],A1912,measured[Date],B1912)),"")</f>
        <v>7588</v>
      </c>
      <c r="D1912" cm="1">
        <f t="array" ref="D1912">IFERROR(IF(SUMPRODUCT((expected_production[Site Name]=A1912)*(expected_production[Date]=B1912)*ISNUMBER(expected_production[Expected Production (kWh)]))=0,"",SUMIFS(expected_production[Expected Production (kWh)],expected_production[Site Name],A1912,expected_production[Date],B1912)),"")</f>
        <v>10846.962680135426</v>
      </c>
      <c r="E1912" s="9">
        <f t="shared" si="60"/>
        <v>0.6995506690454717</v>
      </c>
      <c r="F1912" t="str">
        <f t="shared" si="61"/>
        <v>Poor</v>
      </c>
    </row>
    <row r="1913" spans="1:7" ht="15" hidden="1" customHeight="1" x14ac:dyDescent="0.3">
      <c r="A1913" t="s">
        <v>171</v>
      </c>
      <c r="B1913" s="2">
        <v>45383</v>
      </c>
      <c r="C1913" cm="1">
        <f t="array" ref="C1913">IFERROR(IF(SUMPRODUCT((measured[Site Name]=A1913)*(measured[Date]=B1913)*ISNUMBER(measured[Measured Value (kWh)]))=0,"",SUMIFS(measured[Measured Value (kWh)],measured[Site Name],A1913,measured[Date],B1913)),"")</f>
        <v>6746</v>
      </c>
      <c r="D1913" cm="1">
        <f t="array" ref="D1913">IFERROR(IF(SUMPRODUCT((expected_production[Site Name]=A1913)*(expected_production[Date]=B1913)*ISNUMBER(expected_production[Expected Production (kWh)]))=0,"",SUMIFS(expected_production[Expected Production (kWh)],expected_production[Site Name],A1913,expected_production[Date],B1913)),"")</f>
        <v>8712.26002263806</v>
      </c>
      <c r="E1913" s="9">
        <f t="shared" si="60"/>
        <v>0.77431114113572119</v>
      </c>
      <c r="F1913" t="str">
        <f t="shared" si="61"/>
        <v>Moderate</v>
      </c>
    </row>
    <row r="1914" spans="1:7" ht="15" hidden="1" customHeight="1" x14ac:dyDescent="0.3">
      <c r="A1914" t="s">
        <v>171</v>
      </c>
      <c r="B1914" s="2">
        <v>45413</v>
      </c>
      <c r="C1914" cm="1">
        <f t="array" ref="C1914">IFERROR(IF(SUMPRODUCT((measured[Site Name]=A1914)*(measured[Date]=B1914)*ISNUMBER(measured[Measured Value (kWh)]))=0,"",SUMIFS(measured[Measured Value (kWh)],measured[Site Name],A1914,measured[Date],B1914)),"")</f>
        <v>6595</v>
      </c>
      <c r="D1914" cm="1">
        <f t="array" ref="D1914">IFERROR(IF(SUMPRODUCT((expected_production[Site Name]=A1914)*(expected_production[Date]=B1914)*ISNUMBER(expected_production[Expected Production (kWh)]))=0,"",SUMIFS(expected_production[Expected Production (kWh)],expected_production[Site Name],A1914,expected_production[Date],B1914)),"")</f>
        <v>7406.2828905921797</v>
      </c>
      <c r="E1914" s="9">
        <f t="shared" si="60"/>
        <v>0.89046018055525389</v>
      </c>
      <c r="F1914" t="str">
        <f t="shared" si="61"/>
        <v>Moderate</v>
      </c>
    </row>
    <row r="1915" spans="1:7" ht="15" hidden="1" customHeight="1" x14ac:dyDescent="0.3">
      <c r="A1915" t="s">
        <v>171</v>
      </c>
      <c r="B1915" s="2">
        <v>45444</v>
      </c>
      <c r="C1915" cm="1">
        <f t="array" ref="C1915">IFERROR(IF(SUMPRODUCT((measured[Site Name]=A1915)*(measured[Date]=B1915)*ISNUMBER(measured[Measured Value (kWh)]))=0,"",SUMIFS(measured[Measured Value (kWh)],measured[Site Name],A1915,measured[Date],B1915)),"")</f>
        <v>5221</v>
      </c>
      <c r="D1915" cm="1">
        <f t="array" ref="D1915">IFERROR(IF(SUMPRODUCT((expected_production[Site Name]=A1915)*(expected_production[Date]=B1915)*ISNUMBER(expected_production[Expected Production (kWh)]))=0,"",SUMIFS(expected_production[Expected Production (kWh)],expected_production[Site Name],A1915,expected_production[Date],B1915)),"")</f>
        <v>6709.5864200777978</v>
      </c>
      <c r="E1915" s="9">
        <f t="shared" si="60"/>
        <v>0.77814036113711205</v>
      </c>
      <c r="F1915" t="str">
        <f t="shared" si="61"/>
        <v>Moderate</v>
      </c>
    </row>
    <row r="1916" spans="1:7" ht="15" hidden="1" customHeight="1" x14ac:dyDescent="0.3">
      <c r="A1916" t="s">
        <v>171</v>
      </c>
      <c r="B1916" s="2">
        <v>45474</v>
      </c>
      <c r="C1916" cm="1">
        <f t="array" ref="C1916">IFERROR(IF(SUMPRODUCT((measured[Site Name]=A1916)*(measured[Date]=B1916)*ISNUMBER(measured[Measured Value (kWh)]))=0,"",SUMIFS(measured[Measured Value (kWh)],measured[Site Name],A1916,measured[Date],B1916)),"")</f>
        <v>6498</v>
      </c>
      <c r="D1916" cm="1">
        <f t="array" ref="D1916">IFERROR(IF(SUMPRODUCT((expected_production[Site Name]=A1916)*(expected_production[Date]=B1916)*ISNUMBER(expected_production[Expected Production (kWh)]))=0,"",SUMIFS(expected_production[Expected Production (kWh)],expected_production[Site Name],A1916,expected_production[Date],B1916)),"")</f>
        <v>7223.6378651430878</v>
      </c>
      <c r="E1916" s="9">
        <f t="shared" si="60"/>
        <v>0.89954675487754199</v>
      </c>
      <c r="F1916" t="str">
        <f t="shared" si="61"/>
        <v>Moderate</v>
      </c>
    </row>
    <row r="1917" spans="1:7" ht="15" hidden="1" customHeight="1" x14ac:dyDescent="0.3">
      <c r="A1917" t="s">
        <v>171</v>
      </c>
      <c r="B1917" s="2">
        <v>45505</v>
      </c>
      <c r="C1917" cm="1">
        <f t="array" ref="C1917">IFERROR(IF(SUMPRODUCT((measured[Site Name]=A1917)*(measured[Date]=B1917)*ISNUMBER(measured[Measured Value (kWh)]))=0,"",SUMIFS(measured[Measured Value (kWh)],measured[Site Name],A1917,measured[Date],B1917)),"")</f>
        <v>6727</v>
      </c>
      <c r="D1917" cm="1">
        <f t="array" ref="D1917">IFERROR(IF(SUMPRODUCT((expected_production[Site Name]=A1917)*(expected_production[Date]=B1917)*ISNUMBER(expected_production[Expected Production (kWh)]))=0,"",SUMIFS(expected_production[Expected Production (kWh)],expected_production[Site Name],A1917,expected_production[Date],B1917)),"")</f>
        <v>8504.0305612381107</v>
      </c>
      <c r="E1917" s="9">
        <f t="shared" si="60"/>
        <v>0.79103666803151862</v>
      </c>
      <c r="F1917" t="str">
        <f t="shared" si="61"/>
        <v>Moderate</v>
      </c>
    </row>
    <row r="1918" spans="1:7" ht="15" hidden="1" customHeight="1" x14ac:dyDescent="0.3">
      <c r="A1918" t="s">
        <v>171</v>
      </c>
      <c r="B1918" s="2">
        <v>45536</v>
      </c>
      <c r="C1918" cm="1">
        <f t="array" ref="C1918">IFERROR(IF(SUMPRODUCT((measured[Site Name]=A1918)*(measured[Date]=B1918)*ISNUMBER(measured[Measured Value (kWh)]))=0,"",SUMIFS(measured[Measured Value (kWh)],measured[Site Name],A1918,measured[Date],B1918)),"")</f>
        <v>5408</v>
      </c>
      <c r="D1918" cm="1">
        <f t="array" ref="D1918">IFERROR(IF(SUMPRODUCT((expected_production[Site Name]=A1918)*(expected_production[Date]=B1918)*ISNUMBER(expected_production[Expected Production (kWh)]))=0,"",SUMIFS(expected_production[Expected Production (kWh)],expected_production[Site Name],A1918,expected_production[Date],B1918)),"")</f>
        <v>9121.1405739422353</v>
      </c>
      <c r="E1918" s="9">
        <f t="shared" si="60"/>
        <v>0.59290830528912852</v>
      </c>
      <c r="F1918" t="str">
        <f t="shared" si="61"/>
        <v>Poor</v>
      </c>
    </row>
    <row r="1919" spans="1:7" ht="15" hidden="1" customHeight="1" x14ac:dyDescent="0.3">
      <c r="A1919" t="s">
        <v>171</v>
      </c>
      <c r="B1919" s="2">
        <v>45566</v>
      </c>
      <c r="C1919" cm="1">
        <f t="array" ref="C1919">IFERROR(IF(SUMPRODUCT((measured[Site Name]=A1919)*(measured[Date]=B1919)*ISNUMBER(measured[Measured Value (kWh)]))=0,"",SUMIFS(measured[Measured Value (kWh)],measured[Site Name],A1919,measured[Date],B1919)),"")</f>
        <v>8018</v>
      </c>
      <c r="D1919" cm="1">
        <f t="array" ref="D1919">IFERROR(IF(SUMPRODUCT((expected_production[Site Name]=A1919)*(expected_production[Date]=B1919)*ISNUMBER(expected_production[Expected Production (kWh)]))=0,"",SUMIFS(expected_production[Expected Production (kWh)],expected_production[Site Name],A1919,expected_production[Date],B1919)),"")</f>
        <v>10659.834461450209</v>
      </c>
      <c r="E1919" s="9">
        <f t="shared" si="60"/>
        <v>0.75216927889414875</v>
      </c>
      <c r="F1919" t="str">
        <f t="shared" si="61"/>
        <v>Moderate</v>
      </c>
    </row>
    <row r="1920" spans="1:7" ht="15" hidden="1" customHeight="1" x14ac:dyDescent="0.3">
      <c r="A1920" t="s">
        <v>171</v>
      </c>
      <c r="B1920" s="2">
        <v>45597</v>
      </c>
      <c r="C1920" cm="1">
        <f t="array" ref="C1920">IFERROR(IF(SUMPRODUCT((measured[Site Name]=A1920)*(measured[Date]=B1920)*ISNUMBER(measured[Measured Value (kWh)]))=0,"",SUMIFS(measured[Measured Value (kWh)],measured[Site Name],A1920,measured[Date],B1920)),"")</f>
        <v>7818</v>
      </c>
      <c r="D1920" cm="1">
        <f t="array" ref="D1920">IFERROR(IF(SUMPRODUCT((expected_production[Site Name]=A1920)*(expected_production[Date]=B1920)*ISNUMBER(expected_production[Expected Production (kWh)]))=0,"",SUMIFS(expected_production[Expected Production (kWh)],expected_production[Site Name],A1920,expected_production[Date],B1920)),"")</f>
        <v>11055.451135190346</v>
      </c>
      <c r="E1920" s="9">
        <f t="shared" si="60"/>
        <v>0.70716245808501732</v>
      </c>
      <c r="F1920" t="str">
        <f t="shared" si="61"/>
        <v>Moderate</v>
      </c>
    </row>
    <row r="1921" spans="1:6" ht="15" hidden="1" customHeight="1" x14ac:dyDescent="0.3">
      <c r="A1921" t="s">
        <v>171</v>
      </c>
      <c r="B1921" s="2">
        <v>45627</v>
      </c>
      <c r="C1921" cm="1">
        <f t="array" ref="C1921">IFERROR(IF(SUMPRODUCT((measured[Site Name]=A1921)*(measured[Date]=B1921)*ISNUMBER(measured[Measured Value (kWh)]))=0,"",SUMIFS(measured[Measured Value (kWh)],measured[Site Name],A1921,measured[Date],B1921)),"")</f>
        <v>9041</v>
      </c>
      <c r="D1921" cm="1">
        <f t="array" ref="D1921">IFERROR(IF(SUMPRODUCT((expected_production[Site Name]=A1921)*(expected_production[Date]=B1921)*ISNUMBER(expected_production[Expected Production (kWh)]))=0,"",SUMIFS(expected_production[Expected Production (kWh)],expected_production[Site Name],A1921,expected_production[Date],B1921)),"")</f>
        <v>12562.530162746218</v>
      </c>
      <c r="E1921" s="9">
        <f t="shared" si="60"/>
        <v>0.7196798640779225</v>
      </c>
      <c r="F1921" t="str">
        <f t="shared" si="61"/>
        <v>Moderate</v>
      </c>
    </row>
    <row r="1922" spans="1:6" ht="15" hidden="1" customHeight="1" x14ac:dyDescent="0.3">
      <c r="A1922" t="s">
        <v>171</v>
      </c>
      <c r="B1922" s="2">
        <v>45658</v>
      </c>
      <c r="C1922" cm="1">
        <f t="array" ref="C1922">IFERROR(IF(SUMPRODUCT((measured[Site Name]=A1922)*(measured[Date]=B1922)*ISNUMBER(measured[Measured Value (kWh)]))=0,"",SUMIFS(measured[Measured Value (kWh)],measured[Site Name],A1922,measured[Date],B1922)),"")</f>
        <v>9601</v>
      </c>
      <c r="D1922" cm="1">
        <f t="array" ref="D1922">IFERROR(IF(SUMPRODUCT((expected_production[Site Name]=A1922)*(expected_production[Date]=B1922)*ISNUMBER(expected_production[Expected Production (kWh)]))=0,"",SUMIFS(expected_production[Expected Production (kWh)],expected_production[Site Name],A1922,expected_production[Date],B1922)),"")</f>
        <v>12358.852413299954</v>
      </c>
      <c r="E1922" s="9">
        <f t="shared" si="60"/>
        <v>0.77685206351909364</v>
      </c>
      <c r="F1922" t="str">
        <f t="shared" si="61"/>
        <v>Moderate</v>
      </c>
    </row>
    <row r="1923" spans="1:6" ht="15" hidden="1" customHeight="1" x14ac:dyDescent="0.3">
      <c r="A1923" t="s">
        <v>171</v>
      </c>
      <c r="B1923" s="2">
        <v>45689</v>
      </c>
      <c r="C1923" cm="1">
        <f t="array" ref="C1923">IFERROR(IF(SUMPRODUCT((measured[Site Name]=A1923)*(measured[Date]=B1923)*ISNUMBER(measured[Measured Value (kWh)]))=0,"",SUMIFS(measured[Measured Value (kWh)],measured[Site Name],A1923,measured[Date],B1923)),"")</f>
        <v>7317</v>
      </c>
      <c r="D1923" cm="1">
        <f t="array" ref="D1923">IFERROR(IF(SUMPRODUCT((expected_production[Site Name]=A1923)*(expected_production[Date]=B1923)*ISNUMBER(expected_production[Expected Production (kWh)]))=0,"",SUMIFS(expected_production[Expected Production (kWh)],expected_production[Site Name],A1923,expected_production[Date],B1923)),"")</f>
        <v>10757.439974431038</v>
      </c>
      <c r="E1923" s="9">
        <f t="shared" si="60"/>
        <v>0.68018041628784431</v>
      </c>
      <c r="F1923" t="str">
        <f t="shared" si="61"/>
        <v>Poor</v>
      </c>
    </row>
    <row r="1924" spans="1:6" ht="15" hidden="1" customHeight="1" x14ac:dyDescent="0.3">
      <c r="A1924" t="s">
        <v>171</v>
      </c>
      <c r="B1924" s="2">
        <v>45717</v>
      </c>
      <c r="C1924" cm="1">
        <f t="array" ref="C1924">IFERROR(IF(SUMPRODUCT((measured[Site Name]=A1924)*(measured[Date]=B1924)*ISNUMBER(measured[Measured Value (kWh)]))=0,"",SUMIFS(measured[Measured Value (kWh)],measured[Site Name],A1924,measured[Date],B1924)),"")</f>
        <v>8211</v>
      </c>
      <c r="D1924" cm="1">
        <f t="array" ref="D1924">IFERROR(IF(SUMPRODUCT((expected_production[Site Name]=A1924)*(expected_production[Date]=B1924)*ISNUMBER(expected_production[Expected Production (kWh)]))=0,"",SUMIFS(expected_production[Expected Production (kWh)],expected_production[Site Name],A1924,expected_production[Date],B1924)),"")</f>
        <v>10771.085729565997</v>
      </c>
      <c r="E1924" s="9">
        <f t="shared" si="60"/>
        <v>0.76231869341279934</v>
      </c>
      <c r="F1924" t="str">
        <f t="shared" si="61"/>
        <v>Moderate</v>
      </c>
    </row>
    <row r="1925" spans="1:6" ht="15" hidden="1" customHeight="1" x14ac:dyDescent="0.3">
      <c r="A1925" t="s">
        <v>171</v>
      </c>
      <c r="B1925" s="2">
        <v>45748</v>
      </c>
      <c r="C1925" cm="1">
        <f t="array" ref="C1925">IFERROR(IF(SUMPRODUCT((measured[Site Name]=A1925)*(measured[Date]=B1925)*ISNUMBER(measured[Measured Value (kWh)]))=0,"",SUMIFS(measured[Measured Value (kWh)],measured[Site Name],A1925,measured[Date],B1925)),"")</f>
        <v>6924</v>
      </c>
      <c r="D1925" cm="1">
        <f t="array" ref="D1925">IFERROR(IF(SUMPRODUCT((expected_production[Site Name]=A1925)*(expected_production[Date]=B1925)*ISNUMBER(expected_production[Expected Production (kWh)]))=0,"",SUMIFS(expected_production[Expected Production (kWh)],expected_production[Site Name],A1925,expected_production[Date],B1925)),"")</f>
        <v>8651.3157986576134</v>
      </c>
      <c r="E1925" s="9">
        <f t="shared" si="60"/>
        <v>0.80034068356103316</v>
      </c>
      <c r="F1925" t="str">
        <f t="shared" si="61"/>
        <v>Moderate</v>
      </c>
    </row>
    <row r="1926" spans="1:6" ht="15" hidden="1" customHeight="1" x14ac:dyDescent="0.3">
      <c r="A1926" t="s">
        <v>171</v>
      </c>
      <c r="B1926" s="2">
        <v>45778</v>
      </c>
      <c r="C1926" cm="1">
        <f t="array" ref="C1926">IFERROR(IF(SUMPRODUCT((measured[Site Name]=A1926)*(measured[Date]=B1926)*ISNUMBER(measured[Measured Value (kWh)]))=0,"",SUMIFS(measured[Measured Value (kWh)],measured[Site Name],A1926,measured[Date],B1926)),"")</f>
        <v>7428</v>
      </c>
      <c r="D1926" cm="1">
        <f t="array" ref="D1926">IFERROR(IF(SUMPRODUCT((expected_production[Site Name]=A1926)*(expected_production[Date]=B1926)*ISNUMBER(expected_production[Expected Production (kWh)]))=0,"",SUMIFS(expected_production[Expected Production (kWh)],expected_production[Site Name],A1926,expected_production[Date],B1926)),"")</f>
        <v>7354.4742712243051</v>
      </c>
      <c r="E1926" s="9">
        <f t="shared" si="60"/>
        <v>1.0099974146436785</v>
      </c>
      <c r="F1926" t="str">
        <f t="shared" si="61"/>
        <v>Expected</v>
      </c>
    </row>
    <row r="1927" spans="1:6" ht="15" hidden="1" customHeight="1" x14ac:dyDescent="0.3">
      <c r="A1927" t="s">
        <v>171</v>
      </c>
      <c r="B1927" s="2">
        <v>45809</v>
      </c>
      <c r="C1927" cm="1">
        <f t="array" ref="C1927">IFERROR(IF(SUMPRODUCT((measured[Site Name]=A1927)*(measured[Date]=B1927)*ISNUMBER(measured[Measured Value (kWh)]))=0,"",SUMIFS(measured[Measured Value (kWh)],measured[Site Name],A1927,measured[Date],B1927)),"")</f>
        <v>7026.25</v>
      </c>
      <c r="D1927" cm="1">
        <f t="array" ref="D1927">IFERROR(IF(SUMPRODUCT((expected_production[Site Name]=A1927)*(expected_production[Date]=B1927)*ISNUMBER(expected_production[Expected Production (kWh)]))=0,"",SUMIFS(expected_production[Expected Production (kWh)],expected_production[Site Name],A1927,expected_production[Date],B1927)),"")</f>
        <v>6662.6513496668049</v>
      </c>
      <c r="E1927" s="9">
        <f t="shared" si="60"/>
        <v>1.0545726665333282</v>
      </c>
      <c r="F1927" t="str">
        <f t="shared" si="61"/>
        <v>Expected</v>
      </c>
    </row>
    <row r="1928" spans="1:6" ht="15" hidden="1" customHeight="1" x14ac:dyDescent="0.3">
      <c r="A1928" t="s">
        <v>171</v>
      </c>
      <c r="B1928" s="2">
        <v>45839</v>
      </c>
      <c r="C1928" cm="1">
        <f t="array" ref="C1928">IFERROR(IF(SUMPRODUCT((measured[Site Name]=A1928)*(measured[Date]=B1928)*ISNUMBER(measured[Measured Value (kWh)]))=0,"",SUMIFS(measured[Measured Value (kWh)],measured[Site Name],A1928,measured[Date],B1928)),"")</f>
        <v>7318</v>
      </c>
      <c r="D1928" cm="1">
        <f t="array" ref="D1928">IFERROR(IF(SUMPRODUCT((expected_production[Site Name]=A1928)*(expected_production[Date]=B1928)*ISNUMBER(expected_production[Expected Production (kWh)]))=0,"",SUMIFS(expected_production[Expected Production (kWh)],expected_production[Site Name],A1928,expected_production[Date],B1928)),"")</f>
        <v>7173.1068889253211</v>
      </c>
      <c r="E1928" s="9">
        <f t="shared" si="60"/>
        <v>1.0201994914223824</v>
      </c>
      <c r="F1928" t="str">
        <f t="shared" si="61"/>
        <v>Expected</v>
      </c>
    </row>
    <row r="1929" spans="1:6" ht="15" hidden="1" customHeight="1" x14ac:dyDescent="0.3">
      <c r="A1929" t="s">
        <v>171</v>
      </c>
      <c r="B1929" s="2">
        <v>45870</v>
      </c>
      <c r="C1929" cm="1">
        <f t="array" ref="C1929">IFERROR(IF(SUMPRODUCT((measured[Site Name]=A1929)*(measured[Date]=B1929)*ISNUMBER(measured[Measured Value (kWh)]))=0,"",SUMIFS(measured[Measured Value (kWh)],measured[Site Name],A1929,measured[Date],B1929)),"")</f>
        <v>7873</v>
      </c>
      <c r="D1929" cm="1">
        <f t="array" ref="D1929">IFERROR(IF(SUMPRODUCT((expected_production[Site Name]=A1929)*(expected_production[Date]=B1929)*ISNUMBER(expected_production[Expected Production (kWh)]))=0,"",SUMIFS(expected_production[Expected Production (kWh)],expected_production[Site Name],A1929,expected_production[Date],B1929)),"")</f>
        <v>8444.5429493080264</v>
      </c>
      <c r="E1929" s="9">
        <f t="shared" si="60"/>
        <v>0.93231807183183779</v>
      </c>
      <c r="F1929" t="str">
        <f t="shared" si="61"/>
        <v>Expected</v>
      </c>
    </row>
    <row r="1930" spans="1:6" ht="15" hidden="1" customHeight="1" x14ac:dyDescent="0.3">
      <c r="A1930" t="s">
        <v>171</v>
      </c>
      <c r="B1930" s="2">
        <v>45901</v>
      </c>
      <c r="C1930" cm="1">
        <f t="array" ref="C1930">IFERROR(IF(SUMPRODUCT((measured[Site Name]=A1930)*(measured[Date]=B1930)*ISNUMBER(measured[Measured Value (kWh)]))=0,"",SUMIFS(measured[Measured Value (kWh)],measured[Site Name],A1930,measured[Date],B1930)),"")</f>
        <v>6985</v>
      </c>
      <c r="D1930" cm="1">
        <f t="array" ref="D1930">IFERROR(IF(SUMPRODUCT((expected_production[Site Name]=A1930)*(expected_production[Date]=B1930)*ISNUMBER(expected_production[Expected Production (kWh)]))=0,"",SUMIFS(expected_production[Expected Production (kWh)],expected_production[Site Name],A1930,expected_production[Date],B1930)),"")</f>
        <v>9057.3361382790354</v>
      </c>
      <c r="E1930" s="9">
        <f t="shared" si="60"/>
        <v>0.77119805352914772</v>
      </c>
      <c r="F1930" t="str">
        <f t="shared" si="61"/>
        <v>Moderate</v>
      </c>
    </row>
    <row r="1931" spans="1:6" ht="15" hidden="1" customHeight="1" x14ac:dyDescent="0.3">
      <c r="A1931" t="s">
        <v>171</v>
      </c>
      <c r="B1931" s="2">
        <v>45931</v>
      </c>
      <c r="C1931" cm="1">
        <f t="array" ref="C1931">IFERROR(IF(SUMPRODUCT((measured[Site Name]=A1931)*(measured[Date]=B1931)*ISNUMBER(measured[Measured Value (kWh)]))=0,"",SUMIFS(measured[Measured Value (kWh)],measured[Site Name],A1931,measured[Date],B1931)),"")</f>
        <v>9680.31</v>
      </c>
      <c r="D1931" cm="1">
        <f t="array" ref="D1931">IFERROR(IF(SUMPRODUCT((expected_production[Site Name]=A1931)*(expected_production[Date]=B1931)*ISNUMBER(expected_production[Expected Production (kWh)]))=0,"",SUMIFS(expected_production[Expected Production (kWh)],expected_production[Site Name],A1931,expected_production[Date],B1931)),"")</f>
        <v>10585.266514978795</v>
      </c>
      <c r="E1931" s="9">
        <f t="shared" si="60"/>
        <v>0.91450791402387199</v>
      </c>
      <c r="F1931" t="str">
        <f t="shared" si="61"/>
        <v>Expected</v>
      </c>
    </row>
    <row r="1932" spans="1:6" ht="15" hidden="1" customHeight="1" x14ac:dyDescent="0.3">
      <c r="A1932" t="s">
        <v>171</v>
      </c>
      <c r="B1932" s="2">
        <v>45962</v>
      </c>
      <c r="C1932" cm="1">
        <f t="array" ref="C1932">IFERROR(IF(SUMPRODUCT((measured[Site Name]=A1932)*(measured[Date]=B1932)*ISNUMBER(measured[Measured Value (kWh)]))=0,"",SUMIFS(measured[Measured Value (kWh)],measured[Site Name],A1932,measured[Date],B1932)),"")</f>
        <v>11102</v>
      </c>
      <c r="D1932" cm="1">
        <f t="array" ref="D1932">IFERROR(IF(SUMPRODUCT((expected_production[Site Name]=A1932)*(expected_production[Date]=B1932)*ISNUMBER(expected_production[Expected Production (kWh)]))=0,"",SUMIFS(expected_production[Expected Production (kWh)],expected_production[Site Name],A1932,expected_production[Date],B1932)),"")</f>
        <v>10978.115760851515</v>
      </c>
      <c r="E1932" s="9">
        <f t="shared" si="60"/>
        <v>1.0112846541107048</v>
      </c>
      <c r="F1932" t="str">
        <f t="shared" si="61"/>
        <v>Expected</v>
      </c>
    </row>
    <row r="1933" spans="1:6" ht="15" hidden="1" customHeight="1" x14ac:dyDescent="0.3">
      <c r="A1933" t="s">
        <v>171</v>
      </c>
      <c r="B1933" s="2">
        <v>45992</v>
      </c>
      <c r="C1933" cm="1">
        <f t="array" ref="C1933">IFERROR(IF(SUMPRODUCT((measured[Site Name]=A1933)*(measured[Date]=B1933)*ISNUMBER(measured[Measured Value (kWh)]))=0,"",SUMIFS(measured[Measured Value (kWh)],measured[Site Name],A1933,measured[Date],B1933)),"")</f>
        <v>11384</v>
      </c>
      <c r="D1933" cm="1">
        <f t="array" ref="D1933">IFERROR(IF(SUMPRODUCT((expected_production[Site Name]=A1933)*(expected_production[Date]=B1933)*ISNUMBER(expected_production[Expected Production (kWh)]))=0,"",SUMIFS(expected_production[Expected Production (kWh)],expected_production[Site Name],A1933,expected_production[Date],B1933)),"")</f>
        <v>12474.652430675529</v>
      </c>
      <c r="E1933" s="9">
        <f t="shared" si="60"/>
        <v>0.91257051555251489</v>
      </c>
      <c r="F1933" t="str">
        <f t="shared" si="61"/>
        <v>Expected</v>
      </c>
    </row>
    <row r="1934" spans="1:6" ht="15" hidden="1" customHeight="1" x14ac:dyDescent="0.3">
      <c r="A1934" t="s">
        <v>171</v>
      </c>
      <c r="B1934" s="2">
        <v>46023</v>
      </c>
      <c r="C1934" cm="1">
        <f t="array" ref="C1934">IFERROR(IF(SUMPRODUCT((measured[Site Name]=A1934)*(measured[Date]=B1934)*ISNUMBER(measured[Measured Value (kWh)]))=0,"",SUMIFS(measured[Measured Value (kWh)],measured[Site Name],A1934,measured[Date],B1934)),"")</f>
        <v>12215</v>
      </c>
      <c r="D1934" cm="1">
        <f t="array" ref="D1934">IFERROR(IF(SUMPRODUCT((expected_production[Site Name]=A1934)*(expected_production[Date]=B1934)*ISNUMBER(expected_production[Expected Production (kWh)]))=0,"",SUMIFS(expected_production[Expected Production (kWh)],expected_production[Site Name],A1934,expected_production[Date],B1934)),"")</f>
        <v>12272.399453027841</v>
      </c>
      <c r="E1934" s="9">
        <f t="shared" si="60"/>
        <v>0.99532288259948387</v>
      </c>
      <c r="F1934" t="str">
        <f t="shared" si="61"/>
        <v>Expected</v>
      </c>
    </row>
    <row r="1935" spans="1:6" ht="15" hidden="1" customHeight="1" x14ac:dyDescent="0.3">
      <c r="A1935" t="s">
        <v>171</v>
      </c>
      <c r="B1935" s="2">
        <v>46054</v>
      </c>
      <c r="C1935" cm="1">
        <f t="array" ref="C1935">IFERROR(IF(SUMPRODUCT((measured[Site Name]=A1935)*(measured[Date]=B1935)*ISNUMBER(measured[Measured Value (kWh)]))=0,"",SUMIFS(measured[Measured Value (kWh)],measured[Site Name],A1935,measured[Date],B1935)),"")</f>
        <v>11691</v>
      </c>
      <c r="D1935" cm="1">
        <f t="array" ref="D1935">IFERROR(IF(SUMPRODUCT((expected_production[Site Name]=A1935)*(expected_production[Date]=B1935)*ISNUMBER(expected_production[Expected Production (kWh)]))=0,"",SUMIFS(expected_production[Expected Production (kWh)],expected_production[Site Name],A1935,expected_production[Date],B1935)),"")</f>
        <v>10682.189255380594</v>
      </c>
      <c r="E1935" s="9">
        <f t="shared" si="60"/>
        <v>1.0944385762601305</v>
      </c>
      <c r="F1935" t="str">
        <f t="shared" si="61"/>
        <v>Expected</v>
      </c>
    </row>
    <row r="1936" spans="1:6" ht="15" hidden="1" customHeight="1" x14ac:dyDescent="0.3">
      <c r="A1936" t="s">
        <v>171</v>
      </c>
      <c r="B1936" s="2">
        <v>46082</v>
      </c>
      <c r="C1936" cm="1">
        <f t="array" ref="C1936">IFERROR(IF(SUMPRODUCT((measured[Site Name]=A1936)*(measured[Date]=B1936)*ISNUMBER(measured[Measured Value (kWh)]))=0,"",SUMIFS(measured[Measured Value (kWh)],measured[Site Name],A1936,measured[Date],B1936)),"")</f>
        <v>10159</v>
      </c>
      <c r="D1936" cm="1">
        <f t="array" ref="D1936">IFERROR(IF(SUMPRODUCT((expected_production[Site Name]=A1936)*(expected_production[Date]=B1936)*ISNUMBER(expected_production[Expected Production (kWh)]))=0,"",SUMIFS(expected_production[Expected Production (kWh)],expected_production[Site Name],A1936,expected_production[Date],B1936)),"")</f>
        <v>10695.739555380469</v>
      </c>
      <c r="E1936" s="9">
        <f t="shared" si="60"/>
        <v>0.94981744342209007</v>
      </c>
      <c r="F1936" t="str">
        <f t="shared" si="61"/>
        <v>Expected</v>
      </c>
    </row>
    <row r="1937" spans="1:7" ht="15" hidden="1" customHeight="1" x14ac:dyDescent="0.3">
      <c r="A1937" t="s">
        <v>171</v>
      </c>
      <c r="B1937" s="2">
        <v>46113</v>
      </c>
      <c r="C1937" s="5" cm="1">
        <f t="array" ref="C1937">IFERROR(IF(SUMPRODUCT((measured[Site Name]=A1937)*(measured[Date]=B1937)*ISNUMBER(measured[Measured Value (kWh)]))=0,"",SUMIFS(measured[Measured Value (kWh)],measured[Site Name],A1937,measured[Date],B1937)),"")</f>
        <v>8032.01</v>
      </c>
      <c r="D1937" cm="1">
        <f t="array" ref="D1937">IFERROR(IF(SUMPRODUCT((expected_production[Site Name]=A1937)*(expected_production[Date]=B1937)*ISNUMBER(expected_production[Expected Production (kWh)]))=0,"",SUMIFS(expected_production[Expected Production (kWh)],expected_production[Site Name],A1937,expected_production[Date],B1937)),"")</f>
        <v>8590.7978932703809</v>
      </c>
      <c r="E1937" s="9">
        <f t="shared" si="60"/>
        <v>0.93495506468518963</v>
      </c>
      <c r="F1937" t="str">
        <f t="shared" si="61"/>
        <v>Expected</v>
      </c>
    </row>
    <row r="1938" spans="1:7" ht="15" hidden="1" customHeight="1" x14ac:dyDescent="0.3">
      <c r="A1938" t="s">
        <v>171</v>
      </c>
      <c r="B1938" s="2">
        <v>46143</v>
      </c>
      <c r="C1938" s="5" cm="1">
        <f t="array" ref="C1938">IFERROR(IF(SUMPRODUCT((measured[Site Name]=A1938)*(measured[Date]=B1938)*ISNUMBER(measured[Measured Value (kWh)]))=0,"",SUMIFS(measured[Measured Value (kWh)],measured[Site Name],A1938,measured[Date],B1938)),"")</f>
        <v>7738.42</v>
      </c>
      <c r="D1938" cm="1">
        <f t="array" ref="D1938">IFERROR(IF(SUMPRODUCT((expected_production[Site Name]=A1938)*(expected_production[Date]=B1938)*ISNUMBER(expected_production[Expected Production (kWh)]))=0,"",SUMIFS(expected_production[Expected Production (kWh)],expected_production[Site Name],A1938,expected_production[Date],B1938)),"")</f>
        <v>7303.0280648347689</v>
      </c>
      <c r="E1938" s="9">
        <f t="shared" si="60"/>
        <v>1.0596180010948761</v>
      </c>
      <c r="F1938" t="str">
        <f t="shared" si="61"/>
        <v>Expected</v>
      </c>
    </row>
    <row r="1939" spans="1:7" ht="15" hidden="1" customHeight="1" x14ac:dyDescent="0.3">
      <c r="A1939" t="s">
        <v>171</v>
      </c>
      <c r="B1939" s="2">
        <v>46174</v>
      </c>
      <c r="C1939" cm="1">
        <f t="array" ref="C1939">IFERROR(IF(SUMPRODUCT((measured[Site Name]=A1939)*(measured[Date]=B1939)*ISNUMBER(measured[Measured Value (kWh)]))=0,"",SUMIFS(measured[Measured Value (kWh)],measured[Site Name],A1939,measured[Date],B1939)),"")</f>
        <v>6442</v>
      </c>
      <c r="D1939" cm="1">
        <f t="array" ref="D1939">IFERROR(IF(SUMPRODUCT((expected_production[Site Name]=A1939)*(expected_production[Date]=B1939)*ISNUMBER(expected_production[Expected Production (kWh)]))=0,"",SUMIFS(expected_production[Expected Production (kWh)],expected_production[Site Name],A1939,expected_production[Date],B1939)),"")</f>
        <v>6616.0446006599304</v>
      </c>
      <c r="E1939" s="9">
        <f t="shared" si="60"/>
        <v>0.97369355692635895</v>
      </c>
      <c r="F1939" t="str">
        <f t="shared" si="61"/>
        <v>Expected</v>
      </c>
    </row>
    <row r="1940" spans="1:7" ht="15" hidden="1" customHeight="1" x14ac:dyDescent="0.3">
      <c r="A1940" t="s">
        <v>171</v>
      </c>
      <c r="B1940" s="2">
        <v>46204</v>
      </c>
      <c r="C1940" cm="1">
        <f t="array" ref="C1940">IFERROR(IF(SUMPRODUCT((measured[Site Name]=A1940)*(measured[Date]=B1940)*ISNUMBER(measured[Measured Value (kWh)]))=0,"",SUMIFS(measured[Measured Value (kWh)],measured[Site Name],A1940,measured[Date],B1940)),"")</f>
        <v>6823</v>
      </c>
      <c r="D1940" cm="1">
        <f t="array" ref="D1940">IFERROR(IF(SUMPRODUCT((expected_production[Site Name]=A1940)*(expected_production[Date]=B1940)*ISNUMBER(expected_production[Expected Production (kWh)]))=0,"",SUMIFS(expected_production[Expected Production (kWh)],expected_production[Site Name],A1940,expected_production[Date],B1940)),"")</f>
        <v>7122.9293882838756</v>
      </c>
      <c r="E1940" s="9">
        <f t="shared" si="60"/>
        <v>0.95789241028035277</v>
      </c>
      <c r="F1940" t="str">
        <f t="shared" si="61"/>
        <v>Expected</v>
      </c>
      <c r="G1940" t="s">
        <v>874</v>
      </c>
    </row>
    <row r="1941" spans="1:7" ht="15" hidden="1" customHeight="1" x14ac:dyDescent="0.3">
      <c r="A1941" t="s">
        <v>171</v>
      </c>
      <c r="B1941" s="2">
        <v>46235</v>
      </c>
      <c r="C1941" cm="1">
        <f t="array" ref="C1941">IFERROR(IF(SUMPRODUCT((measured[Site Name]=A1941)*(measured[Date]=B1941)*ISNUMBER(measured[Measured Value (kWh)]))=0,"",SUMIFS(measured[Measured Value (kWh)],measured[Site Name],A1941,measured[Date],B1941)),"")</f>
        <v>8202</v>
      </c>
      <c r="D1941" cm="1">
        <f t="array" ref="D1941">IFERROR(IF(SUMPRODUCT((expected_production[Site Name]=A1941)*(expected_production[Date]=B1941)*ISNUMBER(expected_production[Expected Production (kWh)]))=0,"",SUMIFS(expected_production[Expected Production (kWh)],expected_production[Site Name],A1941,expected_production[Date],B1941)),"")</f>
        <v>8385.4714666413165</v>
      </c>
      <c r="E1941" s="9">
        <f t="shared" si="60"/>
        <v>0.97812031590934467</v>
      </c>
      <c r="F1941" t="str">
        <f t="shared" si="61"/>
        <v>Expected</v>
      </c>
      <c r="G1941" t="s">
        <v>874</v>
      </c>
    </row>
    <row r="1942" spans="1:7" ht="15" customHeight="1" x14ac:dyDescent="0.3">
      <c r="A1942" t="s">
        <v>202</v>
      </c>
      <c r="B1942" s="2">
        <v>46266</v>
      </c>
      <c r="C1942" cm="1">
        <f t="array" ref="C1942">IFERROR(IF(SUMPRODUCT((measured[Site Name]=A1942)*(measured[Date]=B1942)*ISNUMBER(measured[Measured Value (kWh)]))=0,"",SUMIFS(measured[Measured Value (kWh)],measured[Site Name],A1942,measured[Date],B1942)),"")</f>
        <v>19614.48</v>
      </c>
      <c r="D1942" cm="1">
        <f t="array" ref="D1942">IFERROR(IF(SUMPRODUCT((expected_production[Site Name]=A1942)*(expected_production[Date]=B1942)*ISNUMBER(expected_production[Expected Production (kWh)]))=0,"",SUMIFS(expected_production[Expected Production (kWh)],expected_production[Site Name],A1942,expected_production[Date],B1942)),"")</f>
        <v>23964.005980404199</v>
      </c>
      <c r="E1942" s="9">
        <f t="shared" ref="E1942:E2005" si="62">IF(OR(C1942="",D1942="",D1942=0),"",C1942/D1942)</f>
        <v>0.81849754235744698</v>
      </c>
      <c r="F1942" t="str">
        <f t="shared" ref="F1942:F2005" si="63">IF(E1942="","",IF(E1942&gt;=0.9,"Expected",IF(E1942&gt;=0.7,"Moderate","Poor")))</f>
        <v>Moderate</v>
      </c>
      <c r="G1942" t="s">
        <v>874</v>
      </c>
    </row>
    <row r="1943" spans="1:7" ht="15" hidden="1" customHeight="1" x14ac:dyDescent="0.3">
      <c r="A1943" t="s">
        <v>171</v>
      </c>
      <c r="B1943" s="2">
        <v>46296</v>
      </c>
      <c r="C1943" t="str" cm="1">
        <f t="array" ref="C1943">IFERROR(IF(SUMPRODUCT((measured[Site Name]=A1943)*(measured[Date]=B1943)*ISNUMBER(measured[Measured Value (kWh)]))=0,"",SUMIFS(measured[Measured Value (kWh)],measured[Site Name],A1943,measured[Date],B1943)),"")</f>
        <v/>
      </c>
      <c r="D1943" cm="1">
        <f t="array" ref="D1943">IFERROR(IF(SUMPRODUCT((expected_production[Site Name]=A1943)*(expected_production[Date]=B1943)*ISNUMBER(expected_production[Expected Production (kWh)]))=0,"",SUMIFS(expected_production[Expected Production (kWh)],expected_production[Site Name],A1943,expected_production[Date],B1943)),"")</f>
        <v>10511.220188112362</v>
      </c>
      <c r="E1943" s="9" t="str">
        <f t="shared" si="62"/>
        <v/>
      </c>
      <c r="F1943" t="str">
        <f t="shared" si="63"/>
        <v/>
      </c>
    </row>
    <row r="1944" spans="1:7" ht="15" hidden="1" customHeight="1" x14ac:dyDescent="0.3">
      <c r="A1944" t="s">
        <v>171</v>
      </c>
      <c r="B1944" s="2">
        <v>46327</v>
      </c>
      <c r="C1944" t="str" cm="1">
        <f t="array" ref="C1944">IFERROR(IF(SUMPRODUCT((measured[Site Name]=A1944)*(measured[Date]=B1944)*ISNUMBER(measured[Measured Value (kWh)]))=0,"",SUMIFS(measured[Measured Value (kWh)],measured[Site Name],A1944,measured[Date],B1944)),"")</f>
        <v/>
      </c>
      <c r="D1944" cm="1">
        <f t="array" ref="D1944">IFERROR(IF(SUMPRODUCT((expected_production[Site Name]=A1944)*(expected_production[Date]=B1944)*ISNUMBER(expected_production[Expected Production (kWh)]))=0,"",SUMIFS(expected_production[Expected Production (kWh)],expected_production[Site Name],A1944,expected_production[Date],B1944)),"")</f>
        <v>10901.321364899815</v>
      </c>
      <c r="E1944" s="9" t="str">
        <f t="shared" si="62"/>
        <v/>
      </c>
      <c r="F1944" t="str">
        <f t="shared" si="63"/>
        <v/>
      </c>
    </row>
    <row r="1945" spans="1:7" ht="15" hidden="1" customHeight="1" x14ac:dyDescent="0.3">
      <c r="A1945" t="s">
        <v>171</v>
      </c>
      <c r="B1945" s="2">
        <v>46357</v>
      </c>
      <c r="C1945" t="str" cm="1">
        <f t="array" ref="C1945">IFERROR(IF(SUMPRODUCT((measured[Site Name]=A1945)*(measured[Date]=B1945)*ISNUMBER(measured[Measured Value (kWh)]))=0,"",SUMIFS(measured[Measured Value (kWh)],measured[Site Name],A1945,measured[Date],B1945)),"")</f>
        <v/>
      </c>
      <c r="D1945" cm="1">
        <f t="array" ref="D1945">IFERROR(IF(SUMPRODUCT((expected_production[Site Name]=A1945)*(expected_production[Date]=B1945)*ISNUMBER(expected_production[Expected Production (kWh)]))=0,"",SUMIFS(expected_production[Expected Production (kWh)],expected_production[Site Name],A1945,expected_production[Date],B1945)),"")</f>
        <v>12387.389423162225</v>
      </c>
      <c r="E1945" s="9" t="str">
        <f t="shared" si="62"/>
        <v/>
      </c>
      <c r="F1945" t="str">
        <f t="shared" si="63"/>
        <v/>
      </c>
    </row>
    <row r="1946" spans="1:7" ht="15" hidden="1" customHeight="1" x14ac:dyDescent="0.3">
      <c r="A1946" t="s">
        <v>172</v>
      </c>
      <c r="B1946" s="2">
        <v>45292</v>
      </c>
      <c r="C1946" cm="1">
        <f t="array" ref="C1946">IFERROR(IF(SUMPRODUCT((measured[Site Name]=A1946)*(measured[Date]=B1946)*ISNUMBER(measured[Measured Value (kWh)]))=0,"",SUMIFS(measured[Measured Value (kWh)],measured[Site Name],A1946,measured[Date],B1946)),"")</f>
        <v>11804</v>
      </c>
      <c r="D1946" cm="1">
        <f t="array" ref="D1946">IFERROR(IF(SUMPRODUCT((expected_production[Site Name]=A1946)*(expected_production[Date]=B1946)*ISNUMBER(expected_production[Expected Production (kWh)]))=0,"",SUMIFS(expected_production[Expected Production (kWh)],expected_production[Site Name],A1946,expected_production[Date],B1946)),"")</f>
        <v>12933.106538278173</v>
      </c>
      <c r="E1946" s="9">
        <f t="shared" si="62"/>
        <v>0.91269641714182503</v>
      </c>
      <c r="F1946" t="str">
        <f t="shared" si="63"/>
        <v>Expected</v>
      </c>
    </row>
    <row r="1947" spans="1:7" ht="15" hidden="1" customHeight="1" x14ac:dyDescent="0.3">
      <c r="A1947" t="s">
        <v>172</v>
      </c>
      <c r="B1947" s="2">
        <v>45323</v>
      </c>
      <c r="C1947" cm="1">
        <f t="array" ref="C1947">IFERROR(IF(SUMPRODUCT((measured[Site Name]=A1947)*(measured[Date]=B1947)*ISNUMBER(measured[Measured Value (kWh)]))=0,"",SUMIFS(measured[Measured Value (kWh)],measured[Site Name],A1947,measured[Date],B1947)),"")</f>
        <v>9158</v>
      </c>
      <c r="D1947" cm="1">
        <f t="array" ref="D1947">IFERROR(IF(SUMPRODUCT((expected_production[Site Name]=A1947)*(expected_production[Date]=B1947)*ISNUMBER(expected_production[Expected Production (kWh)]))=0,"",SUMIFS(expected_production[Expected Production (kWh)],expected_production[Site Name],A1947,expected_production[Date],B1947)),"")</f>
        <v>10723.369605840735</v>
      </c>
      <c r="E1947" s="9">
        <f t="shared" si="62"/>
        <v>0.85402260078883041</v>
      </c>
      <c r="F1947" t="str">
        <f t="shared" si="63"/>
        <v>Moderate</v>
      </c>
    </row>
    <row r="1948" spans="1:7" ht="15" hidden="1" customHeight="1" x14ac:dyDescent="0.3">
      <c r="A1948" t="s">
        <v>172</v>
      </c>
      <c r="B1948" s="2">
        <v>45352</v>
      </c>
      <c r="C1948" cm="1">
        <f t="array" ref="C1948">IFERROR(IF(SUMPRODUCT((measured[Site Name]=A1948)*(measured[Date]=B1948)*ISNUMBER(measured[Measured Value (kWh)]))=0,"",SUMIFS(measured[Measured Value (kWh)],measured[Site Name],A1948,measured[Date],B1948)),"")</f>
        <v>9784</v>
      </c>
      <c r="D1948" cm="1">
        <f t="array" ref="D1948">IFERROR(IF(SUMPRODUCT((expected_production[Site Name]=A1948)*(expected_production[Date]=B1948)*ISNUMBER(expected_production[Expected Production (kWh)]))=0,"",SUMIFS(expected_production[Expected Production (kWh)],expected_production[Site Name],A1948,expected_production[Date],B1948)),"")</f>
        <v>11181.616029057295</v>
      </c>
      <c r="E1948" s="9">
        <f t="shared" si="62"/>
        <v>0.87500768892212388</v>
      </c>
      <c r="F1948" t="str">
        <f t="shared" si="63"/>
        <v>Moderate</v>
      </c>
    </row>
    <row r="1949" spans="1:7" ht="15" hidden="1" customHeight="1" x14ac:dyDescent="0.3">
      <c r="A1949" t="s">
        <v>172</v>
      </c>
      <c r="B1949" s="2">
        <v>45383</v>
      </c>
      <c r="C1949" cm="1">
        <f t="array" ref="C1949">IFERROR(IF(SUMPRODUCT((measured[Site Name]=A1949)*(measured[Date]=B1949)*ISNUMBER(measured[Measured Value (kWh)]))=0,"",SUMIFS(measured[Measured Value (kWh)],measured[Site Name],A1949,measured[Date],B1949)),"")</f>
        <v>7858</v>
      </c>
      <c r="D1949" cm="1">
        <f t="array" ref="D1949">IFERROR(IF(SUMPRODUCT((expected_production[Site Name]=A1949)*(expected_production[Date]=B1949)*ISNUMBER(expected_production[Expected Production (kWh)]))=0,"",SUMIFS(expected_production[Expected Production (kWh)],expected_production[Site Name],A1949,expected_production[Date],B1949)),"")</f>
        <v>9771.320512109729</v>
      </c>
      <c r="E1949" s="9">
        <f t="shared" si="62"/>
        <v>0.80419017984943542</v>
      </c>
      <c r="F1949" t="str">
        <f t="shared" si="63"/>
        <v>Moderate</v>
      </c>
    </row>
    <row r="1950" spans="1:7" ht="15" hidden="1" customHeight="1" x14ac:dyDescent="0.3">
      <c r="A1950" t="s">
        <v>172</v>
      </c>
      <c r="B1950" s="2">
        <v>45413</v>
      </c>
      <c r="C1950" cm="1">
        <f t="array" ref="C1950">IFERROR(IF(SUMPRODUCT((measured[Site Name]=A1950)*(measured[Date]=B1950)*ISNUMBER(measured[Measured Value (kWh)]))=0,"",SUMIFS(measured[Measured Value (kWh)],measured[Site Name],A1950,measured[Date],B1950)),"")</f>
        <v>7246</v>
      </c>
      <c r="D1950" cm="1">
        <f t="array" ref="D1950">IFERROR(IF(SUMPRODUCT((expected_production[Site Name]=A1950)*(expected_production[Date]=B1950)*ISNUMBER(expected_production[Expected Production (kWh)]))=0,"",SUMIFS(expected_production[Expected Production (kWh)],expected_production[Site Name],A1950,expected_production[Date],B1950)),"")</f>
        <v>8765.6165699706326</v>
      </c>
      <c r="E1950" s="9">
        <f t="shared" si="62"/>
        <v>0.82663894115828029</v>
      </c>
      <c r="F1950" t="str">
        <f t="shared" si="63"/>
        <v>Moderate</v>
      </c>
    </row>
    <row r="1951" spans="1:7" ht="15" hidden="1" customHeight="1" x14ac:dyDescent="0.3">
      <c r="A1951" t="s">
        <v>172</v>
      </c>
      <c r="B1951" s="2">
        <v>45444</v>
      </c>
      <c r="C1951" cm="1">
        <f t="array" ref="C1951">IFERROR(IF(SUMPRODUCT((measured[Site Name]=A1951)*(measured[Date]=B1951)*ISNUMBER(measured[Measured Value (kWh)]))=0,"",SUMIFS(measured[Measured Value (kWh)],measured[Site Name],A1951,measured[Date],B1951)),"")</f>
        <v>6127</v>
      </c>
      <c r="D1951" cm="1">
        <f t="array" ref="D1951">IFERROR(IF(SUMPRODUCT((expected_production[Site Name]=A1951)*(expected_production[Date]=B1951)*ISNUMBER(expected_production[Expected Production (kWh)]))=0,"",SUMIFS(expected_production[Expected Production (kWh)],expected_production[Site Name],A1951,expected_production[Date],B1951)),"")</f>
        <v>7609.8502976890768</v>
      </c>
      <c r="E1951" s="9">
        <f t="shared" si="62"/>
        <v>0.80514067429954805</v>
      </c>
      <c r="F1951" t="str">
        <f t="shared" si="63"/>
        <v>Moderate</v>
      </c>
    </row>
    <row r="1952" spans="1:7" ht="15" hidden="1" customHeight="1" x14ac:dyDescent="0.3">
      <c r="A1952" t="s">
        <v>172</v>
      </c>
      <c r="B1952" s="2">
        <v>45474</v>
      </c>
      <c r="C1952" cm="1">
        <f t="array" ref="C1952">IFERROR(IF(SUMPRODUCT((measured[Site Name]=A1952)*(measured[Date]=B1952)*ISNUMBER(measured[Measured Value (kWh)]))=0,"",SUMIFS(measured[Measured Value (kWh)],measured[Site Name],A1952,measured[Date],B1952)),"")</f>
        <v>8521</v>
      </c>
      <c r="D1952" cm="1">
        <f t="array" ref="D1952">IFERROR(IF(SUMPRODUCT((expected_production[Site Name]=A1952)*(expected_production[Date]=B1952)*ISNUMBER(expected_production[Expected Production (kWh)]))=0,"",SUMIFS(expected_production[Expected Production (kWh)],expected_production[Site Name],A1952,expected_production[Date],B1952)),"")</f>
        <v>8420.0273692372302</v>
      </c>
      <c r="E1952" s="9">
        <f t="shared" si="62"/>
        <v>1.0119919599230374</v>
      </c>
      <c r="F1952" t="str">
        <f t="shared" si="63"/>
        <v>Expected</v>
      </c>
    </row>
    <row r="1953" spans="1:6" ht="15" hidden="1" customHeight="1" x14ac:dyDescent="0.3">
      <c r="A1953" t="s">
        <v>172</v>
      </c>
      <c r="B1953" s="2">
        <v>45505</v>
      </c>
      <c r="C1953" cm="1">
        <f t="array" ref="C1953">IFERROR(IF(SUMPRODUCT((measured[Site Name]=A1953)*(measured[Date]=B1953)*ISNUMBER(measured[Measured Value (kWh)]))=0,"",SUMIFS(measured[Measured Value (kWh)],measured[Site Name],A1953,measured[Date],B1953)),"")</f>
        <v>9050</v>
      </c>
      <c r="D1953" cm="1">
        <f t="array" ref="D1953">IFERROR(IF(SUMPRODUCT((expected_production[Site Name]=A1953)*(expected_production[Date]=B1953)*ISNUMBER(expected_production[Expected Production (kWh)]))=0,"",SUMIFS(expected_production[Expected Production (kWh)],expected_production[Site Name],A1953,expected_production[Date],B1953)),"")</f>
        <v>9578.7354273065448</v>
      </c>
      <c r="E1953" s="9">
        <f t="shared" si="62"/>
        <v>0.94480112418605344</v>
      </c>
      <c r="F1953" t="str">
        <f t="shared" si="63"/>
        <v>Expected</v>
      </c>
    </row>
    <row r="1954" spans="1:6" ht="15" hidden="1" customHeight="1" x14ac:dyDescent="0.3">
      <c r="A1954" t="s">
        <v>172</v>
      </c>
      <c r="B1954" s="2">
        <v>45536</v>
      </c>
      <c r="C1954" cm="1">
        <f t="array" ref="C1954">IFERROR(IF(SUMPRODUCT((measured[Site Name]=A1954)*(measured[Date]=B1954)*ISNUMBER(measured[Measured Value (kWh)]))=0,"",SUMIFS(measured[Measured Value (kWh)],measured[Site Name],A1954,measured[Date],B1954)),"")</f>
        <v>8302</v>
      </c>
      <c r="D1954" cm="1">
        <f t="array" ref="D1954">IFERROR(IF(SUMPRODUCT((expected_production[Site Name]=A1954)*(expected_production[Date]=B1954)*ISNUMBER(expected_production[Expected Production (kWh)]))=0,"",SUMIFS(expected_production[Expected Production (kWh)],expected_production[Site Name],A1954,expected_production[Date],B1954)),"")</f>
        <v>10292.717110374178</v>
      </c>
      <c r="E1954" s="9">
        <f t="shared" si="62"/>
        <v>0.8065897382560232</v>
      </c>
      <c r="F1954" t="str">
        <f t="shared" si="63"/>
        <v>Moderate</v>
      </c>
    </row>
    <row r="1955" spans="1:6" ht="15" hidden="1" customHeight="1" x14ac:dyDescent="0.3">
      <c r="A1955" t="s">
        <v>172</v>
      </c>
      <c r="B1955" s="2">
        <v>45566</v>
      </c>
      <c r="C1955" cm="1">
        <f t="array" ref="C1955">IFERROR(IF(SUMPRODUCT((measured[Site Name]=A1955)*(measured[Date]=B1955)*ISNUMBER(measured[Measured Value (kWh)]))=0,"",SUMIFS(measured[Measured Value (kWh)],measured[Site Name],A1955,measured[Date],B1955)),"")</f>
        <v>11290</v>
      </c>
      <c r="D1955" cm="1">
        <f t="array" ref="D1955">IFERROR(IF(SUMPRODUCT((expected_production[Site Name]=A1955)*(expected_production[Date]=B1955)*ISNUMBER(expected_production[Expected Production (kWh)]))=0,"",SUMIFS(expected_production[Expected Production (kWh)],expected_production[Site Name],A1955,expected_production[Date],B1955)),"")</f>
        <v>11296.484685606136</v>
      </c>
      <c r="E1955" s="9">
        <f t="shared" si="62"/>
        <v>0.99942595543776569</v>
      </c>
      <c r="F1955" t="str">
        <f t="shared" si="63"/>
        <v>Expected</v>
      </c>
    </row>
    <row r="1956" spans="1:6" ht="15" hidden="1" customHeight="1" x14ac:dyDescent="0.3">
      <c r="A1956" t="s">
        <v>172</v>
      </c>
      <c r="B1956" s="2">
        <v>45597</v>
      </c>
      <c r="C1956" cm="1">
        <f t="array" ref="C1956">IFERROR(IF(SUMPRODUCT((measured[Site Name]=A1956)*(measured[Date]=B1956)*ISNUMBER(measured[Measured Value (kWh)]))=0,"",SUMIFS(measured[Measured Value (kWh)],measured[Site Name],A1956,measured[Date],B1956)),"")</f>
        <v>10513</v>
      </c>
      <c r="D1956" cm="1">
        <f t="array" ref="D1956">IFERROR(IF(SUMPRODUCT((expected_production[Site Name]=A1956)*(expected_production[Date]=B1956)*ISNUMBER(expected_production[Expected Production (kWh)]))=0,"",SUMIFS(expected_production[Expected Production (kWh)],expected_production[Site Name],A1956,expected_production[Date],B1956)),"")</f>
        <v>12142.7761049648</v>
      </c>
      <c r="E1956" s="9">
        <f t="shared" si="62"/>
        <v>0.86578224856683017</v>
      </c>
      <c r="F1956" t="str">
        <f t="shared" si="63"/>
        <v>Moderate</v>
      </c>
    </row>
    <row r="1957" spans="1:6" ht="15" hidden="1" customHeight="1" x14ac:dyDescent="0.3">
      <c r="A1957" t="s">
        <v>172</v>
      </c>
      <c r="B1957" s="2">
        <v>45627</v>
      </c>
      <c r="C1957" cm="1">
        <f t="array" ref="C1957">IFERROR(IF(SUMPRODUCT((measured[Site Name]=A1957)*(measured[Date]=B1957)*ISNUMBER(measured[Measured Value (kWh)]))=0,"",SUMIFS(measured[Measured Value (kWh)],measured[Site Name],A1957,measured[Date],B1957)),"")</f>
        <v>11507</v>
      </c>
      <c r="D1957" cm="1">
        <f t="array" ref="D1957">IFERROR(IF(SUMPRODUCT((expected_production[Site Name]=A1957)*(expected_production[Date]=B1957)*ISNUMBER(expected_production[Expected Production (kWh)]))=0,"",SUMIFS(expected_production[Expected Production (kWh)],expected_production[Site Name],A1957,expected_production[Date],B1957)),"")</f>
        <v>13020.721215973177</v>
      </c>
      <c r="E1957" s="9">
        <f t="shared" si="62"/>
        <v>0.88374520958822012</v>
      </c>
      <c r="F1957" t="str">
        <f t="shared" si="63"/>
        <v>Moderate</v>
      </c>
    </row>
    <row r="1958" spans="1:6" ht="15" hidden="1" customHeight="1" x14ac:dyDescent="0.3">
      <c r="A1958" t="s">
        <v>172</v>
      </c>
      <c r="B1958" s="2">
        <v>45658</v>
      </c>
      <c r="C1958" cm="1">
        <f t="array" ref="C1958">IFERROR(IF(SUMPRODUCT((measured[Site Name]=A1958)*(measured[Date]=B1958)*ISNUMBER(measured[Measured Value (kWh)]))=0,"",SUMIFS(measured[Measured Value (kWh)],measured[Site Name],A1958,measured[Date],B1958)),"")</f>
        <v>11679</v>
      </c>
      <c r="D1958" cm="1">
        <f t="array" ref="D1958">IFERROR(IF(SUMPRODUCT((expected_production[Site Name]=A1958)*(expected_production[Date]=B1958)*ISNUMBER(expected_production[Expected Production (kWh)]))=0,"",SUMIFS(expected_production[Expected Production (kWh)],expected_production[Site Name],A1958,expected_production[Date],B1958)),"")</f>
        <v>12842.389549199992</v>
      </c>
      <c r="E1958" s="9">
        <f t="shared" si="62"/>
        <v>0.90941019622999486</v>
      </c>
      <c r="F1958" t="str">
        <f t="shared" si="63"/>
        <v>Expected</v>
      </c>
    </row>
    <row r="1959" spans="1:6" ht="15" hidden="1" customHeight="1" x14ac:dyDescent="0.3">
      <c r="A1959" t="s">
        <v>172</v>
      </c>
      <c r="B1959" s="2">
        <v>45689</v>
      </c>
      <c r="C1959" cm="1">
        <f t="array" ref="C1959">IFERROR(IF(SUMPRODUCT((measured[Site Name]=A1959)*(measured[Date]=B1959)*ISNUMBER(measured[Measured Value (kWh)]))=0,"",SUMIFS(measured[Measured Value (kWh)],measured[Site Name],A1959,measured[Date],B1959)),"")</f>
        <v>7567</v>
      </c>
      <c r="D1959" cm="1">
        <f t="array" ref="D1959">IFERROR(IF(SUMPRODUCT((expected_production[Site Name]=A1959)*(expected_production[Date]=B1959)*ISNUMBER(expected_production[Expected Production (kWh)]))=0,"",SUMIFS(expected_production[Expected Production (kWh)],expected_production[Site Name],A1959,expected_production[Date],B1959)),"")</f>
        <v>10648.152425766082</v>
      </c>
      <c r="E1959" s="9">
        <f t="shared" si="62"/>
        <v>0.71063971451888674</v>
      </c>
      <c r="F1959" t="str">
        <f t="shared" si="63"/>
        <v>Moderate</v>
      </c>
    </row>
    <row r="1960" spans="1:6" ht="15" hidden="1" customHeight="1" x14ac:dyDescent="0.3">
      <c r="A1960" t="s">
        <v>172</v>
      </c>
      <c r="B1960" s="2">
        <v>45717</v>
      </c>
      <c r="C1960" cm="1">
        <f t="array" ref="C1960">IFERROR(IF(SUMPRODUCT((measured[Site Name]=A1960)*(measured[Date]=B1960)*ISNUMBER(measured[Measured Value (kWh)]))=0,"",SUMIFS(measured[Measured Value (kWh)],measured[Site Name],A1960,measured[Date],B1960)),"")</f>
        <v>9564</v>
      </c>
      <c r="D1960" cm="1">
        <f t="array" ref="D1960">IFERROR(IF(SUMPRODUCT((expected_production[Site Name]=A1960)*(expected_production[Date]=B1960)*ISNUMBER(expected_production[Expected Production (kWh)]))=0,"",SUMIFS(expected_production[Expected Production (kWh)],expected_production[Site Name],A1960,expected_production[Date],B1960)),"")</f>
        <v>11103.398102828334</v>
      </c>
      <c r="E1960" s="9">
        <f t="shared" si="62"/>
        <v>0.86135792947600354</v>
      </c>
      <c r="F1960" t="str">
        <f t="shared" si="63"/>
        <v>Moderate</v>
      </c>
    </row>
    <row r="1961" spans="1:6" ht="15" hidden="1" customHeight="1" x14ac:dyDescent="0.3">
      <c r="A1961" t="s">
        <v>172</v>
      </c>
      <c r="B1961" s="2">
        <v>45748</v>
      </c>
      <c r="C1961" cm="1">
        <f t="array" ref="C1961">IFERROR(IF(SUMPRODUCT((measured[Site Name]=A1961)*(measured[Date]=B1961)*ISNUMBER(measured[Measured Value (kWh)]))=0,"",SUMIFS(measured[Measured Value (kWh)],measured[Site Name],A1961,measured[Date],B1961)),"")</f>
        <v>6957</v>
      </c>
      <c r="D1961" cm="1">
        <f t="array" ref="D1961">IFERROR(IF(SUMPRODUCT((expected_production[Site Name]=A1961)*(expected_production[Date]=B1961)*ISNUMBER(expected_production[Expected Production (kWh)]))=0,"",SUMIFS(expected_production[Expected Production (kWh)],expected_production[Site Name],A1961,expected_production[Date],B1961)),"")</f>
        <v>9702.9679211256007</v>
      </c>
      <c r="E1961" s="9">
        <f t="shared" si="62"/>
        <v>0.71699711434199476</v>
      </c>
      <c r="F1961" t="str">
        <f t="shared" si="63"/>
        <v>Moderate</v>
      </c>
    </row>
    <row r="1962" spans="1:6" ht="15" hidden="1" customHeight="1" x14ac:dyDescent="0.3">
      <c r="A1962" t="s">
        <v>172</v>
      </c>
      <c r="B1962" s="2">
        <v>45778</v>
      </c>
      <c r="C1962" cm="1">
        <f t="array" ref="C1962">IFERROR(IF(SUMPRODUCT((measured[Site Name]=A1962)*(measured[Date]=B1962)*ISNUMBER(measured[Measured Value (kWh)]))=0,"",SUMIFS(measured[Measured Value (kWh)],measured[Site Name],A1962,measured[Date],B1962)),"")</f>
        <v>7705</v>
      </c>
      <c r="D1962" cm="1">
        <f t="array" ref="D1962">IFERROR(IF(SUMPRODUCT((expected_production[Site Name]=A1962)*(expected_production[Date]=B1962)*ISNUMBER(expected_production[Expected Production (kWh)]))=0,"",SUMIFS(expected_production[Expected Production (kWh)],expected_production[Site Name],A1962,expected_production[Date],B1962)),"")</f>
        <v>8704.299104906584</v>
      </c>
      <c r="E1962" s="9">
        <f t="shared" si="62"/>
        <v>0.88519476492446325</v>
      </c>
      <c r="F1962" t="str">
        <f t="shared" si="63"/>
        <v>Moderate</v>
      </c>
    </row>
    <row r="1963" spans="1:6" ht="15" hidden="1" customHeight="1" x14ac:dyDescent="0.3">
      <c r="A1963" t="s">
        <v>172</v>
      </c>
      <c r="B1963" s="2">
        <v>45809</v>
      </c>
      <c r="C1963" cm="1">
        <f t="array" ref="C1963">IFERROR(IF(SUMPRODUCT((measured[Site Name]=A1963)*(measured[Date]=B1963)*ISNUMBER(measured[Measured Value (kWh)]))=0,"",SUMIFS(measured[Measured Value (kWh)],measured[Site Name],A1963,measured[Date],B1963)),"")</f>
        <v>6515.6</v>
      </c>
      <c r="D1963" cm="1">
        <f t="array" ref="D1963">IFERROR(IF(SUMPRODUCT((expected_production[Site Name]=A1963)*(expected_production[Date]=B1963)*ISNUMBER(expected_production[Expected Production (kWh)]))=0,"",SUMIFS(expected_production[Expected Production (kWh)],expected_production[Site Name],A1963,expected_production[Date],B1963)),"")</f>
        <v>7556.617678392251</v>
      </c>
      <c r="E1963" s="9">
        <f t="shared" si="62"/>
        <v>0.86223761440664315</v>
      </c>
      <c r="F1963" t="str">
        <f t="shared" si="63"/>
        <v>Moderate</v>
      </c>
    </row>
    <row r="1964" spans="1:6" ht="15" hidden="1" customHeight="1" x14ac:dyDescent="0.3">
      <c r="A1964" t="s">
        <v>172</v>
      </c>
      <c r="B1964" s="2">
        <v>45839</v>
      </c>
      <c r="C1964" cm="1">
        <f t="array" ref="C1964">IFERROR(IF(SUMPRODUCT((measured[Site Name]=A1964)*(measured[Date]=B1964)*ISNUMBER(measured[Measured Value (kWh)]))=0,"",SUMIFS(measured[Measured Value (kWh)],measured[Site Name],A1964,measured[Date],B1964)),"")</f>
        <v>7651</v>
      </c>
      <c r="D1964" cm="1">
        <f t="array" ref="D1964">IFERROR(IF(SUMPRODUCT((expected_production[Site Name]=A1964)*(expected_production[Date]=B1964)*ISNUMBER(expected_production[Expected Production (kWh)]))=0,"",SUMIFS(expected_production[Expected Production (kWh)],expected_production[Site Name],A1964,expected_production[Date],B1964)),"")</f>
        <v>8361.1273785828071</v>
      </c>
      <c r="E1964" s="9">
        <f t="shared" si="62"/>
        <v>0.91506798707530612</v>
      </c>
      <c r="F1964" t="str">
        <f t="shared" si="63"/>
        <v>Expected</v>
      </c>
    </row>
    <row r="1965" spans="1:6" ht="15" hidden="1" customHeight="1" x14ac:dyDescent="0.3">
      <c r="A1965" t="s">
        <v>172</v>
      </c>
      <c r="B1965" s="2">
        <v>45870</v>
      </c>
      <c r="C1965" cm="1">
        <f t="array" ref="C1965">IFERROR(IF(SUMPRODUCT((measured[Site Name]=A1965)*(measured[Date]=B1965)*ISNUMBER(measured[Measured Value (kWh)]))=0,"",SUMIFS(measured[Measured Value (kWh)],measured[Site Name],A1965,measured[Date],B1965)),"")</f>
        <v>8548</v>
      </c>
      <c r="D1965" cm="1">
        <f t="array" ref="D1965">IFERROR(IF(SUMPRODUCT((expected_production[Site Name]=A1965)*(expected_production[Date]=B1965)*ISNUMBER(expected_production[Expected Production (kWh)]))=0,"",SUMIFS(expected_production[Expected Production (kWh)],expected_production[Site Name],A1965,expected_production[Date],B1965)),"")</f>
        <v>9511.7300124297672</v>
      </c>
      <c r="E1965" s="9">
        <f t="shared" si="62"/>
        <v>0.89867983940141472</v>
      </c>
      <c r="F1965" t="str">
        <f t="shared" si="63"/>
        <v>Moderate</v>
      </c>
    </row>
    <row r="1966" spans="1:6" ht="15" hidden="1" customHeight="1" x14ac:dyDescent="0.3">
      <c r="A1966" t="s">
        <v>172</v>
      </c>
      <c r="B1966" s="2">
        <v>45901</v>
      </c>
      <c r="C1966" cm="1">
        <f t="array" ref="C1966">IFERROR(IF(SUMPRODUCT((measured[Site Name]=A1966)*(measured[Date]=B1966)*ISNUMBER(measured[Measured Value (kWh)]))=0,"",SUMIFS(measured[Measured Value (kWh)],measured[Site Name],A1966,measured[Date],B1966)),"")</f>
        <v>7542</v>
      </c>
      <c r="D1966" cm="1">
        <f t="array" ref="D1966">IFERROR(IF(SUMPRODUCT((expected_production[Site Name]=A1966)*(expected_production[Date]=B1966)*ISNUMBER(expected_production[Expected Production (kWh)]))=0,"",SUMIFS(expected_production[Expected Production (kWh)],expected_production[Site Name],A1966,expected_production[Date],B1966)),"")</f>
        <v>10220.717232579887</v>
      </c>
      <c r="E1966" s="9">
        <f t="shared" si="62"/>
        <v>0.7379129887243997</v>
      </c>
      <c r="F1966" t="str">
        <f t="shared" si="63"/>
        <v>Moderate</v>
      </c>
    </row>
    <row r="1967" spans="1:6" ht="15" hidden="1" customHeight="1" x14ac:dyDescent="0.3">
      <c r="A1967" t="s">
        <v>172</v>
      </c>
      <c r="B1967" s="2">
        <v>45931</v>
      </c>
      <c r="C1967" cm="1">
        <f t="array" ref="C1967">IFERROR(IF(SUMPRODUCT((measured[Site Name]=A1967)*(measured[Date]=B1967)*ISNUMBER(measured[Measured Value (kWh)]))=0,"",SUMIFS(measured[Measured Value (kWh)],measured[Site Name],A1967,measured[Date],B1967)),"")</f>
        <v>10186</v>
      </c>
      <c r="D1967" cm="1">
        <f t="array" ref="D1967">IFERROR(IF(SUMPRODUCT((expected_production[Site Name]=A1967)*(expected_production[Date]=B1967)*ISNUMBER(expected_production[Expected Production (kWh)]))=0,"",SUMIFS(expected_production[Expected Production (kWh)],expected_production[Site Name],A1967,expected_production[Date],B1967)),"")</f>
        <v>11217.463227215041</v>
      </c>
      <c r="E1967" s="9">
        <f t="shared" si="62"/>
        <v>0.90804844140584517</v>
      </c>
      <c r="F1967" t="str">
        <f t="shared" si="63"/>
        <v>Expected</v>
      </c>
    </row>
    <row r="1968" spans="1:6" ht="15" hidden="1" customHeight="1" x14ac:dyDescent="0.3">
      <c r="A1968" t="s">
        <v>172</v>
      </c>
      <c r="B1968" s="2">
        <v>45962</v>
      </c>
      <c r="C1968" cm="1">
        <f t="array" ref="C1968">IFERROR(IF(SUMPRODUCT((measured[Site Name]=A1968)*(measured[Date]=B1968)*ISNUMBER(measured[Measured Value (kWh)]))=0,"",SUMIFS(measured[Measured Value (kWh)],measured[Site Name],A1968,measured[Date],B1968)),"")</f>
        <v>10802</v>
      </c>
      <c r="D1968" cm="1">
        <f t="array" ref="D1968">IFERROR(IF(SUMPRODUCT((expected_production[Site Name]=A1968)*(expected_production[Date]=B1968)*ISNUMBER(expected_production[Expected Production (kWh)]))=0,"",SUMIFS(expected_production[Expected Production (kWh)],expected_production[Site Name],A1968,expected_production[Date],B1968)),"")</f>
        <v>12057.834647207283</v>
      </c>
      <c r="E1968" s="9">
        <f t="shared" si="62"/>
        <v>0.8958490737391106</v>
      </c>
      <c r="F1968" t="str">
        <f t="shared" si="63"/>
        <v>Moderate</v>
      </c>
    </row>
    <row r="1969" spans="1:7" ht="15" hidden="1" customHeight="1" x14ac:dyDescent="0.3">
      <c r="A1969" t="s">
        <v>172</v>
      </c>
      <c r="B1969" s="2">
        <v>45992</v>
      </c>
      <c r="C1969" cm="1">
        <f t="array" ref="C1969">IFERROR(IF(SUMPRODUCT((measured[Site Name]=A1969)*(measured[Date]=B1969)*ISNUMBER(measured[Measured Value (kWh)]))=0,"",SUMIFS(measured[Measured Value (kWh)],measured[Site Name],A1969,measured[Date],B1969)),"")</f>
        <v>11033</v>
      </c>
      <c r="D1969" cm="1">
        <f t="array" ref="D1969">IFERROR(IF(SUMPRODUCT((expected_production[Site Name]=A1969)*(expected_production[Date]=B1969)*ISNUMBER(expected_production[Expected Production (kWh)]))=0,"",SUMIFS(expected_production[Expected Production (kWh)],expected_production[Site Name],A1969,expected_production[Date],B1969)),"")</f>
        <v>12929.638334136398</v>
      </c>
      <c r="E1969" s="9">
        <f t="shared" si="62"/>
        <v>0.85331079763237017</v>
      </c>
      <c r="F1969" t="str">
        <f t="shared" si="63"/>
        <v>Moderate</v>
      </c>
    </row>
    <row r="1970" spans="1:7" ht="15" hidden="1" customHeight="1" x14ac:dyDescent="0.3">
      <c r="A1970" t="s">
        <v>172</v>
      </c>
      <c r="B1970" s="2">
        <v>46023</v>
      </c>
      <c r="C1970" cm="1">
        <f t="array" ref="C1970">IFERROR(IF(SUMPRODUCT((measured[Site Name]=A1970)*(measured[Date]=B1970)*ISNUMBER(measured[Measured Value (kWh)]))=0,"",SUMIFS(measured[Measured Value (kWh)],measured[Site Name],A1970,measured[Date],B1970)),"")</f>
        <v>7790</v>
      </c>
      <c r="D1970" cm="1">
        <f t="array" ref="D1970">IFERROR(IF(SUMPRODUCT((expected_production[Site Name]=A1970)*(expected_production[Date]=B1970)*ISNUMBER(expected_production[Expected Production (kWh)]))=0,"",SUMIFS(expected_production[Expected Production (kWh)],expected_production[Site Name],A1970,expected_production[Date],B1970)),"")</f>
        <v>12752.554137596468</v>
      </c>
      <c r="E1970" s="9">
        <f t="shared" si="62"/>
        <v>0.61085802231836017</v>
      </c>
      <c r="F1970" t="str">
        <f t="shared" si="63"/>
        <v>Poor</v>
      </c>
    </row>
    <row r="1971" spans="1:7" ht="15" hidden="1" customHeight="1" x14ac:dyDescent="0.3">
      <c r="A1971" t="s">
        <v>172</v>
      </c>
      <c r="B1971" s="2">
        <v>46054</v>
      </c>
      <c r="C1971" cm="1">
        <f t="array" ref="C1971">IFERROR(IF(SUMPRODUCT((measured[Site Name]=A1971)*(measured[Date]=B1971)*ISNUMBER(measured[Measured Value (kWh)]))=0,"",SUMIFS(measured[Measured Value (kWh)],measured[Site Name],A1971,measured[Date],B1971)),"")</f>
        <v>5171.0646999999999</v>
      </c>
      <c r="D1971" cm="1">
        <f t="array" ref="D1971">IFERROR(IF(SUMPRODUCT((expected_production[Site Name]=A1971)*(expected_production[Date]=B1971)*ISNUMBER(expected_production[Expected Production (kWh)]))=0,"",SUMIFS(expected_production[Expected Production (kWh)],expected_production[Site Name],A1971,expected_production[Date],B1971)),"")</f>
        <v>10573.666197769257</v>
      </c>
      <c r="E1971" s="9">
        <f t="shared" si="62"/>
        <v>0.48905125273303479</v>
      </c>
      <c r="F1971" t="str">
        <f t="shared" si="63"/>
        <v>Poor</v>
      </c>
    </row>
    <row r="1972" spans="1:7" ht="15" hidden="1" customHeight="1" x14ac:dyDescent="0.3">
      <c r="A1972" t="s">
        <v>172</v>
      </c>
      <c r="B1972" s="2">
        <v>46082</v>
      </c>
      <c r="C1972" cm="1">
        <f t="array" ref="C1972">IFERROR(IF(SUMPRODUCT((measured[Site Name]=A1972)*(measured[Date]=B1972)*ISNUMBER(measured[Measured Value (kWh)]))=0,"",SUMIFS(measured[Measured Value (kWh)],measured[Site Name],A1972,measured[Date],B1972)),"")</f>
        <v>8153.5</v>
      </c>
      <c r="D1972" cm="1">
        <f t="array" ref="D1972">IFERROR(IF(SUMPRODUCT((expected_production[Site Name]=A1972)*(expected_production[Date]=B1972)*ISNUMBER(expected_production[Expected Production (kWh)]))=0,"",SUMIFS(expected_production[Expected Production (kWh)],expected_production[Site Name],A1972,expected_production[Date],B1972)),"")</f>
        <v>11025.727328636041</v>
      </c>
      <c r="E1972" s="9">
        <f t="shared" si="62"/>
        <v>0.7394976999679389</v>
      </c>
      <c r="F1972" t="str">
        <f t="shared" si="63"/>
        <v>Moderate</v>
      </c>
    </row>
    <row r="1973" spans="1:7" ht="15" hidden="1" customHeight="1" x14ac:dyDescent="0.3">
      <c r="A1973" t="s">
        <v>172</v>
      </c>
      <c r="B1973" s="2">
        <v>46113</v>
      </c>
      <c r="C1973" cm="1">
        <f t="array" ref="C1973">IFERROR(IF(SUMPRODUCT((measured[Site Name]=A1973)*(measured[Date]=B1973)*ISNUMBER(measured[Measured Value (kWh)]))=0,"",SUMIFS(measured[Measured Value (kWh)],measured[Site Name],A1973,measured[Date],B1973)),"")</f>
        <v>7873.17</v>
      </c>
      <c r="D1973" cm="1">
        <f t="array" ref="D1973">IFERROR(IF(SUMPRODUCT((expected_production[Site Name]=A1973)*(expected_production[Date]=B1973)*ISNUMBER(expected_production[Expected Production (kWh)]))=0,"",SUMIFS(expected_production[Expected Production (kWh)],expected_production[Site Name],A1973,expected_production[Date],B1973)),"")</f>
        <v>9635.0934719328943</v>
      </c>
      <c r="E1973" s="9">
        <f t="shared" si="62"/>
        <v>0.81713478161209419</v>
      </c>
      <c r="F1973" t="str">
        <f t="shared" si="63"/>
        <v>Moderate</v>
      </c>
    </row>
    <row r="1974" spans="1:7" ht="15" hidden="1" customHeight="1" x14ac:dyDescent="0.3">
      <c r="A1974" t="s">
        <v>172</v>
      </c>
      <c r="B1974" s="2">
        <v>46143</v>
      </c>
      <c r="C1974" cm="1">
        <f t="array" ref="C1974">IFERROR(IF(SUMPRODUCT((measured[Site Name]=A1974)*(measured[Date]=B1974)*ISNUMBER(measured[Measured Value (kWh)]))=0,"",SUMIFS(measured[Measured Value (kWh)],measured[Site Name],A1974,measured[Date],B1974)),"")</f>
        <v>7767.8</v>
      </c>
      <c r="D1974" cm="1">
        <f t="array" ref="D1974">IFERROR(IF(SUMPRODUCT((expected_production[Site Name]=A1974)*(expected_production[Date]=B1974)*ISNUMBER(expected_production[Expected Production (kWh)]))=0,"",SUMIFS(expected_production[Expected Production (kWh)],expected_production[Site Name],A1974,expected_production[Date],B1974)),"")</f>
        <v>8643.4105693413185</v>
      </c>
      <c r="E1974" s="9">
        <f t="shared" si="62"/>
        <v>0.89869617296126603</v>
      </c>
      <c r="F1974" t="str">
        <f t="shared" si="63"/>
        <v>Moderate</v>
      </c>
    </row>
    <row r="1975" spans="1:7" ht="15" hidden="1" customHeight="1" x14ac:dyDescent="0.3">
      <c r="A1975" t="s">
        <v>172</v>
      </c>
      <c r="B1975" s="2">
        <v>46174</v>
      </c>
      <c r="C1975" cm="1">
        <f t="array" ref="C1975">IFERROR(IF(SUMPRODUCT((measured[Site Name]=A1975)*(measured[Date]=B1975)*ISNUMBER(measured[Measured Value (kWh)]))=0,"",SUMIFS(measured[Measured Value (kWh)],measured[Site Name],A1975,measured[Date],B1975)),"")</f>
        <v>7190.68</v>
      </c>
      <c r="D1975" cm="1">
        <f t="array" ref="D1975">IFERROR(IF(SUMPRODUCT((expected_production[Site Name]=A1975)*(expected_production[Date]=B1975)*ISNUMBER(expected_production[Expected Production (kWh)]))=0,"",SUMIFS(expected_production[Expected Production (kWh)],expected_production[Site Name],A1975,expected_production[Date],B1975)),"")</f>
        <v>7503.7574332744643</v>
      </c>
      <c r="E1975" s="9">
        <f t="shared" si="62"/>
        <v>0.95827724495915045</v>
      </c>
      <c r="F1975" t="str">
        <f t="shared" si="63"/>
        <v>Expected</v>
      </c>
    </row>
    <row r="1976" spans="1:7" ht="15" hidden="1" customHeight="1" x14ac:dyDescent="0.3">
      <c r="A1976" t="s">
        <v>172</v>
      </c>
      <c r="B1976" s="2">
        <v>46204</v>
      </c>
      <c r="C1976" cm="1">
        <f t="array" ref="C1976">IFERROR(IF(SUMPRODUCT((measured[Site Name]=A1976)*(measured[Date]=B1976)*ISNUMBER(measured[Measured Value (kWh)]))=0,"",SUMIFS(measured[Measured Value (kWh)],measured[Site Name],A1976,measured[Date],B1976)),"")</f>
        <v>6825.8941000000004</v>
      </c>
      <c r="D1976" cm="1">
        <f t="array" ref="D1976">IFERROR(IF(SUMPRODUCT((expected_production[Site Name]=A1976)*(expected_production[Date]=B1976)*ISNUMBER(expected_production[Expected Production (kWh)]))=0,"",SUMIFS(expected_production[Expected Production (kWh)],expected_production[Site Name],A1976,expected_production[Date],B1976)),"")</f>
        <v>8302.6394066483899</v>
      </c>
      <c r="E1976" s="9">
        <f t="shared" si="62"/>
        <v>0.82213543978967984</v>
      </c>
      <c r="F1976" t="str">
        <f t="shared" si="63"/>
        <v>Moderate</v>
      </c>
      <c r="G1976" t="s">
        <v>874</v>
      </c>
    </row>
    <row r="1977" spans="1:7" ht="15" hidden="1" customHeight="1" x14ac:dyDescent="0.3">
      <c r="A1977" t="s">
        <v>172</v>
      </c>
      <c r="B1977" s="2">
        <v>46235</v>
      </c>
      <c r="C1977" cm="1">
        <f t="array" ref="C1977">IFERROR(IF(SUMPRODUCT((measured[Site Name]=A1977)*(measured[Date]=B1977)*ISNUMBER(measured[Measured Value (kWh)]))=0,"",SUMIFS(measured[Measured Value (kWh)],measured[Site Name],A1977,measured[Date],B1977)),"")</f>
        <v>9679.5108</v>
      </c>
      <c r="D1977" cm="1">
        <f t="array" ref="D1977">IFERROR(IF(SUMPRODUCT((expected_production[Site Name]=A1977)*(expected_production[Date]=B1977)*ISNUMBER(expected_production[Expected Production (kWh)]))=0,"",SUMIFS(expected_production[Expected Production (kWh)],expected_production[Site Name],A1977,expected_production[Date],B1977)),"")</f>
        <v>9445.1933155436782</v>
      </c>
      <c r="E1977" s="9">
        <f t="shared" si="62"/>
        <v>1.0248081194982757</v>
      </c>
      <c r="F1977" t="str">
        <f t="shared" si="63"/>
        <v>Expected</v>
      </c>
      <c r="G1977" t="s">
        <v>874</v>
      </c>
    </row>
    <row r="1978" spans="1:7" ht="15" customHeight="1" x14ac:dyDescent="0.3">
      <c r="A1978" t="s">
        <v>172</v>
      </c>
      <c r="B1978" s="2">
        <v>46266</v>
      </c>
      <c r="C1978" cm="1">
        <f t="array" ref="C1978">IFERROR(IF(SUMPRODUCT((measured[Site Name]=A1978)*(measured[Date]=B1978)*ISNUMBER(measured[Measured Value (kWh)]))=0,"",SUMIFS(measured[Measured Value (kWh)],measured[Site Name],A1978,measured[Date],B1978)),"")</f>
        <v>8602.5565999999999</v>
      </c>
      <c r="D1978" cm="1">
        <f t="array" ref="D1978">IFERROR(IF(SUMPRODUCT((expected_production[Site Name]=A1978)*(expected_production[Date]=B1978)*ISNUMBER(expected_production[Expected Production (kWh)]))=0,"",SUMIFS(expected_production[Expected Production (kWh)],expected_production[Site Name],A1978,expected_production[Date],B1978)),"")</f>
        <v>10149.221010170932</v>
      </c>
      <c r="E1978" s="9">
        <f t="shared" si="62"/>
        <v>0.84760757415559684</v>
      </c>
      <c r="F1978" t="str">
        <f t="shared" si="63"/>
        <v>Moderate</v>
      </c>
      <c r="G1978" t="s">
        <v>874</v>
      </c>
    </row>
    <row r="1979" spans="1:7" ht="15" hidden="1" customHeight="1" x14ac:dyDescent="0.3">
      <c r="A1979" t="s">
        <v>172</v>
      </c>
      <c r="B1979" s="2">
        <v>46296</v>
      </c>
      <c r="C1979" t="str" cm="1">
        <f t="array" ref="C1979">IFERROR(IF(SUMPRODUCT((measured[Site Name]=A1979)*(measured[Date]=B1979)*ISNUMBER(measured[Measured Value (kWh)]))=0,"",SUMIFS(measured[Measured Value (kWh)],measured[Site Name],A1979,measured[Date],B1979)),"")</f>
        <v/>
      </c>
      <c r="D1979" cm="1">
        <f t="array" ref="D1979">IFERROR(IF(SUMPRODUCT((expected_production[Site Name]=A1979)*(expected_production[Date]=B1979)*ISNUMBER(expected_production[Expected Production (kWh)]))=0,"",SUMIFS(expected_production[Expected Production (kWh)],expected_production[Site Name],A1979,expected_production[Date],B1979)),"")</f>
        <v>11138.994541749335</v>
      </c>
      <c r="E1979" s="9" t="str">
        <f t="shared" si="62"/>
        <v/>
      </c>
      <c r="F1979" t="str">
        <f t="shared" si="63"/>
        <v/>
      </c>
    </row>
    <row r="1980" spans="1:7" ht="15" hidden="1" customHeight="1" x14ac:dyDescent="0.3">
      <c r="A1980" t="s">
        <v>172</v>
      </c>
      <c r="B1980" s="2">
        <v>46327</v>
      </c>
      <c r="C1980" t="str" cm="1">
        <f t="array" ref="C1980">IFERROR(IF(SUMPRODUCT((measured[Site Name]=A1980)*(measured[Date]=B1980)*ISNUMBER(measured[Measured Value (kWh)]))=0,"",SUMIFS(measured[Measured Value (kWh)],measured[Site Name],A1980,measured[Date],B1980)),"")</f>
        <v/>
      </c>
      <c r="D1980" cm="1">
        <f t="array" ref="D1980">IFERROR(IF(SUMPRODUCT((expected_production[Site Name]=A1980)*(expected_production[Date]=B1980)*ISNUMBER(expected_production[Expected Production (kWh)]))=0,"",SUMIFS(expected_production[Expected Production (kWh)],expected_production[Site Name],A1980,expected_production[Date],B1980)),"")</f>
        <v>11973.487374106027</v>
      </c>
      <c r="E1980" s="9" t="str">
        <f t="shared" si="62"/>
        <v/>
      </c>
      <c r="F1980" t="str">
        <f t="shared" si="63"/>
        <v/>
      </c>
    </row>
    <row r="1981" spans="1:7" ht="15" hidden="1" customHeight="1" x14ac:dyDescent="0.3">
      <c r="A1981" t="s">
        <v>172</v>
      </c>
      <c r="B1981" s="2">
        <v>46357</v>
      </c>
      <c r="C1981" t="str" cm="1">
        <f t="array" ref="C1981">IFERROR(IF(SUMPRODUCT((measured[Site Name]=A1981)*(measured[Date]=B1981)*ISNUMBER(measured[Measured Value (kWh)]))=0,"",SUMIFS(measured[Measured Value (kWh)],measured[Site Name],A1981,measured[Date],B1981)),"")</f>
        <v/>
      </c>
      <c r="D1981" cm="1">
        <f t="array" ref="D1981">IFERROR(IF(SUMPRODUCT((expected_production[Site Name]=A1981)*(expected_production[Date]=B1981)*ISNUMBER(expected_production[Expected Production (kWh)]))=0,"",SUMIFS(expected_production[Expected Production (kWh)],expected_production[Site Name],A1981,expected_production[Date],B1981)),"")</f>
        <v>12839.192597602563</v>
      </c>
      <c r="E1981" s="9" t="str">
        <f t="shared" si="62"/>
        <v/>
      </c>
      <c r="F1981" t="str">
        <f t="shared" si="63"/>
        <v/>
      </c>
    </row>
    <row r="1982" spans="1:7" ht="15" hidden="1" customHeight="1" x14ac:dyDescent="0.3">
      <c r="A1982" t="s">
        <v>177</v>
      </c>
      <c r="B1982" s="2">
        <v>45292</v>
      </c>
      <c r="C1982" cm="1">
        <f t="array" ref="C1982">IFERROR(IF(SUMPRODUCT((measured[Site Name]=A1982)*(measured[Date]=B1982)*ISNUMBER(measured[Measured Value (kWh)]))=0,"",SUMIFS(measured[Measured Value (kWh)],measured[Site Name],A1982,measured[Date],B1982)),"")</f>
        <v>4297</v>
      </c>
      <c r="D1982" cm="1">
        <f t="array" ref="D1982">IFERROR(IF(SUMPRODUCT((expected_production[Site Name]=A1982)*(expected_production[Date]=B1982)*ISNUMBER(expected_production[Expected Production (kWh)]))=0,"",SUMIFS(expected_production[Expected Production (kWh)],expected_production[Site Name],A1982,expected_production[Date],B1982)),"")</f>
        <v>4316.0516940089583</v>
      </c>
      <c r="E1982" s="9">
        <f t="shared" si="62"/>
        <v>0.99558585129195654</v>
      </c>
      <c r="F1982" t="str">
        <f t="shared" si="63"/>
        <v>Expected</v>
      </c>
    </row>
    <row r="1983" spans="1:7" ht="15" hidden="1" customHeight="1" x14ac:dyDescent="0.3">
      <c r="A1983" t="s">
        <v>177</v>
      </c>
      <c r="B1983" s="2">
        <v>45323</v>
      </c>
      <c r="C1983" cm="1">
        <f t="array" ref="C1983">IFERROR(IF(SUMPRODUCT((measured[Site Name]=A1983)*(measured[Date]=B1983)*ISNUMBER(measured[Measured Value (kWh)]))=0,"",SUMIFS(measured[Measured Value (kWh)],measured[Site Name],A1983,measured[Date],B1983)),"")</f>
        <v>4176</v>
      </c>
      <c r="D1983" cm="1">
        <f t="array" ref="D1983">IFERROR(IF(SUMPRODUCT((expected_production[Site Name]=A1983)*(expected_production[Date]=B1983)*ISNUMBER(expected_production[Expected Production (kWh)]))=0,"",SUMIFS(expected_production[Expected Production (kWh)],expected_production[Site Name],A1983,expected_production[Date],B1983)),"")</f>
        <v>3785.425301355896</v>
      </c>
      <c r="E1983" s="9">
        <f t="shared" si="62"/>
        <v>1.1031785512989003</v>
      </c>
      <c r="F1983" t="str">
        <f t="shared" si="63"/>
        <v>Expected</v>
      </c>
    </row>
    <row r="1984" spans="1:7" ht="15" hidden="1" customHeight="1" x14ac:dyDescent="0.3">
      <c r="A1984" t="s">
        <v>177</v>
      </c>
      <c r="B1984" s="2">
        <v>45352</v>
      </c>
      <c r="C1984" cm="1">
        <f t="array" ref="C1984">IFERROR(IF(SUMPRODUCT((measured[Site Name]=A1984)*(measured[Date]=B1984)*ISNUMBER(measured[Measured Value (kWh)]))=0,"",SUMIFS(measured[Measured Value (kWh)],measured[Site Name],A1984,measured[Date],B1984)),"")</f>
        <v>4682</v>
      </c>
      <c r="D1984" cm="1">
        <f t="array" ref="D1984">IFERROR(IF(SUMPRODUCT((expected_production[Site Name]=A1984)*(expected_production[Date]=B1984)*ISNUMBER(expected_production[Expected Production (kWh)]))=0,"",SUMIFS(expected_production[Expected Production (kWh)],expected_production[Site Name],A1984,expected_production[Date],B1984)),"")</f>
        <v>4031.6196664889694</v>
      </c>
      <c r="E1984" s="9">
        <f t="shared" si="62"/>
        <v>1.1613198633087902</v>
      </c>
      <c r="F1984" t="str">
        <f t="shared" si="63"/>
        <v>Expected</v>
      </c>
    </row>
    <row r="1985" spans="1:6" ht="15" hidden="1" customHeight="1" x14ac:dyDescent="0.3">
      <c r="A1985" t="s">
        <v>177</v>
      </c>
      <c r="B1985" s="2">
        <v>45383</v>
      </c>
      <c r="C1985" cm="1">
        <f t="array" ref="C1985">IFERROR(IF(SUMPRODUCT((measured[Site Name]=A1985)*(measured[Date]=B1985)*ISNUMBER(measured[Measured Value (kWh)]))=0,"",SUMIFS(measured[Measured Value (kWh)],measured[Site Name],A1985,measured[Date],B1985)),"")</f>
        <v>3965</v>
      </c>
      <c r="D1985" cm="1">
        <f t="array" ref="D1985">IFERROR(IF(SUMPRODUCT((expected_production[Site Name]=A1985)*(expected_production[Date]=B1985)*ISNUMBER(expected_production[Expected Production (kWh)]))=0,"",SUMIFS(expected_production[Expected Production (kWh)],expected_production[Site Name],A1985,expected_production[Date],B1985)),"")</f>
        <v>3532.0131557035606</v>
      </c>
      <c r="E1985" s="9">
        <f t="shared" si="62"/>
        <v>1.1225892501553241</v>
      </c>
      <c r="F1985" t="str">
        <f t="shared" si="63"/>
        <v>Expected</v>
      </c>
    </row>
    <row r="1986" spans="1:6" ht="15" hidden="1" customHeight="1" x14ac:dyDescent="0.3">
      <c r="A1986" t="s">
        <v>177</v>
      </c>
      <c r="B1986" s="2">
        <v>45413</v>
      </c>
      <c r="C1986" cm="1">
        <f t="array" ref="C1986">IFERROR(IF(SUMPRODUCT((measured[Site Name]=A1986)*(measured[Date]=B1986)*ISNUMBER(measured[Measured Value (kWh)]))=0,"",SUMIFS(measured[Measured Value (kWh)],measured[Site Name],A1986,measured[Date],B1986)),"")</f>
        <v>3760</v>
      </c>
      <c r="D1986" cm="1">
        <f t="array" ref="D1986">IFERROR(IF(SUMPRODUCT((expected_production[Site Name]=A1986)*(expected_production[Date]=B1986)*ISNUMBER(expected_production[Expected Production (kWh)]))=0,"",SUMIFS(expected_production[Expected Production (kWh)],expected_production[Site Name],A1986,expected_production[Date],B1986)),"")</f>
        <v>3578.8675089862659</v>
      </c>
      <c r="E1986" s="9">
        <f t="shared" si="62"/>
        <v>1.0506116782917847</v>
      </c>
      <c r="F1986" t="str">
        <f t="shared" si="63"/>
        <v>Expected</v>
      </c>
    </row>
    <row r="1987" spans="1:6" ht="15" hidden="1" customHeight="1" x14ac:dyDescent="0.3">
      <c r="A1987" t="s">
        <v>177</v>
      </c>
      <c r="B1987" s="2">
        <v>45444</v>
      </c>
      <c r="C1987" cm="1">
        <f t="array" ref="C1987">IFERROR(IF(SUMPRODUCT((measured[Site Name]=A1987)*(measured[Date]=B1987)*ISNUMBER(measured[Measured Value (kWh)]))=0,"",SUMIFS(measured[Measured Value (kWh)],measured[Site Name],A1987,measured[Date],B1987)),"")</f>
        <v>3240</v>
      </c>
      <c r="D1987" cm="1">
        <f t="array" ref="D1987">IFERROR(IF(SUMPRODUCT((expected_production[Site Name]=A1987)*(expected_production[Date]=B1987)*ISNUMBER(expected_production[Expected Production (kWh)]))=0,"",SUMIFS(expected_production[Expected Production (kWh)],expected_production[Site Name],A1987,expected_production[Date],B1987)),"")</f>
        <v>3317.3190021351706</v>
      </c>
      <c r="E1987" s="9">
        <f t="shared" si="62"/>
        <v>0.97669232229839675</v>
      </c>
      <c r="F1987" t="str">
        <f t="shared" si="63"/>
        <v>Expected</v>
      </c>
    </row>
    <row r="1988" spans="1:6" ht="15" hidden="1" customHeight="1" x14ac:dyDescent="0.3">
      <c r="A1988" t="s">
        <v>177</v>
      </c>
      <c r="B1988" s="2">
        <v>45474</v>
      </c>
      <c r="C1988" cm="1">
        <f t="array" ref="C1988">IFERROR(IF(SUMPRODUCT((measured[Site Name]=A1988)*(measured[Date]=B1988)*ISNUMBER(measured[Measured Value (kWh)]))=0,"",SUMIFS(measured[Measured Value (kWh)],measured[Site Name],A1988,measured[Date],B1988)),"")</f>
        <v>3836</v>
      </c>
      <c r="D1988" cm="1">
        <f t="array" ref="D1988">IFERROR(IF(SUMPRODUCT((expected_production[Site Name]=A1988)*(expected_production[Date]=B1988)*ISNUMBER(expected_production[Expected Production (kWh)]))=0,"",SUMIFS(expected_production[Expected Production (kWh)],expected_production[Site Name],A1988,expected_production[Date],B1988)),"")</f>
        <v>3616.4024752932355</v>
      </c>
      <c r="E1988" s="9">
        <f t="shared" si="62"/>
        <v>1.0607226452827152</v>
      </c>
      <c r="F1988" t="str">
        <f t="shared" si="63"/>
        <v>Expected</v>
      </c>
    </row>
    <row r="1989" spans="1:6" ht="15" hidden="1" customHeight="1" x14ac:dyDescent="0.3">
      <c r="A1989" t="s">
        <v>177</v>
      </c>
      <c r="B1989" s="2">
        <v>45505</v>
      </c>
      <c r="C1989" cm="1">
        <f t="array" ref="C1989">IFERROR(IF(SUMPRODUCT((measured[Site Name]=A1989)*(measured[Date]=B1989)*ISNUMBER(measured[Measured Value (kWh)]))=0,"",SUMIFS(measured[Measured Value (kWh)],measured[Site Name],A1989,measured[Date],B1989)),"")</f>
        <v>3915</v>
      </c>
      <c r="D1989" cm="1">
        <f t="array" ref="D1989">IFERROR(IF(SUMPRODUCT((expected_production[Site Name]=A1989)*(expected_production[Date]=B1989)*ISNUMBER(expected_production[Expected Production (kWh)]))=0,"",SUMIFS(expected_production[Expected Production (kWh)],expected_production[Site Name],A1989,expected_production[Date],B1989)),"")</f>
        <v>4046.3948833185818</v>
      </c>
      <c r="E1989" s="9">
        <f t="shared" si="62"/>
        <v>0.96752791383256675</v>
      </c>
      <c r="F1989" t="str">
        <f t="shared" si="63"/>
        <v>Expected</v>
      </c>
    </row>
    <row r="1990" spans="1:6" ht="15" hidden="1" customHeight="1" x14ac:dyDescent="0.3">
      <c r="A1990" t="s">
        <v>177</v>
      </c>
      <c r="B1990" s="2">
        <v>45536</v>
      </c>
      <c r="C1990" cm="1">
        <f t="array" ref="C1990">IFERROR(IF(SUMPRODUCT((measured[Site Name]=A1990)*(measured[Date]=B1990)*ISNUMBER(measured[Measured Value (kWh)]))=0,"",SUMIFS(measured[Measured Value (kWh)],measured[Site Name],A1990,measured[Date],B1990)),"")</f>
        <v>3746</v>
      </c>
      <c r="D1990" cm="1">
        <f t="array" ref="D1990">IFERROR(IF(SUMPRODUCT((expected_production[Site Name]=A1990)*(expected_production[Date]=B1990)*ISNUMBER(expected_production[Expected Production (kWh)]))=0,"",SUMIFS(expected_production[Expected Production (kWh)],expected_production[Site Name],A1990,expected_production[Date],B1990)),"")</f>
        <v>4211.5955891822114</v>
      </c>
      <c r="E1990" s="9">
        <f t="shared" si="62"/>
        <v>0.88944912223335793</v>
      </c>
      <c r="F1990" t="str">
        <f t="shared" si="63"/>
        <v>Moderate</v>
      </c>
    </row>
    <row r="1991" spans="1:6" ht="15" hidden="1" customHeight="1" x14ac:dyDescent="0.3">
      <c r="A1991" t="s">
        <v>177</v>
      </c>
      <c r="B1991" s="2">
        <v>45566</v>
      </c>
      <c r="C1991" cm="1">
        <f t="array" ref="C1991">IFERROR(IF(SUMPRODUCT((measured[Site Name]=A1991)*(measured[Date]=B1991)*ISNUMBER(measured[Measured Value (kWh)]))=0,"",SUMIFS(measured[Measured Value (kWh)],measured[Site Name],A1991,measured[Date],B1991)),"")</f>
        <v>3449</v>
      </c>
      <c r="D1991" cm="1">
        <f t="array" ref="D1991">IFERROR(IF(SUMPRODUCT((expected_production[Site Name]=A1991)*(expected_production[Date]=B1991)*ISNUMBER(expected_production[Expected Production (kWh)]))=0,"",SUMIFS(expected_production[Expected Production (kWh)],expected_production[Site Name],A1991,expected_production[Date],B1991)),"")</f>
        <v>4224.2338808109234</v>
      </c>
      <c r="E1991" s="9">
        <f t="shared" si="62"/>
        <v>0.81647941314695804</v>
      </c>
      <c r="F1991" t="str">
        <f t="shared" si="63"/>
        <v>Moderate</v>
      </c>
    </row>
    <row r="1992" spans="1:6" ht="15" hidden="1" customHeight="1" x14ac:dyDescent="0.3">
      <c r="A1992" t="s">
        <v>177</v>
      </c>
      <c r="B1992" s="2">
        <v>45597</v>
      </c>
      <c r="C1992" cm="1">
        <f t="array" ref="C1992">IFERROR(IF(SUMPRODUCT((measured[Site Name]=A1992)*(measured[Date]=B1992)*ISNUMBER(measured[Measured Value (kWh)]))=0,"",SUMIFS(measured[Measured Value (kWh)],measured[Site Name],A1992,measured[Date],B1992)),"")</f>
        <v>4630</v>
      </c>
      <c r="D1992" cm="1">
        <f t="array" ref="D1992">IFERROR(IF(SUMPRODUCT((expected_production[Site Name]=A1992)*(expected_production[Date]=B1992)*ISNUMBER(expected_production[Expected Production (kWh)]))=0,"",SUMIFS(expected_production[Expected Production (kWh)],expected_production[Site Name],A1992,expected_production[Date],B1992)),"")</f>
        <v>4182.7409930383646</v>
      </c>
      <c r="E1992" s="9">
        <f t="shared" si="62"/>
        <v>1.1069296443901357</v>
      </c>
      <c r="F1992" t="str">
        <f t="shared" si="63"/>
        <v>Expected</v>
      </c>
    </row>
    <row r="1993" spans="1:6" ht="15" hidden="1" customHeight="1" x14ac:dyDescent="0.3">
      <c r="A1993" t="s">
        <v>177</v>
      </c>
      <c r="B1993" s="2">
        <v>45627</v>
      </c>
      <c r="C1993" cm="1">
        <f t="array" ref="C1993">IFERROR(IF(SUMPRODUCT((measured[Site Name]=A1993)*(measured[Date]=B1993)*ISNUMBER(measured[Measured Value (kWh)]))=0,"",SUMIFS(measured[Measured Value (kWh)],measured[Site Name],A1993,measured[Date],B1993)),"")</f>
        <v>5059</v>
      </c>
      <c r="D1993" cm="1">
        <f t="array" ref="D1993">IFERROR(IF(SUMPRODUCT((expected_production[Site Name]=A1993)*(expected_production[Date]=B1993)*ISNUMBER(expected_production[Expected Production (kWh)]))=0,"",SUMIFS(expected_production[Expected Production (kWh)],expected_production[Site Name],A1993,expected_production[Date],B1993)),"")</f>
        <v>4373.3210830190164</v>
      </c>
      <c r="E1993" s="9">
        <f t="shared" si="62"/>
        <v>1.1567867769058571</v>
      </c>
      <c r="F1993" t="str">
        <f t="shared" si="63"/>
        <v>Expected</v>
      </c>
    </row>
    <row r="1994" spans="1:6" ht="15" hidden="1" customHeight="1" x14ac:dyDescent="0.3">
      <c r="A1994" t="s">
        <v>177</v>
      </c>
      <c r="B1994" s="2">
        <v>45658</v>
      </c>
      <c r="C1994" cm="1">
        <f t="array" ref="C1994">IFERROR(IF(SUMPRODUCT((measured[Site Name]=A1994)*(measured[Date]=B1994)*ISNUMBER(measured[Measured Value (kWh)]))=0,"",SUMIFS(measured[Measured Value (kWh)],measured[Site Name],A1994,measured[Date],B1994)),"")</f>
        <v>4475</v>
      </c>
      <c r="D1994" cm="1">
        <f t="array" ref="D1994">IFERROR(IF(SUMPRODUCT((expected_production[Site Name]=A1994)*(expected_production[Date]=B1994)*ISNUMBER(expected_production[Expected Production (kWh)]))=0,"",SUMIFS(expected_production[Expected Production (kWh)],expected_production[Site Name],A1994,expected_production[Date],B1994)),"")</f>
        <v>4285.7775125331136</v>
      </c>
      <c r="E1994" s="9">
        <f t="shared" si="62"/>
        <v>1.0441512623820377</v>
      </c>
      <c r="F1994" t="str">
        <f t="shared" si="63"/>
        <v>Expected</v>
      </c>
    </row>
    <row r="1995" spans="1:6" ht="15" hidden="1" customHeight="1" x14ac:dyDescent="0.3">
      <c r="A1995" t="s">
        <v>177</v>
      </c>
      <c r="B1995" s="2">
        <v>45689</v>
      </c>
      <c r="C1995" cm="1">
        <f t="array" ref="C1995">IFERROR(IF(SUMPRODUCT((measured[Site Name]=A1995)*(measured[Date]=B1995)*ISNUMBER(measured[Measured Value (kWh)]))=0,"",SUMIFS(measured[Measured Value (kWh)],measured[Site Name],A1995,measured[Date],B1995)),"")</f>
        <v>3651</v>
      </c>
      <c r="D1995" cm="1">
        <f t="array" ref="D1995">IFERROR(IF(SUMPRODUCT((expected_production[Site Name]=A1995)*(expected_production[Date]=B1995)*ISNUMBER(expected_production[Expected Production (kWh)]))=0,"",SUMIFS(expected_production[Expected Production (kWh)],expected_production[Site Name],A1995,expected_production[Date],B1995)),"")</f>
        <v>3758.8731048899504</v>
      </c>
      <c r="E1995" s="9">
        <f t="shared" si="62"/>
        <v>0.97130174340027142</v>
      </c>
      <c r="F1995" t="str">
        <f t="shared" si="63"/>
        <v>Expected</v>
      </c>
    </row>
    <row r="1996" spans="1:6" ht="15" hidden="1" customHeight="1" x14ac:dyDescent="0.3">
      <c r="A1996" t="s">
        <v>177</v>
      </c>
      <c r="B1996" s="2">
        <v>45717</v>
      </c>
      <c r="C1996" cm="1">
        <f t="array" ref="C1996">IFERROR(IF(SUMPRODUCT((measured[Site Name]=A1996)*(measured[Date]=B1996)*ISNUMBER(measured[Measured Value (kWh)]))=0,"",SUMIFS(measured[Measured Value (kWh)],measured[Site Name],A1996,measured[Date],B1996)),"")</f>
        <v>3912</v>
      </c>
      <c r="D1996" cm="1">
        <f t="array" ref="D1996">IFERROR(IF(SUMPRODUCT((expected_production[Site Name]=A1996)*(expected_production[Date]=B1996)*ISNUMBER(expected_production[Expected Production (kWh)]))=0,"",SUMIFS(expected_production[Expected Production (kWh)],expected_production[Site Name],A1996,expected_production[Date],B1996)),"")</f>
        <v>4003.417577556816</v>
      </c>
      <c r="E1996" s="9">
        <f t="shared" si="62"/>
        <v>0.97716511560789876</v>
      </c>
      <c r="F1996" t="str">
        <f t="shared" si="63"/>
        <v>Expected</v>
      </c>
    </row>
    <row r="1997" spans="1:6" ht="15" hidden="1" customHeight="1" x14ac:dyDescent="0.3">
      <c r="A1997" t="s">
        <v>177</v>
      </c>
      <c r="B1997" s="2">
        <v>45748</v>
      </c>
      <c r="C1997" cm="1">
        <f t="array" ref="C1997">IFERROR(IF(SUMPRODUCT((measured[Site Name]=A1997)*(measured[Date]=B1997)*ISNUMBER(measured[Measured Value (kWh)]))=0,"",SUMIFS(measured[Measured Value (kWh)],measured[Site Name],A1997,measured[Date],B1997)),"")</f>
        <v>3361</v>
      </c>
      <c r="D1997" cm="1">
        <f t="array" ref="D1997">IFERROR(IF(SUMPRODUCT((expected_production[Site Name]=A1997)*(expected_production[Date]=B1997)*ISNUMBER(expected_production[Expected Production (kWh)]))=0,"",SUMIFS(expected_production[Expected Production (kWh)],expected_production[Site Name],A1997,expected_production[Date],B1997)),"")</f>
        <v>3507.3059270047197</v>
      </c>
      <c r="E1997" s="9">
        <f t="shared" si="62"/>
        <v>0.95828538198557811</v>
      </c>
      <c r="F1997" t="str">
        <f t="shared" si="63"/>
        <v>Expected</v>
      </c>
    </row>
    <row r="1998" spans="1:6" ht="15" hidden="1" customHeight="1" x14ac:dyDescent="0.3">
      <c r="A1998" t="s">
        <v>177</v>
      </c>
      <c r="B1998" s="2">
        <v>45778</v>
      </c>
      <c r="C1998" cm="1">
        <f t="array" ref="C1998">IFERROR(IF(SUMPRODUCT((measured[Site Name]=A1998)*(measured[Date]=B1998)*ISNUMBER(measured[Measured Value (kWh)]))=0,"",SUMIFS(measured[Measured Value (kWh)],measured[Site Name],A1998,measured[Date],B1998)),"")</f>
        <v>3626</v>
      </c>
      <c r="D1998" cm="1">
        <f t="array" ref="D1998">IFERROR(IF(SUMPRODUCT((expected_production[Site Name]=A1998)*(expected_production[Date]=B1998)*ISNUMBER(expected_production[Expected Production (kWh)]))=0,"",SUMIFS(expected_production[Expected Production (kWh)],expected_production[Site Name],A1998,expected_production[Date],B1998)),"")</f>
        <v>3553.8325235178263</v>
      </c>
      <c r="E1998" s="9">
        <f t="shared" si="62"/>
        <v>1.0203069435615209</v>
      </c>
      <c r="F1998" t="str">
        <f t="shared" si="63"/>
        <v>Expected</v>
      </c>
    </row>
    <row r="1999" spans="1:6" ht="15" hidden="1" customHeight="1" x14ac:dyDescent="0.3">
      <c r="A1999" t="s">
        <v>177</v>
      </c>
      <c r="B1999" s="2">
        <v>45809</v>
      </c>
      <c r="C1999" cm="1">
        <f t="array" ref="C1999">IFERROR(IF(SUMPRODUCT((measured[Site Name]=A1999)*(measured[Date]=B1999)*ISNUMBER(measured[Measured Value (kWh)]))=0,"",SUMIFS(measured[Measured Value (kWh)],measured[Site Name],A1999,measured[Date],B1999)),"")</f>
        <v>3199.19</v>
      </c>
      <c r="D1999" cm="1">
        <f t="array" ref="D1999">IFERROR(IF(SUMPRODUCT((expected_production[Site Name]=A1999)*(expected_production[Date]=B1999)*ISNUMBER(expected_production[Expected Production (kWh)]))=0,"",SUMIFS(expected_production[Expected Production (kWh)],expected_production[Site Name],A1999,expected_production[Date],B1999)),"")</f>
        <v>3294.1136074665774</v>
      </c>
      <c r="E1999" s="9">
        <f t="shared" si="62"/>
        <v>0.97118386953885882</v>
      </c>
      <c r="F1999" t="str">
        <f t="shared" si="63"/>
        <v>Expected</v>
      </c>
    </row>
    <row r="2000" spans="1:6" ht="15" hidden="1" customHeight="1" x14ac:dyDescent="0.3">
      <c r="A2000" t="s">
        <v>177</v>
      </c>
      <c r="B2000" s="2">
        <v>45839</v>
      </c>
      <c r="C2000" cm="1">
        <f t="array" ref="C2000">IFERROR(IF(SUMPRODUCT((measured[Site Name]=A2000)*(measured[Date]=B2000)*ISNUMBER(measured[Measured Value (kWh)]))=0,"",SUMIFS(measured[Measured Value (kWh)],measured[Site Name],A2000,measured[Date],B2000)),"")</f>
        <v>3303</v>
      </c>
      <c r="D2000" cm="1">
        <f t="array" ref="D2000">IFERROR(IF(SUMPRODUCT((expected_production[Site Name]=A2000)*(expected_production[Date]=B2000)*ISNUMBER(expected_production[Expected Production (kWh)]))=0,"",SUMIFS(expected_production[Expected Production (kWh)],expected_production[Site Name],A2000,expected_production[Date],B2000)),"")</f>
        <v>3591.1049242691583</v>
      </c>
      <c r="E2000" s="9">
        <f t="shared" si="62"/>
        <v>0.91977262420763384</v>
      </c>
      <c r="F2000" t="str">
        <f t="shared" si="63"/>
        <v>Expected</v>
      </c>
    </row>
    <row r="2001" spans="1:7" ht="15" hidden="1" customHeight="1" x14ac:dyDescent="0.3">
      <c r="A2001" t="s">
        <v>177</v>
      </c>
      <c r="B2001" s="2">
        <v>45870</v>
      </c>
      <c r="C2001" cm="1">
        <f t="array" ref="C2001">IFERROR(IF(SUMPRODUCT((measured[Site Name]=A2001)*(measured[Date]=B2001)*ISNUMBER(measured[Measured Value (kWh)]))=0,"",SUMIFS(measured[Measured Value (kWh)],measured[Site Name],A2001,measured[Date],B2001)),"")</f>
        <v>3882</v>
      </c>
      <c r="D2001" cm="1">
        <f t="array" ref="D2001">IFERROR(IF(SUMPRODUCT((expected_production[Site Name]=A2001)*(expected_production[Date]=B2001)*ISNUMBER(expected_production[Expected Production (kWh)]))=0,"",SUMIFS(expected_production[Expected Production (kWh)],expected_production[Site Name],A2001,expected_production[Date],B2001)),"")</f>
        <v>4018.0894384120334</v>
      </c>
      <c r="E2001" s="9">
        <f t="shared" si="62"/>
        <v>0.96613080905789483</v>
      </c>
      <c r="F2001" t="str">
        <f t="shared" si="63"/>
        <v>Expected</v>
      </c>
    </row>
    <row r="2002" spans="1:7" ht="15" hidden="1" customHeight="1" x14ac:dyDescent="0.3">
      <c r="A2002" t="s">
        <v>177</v>
      </c>
      <c r="B2002" s="2">
        <v>45901</v>
      </c>
      <c r="C2002" cm="1">
        <f t="array" ref="C2002">IFERROR(IF(SUMPRODUCT((measured[Site Name]=A2002)*(measured[Date]=B2002)*ISNUMBER(measured[Measured Value (kWh)]))=0,"",SUMIFS(measured[Measured Value (kWh)],measured[Site Name],A2002,measured[Date],B2002)),"")</f>
        <v>4064</v>
      </c>
      <c r="D2002" cm="1">
        <f t="array" ref="D2002">IFERROR(IF(SUMPRODUCT((expected_production[Site Name]=A2002)*(expected_production[Date]=B2002)*ISNUMBER(expected_production[Expected Production (kWh)]))=0,"",SUMIFS(expected_production[Expected Production (kWh)],expected_production[Site Name],A2002,expected_production[Date],B2002)),"")</f>
        <v>4182.134528075765</v>
      </c>
      <c r="E2002" s="9">
        <f t="shared" si="62"/>
        <v>0.97175257580006169</v>
      </c>
      <c r="F2002" t="str">
        <f t="shared" si="63"/>
        <v>Expected</v>
      </c>
    </row>
    <row r="2003" spans="1:7" ht="15" hidden="1" customHeight="1" x14ac:dyDescent="0.3">
      <c r="A2003" t="s">
        <v>177</v>
      </c>
      <c r="B2003" s="2">
        <v>45931</v>
      </c>
      <c r="C2003" cm="1">
        <f t="array" ref="C2003">IFERROR(IF(SUMPRODUCT((measured[Site Name]=A2003)*(measured[Date]=B2003)*ISNUMBER(measured[Measured Value (kWh)]))=0,"",SUMIFS(measured[Measured Value (kWh)],measured[Site Name],A2003,measured[Date],B2003)),"")</f>
        <v>4609</v>
      </c>
      <c r="D2003" cm="1">
        <f t="array" ref="D2003">IFERROR(IF(SUMPRODUCT((expected_production[Site Name]=A2003)*(expected_production[Date]=B2003)*ISNUMBER(expected_production[Expected Production (kWh)]))=0,"",SUMIFS(expected_production[Expected Production (kWh)],expected_production[Site Name],A2003,expected_production[Date],B2003)),"")</f>
        <v>4194.6844120038641</v>
      </c>
      <c r="E2003" s="9">
        <f t="shared" si="62"/>
        <v>1.0987715754754983</v>
      </c>
      <c r="F2003" t="str">
        <f t="shared" si="63"/>
        <v>Expected</v>
      </c>
    </row>
    <row r="2004" spans="1:7" ht="15" hidden="1" customHeight="1" x14ac:dyDescent="0.3">
      <c r="A2004" t="s">
        <v>177</v>
      </c>
      <c r="B2004" s="2">
        <v>45962</v>
      </c>
      <c r="C2004" cm="1">
        <f t="array" ref="C2004">IFERROR(IF(SUMPRODUCT((measured[Site Name]=A2004)*(measured[Date]=B2004)*ISNUMBER(measured[Measured Value (kWh)]))=0,"",SUMIFS(measured[Measured Value (kWh)],measured[Site Name],A2004,measured[Date],B2004)),"")</f>
        <v>3681</v>
      </c>
      <c r="D2004" cm="1">
        <f t="array" ref="D2004">IFERROR(IF(SUMPRODUCT((expected_production[Site Name]=A2004)*(expected_production[Date]=B2004)*ISNUMBER(expected_production[Expected Production (kWh)]))=0,"",SUMIFS(expected_production[Expected Production (kWh)],expected_production[Site Name],A2004,expected_production[Date],B2004)),"")</f>
        <v>4153.4817763403371</v>
      </c>
      <c r="E2004" s="9">
        <f t="shared" si="62"/>
        <v>0.88624440847874764</v>
      </c>
      <c r="F2004" t="str">
        <f t="shared" si="63"/>
        <v>Moderate</v>
      </c>
    </row>
    <row r="2005" spans="1:7" ht="15" hidden="1" customHeight="1" x14ac:dyDescent="0.3">
      <c r="A2005" t="s">
        <v>177</v>
      </c>
      <c r="B2005" s="2">
        <v>45992</v>
      </c>
      <c r="C2005" cm="1">
        <f t="array" ref="C2005">IFERROR(IF(SUMPRODUCT((measured[Site Name]=A2005)*(measured[Date]=B2005)*ISNUMBER(measured[Measured Value (kWh)]))=0,"",SUMIFS(measured[Measured Value (kWh)],measured[Site Name],A2005,measured[Date],B2005)),"")</f>
        <v>1203</v>
      </c>
      <c r="D2005" cm="1">
        <f t="array" ref="D2005">IFERROR(IF(SUMPRODUCT((expected_production[Site Name]=A2005)*(expected_production[Date]=B2005)*ISNUMBER(expected_production[Expected Production (kWh)]))=0,"",SUMIFS(expected_production[Expected Production (kWh)],expected_production[Site Name],A2005,expected_production[Date],B2005)),"")</f>
        <v>4342.7287156046632</v>
      </c>
      <c r="E2005" s="9">
        <f t="shared" si="62"/>
        <v>0.2770147708460991</v>
      </c>
      <c r="F2005" t="str">
        <f t="shared" si="63"/>
        <v>Poor</v>
      </c>
    </row>
    <row r="2006" spans="1:7" ht="15" hidden="1" customHeight="1" x14ac:dyDescent="0.3">
      <c r="A2006" t="s">
        <v>177</v>
      </c>
      <c r="B2006" s="2">
        <v>46023</v>
      </c>
      <c r="C2006" cm="1">
        <f t="array" ref="C2006">IFERROR(IF(SUMPRODUCT((measured[Site Name]=A2006)*(measured[Date]=B2006)*ISNUMBER(measured[Measured Value (kWh)]))=0,"",SUMIFS(measured[Measured Value (kWh)],measured[Site Name],A2006,measured[Date],B2006)),"")</f>
        <v>3014</v>
      </c>
      <c r="D2006" cm="1">
        <f t="array" ref="D2006">IFERROR(IF(SUMPRODUCT((expected_production[Site Name]=A2006)*(expected_production[Date]=B2006)*ISNUMBER(expected_production[Expected Production (kWh)]))=0,"",SUMIFS(expected_production[Expected Production (kWh)],expected_production[Site Name],A2006,expected_production[Date],B2006)),"")</f>
        <v>4255.7975321404838</v>
      </c>
      <c r="E2006" s="9">
        <f t="shared" ref="E2006:E2069" si="64">IF(OR(C2006="",D2006="",D2006=0),"",C2006/D2006)</f>
        <v>0.70821038295120375</v>
      </c>
      <c r="F2006" t="str">
        <f t="shared" ref="F2006:F2069" si="65">IF(E2006="","",IF(E2006&gt;=0.9,"Expected",IF(E2006&gt;=0.7,"Moderate","Poor")))</f>
        <v>Moderate</v>
      </c>
    </row>
    <row r="2007" spans="1:7" ht="15" hidden="1" customHeight="1" x14ac:dyDescent="0.3">
      <c r="A2007" t="s">
        <v>177</v>
      </c>
      <c r="B2007" s="2">
        <v>46054</v>
      </c>
      <c r="C2007" cm="1">
        <f t="array" ref="C2007">IFERROR(IF(SUMPRODUCT((measured[Site Name]=A2007)*(measured[Date]=B2007)*ISNUMBER(measured[Measured Value (kWh)]))=0,"",SUMIFS(measured[Measured Value (kWh)],measured[Site Name],A2007,measured[Date],B2007)),"")</f>
        <v>4641.05</v>
      </c>
      <c r="D2007" cm="1">
        <f t="array" ref="D2007">IFERROR(IF(SUMPRODUCT((expected_production[Site Name]=A2007)*(expected_production[Date]=B2007)*ISNUMBER(expected_production[Expected Production (kWh)]))=0,"",SUMIFS(expected_production[Expected Production (kWh)],expected_production[Site Name],A2007,expected_production[Date],B2007)),"")</f>
        <v>3732.5789396764185</v>
      </c>
      <c r="E2007" s="9">
        <f t="shared" si="64"/>
        <v>1.2433896442662611</v>
      </c>
      <c r="F2007" t="str">
        <f t="shared" si="65"/>
        <v>Expected</v>
      </c>
    </row>
    <row r="2008" spans="1:7" ht="15" hidden="1" customHeight="1" x14ac:dyDescent="0.3">
      <c r="A2008" t="s">
        <v>177</v>
      </c>
      <c r="B2008" s="2">
        <v>46082</v>
      </c>
      <c r="C2008" cm="1">
        <f t="array" ref="C2008">IFERROR(IF(SUMPRODUCT((measured[Site Name]=A2008)*(measured[Date]=B2008)*ISNUMBER(measured[Measured Value (kWh)]))=0,"",SUMIFS(measured[Measured Value (kWh)],measured[Site Name],A2008,measured[Date],B2008)),"")</f>
        <v>3756</v>
      </c>
      <c r="D2008" cm="1">
        <f t="array" ref="D2008">IFERROR(IF(SUMPRODUCT((expected_production[Site Name]=A2008)*(expected_production[Date]=B2008)*ISNUMBER(expected_production[Expected Production (kWh)]))=0,"",SUMIFS(expected_production[Expected Production (kWh)],expected_production[Site Name],A2008,expected_production[Date],B2008)),"")</f>
        <v>3975.412768597957</v>
      </c>
      <c r="E2008" s="9">
        <f t="shared" si="64"/>
        <v>0.94480755046844123</v>
      </c>
      <c r="F2008" t="str">
        <f t="shared" si="65"/>
        <v>Expected</v>
      </c>
    </row>
    <row r="2009" spans="1:7" ht="15" hidden="1" customHeight="1" x14ac:dyDescent="0.3">
      <c r="A2009" t="s">
        <v>177</v>
      </c>
      <c r="B2009" s="2">
        <v>46113</v>
      </c>
      <c r="C2009" cm="1">
        <f t="array" ref="C2009">IFERROR(IF(SUMPRODUCT((measured[Site Name]=A2009)*(measured[Date]=B2009)*ISNUMBER(measured[Measured Value (kWh)]))=0,"",SUMIFS(measured[Measured Value (kWh)],measured[Site Name],A2009,measured[Date],B2009)),"")</f>
        <v>3294.1</v>
      </c>
      <c r="D2009" cm="1">
        <f t="array" ref="D2009">IFERROR(IF(SUMPRODUCT((expected_production[Site Name]=A2009)*(expected_production[Date]=B2009)*ISNUMBER(expected_production[Expected Production (kWh)]))=0,"",SUMIFS(expected_production[Expected Production (kWh)],expected_production[Site Name],A2009,expected_production[Date],B2009)),"")</f>
        <v>3482.7715309435462</v>
      </c>
      <c r="E2009" s="9">
        <f t="shared" si="64"/>
        <v>0.94582718697817314</v>
      </c>
      <c r="F2009" t="str">
        <f t="shared" si="65"/>
        <v>Expected</v>
      </c>
    </row>
    <row r="2010" spans="1:7" ht="15" hidden="1" customHeight="1" x14ac:dyDescent="0.3">
      <c r="A2010" t="s">
        <v>177</v>
      </c>
      <c r="B2010" s="2">
        <v>46143</v>
      </c>
      <c r="C2010" cm="1">
        <f t="array" ref="C2010">IFERROR(IF(SUMPRODUCT((measured[Site Name]=A2010)*(measured[Date]=B2010)*ISNUMBER(measured[Measured Value (kWh)]))=0,"",SUMIFS(measured[Measured Value (kWh)],measured[Site Name],A2010,measured[Date],B2010)),"")</f>
        <v>3420.82</v>
      </c>
      <c r="D2010" cm="1">
        <f t="array" ref="D2010">IFERROR(IF(SUMPRODUCT((expected_production[Site Name]=A2010)*(expected_production[Date]=B2010)*ISNUMBER(expected_production[Expected Production (kWh)]))=0,"",SUMIFS(expected_production[Expected Production (kWh)],expected_production[Site Name],A2010,expected_production[Date],B2010)),"")</f>
        <v>3528.9726634195868</v>
      </c>
      <c r="E2010" s="9">
        <f t="shared" si="64"/>
        <v>0.96935293250053511</v>
      </c>
      <c r="F2010" t="str">
        <f t="shared" si="65"/>
        <v>Expected</v>
      </c>
    </row>
    <row r="2011" spans="1:7" ht="15" hidden="1" customHeight="1" x14ac:dyDescent="0.3">
      <c r="A2011" t="s">
        <v>177</v>
      </c>
      <c r="B2011" s="2">
        <v>46174</v>
      </c>
      <c r="C2011" cm="1">
        <f t="array" ref="C2011">IFERROR(IF(SUMPRODUCT((measured[Site Name]=A2011)*(measured[Date]=B2011)*ISNUMBER(measured[Measured Value (kWh)]))=0,"",SUMIFS(measured[Measured Value (kWh)],measured[Site Name],A2011,measured[Date],B2011)),"")</f>
        <v>2882</v>
      </c>
      <c r="D2011" cm="1">
        <f t="array" ref="D2011">IFERROR(IF(SUMPRODUCT((expected_production[Site Name]=A2011)*(expected_production[Date]=B2011)*ISNUMBER(expected_production[Expected Production (kWh)]))=0,"",SUMIFS(expected_production[Expected Production (kWh)],expected_production[Site Name],A2011,expected_production[Date],B2011)),"")</f>
        <v>3271.0705397678589</v>
      </c>
      <c r="E2011" s="9">
        <f t="shared" si="64"/>
        <v>0.8810571233369151</v>
      </c>
      <c r="F2011" t="str">
        <f t="shared" si="65"/>
        <v>Moderate</v>
      </c>
    </row>
    <row r="2012" spans="1:7" ht="15" hidden="1" customHeight="1" x14ac:dyDescent="0.3">
      <c r="A2012" t="s">
        <v>265</v>
      </c>
      <c r="B2012" s="2">
        <v>46204</v>
      </c>
      <c r="C2012" cm="1">
        <f t="array" ref="C2012">IFERROR(IF(SUMPRODUCT((measured[Site Name]=A2012)*(measured[Date]=B2012)*ISNUMBER(measured[Measured Value (kWh)]))=0,"",SUMIFS(measured[Measured Value (kWh)],measured[Site Name],A2012,measured[Date],B2012)),"")</f>
        <v>0</v>
      </c>
      <c r="D2012" cm="1">
        <f t="array" ref="D2012">IFERROR(IF(SUMPRODUCT((expected_production[Site Name]=A2012)*(expected_production[Date]=B2012)*ISNUMBER(expected_production[Expected Production (kWh)]))=0,"",SUMIFS(expected_production[Expected Production (kWh)],expected_production[Site Name],A2012,expected_production[Date],B2012)),"")</f>
        <v>18309.968131563855</v>
      </c>
      <c r="E2012" s="9">
        <f t="shared" si="64"/>
        <v>0</v>
      </c>
      <c r="F2012" t="str">
        <f t="shared" si="65"/>
        <v>Poor</v>
      </c>
      <c r="G2012" t="s">
        <v>874</v>
      </c>
    </row>
    <row r="2013" spans="1:7" ht="15" hidden="1" customHeight="1" x14ac:dyDescent="0.3">
      <c r="A2013" t="s">
        <v>177</v>
      </c>
      <c r="B2013" s="2">
        <v>46235</v>
      </c>
      <c r="C2013" cm="1">
        <f t="array" ref="C2013">IFERROR(IF(SUMPRODUCT((measured[Site Name]=A2013)*(measured[Date]=B2013)*ISNUMBER(measured[Measured Value (kWh)]))=0,"",SUMIFS(measured[Measured Value (kWh)],measured[Site Name],A2013,measured[Date],B2013)),"")</f>
        <v>3905</v>
      </c>
      <c r="D2013" cm="1">
        <f t="array" ref="D2013">IFERROR(IF(SUMPRODUCT((expected_production[Site Name]=A2013)*(expected_production[Date]=B2013)*ISNUMBER(expected_production[Expected Production (kWh)]))=0,"",SUMIFS(expected_production[Expected Production (kWh)],expected_production[Site Name],A2013,expected_production[Date],B2013)),"")</f>
        <v>3989.9819964771327</v>
      </c>
      <c r="E2013" s="9">
        <f t="shared" si="64"/>
        <v>0.978701157911949</v>
      </c>
      <c r="F2013" t="str">
        <f t="shared" si="65"/>
        <v>Expected</v>
      </c>
      <c r="G2013" t="s">
        <v>874</v>
      </c>
    </row>
    <row r="2014" spans="1:7" ht="15" customHeight="1" x14ac:dyDescent="0.3">
      <c r="A2014" t="s">
        <v>177</v>
      </c>
      <c r="B2014" s="2">
        <v>46266</v>
      </c>
      <c r="C2014" cm="1">
        <f t="array" ref="C2014">IFERROR(IF(SUMPRODUCT((measured[Site Name]=A2014)*(measured[Date]=B2014)*ISNUMBER(measured[Measured Value (kWh)]))=0,"",SUMIFS(measured[Measured Value (kWh)],measured[Site Name],A2014,measured[Date],B2014)),"")</f>
        <v>3972.39</v>
      </c>
      <c r="D2014" cm="1">
        <f t="array" ref="D2014">IFERROR(IF(SUMPRODUCT((expected_production[Site Name]=A2014)*(expected_production[Date]=B2014)*ISNUMBER(expected_production[Expected Production (kWh)]))=0,"",SUMIFS(expected_production[Expected Production (kWh)],expected_production[Site Name],A2014,expected_production[Date],B2014)),"")</f>
        <v>4152.8795537369442</v>
      </c>
      <c r="E2014" s="9">
        <f t="shared" si="64"/>
        <v>0.95653869769121236</v>
      </c>
      <c r="F2014" t="str">
        <f t="shared" si="65"/>
        <v>Expected</v>
      </c>
      <c r="G2014" t="s">
        <v>874</v>
      </c>
    </row>
    <row r="2015" spans="1:7" ht="15" hidden="1" customHeight="1" x14ac:dyDescent="0.3">
      <c r="A2015" t="s">
        <v>177</v>
      </c>
      <c r="B2015" s="2">
        <v>46296</v>
      </c>
      <c r="C2015" t="str" cm="1">
        <f t="array" ref="C2015">IFERROR(IF(SUMPRODUCT((measured[Site Name]=A2015)*(measured[Date]=B2015)*ISNUMBER(measured[Measured Value (kWh)]))=0,"",SUMIFS(measured[Measured Value (kWh)],measured[Site Name],A2015,measured[Date],B2015)),"")</f>
        <v/>
      </c>
      <c r="D2015" cm="1">
        <f t="array" ref="D2015">IFERROR(IF(SUMPRODUCT((expected_production[Site Name]=A2015)*(expected_production[Date]=B2015)*ISNUMBER(expected_production[Expected Production (kWh)]))=0,"",SUMIFS(expected_production[Expected Production (kWh)],expected_production[Site Name],A2015,expected_production[Date],B2015)),"")</f>
        <v>4165.3416483962355</v>
      </c>
      <c r="E2015" s="9" t="str">
        <f t="shared" si="64"/>
        <v/>
      </c>
      <c r="F2015" t="str">
        <f t="shared" si="65"/>
        <v/>
      </c>
    </row>
    <row r="2016" spans="1:7" ht="15" hidden="1" customHeight="1" x14ac:dyDescent="0.3">
      <c r="A2016" t="s">
        <v>177</v>
      </c>
      <c r="B2016" s="2">
        <v>46327</v>
      </c>
      <c r="C2016" t="str" cm="1">
        <f t="array" ref="C2016">IFERROR(IF(SUMPRODUCT((measured[Site Name]=A2016)*(measured[Date]=B2016)*ISNUMBER(measured[Measured Value (kWh)]))=0,"",SUMIFS(measured[Measured Value (kWh)],measured[Site Name],A2016,measured[Date],B2016)),"")</f>
        <v/>
      </c>
      <c r="D2016" cm="1">
        <f t="array" ref="D2016">IFERROR(IF(SUMPRODUCT((expected_production[Site Name]=A2016)*(expected_production[Date]=B2016)*ISNUMBER(expected_production[Expected Production (kWh)]))=0,"",SUMIFS(expected_production[Expected Production (kWh)],expected_production[Site Name],A2016,expected_production[Date],B2016)),"")</f>
        <v>4124.4272344627689</v>
      </c>
      <c r="E2016" s="9" t="str">
        <f t="shared" si="64"/>
        <v/>
      </c>
      <c r="F2016" t="str">
        <f t="shared" si="65"/>
        <v/>
      </c>
    </row>
    <row r="2017" spans="1:6" ht="15" hidden="1" customHeight="1" x14ac:dyDescent="0.3">
      <c r="A2017" t="s">
        <v>177</v>
      </c>
      <c r="B2017" s="2">
        <v>46357</v>
      </c>
      <c r="C2017" t="str" cm="1">
        <f t="array" ref="C2017">IFERROR(IF(SUMPRODUCT((measured[Site Name]=A2017)*(measured[Date]=B2017)*ISNUMBER(measured[Measured Value (kWh)]))=0,"",SUMIFS(measured[Measured Value (kWh)],measured[Site Name],A2017,measured[Date],B2017)),"")</f>
        <v/>
      </c>
      <c r="D2017" cm="1">
        <f t="array" ref="D2017">IFERROR(IF(SUMPRODUCT((expected_production[Site Name]=A2017)*(expected_production[Date]=B2017)*ISNUMBER(expected_production[Expected Production (kWh)]))=0,"",SUMIFS(expected_production[Expected Production (kWh)],expected_production[Site Name],A2017,expected_production[Date],B2017)),"")</f>
        <v>4312.3503487007338</v>
      </c>
      <c r="E2017" s="9" t="str">
        <f t="shared" si="64"/>
        <v/>
      </c>
      <c r="F2017" t="str">
        <f t="shared" si="65"/>
        <v/>
      </c>
    </row>
    <row r="2018" spans="1:6" ht="15" hidden="1" customHeight="1" x14ac:dyDescent="0.3">
      <c r="A2018" t="s">
        <v>265</v>
      </c>
      <c r="B2018" s="2">
        <v>45292</v>
      </c>
      <c r="C2018" cm="1">
        <f t="array" ref="C2018">IFERROR(IF(SUMPRODUCT((measured[Site Name]=A2018)*(measured[Date]=B2018)*ISNUMBER(measured[Measured Value (kWh)]))=0,"",SUMIFS(measured[Measured Value (kWh)],measured[Site Name],A2018,measured[Date],B2018)),"")</f>
        <v>14153</v>
      </c>
      <c r="D2018" cm="1">
        <f t="array" ref="D2018">IFERROR(IF(SUMPRODUCT((expected_production[Site Name]=A2018)*(expected_production[Date]=B2018)*ISNUMBER(expected_production[Expected Production (kWh)]))=0,"",SUMIFS(expected_production[Expected Production (kWh)],expected_production[Site Name],A2018,expected_production[Date],B2018)),"")</f>
        <v>22834.622131239219</v>
      </c>
      <c r="E2018" s="9">
        <f t="shared" si="64"/>
        <v>0.6198044320005538</v>
      </c>
      <c r="F2018" t="str">
        <f t="shared" si="65"/>
        <v>Poor</v>
      </c>
    </row>
    <row r="2019" spans="1:6" ht="15" hidden="1" customHeight="1" x14ac:dyDescent="0.3">
      <c r="A2019" t="s">
        <v>265</v>
      </c>
      <c r="B2019" s="2">
        <v>45323</v>
      </c>
      <c r="C2019" cm="1">
        <f t="array" ref="C2019">IFERROR(IF(SUMPRODUCT((measured[Site Name]=A2019)*(measured[Date]=B2019)*ISNUMBER(measured[Measured Value (kWh)]))=0,"",SUMIFS(measured[Measured Value (kWh)],measured[Site Name],A2019,measured[Date],B2019)),"")</f>
        <v>12255</v>
      </c>
      <c r="D2019" cm="1">
        <f t="array" ref="D2019">IFERROR(IF(SUMPRODUCT((expected_production[Site Name]=A2019)*(expected_production[Date]=B2019)*ISNUMBER(expected_production[Expected Production (kWh)]))=0,"",SUMIFS(expected_production[Expected Production (kWh)],expected_production[Site Name],A2019,expected_production[Date],B2019)),"")</f>
        <v>20139.513368175867</v>
      </c>
      <c r="E2019" s="9">
        <f t="shared" si="64"/>
        <v>0.60850526901832458</v>
      </c>
      <c r="F2019" t="str">
        <f t="shared" si="65"/>
        <v>Poor</v>
      </c>
    </row>
    <row r="2020" spans="1:6" ht="15" hidden="1" customHeight="1" x14ac:dyDescent="0.3">
      <c r="A2020" t="s">
        <v>265</v>
      </c>
      <c r="B2020" s="2">
        <v>45352</v>
      </c>
      <c r="C2020" cm="1">
        <f t="array" ref="C2020">IFERROR(IF(SUMPRODUCT((measured[Site Name]=A2020)*(measured[Date]=B2020)*ISNUMBER(measured[Measured Value (kWh)]))=0,"",SUMIFS(measured[Measured Value (kWh)],measured[Site Name],A2020,measured[Date],B2020)),"")</f>
        <v>14981</v>
      </c>
      <c r="D2020" cm="1">
        <f t="array" ref="D2020">IFERROR(IF(SUMPRODUCT((expected_production[Site Name]=A2020)*(expected_production[Date]=B2020)*ISNUMBER(expected_production[Expected Production (kWh)]))=0,"",SUMIFS(expected_production[Expected Production (kWh)],expected_production[Site Name],A2020,expected_production[Date],B2020)),"")</f>
        <v>21474.649099031409</v>
      </c>
      <c r="E2020" s="9">
        <f t="shared" si="64"/>
        <v>0.69761326161439829</v>
      </c>
      <c r="F2020" t="str">
        <f t="shared" si="65"/>
        <v>Poor</v>
      </c>
    </row>
    <row r="2021" spans="1:6" ht="15" hidden="1" customHeight="1" x14ac:dyDescent="0.3">
      <c r="A2021" t="s">
        <v>265</v>
      </c>
      <c r="B2021" s="2">
        <v>45383</v>
      </c>
      <c r="C2021" cm="1">
        <f t="array" ref="C2021">IFERROR(IF(SUMPRODUCT((measured[Site Name]=A2021)*(measured[Date]=B2021)*ISNUMBER(measured[Measured Value (kWh)]))=0,"",SUMIFS(measured[Measured Value (kWh)],measured[Site Name],A2021,measured[Date],B2021)),"")</f>
        <v>12548</v>
      </c>
      <c r="D2021" cm="1">
        <f t="array" ref="D2021">IFERROR(IF(SUMPRODUCT((expected_production[Site Name]=A2021)*(expected_production[Date]=B2021)*ISNUMBER(expected_production[Expected Production (kWh)]))=0,"",SUMIFS(expected_production[Expected Production (kWh)],expected_production[Site Name],A2021,expected_production[Date],B2021)),"")</f>
        <v>18626.988846149467</v>
      </c>
      <c r="E2021" s="9">
        <f t="shared" si="64"/>
        <v>0.67364618638260998</v>
      </c>
      <c r="F2021" t="str">
        <f t="shared" si="65"/>
        <v>Poor</v>
      </c>
    </row>
    <row r="2022" spans="1:6" ht="15" hidden="1" customHeight="1" x14ac:dyDescent="0.3">
      <c r="A2022" t="s">
        <v>265</v>
      </c>
      <c r="B2022" s="2">
        <v>45413</v>
      </c>
      <c r="C2022" cm="1">
        <f t="array" ref="C2022">IFERROR(IF(SUMPRODUCT((measured[Site Name]=A2022)*(measured[Date]=B2022)*ISNUMBER(measured[Measured Value (kWh)]))=0,"",SUMIFS(measured[Measured Value (kWh)],measured[Site Name],A2022,measured[Date],B2022)),"")</f>
        <v>12499</v>
      </c>
      <c r="D2022" cm="1">
        <f t="array" ref="D2022">IFERROR(IF(SUMPRODUCT((expected_production[Site Name]=A2022)*(expected_production[Date]=B2022)*ISNUMBER(expected_production[Expected Production (kWh)]))=0,"",SUMIFS(expected_production[Expected Production (kWh)],expected_production[Site Name],A2022,expected_production[Date],B2022)),"")</f>
        <v>18471.081022286093</v>
      </c>
      <c r="E2022" s="9">
        <f t="shared" si="64"/>
        <v>0.67667939872709459</v>
      </c>
      <c r="F2022" t="str">
        <f t="shared" si="65"/>
        <v>Poor</v>
      </c>
    </row>
    <row r="2023" spans="1:6" ht="15" hidden="1" customHeight="1" x14ac:dyDescent="0.3">
      <c r="A2023" t="s">
        <v>265</v>
      </c>
      <c r="B2023" s="2">
        <v>45444</v>
      </c>
      <c r="C2023" cm="1">
        <f t="array" ref="C2023">IFERROR(IF(SUMPRODUCT((measured[Site Name]=A2023)*(measured[Date]=B2023)*ISNUMBER(measured[Measured Value (kWh)]))=0,"",SUMIFS(measured[Measured Value (kWh)],measured[Site Name],A2023,measured[Date],B2023)),"")</f>
        <v>10764</v>
      </c>
      <c r="D2023" cm="1">
        <f t="array" ref="D2023">IFERROR(IF(SUMPRODUCT((expected_production[Site Name]=A2023)*(expected_production[Date]=B2023)*ISNUMBER(expected_production[Expected Production (kWh)]))=0,"",SUMIFS(expected_production[Expected Production (kWh)],expected_production[Site Name],A2023,expected_production[Date],B2023)),"")</f>
        <v>16943.380043149737</v>
      </c>
      <c r="E2023" s="9">
        <f t="shared" si="64"/>
        <v>0.63529236625675056</v>
      </c>
      <c r="F2023" t="str">
        <f t="shared" si="65"/>
        <v>Poor</v>
      </c>
    </row>
    <row r="2024" spans="1:6" ht="15" hidden="1" customHeight="1" x14ac:dyDescent="0.3">
      <c r="A2024" t="s">
        <v>265</v>
      </c>
      <c r="B2024" s="2">
        <v>45474</v>
      </c>
      <c r="C2024" cm="1">
        <f t="array" ref="C2024">IFERROR(IF(SUMPRODUCT((measured[Site Name]=A2024)*(measured[Date]=B2024)*ISNUMBER(measured[Measured Value (kWh)]))=0,"",SUMIFS(measured[Measured Value (kWh)],measured[Site Name],A2024,measured[Date],B2024)),"")</f>
        <v>12646</v>
      </c>
      <c r="D2024" cm="1">
        <f t="array" ref="D2024">IFERROR(IF(SUMPRODUCT((expected_production[Site Name]=A2024)*(expected_production[Date]=B2024)*ISNUMBER(expected_production[Expected Production (kWh)]))=0,"",SUMIFS(expected_production[Expected Production (kWh)],expected_production[Site Name],A2024,expected_production[Date],B2024)),"")</f>
        <v>18568.846031561512</v>
      </c>
      <c r="E2024" s="9">
        <f t="shared" si="64"/>
        <v>0.68103316590086227</v>
      </c>
      <c r="F2024" t="str">
        <f t="shared" si="65"/>
        <v>Poor</v>
      </c>
    </row>
    <row r="2025" spans="1:6" ht="15" hidden="1" customHeight="1" x14ac:dyDescent="0.3">
      <c r="A2025" t="s">
        <v>265</v>
      </c>
      <c r="B2025" s="2">
        <v>45505</v>
      </c>
      <c r="C2025" cm="1">
        <f t="array" ref="C2025">IFERROR(IF(SUMPRODUCT((measured[Site Name]=A2025)*(measured[Date]=B2025)*ISNUMBER(measured[Measured Value (kWh)]))=0,"",SUMIFS(measured[Measured Value (kWh)],measured[Site Name],A2025,measured[Date],B2025)),"")</f>
        <v>13284</v>
      </c>
      <c r="D2025" cm="1">
        <f t="array" ref="D2025">IFERROR(IF(SUMPRODUCT((expected_production[Site Name]=A2025)*(expected_production[Date]=B2025)*ISNUMBER(expected_production[Expected Production (kWh)]))=0,"",SUMIFS(expected_production[Expected Production (kWh)],expected_production[Site Name],A2025,expected_production[Date],B2025)),"")</f>
        <v>21195.921513467682</v>
      </c>
      <c r="E2025" s="9">
        <f t="shared" si="64"/>
        <v>0.62672434371676056</v>
      </c>
      <c r="F2025" t="str">
        <f t="shared" si="65"/>
        <v>Poor</v>
      </c>
    </row>
    <row r="2026" spans="1:6" ht="15" hidden="1" customHeight="1" x14ac:dyDescent="0.3">
      <c r="A2026" t="s">
        <v>265</v>
      </c>
      <c r="B2026" s="2">
        <v>45536</v>
      </c>
      <c r="C2026" cm="1">
        <f t="array" ref="C2026">IFERROR(IF(SUMPRODUCT((measured[Site Name]=A2026)*(measured[Date]=B2026)*ISNUMBER(measured[Measured Value (kWh)]))=0,"",SUMIFS(measured[Measured Value (kWh)],measured[Site Name],A2026,measured[Date],B2026)),"")</f>
        <v>12781</v>
      </c>
      <c r="D2026" cm="1">
        <f t="array" ref="D2026">IFERROR(IF(SUMPRODUCT((expected_production[Site Name]=A2026)*(expected_production[Date]=B2026)*ISNUMBER(expected_production[Expected Production (kWh)]))=0,"",SUMIFS(expected_production[Expected Production (kWh)],expected_production[Site Name],A2026,expected_production[Date],B2026)),"")</f>
        <v>22356.575423535713</v>
      </c>
      <c r="E2026" s="9">
        <f t="shared" si="64"/>
        <v>0.57168863110156398</v>
      </c>
      <c r="F2026" t="str">
        <f t="shared" si="65"/>
        <v>Poor</v>
      </c>
    </row>
    <row r="2027" spans="1:6" ht="15" hidden="1" customHeight="1" x14ac:dyDescent="0.3">
      <c r="A2027" t="s">
        <v>265</v>
      </c>
      <c r="B2027" s="2">
        <v>45566</v>
      </c>
      <c r="C2027" cm="1">
        <f t="array" ref="C2027">IFERROR(IF(SUMPRODUCT((measured[Site Name]=A2027)*(measured[Date]=B2027)*ISNUMBER(measured[Measured Value (kWh)]))=0,"",SUMIFS(measured[Measured Value (kWh)],measured[Site Name],A2027,measured[Date],B2027)),"")</f>
        <v>16310</v>
      </c>
      <c r="D2027" cm="1">
        <f t="array" ref="D2027">IFERROR(IF(SUMPRODUCT((expected_production[Site Name]=A2027)*(expected_production[Date]=B2027)*ISNUMBER(expected_production[Expected Production (kWh)]))=0,"",SUMIFS(expected_production[Expected Production (kWh)],expected_production[Site Name],A2027,expected_production[Date],B2027)),"")</f>
        <v>22494.532895098793</v>
      </c>
      <c r="E2027" s="9">
        <f t="shared" si="64"/>
        <v>0.72506506696805839</v>
      </c>
      <c r="F2027" t="str">
        <f t="shared" si="65"/>
        <v>Moderate</v>
      </c>
    </row>
    <row r="2028" spans="1:6" ht="15" hidden="1" customHeight="1" x14ac:dyDescent="0.3">
      <c r="A2028" t="s">
        <v>265</v>
      </c>
      <c r="B2028" s="2">
        <v>45597</v>
      </c>
      <c r="C2028" cm="1">
        <f t="array" ref="C2028">IFERROR(IF(SUMPRODUCT((measured[Site Name]=A2028)*(measured[Date]=B2028)*ISNUMBER(measured[Measured Value (kWh)]))=0,"",SUMIFS(measured[Measured Value (kWh)],measured[Site Name],A2028,measured[Date],B2028)),"")</f>
        <v>16857</v>
      </c>
      <c r="D2028" cm="1">
        <f t="array" ref="D2028">IFERROR(IF(SUMPRODUCT((expected_production[Site Name]=A2028)*(expected_production[Date]=B2028)*ISNUMBER(expected_production[Expected Production (kWh)]))=0,"",SUMIFS(expected_production[Expected Production (kWh)],expected_production[Site Name],A2028,expected_production[Date],B2028)),"")</f>
        <v>22152.760048008859</v>
      </c>
      <c r="E2028" s="9">
        <f t="shared" si="64"/>
        <v>0.76094355572253614</v>
      </c>
      <c r="F2028" t="str">
        <f t="shared" si="65"/>
        <v>Moderate</v>
      </c>
    </row>
    <row r="2029" spans="1:6" ht="15" hidden="1" customHeight="1" x14ac:dyDescent="0.3">
      <c r="A2029" t="s">
        <v>265</v>
      </c>
      <c r="B2029" s="2">
        <v>45627</v>
      </c>
      <c r="C2029" cm="1">
        <f t="array" ref="C2029">IFERROR(IF(SUMPRODUCT((measured[Site Name]=A2029)*(measured[Date]=B2029)*ISNUMBER(measured[Measured Value (kWh)]))=0,"",SUMIFS(measured[Measured Value (kWh)],measured[Site Name],A2029,measured[Date],B2029)),"")</f>
        <v>17902</v>
      </c>
      <c r="D2029" cm="1">
        <f t="array" ref="D2029">IFERROR(IF(SUMPRODUCT((expected_production[Site Name]=A2029)*(expected_production[Date]=B2029)*ISNUMBER(expected_production[Expected Production (kWh)]))=0,"",SUMIFS(expected_production[Expected Production (kWh)],expected_production[Site Name],A2029,expected_production[Date],B2029)),"")</f>
        <v>23110.523118283345</v>
      </c>
      <c r="E2029" s="9">
        <f t="shared" si="64"/>
        <v>0.77462547725011277</v>
      </c>
      <c r="F2029" t="str">
        <f t="shared" si="65"/>
        <v>Moderate</v>
      </c>
    </row>
    <row r="2030" spans="1:6" ht="15" hidden="1" customHeight="1" x14ac:dyDescent="0.3">
      <c r="A2030" t="s">
        <v>265</v>
      </c>
      <c r="B2030" s="2">
        <v>45658</v>
      </c>
      <c r="C2030" cm="1">
        <f t="array" ref="C2030">IFERROR(IF(SUMPRODUCT((measured[Site Name]=A2030)*(measured[Date]=B2030)*ISNUMBER(measured[Measured Value (kWh)]))=0,"",SUMIFS(measured[Measured Value (kWh)],measured[Site Name],A2030,measured[Date],B2030)),"")</f>
        <v>16357</v>
      </c>
      <c r="D2030" cm="1">
        <f t="array" ref="D2030">IFERROR(IF(SUMPRODUCT((expected_production[Site Name]=A2030)*(expected_production[Date]=B2030)*ISNUMBER(expected_production[Expected Production (kWh)]))=0,"",SUMIFS(expected_production[Expected Production (kWh)],expected_production[Site Name],A2030,expected_production[Date],B2030)),"")</f>
        <v>22674.452711745689</v>
      </c>
      <c r="E2030" s="9">
        <f t="shared" si="64"/>
        <v>0.72138455591154538</v>
      </c>
      <c r="F2030" t="str">
        <f t="shared" si="65"/>
        <v>Moderate</v>
      </c>
    </row>
    <row r="2031" spans="1:6" ht="15" hidden="1" customHeight="1" x14ac:dyDescent="0.3">
      <c r="A2031" t="s">
        <v>265</v>
      </c>
      <c r="B2031" s="2">
        <v>45689</v>
      </c>
      <c r="C2031" cm="1">
        <f t="array" ref="C2031">IFERROR(IF(SUMPRODUCT((measured[Site Name]=A2031)*(measured[Date]=B2031)*ISNUMBER(measured[Measured Value (kWh)]))=0,"",SUMIFS(measured[Measured Value (kWh)],measured[Site Name],A2031,measured[Date],B2031)),"")</f>
        <v>13076</v>
      </c>
      <c r="D2031" cm="1">
        <f t="array" ref="D2031">IFERROR(IF(SUMPRODUCT((expected_production[Site Name]=A2031)*(expected_production[Date]=B2031)*ISNUMBER(expected_production[Expected Production (kWh)]))=0,"",SUMIFS(expected_production[Expected Production (kWh)],expected_production[Site Name],A2031,expected_production[Date],B2031)),"")</f>
        <v>19998.248312571995</v>
      </c>
      <c r="E2031" s="9">
        <f t="shared" si="64"/>
        <v>0.65385726767777508</v>
      </c>
      <c r="F2031" t="str">
        <f t="shared" si="65"/>
        <v>Poor</v>
      </c>
    </row>
    <row r="2032" spans="1:6" ht="15" hidden="1" customHeight="1" x14ac:dyDescent="0.3">
      <c r="A2032" t="s">
        <v>265</v>
      </c>
      <c r="B2032" s="2">
        <v>45717</v>
      </c>
      <c r="C2032" cm="1">
        <f t="array" ref="C2032">IFERROR(IF(SUMPRODUCT((measured[Site Name]=A2032)*(measured[Date]=B2032)*ISNUMBER(measured[Measured Value (kWh)]))=0,"",SUMIFS(measured[Measured Value (kWh)],measured[Site Name],A2032,measured[Date],B2032)),"")</f>
        <v>13410</v>
      </c>
      <c r="D2032" cm="1">
        <f t="array" ref="D2032">IFERROR(IF(SUMPRODUCT((expected_production[Site Name]=A2032)*(expected_production[Date]=B2032)*ISNUMBER(expected_production[Expected Production (kWh)]))=0,"",SUMIFS(expected_production[Expected Production (kWh)],expected_production[Site Name],A2032,expected_production[Date],B2032)),"")</f>
        <v>21324.429084799489</v>
      </c>
      <c r="E2032" s="9">
        <f t="shared" si="64"/>
        <v>0.6288562261935976</v>
      </c>
      <c r="F2032" t="str">
        <f t="shared" si="65"/>
        <v>Poor</v>
      </c>
    </row>
    <row r="2033" spans="1:7" ht="15" hidden="1" customHeight="1" x14ac:dyDescent="0.3">
      <c r="A2033" t="s">
        <v>265</v>
      </c>
      <c r="B2033" s="2">
        <v>45748</v>
      </c>
      <c r="C2033" cm="1">
        <f t="array" ref="C2033">IFERROR(IF(SUMPRODUCT((measured[Site Name]=A2033)*(measured[Date]=B2033)*ISNUMBER(measured[Measured Value (kWh)]))=0,"",SUMIFS(measured[Measured Value (kWh)],measured[Site Name],A2033,measured[Date],B2033)),"")</f>
        <v>11361</v>
      </c>
      <c r="D2033" cm="1">
        <f t="array" ref="D2033">IFERROR(IF(SUMPRODUCT((expected_production[Site Name]=A2033)*(expected_production[Date]=B2033)*ISNUMBER(expected_production[Expected Production (kWh)]))=0,"",SUMIFS(expected_production[Expected Production (kWh)],expected_production[Site Name],A2033,expected_production[Date],B2033)),"")</f>
        <v>18496.688857699708</v>
      </c>
      <c r="E2033" s="9">
        <f t="shared" si="64"/>
        <v>0.6142180412615148</v>
      </c>
      <c r="F2033" t="str">
        <f t="shared" si="65"/>
        <v>Poor</v>
      </c>
    </row>
    <row r="2034" spans="1:7" ht="15" hidden="1" customHeight="1" x14ac:dyDescent="0.3">
      <c r="A2034" t="s">
        <v>265</v>
      </c>
      <c r="B2034" s="2">
        <v>45778</v>
      </c>
      <c r="C2034" cm="1">
        <f t="array" ref="C2034">IFERROR(IF(SUMPRODUCT((measured[Site Name]=A2034)*(measured[Date]=B2034)*ISNUMBER(measured[Measured Value (kWh)]))=0,"",SUMIFS(measured[Measured Value (kWh)],measured[Site Name],A2034,measured[Date],B2034)),"")</f>
        <v>12073</v>
      </c>
      <c r="D2034" cm="1">
        <f t="array" ref="D2034">IFERROR(IF(SUMPRODUCT((expected_production[Site Name]=A2034)*(expected_production[Date]=B2034)*ISNUMBER(expected_production[Expected Production (kWh)]))=0,"",SUMIFS(expected_production[Expected Production (kWh)],expected_production[Site Name],A2034,expected_production[Date],B2034)),"")</f>
        <v>18341.871644230552</v>
      </c>
      <c r="E2034" s="9">
        <f t="shared" si="64"/>
        <v>0.65822072219099681</v>
      </c>
      <c r="F2034" t="str">
        <f t="shared" si="65"/>
        <v>Poor</v>
      </c>
    </row>
    <row r="2035" spans="1:7" ht="15" hidden="1" customHeight="1" x14ac:dyDescent="0.3">
      <c r="A2035" t="s">
        <v>265</v>
      </c>
      <c r="B2035" s="2">
        <v>45809</v>
      </c>
      <c r="C2035" cm="1">
        <f t="array" ref="C2035">IFERROR(IF(SUMPRODUCT((measured[Site Name]=A2035)*(measured[Date]=B2035)*ISNUMBER(measured[Measured Value (kWh)]))=0,"",SUMIFS(measured[Measured Value (kWh)],measured[Site Name],A2035,measured[Date],B2035)),"")</f>
        <v>10687.39</v>
      </c>
      <c r="D2035" cm="1">
        <f t="array" ref="D2035">IFERROR(IF(SUMPRODUCT((expected_production[Site Name]=A2035)*(expected_production[Date]=B2035)*ISNUMBER(expected_production[Expected Production (kWh)]))=0,"",SUMIFS(expected_production[Expected Production (kWh)],expected_production[Site Name],A2035,expected_production[Date],B2035)),"")</f>
        <v>16824.857278028809</v>
      </c>
      <c r="E2035" s="9">
        <f t="shared" si="64"/>
        <v>0.63521430365750642</v>
      </c>
      <c r="F2035" t="str">
        <f t="shared" si="65"/>
        <v>Poor</v>
      </c>
    </row>
    <row r="2036" spans="1:7" ht="15" hidden="1" customHeight="1" x14ac:dyDescent="0.3">
      <c r="A2036" t="s">
        <v>265</v>
      </c>
      <c r="B2036" s="2">
        <v>45839</v>
      </c>
      <c r="C2036" cm="1">
        <f t="array" ref="C2036">IFERROR(IF(SUMPRODUCT((measured[Site Name]=A2036)*(measured[Date]=B2036)*ISNUMBER(measured[Measured Value (kWh)]))=0,"",SUMIFS(measured[Measured Value (kWh)],measured[Site Name],A2036,measured[Date],B2036)),"")</f>
        <v>10449</v>
      </c>
      <c r="D2036" cm="1">
        <f t="array" ref="D2036">IFERROR(IF(SUMPRODUCT((expected_production[Site Name]=A2036)*(expected_production[Date]=B2036)*ISNUMBER(expected_production[Expected Production (kWh)]))=0,"",SUMIFS(expected_production[Expected Production (kWh)],expected_production[Site Name],A2036,expected_production[Date],B2036)),"")</f>
        <v>18438.952765214388</v>
      </c>
      <c r="E2036" s="9">
        <f t="shared" si="64"/>
        <v>0.56668077265821393</v>
      </c>
      <c r="F2036" t="str">
        <f t="shared" si="65"/>
        <v>Poor</v>
      </c>
    </row>
    <row r="2037" spans="1:7" ht="15" hidden="1" customHeight="1" x14ac:dyDescent="0.3">
      <c r="A2037" t="s">
        <v>265</v>
      </c>
      <c r="B2037" s="2">
        <v>45870</v>
      </c>
      <c r="C2037" cm="1">
        <f t="array" ref="C2037">IFERROR(IF(SUMPRODUCT((measured[Site Name]=A2037)*(measured[Date]=B2037)*ISNUMBER(measured[Measured Value (kWh)]))=0,"",SUMIFS(measured[Measured Value (kWh)],measured[Site Name],A2037,measured[Date],B2037)),"")</f>
        <v>10325</v>
      </c>
      <c r="D2037" cm="1">
        <f t="array" ref="D2037">IFERROR(IF(SUMPRODUCT((expected_production[Site Name]=A2037)*(expected_production[Date]=B2037)*ISNUMBER(expected_production[Expected Production (kWh)]))=0,"",SUMIFS(expected_production[Expected Production (kWh)],expected_production[Site Name],A2037,expected_production[Date],B2037)),"")</f>
        <v>21047.651261566083</v>
      </c>
      <c r="E2037" s="9">
        <f t="shared" si="64"/>
        <v>0.49055354783713534</v>
      </c>
      <c r="F2037" t="str">
        <f t="shared" si="65"/>
        <v>Poor</v>
      </c>
    </row>
    <row r="2038" spans="1:7" ht="15" hidden="1" customHeight="1" x14ac:dyDescent="0.3">
      <c r="A2038" t="s">
        <v>265</v>
      </c>
      <c r="B2038" s="2">
        <v>45901</v>
      </c>
      <c r="C2038" cm="1">
        <f t="array" ref="C2038">IFERROR(IF(SUMPRODUCT((measured[Site Name]=A2038)*(measured[Date]=B2038)*ISNUMBER(measured[Measured Value (kWh)]))=0,"",SUMIFS(measured[Measured Value (kWh)],measured[Site Name],A2038,measured[Date],B2038)),"")</f>
        <v>9595</v>
      </c>
      <c r="D2038" cm="1">
        <f t="array" ref="D2038">IFERROR(IF(SUMPRODUCT((expected_production[Site Name]=A2038)*(expected_production[Date]=B2038)*ISNUMBER(expected_production[Expected Production (kWh)]))=0,"",SUMIFS(expected_production[Expected Production (kWh)],expected_production[Site Name],A2038,expected_production[Date],B2038)),"")</f>
        <v>22200.186135738128</v>
      </c>
      <c r="E2038" s="9">
        <f t="shared" si="64"/>
        <v>0.43220358339941362</v>
      </c>
      <c r="F2038" t="str">
        <f t="shared" si="65"/>
        <v>Poor</v>
      </c>
    </row>
    <row r="2039" spans="1:7" ht="15" hidden="1" customHeight="1" x14ac:dyDescent="0.3">
      <c r="A2039" t="s">
        <v>265</v>
      </c>
      <c r="B2039" s="2">
        <v>45931</v>
      </c>
      <c r="C2039" cm="1">
        <f t="array" ref="C2039">IFERROR(IF(SUMPRODUCT((measured[Site Name]=A2039)*(measured[Date]=B2039)*ISNUMBER(measured[Measured Value (kWh)]))=0,"",SUMIFS(measured[Measured Value (kWh)],measured[Site Name],A2039,measured[Date],B2039)),"")</f>
        <v>11068</v>
      </c>
      <c r="D2039" cm="1">
        <f t="array" ref="D2039">IFERROR(IF(SUMPRODUCT((expected_production[Site Name]=A2039)*(expected_production[Date]=B2039)*ISNUMBER(expected_production[Expected Production (kWh)]))=0,"",SUMIFS(expected_production[Expected Production (kWh)],expected_production[Site Name],A2039,expected_production[Date],B2039)),"")</f>
        <v>22337.178563670179</v>
      </c>
      <c r="E2039" s="9">
        <f t="shared" si="64"/>
        <v>0.49549677764591582</v>
      </c>
      <c r="F2039" t="str">
        <f t="shared" si="65"/>
        <v>Poor</v>
      </c>
    </row>
    <row r="2040" spans="1:7" ht="15" hidden="1" customHeight="1" x14ac:dyDescent="0.3">
      <c r="A2040" t="s">
        <v>265</v>
      </c>
      <c r="B2040" s="2">
        <v>45962</v>
      </c>
      <c r="C2040" cm="1">
        <f t="array" ref="C2040">IFERROR(IF(SUMPRODUCT((measured[Site Name]=A2040)*(measured[Date]=B2040)*ISNUMBER(measured[Measured Value (kWh)]))=0,"",SUMIFS(measured[Measured Value (kWh)],measured[Site Name],A2040,measured[Date],B2040)),"")</f>
        <v>10671</v>
      </c>
      <c r="D2040" cm="1">
        <f t="array" ref="D2040">IFERROR(IF(SUMPRODUCT((expected_production[Site Name]=A2040)*(expected_production[Date]=B2040)*ISNUMBER(expected_production[Expected Production (kWh)]))=0,"",SUMIFS(expected_production[Expected Production (kWh)],expected_production[Site Name],A2040,expected_production[Date],B2040)),"")</f>
        <v>21997.796494735325</v>
      </c>
      <c r="E2040" s="9">
        <f t="shared" si="64"/>
        <v>0.48509404123971517</v>
      </c>
      <c r="F2040" t="str">
        <f t="shared" si="65"/>
        <v>Poor</v>
      </c>
    </row>
    <row r="2041" spans="1:7" ht="15" hidden="1" customHeight="1" x14ac:dyDescent="0.3">
      <c r="A2041" t="s">
        <v>265</v>
      </c>
      <c r="B2041" s="2">
        <v>45992</v>
      </c>
      <c r="C2041" cm="1">
        <f t="array" ref="C2041">IFERROR(IF(SUMPRODUCT((measured[Site Name]=A2041)*(measured[Date]=B2041)*ISNUMBER(measured[Measured Value (kWh)]))=0,"",SUMIFS(measured[Measured Value (kWh)],measured[Site Name],A2041,measured[Date],B2041)),"")</f>
        <v>1812</v>
      </c>
      <c r="D2041" cm="1">
        <f t="array" ref="D2041">IFERROR(IF(SUMPRODUCT((expected_production[Site Name]=A2041)*(expected_production[Date]=B2041)*ISNUMBER(expected_production[Expected Production (kWh)]))=0,"",SUMIFS(expected_production[Expected Production (kWh)],expected_production[Site Name],A2041,expected_production[Date],B2041)),"")</f>
        <v>22948.85979630188</v>
      </c>
      <c r="E2041" s="9">
        <f t="shared" si="64"/>
        <v>7.8958171172059569E-2</v>
      </c>
      <c r="F2041" t="str">
        <f t="shared" si="65"/>
        <v>Poor</v>
      </c>
    </row>
    <row r="2042" spans="1:7" ht="15" hidden="1" customHeight="1" x14ac:dyDescent="0.3">
      <c r="A2042" t="s">
        <v>265</v>
      </c>
      <c r="B2042" s="2">
        <v>46023</v>
      </c>
      <c r="C2042" cm="1">
        <f t="array" ref="C2042">IFERROR(IF(SUMPRODUCT((measured[Site Name]=A2042)*(measured[Date]=B2042)*ISNUMBER(measured[Measured Value (kWh)]))=0,"",SUMIFS(measured[Measured Value (kWh)],measured[Site Name],A2042,measured[Date],B2042)),"")</f>
        <v>306</v>
      </c>
      <c r="D2042" cm="1">
        <f t="array" ref="D2042">IFERROR(IF(SUMPRODUCT((expected_production[Site Name]=A2042)*(expected_production[Date]=B2042)*ISNUMBER(expected_production[Expected Production (kWh)]))=0,"",SUMIFS(expected_production[Expected Production (kWh)],expected_production[Site Name],A2042,expected_production[Date],B2042)),"")</f>
        <v>22515.839800617232</v>
      </c>
      <c r="E2042" s="9">
        <f t="shared" si="64"/>
        <v>1.3590432455982012E-2</v>
      </c>
      <c r="F2042" t="str">
        <f t="shared" si="65"/>
        <v>Poor</v>
      </c>
    </row>
    <row r="2043" spans="1:7" ht="15" hidden="1" customHeight="1" x14ac:dyDescent="0.3">
      <c r="A2043" t="s">
        <v>265</v>
      </c>
      <c r="B2043" s="2">
        <v>46054</v>
      </c>
      <c r="C2043" cm="1">
        <f t="array" ref="C2043">IFERROR(IF(SUMPRODUCT((measured[Site Name]=A2043)*(measured[Date]=B2043)*ISNUMBER(measured[Measured Value (kWh)]))=0,"",SUMIFS(measured[Measured Value (kWh)],measured[Site Name],A2043,measured[Date],B2043)),"")</f>
        <v>522.44464000000005</v>
      </c>
      <c r="D2043" cm="1">
        <f t="array" ref="D2043">IFERROR(IF(SUMPRODUCT((expected_production[Site Name]=A2043)*(expected_production[Date]=B2043)*ISNUMBER(expected_production[Expected Production (kWh)]))=0,"",SUMIFS(expected_production[Expected Production (kWh)],expected_production[Site Name],A2043,expected_production[Date],B2043)),"")</f>
        <v>19858.356054855729</v>
      </c>
      <c r="E2043" s="9">
        <f t="shared" si="64"/>
        <v>2.6308554371611885E-2</v>
      </c>
      <c r="F2043" t="str">
        <f t="shared" si="65"/>
        <v>Poor</v>
      </c>
    </row>
    <row r="2044" spans="1:7" ht="15" hidden="1" customHeight="1" x14ac:dyDescent="0.3">
      <c r="A2044" t="s">
        <v>265</v>
      </c>
      <c r="B2044" s="2">
        <v>46082</v>
      </c>
      <c r="C2044" cm="1">
        <f t="array" ref="C2044">IFERROR(IF(SUMPRODUCT((measured[Site Name]=A2044)*(measured[Date]=B2044)*ISNUMBER(measured[Measured Value (kWh)]))=0,"",SUMIFS(measured[Measured Value (kWh)],measured[Site Name],A2044,measured[Date],B2044)),"")</f>
        <v>372</v>
      </c>
      <c r="D2044" cm="1">
        <f t="array" ref="D2044">IFERROR(IF(SUMPRODUCT((expected_production[Site Name]=A2044)*(expected_production[Date]=B2044)*ISNUMBER(expected_production[Expected Production (kWh)]))=0,"",SUMIFS(expected_production[Expected Production (kWh)],expected_production[Site Name],A2044,expected_production[Date],B2044)),"")</f>
        <v>21175.259893450482</v>
      </c>
      <c r="E2044" s="9">
        <f t="shared" si="64"/>
        <v>1.7567671040252961E-2</v>
      </c>
      <c r="F2044" t="str">
        <f t="shared" si="65"/>
        <v>Poor</v>
      </c>
    </row>
    <row r="2045" spans="1:7" ht="15" hidden="1" customHeight="1" x14ac:dyDescent="0.3">
      <c r="A2045" t="s">
        <v>265</v>
      </c>
      <c r="B2045" s="2">
        <v>46113</v>
      </c>
      <c r="C2045" cm="1">
        <f t="array" ref="C2045">IFERROR(IF(SUMPRODUCT((measured[Site Name]=A2045)*(measured[Date]=B2045)*ISNUMBER(measured[Measured Value (kWh)]))=0,"",SUMIFS(measured[Measured Value (kWh)],measured[Site Name],A2045,measured[Date],B2045)),"")</f>
        <v>44.97</v>
      </c>
      <c r="D2045" cm="1">
        <f t="array" ref="D2045">IFERROR(IF(SUMPRODUCT((expected_production[Site Name]=A2045)*(expected_production[Date]=B2045)*ISNUMBER(expected_production[Expected Production (kWh)]))=0,"",SUMIFS(expected_production[Expected Production (kWh)],expected_production[Site Name],A2045,expected_production[Date],B2045)),"")</f>
        <v>18367.30034705939</v>
      </c>
      <c r="E2045" s="9">
        <f t="shared" si="64"/>
        <v>2.4483728773564543E-3</v>
      </c>
      <c r="F2045" t="str">
        <f t="shared" si="65"/>
        <v>Poor</v>
      </c>
    </row>
    <row r="2046" spans="1:7" ht="15" hidden="1" customHeight="1" x14ac:dyDescent="0.3">
      <c r="A2046" t="s">
        <v>265</v>
      </c>
      <c r="B2046" s="2">
        <v>46143</v>
      </c>
      <c r="C2046" cm="1">
        <f t="array" ref="C2046">IFERROR(IF(SUMPRODUCT((measured[Site Name]=A2046)*(measured[Date]=B2046)*ISNUMBER(measured[Measured Value (kWh)]))=0,"",SUMIFS(measured[Measured Value (kWh)],measured[Site Name],A2046,measured[Date],B2046)),"")</f>
        <v>0</v>
      </c>
      <c r="D2046" cm="1">
        <f t="array" ref="D2046">IFERROR(IF(SUMPRODUCT((expected_production[Site Name]=A2046)*(expected_production[Date]=B2046)*ISNUMBER(expected_production[Expected Production (kWh)]))=0,"",SUMIFS(expected_production[Expected Production (kWh)],expected_production[Site Name],A2046,expected_production[Date],B2046)),"")</f>
        <v>18213.566114918754</v>
      </c>
      <c r="E2046" s="9">
        <f t="shared" si="64"/>
        <v>0</v>
      </c>
      <c r="F2046" t="str">
        <f t="shared" si="65"/>
        <v>Poor</v>
      </c>
    </row>
    <row r="2047" spans="1:7" ht="15" hidden="1" customHeight="1" x14ac:dyDescent="0.3">
      <c r="A2047" t="s">
        <v>265</v>
      </c>
      <c r="B2047" s="2">
        <v>46174</v>
      </c>
      <c r="C2047" t="str" cm="1">
        <f t="array" ref="C2047">IFERROR(IF(SUMPRODUCT((measured[Site Name]=A2047)*(measured[Date]=B2047)*ISNUMBER(measured[Measured Value (kWh)]))=0,"",SUMIFS(measured[Measured Value (kWh)],measured[Site Name],A2047,measured[Date],B2047)),"")</f>
        <v/>
      </c>
      <c r="D2047" cm="1">
        <f t="array" ref="D2047">IFERROR(IF(SUMPRODUCT((expected_production[Site Name]=A2047)*(expected_production[Date]=B2047)*ISNUMBER(expected_production[Expected Production (kWh)]))=0,"",SUMIFS(expected_production[Expected Production (kWh)],expected_production[Site Name],A2047,expected_production[Date],B2047)),"")</f>
        <v>16707.163606383689</v>
      </c>
      <c r="E2047" s="9" t="str">
        <f t="shared" si="64"/>
        <v/>
      </c>
      <c r="F2047" t="str">
        <f t="shared" si="65"/>
        <v/>
      </c>
    </row>
    <row r="2048" spans="1:7" ht="15" hidden="1" customHeight="1" x14ac:dyDescent="0.3">
      <c r="A2048" t="s">
        <v>177</v>
      </c>
      <c r="B2048" s="2">
        <v>46204</v>
      </c>
      <c r="C2048" cm="1">
        <f t="array" ref="C2048">IFERROR(IF(SUMPRODUCT((measured[Site Name]=A2048)*(measured[Date]=B2048)*ISNUMBER(measured[Measured Value (kWh)]))=0,"",SUMIFS(measured[Measured Value (kWh)],measured[Site Name],A2048,measured[Date],B2048)),"")</f>
        <v>2926.66</v>
      </c>
      <c r="D2048" cm="1">
        <f t="array" ref="D2048">IFERROR(IF(SUMPRODUCT((expected_production[Site Name]=A2048)*(expected_production[Date]=B2048)*ISNUMBER(expected_production[Expected Production (kWh)]))=0,"",SUMIFS(expected_production[Expected Production (kWh)],expected_production[Site Name],A2048,expected_production[Date],B2048)),"")</f>
        <v>3565.9843353205652</v>
      </c>
      <c r="E2048" s="9">
        <f t="shared" si="64"/>
        <v>0.82071588789996941</v>
      </c>
      <c r="F2048" t="str">
        <f t="shared" si="65"/>
        <v>Moderate</v>
      </c>
      <c r="G2048" t="s">
        <v>874</v>
      </c>
    </row>
    <row r="2049" spans="1:7" ht="15" hidden="1" customHeight="1" x14ac:dyDescent="0.3">
      <c r="A2049" t="s">
        <v>265</v>
      </c>
      <c r="B2049" s="2">
        <v>46235</v>
      </c>
      <c r="C2049" t="str" cm="1">
        <f t="array" ref="C2049">IFERROR(IF(SUMPRODUCT((measured[Site Name]=A2049)*(measured[Date]=B2049)*ISNUMBER(measured[Measured Value (kWh)]))=0,"",SUMIFS(measured[Measured Value (kWh)],measured[Site Name],A2049,measured[Date],B2049)),"")</f>
        <v/>
      </c>
      <c r="D2049" cm="1">
        <f t="array" ref="D2049">IFERROR(IF(SUMPRODUCT((expected_production[Site Name]=A2049)*(expected_production[Date]=B2049)*ISNUMBER(expected_production[Expected Production (kWh)]))=0,"",SUMIFS(expected_production[Expected Production (kWh)],expected_production[Site Name],A2049,expected_production[Date],B2049)),"")</f>
        <v>20900.418193520116</v>
      </c>
      <c r="E2049" s="9" t="str">
        <f t="shared" si="64"/>
        <v/>
      </c>
      <c r="F2049" t="str">
        <f t="shared" si="65"/>
        <v/>
      </c>
      <c r="G2049" t="s">
        <v>874</v>
      </c>
    </row>
    <row r="2050" spans="1:7" ht="15" customHeight="1" x14ac:dyDescent="0.3">
      <c r="A2050" t="s">
        <v>265</v>
      </c>
      <c r="B2050" s="2">
        <v>46266</v>
      </c>
      <c r="C2050" cm="1">
        <f t="array" ref="C2050">IFERROR(IF(SUMPRODUCT((measured[Site Name]=A2050)*(measured[Date]=B2050)*ISNUMBER(measured[Measured Value (kWh)]))=0,"",SUMIFS(measured[Measured Value (kWh)],measured[Site Name],A2050,measured[Date],B2050)),"")</f>
        <v>0</v>
      </c>
      <c r="D2050" cm="1">
        <f t="array" ref="D2050">IFERROR(IF(SUMPRODUCT((expected_production[Site Name]=A2050)*(expected_production[Date]=B2050)*ISNUMBER(expected_production[Expected Production (kWh)]))=0,"",SUMIFS(expected_production[Expected Production (kWh)],expected_production[Site Name],A2050,expected_production[Date],B2050)),"")</f>
        <v>22044.890826283579</v>
      </c>
      <c r="E2050" s="9">
        <f t="shared" si="64"/>
        <v>0</v>
      </c>
      <c r="F2050" t="str">
        <f t="shared" si="65"/>
        <v>Poor</v>
      </c>
      <c r="G2050" t="s">
        <v>874</v>
      </c>
    </row>
    <row r="2051" spans="1:7" ht="15" hidden="1" customHeight="1" x14ac:dyDescent="0.3">
      <c r="A2051" t="s">
        <v>265</v>
      </c>
      <c r="B2051" s="2">
        <v>46296</v>
      </c>
      <c r="C2051" t="str" cm="1">
        <f t="array" ref="C2051">IFERROR(IF(SUMPRODUCT((measured[Site Name]=A2051)*(measured[Date]=B2051)*ISNUMBER(measured[Measured Value (kWh)]))=0,"",SUMIFS(measured[Measured Value (kWh)],measured[Site Name],A2051,measured[Date],B2051)),"")</f>
        <v/>
      </c>
      <c r="D2051" cm="1">
        <f t="array" ref="D2051">IFERROR(IF(SUMPRODUCT((expected_production[Site Name]=A2051)*(expected_production[Date]=B2051)*ISNUMBER(expected_production[Expected Production (kWh)]))=0,"",SUMIFS(expected_production[Expected Production (kWh)],expected_production[Site Name],A2051,expected_production[Date],B2051)),"")</f>
        <v>22180.924961282471</v>
      </c>
      <c r="E2051" s="9" t="str">
        <f t="shared" si="64"/>
        <v/>
      </c>
      <c r="F2051" t="str">
        <f t="shared" si="65"/>
        <v/>
      </c>
    </row>
    <row r="2052" spans="1:7" ht="15" hidden="1" customHeight="1" x14ac:dyDescent="0.3">
      <c r="A2052" t="s">
        <v>265</v>
      </c>
      <c r="B2052" s="2">
        <v>46327</v>
      </c>
      <c r="C2052" t="str" cm="1">
        <f t="array" ref="C2052">IFERROR(IF(SUMPRODUCT((measured[Site Name]=A2052)*(measured[Date]=B2052)*ISNUMBER(measured[Measured Value (kWh)]))=0,"",SUMIFS(measured[Measured Value (kWh)],measured[Site Name],A2052,measured[Date],B2052)),"")</f>
        <v/>
      </c>
      <c r="D2052" cm="1">
        <f t="array" ref="D2052">IFERROR(IF(SUMPRODUCT((expected_production[Site Name]=A2052)*(expected_production[Date]=B2052)*ISNUMBER(expected_production[Expected Production (kWh)]))=0,"",SUMIFS(expected_production[Expected Production (kWh)],expected_production[Site Name],A2052,expected_production[Date],B2052)),"")</f>
        <v>21843.916946470243</v>
      </c>
      <c r="E2052" s="9" t="str">
        <f t="shared" si="64"/>
        <v/>
      </c>
      <c r="F2052" t="str">
        <f t="shared" si="65"/>
        <v/>
      </c>
    </row>
    <row r="2053" spans="1:7" ht="15" hidden="1" customHeight="1" x14ac:dyDescent="0.3">
      <c r="A2053" t="s">
        <v>265</v>
      </c>
      <c r="B2053" s="2">
        <v>46357</v>
      </c>
      <c r="C2053" t="str" cm="1">
        <f t="array" ref="C2053">IFERROR(IF(SUMPRODUCT((measured[Site Name]=A2053)*(measured[Date]=B2053)*ISNUMBER(measured[Measured Value (kWh)]))=0,"",SUMIFS(measured[Measured Value (kWh)],measured[Site Name],A2053,measured[Date],B2053)),"")</f>
        <v/>
      </c>
      <c r="D2053" cm="1">
        <f t="array" ref="D2053">IFERROR(IF(SUMPRODUCT((expected_production[Site Name]=A2053)*(expected_production[Date]=B2053)*ISNUMBER(expected_production[Expected Production (kWh)]))=0,"",SUMIFS(expected_production[Expected Production (kWh)],expected_production[Site Name],A2053,expected_production[Date],B2053)),"")</f>
        <v>22788.327345722173</v>
      </c>
      <c r="E2053" s="9" t="str">
        <f t="shared" si="64"/>
        <v/>
      </c>
      <c r="F2053" t="str">
        <f t="shared" si="65"/>
        <v/>
      </c>
    </row>
    <row r="2054" spans="1:7" ht="15" hidden="1" customHeight="1" x14ac:dyDescent="0.3">
      <c r="A2054" t="s">
        <v>180</v>
      </c>
      <c r="B2054" s="2">
        <v>45292</v>
      </c>
      <c r="C2054" t="str" cm="1">
        <f t="array" ref="C2054">IFERROR(IF(SUMPRODUCT((measured[Site Name]=A2054)*(measured[Date]=B2054)*ISNUMBER(measured[Measured Value (kWh)]))=0,"",SUMIFS(measured[Measured Value (kWh)],measured[Site Name],A2054,measured[Date],B2054)),"")</f>
        <v/>
      </c>
      <c r="D2054" cm="1">
        <f t="array" ref="D2054">IFERROR(IF(SUMPRODUCT((expected_production[Site Name]=A2054)*(expected_production[Date]=B2054)*ISNUMBER(expected_production[Expected Production (kWh)]))=0,"",SUMIFS(expected_production[Expected Production (kWh)],expected_production[Site Name],A2054,expected_production[Date],B2054)),"")</f>
        <v>23724</v>
      </c>
      <c r="E2054" s="9" t="str">
        <f t="shared" si="64"/>
        <v/>
      </c>
      <c r="F2054" t="str">
        <f t="shared" si="65"/>
        <v/>
      </c>
    </row>
    <row r="2055" spans="1:7" ht="15" hidden="1" customHeight="1" x14ac:dyDescent="0.3">
      <c r="A2055" t="s">
        <v>180</v>
      </c>
      <c r="B2055" s="2">
        <v>45323</v>
      </c>
      <c r="C2055" t="str" cm="1">
        <f t="array" ref="C2055">IFERROR(IF(SUMPRODUCT((measured[Site Name]=A2055)*(measured[Date]=B2055)*ISNUMBER(measured[Measured Value (kWh)]))=0,"",SUMIFS(measured[Measured Value (kWh)],measured[Site Name],A2055,measured[Date],B2055)),"")</f>
        <v/>
      </c>
      <c r="D2055" cm="1">
        <f t="array" ref="D2055">IFERROR(IF(SUMPRODUCT((expected_production[Site Name]=A2055)*(expected_production[Date]=B2055)*ISNUMBER(expected_production[Expected Production (kWh)]))=0,"",SUMIFS(expected_production[Expected Production (kWh)],expected_production[Site Name],A2055,expected_production[Date],B2055)),"")</f>
        <v>20448</v>
      </c>
      <c r="E2055" s="9" t="str">
        <f t="shared" si="64"/>
        <v/>
      </c>
      <c r="F2055" t="str">
        <f t="shared" si="65"/>
        <v/>
      </c>
    </row>
    <row r="2056" spans="1:7" ht="15" hidden="1" customHeight="1" x14ac:dyDescent="0.3">
      <c r="A2056" t="s">
        <v>180</v>
      </c>
      <c r="B2056" s="2">
        <v>45352</v>
      </c>
      <c r="C2056" t="str" cm="1">
        <f t="array" ref="C2056">IFERROR(IF(SUMPRODUCT((measured[Site Name]=A2056)*(measured[Date]=B2056)*ISNUMBER(measured[Measured Value (kWh)]))=0,"",SUMIFS(measured[Measured Value (kWh)],measured[Site Name],A2056,measured[Date],B2056)),"")</f>
        <v/>
      </c>
      <c r="D2056" cm="1">
        <f t="array" ref="D2056">IFERROR(IF(SUMPRODUCT((expected_production[Site Name]=A2056)*(expected_production[Date]=B2056)*ISNUMBER(expected_production[Expected Production (kWh)]))=0,"",SUMIFS(expected_production[Expected Production (kWh)],expected_production[Site Name],A2056,expected_production[Date],B2056)),"")</f>
        <v>19986.3</v>
      </c>
      <c r="E2056" s="9" t="str">
        <f t="shared" si="64"/>
        <v/>
      </c>
      <c r="F2056" t="str">
        <f t="shared" si="65"/>
        <v/>
      </c>
    </row>
    <row r="2057" spans="1:7" ht="15" hidden="1" customHeight="1" x14ac:dyDescent="0.3">
      <c r="A2057" t="s">
        <v>180</v>
      </c>
      <c r="B2057" s="2">
        <v>45383</v>
      </c>
      <c r="C2057" t="str" cm="1">
        <f t="array" ref="C2057">IFERROR(IF(SUMPRODUCT((measured[Site Name]=A2057)*(measured[Date]=B2057)*ISNUMBER(measured[Measured Value (kWh)]))=0,"",SUMIFS(measured[Measured Value (kWh)],measured[Site Name],A2057,measured[Date],B2057)),"")</f>
        <v/>
      </c>
      <c r="D2057" cm="1">
        <f t="array" ref="D2057">IFERROR(IF(SUMPRODUCT((expected_production[Site Name]=A2057)*(expected_production[Date]=B2057)*ISNUMBER(expected_production[Expected Production (kWh)]))=0,"",SUMIFS(expected_production[Expected Production (kWh)],expected_production[Site Name],A2057,expected_production[Date],B2057)),"")</f>
        <v>17181.900000000001</v>
      </c>
      <c r="E2057" s="9" t="str">
        <f t="shared" si="64"/>
        <v/>
      </c>
      <c r="F2057" t="str">
        <f t="shared" si="65"/>
        <v/>
      </c>
    </row>
    <row r="2058" spans="1:7" ht="15" hidden="1" customHeight="1" x14ac:dyDescent="0.3">
      <c r="A2058" t="s">
        <v>180</v>
      </c>
      <c r="B2058" s="2">
        <v>45413</v>
      </c>
      <c r="C2058" t="str" cm="1">
        <f t="array" ref="C2058">IFERROR(IF(SUMPRODUCT((measured[Site Name]=A2058)*(measured[Date]=B2058)*ISNUMBER(measured[Measured Value (kWh)]))=0,"",SUMIFS(measured[Measured Value (kWh)],measured[Site Name],A2058,measured[Date],B2058)),"")</f>
        <v/>
      </c>
      <c r="D2058" cm="1">
        <f t="array" ref="D2058">IFERROR(IF(SUMPRODUCT((expected_production[Site Name]=A2058)*(expected_production[Date]=B2058)*ISNUMBER(expected_production[Expected Production (kWh)]))=0,"",SUMIFS(expected_production[Expected Production (kWh)],expected_production[Site Name],A2058,expected_production[Date],B2058)),"")</f>
        <v>15369.3</v>
      </c>
      <c r="E2058" s="9" t="str">
        <f t="shared" si="64"/>
        <v/>
      </c>
      <c r="F2058" t="str">
        <f t="shared" si="65"/>
        <v/>
      </c>
    </row>
    <row r="2059" spans="1:7" ht="15" hidden="1" customHeight="1" x14ac:dyDescent="0.3">
      <c r="A2059" t="s">
        <v>180</v>
      </c>
      <c r="B2059" s="2">
        <v>45444</v>
      </c>
      <c r="C2059" t="str" cm="1">
        <f t="array" ref="C2059">IFERROR(IF(SUMPRODUCT((measured[Site Name]=A2059)*(measured[Date]=B2059)*ISNUMBER(measured[Measured Value (kWh)]))=0,"",SUMIFS(measured[Measured Value (kWh)],measured[Site Name],A2059,measured[Date],B2059)),"")</f>
        <v/>
      </c>
      <c r="D2059" cm="1">
        <f t="array" ref="D2059">IFERROR(IF(SUMPRODUCT((expected_production[Site Name]=A2059)*(expected_production[Date]=B2059)*ISNUMBER(expected_production[Expected Production (kWh)]))=0,"",SUMIFS(expected_production[Expected Production (kWh)],expected_production[Site Name],A2059,expected_production[Date],B2059)),"")</f>
        <v>13381.2</v>
      </c>
      <c r="E2059" s="9" t="str">
        <f t="shared" si="64"/>
        <v/>
      </c>
      <c r="F2059" t="str">
        <f t="shared" si="65"/>
        <v/>
      </c>
    </row>
    <row r="2060" spans="1:7" ht="15" hidden="1" customHeight="1" x14ac:dyDescent="0.3">
      <c r="A2060" t="s">
        <v>180</v>
      </c>
      <c r="B2060" s="2">
        <v>45474</v>
      </c>
      <c r="C2060" t="str" cm="1">
        <f t="array" ref="C2060">IFERROR(IF(SUMPRODUCT((measured[Site Name]=A2060)*(measured[Date]=B2060)*ISNUMBER(measured[Measured Value (kWh)]))=0,"",SUMIFS(measured[Measured Value (kWh)],measured[Site Name],A2060,measured[Date],B2060)),"")</f>
        <v/>
      </c>
      <c r="D2060" cm="1">
        <f t="array" ref="D2060">IFERROR(IF(SUMPRODUCT((expected_production[Site Name]=A2060)*(expected_production[Date]=B2060)*ISNUMBER(expected_production[Expected Production (kWh)]))=0,"",SUMIFS(expected_production[Expected Production (kWh)],expected_production[Site Name],A2060,expected_production[Date],B2060)),"")</f>
        <v>15023.7</v>
      </c>
      <c r="E2060" s="9" t="str">
        <f t="shared" si="64"/>
        <v/>
      </c>
      <c r="F2060" t="str">
        <f t="shared" si="65"/>
        <v/>
      </c>
    </row>
    <row r="2061" spans="1:7" ht="15" hidden="1" customHeight="1" x14ac:dyDescent="0.3">
      <c r="A2061" t="s">
        <v>180</v>
      </c>
      <c r="B2061" s="2">
        <v>45505</v>
      </c>
      <c r="C2061" t="str" cm="1">
        <f t="array" ref="C2061">IFERROR(IF(SUMPRODUCT((measured[Site Name]=A2061)*(measured[Date]=B2061)*ISNUMBER(measured[Measured Value (kWh)]))=0,"",SUMIFS(measured[Measured Value (kWh)],measured[Site Name],A2061,measured[Date],B2061)),"")</f>
        <v/>
      </c>
      <c r="D2061" cm="1">
        <f t="array" ref="D2061">IFERROR(IF(SUMPRODUCT((expected_production[Site Name]=A2061)*(expected_production[Date]=B2061)*ISNUMBER(expected_production[Expected Production (kWh)]))=0,"",SUMIFS(expected_production[Expected Production (kWh)],expected_production[Site Name],A2061,expected_production[Date],B2061)),"")</f>
        <v>18071.099999999999</v>
      </c>
      <c r="E2061" s="9" t="str">
        <f t="shared" si="64"/>
        <v/>
      </c>
      <c r="F2061" t="str">
        <f t="shared" si="65"/>
        <v/>
      </c>
    </row>
    <row r="2062" spans="1:7" ht="15" hidden="1" customHeight="1" x14ac:dyDescent="0.3">
      <c r="A2062" t="s">
        <v>180</v>
      </c>
      <c r="B2062" s="2">
        <v>45536</v>
      </c>
      <c r="C2062" t="str" cm="1">
        <f t="array" ref="C2062">IFERROR(IF(SUMPRODUCT((measured[Site Name]=A2062)*(measured[Date]=B2062)*ISNUMBER(measured[Measured Value (kWh)]))=0,"",SUMIFS(measured[Measured Value (kWh)],measured[Site Name],A2062,measured[Date],B2062)),"")</f>
        <v/>
      </c>
      <c r="D2062" cm="1">
        <f t="array" ref="D2062">IFERROR(IF(SUMPRODUCT((expected_production[Site Name]=A2062)*(expected_production[Date]=B2062)*ISNUMBER(expected_production[Expected Production (kWh)]))=0,"",SUMIFS(expected_production[Expected Production (kWh)],expected_production[Site Name],A2062,expected_production[Date],B2062)),"")</f>
        <v>20545.2</v>
      </c>
      <c r="E2062" s="9" t="str">
        <f t="shared" si="64"/>
        <v/>
      </c>
      <c r="F2062" t="str">
        <f t="shared" si="65"/>
        <v/>
      </c>
    </row>
    <row r="2063" spans="1:7" ht="15" hidden="1" customHeight="1" x14ac:dyDescent="0.3">
      <c r="A2063" t="s">
        <v>180</v>
      </c>
      <c r="B2063" s="2">
        <v>45566</v>
      </c>
      <c r="C2063" t="str" cm="1">
        <f t="array" ref="C2063">IFERROR(IF(SUMPRODUCT((measured[Site Name]=A2063)*(measured[Date]=B2063)*ISNUMBER(measured[Measured Value (kWh)]))=0,"",SUMIFS(measured[Measured Value (kWh)],measured[Site Name],A2063,measured[Date],B2063)),"")</f>
        <v/>
      </c>
      <c r="D2063" cm="1">
        <f t="array" ref="D2063">IFERROR(IF(SUMPRODUCT((expected_production[Site Name]=A2063)*(expected_production[Date]=B2063)*ISNUMBER(expected_production[Expected Production (kWh)]))=0,"",SUMIFS(expected_production[Expected Production (kWh)],expected_production[Site Name],A2063,expected_production[Date],B2063)),"")</f>
        <v>23411.7</v>
      </c>
      <c r="E2063" s="9" t="str">
        <f t="shared" si="64"/>
        <v/>
      </c>
      <c r="F2063" t="str">
        <f t="shared" si="65"/>
        <v/>
      </c>
    </row>
    <row r="2064" spans="1:7" ht="15" hidden="1" customHeight="1" x14ac:dyDescent="0.3">
      <c r="A2064" t="s">
        <v>180</v>
      </c>
      <c r="B2064" s="2">
        <v>45597</v>
      </c>
      <c r="C2064" t="str" cm="1">
        <f t="array" ref="C2064">IFERROR(IF(SUMPRODUCT((measured[Site Name]=A2064)*(measured[Date]=B2064)*ISNUMBER(measured[Measured Value (kWh)]))=0,"",SUMIFS(measured[Measured Value (kWh)],measured[Site Name],A2064,measured[Date],B2064)),"")</f>
        <v/>
      </c>
      <c r="D2064" cm="1">
        <f t="array" ref="D2064">IFERROR(IF(SUMPRODUCT((expected_production[Site Name]=A2064)*(expected_production[Date]=B2064)*ISNUMBER(expected_production[Expected Production (kWh)]))=0,"",SUMIFS(expected_production[Expected Production (kWh)],expected_production[Site Name],A2064,expected_production[Date],B2064)),"")</f>
        <v>23583.599999999999</v>
      </c>
      <c r="E2064" s="9" t="str">
        <f t="shared" si="64"/>
        <v/>
      </c>
      <c r="F2064" t="str">
        <f t="shared" si="65"/>
        <v/>
      </c>
    </row>
    <row r="2065" spans="1:6" ht="15" hidden="1" customHeight="1" x14ac:dyDescent="0.3">
      <c r="A2065" t="s">
        <v>180</v>
      </c>
      <c r="B2065" s="2">
        <v>45627</v>
      </c>
      <c r="C2065" t="str" cm="1">
        <f t="array" ref="C2065">IFERROR(IF(SUMPRODUCT((measured[Site Name]=A2065)*(measured[Date]=B2065)*ISNUMBER(measured[Measured Value (kWh)]))=0,"",SUMIFS(measured[Measured Value (kWh)],measured[Site Name],A2065,measured[Date],B2065)),"")</f>
        <v/>
      </c>
      <c r="D2065" cm="1">
        <f t="array" ref="D2065">IFERROR(IF(SUMPRODUCT((expected_production[Site Name]=A2065)*(expected_production[Date]=B2065)*ISNUMBER(expected_production[Expected Production (kWh)]))=0,"",SUMIFS(expected_production[Expected Production (kWh)],expected_production[Site Name],A2065,expected_production[Date],B2065)),"")</f>
        <v>24027.3</v>
      </c>
      <c r="E2065" s="9" t="str">
        <f t="shared" si="64"/>
        <v/>
      </c>
      <c r="F2065" t="str">
        <f t="shared" si="65"/>
        <v/>
      </c>
    </row>
    <row r="2066" spans="1:6" ht="15" hidden="1" customHeight="1" x14ac:dyDescent="0.3">
      <c r="A2066" t="s">
        <v>180</v>
      </c>
      <c r="B2066" s="2">
        <v>45658</v>
      </c>
      <c r="C2066" cm="1">
        <f t="array" ref="C2066">IFERROR(IF(SUMPRODUCT((measured[Site Name]=A2066)*(measured[Date]=B2066)*ISNUMBER(measured[Measured Value (kWh)]))=0,"",SUMIFS(measured[Measured Value (kWh)],measured[Site Name],A2066,measured[Date],B2066)),"")</f>
        <v>10100</v>
      </c>
      <c r="D2066" cm="1">
        <f t="array" ref="D2066">IFERROR(IF(SUMPRODUCT((expected_production[Site Name]=A2066)*(expected_production[Date]=B2066)*ISNUMBER(expected_production[Expected Production (kWh)]))=0,"",SUMIFS(expected_production[Expected Production (kWh)],expected_production[Site Name],A2066,expected_production[Date],B2066)),"")</f>
        <v>23724</v>
      </c>
      <c r="E2066" s="9">
        <f t="shared" si="64"/>
        <v>0.4257292193559265</v>
      </c>
      <c r="F2066" t="str">
        <f t="shared" si="65"/>
        <v>Poor</v>
      </c>
    </row>
    <row r="2067" spans="1:6" ht="15" hidden="1" customHeight="1" x14ac:dyDescent="0.3">
      <c r="A2067" t="s">
        <v>180</v>
      </c>
      <c r="B2067" s="2">
        <v>45689</v>
      </c>
      <c r="C2067" cm="1">
        <f t="array" ref="C2067">IFERROR(IF(SUMPRODUCT((measured[Site Name]=A2067)*(measured[Date]=B2067)*ISNUMBER(measured[Measured Value (kWh)]))=0,"",SUMIFS(measured[Measured Value (kWh)],measured[Site Name],A2067,measured[Date],B2067)),"")</f>
        <v>12001</v>
      </c>
      <c r="D2067" cm="1">
        <f t="array" ref="D2067">IFERROR(IF(SUMPRODUCT((expected_production[Site Name]=A2067)*(expected_production[Date]=B2067)*ISNUMBER(expected_production[Expected Production (kWh)]))=0,"",SUMIFS(expected_production[Expected Production (kWh)],expected_production[Site Name],A2067,expected_production[Date],B2067)),"")</f>
        <v>20438.956950241973</v>
      </c>
      <c r="E2067" s="9">
        <f t="shared" si="64"/>
        <v>0.58716303523785851</v>
      </c>
      <c r="F2067" t="str">
        <f t="shared" si="65"/>
        <v>Poor</v>
      </c>
    </row>
    <row r="2068" spans="1:6" ht="15" hidden="1" customHeight="1" x14ac:dyDescent="0.3">
      <c r="A2068" t="s">
        <v>180</v>
      </c>
      <c r="B2068" s="2">
        <v>45717</v>
      </c>
      <c r="C2068" cm="1">
        <f t="array" ref="C2068">IFERROR(IF(SUMPRODUCT((measured[Site Name]=A2068)*(measured[Date]=B2068)*ISNUMBER(measured[Measured Value (kWh)]))=0,"",SUMIFS(measured[Measured Value (kWh)],measured[Site Name],A2068,measured[Date],B2068)),"")</f>
        <v>13213</v>
      </c>
      <c r="D2068" cm="1">
        <f t="array" ref="D2068">IFERROR(IF(SUMPRODUCT((expected_production[Site Name]=A2068)*(expected_production[Date]=B2068)*ISNUMBER(expected_production[Expected Production (kWh)]))=0,"",SUMIFS(expected_production[Expected Production (kWh)],expected_production[Site Name],A2068,expected_production[Date],B2068)),"")</f>
        <v>19966.706054085178</v>
      </c>
      <c r="E2068" s="9">
        <f t="shared" si="64"/>
        <v>0.6617516161258169</v>
      </c>
      <c r="F2068" t="str">
        <f t="shared" si="65"/>
        <v>Poor</v>
      </c>
    </row>
    <row r="2069" spans="1:6" ht="15" hidden="1" customHeight="1" x14ac:dyDescent="0.3">
      <c r="A2069" t="s">
        <v>180</v>
      </c>
      <c r="B2069" s="2">
        <v>45748</v>
      </c>
      <c r="C2069" cm="1">
        <f t="array" ref="C2069">IFERROR(IF(SUMPRODUCT((measured[Site Name]=A2069)*(measured[Date]=B2069)*ISNUMBER(measured[Measured Value (kWh)]))=0,"",SUMIFS(measured[Measured Value (kWh)],measured[Site Name],A2069,measured[Date],B2069)),"")</f>
        <v>9636</v>
      </c>
      <c r="D2069" cm="1">
        <f t="array" ref="D2069">IFERROR(IF(SUMPRODUCT((expected_production[Site Name]=A2069)*(expected_production[Date]=B2069)*ISNUMBER(expected_production[Expected Production (kWh)]))=0,"",SUMIFS(expected_production[Expected Production (kWh)],expected_production[Site Name],A2069,expected_production[Date],B2069)),"")</f>
        <v>17154.824596965183</v>
      </c>
      <c r="E2069" s="9">
        <f t="shared" si="64"/>
        <v>0.56170787089858565</v>
      </c>
      <c r="F2069" t="str">
        <f t="shared" si="65"/>
        <v>Poor</v>
      </c>
    </row>
    <row r="2070" spans="1:6" ht="15" hidden="1" customHeight="1" x14ac:dyDescent="0.3">
      <c r="A2070" t="s">
        <v>180</v>
      </c>
      <c r="B2070" s="2">
        <v>45778</v>
      </c>
      <c r="C2070" cm="1">
        <f t="array" ref="C2070">IFERROR(IF(SUMPRODUCT((measured[Site Name]=A2070)*(measured[Date]=B2070)*ISNUMBER(measured[Measured Value (kWh)]))=0,"",SUMIFS(measured[Measured Value (kWh)],measured[Site Name],A2070,measured[Date],B2070)),"")</f>
        <v>10261</v>
      </c>
      <c r="D2070" cm="1">
        <f t="array" ref="D2070">IFERROR(IF(SUMPRODUCT((expected_production[Site Name]=A2070)*(expected_production[Date]=B2070)*ISNUMBER(expected_production[Expected Production (kWh)]))=0,"",SUMIFS(expected_production[Expected Production (kWh)],expected_production[Site Name],A2070,expected_production[Date],B2070)),"")</f>
        <v>15336.229805241745</v>
      </c>
      <c r="E2070" s="9">
        <f t="shared" ref="E2070:E2133" si="66">IF(OR(C2070="",D2070="",D2070=0),"",C2070/D2070)</f>
        <v>0.66906926476107642</v>
      </c>
      <c r="F2070" t="str">
        <f t="shared" ref="F2070:F2133" si="67">IF(E2070="","",IF(E2070&gt;=0.9,"Expected",IF(E2070&gt;=0.7,"Moderate","Poor")))</f>
        <v>Poor</v>
      </c>
    </row>
    <row r="2071" spans="1:6" ht="15" hidden="1" customHeight="1" x14ac:dyDescent="0.3">
      <c r="A2071" t="s">
        <v>180</v>
      </c>
      <c r="B2071" s="2">
        <v>45809</v>
      </c>
      <c r="C2071" cm="1">
        <f t="array" ref="C2071">IFERROR(IF(SUMPRODUCT((measured[Site Name]=A2071)*(measured[Date]=B2071)*ISNUMBER(measured[Measured Value (kWh)]))=0,"",SUMIFS(measured[Measured Value (kWh)],measured[Site Name],A2071,measured[Date],B2071)),"")</f>
        <v>11348.4</v>
      </c>
      <c r="D2071" cm="1">
        <f t="array" ref="D2071">IFERROR(IF(SUMPRODUCT((expected_production[Site Name]=A2071)*(expected_production[Date]=B2071)*ISNUMBER(expected_production[Expected Production (kWh)]))=0,"",SUMIFS(expected_production[Expected Production (kWh)],expected_production[Site Name],A2071,expected_production[Date],B2071)),"")</f>
        <v>13344.449239504956</v>
      </c>
      <c r="E2071" s="9">
        <f t="shared" si="66"/>
        <v>0.85042100998849424</v>
      </c>
      <c r="F2071" t="str">
        <f t="shared" si="67"/>
        <v>Moderate</v>
      </c>
    </row>
    <row r="2072" spans="1:6" ht="15" hidden="1" customHeight="1" x14ac:dyDescent="0.3">
      <c r="A2072" t="s">
        <v>180</v>
      </c>
      <c r="B2072" s="2">
        <v>45839</v>
      </c>
      <c r="C2072" cm="1">
        <f t="array" ref="C2072">IFERROR(IF(SUMPRODUCT((measured[Site Name]=A2072)*(measured[Date]=B2072)*ISNUMBER(measured[Measured Value (kWh)]))=0,"",SUMIFS(measured[Measured Value (kWh)],measured[Site Name],A2072,measured[Date],B2072)),"")</f>
        <v>14705</v>
      </c>
      <c r="D2072" cm="1">
        <f t="array" ref="D2072">IFERROR(IF(SUMPRODUCT((expected_production[Site Name]=A2072)*(expected_production[Date]=B2072)*ISNUMBER(expected_production[Expected Production (kWh)]))=0,"",SUMIFS(expected_production[Expected Production (kWh)],expected_production[Site Name],A2072,expected_production[Date],B2072)),"")</f>
        <v>14973.796269386607</v>
      </c>
      <c r="E2072" s="9">
        <f t="shared" si="66"/>
        <v>0.98204888963688175</v>
      </c>
      <c r="F2072" t="str">
        <f t="shared" si="67"/>
        <v>Expected</v>
      </c>
    </row>
    <row r="2073" spans="1:6" ht="15" hidden="1" customHeight="1" x14ac:dyDescent="0.3">
      <c r="A2073" t="s">
        <v>180</v>
      </c>
      <c r="B2073" s="2">
        <v>45870</v>
      </c>
      <c r="C2073" cm="1">
        <f t="array" ref="C2073">IFERROR(IF(SUMPRODUCT((measured[Site Name]=A2073)*(measured[Date]=B2073)*ISNUMBER(measured[Measured Value (kWh)]))=0,"",SUMIFS(measured[Measured Value (kWh)],measured[Site Name],A2073,measured[Date],B2073)),"")</f>
        <v>16958</v>
      </c>
      <c r="D2073" cm="1">
        <f t="array" ref="D2073">IFERROR(IF(SUMPRODUCT((expected_production[Site Name]=A2073)*(expected_production[Date]=B2073)*ISNUMBER(expected_production[Expected Production (kWh)]))=0,"",SUMIFS(expected_production[Expected Production (kWh)],expected_production[Site Name],A2073,expected_production[Date],B2073)),"")</f>
        <v>18000.338769228525</v>
      </c>
      <c r="E2073" s="9">
        <f t="shared" si="66"/>
        <v>0.94209338043068402</v>
      </c>
      <c r="F2073" t="str">
        <f t="shared" si="67"/>
        <v>Expected</v>
      </c>
    </row>
    <row r="2074" spans="1:6" ht="15" hidden="1" customHeight="1" x14ac:dyDescent="0.3">
      <c r="A2074" t="s">
        <v>180</v>
      </c>
      <c r="B2074" s="2">
        <v>45901</v>
      </c>
      <c r="C2074" cm="1">
        <f t="array" ref="C2074">IFERROR(IF(SUMPRODUCT((measured[Site Name]=A2074)*(measured[Date]=B2074)*ISNUMBER(measured[Measured Value (kWh)]))=0,"",SUMIFS(measured[Measured Value (kWh)],measured[Site Name],A2074,measured[Date],B2074)),"")</f>
        <v>17766</v>
      </c>
      <c r="D2074" cm="1">
        <f t="array" ref="D2074">IFERROR(IF(SUMPRODUCT((expected_production[Site Name]=A2074)*(expected_production[Date]=B2074)*ISNUMBER(expected_production[Expected Production (kWh)]))=0,"",SUMIFS(expected_production[Expected Production (kWh)],expected_production[Site Name],A2074,expected_production[Date],B2074)),"")</f>
        <v>20452.553400326589</v>
      </c>
      <c r="E2074" s="9">
        <f t="shared" si="66"/>
        <v>0.86864459670430738</v>
      </c>
      <c r="F2074" t="str">
        <f t="shared" si="67"/>
        <v>Moderate</v>
      </c>
    </row>
    <row r="2075" spans="1:6" ht="15" hidden="1" customHeight="1" x14ac:dyDescent="0.3">
      <c r="A2075" t="s">
        <v>180</v>
      </c>
      <c r="B2075" s="2">
        <v>45931</v>
      </c>
      <c r="C2075" cm="1">
        <f t="array" ref="C2075">IFERROR(IF(SUMPRODUCT((measured[Site Name]=A2075)*(measured[Date]=B2075)*ISNUMBER(measured[Measured Value (kWh)]))=0,"",SUMIFS(measured[Measured Value (kWh)],measured[Site Name],A2075,measured[Date],B2075)),"")</f>
        <v>22849</v>
      </c>
      <c r="D2075" cm="1">
        <f t="array" ref="D2075">IFERROR(IF(SUMPRODUCT((expected_production[Site Name]=A2075)*(expected_production[Date]=B2075)*ISNUMBER(expected_production[Expected Production (kWh)]))=0,"",SUMIFS(expected_production[Expected Production (kWh)],expected_production[Site Name],A2075,expected_production[Date],B2075)),"")</f>
        <v>23292.684127153665</v>
      </c>
      <c r="E2075" s="9">
        <f t="shared" si="66"/>
        <v>0.98095178191007892</v>
      </c>
      <c r="F2075" t="str">
        <f t="shared" si="67"/>
        <v>Expected</v>
      </c>
    </row>
    <row r="2076" spans="1:6" ht="15" hidden="1" customHeight="1" x14ac:dyDescent="0.3">
      <c r="A2076" t="s">
        <v>180</v>
      </c>
      <c r="B2076" s="2">
        <v>45962</v>
      </c>
      <c r="C2076" cm="1">
        <f t="array" ref="C2076">IFERROR(IF(SUMPRODUCT((measured[Site Name]=A2076)*(measured[Date]=B2076)*ISNUMBER(measured[Measured Value (kWh)]))=0,"",SUMIFS(measured[Measured Value (kWh)],measured[Site Name],A2076,measured[Date],B2076)),"")</f>
        <v>20014</v>
      </c>
      <c r="D2076" cm="1">
        <f t="array" ref="D2076">IFERROR(IF(SUMPRODUCT((expected_production[Site Name]=A2076)*(expected_production[Date]=B2076)*ISNUMBER(expected_production[Expected Production (kWh)]))=0,"",SUMIFS(expected_production[Expected Production (kWh)],expected_production[Site Name],A2076,expected_production[Date],B2076)),"")</f>
        <v>23449.725295395405</v>
      </c>
      <c r="E2076" s="9">
        <f t="shared" si="66"/>
        <v>0.85348547788446605</v>
      </c>
      <c r="F2076" t="str">
        <f t="shared" si="67"/>
        <v>Moderate</v>
      </c>
    </row>
    <row r="2077" spans="1:6" ht="15" hidden="1" customHeight="1" x14ac:dyDescent="0.3">
      <c r="A2077" t="s">
        <v>180</v>
      </c>
      <c r="B2077" s="2">
        <v>45992</v>
      </c>
      <c r="C2077" cm="1">
        <f t="array" ref="C2077">IFERROR(IF(SUMPRODUCT((measured[Site Name]=A2077)*(measured[Date]=B2077)*ISNUMBER(measured[Measured Value (kWh)]))=0,"",SUMIFS(measured[Measured Value (kWh)],measured[Site Name],A2077,measured[Date],B2077)),"")</f>
        <v>21334.1162</v>
      </c>
      <c r="D2077" cm="1">
        <f t="array" ref="D2077">IFERROR(IF(SUMPRODUCT((expected_production[Site Name]=A2077)*(expected_production[Date]=B2077)*ISNUMBER(expected_production[Expected Production (kWh)]))=0,"",SUMIFS(expected_production[Expected Production (kWh)],expected_production[Site Name],A2077,expected_production[Date],B2077)),"")</f>
        <v>23877.126216470471</v>
      </c>
      <c r="E2077" s="9">
        <f t="shared" si="66"/>
        <v>0.89349597629901123</v>
      </c>
      <c r="F2077" t="str">
        <f t="shared" si="67"/>
        <v>Moderate</v>
      </c>
    </row>
    <row r="2078" spans="1:6" ht="15" hidden="1" customHeight="1" x14ac:dyDescent="0.3">
      <c r="A2078" t="s">
        <v>180</v>
      </c>
      <c r="B2078" s="2">
        <v>46023</v>
      </c>
      <c r="C2078" cm="1">
        <f t="array" ref="C2078">IFERROR(IF(SUMPRODUCT((measured[Site Name]=A2078)*(measured[Date]=B2078)*ISNUMBER(measured[Measured Value (kWh)]))=0,"",SUMIFS(measured[Measured Value (kWh)],measured[Site Name],A2078,measured[Date],B2078)),"")</f>
        <v>23434</v>
      </c>
      <c r="D2078" cm="1">
        <f t="array" ref="D2078">IFERROR(IF(SUMPRODUCT((expected_production[Site Name]=A2078)*(expected_production[Date]=B2078)*ISNUMBER(expected_production[Expected Production (kWh)]))=0,"",SUMIFS(expected_production[Expected Production (kWh)],expected_production[Site Name],A2078,expected_production[Date],B2078)),"")</f>
        <v>23561.670159820402</v>
      </c>
      <c r="E2078" s="9">
        <f t="shared" si="66"/>
        <v>0.994581446945212</v>
      </c>
      <c r="F2078" t="str">
        <f t="shared" si="67"/>
        <v>Expected</v>
      </c>
    </row>
    <row r="2079" spans="1:6" ht="15" hidden="1" customHeight="1" x14ac:dyDescent="0.3">
      <c r="A2079" t="s">
        <v>180</v>
      </c>
      <c r="B2079" s="2">
        <v>46054</v>
      </c>
      <c r="C2079" cm="1">
        <f t="array" ref="C2079">IFERROR(IF(SUMPRODUCT((measured[Site Name]=A2079)*(measured[Date]=B2079)*ISNUMBER(measured[Measured Value (kWh)]))=0,"",SUMIFS(measured[Measured Value (kWh)],measured[Site Name],A2079,measured[Date],B2079)),"")</f>
        <v>21742.196199999998</v>
      </c>
      <c r="D2079" cm="1">
        <f t="array" ref="D2079">IFERROR(IF(SUMPRODUCT((expected_production[Site Name]=A2079)*(expected_production[Date]=B2079)*ISNUMBER(expected_production[Expected Production (kWh)]))=0,"",SUMIFS(expected_production[Expected Production (kWh)],expected_production[Site Name],A2079,expected_production[Date],B2079)),"")</f>
        <v>20295.981836199739</v>
      </c>
      <c r="E2079" s="9">
        <f t="shared" si="66"/>
        <v>1.0712561912733289</v>
      </c>
      <c r="F2079" t="str">
        <f t="shared" si="67"/>
        <v>Expected</v>
      </c>
    </row>
    <row r="2080" spans="1:6" ht="15" hidden="1" customHeight="1" x14ac:dyDescent="0.3">
      <c r="A2080" t="s">
        <v>180</v>
      </c>
      <c r="B2080" s="2">
        <v>46082</v>
      </c>
      <c r="C2080" cm="1">
        <f t="array" ref="C2080">IFERROR(IF(SUMPRODUCT((measured[Site Name]=A2080)*(measured[Date]=B2080)*ISNUMBER(measured[Measured Value (kWh)]))=0,"",SUMIFS(measured[Measured Value (kWh)],measured[Site Name],A2080,measured[Date],B2080)),"")</f>
        <v>18523</v>
      </c>
      <c r="D2080" cm="1">
        <f t="array" ref="D2080">IFERROR(IF(SUMPRODUCT((expected_production[Site Name]=A2080)*(expected_production[Date]=B2080)*ISNUMBER(expected_production[Expected Production (kWh)]))=0,"",SUMIFS(expected_production[Expected Production (kWh)],expected_production[Site Name],A2080,expected_production[Date],B2080)),"")</f>
        <v>19827.034441581643</v>
      </c>
      <c r="E2080" s="9">
        <f t="shared" si="66"/>
        <v>0.93422947615167318</v>
      </c>
      <c r="F2080" t="str">
        <f t="shared" si="67"/>
        <v>Expected</v>
      </c>
    </row>
    <row r="2081" spans="1:7" ht="15" hidden="1" customHeight="1" x14ac:dyDescent="0.3">
      <c r="A2081" t="s">
        <v>180</v>
      </c>
      <c r="B2081" s="2">
        <v>46113</v>
      </c>
      <c r="C2081" cm="1">
        <f t="array" ref="C2081">IFERROR(IF(SUMPRODUCT((measured[Site Name]=A2081)*(measured[Date]=B2081)*ISNUMBER(measured[Measured Value (kWh)]))=0,"",SUMIFS(measured[Measured Value (kWh)],measured[Site Name],A2081,measured[Date],B2081)),"")</f>
        <v>15379.43</v>
      </c>
      <c r="D2081" cm="1">
        <f t="array" ref="D2081">IFERROR(IF(SUMPRODUCT((expected_production[Site Name]=A2081)*(expected_production[Date]=B2081)*ISNUMBER(expected_production[Expected Production (kWh)]))=0,"",SUMIFS(expected_production[Expected Production (kWh)],expected_production[Site Name],A2081,expected_production[Date],B2081)),"")</f>
        <v>17034.822729497253</v>
      </c>
      <c r="E2081" s="9">
        <f t="shared" si="66"/>
        <v>0.90282301402345688</v>
      </c>
      <c r="F2081" t="str">
        <f t="shared" si="67"/>
        <v>Expected</v>
      </c>
    </row>
    <row r="2082" spans="1:7" ht="15" hidden="1" customHeight="1" x14ac:dyDescent="0.3">
      <c r="A2082" t="s">
        <v>180</v>
      </c>
      <c r="B2082" s="2">
        <v>46143</v>
      </c>
      <c r="C2082" cm="1">
        <f t="array" ref="C2082">IFERROR(IF(SUMPRODUCT((measured[Site Name]=A2082)*(measured[Date]=B2082)*ISNUMBER(measured[Measured Value (kWh)]))=0,"",SUMIFS(measured[Measured Value (kWh)],measured[Site Name],A2082,measured[Date],B2082)),"")</f>
        <v>15576.52</v>
      </c>
      <c r="D2082" cm="1">
        <f t="array" ref="D2082">IFERROR(IF(SUMPRODUCT((expected_production[Site Name]=A2082)*(expected_production[Date]=B2082)*ISNUMBER(expected_production[Expected Production (kWh)]))=0,"",SUMIFS(expected_production[Expected Production (kWh)],expected_production[Site Name],A2082,expected_production[Date],B2082)),"")</f>
        <v>15228.949418540973</v>
      </c>
      <c r="E2082" s="9">
        <f t="shared" si="66"/>
        <v>1.0228230176558251</v>
      </c>
      <c r="F2082" t="str">
        <f t="shared" si="67"/>
        <v>Expected</v>
      </c>
    </row>
    <row r="2083" spans="1:7" ht="15" hidden="1" customHeight="1" x14ac:dyDescent="0.3">
      <c r="A2083" t="s">
        <v>180</v>
      </c>
      <c r="B2083" s="2">
        <v>46174</v>
      </c>
      <c r="C2083" cm="1">
        <f t="array" ref="C2083">IFERROR(IF(SUMPRODUCT((measured[Site Name]=A2083)*(measured[Date]=B2083)*ISNUMBER(measured[Measured Value (kWh)]))=0,"",SUMIFS(measured[Measured Value (kWh)],measured[Site Name],A2083,measured[Date],B2083)),"")</f>
        <v>12252.53</v>
      </c>
      <c r="D2083" cm="1">
        <f t="array" ref="D2083">IFERROR(IF(SUMPRODUCT((expected_production[Site Name]=A2083)*(expected_production[Date]=B2083)*ISNUMBER(expected_production[Expected Production (kWh)]))=0,"",SUMIFS(expected_production[Expected Production (kWh)],expected_production[Site Name],A2083,expected_production[Date],B2083)),"")</f>
        <v>13251.101807124045</v>
      </c>
      <c r="E2083" s="9">
        <f t="shared" si="66"/>
        <v>0.92464235641241599</v>
      </c>
      <c r="F2083" t="str">
        <f t="shared" si="67"/>
        <v>Expected</v>
      </c>
    </row>
    <row r="2084" spans="1:7" ht="15" hidden="1" customHeight="1" x14ac:dyDescent="0.3">
      <c r="A2084" t="s">
        <v>180</v>
      </c>
      <c r="B2084" s="2">
        <v>46204</v>
      </c>
      <c r="C2084" cm="1">
        <f t="array" ref="C2084">IFERROR(IF(SUMPRODUCT((measured[Site Name]=A2084)*(measured[Date]=B2084)*ISNUMBER(measured[Measured Value (kWh)]))=0,"",SUMIFS(measured[Measured Value (kWh)],measured[Site Name],A2084,measured[Date],B2084)),"")</f>
        <v>13658</v>
      </c>
      <c r="D2084" cm="1">
        <f t="array" ref="D2084">IFERROR(IF(SUMPRODUCT((expected_production[Site Name]=A2084)*(expected_production[Date]=B2084)*ISNUMBER(expected_production[Expected Production (kWh)]))=0,"",SUMIFS(expected_production[Expected Production (kWh)],expected_production[Site Name],A2084,expected_production[Date],B2084)),"")</f>
        <v>14869.051187019018</v>
      </c>
      <c r="E2084" s="9">
        <f t="shared" si="66"/>
        <v>0.91855222153809712</v>
      </c>
      <c r="F2084" t="str">
        <f t="shared" si="67"/>
        <v>Expected</v>
      </c>
      <c r="G2084" t="s">
        <v>874</v>
      </c>
    </row>
    <row r="2085" spans="1:7" ht="15" hidden="1" customHeight="1" x14ac:dyDescent="0.3">
      <c r="A2085" t="s">
        <v>180</v>
      </c>
      <c r="B2085" s="2">
        <v>46235</v>
      </c>
      <c r="C2085" cm="1">
        <f t="array" ref="C2085">IFERROR(IF(SUMPRODUCT((measured[Site Name]=A2085)*(measured[Date]=B2085)*ISNUMBER(measured[Measured Value (kWh)]))=0,"",SUMIFS(measured[Measured Value (kWh)],measured[Site Name],A2085,measured[Date],B2085)),"")</f>
        <v>17067.580000000002</v>
      </c>
      <c r="D2085" cm="1">
        <f t="array" ref="D2085">IFERROR(IF(SUMPRODUCT((expected_production[Site Name]=A2085)*(expected_production[Date]=B2085)*ISNUMBER(expected_production[Expected Production (kWh)]))=0,"",SUMIFS(expected_production[Expected Production (kWh)],expected_production[Site Name],A2085,expected_production[Date],B2085)),"")</f>
        <v>17874.422339412922</v>
      </c>
      <c r="E2085" s="9">
        <f t="shared" si="66"/>
        <v>0.95486050826751245</v>
      </c>
      <c r="F2085" t="str">
        <f t="shared" si="67"/>
        <v>Expected</v>
      </c>
      <c r="G2085" t="s">
        <v>874</v>
      </c>
    </row>
    <row r="2086" spans="1:7" ht="15" customHeight="1" x14ac:dyDescent="0.3">
      <c r="A2086" t="s">
        <v>180</v>
      </c>
      <c r="B2086" s="2">
        <v>46266</v>
      </c>
      <c r="C2086" cm="1">
        <f t="array" ref="C2086">IFERROR(IF(SUMPRODUCT((measured[Site Name]=A2086)*(measured[Date]=B2086)*ISNUMBER(measured[Measured Value (kWh)]))=0,"",SUMIFS(measured[Measured Value (kWh)],measured[Site Name],A2086,measured[Date],B2086)),"")</f>
        <v>18587.259999999998</v>
      </c>
      <c r="D2086" cm="1">
        <f t="array" ref="D2086">IFERROR(IF(SUMPRODUCT((expected_production[Site Name]=A2086)*(expected_production[Date]=B2086)*ISNUMBER(expected_production[Expected Production (kWh)]))=0,"",SUMIFS(expected_production[Expected Production (kWh)],expected_production[Site Name],A2086,expected_production[Date],B2086)),"")</f>
        <v>20309.483176049223</v>
      </c>
      <c r="E2086" s="9">
        <f t="shared" si="66"/>
        <v>0.91520103386578411</v>
      </c>
      <c r="F2086" t="str">
        <f t="shared" si="67"/>
        <v>Expected</v>
      </c>
      <c r="G2086" t="s">
        <v>874</v>
      </c>
    </row>
    <row r="2087" spans="1:7" ht="15" hidden="1" customHeight="1" x14ac:dyDescent="0.3">
      <c r="A2087" t="s">
        <v>180</v>
      </c>
      <c r="B2087" s="2">
        <v>46296</v>
      </c>
      <c r="C2087" t="str" cm="1">
        <f t="array" ref="C2087">IFERROR(IF(SUMPRODUCT((measured[Site Name]=A2087)*(measured[Date]=B2087)*ISNUMBER(measured[Measured Value (kWh)]))=0,"",SUMIFS(measured[Measured Value (kWh)],measured[Site Name],A2087,measured[Date],B2087)),"")</f>
        <v/>
      </c>
      <c r="D2087" cm="1">
        <f t="array" ref="D2087">IFERROR(IF(SUMPRODUCT((expected_production[Site Name]=A2087)*(expected_production[Date]=B2087)*ISNUMBER(expected_production[Expected Production (kWh)]))=0,"",SUMIFS(expected_production[Expected Production (kWh)],expected_production[Site Name],A2087,expected_production[Date],B2087)),"")</f>
        <v>23129.746547827235</v>
      </c>
      <c r="E2087" s="9" t="str">
        <f t="shared" si="66"/>
        <v/>
      </c>
      <c r="F2087" t="str">
        <f t="shared" si="67"/>
        <v/>
      </c>
    </row>
    <row r="2088" spans="1:7" ht="15" hidden="1" customHeight="1" x14ac:dyDescent="0.3">
      <c r="A2088" t="s">
        <v>180</v>
      </c>
      <c r="B2088" s="2">
        <v>46327</v>
      </c>
      <c r="C2088" t="str" cm="1">
        <f t="array" ref="C2088">IFERROR(IF(SUMPRODUCT((measured[Site Name]=A2088)*(measured[Date]=B2088)*ISNUMBER(measured[Measured Value (kWh)]))=0,"",SUMIFS(measured[Measured Value (kWh)],measured[Site Name],A2088,measured[Date],B2088)),"")</f>
        <v/>
      </c>
      <c r="D2088" cm="1">
        <f t="array" ref="D2088">IFERROR(IF(SUMPRODUCT((expected_production[Site Name]=A2088)*(expected_production[Date]=B2088)*ISNUMBER(expected_production[Expected Production (kWh)]))=0,"",SUMIFS(expected_production[Expected Production (kWh)],expected_production[Site Name],A2088,expected_production[Date],B2088)),"")</f>
        <v>23285.689177675191</v>
      </c>
      <c r="E2088" s="9" t="str">
        <f t="shared" si="66"/>
        <v/>
      </c>
      <c r="F2088" t="str">
        <f t="shared" si="67"/>
        <v/>
      </c>
    </row>
    <row r="2089" spans="1:7" ht="15" hidden="1" customHeight="1" x14ac:dyDescent="0.3">
      <c r="A2089" t="s">
        <v>180</v>
      </c>
      <c r="B2089" s="2">
        <v>46357</v>
      </c>
      <c r="C2089" t="str" cm="1">
        <f t="array" ref="C2089">IFERROR(IF(SUMPRODUCT((measured[Site Name]=A2089)*(measured[Date]=B2089)*ISNUMBER(measured[Measured Value (kWh)]))=0,"",SUMIFS(measured[Measured Value (kWh)],measured[Site Name],A2089,measured[Date],B2089)),"")</f>
        <v/>
      </c>
      <c r="D2089" cm="1">
        <f t="array" ref="D2089">IFERROR(IF(SUMPRODUCT((expected_production[Site Name]=A2089)*(expected_production[Date]=B2089)*ISNUMBER(expected_production[Expected Production (kWh)]))=0,"",SUMIFS(expected_production[Expected Production (kWh)],expected_production[Site Name],A2089,expected_production[Date],B2089)),"")</f>
        <v>23710.100332903534</v>
      </c>
      <c r="E2089" s="9" t="str">
        <f t="shared" si="66"/>
        <v/>
      </c>
      <c r="F2089" t="str">
        <f t="shared" si="67"/>
        <v/>
      </c>
    </row>
    <row r="2090" spans="1:7" ht="15" hidden="1" customHeight="1" x14ac:dyDescent="0.3">
      <c r="A2090" t="s">
        <v>241</v>
      </c>
      <c r="B2090" s="2">
        <v>45292</v>
      </c>
      <c r="C2090" t="str" cm="1">
        <f t="array" ref="C2090">IFERROR(IF(SUMPRODUCT((measured[Site Name]=A2090)*(measured[Date]=B2090)*ISNUMBER(measured[Measured Value (kWh)]))=0,"",SUMIFS(measured[Measured Value (kWh)],measured[Site Name],A2090,measured[Date],B2090)),"")</f>
        <v/>
      </c>
      <c r="D2090" cm="1">
        <f t="array" ref="D2090">IFERROR(IF(SUMPRODUCT((expected_production[Site Name]=A2090)*(expected_production[Date]=B2090)*ISNUMBER(expected_production[Expected Production (kWh)]))=0,"",SUMIFS(expected_production[Expected Production (kWh)],expected_production[Site Name],A2090,expected_production[Date],B2090)),"")</f>
        <v>28380.6</v>
      </c>
      <c r="E2090" s="9" t="str">
        <f t="shared" si="66"/>
        <v/>
      </c>
      <c r="F2090" t="str">
        <f t="shared" si="67"/>
        <v/>
      </c>
    </row>
    <row r="2091" spans="1:7" ht="15" hidden="1" customHeight="1" x14ac:dyDescent="0.3">
      <c r="A2091" t="s">
        <v>241</v>
      </c>
      <c r="B2091" s="2">
        <v>45323</v>
      </c>
      <c r="C2091" t="str" cm="1">
        <f t="array" ref="C2091">IFERROR(IF(SUMPRODUCT((measured[Site Name]=A2091)*(measured[Date]=B2091)*ISNUMBER(measured[Measured Value (kWh)]))=0,"",SUMIFS(measured[Measured Value (kWh)],measured[Site Name],A2091,measured[Date],B2091)),"")</f>
        <v/>
      </c>
      <c r="D2091" cm="1">
        <f t="array" ref="D2091">IFERROR(IF(SUMPRODUCT((expected_production[Site Name]=A2091)*(expected_production[Date]=B2091)*ISNUMBER(expected_production[Expected Production (kWh)]))=0,"",SUMIFS(expected_production[Expected Production (kWh)],expected_production[Site Name],A2091,expected_production[Date],B2091)),"")</f>
        <v>24379.200000000001</v>
      </c>
      <c r="E2091" s="9" t="str">
        <f t="shared" si="66"/>
        <v/>
      </c>
      <c r="F2091" t="str">
        <f t="shared" si="67"/>
        <v/>
      </c>
    </row>
    <row r="2092" spans="1:7" ht="15" hidden="1" customHeight="1" x14ac:dyDescent="0.3">
      <c r="A2092" t="s">
        <v>241</v>
      </c>
      <c r="B2092" s="2">
        <v>45352</v>
      </c>
      <c r="C2092" t="str" cm="1">
        <f t="array" ref="C2092">IFERROR(IF(SUMPRODUCT((measured[Site Name]=A2092)*(measured[Date]=B2092)*ISNUMBER(measured[Measured Value (kWh)]))=0,"",SUMIFS(measured[Measured Value (kWh)],measured[Site Name],A2092,measured[Date],B2092)),"")</f>
        <v/>
      </c>
      <c r="D2092" cm="1">
        <f t="array" ref="D2092">IFERROR(IF(SUMPRODUCT((expected_production[Site Name]=A2092)*(expected_production[Date]=B2092)*ISNUMBER(expected_production[Expected Production (kWh)]))=0,"",SUMIFS(expected_production[Expected Production (kWh)],expected_production[Site Name],A2092,expected_production[Date],B2092)),"")</f>
        <v>23351.4</v>
      </c>
      <c r="E2092" s="9" t="str">
        <f t="shared" si="66"/>
        <v/>
      </c>
      <c r="F2092" t="str">
        <f t="shared" si="67"/>
        <v/>
      </c>
    </row>
    <row r="2093" spans="1:7" ht="15" hidden="1" customHeight="1" x14ac:dyDescent="0.3">
      <c r="A2093" t="s">
        <v>241</v>
      </c>
      <c r="B2093" s="2">
        <v>45383</v>
      </c>
      <c r="C2093" t="str" cm="1">
        <f t="array" ref="C2093">IFERROR(IF(SUMPRODUCT((measured[Site Name]=A2093)*(measured[Date]=B2093)*ISNUMBER(measured[Measured Value (kWh)]))=0,"",SUMIFS(measured[Measured Value (kWh)],measured[Site Name],A2093,measured[Date],B2093)),"")</f>
        <v/>
      </c>
      <c r="D2093" cm="1">
        <f t="array" ref="D2093">IFERROR(IF(SUMPRODUCT((expected_production[Site Name]=A2093)*(expected_production[Date]=B2093)*ISNUMBER(expected_production[Expected Production (kWh)]))=0,"",SUMIFS(expected_production[Expected Production (kWh)],expected_production[Site Name],A2093,expected_production[Date],B2093)),"")</f>
        <v>19887.3</v>
      </c>
      <c r="E2093" s="9" t="str">
        <f t="shared" si="66"/>
        <v/>
      </c>
      <c r="F2093" t="str">
        <f t="shared" si="67"/>
        <v/>
      </c>
    </row>
    <row r="2094" spans="1:7" ht="15" hidden="1" customHeight="1" x14ac:dyDescent="0.3">
      <c r="A2094" t="s">
        <v>241</v>
      </c>
      <c r="B2094" s="2">
        <v>45413</v>
      </c>
      <c r="C2094" t="str" cm="1">
        <f t="array" ref="C2094">IFERROR(IF(SUMPRODUCT((measured[Site Name]=A2094)*(measured[Date]=B2094)*ISNUMBER(measured[Measured Value (kWh)]))=0,"",SUMIFS(measured[Measured Value (kWh)],measured[Site Name],A2094,measured[Date],B2094)),"")</f>
        <v/>
      </c>
      <c r="D2094" cm="1">
        <f t="array" ref="D2094">IFERROR(IF(SUMPRODUCT((expected_production[Site Name]=A2094)*(expected_production[Date]=B2094)*ISNUMBER(expected_production[Expected Production (kWh)]))=0,"",SUMIFS(expected_production[Expected Production (kWh)],expected_production[Site Name],A2094,expected_production[Date],B2094)),"")</f>
        <v>17745.3</v>
      </c>
      <c r="E2094" s="9" t="str">
        <f t="shared" si="66"/>
        <v/>
      </c>
      <c r="F2094" t="str">
        <f t="shared" si="67"/>
        <v/>
      </c>
    </row>
    <row r="2095" spans="1:7" ht="15" hidden="1" customHeight="1" x14ac:dyDescent="0.3">
      <c r="A2095" t="s">
        <v>241</v>
      </c>
      <c r="B2095" s="2">
        <v>45444</v>
      </c>
      <c r="C2095" t="str" cm="1">
        <f t="array" ref="C2095">IFERROR(IF(SUMPRODUCT((measured[Site Name]=A2095)*(measured[Date]=B2095)*ISNUMBER(measured[Measured Value (kWh)]))=0,"",SUMIFS(measured[Measured Value (kWh)],measured[Site Name],A2095,measured[Date],B2095)),"")</f>
        <v/>
      </c>
      <c r="D2095" cm="1">
        <f t="array" ref="D2095">IFERROR(IF(SUMPRODUCT((expected_production[Site Name]=A2095)*(expected_production[Date]=B2095)*ISNUMBER(expected_production[Expected Production (kWh)]))=0,"",SUMIFS(expected_production[Expected Production (kWh)],expected_production[Site Name],A2095,expected_production[Date],B2095)),"")</f>
        <v>15502.5</v>
      </c>
      <c r="E2095" s="9" t="str">
        <f t="shared" si="66"/>
        <v/>
      </c>
      <c r="F2095" t="str">
        <f t="shared" si="67"/>
        <v/>
      </c>
    </row>
    <row r="2096" spans="1:7" ht="15" hidden="1" customHeight="1" x14ac:dyDescent="0.3">
      <c r="A2096" t="s">
        <v>241</v>
      </c>
      <c r="B2096" s="2">
        <v>45474</v>
      </c>
      <c r="C2096" t="str" cm="1">
        <f t="array" ref="C2096">IFERROR(IF(SUMPRODUCT((measured[Site Name]=A2096)*(measured[Date]=B2096)*ISNUMBER(measured[Measured Value (kWh)]))=0,"",SUMIFS(measured[Measured Value (kWh)],measured[Site Name],A2096,measured[Date],B2096)),"")</f>
        <v/>
      </c>
      <c r="D2096" cm="1">
        <f t="array" ref="D2096">IFERROR(IF(SUMPRODUCT((expected_production[Site Name]=A2096)*(expected_production[Date]=B2096)*ISNUMBER(expected_production[Expected Production (kWh)]))=0,"",SUMIFS(expected_production[Expected Production (kWh)],expected_production[Site Name],A2096,expected_production[Date],B2096)),"")</f>
        <v>17358.3</v>
      </c>
      <c r="E2096" s="9" t="str">
        <f t="shared" si="66"/>
        <v/>
      </c>
      <c r="F2096" t="str">
        <f t="shared" si="67"/>
        <v/>
      </c>
    </row>
    <row r="2097" spans="1:6" ht="15" hidden="1" customHeight="1" x14ac:dyDescent="0.3">
      <c r="A2097" t="s">
        <v>241</v>
      </c>
      <c r="B2097" s="2">
        <v>45505</v>
      </c>
      <c r="C2097" t="str" cm="1">
        <f t="array" ref="C2097">IFERROR(IF(SUMPRODUCT((measured[Site Name]=A2097)*(measured[Date]=B2097)*ISNUMBER(measured[Measured Value (kWh)]))=0,"",SUMIFS(measured[Measured Value (kWh)],measured[Site Name],A2097,measured[Date],B2097)),"")</f>
        <v/>
      </c>
      <c r="D2097" cm="1">
        <f t="array" ref="D2097">IFERROR(IF(SUMPRODUCT((expected_production[Site Name]=A2097)*(expected_production[Date]=B2097)*ISNUMBER(expected_production[Expected Production (kWh)]))=0,"",SUMIFS(expected_production[Expected Production (kWh)],expected_production[Site Name],A2097,expected_production[Date],B2097)),"")</f>
        <v>20842.2</v>
      </c>
      <c r="E2097" s="9" t="str">
        <f t="shared" si="66"/>
        <v/>
      </c>
      <c r="F2097" t="str">
        <f t="shared" si="67"/>
        <v/>
      </c>
    </row>
    <row r="2098" spans="1:6" ht="15" hidden="1" customHeight="1" x14ac:dyDescent="0.3">
      <c r="A2098" t="s">
        <v>241</v>
      </c>
      <c r="B2098" s="2">
        <v>45536</v>
      </c>
      <c r="C2098" t="str" cm="1">
        <f t="array" ref="C2098">IFERROR(IF(SUMPRODUCT((measured[Site Name]=A2098)*(measured[Date]=B2098)*ISNUMBER(measured[Measured Value (kWh)]))=0,"",SUMIFS(measured[Measured Value (kWh)],measured[Site Name],A2098,measured[Date],B2098)),"")</f>
        <v/>
      </c>
      <c r="D2098" cm="1">
        <f t="array" ref="D2098">IFERROR(IF(SUMPRODUCT((expected_production[Site Name]=A2098)*(expected_production[Date]=B2098)*ISNUMBER(expected_production[Expected Production (kWh)]))=0,"",SUMIFS(expected_production[Expected Production (kWh)],expected_production[Site Name],A2098,expected_production[Date],B2098)),"")</f>
        <v>23841</v>
      </c>
      <c r="E2098" s="9" t="str">
        <f t="shared" si="66"/>
        <v/>
      </c>
      <c r="F2098" t="str">
        <f t="shared" si="67"/>
        <v/>
      </c>
    </row>
    <row r="2099" spans="1:6" ht="15" hidden="1" customHeight="1" x14ac:dyDescent="0.3">
      <c r="A2099" t="s">
        <v>241</v>
      </c>
      <c r="B2099" s="2">
        <v>45566</v>
      </c>
      <c r="C2099" t="str" cm="1">
        <f t="array" ref="C2099">IFERROR(IF(SUMPRODUCT((measured[Site Name]=A2099)*(measured[Date]=B2099)*ISNUMBER(measured[Measured Value (kWh)]))=0,"",SUMIFS(measured[Measured Value (kWh)],measured[Site Name],A2099,measured[Date],B2099)),"")</f>
        <v/>
      </c>
      <c r="D2099" cm="1">
        <f t="array" ref="D2099">IFERROR(IF(SUMPRODUCT((expected_production[Site Name]=A2099)*(expected_production[Date]=B2099)*ISNUMBER(expected_production[Expected Production (kWh)]))=0,"",SUMIFS(expected_production[Expected Production (kWh)],expected_production[Site Name],A2099,expected_production[Date],B2099)),"")</f>
        <v>27285.3</v>
      </c>
      <c r="E2099" s="9" t="str">
        <f t="shared" si="66"/>
        <v/>
      </c>
      <c r="F2099" t="str">
        <f t="shared" si="67"/>
        <v/>
      </c>
    </row>
    <row r="2100" spans="1:6" ht="15" hidden="1" customHeight="1" x14ac:dyDescent="0.3">
      <c r="A2100" t="s">
        <v>241</v>
      </c>
      <c r="B2100" s="2">
        <v>45597</v>
      </c>
      <c r="C2100" t="str" cm="1">
        <f t="array" ref="C2100">IFERROR(IF(SUMPRODUCT((measured[Site Name]=A2100)*(measured[Date]=B2100)*ISNUMBER(measured[Measured Value (kWh)]))=0,"",SUMIFS(measured[Measured Value (kWh)],measured[Site Name],A2100,measured[Date],B2100)),"")</f>
        <v/>
      </c>
      <c r="D2100" cm="1">
        <f t="array" ref="D2100">IFERROR(IF(SUMPRODUCT((expected_production[Site Name]=A2100)*(expected_production[Date]=B2100)*ISNUMBER(expected_production[Expected Production (kWh)]))=0,"",SUMIFS(expected_production[Expected Production (kWh)],expected_production[Site Name],A2100,expected_production[Date],B2100)),"")</f>
        <v>27841.5</v>
      </c>
      <c r="E2100" s="9" t="str">
        <f t="shared" si="66"/>
        <v/>
      </c>
      <c r="F2100" t="str">
        <f t="shared" si="67"/>
        <v/>
      </c>
    </row>
    <row r="2101" spans="1:6" ht="15" hidden="1" customHeight="1" x14ac:dyDescent="0.3">
      <c r="A2101" t="s">
        <v>241</v>
      </c>
      <c r="B2101" s="2">
        <v>45627</v>
      </c>
      <c r="C2101" t="str" cm="1">
        <f t="array" ref="C2101">IFERROR(IF(SUMPRODUCT((measured[Site Name]=A2101)*(measured[Date]=B2101)*ISNUMBER(measured[Measured Value (kWh)]))=0,"",SUMIFS(measured[Measured Value (kWh)],measured[Site Name],A2101,measured[Date],B2101)),"")</f>
        <v/>
      </c>
      <c r="D2101" cm="1">
        <f t="array" ref="D2101">IFERROR(IF(SUMPRODUCT((expected_production[Site Name]=A2101)*(expected_production[Date]=B2101)*ISNUMBER(expected_production[Expected Production (kWh)]))=0,"",SUMIFS(expected_production[Expected Production (kWh)],expected_production[Site Name],A2101,expected_production[Date],B2101)),"")</f>
        <v>28779.3</v>
      </c>
      <c r="E2101" s="9" t="str">
        <f t="shared" si="66"/>
        <v/>
      </c>
      <c r="F2101" t="str">
        <f t="shared" si="67"/>
        <v/>
      </c>
    </row>
    <row r="2102" spans="1:6" ht="15" hidden="1" customHeight="1" x14ac:dyDescent="0.3">
      <c r="A2102" t="s">
        <v>241</v>
      </c>
      <c r="B2102" s="2">
        <v>45658</v>
      </c>
      <c r="C2102" t="str" cm="1">
        <f t="array" ref="C2102">IFERROR(IF(SUMPRODUCT((measured[Site Name]=A2102)*(measured[Date]=B2102)*ISNUMBER(measured[Measured Value (kWh)]))=0,"",SUMIFS(measured[Measured Value (kWh)],measured[Site Name],A2102,measured[Date],B2102)),"")</f>
        <v/>
      </c>
      <c r="D2102" cm="1">
        <f t="array" ref="D2102">IFERROR(IF(SUMPRODUCT((expected_production[Site Name]=A2102)*(expected_production[Date]=B2102)*ISNUMBER(expected_production[Expected Production (kWh)]))=0,"",SUMIFS(expected_production[Expected Production (kWh)],expected_production[Site Name],A2102,expected_production[Date],B2102)),"")</f>
        <v>28380.6</v>
      </c>
      <c r="E2102" s="9" t="str">
        <f t="shared" si="66"/>
        <v/>
      </c>
      <c r="F2102" t="str">
        <f t="shared" si="67"/>
        <v/>
      </c>
    </row>
    <row r="2103" spans="1:6" ht="15" hidden="1" customHeight="1" x14ac:dyDescent="0.3">
      <c r="A2103" t="s">
        <v>241</v>
      </c>
      <c r="B2103" s="2">
        <v>45689</v>
      </c>
      <c r="C2103" t="str" cm="1">
        <f t="array" ref="C2103">IFERROR(IF(SUMPRODUCT((measured[Site Name]=A2103)*(measured[Date]=B2103)*ISNUMBER(measured[Measured Value (kWh)]))=0,"",SUMIFS(measured[Measured Value (kWh)],measured[Site Name],A2103,measured[Date],B2103)),"")</f>
        <v/>
      </c>
      <c r="D2103" cm="1">
        <f t="array" ref="D2103">IFERROR(IF(SUMPRODUCT((expected_production[Site Name]=A2103)*(expected_production[Date]=B2103)*ISNUMBER(expected_production[Expected Production (kWh)]))=0,"",SUMIFS(expected_production[Expected Production (kWh)],expected_production[Site Name],A2103,expected_production[Date],B2103)),"")</f>
        <v>24379.200000000001</v>
      </c>
      <c r="E2103" s="9" t="str">
        <f t="shared" si="66"/>
        <v/>
      </c>
      <c r="F2103" t="str">
        <f t="shared" si="67"/>
        <v/>
      </c>
    </row>
    <row r="2104" spans="1:6" ht="15" hidden="1" customHeight="1" x14ac:dyDescent="0.3">
      <c r="A2104" t="s">
        <v>241</v>
      </c>
      <c r="B2104" s="2">
        <v>45717</v>
      </c>
      <c r="C2104" t="str" cm="1">
        <f t="array" ref="C2104">IFERROR(IF(SUMPRODUCT((measured[Site Name]=A2104)*(measured[Date]=B2104)*ISNUMBER(measured[Measured Value (kWh)]))=0,"",SUMIFS(measured[Measured Value (kWh)],measured[Site Name],A2104,measured[Date],B2104)),"")</f>
        <v/>
      </c>
      <c r="D2104" cm="1">
        <f t="array" ref="D2104">IFERROR(IF(SUMPRODUCT((expected_production[Site Name]=A2104)*(expected_production[Date]=B2104)*ISNUMBER(expected_production[Expected Production (kWh)]))=0,"",SUMIFS(expected_production[Expected Production (kWh)],expected_production[Site Name],A2104,expected_production[Date],B2104)),"")</f>
        <v>23351.4</v>
      </c>
      <c r="E2104" s="9" t="str">
        <f t="shared" si="66"/>
        <v/>
      </c>
      <c r="F2104" t="str">
        <f t="shared" si="67"/>
        <v/>
      </c>
    </row>
    <row r="2105" spans="1:6" ht="15" hidden="1" customHeight="1" x14ac:dyDescent="0.3">
      <c r="A2105" t="s">
        <v>241</v>
      </c>
      <c r="B2105" s="2">
        <v>45748</v>
      </c>
      <c r="C2105" t="str" cm="1">
        <f t="array" ref="C2105">IFERROR(IF(SUMPRODUCT((measured[Site Name]=A2105)*(measured[Date]=B2105)*ISNUMBER(measured[Measured Value (kWh)]))=0,"",SUMIFS(measured[Measured Value (kWh)],measured[Site Name],A2105,measured[Date],B2105)),"")</f>
        <v/>
      </c>
      <c r="D2105" cm="1">
        <f t="array" ref="D2105">IFERROR(IF(SUMPRODUCT((expected_production[Site Name]=A2105)*(expected_production[Date]=B2105)*ISNUMBER(expected_production[Expected Production (kWh)]))=0,"",SUMIFS(expected_production[Expected Production (kWh)],expected_production[Site Name],A2105,expected_production[Date],B2105)),"")</f>
        <v>19887.3</v>
      </c>
      <c r="E2105" s="9" t="str">
        <f t="shared" si="66"/>
        <v/>
      </c>
      <c r="F2105" t="str">
        <f t="shared" si="67"/>
        <v/>
      </c>
    </row>
    <row r="2106" spans="1:6" ht="15" hidden="1" customHeight="1" x14ac:dyDescent="0.3">
      <c r="A2106" t="s">
        <v>241</v>
      </c>
      <c r="B2106" s="2">
        <v>45778</v>
      </c>
      <c r="C2106" t="str" cm="1">
        <f t="array" ref="C2106">IFERROR(IF(SUMPRODUCT((measured[Site Name]=A2106)*(measured[Date]=B2106)*ISNUMBER(measured[Measured Value (kWh)]))=0,"",SUMIFS(measured[Measured Value (kWh)],measured[Site Name],A2106,measured[Date],B2106)),"")</f>
        <v/>
      </c>
      <c r="D2106" cm="1">
        <f t="array" ref="D2106">IFERROR(IF(SUMPRODUCT((expected_production[Site Name]=A2106)*(expected_production[Date]=B2106)*ISNUMBER(expected_production[Expected Production (kWh)]))=0,"",SUMIFS(expected_production[Expected Production (kWh)],expected_production[Site Name],A2106,expected_production[Date],B2106)),"")</f>
        <v>17745.3</v>
      </c>
      <c r="E2106" s="9" t="str">
        <f t="shared" si="66"/>
        <v/>
      </c>
      <c r="F2106" t="str">
        <f t="shared" si="67"/>
        <v/>
      </c>
    </row>
    <row r="2107" spans="1:6" ht="15" hidden="1" customHeight="1" x14ac:dyDescent="0.3">
      <c r="A2107" t="s">
        <v>241</v>
      </c>
      <c r="B2107" s="2">
        <v>45809</v>
      </c>
      <c r="C2107" t="str" cm="1">
        <f t="array" ref="C2107">IFERROR(IF(SUMPRODUCT((measured[Site Name]=A2107)*(measured[Date]=B2107)*ISNUMBER(measured[Measured Value (kWh)]))=0,"",SUMIFS(measured[Measured Value (kWh)],measured[Site Name],A2107,measured[Date],B2107)),"")</f>
        <v/>
      </c>
      <c r="D2107" cm="1">
        <f t="array" ref="D2107">IFERROR(IF(SUMPRODUCT((expected_production[Site Name]=A2107)*(expected_production[Date]=B2107)*ISNUMBER(expected_production[Expected Production (kWh)]))=0,"",SUMIFS(expected_production[Expected Production (kWh)],expected_production[Site Name],A2107,expected_production[Date],B2107)),"")</f>
        <v>15502.5</v>
      </c>
      <c r="E2107" s="9" t="str">
        <f t="shared" si="66"/>
        <v/>
      </c>
      <c r="F2107" t="str">
        <f t="shared" si="67"/>
        <v/>
      </c>
    </row>
    <row r="2108" spans="1:6" ht="15" hidden="1" customHeight="1" x14ac:dyDescent="0.3">
      <c r="A2108" t="s">
        <v>241</v>
      </c>
      <c r="B2108" s="2">
        <v>45839</v>
      </c>
      <c r="C2108" t="str" cm="1">
        <f t="array" ref="C2108">IFERROR(IF(SUMPRODUCT((measured[Site Name]=A2108)*(measured[Date]=B2108)*ISNUMBER(measured[Measured Value (kWh)]))=0,"",SUMIFS(measured[Measured Value (kWh)],measured[Site Name],A2108,measured[Date],B2108)),"")</f>
        <v/>
      </c>
      <c r="D2108" cm="1">
        <f t="array" ref="D2108">IFERROR(IF(SUMPRODUCT((expected_production[Site Name]=A2108)*(expected_production[Date]=B2108)*ISNUMBER(expected_production[Expected Production (kWh)]))=0,"",SUMIFS(expected_production[Expected Production (kWh)],expected_production[Site Name],A2108,expected_production[Date],B2108)),"")</f>
        <v>17358.3</v>
      </c>
      <c r="E2108" s="9" t="str">
        <f t="shared" si="66"/>
        <v/>
      </c>
      <c r="F2108" t="str">
        <f t="shared" si="67"/>
        <v/>
      </c>
    </row>
    <row r="2109" spans="1:6" ht="15" hidden="1" customHeight="1" x14ac:dyDescent="0.3">
      <c r="A2109" t="s">
        <v>241</v>
      </c>
      <c r="B2109" s="2">
        <v>45870</v>
      </c>
      <c r="C2109" t="str" cm="1">
        <f t="array" ref="C2109">IFERROR(IF(SUMPRODUCT((measured[Site Name]=A2109)*(measured[Date]=B2109)*ISNUMBER(measured[Measured Value (kWh)]))=0,"",SUMIFS(measured[Measured Value (kWh)],measured[Site Name],A2109,measured[Date],B2109)),"")</f>
        <v/>
      </c>
      <c r="D2109" cm="1">
        <f t="array" ref="D2109">IFERROR(IF(SUMPRODUCT((expected_production[Site Name]=A2109)*(expected_production[Date]=B2109)*ISNUMBER(expected_production[Expected Production (kWh)]))=0,"",SUMIFS(expected_production[Expected Production (kWh)],expected_production[Site Name],A2109,expected_production[Date],B2109)),"")</f>
        <v>20842.2</v>
      </c>
      <c r="E2109" s="9" t="str">
        <f t="shared" si="66"/>
        <v/>
      </c>
      <c r="F2109" t="str">
        <f t="shared" si="67"/>
        <v/>
      </c>
    </row>
    <row r="2110" spans="1:6" ht="15" hidden="1" customHeight="1" x14ac:dyDescent="0.3">
      <c r="A2110" t="s">
        <v>241</v>
      </c>
      <c r="B2110" s="2">
        <v>45901</v>
      </c>
      <c r="C2110" t="str" cm="1">
        <f t="array" ref="C2110">IFERROR(IF(SUMPRODUCT((measured[Site Name]=A2110)*(measured[Date]=B2110)*ISNUMBER(measured[Measured Value (kWh)]))=0,"",SUMIFS(measured[Measured Value (kWh)],measured[Site Name],A2110,measured[Date],B2110)),"")</f>
        <v/>
      </c>
      <c r="D2110" cm="1">
        <f t="array" ref="D2110">IFERROR(IF(SUMPRODUCT((expected_production[Site Name]=A2110)*(expected_production[Date]=B2110)*ISNUMBER(expected_production[Expected Production (kWh)]))=0,"",SUMIFS(expected_production[Expected Production (kWh)],expected_production[Site Name],A2110,expected_production[Date],B2110)),"")</f>
        <v>23841</v>
      </c>
      <c r="E2110" s="9" t="str">
        <f t="shared" si="66"/>
        <v/>
      </c>
      <c r="F2110" t="str">
        <f t="shared" si="67"/>
        <v/>
      </c>
    </row>
    <row r="2111" spans="1:6" ht="15" hidden="1" customHeight="1" x14ac:dyDescent="0.3">
      <c r="A2111" t="s">
        <v>241</v>
      </c>
      <c r="B2111" s="2">
        <v>45931</v>
      </c>
      <c r="C2111" t="str" cm="1">
        <f t="array" ref="C2111">IFERROR(IF(SUMPRODUCT((measured[Site Name]=A2111)*(measured[Date]=B2111)*ISNUMBER(measured[Measured Value (kWh)]))=0,"",SUMIFS(measured[Measured Value (kWh)],measured[Site Name],A2111,measured[Date],B2111)),"")</f>
        <v/>
      </c>
      <c r="D2111" cm="1">
        <f t="array" ref="D2111">IFERROR(IF(SUMPRODUCT((expected_production[Site Name]=A2111)*(expected_production[Date]=B2111)*ISNUMBER(expected_production[Expected Production (kWh)]))=0,"",SUMIFS(expected_production[Expected Production (kWh)],expected_production[Site Name],A2111,expected_production[Date],B2111)),"")</f>
        <v>27285.3</v>
      </c>
      <c r="E2111" s="9" t="str">
        <f t="shared" si="66"/>
        <v/>
      </c>
      <c r="F2111" t="str">
        <f t="shared" si="67"/>
        <v/>
      </c>
    </row>
    <row r="2112" spans="1:6" ht="15" hidden="1" customHeight="1" x14ac:dyDescent="0.3">
      <c r="A2112" t="s">
        <v>241</v>
      </c>
      <c r="B2112" s="2">
        <v>45962</v>
      </c>
      <c r="C2112" t="str" cm="1">
        <f t="array" ref="C2112">IFERROR(IF(SUMPRODUCT((measured[Site Name]=A2112)*(measured[Date]=B2112)*ISNUMBER(measured[Measured Value (kWh)]))=0,"",SUMIFS(measured[Measured Value (kWh)],measured[Site Name],A2112,measured[Date],B2112)),"")</f>
        <v/>
      </c>
      <c r="D2112" cm="1">
        <f t="array" ref="D2112">IFERROR(IF(SUMPRODUCT((expected_production[Site Name]=A2112)*(expected_production[Date]=B2112)*ISNUMBER(expected_production[Expected Production (kWh)]))=0,"",SUMIFS(expected_production[Expected Production (kWh)],expected_production[Site Name],A2112,expected_production[Date],B2112)),"")</f>
        <v>27841.5</v>
      </c>
      <c r="E2112" s="9" t="str">
        <f t="shared" si="66"/>
        <v/>
      </c>
      <c r="F2112" t="str">
        <f t="shared" si="67"/>
        <v/>
      </c>
    </row>
    <row r="2113" spans="1:7" ht="15" hidden="1" customHeight="1" x14ac:dyDescent="0.3">
      <c r="A2113" t="s">
        <v>241</v>
      </c>
      <c r="B2113" s="2">
        <v>45992</v>
      </c>
      <c r="C2113" t="str" cm="1">
        <f t="array" ref="C2113">IFERROR(IF(SUMPRODUCT((measured[Site Name]=A2113)*(measured[Date]=B2113)*ISNUMBER(measured[Measured Value (kWh)]))=0,"",SUMIFS(measured[Measured Value (kWh)],measured[Site Name],A2113,measured[Date],B2113)),"")</f>
        <v/>
      </c>
      <c r="D2113" cm="1">
        <f t="array" ref="D2113">IFERROR(IF(SUMPRODUCT((expected_production[Site Name]=A2113)*(expected_production[Date]=B2113)*ISNUMBER(expected_production[Expected Production (kWh)]))=0,"",SUMIFS(expected_production[Expected Production (kWh)],expected_production[Site Name],A2113,expected_production[Date],B2113)),"")</f>
        <v>28779.3</v>
      </c>
      <c r="E2113" s="9" t="str">
        <f t="shared" si="66"/>
        <v/>
      </c>
      <c r="F2113" t="str">
        <f t="shared" si="67"/>
        <v/>
      </c>
    </row>
    <row r="2114" spans="1:7" ht="15" hidden="1" customHeight="1" x14ac:dyDescent="0.3">
      <c r="A2114" t="s">
        <v>241</v>
      </c>
      <c r="B2114" s="2">
        <v>46023</v>
      </c>
      <c r="C2114" t="str" cm="1">
        <f t="array" ref="C2114">IFERROR(IF(SUMPRODUCT((measured[Site Name]=A2114)*(measured[Date]=B2114)*ISNUMBER(measured[Measured Value (kWh)]))=0,"",SUMIFS(measured[Measured Value (kWh)],measured[Site Name],A2114,measured[Date],B2114)),"")</f>
        <v/>
      </c>
      <c r="D2114" cm="1">
        <f t="array" ref="D2114">IFERROR(IF(SUMPRODUCT((expected_production[Site Name]=A2114)*(expected_production[Date]=B2114)*ISNUMBER(expected_production[Expected Production (kWh)]))=0,"",SUMIFS(expected_production[Expected Production (kWh)],expected_production[Site Name],A2114,expected_production[Date],B2114)),"")</f>
        <v>28380.6</v>
      </c>
      <c r="E2114" s="9" t="str">
        <f t="shared" si="66"/>
        <v/>
      </c>
      <c r="F2114" t="str">
        <f t="shared" si="67"/>
        <v/>
      </c>
    </row>
    <row r="2115" spans="1:7" ht="15" hidden="1" customHeight="1" x14ac:dyDescent="0.3">
      <c r="A2115" t="s">
        <v>241</v>
      </c>
      <c r="B2115" s="2">
        <v>46054</v>
      </c>
      <c r="C2115" t="str" cm="1">
        <f t="array" ref="C2115">IFERROR(IF(SUMPRODUCT((measured[Site Name]=A2115)*(measured[Date]=B2115)*ISNUMBER(measured[Measured Value (kWh)]))=0,"",SUMIFS(measured[Measured Value (kWh)],measured[Site Name],A2115,measured[Date],B2115)),"")</f>
        <v/>
      </c>
      <c r="D2115" cm="1">
        <f t="array" ref="D2115">IFERROR(IF(SUMPRODUCT((expected_production[Site Name]=A2115)*(expected_production[Date]=B2115)*ISNUMBER(expected_production[Expected Production (kWh)]))=0,"",SUMIFS(expected_production[Expected Production (kWh)],expected_production[Site Name],A2115,expected_production[Date],B2115)),"")</f>
        <v>24379.200000000001</v>
      </c>
      <c r="E2115" s="9" t="str">
        <f t="shared" si="66"/>
        <v/>
      </c>
      <c r="F2115" t="str">
        <f t="shared" si="67"/>
        <v/>
      </c>
    </row>
    <row r="2116" spans="1:7" ht="15" hidden="1" customHeight="1" x14ac:dyDescent="0.3">
      <c r="A2116" t="s">
        <v>241</v>
      </c>
      <c r="B2116" s="2">
        <v>46082</v>
      </c>
      <c r="C2116" cm="1">
        <f t="array" ref="C2116">IFERROR(IF(SUMPRODUCT((measured[Site Name]=A2116)*(measured[Date]=B2116)*ISNUMBER(measured[Measured Value (kWh)]))=0,"",SUMIFS(measured[Measured Value (kWh)],measured[Site Name],A2116,measured[Date],B2116)),"")</f>
        <v>10022</v>
      </c>
      <c r="D2116" cm="1">
        <f t="array" ref="D2116">IFERROR(IF(SUMPRODUCT((expected_production[Site Name]=A2116)*(expected_production[Date]=B2116)*ISNUMBER(expected_production[Expected Production (kWh)]))=0,"",SUMIFS(expected_production[Expected Production (kWh)],expected_production[Site Name],A2116,expected_production[Date],B2116)),"")</f>
        <v>23345.113415015465</v>
      </c>
      <c r="E2116" s="9">
        <f t="shared" si="66"/>
        <v>0.42929755027679145</v>
      </c>
      <c r="F2116" t="str">
        <f t="shared" si="67"/>
        <v>Poor</v>
      </c>
    </row>
    <row r="2117" spans="1:7" ht="15" hidden="1" customHeight="1" x14ac:dyDescent="0.3">
      <c r="A2117" t="s">
        <v>241</v>
      </c>
      <c r="B2117" s="2">
        <v>46113</v>
      </c>
      <c r="C2117" cm="1">
        <f t="array" ref="C2117">IFERROR(IF(SUMPRODUCT((measured[Site Name]=A2117)*(measured[Date]=B2117)*ISNUMBER(measured[Measured Value (kWh)]))=0,"",SUMIFS(measured[Measured Value (kWh)],measured[Site Name],A2117,measured[Date],B2117)),"")</f>
        <v>11511.86</v>
      </c>
      <c r="D2117" cm="1">
        <f t="array" ref="D2117">IFERROR(IF(SUMPRODUCT((expected_production[Site Name]=A2117)*(expected_production[Date]=B2117)*ISNUMBER(expected_production[Expected Production (kWh)]))=0,"",SUMIFS(expected_production[Expected Production (kWh)],expected_production[Site Name],A2117,expected_production[Date],B2117)),"")</f>
        <v>19870.095869849069</v>
      </c>
      <c r="E2117" s="9">
        <f t="shared" si="66"/>
        <v>0.57935603710237371</v>
      </c>
      <c r="F2117" t="str">
        <f t="shared" si="67"/>
        <v>Poor</v>
      </c>
    </row>
    <row r="2118" spans="1:7" ht="15" hidden="1" customHeight="1" x14ac:dyDescent="0.3">
      <c r="A2118" t="s">
        <v>241</v>
      </c>
      <c r="B2118" s="2">
        <v>46143</v>
      </c>
      <c r="C2118" cm="1">
        <f t="array" ref="C2118">IFERROR(IF(SUMPRODUCT((measured[Site Name]=A2118)*(measured[Date]=B2118)*ISNUMBER(measured[Measured Value (kWh)]))=0,"",SUMIFS(measured[Measured Value (kWh)],measured[Site Name],A2118,measured[Date],B2118)),"")</f>
        <v>14709.43</v>
      </c>
      <c r="D2118" cm="1">
        <f t="array" ref="D2118">IFERROR(IF(SUMPRODUCT((expected_production[Site Name]=A2118)*(expected_production[Date]=B2118)*ISNUMBER(expected_production[Expected Production (kWh)]))=0,"",SUMIFS(expected_production[Expected Production (kWh)],expected_production[Site Name],A2118,expected_production[Date],B2118)),"")</f>
        <v>17719.722168247601</v>
      </c>
      <c r="E2118" s="9">
        <f t="shared" si="66"/>
        <v>0.83011628852500763</v>
      </c>
      <c r="F2118" t="str">
        <f t="shared" si="67"/>
        <v>Moderate</v>
      </c>
    </row>
    <row r="2119" spans="1:7" ht="15" hidden="1" customHeight="1" x14ac:dyDescent="0.3">
      <c r="A2119" t="s">
        <v>241</v>
      </c>
      <c r="B2119" s="2">
        <v>46174</v>
      </c>
      <c r="C2119" cm="1">
        <f t="array" ref="C2119">IFERROR(IF(SUMPRODUCT((measured[Site Name]=A2119)*(measured[Date]=B2119)*ISNUMBER(measured[Measured Value (kWh)]))=0,"",SUMIFS(measured[Measured Value (kWh)],measured[Site Name],A2119,measured[Date],B2119)),"")</f>
        <v>12264.7</v>
      </c>
      <c r="D2119" cm="1">
        <f t="array" ref="D2119">IFERROR(IF(SUMPRODUCT((expected_production[Site Name]=A2119)*(expected_production[Date]=B2119)*ISNUMBER(expected_production[Expected Production (kWh)]))=0,"",SUMIFS(expected_production[Expected Production (kWh)],expected_production[Site Name],A2119,expected_production[Date],B2119)),"")</f>
        <v>15470.928348802416</v>
      </c>
      <c r="E2119" s="9">
        <f t="shared" si="66"/>
        <v>0.79275785676748967</v>
      </c>
      <c r="F2119" t="str">
        <f t="shared" si="67"/>
        <v>Moderate</v>
      </c>
    </row>
    <row r="2120" spans="1:7" ht="15" hidden="1" customHeight="1" x14ac:dyDescent="0.3">
      <c r="A2120" t="s">
        <v>241</v>
      </c>
      <c r="B2120" s="2">
        <v>46204</v>
      </c>
      <c r="C2120" cm="1">
        <f t="array" ref="C2120">IFERROR(IF(SUMPRODUCT((measured[Site Name]=A2120)*(measured[Date]=B2120)*ISNUMBER(measured[Measured Value (kWh)]))=0,"",SUMIFS(measured[Measured Value (kWh)],measured[Site Name],A2120,measured[Date],B2120)),"")</f>
        <v>11339.6067</v>
      </c>
      <c r="D2120" cm="1">
        <f t="array" ref="D2120">IFERROR(IF(SUMPRODUCT((expected_production[Site Name]=A2120)*(expected_production[Date]=B2120)*ISNUMBER(expected_production[Expected Production (kWh)]))=0,"",SUMIFS(expected_production[Expected Production (kWh)],expected_production[Site Name],A2120,expected_production[Date],B2120)),"")</f>
        <v>17312.956968734052</v>
      </c>
      <c r="E2120" s="9">
        <f t="shared" si="66"/>
        <v>0.65497804450611818</v>
      </c>
      <c r="F2120" t="str">
        <f t="shared" si="67"/>
        <v>Poor</v>
      </c>
      <c r="G2120" t="s">
        <v>875</v>
      </c>
    </row>
    <row r="2121" spans="1:7" ht="15" hidden="1" customHeight="1" x14ac:dyDescent="0.3">
      <c r="A2121" t="s">
        <v>241</v>
      </c>
      <c r="B2121" s="2">
        <v>46235</v>
      </c>
      <c r="C2121" cm="1">
        <f t="array" ref="C2121">IFERROR(IF(SUMPRODUCT((measured[Site Name]=A2121)*(measured[Date]=B2121)*ISNUMBER(measured[Measured Value (kWh)]))=0,"",SUMIFS(measured[Measured Value (kWh)],measured[Site Name],A2121,measured[Date],B2121)),"")</f>
        <v>16951.843000000001</v>
      </c>
      <c r="D2121" cm="1">
        <f t="array" ref="D2121">IFERROR(IF(SUMPRODUCT((expected_production[Site Name]=A2121)*(expected_production[Date]=B2121)*ISNUMBER(expected_production[Expected Production (kWh)]))=0,"",SUMIFS(expected_production[Expected Production (kWh)],expected_production[Site Name],A2121,expected_production[Date],B2121)),"")</f>
        <v>20775.366365213285</v>
      </c>
      <c r="E2121" s="9">
        <f t="shared" si="66"/>
        <v>0.81595879957065531</v>
      </c>
      <c r="F2121" t="str">
        <f t="shared" si="67"/>
        <v>Moderate</v>
      </c>
      <c r="G2121" t="s">
        <v>875</v>
      </c>
    </row>
    <row r="2122" spans="1:7" ht="15" customHeight="1" x14ac:dyDescent="0.3">
      <c r="A2122" t="s">
        <v>81</v>
      </c>
      <c r="B2122" s="2">
        <v>46266</v>
      </c>
      <c r="C2122" cm="1">
        <f t="array" ref="C2122">IFERROR(IF(SUMPRODUCT((measured[Site Name]=A2122)*(measured[Date]=B2122)*ISNUMBER(measured[Measured Value (kWh)]))=0,"",SUMIFS(measured[Measured Value (kWh)],measured[Site Name],A2122,measured[Date],B2122)),"")</f>
        <v>5791.73</v>
      </c>
      <c r="D2122" cm="1">
        <f t="array" ref="D2122">IFERROR(IF(SUMPRODUCT((expected_production[Site Name]=A2122)*(expected_production[Date]=B2122)*ISNUMBER(expected_production[Expected Production (kWh)]))=0,"",SUMIFS(expected_production[Expected Production (kWh)],expected_production[Site Name],A2122,expected_production[Date],B2122)),"")</f>
        <v>6809.7803386596752</v>
      </c>
      <c r="E2122" s="9">
        <f t="shared" si="66"/>
        <v>0.85050173602808865</v>
      </c>
      <c r="F2122" t="str">
        <f t="shared" si="67"/>
        <v>Moderate</v>
      </c>
      <c r="G2122" t="s">
        <v>874</v>
      </c>
    </row>
    <row r="2123" spans="1:7" ht="15" hidden="1" customHeight="1" x14ac:dyDescent="0.3">
      <c r="A2123" t="s">
        <v>241</v>
      </c>
      <c r="B2123" s="2">
        <v>46296</v>
      </c>
      <c r="C2123" t="str" cm="1">
        <f t="array" ref="C2123">IFERROR(IF(SUMPRODUCT((measured[Site Name]=A2123)*(measured[Date]=B2123)*ISNUMBER(measured[Measured Value (kWh)]))=0,"",SUMIFS(measured[Measured Value (kWh)],measured[Site Name],A2123,measured[Date],B2123)),"")</f>
        <v/>
      </c>
      <c r="D2123" cm="1">
        <f t="array" ref="D2123">IFERROR(IF(SUMPRODUCT((expected_production[Site Name]=A2123)*(expected_production[Date]=B2123)*ISNUMBER(expected_production[Expected Production (kWh)]))=0,"",SUMIFS(expected_production[Expected Production (kWh)],expected_production[Site Name],A2123,expected_production[Date],B2123)),"")</f>
        <v>27165.916573119852</v>
      </c>
      <c r="E2123" s="9" t="str">
        <f t="shared" si="66"/>
        <v/>
      </c>
      <c r="F2123" t="str">
        <f t="shared" si="67"/>
        <v/>
      </c>
    </row>
    <row r="2124" spans="1:7" ht="15" hidden="1" customHeight="1" x14ac:dyDescent="0.3">
      <c r="A2124" t="s">
        <v>241</v>
      </c>
      <c r="B2124" s="2">
        <v>46327</v>
      </c>
      <c r="C2124" t="str" cm="1">
        <f t="array" ref="C2124">IFERROR(IF(SUMPRODUCT((measured[Site Name]=A2124)*(measured[Date]=B2124)*ISNUMBER(measured[Measured Value (kWh)]))=0,"",SUMIFS(measured[Measured Value (kWh)],measured[Site Name],A2124,measured[Date],B2124)),"")</f>
        <v/>
      </c>
      <c r="D2124" cm="1">
        <f t="array" ref="D2124">IFERROR(IF(SUMPRODUCT((expected_production[Site Name]=A2124)*(expected_production[Date]=B2124)*ISNUMBER(expected_production[Expected Production (kWh)]))=0,"",SUMIFS(expected_production[Expected Production (kWh)],expected_production[Site Name],A2124,expected_production[Date],B2124)),"")</f>
        <v>27703.161363122537</v>
      </c>
      <c r="E2124" s="9" t="str">
        <f t="shared" si="66"/>
        <v/>
      </c>
      <c r="F2124" t="str">
        <f t="shared" si="67"/>
        <v/>
      </c>
    </row>
    <row r="2125" spans="1:7" ht="15" hidden="1" customHeight="1" x14ac:dyDescent="0.3">
      <c r="A2125" t="s">
        <v>241</v>
      </c>
      <c r="B2125" s="2">
        <v>46357</v>
      </c>
      <c r="C2125" t="str" cm="1">
        <f t="array" ref="C2125">IFERROR(IF(SUMPRODUCT((measured[Site Name]=A2125)*(measured[Date]=B2125)*ISNUMBER(measured[Measured Value (kWh)]))=0,"",SUMIFS(measured[Measured Value (kWh)],measured[Site Name],A2125,measured[Date],B2125)),"")</f>
        <v/>
      </c>
      <c r="D2125" cm="1">
        <f t="array" ref="D2125">IFERROR(IF(SUMPRODUCT((expected_production[Site Name]=A2125)*(expected_production[Date]=B2125)*ISNUMBER(expected_production[Expected Production (kWh)]))=0,"",SUMIFS(expected_production[Expected Production (kWh)],expected_production[Site Name],A2125,expected_production[Date],B2125)),"")</f>
        <v>28619.784095870789</v>
      </c>
      <c r="E2125" s="9" t="str">
        <f t="shared" si="66"/>
        <v/>
      </c>
      <c r="F2125" t="str">
        <f t="shared" si="67"/>
        <v/>
      </c>
    </row>
    <row r="2126" spans="1:7" ht="15" hidden="1" customHeight="1" x14ac:dyDescent="0.3">
      <c r="A2126" t="s">
        <v>182</v>
      </c>
      <c r="B2126" s="2">
        <v>45292</v>
      </c>
      <c r="C2126" t="str" cm="1">
        <f t="array" ref="C2126">IFERROR(IF(SUMPRODUCT((measured[Site Name]=A2126)*(measured[Date]=B2126)*ISNUMBER(measured[Measured Value (kWh)]))=0,"",SUMIFS(measured[Measured Value (kWh)],measured[Site Name],A2126,measured[Date],B2126)),"")</f>
        <v/>
      </c>
      <c r="D2126" cm="1">
        <f t="array" ref="D2126">IFERROR(IF(SUMPRODUCT((expected_production[Site Name]=A2126)*(expected_production[Date]=B2126)*ISNUMBER(expected_production[Expected Production (kWh)]))=0,"",SUMIFS(expected_production[Expected Production (kWh)],expected_production[Site Name],A2126,expected_production[Date],B2126)),"")</f>
        <v>20564.650000000001</v>
      </c>
      <c r="E2126" s="9" t="str">
        <f t="shared" si="66"/>
        <v/>
      </c>
      <c r="F2126" t="str">
        <f t="shared" si="67"/>
        <v/>
      </c>
    </row>
    <row r="2127" spans="1:7" ht="15" hidden="1" customHeight="1" x14ac:dyDescent="0.3">
      <c r="A2127" t="s">
        <v>182</v>
      </c>
      <c r="B2127" s="2">
        <v>45323</v>
      </c>
      <c r="C2127" t="str" cm="1">
        <f t="array" ref="C2127">IFERROR(IF(SUMPRODUCT((measured[Site Name]=A2127)*(measured[Date]=B2127)*ISNUMBER(measured[Measured Value (kWh)]))=0,"",SUMIFS(measured[Measured Value (kWh)],measured[Site Name],A2127,measured[Date],B2127)),"")</f>
        <v/>
      </c>
      <c r="D2127" cm="1">
        <f t="array" ref="D2127">IFERROR(IF(SUMPRODUCT((expected_production[Site Name]=A2127)*(expected_production[Date]=B2127)*ISNUMBER(expected_production[Expected Production (kWh)]))=0,"",SUMIFS(expected_production[Expected Production (kWh)],expected_production[Site Name],A2127,expected_production[Date],B2127)),"")</f>
        <v>17491.400000000001</v>
      </c>
      <c r="E2127" s="9" t="str">
        <f t="shared" si="66"/>
        <v/>
      </c>
      <c r="F2127" t="str">
        <f t="shared" si="67"/>
        <v/>
      </c>
    </row>
    <row r="2128" spans="1:7" ht="15" hidden="1" customHeight="1" x14ac:dyDescent="0.3">
      <c r="A2128" t="s">
        <v>182</v>
      </c>
      <c r="B2128" s="2">
        <v>45352</v>
      </c>
      <c r="C2128" t="str" cm="1">
        <f t="array" ref="C2128">IFERROR(IF(SUMPRODUCT((measured[Site Name]=A2128)*(measured[Date]=B2128)*ISNUMBER(measured[Measured Value (kWh)]))=0,"",SUMIFS(measured[Measured Value (kWh)],measured[Site Name],A2128,measured[Date],B2128)),"")</f>
        <v/>
      </c>
      <c r="D2128" cm="1">
        <f t="array" ref="D2128">IFERROR(IF(SUMPRODUCT((expected_production[Site Name]=A2128)*(expected_production[Date]=B2128)*ISNUMBER(expected_production[Expected Production (kWh)]))=0,"",SUMIFS(expected_production[Expected Production (kWh)],expected_production[Site Name],A2128,expected_production[Date],B2128)),"")</f>
        <v>18246.650000000001</v>
      </c>
      <c r="E2128" s="9" t="str">
        <f t="shared" si="66"/>
        <v/>
      </c>
      <c r="F2128" t="str">
        <f t="shared" si="67"/>
        <v/>
      </c>
    </row>
    <row r="2129" spans="1:6" ht="15" hidden="1" customHeight="1" x14ac:dyDescent="0.3">
      <c r="A2129" t="s">
        <v>182</v>
      </c>
      <c r="B2129" s="2">
        <v>45383</v>
      </c>
      <c r="C2129" t="str" cm="1">
        <f t="array" ref="C2129">IFERROR(IF(SUMPRODUCT((measured[Site Name]=A2129)*(measured[Date]=B2129)*ISNUMBER(measured[Measured Value (kWh)]))=0,"",SUMIFS(measured[Measured Value (kWh)],measured[Site Name],A2129,measured[Date],B2129)),"")</f>
        <v/>
      </c>
      <c r="D2129" cm="1">
        <f t="array" ref="D2129">IFERROR(IF(SUMPRODUCT((expected_production[Site Name]=A2129)*(expected_production[Date]=B2129)*ISNUMBER(expected_production[Expected Production (kWh)]))=0,"",SUMIFS(expected_production[Expected Production (kWh)],expected_production[Site Name],A2129,expected_production[Date],B2129)),"")</f>
        <v>15297.85</v>
      </c>
      <c r="E2129" s="9" t="str">
        <f t="shared" si="66"/>
        <v/>
      </c>
      <c r="F2129" t="str">
        <f t="shared" si="67"/>
        <v/>
      </c>
    </row>
    <row r="2130" spans="1:6" ht="15" hidden="1" customHeight="1" x14ac:dyDescent="0.3">
      <c r="A2130" t="s">
        <v>182</v>
      </c>
      <c r="B2130" s="2">
        <v>45413</v>
      </c>
      <c r="C2130" t="str" cm="1">
        <f t="array" ref="C2130">IFERROR(IF(SUMPRODUCT((measured[Site Name]=A2130)*(measured[Date]=B2130)*ISNUMBER(measured[Measured Value (kWh)]))=0,"",SUMIFS(measured[Measured Value (kWh)],measured[Site Name],A2130,measured[Date],B2130)),"")</f>
        <v/>
      </c>
      <c r="D2130" cm="1">
        <f t="array" ref="D2130">IFERROR(IF(SUMPRODUCT((expected_production[Site Name]=A2130)*(expected_production[Date]=B2130)*ISNUMBER(expected_production[Expected Production (kWh)]))=0,"",SUMIFS(expected_production[Expected Production (kWh)],expected_production[Site Name],A2130,expected_production[Date],B2130)),"")</f>
        <v>14953</v>
      </c>
      <c r="E2130" s="9" t="str">
        <f t="shared" si="66"/>
        <v/>
      </c>
      <c r="F2130" t="str">
        <f t="shared" si="67"/>
        <v/>
      </c>
    </row>
    <row r="2131" spans="1:6" ht="15" hidden="1" customHeight="1" x14ac:dyDescent="0.3">
      <c r="A2131" t="s">
        <v>182</v>
      </c>
      <c r="B2131" s="2">
        <v>45444</v>
      </c>
      <c r="C2131" t="str" cm="1">
        <f t="array" ref="C2131">IFERROR(IF(SUMPRODUCT((measured[Site Name]=A2131)*(measured[Date]=B2131)*ISNUMBER(measured[Measured Value (kWh)]))=0,"",SUMIFS(measured[Measured Value (kWh)],measured[Site Name],A2131,measured[Date],B2131)),"")</f>
        <v/>
      </c>
      <c r="D2131" cm="1">
        <f t="array" ref="D2131">IFERROR(IF(SUMPRODUCT((expected_production[Site Name]=A2131)*(expected_production[Date]=B2131)*ISNUMBER(expected_production[Expected Production (kWh)]))=0,"",SUMIFS(expected_production[Expected Production (kWh)],expected_production[Site Name],A2131,expected_production[Date],B2131)),"")</f>
        <v>13275.3</v>
      </c>
      <c r="E2131" s="9" t="str">
        <f t="shared" si="66"/>
        <v/>
      </c>
      <c r="F2131" t="str">
        <f t="shared" si="67"/>
        <v/>
      </c>
    </row>
    <row r="2132" spans="1:6" ht="15" hidden="1" customHeight="1" x14ac:dyDescent="0.3">
      <c r="A2132" t="s">
        <v>182</v>
      </c>
      <c r="B2132" s="2">
        <v>45474</v>
      </c>
      <c r="C2132" t="str" cm="1">
        <f t="array" ref="C2132">IFERROR(IF(SUMPRODUCT((measured[Site Name]=A2132)*(measured[Date]=B2132)*ISNUMBER(measured[Measured Value (kWh)]))=0,"",SUMIFS(measured[Measured Value (kWh)],measured[Site Name],A2132,measured[Date],B2132)),"")</f>
        <v/>
      </c>
      <c r="D2132" cm="1">
        <f t="array" ref="D2132">IFERROR(IF(SUMPRODUCT((expected_production[Site Name]=A2132)*(expected_production[Date]=B2132)*ISNUMBER(expected_production[Expected Production (kWh)]))=0,"",SUMIFS(expected_production[Expected Production (kWh)],expected_production[Site Name],A2132,expected_production[Date],B2132)),"")</f>
        <v>14678.45</v>
      </c>
      <c r="E2132" s="9" t="str">
        <f t="shared" si="66"/>
        <v/>
      </c>
      <c r="F2132" t="str">
        <f t="shared" si="67"/>
        <v/>
      </c>
    </row>
    <row r="2133" spans="1:6" ht="15" hidden="1" customHeight="1" x14ac:dyDescent="0.3">
      <c r="A2133" t="s">
        <v>182</v>
      </c>
      <c r="B2133" s="2">
        <v>45505</v>
      </c>
      <c r="C2133" t="str" cm="1">
        <f t="array" ref="C2133">IFERROR(IF(SUMPRODUCT((measured[Site Name]=A2133)*(measured[Date]=B2133)*ISNUMBER(measured[Measured Value (kWh)]))=0,"",SUMIFS(measured[Measured Value (kWh)],measured[Site Name],A2133,measured[Date],B2133)),"")</f>
        <v/>
      </c>
      <c r="D2133" cm="1">
        <f t="array" ref="D2133">IFERROR(IF(SUMPRODUCT((expected_production[Site Name]=A2133)*(expected_production[Date]=B2133)*ISNUMBER(expected_production[Expected Production (kWh)]))=0,"",SUMIFS(expected_production[Expected Production (kWh)],expected_production[Site Name],A2133,expected_production[Date],B2133)),"")</f>
        <v>17062.95</v>
      </c>
      <c r="E2133" s="9" t="str">
        <f t="shared" si="66"/>
        <v/>
      </c>
      <c r="F2133" t="str">
        <f t="shared" si="67"/>
        <v/>
      </c>
    </row>
    <row r="2134" spans="1:6" ht="15" hidden="1" customHeight="1" x14ac:dyDescent="0.3">
      <c r="A2134" t="s">
        <v>182</v>
      </c>
      <c r="B2134" s="2">
        <v>45536</v>
      </c>
      <c r="C2134" t="str" cm="1">
        <f t="array" ref="C2134">IFERROR(IF(SUMPRODUCT((measured[Site Name]=A2134)*(measured[Date]=B2134)*ISNUMBER(measured[Measured Value (kWh)]))=0,"",SUMIFS(measured[Measured Value (kWh)],measured[Site Name],A2134,measured[Date],B2134)),"")</f>
        <v/>
      </c>
      <c r="D2134" cm="1">
        <f t="array" ref="D2134">IFERROR(IF(SUMPRODUCT((expected_production[Site Name]=A2134)*(expected_production[Date]=B2134)*ISNUMBER(expected_production[Expected Production (kWh)]))=0,"",SUMIFS(expected_production[Expected Production (kWh)],expected_production[Site Name],A2134,expected_production[Date],B2134)),"")</f>
        <v>18937.3</v>
      </c>
      <c r="E2134" s="9" t="str">
        <f t="shared" ref="E2134:E2197" si="68">IF(OR(C2134="",D2134="",D2134=0),"",C2134/D2134)</f>
        <v/>
      </c>
      <c r="F2134" t="str">
        <f t="shared" ref="F2134:F2197" si="69">IF(E2134="","",IF(E2134&gt;=0.9,"Expected",IF(E2134&gt;=0.7,"Moderate","Poor")))</f>
        <v/>
      </c>
    </row>
    <row r="2135" spans="1:6" ht="15" hidden="1" customHeight="1" x14ac:dyDescent="0.3">
      <c r="A2135" t="s">
        <v>182</v>
      </c>
      <c r="B2135" s="2">
        <v>45566</v>
      </c>
      <c r="C2135" t="str" cm="1">
        <f t="array" ref="C2135">IFERROR(IF(SUMPRODUCT((measured[Site Name]=A2135)*(measured[Date]=B2135)*ISNUMBER(measured[Measured Value (kWh)]))=0,"",SUMIFS(measured[Measured Value (kWh)],measured[Site Name],A2135,measured[Date],B2135)),"")</f>
        <v/>
      </c>
      <c r="D2135" cm="1">
        <f t="array" ref="D2135">IFERROR(IF(SUMPRODUCT((expected_production[Site Name]=A2135)*(expected_production[Date]=B2135)*ISNUMBER(expected_production[Expected Production (kWh)]))=0,"",SUMIFS(expected_production[Expected Production (kWh)],expected_production[Site Name],A2135,expected_production[Date],B2135)),"")</f>
        <v>20481.05</v>
      </c>
      <c r="E2135" s="9" t="str">
        <f t="shared" si="68"/>
        <v/>
      </c>
      <c r="F2135" t="str">
        <f t="shared" si="69"/>
        <v/>
      </c>
    </row>
    <row r="2136" spans="1:6" ht="15" hidden="1" customHeight="1" x14ac:dyDescent="0.3">
      <c r="A2136" t="s">
        <v>182</v>
      </c>
      <c r="B2136" s="2">
        <v>45597</v>
      </c>
      <c r="C2136" t="str" cm="1">
        <f t="array" ref="C2136">IFERROR(IF(SUMPRODUCT((measured[Site Name]=A2136)*(measured[Date]=B2136)*ISNUMBER(measured[Measured Value (kWh)]))=0,"",SUMIFS(measured[Measured Value (kWh)],measured[Site Name],A2136,measured[Date],B2136)),"")</f>
        <v/>
      </c>
      <c r="D2136" cm="1">
        <f t="array" ref="D2136">IFERROR(IF(SUMPRODUCT((expected_production[Site Name]=A2136)*(expected_production[Date]=B2136)*ISNUMBER(expected_production[Expected Production (kWh)]))=0,"",SUMIFS(expected_production[Expected Production (kWh)],expected_production[Site Name],A2136,expected_production[Date],B2136)),"")</f>
        <v>20363.358369160276</v>
      </c>
      <c r="E2136" s="9" t="str">
        <f t="shared" si="68"/>
        <v/>
      </c>
      <c r="F2136" t="str">
        <f t="shared" si="69"/>
        <v/>
      </c>
    </row>
    <row r="2137" spans="1:6" ht="15" hidden="1" customHeight="1" x14ac:dyDescent="0.3">
      <c r="A2137" t="s">
        <v>182</v>
      </c>
      <c r="B2137" s="2">
        <v>45627</v>
      </c>
      <c r="C2137" t="str" cm="1">
        <f t="array" ref="C2137">IFERROR(IF(SUMPRODUCT((measured[Site Name]=A2137)*(measured[Date]=B2137)*ISNUMBER(measured[Measured Value (kWh)]))=0,"",SUMIFS(measured[Measured Value (kWh)],measured[Site Name],A2137,measured[Date],B2137)),"")</f>
        <v/>
      </c>
      <c r="D2137" cm="1">
        <f t="array" ref="D2137">IFERROR(IF(SUMPRODUCT((expected_production[Site Name]=A2137)*(expected_production[Date]=B2137)*ISNUMBER(expected_production[Expected Production (kWh)]))=0,"",SUMIFS(expected_production[Expected Production (kWh)],expected_production[Site Name],A2137,expected_production[Date],B2137)),"")</f>
        <v>21875.278081025488</v>
      </c>
      <c r="E2137" s="9" t="str">
        <f t="shared" si="68"/>
        <v/>
      </c>
      <c r="F2137" t="str">
        <f t="shared" si="69"/>
        <v/>
      </c>
    </row>
    <row r="2138" spans="1:6" ht="15" hidden="1" customHeight="1" x14ac:dyDescent="0.3">
      <c r="A2138" t="s">
        <v>182</v>
      </c>
      <c r="B2138" s="2">
        <v>45658</v>
      </c>
      <c r="C2138" cm="1">
        <f t="array" ref="C2138">IFERROR(IF(SUMPRODUCT((measured[Site Name]=A2138)*(measured[Date]=B2138)*ISNUMBER(measured[Measured Value (kWh)]))=0,"",SUMIFS(measured[Measured Value (kWh)],measured[Site Name],A2138,measured[Date],B2138)),"")</f>
        <v>18900</v>
      </c>
      <c r="D2138" cm="1">
        <f t="array" ref="D2138">IFERROR(IF(SUMPRODUCT((expected_production[Site Name]=A2138)*(expected_production[Date]=B2138)*ISNUMBER(expected_production[Expected Production (kWh)]))=0,"",SUMIFS(expected_production[Expected Production (kWh)],expected_production[Site Name],A2138,expected_production[Date],B2138)),"")</f>
        <v>20537.773136897278</v>
      </c>
      <c r="E2138" s="9">
        <f t="shared" si="68"/>
        <v>0.92025556393185948</v>
      </c>
      <c r="F2138" t="str">
        <f t="shared" si="69"/>
        <v>Expected</v>
      </c>
    </row>
    <row r="2139" spans="1:6" ht="15" hidden="1" customHeight="1" x14ac:dyDescent="0.3">
      <c r="A2139" t="s">
        <v>182</v>
      </c>
      <c r="B2139" s="2">
        <v>45689</v>
      </c>
      <c r="C2139" cm="1">
        <f t="array" ref="C2139">IFERROR(IF(SUMPRODUCT((measured[Site Name]=A2139)*(measured[Date]=B2139)*ISNUMBER(measured[Measured Value (kWh)]))=0,"",SUMIFS(measured[Measured Value (kWh)],measured[Site Name],A2139,measured[Date],B2139)),"")</f>
        <v>13110</v>
      </c>
      <c r="D2139" cm="1">
        <f t="array" ref="D2139">IFERROR(IF(SUMPRODUCT((expected_production[Site Name]=A2139)*(expected_production[Date]=B2139)*ISNUMBER(expected_production[Expected Production (kWh)]))=0,"",SUMIFS(expected_production[Expected Production (kWh)],expected_production[Site Name],A2139,expected_production[Date],B2139)),"")</f>
        <v>17458.128017336283</v>
      </c>
      <c r="E2139" s="9">
        <f t="shared" si="68"/>
        <v>0.75093961889736971</v>
      </c>
      <c r="F2139" t="str">
        <f t="shared" si="69"/>
        <v>Moderate</v>
      </c>
    </row>
    <row r="2140" spans="1:6" ht="15" hidden="1" customHeight="1" x14ac:dyDescent="0.3">
      <c r="A2140" t="s">
        <v>182</v>
      </c>
      <c r="B2140" s="2">
        <v>45717</v>
      </c>
      <c r="C2140" cm="1">
        <f t="array" ref="C2140">IFERROR(IF(SUMPRODUCT((measured[Site Name]=A2140)*(measured[Date]=B2140)*ISNUMBER(measured[Measured Value (kWh)]))=0,"",SUMIFS(measured[Measured Value (kWh)],measured[Site Name],A2140,measured[Date],B2140)),"")</f>
        <v>11124</v>
      </c>
      <c r="D2140" cm="1">
        <f t="array" ref="D2140">IFERROR(IF(SUMPRODUCT((expected_production[Site Name]=A2140)*(expected_production[Date]=B2140)*ISNUMBER(expected_production[Expected Production (kWh)]))=0,"",SUMIFS(expected_production[Expected Production (kWh)],expected_production[Site Name],A2140,expected_production[Date],B2140)),"")</f>
        <v>18202.136792969341</v>
      </c>
      <c r="E2140" s="9">
        <f t="shared" si="68"/>
        <v>0.61113703992691104</v>
      </c>
      <c r="F2140" t="str">
        <f t="shared" si="69"/>
        <v>Poor</v>
      </c>
    </row>
    <row r="2141" spans="1:6" ht="15" hidden="1" customHeight="1" x14ac:dyDescent="0.3">
      <c r="A2141" t="s">
        <v>182</v>
      </c>
      <c r="B2141" s="2">
        <v>45748</v>
      </c>
      <c r="C2141" cm="1">
        <f t="array" ref="C2141">IFERROR(IF(SUMPRODUCT((measured[Site Name]=A2141)*(measured[Date]=B2141)*ISNUMBER(measured[Measured Value (kWh)]))=0,"",SUMIFS(measured[Measured Value (kWh)],measured[Site Name],A2141,measured[Date],B2141)),"")</f>
        <v>9398</v>
      </c>
      <c r="D2141" cm="1">
        <f t="array" ref="D2141">IFERROR(IF(SUMPRODUCT((expected_production[Site Name]=A2141)*(expected_production[Date]=B2141)*ISNUMBER(expected_production[Expected Production (kWh)]))=0,"",SUMIFS(expected_production[Expected Production (kWh)],expected_production[Site Name],A2141,expected_production[Date],B2141)),"")</f>
        <v>15251.4348131815</v>
      </c>
      <c r="E2141" s="9">
        <f t="shared" si="68"/>
        <v>0.61620431881448312</v>
      </c>
      <c r="F2141" t="str">
        <f t="shared" si="69"/>
        <v>Poor</v>
      </c>
    </row>
    <row r="2142" spans="1:6" ht="15" hidden="1" customHeight="1" x14ac:dyDescent="0.3">
      <c r="A2142" t="s">
        <v>182</v>
      </c>
      <c r="B2142" s="2">
        <v>45778</v>
      </c>
      <c r="C2142" cm="1">
        <f t="array" ref="C2142">IFERROR(IF(SUMPRODUCT((measured[Site Name]=A2142)*(measured[Date]=B2142)*ISNUMBER(measured[Measured Value (kWh)]))=0,"",SUMIFS(measured[Measured Value (kWh)],measured[Site Name],A2142,measured[Date],B2142)),"")</f>
        <v>10507</v>
      </c>
      <c r="D2142" cm="1">
        <f t="array" ref="D2142">IFERROR(IF(SUMPRODUCT((expected_production[Site Name]=A2142)*(expected_production[Date]=B2142)*ISNUMBER(expected_production[Expected Production (kWh)]))=0,"",SUMIFS(expected_production[Expected Production (kWh)],expected_production[Site Name],A2142,expected_production[Date],B2142)),"")</f>
        <v>14899.032340698805</v>
      </c>
      <c r="E2142" s="9">
        <f t="shared" si="68"/>
        <v>0.7052135843277989</v>
      </c>
      <c r="F2142" t="str">
        <f t="shared" si="69"/>
        <v>Moderate</v>
      </c>
    </row>
    <row r="2143" spans="1:6" ht="15" hidden="1" customHeight="1" x14ac:dyDescent="0.3">
      <c r="A2143" t="s">
        <v>182</v>
      </c>
      <c r="B2143" s="2">
        <v>45809</v>
      </c>
      <c r="C2143" cm="1">
        <f t="array" ref="C2143">IFERROR(IF(SUMPRODUCT((measured[Site Name]=A2143)*(measured[Date]=B2143)*ISNUMBER(measured[Measured Value (kWh)]))=0,"",SUMIFS(measured[Measured Value (kWh)],measured[Site Name],A2143,measured[Date],B2143)),"")</f>
        <v>8615</v>
      </c>
      <c r="D2143" cm="1">
        <f t="array" ref="D2143">IFERROR(IF(SUMPRODUCT((expected_production[Site Name]=A2143)*(expected_production[Date]=B2143)*ISNUMBER(expected_production[Expected Production (kWh)]))=0,"",SUMIFS(expected_production[Expected Production (kWh)],expected_production[Site Name],A2143,expected_production[Date],B2143)),"")</f>
        <v>13219.503561425947</v>
      </c>
      <c r="E2143" s="9">
        <f t="shared" si="68"/>
        <v>0.65168861750136153</v>
      </c>
      <c r="F2143" t="str">
        <f t="shared" si="69"/>
        <v>Poor</v>
      </c>
    </row>
    <row r="2144" spans="1:6" ht="15" hidden="1" customHeight="1" x14ac:dyDescent="0.3">
      <c r="A2144" t="s">
        <v>182</v>
      </c>
      <c r="B2144" s="2">
        <v>45839</v>
      </c>
      <c r="C2144" cm="1">
        <f t="array" ref="C2144">IFERROR(IF(SUMPRODUCT((measured[Site Name]=A2144)*(measured[Date]=B2144)*ISNUMBER(measured[Measured Value (kWh)]))=0,"",SUMIFS(measured[Measured Value (kWh)],measured[Site Name],A2144,measured[Date],B2144)),"")</f>
        <v>9297</v>
      </c>
      <c r="D2144" cm="1">
        <f t="array" ref="D2144">IFERROR(IF(SUMPRODUCT((expected_production[Site Name]=A2144)*(expected_production[Date]=B2144)*ISNUMBER(expected_production[Expected Production (kWh)]))=0,"",SUMIFS(expected_production[Expected Production (kWh)],expected_production[Site Name],A2144,expected_production[Date],B2144)),"")</f>
        <v>14608.325081167921</v>
      </c>
      <c r="E2144" s="9">
        <f t="shared" si="68"/>
        <v>0.63641792938911745</v>
      </c>
      <c r="F2144" t="str">
        <f t="shared" si="69"/>
        <v>Poor</v>
      </c>
    </row>
    <row r="2145" spans="1:7" ht="15" hidden="1" customHeight="1" x14ac:dyDescent="0.3">
      <c r="A2145" t="s">
        <v>182</v>
      </c>
      <c r="B2145" s="2">
        <v>45870</v>
      </c>
      <c r="C2145" cm="1">
        <f t="array" ref="C2145">IFERROR(IF(SUMPRODUCT((measured[Site Name]=A2145)*(measured[Date]=B2145)*ISNUMBER(measured[Measured Value (kWh)]))=0,"",SUMIFS(measured[Measured Value (kWh)],measured[Site Name],A2145,measured[Date],B2145)),"")</f>
        <v>11805</v>
      </c>
      <c r="D2145" cm="1">
        <f t="array" ref="D2145">IFERROR(IF(SUMPRODUCT((expected_production[Site Name]=A2145)*(expected_production[Date]=B2145)*ISNUMBER(expected_production[Expected Production (kWh)]))=0,"",SUMIFS(expected_production[Expected Production (kWh)],expected_production[Site Name],A2145,expected_production[Date],B2145)),"")</f>
        <v>16971.311995780085</v>
      </c>
      <c r="E2145" s="9">
        <f t="shared" si="68"/>
        <v>0.69558558601334486</v>
      </c>
      <c r="F2145" t="str">
        <f t="shared" si="69"/>
        <v>Poor</v>
      </c>
    </row>
    <row r="2146" spans="1:7" ht="15" hidden="1" customHeight="1" x14ac:dyDescent="0.3">
      <c r="A2146" t="s">
        <v>182</v>
      </c>
      <c r="B2146" s="2">
        <v>45901</v>
      </c>
      <c r="C2146" cm="1">
        <f t="array" ref="C2146">IFERROR(IF(SUMPRODUCT((measured[Site Name]=A2146)*(measured[Date]=B2146)*ISNUMBER(measured[Measured Value (kWh)]))=0,"",SUMIFS(measured[Measured Value (kWh)],measured[Site Name],A2146,measured[Date],B2146)),"")</f>
        <v>12829</v>
      </c>
      <c r="D2146" cm="1">
        <f t="array" ref="D2146">IFERROR(IF(SUMPRODUCT((expected_production[Site Name]=A2146)*(expected_production[Date]=B2146)*ISNUMBER(expected_production[Expected Production (kWh)]))=0,"",SUMIFS(expected_production[Expected Production (kWh)],expected_production[Site Name],A2146,expected_production[Date],B2146)),"")</f>
        <v>18824.369154484593</v>
      </c>
      <c r="E2146" s="9">
        <f t="shared" si="68"/>
        <v>0.68151022192123256</v>
      </c>
      <c r="F2146" t="str">
        <f t="shared" si="69"/>
        <v>Poor</v>
      </c>
    </row>
    <row r="2147" spans="1:7" ht="15" hidden="1" customHeight="1" x14ac:dyDescent="0.3">
      <c r="A2147" t="s">
        <v>182</v>
      </c>
      <c r="B2147" s="2">
        <v>45931</v>
      </c>
      <c r="C2147" cm="1">
        <f t="array" ref="C2147">IFERROR(IF(SUMPRODUCT((measured[Site Name]=A2147)*(measured[Date]=B2147)*ISNUMBER(measured[Measured Value (kWh)]))=0,"",SUMIFS(measured[Measured Value (kWh)],measured[Site Name],A2147,measured[Date],B2147)),"")</f>
        <v>18800</v>
      </c>
      <c r="D2147" cm="1">
        <f t="array" ref="D2147">IFERROR(IF(SUMPRODUCT((expected_production[Site Name]=A2147)*(expected_production[Date]=B2147)*ISNUMBER(expected_production[Expected Production (kWh)]))=0,"",SUMIFS(expected_production[Expected Production (kWh)],expected_production[Site Name],A2147,expected_production[Date],B2147)),"")</f>
        <v>20347.170040697354</v>
      </c>
      <c r="E2147" s="9">
        <f t="shared" si="68"/>
        <v>0.92396141391639308</v>
      </c>
      <c r="F2147" t="str">
        <f t="shared" si="69"/>
        <v>Expected</v>
      </c>
    </row>
    <row r="2148" spans="1:7" ht="15" hidden="1" customHeight="1" x14ac:dyDescent="0.3">
      <c r="A2148" t="s">
        <v>182</v>
      </c>
      <c r="B2148" s="2">
        <v>45962</v>
      </c>
      <c r="C2148" cm="1">
        <f t="array" ref="C2148">IFERROR(IF(SUMPRODUCT((measured[Site Name]=A2148)*(measured[Date]=B2148)*ISNUMBER(measured[Measured Value (kWh)]))=0,"",SUMIFS(measured[Measured Value (kWh)],measured[Site Name],A2148,measured[Date],B2148)),"")</f>
        <v>15186</v>
      </c>
      <c r="D2148" cm="1">
        <f t="array" ref="D2148">IFERROR(IF(SUMPRODUCT((expected_production[Site Name]=A2148)*(expected_production[Date]=B2148)*ISNUMBER(expected_production[Expected Production (kWh)]))=0,"",SUMIFS(expected_production[Expected Production (kWh)],expected_production[Site Name],A2148,expected_production[Date],B2148)),"")</f>
        <v>20220.912084244592</v>
      </c>
      <c r="E2148" s="9">
        <f t="shared" si="68"/>
        <v>0.75100469932967984</v>
      </c>
      <c r="F2148" t="str">
        <f t="shared" si="69"/>
        <v>Moderate</v>
      </c>
    </row>
    <row r="2149" spans="1:7" ht="15" hidden="1" customHeight="1" x14ac:dyDescent="0.3">
      <c r="A2149" t="s">
        <v>182</v>
      </c>
      <c r="B2149" s="2">
        <v>45992</v>
      </c>
      <c r="C2149" cm="1">
        <f t="array" ref="C2149">IFERROR(IF(SUMPRODUCT((measured[Site Name]=A2149)*(measured[Date]=B2149)*ISNUMBER(measured[Measured Value (kWh)]))=0,"",SUMIFS(measured[Measured Value (kWh)],measured[Site Name],A2149,measured[Date],B2149)),"")</f>
        <v>17488.270700000001</v>
      </c>
      <c r="D2149" cm="1">
        <f t="array" ref="D2149">IFERROR(IF(SUMPRODUCT((expected_production[Site Name]=A2149)*(expected_production[Date]=B2149)*ISNUMBER(expected_production[Expected Production (kWh)]))=0,"",SUMIFS(expected_production[Expected Production (kWh)],expected_production[Site Name],A2149,expected_production[Date],B2149)),"")</f>
        <v>21722.255576699346</v>
      </c>
      <c r="E2149" s="9">
        <f t="shared" si="68"/>
        <v>0.80508539448173222</v>
      </c>
      <c r="F2149" t="str">
        <f t="shared" si="69"/>
        <v>Moderate</v>
      </c>
    </row>
    <row r="2150" spans="1:7" ht="15" hidden="1" customHeight="1" x14ac:dyDescent="0.3">
      <c r="A2150" t="s">
        <v>182</v>
      </c>
      <c r="B2150" s="2">
        <v>46023</v>
      </c>
      <c r="C2150" cm="1">
        <f t="array" ref="C2150">IFERROR(IF(SUMPRODUCT((measured[Site Name]=A2150)*(measured[Date]=B2150)*ISNUMBER(measured[Measured Value (kWh)]))=0,"",SUMIFS(measured[Measured Value (kWh)],measured[Site Name],A2150,measured[Date],B2150)),"")</f>
        <v>18755</v>
      </c>
      <c r="D2150" cm="1">
        <f t="array" ref="D2150">IFERROR(IF(SUMPRODUCT((expected_production[Site Name]=A2150)*(expected_production[Date]=B2150)*ISNUMBER(expected_production[Expected Production (kWh)]))=0,"",SUMIFS(expected_production[Expected Production (kWh)],expected_production[Site Name],A2150,expected_production[Date],B2150)),"")</f>
        <v>20394.106781340583</v>
      </c>
      <c r="E2150" s="9">
        <f t="shared" si="68"/>
        <v>0.9196284103582183</v>
      </c>
      <c r="F2150" t="str">
        <f t="shared" si="69"/>
        <v>Expected</v>
      </c>
    </row>
    <row r="2151" spans="1:7" ht="15" hidden="1" customHeight="1" x14ac:dyDescent="0.3">
      <c r="A2151" t="s">
        <v>182</v>
      </c>
      <c r="B2151" s="2">
        <v>46054</v>
      </c>
      <c r="C2151" cm="1">
        <f t="array" ref="C2151">IFERROR(IF(SUMPRODUCT((measured[Site Name]=A2151)*(measured[Date]=B2151)*ISNUMBER(measured[Measured Value (kWh)]))=0,"",SUMIFS(measured[Measured Value (kWh)],measured[Site Name],A2151,measured[Date],B2151)),"")</f>
        <v>15395.716200000001</v>
      </c>
      <c r="D2151" cm="1">
        <f t="array" ref="D2151">IFERROR(IF(SUMPRODUCT((expected_production[Site Name]=A2151)*(expected_production[Date]=B2151)*ISNUMBER(expected_production[Expected Production (kWh)]))=0,"",SUMIFS(expected_production[Expected Production (kWh)],expected_production[Site Name],A2151,expected_production[Date],B2151)),"")</f>
        <v>17336.004474030269</v>
      </c>
      <c r="E2151" s="9">
        <f t="shared" si="68"/>
        <v>0.88807753961203317</v>
      </c>
      <c r="F2151" t="str">
        <f t="shared" si="69"/>
        <v>Moderate</v>
      </c>
    </row>
    <row r="2152" spans="1:7" ht="15" hidden="1" customHeight="1" x14ac:dyDescent="0.3">
      <c r="A2152" t="s">
        <v>182</v>
      </c>
      <c r="B2152" s="2">
        <v>46082</v>
      </c>
      <c r="C2152" cm="1">
        <f t="array" ref="C2152">IFERROR(IF(SUMPRODUCT((measured[Site Name]=A2152)*(measured[Date]=B2152)*ISNUMBER(measured[Measured Value (kWh)]))=0,"",SUMIFS(measured[Measured Value (kWh)],measured[Site Name],A2152,measured[Date],B2152)),"")</f>
        <v>11700</v>
      </c>
      <c r="D2152" cm="1">
        <f t="array" ref="D2152">IFERROR(IF(SUMPRODUCT((expected_production[Site Name]=A2152)*(expected_production[Date]=B2152)*ISNUMBER(expected_production[Expected Production (kWh)]))=0,"",SUMIFS(expected_production[Expected Production (kWh)],expected_production[Site Name],A2152,expected_production[Date],B2152)),"")</f>
        <v>18074.808740460459</v>
      </c>
      <c r="E2152" s="9">
        <f t="shared" si="68"/>
        <v>0.64730975403405233</v>
      </c>
      <c r="F2152" t="str">
        <f t="shared" si="69"/>
        <v>Poor</v>
      </c>
    </row>
    <row r="2153" spans="1:7" ht="15" hidden="1" customHeight="1" x14ac:dyDescent="0.3">
      <c r="A2153" t="s">
        <v>182</v>
      </c>
      <c r="B2153" s="2">
        <v>46113</v>
      </c>
      <c r="C2153" cm="1">
        <f t="array" ref="C2153">IFERROR(IF(SUMPRODUCT((measured[Site Name]=A2153)*(measured[Date]=B2153)*ISNUMBER(measured[Measured Value (kWh)]))=0,"",SUMIFS(measured[Measured Value (kWh)],measured[Site Name],A2153,measured[Date],B2153)),"")</f>
        <v>8798.9599999999991</v>
      </c>
      <c r="D2153" cm="1">
        <f t="array" ref="D2153">IFERROR(IF(SUMPRODUCT((expected_production[Site Name]=A2153)*(expected_production[Date]=B2153)*ISNUMBER(expected_production[Expected Production (kWh)]))=0,"",SUMIFS(expected_production[Expected Production (kWh)],expected_production[Site Name],A2153,expected_production[Date],B2153)),"")</f>
        <v>15144.747586576401</v>
      </c>
      <c r="E2153" s="9">
        <f t="shared" si="68"/>
        <v>0.58099086496489305</v>
      </c>
      <c r="F2153" t="str">
        <f t="shared" si="69"/>
        <v>Poor</v>
      </c>
    </row>
    <row r="2154" spans="1:7" ht="15" hidden="1" customHeight="1" x14ac:dyDescent="0.3">
      <c r="A2154" t="s">
        <v>182</v>
      </c>
      <c r="B2154" s="2">
        <v>46143</v>
      </c>
      <c r="C2154" cm="1">
        <f t="array" ref="C2154">IFERROR(IF(SUMPRODUCT((measured[Site Name]=A2154)*(measured[Date]=B2154)*ISNUMBER(measured[Measured Value (kWh)]))=0,"",SUMIFS(measured[Measured Value (kWh)],measured[Site Name],A2154,measured[Date],B2154)),"")</f>
        <v>8378.25</v>
      </c>
      <c r="D2154" cm="1">
        <f t="array" ref="D2154">IFERROR(IF(SUMPRODUCT((expected_production[Site Name]=A2154)*(expected_production[Date]=B2154)*ISNUMBER(expected_production[Expected Production (kWh)]))=0,"",SUMIFS(expected_production[Expected Production (kWh)],expected_production[Site Name],A2154,expected_production[Date],B2154)),"")</f>
        <v>14794.810248876005</v>
      </c>
      <c r="E2154" s="9">
        <f t="shared" si="68"/>
        <v>0.566296549875421</v>
      </c>
      <c r="F2154" t="str">
        <f t="shared" si="69"/>
        <v>Poor</v>
      </c>
    </row>
    <row r="2155" spans="1:7" ht="15" hidden="1" customHeight="1" x14ac:dyDescent="0.3">
      <c r="A2155" t="s">
        <v>182</v>
      </c>
      <c r="B2155" s="2">
        <v>46174</v>
      </c>
      <c r="C2155" cm="1">
        <f t="array" ref="C2155">IFERROR(IF(SUMPRODUCT((measured[Site Name]=A2155)*(measured[Date]=B2155)*ISNUMBER(measured[Measured Value (kWh)]))=0,"",SUMIFS(measured[Measured Value (kWh)],measured[Site Name],A2155,measured[Date],B2155)),"")</f>
        <v>6213.16</v>
      </c>
      <c r="D2155" cm="1">
        <f t="array" ref="D2155">IFERROR(IF(SUMPRODUCT((expected_production[Site Name]=A2155)*(expected_production[Date]=B2155)*ISNUMBER(expected_production[Expected Production (kWh)]))=0,"",SUMIFS(expected_production[Expected Production (kWh)],expected_production[Site Name],A2155,expected_production[Date],B2155)),"")</f>
        <v>13127.030152245728</v>
      </c>
      <c r="E2155" s="9">
        <f t="shared" si="68"/>
        <v>0.4733104082142352</v>
      </c>
      <c r="F2155" t="str">
        <f t="shared" si="69"/>
        <v>Poor</v>
      </c>
    </row>
    <row r="2156" spans="1:7" ht="15" hidden="1" customHeight="1" x14ac:dyDescent="0.3">
      <c r="A2156" t="s">
        <v>182</v>
      </c>
      <c r="B2156" s="2">
        <v>46204</v>
      </c>
      <c r="C2156" cm="1">
        <f t="array" ref="C2156">IFERROR(IF(SUMPRODUCT((measured[Site Name]=A2156)*(measured[Date]=B2156)*ISNUMBER(measured[Measured Value (kWh)]))=0,"",SUMIFS(measured[Measured Value (kWh)],measured[Site Name],A2156,measured[Date],B2156)),"")</f>
        <v>6980.78</v>
      </c>
      <c r="D2156" cm="1">
        <f t="array" ref="D2156">IFERROR(IF(SUMPRODUCT((expected_production[Site Name]=A2156)*(expected_production[Date]=B2156)*ISNUMBER(expected_production[Expected Production (kWh)]))=0,"",SUMIFS(expected_production[Expected Production (kWh)],expected_production[Site Name],A2156,expected_production[Date],B2156)),"")</f>
        <v>14506.136552196958</v>
      </c>
      <c r="E2156" s="9">
        <f t="shared" si="68"/>
        <v>0.48122944209723151</v>
      </c>
      <c r="F2156" t="str">
        <f t="shared" si="69"/>
        <v>Poor</v>
      </c>
      <c r="G2156" t="s">
        <v>874</v>
      </c>
    </row>
    <row r="2157" spans="1:7" ht="15" hidden="1" customHeight="1" x14ac:dyDescent="0.3">
      <c r="A2157" t="s">
        <v>182</v>
      </c>
      <c r="B2157" s="2">
        <v>46235</v>
      </c>
      <c r="C2157" cm="1">
        <f t="array" ref="C2157">IFERROR(IF(SUMPRODUCT((measured[Site Name]=A2157)*(measured[Date]=B2157)*ISNUMBER(measured[Measured Value (kWh)]))=0,"",SUMIFS(measured[Measured Value (kWh)],measured[Site Name],A2157,measured[Date],B2157)),"")</f>
        <v>9821.36</v>
      </c>
      <c r="D2157" cm="1">
        <f t="array" ref="D2157">IFERROR(IF(SUMPRODUCT((expected_production[Site Name]=A2157)*(expected_production[Date]=B2157)*ISNUMBER(expected_production[Expected Production (kWh)]))=0,"",SUMIFS(expected_production[Expected Production (kWh)],expected_production[Site Name],A2157,expected_production[Date],B2157)),"")</f>
        <v>16852.593840350226</v>
      </c>
      <c r="E2157" s="9">
        <f t="shared" si="68"/>
        <v>0.58278031815403297</v>
      </c>
      <c r="F2157" t="str">
        <f t="shared" si="69"/>
        <v>Poor</v>
      </c>
      <c r="G2157" t="s">
        <v>874</v>
      </c>
    </row>
    <row r="2158" spans="1:7" ht="15" customHeight="1" x14ac:dyDescent="0.3">
      <c r="A2158" t="s">
        <v>182</v>
      </c>
      <c r="B2158" s="2">
        <v>46266</v>
      </c>
      <c r="C2158" cm="1">
        <f t="array" ref="C2158">IFERROR(IF(SUMPRODUCT((measured[Site Name]=A2158)*(measured[Date]=B2158)*ISNUMBER(measured[Measured Value (kWh)]))=0,"",SUMIFS(measured[Measured Value (kWh)],measured[Site Name],A2158,measured[Date],B2158)),"")</f>
        <v>11626.59</v>
      </c>
      <c r="D2158" cm="1">
        <f t="array" ref="D2158">IFERROR(IF(SUMPRODUCT((expected_production[Site Name]=A2158)*(expected_production[Date]=B2158)*ISNUMBER(expected_production[Expected Production (kWh)]))=0,"",SUMIFS(expected_production[Expected Production (kWh)],expected_production[Site Name],A2158,expected_production[Date],B2158)),"")</f>
        <v>18692.688446257274</v>
      </c>
      <c r="E2158" s="9">
        <f t="shared" si="68"/>
        <v>0.62198597239916675</v>
      </c>
      <c r="F2158" t="str">
        <f t="shared" si="69"/>
        <v>Poor</v>
      </c>
      <c r="G2158" t="s">
        <v>875</v>
      </c>
    </row>
    <row r="2159" spans="1:7" ht="15" hidden="1" customHeight="1" x14ac:dyDescent="0.3">
      <c r="A2159" t="s">
        <v>182</v>
      </c>
      <c r="B2159" s="2">
        <v>46296</v>
      </c>
      <c r="C2159" t="str" cm="1">
        <f t="array" ref="C2159">IFERROR(IF(SUMPRODUCT((measured[Site Name]=A2159)*(measured[Date]=B2159)*ISNUMBER(measured[Measured Value (kWh)]))=0,"",SUMIFS(measured[Measured Value (kWh)],measured[Site Name],A2159,measured[Date],B2159)),"")</f>
        <v/>
      </c>
      <c r="D2159" cm="1">
        <f t="array" ref="D2159">IFERROR(IF(SUMPRODUCT((expected_production[Site Name]=A2159)*(expected_production[Date]=B2159)*ISNUMBER(expected_production[Expected Production (kWh)]))=0,"",SUMIFS(expected_production[Expected Production (kWh)],expected_production[Site Name],A2159,expected_production[Date],B2159)),"")</f>
        <v>20204.836996790676</v>
      </c>
      <c r="E2159" s="9" t="str">
        <f t="shared" si="68"/>
        <v/>
      </c>
      <c r="F2159" t="str">
        <f t="shared" si="69"/>
        <v/>
      </c>
    </row>
    <row r="2160" spans="1:7" ht="15" hidden="1" customHeight="1" x14ac:dyDescent="0.3">
      <c r="A2160" t="s">
        <v>182</v>
      </c>
      <c r="B2160" s="2">
        <v>46327</v>
      </c>
      <c r="C2160" t="str" cm="1">
        <f t="array" ref="C2160">IFERROR(IF(SUMPRODUCT((measured[Site Name]=A2160)*(measured[Date]=B2160)*ISNUMBER(measured[Measured Value (kWh)]))=0,"",SUMIFS(measured[Measured Value (kWh)],measured[Site Name],A2160,measured[Date],B2160)),"")</f>
        <v/>
      </c>
      <c r="D2160" cm="1">
        <f t="array" ref="D2160">IFERROR(IF(SUMPRODUCT((expected_production[Site Name]=A2160)*(expected_production[Date]=B2160)*ISNUMBER(expected_production[Expected Production (kWh)]))=0,"",SUMIFS(expected_production[Expected Production (kWh)],expected_production[Site Name],A2160,expected_production[Date],B2160)),"")</f>
        <v>20079.462243221828</v>
      </c>
      <c r="E2160" s="9" t="str">
        <f t="shared" si="68"/>
        <v/>
      </c>
      <c r="F2160" t="str">
        <f t="shared" si="69"/>
        <v/>
      </c>
    </row>
    <row r="2161" spans="1:6" ht="15" hidden="1" customHeight="1" x14ac:dyDescent="0.3">
      <c r="A2161" t="s">
        <v>182</v>
      </c>
      <c r="B2161" s="2">
        <v>46357</v>
      </c>
      <c r="C2161" t="str" cm="1">
        <f t="array" ref="C2161">IFERROR(IF(SUMPRODUCT((measured[Site Name]=A2161)*(measured[Date]=B2161)*ISNUMBER(measured[Measured Value (kWh)]))=0,"",SUMIFS(measured[Measured Value (kWh)],measured[Site Name],A2161,measured[Date],B2161)),"")</f>
        <v/>
      </c>
      <c r="D2161" cm="1">
        <f t="array" ref="D2161">IFERROR(IF(SUMPRODUCT((expected_production[Site Name]=A2161)*(expected_production[Date]=B2161)*ISNUMBER(expected_production[Expected Production (kWh)]))=0,"",SUMIFS(expected_production[Expected Production (kWh)],expected_production[Site Name],A2161,expected_production[Date],B2161)),"")</f>
        <v>21570.303499306454</v>
      </c>
      <c r="E2161" s="9" t="str">
        <f t="shared" si="68"/>
        <v/>
      </c>
      <c r="F2161" t="str">
        <f t="shared" si="69"/>
        <v/>
      </c>
    </row>
    <row r="2162" spans="1:6" ht="15" hidden="1" customHeight="1" x14ac:dyDescent="0.3">
      <c r="A2162" t="s">
        <v>184</v>
      </c>
      <c r="B2162" s="2">
        <v>45292</v>
      </c>
      <c r="C2162" t="str" cm="1">
        <f t="array" ref="C2162">IFERROR(IF(SUMPRODUCT((measured[Site Name]=A2162)*(measured[Date]=B2162)*ISNUMBER(measured[Measured Value (kWh)]))=0,"",SUMIFS(measured[Measured Value (kWh)],measured[Site Name],A2162,measured[Date],B2162)),"")</f>
        <v/>
      </c>
      <c r="D2162" cm="1">
        <f t="array" ref="D2162">IFERROR(IF(SUMPRODUCT((expected_production[Site Name]=A2162)*(expected_production[Date]=B2162)*ISNUMBER(expected_production[Expected Production (kWh)]))=0,"",SUMIFS(expected_production[Expected Production (kWh)],expected_production[Site Name],A2162,expected_production[Date],B2162)),"")</f>
        <v>37513.599999999999</v>
      </c>
      <c r="E2162" s="9" t="str">
        <f t="shared" si="68"/>
        <v/>
      </c>
      <c r="F2162" t="str">
        <f t="shared" si="69"/>
        <v/>
      </c>
    </row>
    <row r="2163" spans="1:6" ht="15" hidden="1" customHeight="1" x14ac:dyDescent="0.3">
      <c r="A2163" t="s">
        <v>184</v>
      </c>
      <c r="B2163" s="2">
        <v>45323</v>
      </c>
      <c r="C2163" t="str" cm="1">
        <f t="array" ref="C2163">IFERROR(IF(SUMPRODUCT((measured[Site Name]=A2163)*(measured[Date]=B2163)*ISNUMBER(measured[Measured Value (kWh)]))=0,"",SUMIFS(measured[Measured Value (kWh)],measured[Site Name],A2163,measured[Date],B2163)),"")</f>
        <v/>
      </c>
      <c r="D2163" cm="1">
        <f t="array" ref="D2163">IFERROR(IF(SUMPRODUCT((expected_production[Site Name]=A2163)*(expected_production[Date]=B2163)*ISNUMBER(expected_production[Expected Production (kWh)]))=0,"",SUMIFS(expected_production[Expected Production (kWh)],expected_production[Site Name],A2163,expected_production[Date],B2163)),"")</f>
        <v>31212.25</v>
      </c>
      <c r="E2163" s="9" t="str">
        <f t="shared" si="68"/>
        <v/>
      </c>
      <c r="F2163" t="str">
        <f t="shared" si="69"/>
        <v/>
      </c>
    </row>
    <row r="2164" spans="1:6" ht="15" hidden="1" customHeight="1" x14ac:dyDescent="0.3">
      <c r="A2164" t="s">
        <v>184</v>
      </c>
      <c r="B2164" s="2">
        <v>45352</v>
      </c>
      <c r="C2164" t="str" cm="1">
        <f t="array" ref="C2164">IFERROR(IF(SUMPRODUCT((measured[Site Name]=A2164)*(measured[Date]=B2164)*ISNUMBER(measured[Measured Value (kWh)]))=0,"",SUMIFS(measured[Measured Value (kWh)],measured[Site Name],A2164,measured[Date],B2164)),"")</f>
        <v/>
      </c>
      <c r="D2164" cm="1">
        <f t="array" ref="D2164">IFERROR(IF(SUMPRODUCT((expected_production[Site Name]=A2164)*(expected_production[Date]=B2164)*ISNUMBER(expected_production[Expected Production (kWh)]))=0,"",SUMIFS(expected_production[Expected Production (kWh)],expected_production[Site Name],A2164,expected_production[Date],B2164)),"")</f>
        <v>29700.134999999998</v>
      </c>
      <c r="E2164" s="9" t="str">
        <f t="shared" si="68"/>
        <v/>
      </c>
      <c r="F2164" t="str">
        <f t="shared" si="69"/>
        <v/>
      </c>
    </row>
    <row r="2165" spans="1:6" ht="15" hidden="1" customHeight="1" x14ac:dyDescent="0.3">
      <c r="A2165" t="s">
        <v>184</v>
      </c>
      <c r="B2165" s="2">
        <v>45383</v>
      </c>
      <c r="C2165" t="str" cm="1">
        <f t="array" ref="C2165">IFERROR(IF(SUMPRODUCT((measured[Site Name]=A2165)*(measured[Date]=B2165)*ISNUMBER(measured[Measured Value (kWh)]))=0,"",SUMIFS(measured[Measured Value (kWh)],measured[Site Name],A2165,measured[Date],B2165)),"")</f>
        <v/>
      </c>
      <c r="D2165" cm="1">
        <f t="array" ref="D2165">IFERROR(IF(SUMPRODUCT((expected_production[Site Name]=A2165)*(expected_production[Date]=B2165)*ISNUMBER(expected_production[Expected Production (kWh)]))=0,"",SUMIFS(expected_production[Expected Production (kWh)],expected_production[Site Name],A2165,expected_production[Date],B2165)),"")</f>
        <v>24898.55</v>
      </c>
      <c r="E2165" s="9" t="str">
        <f t="shared" si="68"/>
        <v/>
      </c>
      <c r="F2165" t="str">
        <f t="shared" si="69"/>
        <v/>
      </c>
    </row>
    <row r="2166" spans="1:6" ht="15" hidden="1" customHeight="1" x14ac:dyDescent="0.3">
      <c r="A2166" t="s">
        <v>184</v>
      </c>
      <c r="B2166" s="2">
        <v>45413</v>
      </c>
      <c r="C2166" t="str" cm="1">
        <f t="array" ref="C2166">IFERROR(IF(SUMPRODUCT((measured[Site Name]=A2166)*(measured[Date]=B2166)*ISNUMBER(measured[Measured Value (kWh)]))=0,"",SUMIFS(measured[Measured Value (kWh)],measured[Site Name],A2166,measured[Date],B2166)),"")</f>
        <v/>
      </c>
      <c r="D2166" cm="1">
        <f t="array" ref="D2166">IFERROR(IF(SUMPRODUCT((expected_production[Site Name]=A2166)*(expected_production[Date]=B2166)*ISNUMBER(expected_production[Expected Production (kWh)]))=0,"",SUMIFS(expected_production[Expected Production (kWh)],expected_production[Site Name],A2166,expected_production[Date],B2166)),"")</f>
        <v>21981.1</v>
      </c>
      <c r="E2166" s="9" t="str">
        <f t="shared" si="68"/>
        <v/>
      </c>
      <c r="F2166" t="str">
        <f t="shared" si="69"/>
        <v/>
      </c>
    </row>
    <row r="2167" spans="1:6" ht="15" hidden="1" customHeight="1" x14ac:dyDescent="0.3">
      <c r="A2167" t="s">
        <v>184</v>
      </c>
      <c r="B2167" s="2">
        <v>45444</v>
      </c>
      <c r="C2167" t="str" cm="1">
        <f t="array" ref="C2167">IFERROR(IF(SUMPRODUCT((measured[Site Name]=A2167)*(measured[Date]=B2167)*ISNUMBER(measured[Measured Value (kWh)]))=0,"",SUMIFS(measured[Measured Value (kWh)],measured[Site Name],A2167,measured[Date],B2167)),"")</f>
        <v/>
      </c>
      <c r="D2167" cm="1">
        <f t="array" ref="D2167">IFERROR(IF(SUMPRODUCT((expected_production[Site Name]=A2167)*(expected_production[Date]=B2167)*ISNUMBER(expected_production[Expected Production (kWh)]))=0,"",SUMIFS(expected_production[Expected Production (kWh)],expected_production[Site Name],A2167,expected_production[Date],B2167)),"")</f>
        <v>18982.900000000001</v>
      </c>
      <c r="E2167" s="9" t="str">
        <f t="shared" si="68"/>
        <v/>
      </c>
      <c r="F2167" t="str">
        <f t="shared" si="69"/>
        <v/>
      </c>
    </row>
    <row r="2168" spans="1:6" ht="15" hidden="1" customHeight="1" x14ac:dyDescent="0.3">
      <c r="A2168" t="s">
        <v>184</v>
      </c>
      <c r="B2168" s="2">
        <v>45474</v>
      </c>
      <c r="C2168" t="str" cm="1">
        <f t="array" ref="C2168">IFERROR(IF(SUMPRODUCT((measured[Site Name]=A2168)*(measured[Date]=B2168)*ISNUMBER(measured[Measured Value (kWh)]))=0,"",SUMIFS(measured[Measured Value (kWh)],measured[Site Name],A2168,measured[Date],B2168)),"")</f>
        <v/>
      </c>
      <c r="D2168" cm="1">
        <f t="array" ref="D2168">IFERROR(IF(SUMPRODUCT((expected_production[Site Name]=A2168)*(expected_production[Date]=B2168)*ISNUMBER(expected_production[Expected Production (kWh)]))=0,"",SUMIFS(expected_production[Expected Production (kWh)],expected_production[Site Name],A2168,expected_production[Date],B2168)),"")</f>
        <v>21551.7</v>
      </c>
      <c r="E2168" s="9" t="str">
        <f t="shared" si="68"/>
        <v/>
      </c>
      <c r="F2168" t="str">
        <f t="shared" si="69"/>
        <v/>
      </c>
    </row>
    <row r="2169" spans="1:6" ht="15" hidden="1" customHeight="1" x14ac:dyDescent="0.3">
      <c r="A2169" t="s">
        <v>184</v>
      </c>
      <c r="B2169" s="2">
        <v>45505</v>
      </c>
      <c r="C2169" t="str" cm="1">
        <f t="array" ref="C2169">IFERROR(IF(SUMPRODUCT((measured[Site Name]=A2169)*(measured[Date]=B2169)*ISNUMBER(measured[Measured Value (kWh)]))=0,"",SUMIFS(measured[Measured Value (kWh)],measured[Site Name],A2169,measured[Date],B2169)),"")</f>
        <v/>
      </c>
      <c r="D2169" cm="1">
        <f t="array" ref="D2169">IFERROR(IF(SUMPRODUCT((expected_production[Site Name]=A2169)*(expected_production[Date]=B2169)*ISNUMBER(expected_production[Expected Production (kWh)]))=0,"",SUMIFS(expected_production[Expected Production (kWh)],expected_production[Site Name],A2169,expected_production[Date],B2169)),"")</f>
        <v>26041.4</v>
      </c>
      <c r="E2169" s="9" t="str">
        <f t="shared" si="68"/>
        <v/>
      </c>
      <c r="F2169" t="str">
        <f t="shared" si="69"/>
        <v/>
      </c>
    </row>
    <row r="2170" spans="1:6" ht="15" hidden="1" customHeight="1" x14ac:dyDescent="0.3">
      <c r="A2170" t="s">
        <v>184</v>
      </c>
      <c r="B2170" s="2">
        <v>45536</v>
      </c>
      <c r="C2170" t="str" cm="1">
        <f t="array" ref="C2170">IFERROR(IF(SUMPRODUCT((measured[Site Name]=A2170)*(measured[Date]=B2170)*ISNUMBER(measured[Measured Value (kWh)]))=0,"",SUMIFS(measured[Measured Value (kWh)],measured[Site Name],A2170,measured[Date],B2170)),"")</f>
        <v/>
      </c>
      <c r="D2170" cm="1">
        <f t="array" ref="D2170">IFERROR(IF(SUMPRODUCT((expected_production[Site Name]=A2170)*(expected_production[Date]=B2170)*ISNUMBER(expected_production[Expected Production (kWh)]))=0,"",SUMIFS(expected_production[Expected Production (kWh)],expected_production[Site Name],A2170,expected_production[Date],B2170)),"")</f>
        <v>29888.9</v>
      </c>
      <c r="E2170" s="9" t="str">
        <f t="shared" si="68"/>
        <v/>
      </c>
      <c r="F2170" t="str">
        <f t="shared" si="69"/>
        <v/>
      </c>
    </row>
    <row r="2171" spans="1:6" ht="15" hidden="1" customHeight="1" x14ac:dyDescent="0.3">
      <c r="A2171" t="s">
        <v>184</v>
      </c>
      <c r="B2171" s="2">
        <v>45566</v>
      </c>
      <c r="C2171" t="str" cm="1">
        <f t="array" ref="C2171">IFERROR(IF(SUMPRODUCT((measured[Site Name]=A2171)*(measured[Date]=B2171)*ISNUMBER(measured[Measured Value (kWh)]))=0,"",SUMIFS(measured[Measured Value (kWh)],measured[Site Name],A2171,measured[Date],B2171)),"")</f>
        <v/>
      </c>
      <c r="D2171" cm="1">
        <f t="array" ref="D2171">IFERROR(IF(SUMPRODUCT((expected_production[Site Name]=A2171)*(expected_production[Date]=B2171)*ISNUMBER(expected_production[Expected Production (kWh)]))=0,"",SUMIFS(expected_production[Expected Production (kWh)],expected_production[Site Name],A2171,expected_production[Date],B2171)),"")</f>
        <v>34700.060680248163</v>
      </c>
      <c r="E2171" s="9" t="str">
        <f t="shared" si="68"/>
        <v/>
      </c>
      <c r="F2171" t="str">
        <f t="shared" si="69"/>
        <v/>
      </c>
    </row>
    <row r="2172" spans="1:6" ht="15" hidden="1" customHeight="1" x14ac:dyDescent="0.3">
      <c r="A2172" t="s">
        <v>184</v>
      </c>
      <c r="B2172" s="2">
        <v>45597</v>
      </c>
      <c r="C2172" t="str" cm="1">
        <f t="array" ref="C2172">IFERROR(IF(SUMPRODUCT((measured[Site Name]=A2172)*(measured[Date]=B2172)*ISNUMBER(measured[Measured Value (kWh)]))=0,"",SUMIFS(measured[Measured Value (kWh)],measured[Site Name],A2172,measured[Date],B2172)),"")</f>
        <v/>
      </c>
      <c r="D2172" cm="1">
        <f t="array" ref="D2172">IFERROR(IF(SUMPRODUCT((expected_production[Site Name]=A2172)*(expected_production[Date]=B2172)*ISNUMBER(expected_production[Expected Production (kWh)]))=0,"",SUMIFS(expected_production[Expected Production (kWh)],expected_production[Site Name],A2172,expected_production[Date],B2172)),"")</f>
        <v>36854.196714409991</v>
      </c>
      <c r="E2172" s="9" t="str">
        <f t="shared" si="68"/>
        <v/>
      </c>
      <c r="F2172" t="str">
        <f t="shared" si="69"/>
        <v/>
      </c>
    </row>
    <row r="2173" spans="1:6" ht="15" hidden="1" customHeight="1" x14ac:dyDescent="0.3">
      <c r="A2173" t="s">
        <v>184</v>
      </c>
      <c r="B2173" s="2">
        <v>45627</v>
      </c>
      <c r="C2173" t="str" cm="1">
        <f t="array" ref="C2173">IFERROR(IF(SUMPRODUCT((measured[Site Name]=A2173)*(measured[Date]=B2173)*ISNUMBER(measured[Measured Value (kWh)]))=0,"",SUMIFS(measured[Measured Value (kWh)],measured[Site Name],A2173,measured[Date],B2173)),"")</f>
        <v/>
      </c>
      <c r="D2173" cm="1">
        <f t="array" ref="D2173">IFERROR(IF(SUMPRODUCT((expected_production[Site Name]=A2173)*(expected_production[Date]=B2173)*ISNUMBER(expected_production[Expected Production (kWh)]))=0,"",SUMIFS(expected_production[Expected Production (kWh)],expected_production[Site Name],A2173,expected_production[Date],B2173)),"")</f>
        <v>40057.706855266544</v>
      </c>
      <c r="E2173" s="9" t="str">
        <f t="shared" si="68"/>
        <v/>
      </c>
      <c r="F2173" t="str">
        <f t="shared" si="69"/>
        <v/>
      </c>
    </row>
    <row r="2174" spans="1:6" ht="15" hidden="1" customHeight="1" x14ac:dyDescent="0.3">
      <c r="A2174" t="s">
        <v>184</v>
      </c>
      <c r="B2174" s="2">
        <v>45658</v>
      </c>
      <c r="C2174" cm="1">
        <f t="array" ref="C2174">IFERROR(IF(SUMPRODUCT((measured[Site Name]=A2174)*(measured[Date]=B2174)*ISNUMBER(measured[Measured Value (kWh)]))=0,"",SUMIFS(measured[Measured Value (kWh)],measured[Site Name],A2174,measured[Date],B2174)),"")</f>
        <v>33100</v>
      </c>
      <c r="D2174" cm="1">
        <f t="array" ref="D2174">IFERROR(IF(SUMPRODUCT((expected_production[Site Name]=A2174)*(expected_production[Date]=B2174)*ISNUMBER(expected_production[Expected Production (kWh)]))=0,"",SUMIFS(expected_production[Expected Production (kWh)],expected_production[Site Name],A2174,expected_production[Date],B2174)),"")</f>
        <v>37441.521874548082</v>
      </c>
      <c r="E2174" s="9">
        <f t="shared" si="68"/>
        <v>0.88404526159233521</v>
      </c>
      <c r="F2174" t="str">
        <f t="shared" si="69"/>
        <v>Moderate</v>
      </c>
    </row>
    <row r="2175" spans="1:6" ht="15" hidden="1" customHeight="1" x14ac:dyDescent="0.3">
      <c r="A2175" t="s">
        <v>184</v>
      </c>
      <c r="B2175" s="2">
        <v>45689</v>
      </c>
      <c r="C2175" cm="1">
        <f t="array" ref="C2175">IFERROR(IF(SUMPRODUCT((measured[Site Name]=A2175)*(measured[Date]=B2175)*ISNUMBER(measured[Measured Value (kWh)]))=0,"",SUMIFS(measured[Measured Value (kWh)],measured[Site Name],A2175,measured[Date],B2175)),"")</f>
        <v>24950</v>
      </c>
      <c r="D2175" cm="1">
        <f t="array" ref="D2175">IFERROR(IF(SUMPRODUCT((expected_production[Site Name]=A2175)*(expected_production[Date]=B2175)*ISNUMBER(expected_production[Expected Production (kWh)]))=0,"",SUMIFS(expected_production[Expected Production (kWh)],expected_production[Site Name],A2175,expected_production[Date],B2175)),"")</f>
        <v>31133.711663807106</v>
      </c>
      <c r="E2175" s="9">
        <f t="shared" si="68"/>
        <v>0.80138212460560354</v>
      </c>
      <c r="F2175" t="str">
        <f t="shared" si="69"/>
        <v>Moderate</v>
      </c>
    </row>
    <row r="2176" spans="1:6" ht="15" hidden="1" customHeight="1" x14ac:dyDescent="0.3">
      <c r="A2176" t="s">
        <v>184</v>
      </c>
      <c r="B2176" s="2">
        <v>45717</v>
      </c>
      <c r="C2176" cm="1">
        <f t="array" ref="C2176">IFERROR(IF(SUMPRODUCT((measured[Site Name]=A2176)*(measured[Date]=B2176)*ISNUMBER(measured[Measured Value (kWh)]))=0,"",SUMIFS(measured[Measured Value (kWh)],measured[Site Name],A2176,measured[Date],B2176)),"")</f>
        <v>24126</v>
      </c>
      <c r="D2176" cm="1">
        <f t="array" ref="D2176">IFERROR(IF(SUMPRODUCT((expected_production[Site Name]=A2176)*(expected_production[Date]=B2176)*ISNUMBER(expected_production[Expected Production (kWh)]))=0,"",SUMIFS(expected_production[Expected Production (kWh)],expected_production[Site Name],A2176,expected_production[Date],B2176)),"")</f>
        <v>29609.452394211672</v>
      </c>
      <c r="E2176" s="9">
        <f t="shared" si="68"/>
        <v>0.8148073689034645</v>
      </c>
      <c r="F2176" t="str">
        <f t="shared" si="69"/>
        <v>Moderate</v>
      </c>
    </row>
    <row r="2177" spans="1:7" ht="15" hidden="1" customHeight="1" x14ac:dyDescent="0.3">
      <c r="A2177" t="s">
        <v>184</v>
      </c>
      <c r="B2177" s="2">
        <v>45748</v>
      </c>
      <c r="C2177" cm="1">
        <f t="array" ref="C2177">IFERROR(IF(SUMPRODUCT((measured[Site Name]=A2177)*(measured[Date]=B2177)*ISNUMBER(measured[Measured Value (kWh)]))=0,"",SUMIFS(measured[Measured Value (kWh)],measured[Site Name],A2177,measured[Date],B2177)),"")</f>
        <v>18837</v>
      </c>
      <c r="D2177" cm="1">
        <f t="array" ref="D2177">IFERROR(IF(SUMPRODUCT((expected_production[Site Name]=A2177)*(expected_production[Date]=B2177)*ISNUMBER(expected_production[Expected Production (kWh)]))=0,"",SUMIFS(expected_production[Expected Production (kWh)],expected_production[Site Name],A2177,expected_production[Date],B2177)),"")</f>
        <v>24807.733092502094</v>
      </c>
      <c r="E2177" s="9">
        <f t="shared" si="68"/>
        <v>0.759319681881506</v>
      </c>
      <c r="F2177" t="str">
        <f t="shared" si="69"/>
        <v>Moderate</v>
      </c>
    </row>
    <row r="2178" spans="1:7" ht="15" hidden="1" customHeight="1" x14ac:dyDescent="0.3">
      <c r="A2178" t="s">
        <v>184</v>
      </c>
      <c r="B2178" s="2">
        <v>45778</v>
      </c>
      <c r="C2178" cm="1">
        <f t="array" ref="C2178">IFERROR(IF(SUMPRODUCT((measured[Site Name]=A2178)*(measured[Date]=B2178)*ISNUMBER(measured[Measured Value (kWh)]))=0,"",SUMIFS(measured[Measured Value (kWh)],measured[Site Name],A2178,measured[Date],B2178)),"")</f>
        <v>22373</v>
      </c>
      <c r="D2178" cm="1">
        <f t="array" ref="D2178">IFERROR(IF(SUMPRODUCT((expected_production[Site Name]=A2178)*(expected_production[Date]=B2178)*ISNUMBER(expected_production[Expected Production (kWh)]))=0,"",SUMIFS(expected_production[Expected Production (kWh)],expected_production[Site Name],A2178,expected_production[Date],B2178)),"")</f>
        <v>21888.291885461509</v>
      </c>
      <c r="E2178" s="9">
        <f t="shared" si="68"/>
        <v>1.0221446295158574</v>
      </c>
      <c r="F2178" t="str">
        <f t="shared" si="69"/>
        <v>Expected</v>
      </c>
    </row>
    <row r="2179" spans="1:7" ht="15" hidden="1" customHeight="1" x14ac:dyDescent="0.3">
      <c r="A2179" t="s">
        <v>184</v>
      </c>
      <c r="B2179" s="2">
        <v>45809</v>
      </c>
      <c r="C2179" cm="1">
        <f t="array" ref="C2179">IFERROR(IF(SUMPRODUCT((measured[Site Name]=A2179)*(measured[Date]=B2179)*ISNUMBER(measured[Measured Value (kWh)]))=0,"",SUMIFS(measured[Measured Value (kWh)],measured[Site Name],A2179,measured[Date],B2179)),"")</f>
        <v>18416.599999999999</v>
      </c>
      <c r="D2179" cm="1">
        <f t="array" ref="D2179">IFERROR(IF(SUMPRODUCT((expected_production[Site Name]=A2179)*(expected_production[Date]=B2179)*ISNUMBER(expected_production[Expected Production (kWh)]))=0,"",SUMIFS(expected_production[Expected Production (kWh)],expected_production[Site Name],A2179,expected_production[Date],B2179)),"")</f>
        <v>18891.484305658312</v>
      </c>
      <c r="E2179" s="9">
        <f t="shared" si="68"/>
        <v>0.9748625201717962</v>
      </c>
      <c r="F2179" t="str">
        <f t="shared" si="69"/>
        <v>Expected</v>
      </c>
    </row>
    <row r="2180" spans="1:7" ht="15" hidden="1" customHeight="1" x14ac:dyDescent="0.3">
      <c r="A2180" t="s">
        <v>184</v>
      </c>
      <c r="B2180" s="2">
        <v>45839</v>
      </c>
      <c r="C2180" cm="1">
        <f t="array" ref="C2180">IFERROR(IF(SUMPRODUCT((measured[Site Name]=A2180)*(measured[Date]=B2180)*ISNUMBER(measured[Measured Value (kWh)]))=0,"",SUMIFS(measured[Measured Value (kWh)],measured[Site Name],A2180,measured[Date],B2180)),"")</f>
        <v>19123</v>
      </c>
      <c r="D2180" cm="1">
        <f t="array" ref="D2180">IFERROR(IF(SUMPRODUCT((expected_production[Site Name]=A2180)*(expected_production[Date]=B2180)*ISNUMBER(expected_production[Expected Production (kWh)]))=0,"",SUMIFS(expected_production[Expected Production (kWh)],expected_production[Site Name],A2180,expected_production[Date],B2180)),"")</f>
        <v>21435.542527619677</v>
      </c>
      <c r="E2180" s="9">
        <f t="shared" si="68"/>
        <v>0.8921164451685808</v>
      </c>
      <c r="F2180" t="str">
        <f t="shared" si="69"/>
        <v>Moderate</v>
      </c>
    </row>
    <row r="2181" spans="1:7" ht="15" hidden="1" customHeight="1" x14ac:dyDescent="0.3">
      <c r="A2181" t="s">
        <v>184</v>
      </c>
      <c r="B2181" s="2">
        <v>45870</v>
      </c>
      <c r="C2181" cm="1">
        <f t="array" ref="C2181">IFERROR(IF(SUMPRODUCT((measured[Site Name]=A2181)*(measured[Date]=B2181)*ISNUMBER(measured[Measured Value (kWh)]))=0,"",SUMIFS(measured[Measured Value (kWh)],measured[Site Name],A2181,measured[Date],B2181)),"")</f>
        <v>22404</v>
      </c>
      <c r="D2181" cm="1">
        <f t="array" ref="D2181">IFERROR(IF(SUMPRODUCT((expected_production[Site Name]=A2181)*(expected_production[Date]=B2181)*ISNUMBER(expected_production[Expected Production (kWh)]))=0,"",SUMIFS(expected_production[Expected Production (kWh)],expected_production[Site Name],A2181,expected_production[Date],B2181)),"")</f>
        <v>25885.606662242204</v>
      </c>
      <c r="E2181" s="9">
        <f t="shared" si="68"/>
        <v>0.86550028718003291</v>
      </c>
      <c r="F2181" t="str">
        <f t="shared" si="69"/>
        <v>Moderate</v>
      </c>
    </row>
    <row r="2182" spans="1:7" ht="15" hidden="1" customHeight="1" x14ac:dyDescent="0.3">
      <c r="A2182" t="s">
        <v>184</v>
      </c>
      <c r="B2182" s="2">
        <v>45901</v>
      </c>
      <c r="C2182" cm="1">
        <f t="array" ref="C2182">IFERROR(IF(SUMPRODUCT((measured[Site Name]=A2182)*(measured[Date]=B2182)*ISNUMBER(measured[Measured Value (kWh)]))=0,"",SUMIFS(measured[Measured Value (kWh)],measured[Site Name],A2182,measured[Date],B2182)),"")</f>
        <v>21900</v>
      </c>
      <c r="D2182" cm="1">
        <f t="array" ref="D2182">IFERROR(IF(SUMPRODUCT((expected_production[Site Name]=A2182)*(expected_production[Date]=B2182)*ISNUMBER(expected_production[Expected Production (kWh)]))=0,"",SUMIFS(expected_production[Expected Production (kWh)],expected_production[Site Name],A2182,expected_production[Date],B2182)),"")</f>
        <v>29692.380937535443</v>
      </c>
      <c r="E2182" s="9">
        <f t="shared" si="68"/>
        <v>0.73756294741306005</v>
      </c>
      <c r="F2182" t="str">
        <f t="shared" si="69"/>
        <v>Moderate</v>
      </c>
    </row>
    <row r="2183" spans="1:7" ht="15" hidden="1" customHeight="1" x14ac:dyDescent="0.3">
      <c r="A2183" t="s">
        <v>184</v>
      </c>
      <c r="B2183" s="2">
        <v>45931</v>
      </c>
      <c r="C2183" cm="1">
        <f t="array" ref="C2183">IFERROR(IF(SUMPRODUCT((measured[Site Name]=A2183)*(measured[Date]=B2183)*ISNUMBER(measured[Measured Value (kWh)]))=0,"",SUMIFS(measured[Measured Value (kWh)],measured[Site Name],A2183,measured[Date],B2183)),"")</f>
        <v>29612</v>
      </c>
      <c r="D2183" cm="1">
        <f t="array" ref="D2183">IFERROR(IF(SUMPRODUCT((expected_production[Site Name]=A2183)*(expected_production[Date]=B2183)*ISNUMBER(expected_production[Expected Production (kWh)]))=0,"",SUMIFS(expected_production[Expected Production (kWh)],expected_production[Site Name],A2183,expected_production[Date],B2183)),"")</f>
        <v>34457.325928904982</v>
      </c>
      <c r="E2183" s="9">
        <f t="shared" si="68"/>
        <v>0.8593818354070123</v>
      </c>
      <c r="F2183" t="str">
        <f t="shared" si="69"/>
        <v>Moderate</v>
      </c>
    </row>
    <row r="2184" spans="1:7" ht="15" hidden="1" customHeight="1" x14ac:dyDescent="0.3">
      <c r="A2184" t="s">
        <v>184</v>
      </c>
      <c r="B2184" s="2">
        <v>45962</v>
      </c>
      <c r="C2184" cm="1">
        <f t="array" ref="C2184">IFERROR(IF(SUMPRODUCT((measured[Site Name]=A2184)*(measured[Date]=B2184)*ISNUMBER(measured[Measured Value (kWh)]))=0,"",SUMIFS(measured[Measured Value (kWh)],measured[Site Name],A2184,measured[Date],B2184)),"")</f>
        <v>26751</v>
      </c>
      <c r="D2184" cm="1">
        <f t="array" ref="D2184">IFERROR(IF(SUMPRODUCT((expected_production[Site Name]=A2184)*(expected_production[Date]=B2184)*ISNUMBER(expected_production[Expected Production (kWh)]))=0,"",SUMIFS(expected_production[Expected Production (kWh)],expected_production[Site Name],A2184,expected_production[Date],B2184)),"")</f>
        <v>36596.393295624701</v>
      </c>
      <c r="E2184" s="9">
        <f t="shared" si="68"/>
        <v>0.73097367229349974</v>
      </c>
      <c r="F2184" t="str">
        <f t="shared" si="69"/>
        <v>Moderate</v>
      </c>
    </row>
    <row r="2185" spans="1:7" ht="15" hidden="1" customHeight="1" x14ac:dyDescent="0.3">
      <c r="A2185" t="s">
        <v>184</v>
      </c>
      <c r="B2185" s="2">
        <v>45992</v>
      </c>
      <c r="C2185" cm="1">
        <f t="array" ref="C2185">IFERROR(IF(SUMPRODUCT((measured[Site Name]=A2185)*(measured[Date]=B2185)*ISNUMBER(measured[Measured Value (kWh)]))=0,"",SUMIFS(measured[Measured Value (kWh)],measured[Site Name],A2185,measured[Date],B2185)),"")</f>
        <v>30623.100399999999</v>
      </c>
      <c r="D2185" cm="1">
        <f t="array" ref="D2185">IFERROR(IF(SUMPRODUCT((expected_production[Site Name]=A2185)*(expected_production[Date]=B2185)*ISNUMBER(expected_production[Expected Production (kWh)]))=0,"",SUMIFS(expected_production[Expected Production (kWh)],expected_production[Site Name],A2185,expected_production[Date],B2185)),"")</f>
        <v>39777.494160467832</v>
      </c>
      <c r="E2185" s="9">
        <f t="shared" si="68"/>
        <v>0.7698599684651386</v>
      </c>
      <c r="F2185" t="str">
        <f t="shared" si="69"/>
        <v>Moderate</v>
      </c>
    </row>
    <row r="2186" spans="1:7" ht="15" hidden="1" customHeight="1" x14ac:dyDescent="0.3">
      <c r="A2186" t="s">
        <v>184</v>
      </c>
      <c r="B2186" s="2">
        <v>46023</v>
      </c>
      <c r="C2186" cm="1">
        <f t="array" ref="C2186">IFERROR(IF(SUMPRODUCT((measured[Site Name]=A2186)*(measured[Date]=B2186)*ISNUMBER(measured[Measured Value (kWh)]))=0,"",SUMIFS(measured[Measured Value (kWh)],measured[Site Name],A2186,measured[Date],B2186)),"")</f>
        <v>34009</v>
      </c>
      <c r="D2186" cm="1">
        <f t="array" ref="D2186">IFERROR(IF(SUMPRODUCT((expected_production[Site Name]=A2186)*(expected_production[Date]=B2186)*ISNUMBER(expected_production[Expected Production (kWh)]))=0,"",SUMIFS(expected_production[Expected Production (kWh)],expected_production[Site Name],A2186,expected_production[Date],B2186)),"")</f>
        <v>37179.60998379159</v>
      </c>
      <c r="E2186" s="9">
        <f t="shared" si="68"/>
        <v>0.91472180624880639</v>
      </c>
      <c r="F2186" t="str">
        <f t="shared" si="69"/>
        <v>Expected</v>
      </c>
    </row>
    <row r="2187" spans="1:7" ht="15" hidden="1" customHeight="1" x14ac:dyDescent="0.3">
      <c r="A2187" t="s">
        <v>184</v>
      </c>
      <c r="B2187" s="2">
        <v>46054</v>
      </c>
      <c r="C2187" cm="1">
        <f t="array" ref="C2187">IFERROR(IF(SUMPRODUCT((measured[Site Name]=A2187)*(measured[Date]=B2187)*ISNUMBER(measured[Measured Value (kWh)]))=0,"",SUMIFS(measured[Measured Value (kWh)],measured[Site Name],A2187,measured[Date],B2187)),"")</f>
        <v>24602.882900000001</v>
      </c>
      <c r="D2187" cm="1">
        <f t="array" ref="D2187">IFERROR(IF(SUMPRODUCT((expected_production[Site Name]=A2187)*(expected_production[Date]=B2187)*ISNUMBER(expected_production[Expected Production (kWh)]))=0,"",SUMIFS(expected_production[Expected Production (kWh)],expected_production[Site Name],A2187,expected_production[Date],B2187)),"")</f>
        <v>30915.924328253361</v>
      </c>
      <c r="E2187" s="9">
        <f t="shared" si="68"/>
        <v>0.79579968687903613</v>
      </c>
      <c r="F2187" t="str">
        <f t="shared" si="69"/>
        <v>Moderate</v>
      </c>
    </row>
    <row r="2188" spans="1:7" ht="15" hidden="1" customHeight="1" x14ac:dyDescent="0.3">
      <c r="A2188" t="s">
        <v>184</v>
      </c>
      <c r="B2188" s="2">
        <v>46082</v>
      </c>
      <c r="C2188" cm="1">
        <f t="array" ref="C2188">IFERROR(IF(SUMPRODUCT((measured[Site Name]=A2188)*(measured[Date]=B2188)*ISNUMBER(measured[Measured Value (kWh)]))=0,"",SUMIFS(measured[Measured Value (kWh)],measured[Site Name],A2188,measured[Date],B2188)),"")</f>
        <v>23540</v>
      </c>
      <c r="D2188" cm="1">
        <f t="array" ref="D2188">IFERROR(IF(SUMPRODUCT((expected_production[Site Name]=A2188)*(expected_production[Date]=B2188)*ISNUMBER(expected_production[Expected Production (kWh)]))=0,"",SUMIFS(expected_production[Expected Production (kWh)],expected_production[Site Name],A2188,expected_production[Date],B2188)),"")</f>
        <v>29402.327596057996</v>
      </c>
      <c r="E2188" s="9">
        <f t="shared" si="68"/>
        <v>0.8006168873227586</v>
      </c>
      <c r="F2188" t="str">
        <f t="shared" si="69"/>
        <v>Moderate</v>
      </c>
    </row>
    <row r="2189" spans="1:7" ht="15" hidden="1" customHeight="1" x14ac:dyDescent="0.3">
      <c r="A2189" t="s">
        <v>184</v>
      </c>
      <c r="B2189" s="2">
        <v>46113</v>
      </c>
      <c r="C2189" cm="1">
        <f t="array" ref="C2189">IFERROR(IF(SUMPRODUCT((measured[Site Name]=A2189)*(measured[Date]=B2189)*ISNUMBER(measured[Measured Value (kWh)]))=0,"",SUMIFS(measured[Measured Value (kWh)],measured[Site Name],A2189,measured[Date],B2189)),"")</f>
        <v>18199.29</v>
      </c>
      <c r="D2189" cm="1">
        <f t="array" ref="D2189">IFERROR(IF(SUMPRODUCT((expected_production[Site Name]=A2189)*(expected_production[Date]=B2189)*ISNUMBER(expected_production[Expected Production (kWh)]))=0,"",SUMIFS(expected_production[Expected Production (kWh)],expected_production[Site Name],A2189,expected_production[Date],B2189)),"")</f>
        <v>24634.197403931263</v>
      </c>
      <c r="E2189" s="9">
        <f t="shared" si="68"/>
        <v>0.73878152803531794</v>
      </c>
      <c r="F2189" t="str">
        <f t="shared" si="69"/>
        <v>Moderate</v>
      </c>
    </row>
    <row r="2190" spans="1:7" ht="15" hidden="1" customHeight="1" x14ac:dyDescent="0.3">
      <c r="A2190" t="s">
        <v>184</v>
      </c>
      <c r="B2190" s="2">
        <v>46143</v>
      </c>
      <c r="C2190" cm="1">
        <f t="array" ref="C2190">IFERROR(IF(SUMPRODUCT((measured[Site Name]=A2190)*(measured[Date]=B2190)*ISNUMBER(measured[Measured Value (kWh)]))=0,"",SUMIFS(measured[Measured Value (kWh)],measured[Site Name],A2190,measured[Date],B2190)),"")</f>
        <v>17860.55</v>
      </c>
      <c r="D2190" cm="1">
        <f t="array" ref="D2190">IFERROR(IF(SUMPRODUCT((expected_production[Site Name]=A2190)*(expected_production[Date]=B2190)*ISNUMBER(expected_production[Expected Production (kWh)]))=0,"",SUMIFS(expected_production[Expected Production (kWh)],expected_production[Site Name],A2190,expected_production[Date],B2190)),"")</f>
        <v>21735.178346637967</v>
      </c>
      <c r="E2190" s="9">
        <f t="shared" si="68"/>
        <v>0.82173468812427286</v>
      </c>
      <c r="F2190" t="str">
        <f t="shared" si="69"/>
        <v>Moderate</v>
      </c>
    </row>
    <row r="2191" spans="1:7" ht="15" hidden="1" customHeight="1" x14ac:dyDescent="0.3">
      <c r="A2191" t="s">
        <v>184</v>
      </c>
      <c r="B2191" s="2">
        <v>46174</v>
      </c>
      <c r="C2191" cm="1">
        <f t="array" ref="C2191">IFERROR(IF(SUMPRODUCT((measured[Site Name]=A2191)*(measured[Date]=B2191)*ISNUMBER(measured[Measured Value (kWh)]))=0,"",SUMIFS(measured[Measured Value (kWh)],measured[Site Name],A2191,measured[Date],B2191)),"")</f>
        <v>14774.05</v>
      </c>
      <c r="D2191" cm="1">
        <f t="array" ref="D2191">IFERROR(IF(SUMPRODUCT((expected_production[Site Name]=A2191)*(expected_production[Date]=B2191)*ISNUMBER(expected_production[Expected Production (kWh)]))=0,"",SUMIFS(expected_production[Expected Production (kWh)],expected_production[Site Name],A2191,expected_production[Date],B2191)),"")</f>
        <v>18759.334111810156</v>
      </c>
      <c r="E2191" s="9">
        <f t="shared" si="68"/>
        <v>0.78755727212613724</v>
      </c>
      <c r="F2191" t="str">
        <f t="shared" si="69"/>
        <v>Moderate</v>
      </c>
    </row>
    <row r="2192" spans="1:7" ht="15" hidden="1" customHeight="1" x14ac:dyDescent="0.3">
      <c r="A2192" t="s">
        <v>184</v>
      </c>
      <c r="B2192" s="2">
        <v>46204</v>
      </c>
      <c r="C2192" cm="1">
        <f t="array" ref="C2192">IFERROR(IF(SUMPRODUCT((measured[Site Name]=A2192)*(measured[Date]=B2192)*ISNUMBER(measured[Measured Value (kWh)]))=0,"",SUMIFS(measured[Measured Value (kWh)],measured[Site Name],A2192,measured[Date],B2192)),"")</f>
        <v>17814.88</v>
      </c>
      <c r="D2192" cm="1">
        <f t="array" ref="D2192">IFERROR(IF(SUMPRODUCT((expected_production[Site Name]=A2192)*(expected_production[Date]=B2192)*ISNUMBER(expected_production[Expected Production (kWh)]))=0,"",SUMIFS(expected_production[Expected Production (kWh)],expected_production[Site Name],A2192,expected_production[Date],B2192)),"")</f>
        <v>21285.596072675591</v>
      </c>
      <c r="E2192" s="9">
        <f t="shared" si="68"/>
        <v>0.83694531922782456</v>
      </c>
      <c r="F2192" t="str">
        <f t="shared" si="69"/>
        <v>Moderate</v>
      </c>
      <c r="G2192" t="s">
        <v>874</v>
      </c>
    </row>
    <row r="2193" spans="1:7" ht="15" hidden="1" customHeight="1" x14ac:dyDescent="0.3">
      <c r="A2193" t="s">
        <v>184</v>
      </c>
      <c r="B2193" s="2">
        <v>46235</v>
      </c>
      <c r="C2193" cm="1">
        <f t="array" ref="C2193">IFERROR(IF(SUMPRODUCT((measured[Site Name]=A2193)*(measured[Date]=B2193)*ISNUMBER(measured[Measured Value (kWh)]))=0,"",SUMIFS(measured[Measured Value (kWh)],measured[Site Name],A2193,measured[Date],B2193)),"")</f>
        <v>21703.83</v>
      </c>
      <c r="D2193" cm="1">
        <f t="array" ref="D2193">IFERROR(IF(SUMPRODUCT((expected_production[Site Name]=A2193)*(expected_production[Date]=B2193)*ISNUMBER(expected_production[Expected Production (kWh)]))=0,"",SUMIFS(expected_production[Expected Production (kWh)],expected_production[Site Name],A2193,expected_production[Date],B2193)),"")</f>
        <v>25704.531004927772</v>
      </c>
      <c r="E2193" s="9">
        <f t="shared" si="68"/>
        <v>0.84435814043209723</v>
      </c>
      <c r="F2193" t="str">
        <f t="shared" si="69"/>
        <v>Moderate</v>
      </c>
      <c r="G2193" t="s">
        <v>874</v>
      </c>
    </row>
    <row r="2194" spans="1:7" ht="15" customHeight="1" x14ac:dyDescent="0.3">
      <c r="A2194" t="s">
        <v>184</v>
      </c>
      <c r="B2194" s="2">
        <v>46266</v>
      </c>
      <c r="C2194" cm="1">
        <f t="array" ref="C2194">IFERROR(IF(SUMPRODUCT((measured[Site Name]=A2194)*(measured[Date]=B2194)*ISNUMBER(measured[Measured Value (kWh)]))=0,"",SUMIFS(measured[Measured Value (kWh)],measured[Site Name],A2194,measured[Date],B2194)),"")</f>
        <v>20441.04</v>
      </c>
      <c r="D2194" cm="1">
        <f t="array" ref="D2194">IFERROR(IF(SUMPRODUCT((expected_production[Site Name]=A2194)*(expected_production[Date]=B2194)*ISNUMBER(expected_production[Expected Production (kWh)]))=0,"",SUMIFS(expected_production[Expected Production (kWh)],expected_production[Site Name],A2194,expected_production[Date],B2194)),"")</f>
        <v>29484.676035516</v>
      </c>
      <c r="E2194" s="9">
        <f t="shared" si="68"/>
        <v>0.6932767372236881</v>
      </c>
      <c r="F2194" t="str">
        <f t="shared" si="69"/>
        <v>Poor</v>
      </c>
      <c r="G2194" t="s">
        <v>875</v>
      </c>
    </row>
    <row r="2195" spans="1:7" ht="15" hidden="1" customHeight="1" x14ac:dyDescent="0.3">
      <c r="A2195" t="s">
        <v>184</v>
      </c>
      <c r="B2195" s="2">
        <v>46296</v>
      </c>
      <c r="C2195" t="str" cm="1">
        <f t="array" ref="C2195">IFERROR(IF(SUMPRODUCT((measured[Site Name]=A2195)*(measured[Date]=B2195)*ISNUMBER(measured[Measured Value (kWh)]))=0,"",SUMIFS(measured[Measured Value (kWh)],measured[Site Name],A2195,measured[Date],B2195)),"")</f>
        <v/>
      </c>
      <c r="D2195" cm="1">
        <f t="array" ref="D2195">IFERROR(IF(SUMPRODUCT((expected_production[Site Name]=A2195)*(expected_production[Date]=B2195)*ISNUMBER(expected_production[Expected Production (kWh)]))=0,"",SUMIFS(expected_production[Expected Production (kWh)],expected_production[Site Name],A2195,expected_production[Date],B2195)),"")</f>
        <v>34216.289161898276</v>
      </c>
      <c r="E2195" s="9" t="str">
        <f t="shared" si="68"/>
        <v/>
      </c>
      <c r="F2195" t="str">
        <f t="shared" si="69"/>
        <v/>
      </c>
    </row>
    <row r="2196" spans="1:7" ht="15" hidden="1" customHeight="1" x14ac:dyDescent="0.3">
      <c r="A2196" t="s">
        <v>184</v>
      </c>
      <c r="B2196" s="2">
        <v>46327</v>
      </c>
      <c r="C2196" t="str" cm="1">
        <f t="array" ref="C2196">IFERROR(IF(SUMPRODUCT((measured[Site Name]=A2196)*(measured[Date]=B2196)*ISNUMBER(measured[Measured Value (kWh)]))=0,"",SUMIFS(measured[Measured Value (kWh)],measured[Site Name],A2196,measured[Date],B2196)),"")</f>
        <v/>
      </c>
      <c r="D2196" cm="1">
        <f t="array" ref="D2196">IFERROR(IF(SUMPRODUCT((expected_production[Site Name]=A2196)*(expected_production[Date]=B2196)*ISNUMBER(expected_production[Expected Production (kWh)]))=0,"",SUMIFS(expected_production[Expected Production (kWh)],expected_production[Site Name],A2196,expected_production[Date],B2196)),"")</f>
        <v>36340.393269903499</v>
      </c>
      <c r="E2196" s="9" t="str">
        <f t="shared" si="68"/>
        <v/>
      </c>
      <c r="F2196" t="str">
        <f t="shared" si="69"/>
        <v/>
      </c>
    </row>
    <row r="2197" spans="1:7" ht="15" hidden="1" customHeight="1" x14ac:dyDescent="0.3">
      <c r="A2197" t="s">
        <v>184</v>
      </c>
      <c r="B2197" s="2">
        <v>46357</v>
      </c>
      <c r="C2197" t="str" cm="1">
        <f t="array" ref="C2197">IFERROR(IF(SUMPRODUCT((measured[Site Name]=A2197)*(measured[Date]=B2197)*ISNUMBER(measured[Measured Value (kWh)]))=0,"",SUMIFS(measured[Measured Value (kWh)],measured[Site Name],A2197,measured[Date],B2197)),"")</f>
        <v/>
      </c>
      <c r="D2197" cm="1">
        <f t="array" ref="D2197">IFERROR(IF(SUMPRODUCT((expected_production[Site Name]=A2197)*(expected_production[Date]=B2197)*ISNUMBER(expected_production[Expected Production (kWh)]))=0,"",SUMIFS(expected_production[Expected Production (kWh)],expected_production[Site Name],A2197,expected_production[Date],B2197)),"")</f>
        <v>39499.24161667352</v>
      </c>
      <c r="E2197" s="9" t="str">
        <f t="shared" si="68"/>
        <v/>
      </c>
      <c r="F2197" t="str">
        <f t="shared" si="69"/>
        <v/>
      </c>
    </row>
    <row r="2198" spans="1:7" ht="15" hidden="1" customHeight="1" x14ac:dyDescent="0.3">
      <c r="A2198" t="s">
        <v>186</v>
      </c>
      <c r="B2198" s="2">
        <v>45292</v>
      </c>
      <c r="C2198" t="str" cm="1">
        <f t="array" ref="C2198">IFERROR(IF(SUMPRODUCT((measured[Site Name]=A2198)*(measured[Date]=B2198)*ISNUMBER(measured[Measured Value (kWh)]))=0,"",SUMIFS(measured[Measured Value (kWh)],measured[Site Name],A2198,measured[Date],B2198)),"")</f>
        <v/>
      </c>
      <c r="D2198" cm="1">
        <f t="array" ref="D2198">IFERROR(IF(SUMPRODUCT((expected_production[Site Name]=A2198)*(expected_production[Date]=B2198)*ISNUMBER(expected_production[Expected Production (kWh)]))=0,"",SUMIFS(expected_production[Expected Production (kWh)],expected_production[Site Name],A2198,expected_production[Date],B2198)),"")</f>
        <v>34074.9</v>
      </c>
      <c r="E2198" s="9" t="str">
        <f t="shared" ref="E2198:E2261" si="70">IF(OR(C2198="",D2198="",D2198=0),"",C2198/D2198)</f>
        <v/>
      </c>
      <c r="F2198" t="str">
        <f t="shared" ref="F2198:F2261" si="71">IF(E2198="","",IF(E2198&gt;=0.9,"Expected",IF(E2198&gt;=0.7,"Moderate","Poor")))</f>
        <v/>
      </c>
    </row>
    <row r="2199" spans="1:7" ht="15" hidden="1" customHeight="1" x14ac:dyDescent="0.3">
      <c r="A2199" t="s">
        <v>186</v>
      </c>
      <c r="B2199" s="2">
        <v>45323</v>
      </c>
      <c r="C2199" t="str" cm="1">
        <f t="array" ref="C2199">IFERROR(IF(SUMPRODUCT((measured[Site Name]=A2199)*(measured[Date]=B2199)*ISNUMBER(measured[Measured Value (kWh)]))=0,"",SUMIFS(measured[Measured Value (kWh)],measured[Site Name],A2199,measured[Date],B2199)),"")</f>
        <v/>
      </c>
      <c r="D2199" cm="1">
        <f t="array" ref="D2199">IFERROR(IF(SUMPRODUCT((expected_production[Site Name]=A2199)*(expected_production[Date]=B2199)*ISNUMBER(expected_production[Expected Production (kWh)]))=0,"",SUMIFS(expected_production[Expected Production (kWh)],expected_production[Site Name],A2199,expected_production[Date],B2199)),"")</f>
        <v>28396.799999999999</v>
      </c>
      <c r="E2199" s="9" t="str">
        <f t="shared" si="70"/>
        <v/>
      </c>
      <c r="F2199" t="str">
        <f t="shared" si="71"/>
        <v/>
      </c>
    </row>
    <row r="2200" spans="1:7" ht="15" hidden="1" customHeight="1" x14ac:dyDescent="0.3">
      <c r="A2200" t="s">
        <v>186</v>
      </c>
      <c r="B2200" s="2">
        <v>45352</v>
      </c>
      <c r="C2200" t="str" cm="1">
        <f t="array" ref="C2200">IFERROR(IF(SUMPRODUCT((measured[Site Name]=A2200)*(measured[Date]=B2200)*ISNUMBER(measured[Measured Value (kWh)]))=0,"",SUMIFS(measured[Measured Value (kWh)],measured[Site Name],A2200,measured[Date],B2200)),"")</f>
        <v/>
      </c>
      <c r="D2200" cm="1">
        <f t="array" ref="D2200">IFERROR(IF(SUMPRODUCT((expected_production[Site Name]=A2200)*(expected_production[Date]=B2200)*ISNUMBER(expected_production[Expected Production (kWh)]))=0,"",SUMIFS(expected_production[Expected Production (kWh)],expected_production[Site Name],A2200,expected_production[Date],B2200)),"")</f>
        <v>28665.9</v>
      </c>
      <c r="E2200" s="9" t="str">
        <f t="shared" si="70"/>
        <v/>
      </c>
      <c r="F2200" t="str">
        <f t="shared" si="71"/>
        <v/>
      </c>
    </row>
    <row r="2201" spans="1:7" ht="15" hidden="1" customHeight="1" x14ac:dyDescent="0.3">
      <c r="A2201" t="s">
        <v>186</v>
      </c>
      <c r="B2201" s="2">
        <v>45383</v>
      </c>
      <c r="C2201" t="str" cm="1">
        <f t="array" ref="C2201">IFERROR(IF(SUMPRODUCT((measured[Site Name]=A2201)*(measured[Date]=B2201)*ISNUMBER(measured[Measured Value (kWh)]))=0,"",SUMIFS(measured[Measured Value (kWh)],measured[Site Name],A2201,measured[Date],B2201)),"")</f>
        <v/>
      </c>
      <c r="D2201" cm="1">
        <f t="array" ref="D2201">IFERROR(IF(SUMPRODUCT((expected_production[Site Name]=A2201)*(expected_production[Date]=B2201)*ISNUMBER(expected_production[Expected Production (kWh)]))=0,"",SUMIFS(expected_production[Expected Production (kWh)],expected_production[Site Name],A2201,expected_production[Date],B2201)),"")</f>
        <v>24411.599999999999</v>
      </c>
      <c r="E2201" s="9" t="str">
        <f t="shared" si="70"/>
        <v/>
      </c>
      <c r="F2201" t="str">
        <f t="shared" si="71"/>
        <v/>
      </c>
    </row>
    <row r="2202" spans="1:7" ht="15" hidden="1" customHeight="1" x14ac:dyDescent="0.3">
      <c r="A2202" t="s">
        <v>186</v>
      </c>
      <c r="B2202" s="2">
        <v>45413</v>
      </c>
      <c r="C2202" t="str" cm="1">
        <f t="array" ref="C2202">IFERROR(IF(SUMPRODUCT((measured[Site Name]=A2202)*(measured[Date]=B2202)*ISNUMBER(measured[Measured Value (kWh)]))=0,"",SUMIFS(measured[Measured Value (kWh)],measured[Site Name],A2202,measured[Date],B2202)),"")</f>
        <v/>
      </c>
      <c r="D2202" cm="1">
        <f t="array" ref="D2202">IFERROR(IF(SUMPRODUCT((expected_production[Site Name]=A2202)*(expected_production[Date]=B2202)*ISNUMBER(expected_production[Expected Production (kWh)]))=0,"",SUMIFS(expected_production[Expected Production (kWh)],expected_production[Site Name],A2202,expected_production[Date],B2202)),"")</f>
        <v>22266.9</v>
      </c>
      <c r="E2202" s="9" t="str">
        <f t="shared" si="70"/>
        <v/>
      </c>
      <c r="F2202" t="str">
        <f t="shared" si="71"/>
        <v/>
      </c>
    </row>
    <row r="2203" spans="1:7" ht="15" hidden="1" customHeight="1" x14ac:dyDescent="0.3">
      <c r="A2203" t="s">
        <v>186</v>
      </c>
      <c r="B2203" s="2">
        <v>45444</v>
      </c>
      <c r="C2203" t="str" cm="1">
        <f t="array" ref="C2203">IFERROR(IF(SUMPRODUCT((measured[Site Name]=A2203)*(measured[Date]=B2203)*ISNUMBER(measured[Measured Value (kWh)]))=0,"",SUMIFS(measured[Measured Value (kWh)],measured[Site Name],A2203,measured[Date],B2203)),"")</f>
        <v/>
      </c>
      <c r="D2203" cm="1">
        <f t="array" ref="D2203">IFERROR(IF(SUMPRODUCT((expected_production[Site Name]=A2203)*(expected_production[Date]=B2203)*ISNUMBER(expected_production[Expected Production (kWh)]))=0,"",SUMIFS(expected_production[Expected Production (kWh)],expected_production[Site Name],A2203,expected_production[Date],B2203)),"")</f>
        <v>19791.900000000001</v>
      </c>
      <c r="E2203" s="9" t="str">
        <f t="shared" si="70"/>
        <v/>
      </c>
      <c r="F2203" t="str">
        <f t="shared" si="71"/>
        <v/>
      </c>
    </row>
    <row r="2204" spans="1:7" ht="15" hidden="1" customHeight="1" x14ac:dyDescent="0.3">
      <c r="A2204" t="s">
        <v>186</v>
      </c>
      <c r="B2204" s="2">
        <v>45474</v>
      </c>
      <c r="C2204" t="str" cm="1">
        <f t="array" ref="C2204">IFERROR(IF(SUMPRODUCT((measured[Site Name]=A2204)*(measured[Date]=B2204)*ISNUMBER(measured[Measured Value (kWh)]))=0,"",SUMIFS(measured[Measured Value (kWh)],measured[Site Name],A2204,measured[Date],B2204)),"")</f>
        <v/>
      </c>
      <c r="D2204" cm="1">
        <f t="array" ref="D2204">IFERROR(IF(SUMPRODUCT((expected_production[Site Name]=A2204)*(expected_production[Date]=B2204)*ISNUMBER(expected_production[Expected Production (kWh)]))=0,"",SUMIFS(expected_production[Expected Production (kWh)],expected_production[Site Name],A2204,expected_production[Date],B2204)),"")</f>
        <v>21774.6</v>
      </c>
      <c r="E2204" s="9" t="str">
        <f t="shared" si="70"/>
        <v/>
      </c>
      <c r="F2204" t="str">
        <f t="shared" si="71"/>
        <v/>
      </c>
    </row>
    <row r="2205" spans="1:7" ht="15" hidden="1" customHeight="1" x14ac:dyDescent="0.3">
      <c r="A2205" t="s">
        <v>186</v>
      </c>
      <c r="B2205" s="2">
        <v>45505</v>
      </c>
      <c r="C2205" cm="1">
        <f t="array" ref="C2205">IFERROR(IF(SUMPRODUCT((measured[Site Name]=A2205)*(measured[Date]=B2205)*ISNUMBER(measured[Measured Value (kWh)]))=0,"",SUMIFS(measured[Measured Value (kWh)],measured[Site Name],A2205,measured[Date],B2205)),"")</f>
        <v>3670</v>
      </c>
      <c r="D2205" cm="1">
        <f t="array" ref="D2205">IFERROR(IF(SUMPRODUCT((expected_production[Site Name]=A2205)*(expected_production[Date]=B2205)*ISNUMBER(expected_production[Expected Production (kWh)]))=0,"",SUMIFS(expected_production[Expected Production (kWh)],expected_production[Site Name],A2205,expected_production[Date],B2205)),"")</f>
        <v>25973.1</v>
      </c>
      <c r="E2205" s="9">
        <f t="shared" si="70"/>
        <v>0.1413000373463314</v>
      </c>
      <c r="F2205" t="str">
        <f t="shared" si="71"/>
        <v>Poor</v>
      </c>
    </row>
    <row r="2206" spans="1:7" ht="15" hidden="1" customHeight="1" x14ac:dyDescent="0.3">
      <c r="A2206" t="s">
        <v>186</v>
      </c>
      <c r="B2206" s="2">
        <v>45536</v>
      </c>
      <c r="C2206" cm="1">
        <f t="array" ref="C2206">IFERROR(IF(SUMPRODUCT((measured[Site Name]=A2206)*(measured[Date]=B2206)*ISNUMBER(measured[Measured Value (kWh)]))=0,"",SUMIFS(measured[Measured Value (kWh)],measured[Site Name],A2206,measured[Date],B2206)),"")</f>
        <v>24226</v>
      </c>
      <c r="D2206" cm="1">
        <f t="array" ref="D2206">IFERROR(IF(SUMPRODUCT((expected_production[Site Name]=A2206)*(expected_production[Date]=B2206)*ISNUMBER(expected_production[Expected Production (kWh)]))=0,"",SUMIFS(expected_production[Expected Production (kWh)],expected_production[Site Name],A2206,expected_production[Date],B2206)),"")</f>
        <v>28981.712934121133</v>
      </c>
      <c r="E2206" s="9">
        <f t="shared" si="70"/>
        <v>0.8359064233045358</v>
      </c>
      <c r="F2206" t="str">
        <f t="shared" si="71"/>
        <v>Moderate</v>
      </c>
    </row>
    <row r="2207" spans="1:7" ht="15" hidden="1" customHeight="1" x14ac:dyDescent="0.3">
      <c r="A2207" t="s">
        <v>186</v>
      </c>
      <c r="B2207" s="2">
        <v>45566</v>
      </c>
      <c r="C2207" cm="1">
        <f t="array" ref="C2207">IFERROR(IF(SUMPRODUCT((measured[Site Name]=A2207)*(measured[Date]=B2207)*ISNUMBER(measured[Measured Value (kWh)]))=0,"",SUMIFS(measured[Measured Value (kWh)],measured[Site Name],A2207,measured[Date],B2207)),"")</f>
        <v>29060</v>
      </c>
      <c r="D2207" cm="1">
        <f t="array" ref="D2207">IFERROR(IF(SUMPRODUCT((expected_production[Site Name]=A2207)*(expected_production[Date]=B2207)*ISNUMBER(expected_production[Expected Production (kWh)]))=0,"",SUMIFS(expected_production[Expected Production (kWh)],expected_production[Site Name],A2207,expected_production[Date],B2207)),"")</f>
        <v>33036.554546331608</v>
      </c>
      <c r="E2207" s="9">
        <f t="shared" si="70"/>
        <v>0.87963168069615882</v>
      </c>
      <c r="F2207" t="str">
        <f t="shared" si="71"/>
        <v>Moderate</v>
      </c>
    </row>
    <row r="2208" spans="1:7" ht="15" hidden="1" customHeight="1" x14ac:dyDescent="0.3">
      <c r="A2208" t="s">
        <v>186</v>
      </c>
      <c r="B2208" s="2">
        <v>45597</v>
      </c>
      <c r="C2208" cm="1">
        <f t="array" ref="C2208">IFERROR(IF(SUMPRODUCT((measured[Site Name]=A2208)*(measured[Date]=B2208)*ISNUMBER(measured[Measured Value (kWh)]))=0,"",SUMIFS(measured[Measured Value (kWh)],measured[Site Name],A2208,measured[Date],B2208)),"")</f>
        <v>28700</v>
      </c>
      <c r="D2208" cm="1">
        <f t="array" ref="D2208">IFERROR(IF(SUMPRODUCT((expected_production[Site Name]=A2208)*(expected_production[Date]=B2208)*ISNUMBER(expected_production[Expected Production (kWh)]))=0,"",SUMIFS(expected_production[Expected Production (kWh)],expected_production[Site Name],A2208,expected_production[Date],B2208)),"")</f>
        <v>34322.905075012211</v>
      </c>
      <c r="E2208" s="9">
        <f t="shared" si="70"/>
        <v>0.83617630667557319</v>
      </c>
      <c r="F2208" t="str">
        <f t="shared" si="71"/>
        <v>Moderate</v>
      </c>
    </row>
    <row r="2209" spans="1:6" ht="15" hidden="1" customHeight="1" x14ac:dyDescent="0.3">
      <c r="A2209" t="s">
        <v>186</v>
      </c>
      <c r="B2209" s="2">
        <v>45627</v>
      </c>
      <c r="C2209" cm="1">
        <f t="array" ref="C2209">IFERROR(IF(SUMPRODUCT((measured[Site Name]=A2209)*(measured[Date]=B2209)*ISNUMBER(measured[Measured Value (kWh)]))=0,"",SUMIFS(measured[Measured Value (kWh)],measured[Site Name],A2209,measured[Date],B2209)),"")</f>
        <v>32654</v>
      </c>
      <c r="D2209" cm="1">
        <f t="array" ref="D2209">IFERROR(IF(SUMPRODUCT((expected_production[Site Name]=A2209)*(expected_production[Date]=B2209)*ISNUMBER(expected_production[Expected Production (kWh)]))=0,"",SUMIFS(expected_production[Expected Production (kWh)],expected_production[Site Name],A2209,expected_production[Date],B2209)),"")</f>
        <v>36253.403317880999</v>
      </c>
      <c r="E2209" s="9">
        <f t="shared" si="70"/>
        <v>0.90071543666341269</v>
      </c>
      <c r="F2209" t="str">
        <f t="shared" si="71"/>
        <v>Expected</v>
      </c>
    </row>
    <row r="2210" spans="1:6" ht="15" hidden="1" customHeight="1" x14ac:dyDescent="0.3">
      <c r="A2210" t="s">
        <v>186</v>
      </c>
      <c r="B2210" s="2">
        <v>45658</v>
      </c>
      <c r="C2210" cm="1">
        <f t="array" ref="C2210">IFERROR(IF(SUMPRODUCT((measured[Site Name]=A2210)*(measured[Date]=B2210)*ISNUMBER(measured[Measured Value (kWh)]))=0,"",SUMIFS(measured[Measured Value (kWh)],measured[Site Name],A2210,measured[Date],B2210)),"")</f>
        <v>31900</v>
      </c>
      <c r="D2210" cm="1">
        <f t="array" ref="D2210">IFERROR(IF(SUMPRODUCT((expected_production[Site Name]=A2210)*(expected_production[Date]=B2210)*ISNUMBER(expected_production[Expected Production (kWh)]))=0,"",SUMIFS(expected_production[Expected Production (kWh)],expected_production[Site Name],A2210,expected_production[Date],B2210)),"")</f>
        <v>33991.773339585678</v>
      </c>
      <c r="E2210" s="9">
        <f t="shared" si="70"/>
        <v>0.93846236503496361</v>
      </c>
      <c r="F2210" t="str">
        <f t="shared" si="71"/>
        <v>Expected</v>
      </c>
    </row>
    <row r="2211" spans="1:6" ht="15" hidden="1" customHeight="1" x14ac:dyDescent="0.3">
      <c r="A2211" t="s">
        <v>186</v>
      </c>
      <c r="B2211" s="2">
        <v>45689</v>
      </c>
      <c r="C2211" cm="1">
        <f t="array" ref="C2211">IFERROR(IF(SUMPRODUCT((measured[Site Name]=A2211)*(measured[Date]=B2211)*ISNUMBER(measured[Measured Value (kWh)]))=0,"",SUMIFS(measured[Measured Value (kWh)],measured[Site Name],A2211,measured[Date],B2211)),"")</f>
        <v>24980</v>
      </c>
      <c r="D2211" cm="1">
        <f t="array" ref="D2211">IFERROR(IF(SUMPRODUCT((expected_production[Site Name]=A2211)*(expected_production[Date]=B2211)*ISNUMBER(expected_production[Expected Production (kWh)]))=0,"",SUMIFS(expected_production[Expected Production (kWh)],expected_production[Site Name],A2211,expected_production[Date],B2211)),"")</f>
        <v>28310.641305997407</v>
      </c>
      <c r="E2211" s="9">
        <f t="shared" si="70"/>
        <v>0.8823537315881349</v>
      </c>
      <c r="F2211" t="str">
        <f t="shared" si="71"/>
        <v>Moderate</v>
      </c>
    </row>
    <row r="2212" spans="1:6" ht="15" hidden="1" customHeight="1" x14ac:dyDescent="0.3">
      <c r="A2212" t="s">
        <v>186</v>
      </c>
      <c r="B2212" s="2">
        <v>45717</v>
      </c>
      <c r="C2212" cm="1">
        <f t="array" ref="C2212">IFERROR(IF(SUMPRODUCT((measured[Site Name]=A2212)*(measured[Date]=B2212)*ISNUMBER(measured[Measured Value (kWh)]))=0,"",SUMIFS(measured[Measured Value (kWh)],measured[Site Name],A2212,measured[Date],B2212)),"")</f>
        <v>24068</v>
      </c>
      <c r="D2212" cm="1">
        <f t="array" ref="D2212">IFERROR(IF(SUMPRODUCT((expected_production[Site Name]=A2212)*(expected_production[Date]=B2212)*ISNUMBER(expected_production[Expected Production (kWh)]))=0,"",SUMIFS(expected_production[Expected Production (kWh)],expected_production[Site Name],A2212,expected_production[Date],B2212)),"")</f>
        <v>28563.539058266022</v>
      </c>
      <c r="E2212" s="9">
        <f t="shared" si="70"/>
        <v>0.84261267313214627</v>
      </c>
      <c r="F2212" t="str">
        <f t="shared" si="71"/>
        <v>Moderate</v>
      </c>
    </row>
    <row r="2213" spans="1:6" ht="15" hidden="1" customHeight="1" x14ac:dyDescent="0.3">
      <c r="A2213" t="s">
        <v>186</v>
      </c>
      <c r="B2213" s="2">
        <v>45748</v>
      </c>
      <c r="C2213" cm="1">
        <f t="array" ref="C2213">IFERROR(IF(SUMPRODUCT((measured[Site Name]=A2213)*(measured[Date]=B2213)*ISNUMBER(measured[Measured Value (kWh)]))=0,"",SUMIFS(measured[Measured Value (kWh)],measured[Site Name],A2213,measured[Date],B2213)),"")</f>
        <v>17329</v>
      </c>
      <c r="D2213" cm="1">
        <f t="array" ref="D2213">IFERROR(IF(SUMPRODUCT((expected_production[Site Name]=A2213)*(expected_production[Date]=B2213)*ISNUMBER(expected_production[Expected Production (kWh)]))=0,"",SUMIFS(expected_production[Expected Production (kWh)],expected_production[Site Name],A2213,expected_production[Date],B2213)),"")</f>
        <v>24309.932452832465</v>
      </c>
      <c r="E2213" s="9">
        <f t="shared" si="70"/>
        <v>0.7128362052680618</v>
      </c>
      <c r="F2213" t="str">
        <f t="shared" si="71"/>
        <v>Moderate</v>
      </c>
    </row>
    <row r="2214" spans="1:6" ht="15" hidden="1" customHeight="1" x14ac:dyDescent="0.3">
      <c r="A2214" t="s">
        <v>186</v>
      </c>
      <c r="B2214" s="2">
        <v>45778</v>
      </c>
      <c r="C2214" cm="1">
        <f t="array" ref="C2214">IFERROR(IF(SUMPRODUCT((measured[Site Name]=A2214)*(measured[Date]=B2214)*ISNUMBER(measured[Measured Value (kWh)]))=0,"",SUMIFS(measured[Measured Value (kWh)],measured[Site Name],A2214,measured[Date],B2214)),"")</f>
        <v>19241</v>
      </c>
      <c r="D2214" cm="1">
        <f t="array" ref="D2214">IFERROR(IF(SUMPRODUCT((expected_production[Site Name]=A2214)*(expected_production[Date]=B2214)*ISNUMBER(expected_production[Expected Production (kWh)]))=0,"",SUMIFS(expected_production[Expected Production (kWh)],expected_production[Site Name],A2214,expected_production[Date],B2214)),"")</f>
        <v>22161.374386792242</v>
      </c>
      <c r="E2214" s="9">
        <f t="shared" si="70"/>
        <v>0.86822232521225173</v>
      </c>
      <c r="F2214" t="str">
        <f t="shared" si="71"/>
        <v>Moderate</v>
      </c>
    </row>
    <row r="2215" spans="1:6" ht="15" hidden="1" customHeight="1" x14ac:dyDescent="0.3">
      <c r="A2215" t="s">
        <v>186</v>
      </c>
      <c r="B2215" s="2">
        <v>45809</v>
      </c>
      <c r="C2215" cm="1">
        <f t="array" ref="C2215">IFERROR(IF(SUMPRODUCT((measured[Site Name]=A2215)*(measured[Date]=B2215)*ISNUMBER(measured[Measured Value (kWh)]))=0,"",SUMIFS(measured[Measured Value (kWh)],measured[Site Name],A2215,measured[Date],B2215)),"")</f>
        <v>18515.91</v>
      </c>
      <c r="D2215" cm="1">
        <f t="array" ref="D2215">IFERROR(IF(SUMPRODUCT((expected_production[Site Name]=A2215)*(expected_production[Date]=B2215)*ISNUMBER(expected_production[Expected Production (kWh)]))=0,"",SUMIFS(expected_production[Expected Production (kWh)],expected_production[Site Name],A2215,expected_production[Date],B2215)),"")</f>
        <v>19686.363156292711</v>
      </c>
      <c r="E2215" s="9">
        <f t="shared" si="70"/>
        <v>0.94054497791185077</v>
      </c>
      <c r="F2215" t="str">
        <f t="shared" si="71"/>
        <v>Expected</v>
      </c>
    </row>
    <row r="2216" spans="1:6" ht="15" hidden="1" customHeight="1" x14ac:dyDescent="0.3">
      <c r="A2216" t="s">
        <v>186</v>
      </c>
      <c r="B2216" s="2">
        <v>45839</v>
      </c>
      <c r="C2216" cm="1">
        <f t="array" ref="C2216">IFERROR(IF(SUMPRODUCT((measured[Site Name]=A2216)*(measured[Date]=B2216)*ISNUMBER(measured[Measured Value (kWh)]))=0,"",SUMIFS(measured[Measured Value (kWh)],measured[Site Name],A2216,measured[Date],B2216)),"")</f>
        <v>18781</v>
      </c>
      <c r="D2216" cm="1">
        <f t="array" ref="D2216">IFERROR(IF(SUMPRODUCT((expected_production[Site Name]=A2216)*(expected_production[Date]=B2216)*ISNUMBER(expected_production[Expected Production (kWh)]))=0,"",SUMIFS(expected_production[Expected Production (kWh)],expected_production[Site Name],A2216,expected_production[Date],B2216)),"")</f>
        <v>21645.998051129736</v>
      </c>
      <c r="E2216" s="9">
        <f t="shared" si="70"/>
        <v>0.86764306065433616</v>
      </c>
      <c r="F2216" t="str">
        <f t="shared" si="71"/>
        <v>Moderate</v>
      </c>
    </row>
    <row r="2217" spans="1:6" ht="15" hidden="1" customHeight="1" x14ac:dyDescent="0.3">
      <c r="A2217" t="s">
        <v>186</v>
      </c>
      <c r="B2217" s="2">
        <v>45870</v>
      </c>
      <c r="C2217" cm="1">
        <f t="array" ref="C2217">IFERROR(IF(SUMPRODUCT((measured[Site Name]=A2217)*(measured[Date]=B2217)*ISNUMBER(measured[Measured Value (kWh)]))=0,"",SUMIFS(measured[Measured Value (kWh)],measured[Site Name],A2217,measured[Date],B2217)),"")</f>
        <v>21235</v>
      </c>
      <c r="D2217" cm="1">
        <f t="array" ref="D2217">IFERROR(IF(SUMPRODUCT((expected_production[Site Name]=A2217)*(expected_production[Date]=B2217)*ISNUMBER(expected_production[Expected Production (kWh)]))=0,"",SUMIFS(expected_production[Expected Production (kWh)],expected_production[Site Name],A2217,expected_production[Date],B2217)),"")</f>
        <v>25804.312296573615</v>
      </c>
      <c r="E2217" s="9">
        <f t="shared" si="70"/>
        <v>0.82292446921050699</v>
      </c>
      <c r="F2217" t="str">
        <f t="shared" si="71"/>
        <v>Moderate</v>
      </c>
    </row>
    <row r="2218" spans="1:6" ht="15" hidden="1" customHeight="1" x14ac:dyDescent="0.3">
      <c r="A2218" t="s">
        <v>186</v>
      </c>
      <c r="B2218" s="2">
        <v>45901</v>
      </c>
      <c r="C2218" cm="1">
        <f t="array" ref="C2218">IFERROR(IF(SUMPRODUCT((measured[Site Name]=A2218)*(measured[Date]=B2218)*ISNUMBER(measured[Measured Value (kWh)]))=0,"",SUMIFS(measured[Measured Value (kWh)],measured[Site Name],A2218,measured[Date],B2218)),"")</f>
        <v>23085</v>
      </c>
      <c r="D2218" cm="1">
        <f t="array" ref="D2218">IFERROR(IF(SUMPRODUCT((expected_production[Site Name]=A2218)*(expected_production[Date]=B2218)*ISNUMBER(expected_production[Expected Production (kWh)]))=0,"",SUMIFS(expected_production[Expected Production (kWh)],expected_production[Site Name],A2218,expected_production[Date],B2218)),"")</f>
        <v>28778.979315082601</v>
      </c>
      <c r="E2218" s="9">
        <f t="shared" si="70"/>
        <v>0.80214797568937835</v>
      </c>
      <c r="F2218" t="str">
        <f t="shared" si="71"/>
        <v>Moderate</v>
      </c>
    </row>
    <row r="2219" spans="1:6" ht="15" hidden="1" customHeight="1" x14ac:dyDescent="0.3">
      <c r="A2219" t="s">
        <v>186</v>
      </c>
      <c r="B2219" s="2">
        <v>45931</v>
      </c>
      <c r="C2219" cm="1">
        <f t="array" ref="C2219">IFERROR(IF(SUMPRODUCT((measured[Site Name]=A2219)*(measured[Date]=B2219)*ISNUMBER(measured[Measured Value (kWh)]))=0,"",SUMIFS(measured[Measured Value (kWh)],measured[Site Name],A2219,measured[Date],B2219)),"")</f>
        <v>25611</v>
      </c>
      <c r="D2219" cm="1">
        <f t="array" ref="D2219">IFERROR(IF(SUMPRODUCT((expected_production[Site Name]=A2219)*(expected_production[Date]=B2219)*ISNUMBER(expected_production[Expected Production (kWh)]))=0,"",SUMIFS(expected_production[Expected Production (kWh)],expected_production[Site Name],A2219,expected_production[Date],B2219)),"")</f>
        <v>32805.456395612702</v>
      </c>
      <c r="E2219" s="9">
        <f t="shared" si="70"/>
        <v>0.78069329964954048</v>
      </c>
      <c r="F2219" t="str">
        <f t="shared" si="71"/>
        <v>Moderate</v>
      </c>
    </row>
    <row r="2220" spans="1:6" ht="15" hidden="1" customHeight="1" x14ac:dyDescent="0.3">
      <c r="A2220" t="s">
        <v>186</v>
      </c>
      <c r="B2220" s="2">
        <v>45962</v>
      </c>
      <c r="C2220" cm="1">
        <f t="array" ref="C2220">IFERROR(IF(SUMPRODUCT((measured[Site Name]=A2220)*(measured[Date]=B2220)*ISNUMBER(measured[Measured Value (kWh)]))=0,"",SUMIFS(measured[Measured Value (kWh)],measured[Site Name],A2220,measured[Date],B2220)),"")</f>
        <v>25276</v>
      </c>
      <c r="D2220" cm="1">
        <f t="array" ref="D2220">IFERROR(IF(SUMPRODUCT((expected_production[Site Name]=A2220)*(expected_production[Date]=B2220)*ISNUMBER(expected_production[Expected Production (kWh)]))=0,"",SUMIFS(expected_production[Expected Production (kWh)],expected_production[Site Name],A2220,expected_production[Date],B2220)),"")</f>
        <v>34082.80861219822</v>
      </c>
      <c r="E2220" s="9">
        <f t="shared" si="70"/>
        <v>0.74160554922559208</v>
      </c>
      <c r="F2220" t="str">
        <f t="shared" si="71"/>
        <v>Moderate</v>
      </c>
    </row>
    <row r="2221" spans="1:6" ht="15" hidden="1" customHeight="1" x14ac:dyDescent="0.3">
      <c r="A2221" t="s">
        <v>186</v>
      </c>
      <c r="B2221" s="2">
        <v>45992</v>
      </c>
      <c r="C2221" cm="1">
        <f t="array" ref="C2221">IFERROR(IF(SUMPRODUCT((measured[Site Name]=A2221)*(measured[Date]=B2221)*ISNUMBER(measured[Measured Value (kWh)]))=0,"",SUMIFS(measured[Measured Value (kWh)],measured[Site Name],A2221,measured[Date],B2221)),"")</f>
        <v>28457.1296</v>
      </c>
      <c r="D2221" cm="1">
        <f t="array" ref="D2221">IFERROR(IF(SUMPRODUCT((expected_production[Site Name]=A2221)*(expected_production[Date]=B2221)*ISNUMBER(expected_production[Expected Production (kWh)]))=0,"",SUMIFS(expected_production[Expected Production (kWh)],expected_production[Site Name],A2221,expected_production[Date],B2221)),"")</f>
        <v>35999.802584418343</v>
      </c>
      <c r="E2221" s="9">
        <f t="shared" si="70"/>
        <v>0.79048015703055519</v>
      </c>
      <c r="F2221" t="str">
        <f t="shared" si="71"/>
        <v>Moderate</v>
      </c>
    </row>
    <row r="2222" spans="1:6" ht="15" hidden="1" customHeight="1" x14ac:dyDescent="0.3">
      <c r="A2222" t="s">
        <v>186</v>
      </c>
      <c r="B2222" s="2">
        <v>46023</v>
      </c>
      <c r="C2222" cm="1">
        <f t="array" ref="C2222">IFERROR(IF(SUMPRODUCT((measured[Site Name]=A2222)*(measured[Date]=B2222)*ISNUMBER(measured[Measured Value (kWh)]))=0,"",SUMIFS(measured[Measured Value (kWh)],measured[Site Name],A2222,measured[Date],B2222)),"")</f>
        <v>29092</v>
      </c>
      <c r="D2222" cm="1">
        <f t="array" ref="D2222">IFERROR(IF(SUMPRODUCT((expected_production[Site Name]=A2222)*(expected_production[Date]=B2222)*ISNUMBER(expected_production[Expected Production (kWh)]))=0,"",SUMIFS(expected_production[Expected Production (kWh)],expected_production[Site Name],A2222,expected_production[Date],B2222)),"")</f>
        <v>33753.993217950476</v>
      </c>
      <c r="E2222" s="9">
        <f t="shared" si="70"/>
        <v>0.86188320925918738</v>
      </c>
      <c r="F2222" t="str">
        <f t="shared" si="71"/>
        <v>Moderate</v>
      </c>
    </row>
    <row r="2223" spans="1:6" ht="15" hidden="1" customHeight="1" x14ac:dyDescent="0.3">
      <c r="A2223" t="s">
        <v>186</v>
      </c>
      <c r="B2223" s="2">
        <v>46054</v>
      </c>
      <c r="C2223" cm="1">
        <f t="array" ref="C2223">IFERROR(IF(SUMPRODUCT((measured[Site Name]=A2223)*(measured[Date]=B2223)*ISNUMBER(measured[Measured Value (kWh)]))=0,"",SUMIFS(measured[Measured Value (kWh)],measured[Site Name],A2223,measured[Date],B2223)),"")</f>
        <v>23486.9398</v>
      </c>
      <c r="D2223" cm="1">
        <f t="array" ref="D2223">IFERROR(IF(SUMPRODUCT((expected_production[Site Name]=A2223)*(expected_production[Date]=B2223)*ISNUMBER(expected_production[Expected Production (kWh)]))=0,"",SUMIFS(expected_production[Expected Production (kWh)],expected_production[Site Name],A2223,expected_production[Date],B2223)),"")</f>
        <v>28112.60198436334</v>
      </c>
      <c r="E2223" s="9">
        <f t="shared" si="70"/>
        <v>0.83545947874422277</v>
      </c>
      <c r="F2223" t="str">
        <f t="shared" si="71"/>
        <v>Moderate</v>
      </c>
    </row>
    <row r="2224" spans="1:6" ht="15" hidden="1" customHeight="1" x14ac:dyDescent="0.3">
      <c r="A2224" t="s">
        <v>186</v>
      </c>
      <c r="B2224" s="2">
        <v>46082</v>
      </c>
      <c r="C2224" cm="1">
        <f t="array" ref="C2224">IFERROR(IF(SUMPRODUCT((measured[Site Name]=A2224)*(measured[Date]=B2224)*ISNUMBER(measured[Measured Value (kWh)]))=0,"",SUMIFS(measured[Measured Value (kWh)],measured[Site Name],A2224,measured[Date],B2224)),"")</f>
        <v>22459</v>
      </c>
      <c r="D2224" cm="1">
        <f t="array" ref="D2224">IFERROR(IF(SUMPRODUCT((expected_production[Site Name]=A2224)*(expected_production[Date]=B2224)*ISNUMBER(expected_production[Expected Production (kWh)]))=0,"",SUMIFS(expected_production[Expected Production (kWh)],expected_production[Site Name],A2224,expected_production[Date],B2224)),"")</f>
        <v>28363.730659811663</v>
      </c>
      <c r="E2224" s="9">
        <f t="shared" si="70"/>
        <v>0.79182108550417074</v>
      </c>
      <c r="F2224" t="str">
        <f t="shared" si="71"/>
        <v>Moderate</v>
      </c>
    </row>
    <row r="2225" spans="1:7" ht="15" hidden="1" customHeight="1" x14ac:dyDescent="0.3">
      <c r="A2225" t="s">
        <v>186</v>
      </c>
      <c r="B2225" s="2">
        <v>46113</v>
      </c>
      <c r="C2225" cm="1">
        <f t="array" ref="C2225">IFERROR(IF(SUMPRODUCT((measured[Site Name]=A2225)*(measured[Date]=B2225)*ISNUMBER(measured[Measured Value (kWh)]))=0,"",SUMIFS(measured[Measured Value (kWh)],measured[Site Name],A2225,measured[Date],B2225)),"")</f>
        <v>18207.86</v>
      </c>
      <c r="D2225" cm="1">
        <f t="array" ref="D2225">IFERROR(IF(SUMPRODUCT((expected_production[Site Name]=A2225)*(expected_production[Date]=B2225)*ISNUMBER(expected_production[Expected Production (kWh)]))=0,"",SUMIFS(expected_production[Expected Production (kWh)],expected_production[Site Name],A2225,expected_production[Date],B2225)),"")</f>
        <v>24139.878992019159</v>
      </c>
      <c r="E2225" s="9">
        <f t="shared" si="70"/>
        <v>0.75426475857727648</v>
      </c>
      <c r="F2225" t="str">
        <f t="shared" si="71"/>
        <v>Moderate</v>
      </c>
    </row>
    <row r="2226" spans="1:7" ht="15" hidden="1" customHeight="1" x14ac:dyDescent="0.3">
      <c r="A2226" t="s">
        <v>186</v>
      </c>
      <c r="B2226" s="2">
        <v>46143</v>
      </c>
      <c r="C2226" cm="1">
        <f t="array" ref="C2226">IFERROR(IF(SUMPRODUCT((measured[Site Name]=A2226)*(measured[Date]=B2226)*ISNUMBER(measured[Measured Value (kWh)]))=0,"",SUMIFS(measured[Measured Value (kWh)],measured[Site Name],A2226,measured[Date],B2226)),"")</f>
        <v>17848.830000000002</v>
      </c>
      <c r="D2226" cm="1">
        <f t="array" ref="D2226">IFERROR(IF(SUMPRODUCT((expected_production[Site Name]=A2226)*(expected_production[Date]=B2226)*ISNUMBER(expected_production[Expected Production (kWh)]))=0,"",SUMIFS(expected_production[Expected Production (kWh)],expected_production[Site Name],A2226,expected_production[Date],B2226)),"")</f>
        <v>22006.350574275879</v>
      </c>
      <c r="E2226" s="9">
        <f t="shared" si="70"/>
        <v>0.81107632725183554</v>
      </c>
      <c r="F2226" t="str">
        <f t="shared" si="71"/>
        <v>Moderate</v>
      </c>
    </row>
    <row r="2227" spans="1:7" ht="15" hidden="1" customHeight="1" x14ac:dyDescent="0.3">
      <c r="A2227" t="s">
        <v>186</v>
      </c>
      <c r="B2227" s="2">
        <v>46174</v>
      </c>
      <c r="C2227" cm="1">
        <f t="array" ref="C2227">IFERROR(IF(SUMPRODUCT((measured[Site Name]=A2227)*(measured[Date]=B2227)*ISNUMBER(measured[Measured Value (kWh)]))=0,"",SUMIFS(measured[Measured Value (kWh)],measured[Site Name],A2227,measured[Date],B2227)),"")</f>
        <v>14983.63</v>
      </c>
      <c r="D2227" cm="1">
        <f t="array" ref="D2227">IFERROR(IF(SUMPRODUCT((expected_production[Site Name]=A2227)*(expected_production[Date]=B2227)*ISNUMBER(expected_production[Expected Production (kWh)]))=0,"",SUMIFS(expected_production[Expected Production (kWh)],expected_production[Site Name],A2227,expected_production[Date],B2227)),"")</f>
        <v>19548.652605592892</v>
      </c>
      <c r="E2227" s="9">
        <f t="shared" si="70"/>
        <v>0.76647891301281634</v>
      </c>
      <c r="F2227" t="str">
        <f t="shared" si="71"/>
        <v>Moderate</v>
      </c>
    </row>
    <row r="2228" spans="1:7" ht="15" hidden="1" customHeight="1" x14ac:dyDescent="0.3">
      <c r="A2228" t="s">
        <v>186</v>
      </c>
      <c r="B2228" s="2">
        <v>46204</v>
      </c>
      <c r="C2228" cm="1">
        <f t="array" ref="C2228">IFERROR(IF(SUMPRODUCT((measured[Site Name]=A2228)*(measured[Date]=B2228)*ISNUMBER(measured[Measured Value (kWh)]))=0,"",SUMIFS(measured[Measured Value (kWh)],measured[Site Name],A2228,measured[Date],B2228)),"")</f>
        <v>18234</v>
      </c>
      <c r="D2228" cm="1">
        <f t="array" ref="D2228">IFERROR(IF(SUMPRODUCT((expected_production[Site Name]=A2228)*(expected_production[Date]=B2228)*ISNUMBER(expected_production[Expected Production (kWh)]))=0,"",SUMIFS(expected_production[Expected Production (kWh)],expected_production[Site Name],A2228,expected_production[Date],B2228)),"")</f>
        <v>21494.579412328716</v>
      </c>
      <c r="E2228" s="9">
        <f t="shared" si="70"/>
        <v>0.84830689869379183</v>
      </c>
      <c r="F2228" t="str">
        <f t="shared" si="71"/>
        <v>Moderate</v>
      </c>
      <c r="G2228" t="s">
        <v>874</v>
      </c>
    </row>
    <row r="2229" spans="1:7" ht="15" hidden="1" customHeight="1" x14ac:dyDescent="0.3">
      <c r="A2229" t="s">
        <v>186</v>
      </c>
      <c r="B2229" s="2">
        <v>46235</v>
      </c>
      <c r="C2229" cm="1">
        <f t="array" ref="C2229">IFERROR(IF(SUMPRODUCT((measured[Site Name]=A2229)*(measured[Date]=B2229)*ISNUMBER(measured[Measured Value (kWh)]))=0,"",SUMIFS(measured[Measured Value (kWh)],measured[Site Name],A2229,measured[Date],B2229)),"")</f>
        <v>20218.59</v>
      </c>
      <c r="D2229" cm="1">
        <f t="array" ref="D2229">IFERROR(IF(SUMPRODUCT((expected_production[Site Name]=A2229)*(expected_production[Date]=B2229)*ISNUMBER(expected_production[Expected Production (kWh)]))=0,"",SUMIFS(expected_production[Expected Production (kWh)],expected_production[Site Name],A2229,expected_production[Date],B2229)),"")</f>
        <v>25623.805311683645</v>
      </c>
      <c r="E2229" s="9">
        <f t="shared" si="70"/>
        <v>0.7890549336472269</v>
      </c>
      <c r="F2229" t="str">
        <f t="shared" si="71"/>
        <v>Moderate</v>
      </c>
      <c r="G2229" t="s">
        <v>874</v>
      </c>
    </row>
    <row r="2230" spans="1:7" ht="15" customHeight="1" x14ac:dyDescent="0.3">
      <c r="A2230" t="s">
        <v>186</v>
      </c>
      <c r="B2230" s="2">
        <v>46266</v>
      </c>
      <c r="C2230" cm="1">
        <f t="array" ref="C2230">IFERROR(IF(SUMPRODUCT((measured[Site Name]=A2230)*(measured[Date]=B2230)*ISNUMBER(measured[Measured Value (kWh)]))=0,"",SUMIFS(measured[Measured Value (kWh)],measured[Site Name],A2230,measured[Date],B2230)),"")</f>
        <v>17902.21</v>
      </c>
      <c r="D2230" cm="1">
        <f t="array" ref="D2230">IFERROR(IF(SUMPRODUCT((expected_production[Site Name]=A2230)*(expected_production[Date]=B2230)*ISNUMBER(expected_production[Expected Production (kWh)]))=0,"",SUMIFS(expected_production[Expected Production (kWh)],expected_production[Site Name],A2230,expected_production[Date],B2230)),"")</f>
        <v>28577.663863437483</v>
      </c>
      <c r="E2230" s="9">
        <f t="shared" si="70"/>
        <v>0.62644063858922516</v>
      </c>
      <c r="F2230" t="str">
        <f t="shared" si="71"/>
        <v>Poor</v>
      </c>
      <c r="G2230" t="s">
        <v>875</v>
      </c>
    </row>
    <row r="2231" spans="1:7" ht="15" hidden="1" customHeight="1" x14ac:dyDescent="0.3">
      <c r="A2231" t="s">
        <v>186</v>
      </c>
      <c r="B2231" s="2">
        <v>46296</v>
      </c>
      <c r="C2231" t="str" cm="1">
        <f t="array" ref="C2231">IFERROR(IF(SUMPRODUCT((measured[Site Name]=A2231)*(measured[Date]=B2231)*ISNUMBER(measured[Measured Value (kWh)]))=0,"",SUMIFS(measured[Measured Value (kWh)],measured[Site Name],A2231,measured[Date],B2231)),"")</f>
        <v/>
      </c>
      <c r="D2231" cm="1">
        <f t="array" ref="D2231">IFERROR(IF(SUMPRODUCT((expected_production[Site Name]=A2231)*(expected_production[Date]=B2231)*ISNUMBER(expected_production[Expected Production (kWh)]))=0,"",SUMIFS(expected_production[Expected Production (kWh)],expected_production[Site Name],A2231,expected_production[Date],B2231)),"")</f>
        <v>32575.974828584167</v>
      </c>
      <c r="E2231" s="9" t="str">
        <f t="shared" si="70"/>
        <v/>
      </c>
      <c r="F2231" t="str">
        <f t="shared" si="71"/>
        <v/>
      </c>
    </row>
    <row r="2232" spans="1:7" ht="15" hidden="1" customHeight="1" x14ac:dyDescent="0.3">
      <c r="A2232" t="s">
        <v>186</v>
      </c>
      <c r="B2232" s="2">
        <v>46327</v>
      </c>
      <c r="C2232" t="str" cm="1">
        <f t="array" ref="C2232">IFERROR(IF(SUMPRODUCT((measured[Site Name]=A2232)*(measured[Date]=B2232)*ISNUMBER(measured[Measured Value (kWh)]))=0,"",SUMIFS(measured[Measured Value (kWh)],measured[Site Name],A2232,measured[Date],B2232)),"")</f>
        <v/>
      </c>
      <c r="D2232" cm="1">
        <f t="array" ref="D2232">IFERROR(IF(SUMPRODUCT((expected_production[Site Name]=A2232)*(expected_production[Date]=B2232)*ISNUMBER(expected_production[Expected Production (kWh)]))=0,"",SUMIFS(expected_production[Expected Production (kWh)],expected_production[Site Name],A2232,expected_production[Date],B2232)),"")</f>
        <v>33844.391678297339</v>
      </c>
      <c r="E2232" s="9" t="str">
        <f t="shared" si="70"/>
        <v/>
      </c>
      <c r="F2232" t="str">
        <f t="shared" si="71"/>
        <v/>
      </c>
    </row>
    <row r="2233" spans="1:7" ht="15" hidden="1" customHeight="1" x14ac:dyDescent="0.3">
      <c r="A2233" t="s">
        <v>186</v>
      </c>
      <c r="B2233" s="2">
        <v>46357</v>
      </c>
      <c r="C2233" t="str" cm="1">
        <f t="array" ref="C2233">IFERROR(IF(SUMPRODUCT((measured[Site Name]=A2233)*(measured[Date]=B2233)*ISNUMBER(measured[Measured Value (kWh)]))=0,"",SUMIFS(measured[Measured Value (kWh)],measured[Site Name],A2233,measured[Date],B2233)),"")</f>
        <v/>
      </c>
      <c r="D2233" cm="1">
        <f t="array" ref="D2233">IFERROR(IF(SUMPRODUCT((expected_production[Site Name]=A2233)*(expected_production[Date]=B2233)*ISNUMBER(expected_production[Expected Production (kWh)]))=0,"",SUMIFS(expected_production[Expected Production (kWh)],expected_production[Site Name],A2233,expected_production[Date],B2233)),"")</f>
        <v>35747.975845287983</v>
      </c>
      <c r="E2233" s="9" t="str">
        <f t="shared" si="70"/>
        <v/>
      </c>
      <c r="F2233" t="str">
        <f t="shared" si="71"/>
        <v/>
      </c>
    </row>
    <row r="2234" spans="1:7" ht="15" hidden="1" customHeight="1" x14ac:dyDescent="0.3">
      <c r="A2234" t="s">
        <v>188</v>
      </c>
      <c r="B2234" s="2">
        <v>45292</v>
      </c>
      <c r="C2234" t="str" cm="1">
        <f t="array" ref="C2234">IFERROR(IF(SUMPRODUCT((measured[Site Name]=A2234)*(measured[Date]=B2234)*ISNUMBER(measured[Measured Value (kWh)]))=0,"",SUMIFS(measured[Measured Value (kWh)],measured[Site Name],A2234,measured[Date],B2234)),"")</f>
        <v/>
      </c>
      <c r="D2234" cm="1">
        <f t="array" ref="D2234">IFERROR(IF(SUMPRODUCT((expected_production[Site Name]=A2234)*(expected_production[Date]=B2234)*ISNUMBER(expected_production[Expected Production (kWh)]))=0,"",SUMIFS(expected_production[Expected Production (kWh)],expected_production[Site Name],A2234,expected_production[Date],B2234)),"")</f>
        <v>20588.400000000001</v>
      </c>
      <c r="E2234" s="9" t="str">
        <f t="shared" si="70"/>
        <v/>
      </c>
      <c r="F2234" t="str">
        <f t="shared" si="71"/>
        <v/>
      </c>
    </row>
    <row r="2235" spans="1:7" ht="15" hidden="1" customHeight="1" x14ac:dyDescent="0.3">
      <c r="A2235" t="s">
        <v>188</v>
      </c>
      <c r="B2235" s="2">
        <v>45323</v>
      </c>
      <c r="C2235" t="str" cm="1">
        <f t="array" ref="C2235">IFERROR(IF(SUMPRODUCT((measured[Site Name]=A2235)*(measured[Date]=B2235)*ISNUMBER(measured[Measured Value (kWh)]))=0,"",SUMIFS(measured[Measured Value (kWh)],measured[Site Name],A2235,measured[Date],B2235)),"")</f>
        <v/>
      </c>
      <c r="D2235" cm="1">
        <f t="array" ref="D2235">IFERROR(IF(SUMPRODUCT((expected_production[Site Name]=A2235)*(expected_production[Date]=B2235)*ISNUMBER(expected_production[Expected Production (kWh)]))=0,"",SUMIFS(expected_production[Expected Production (kWh)],expected_production[Site Name],A2235,expected_production[Date],B2235)),"")</f>
        <v>17538.3</v>
      </c>
      <c r="E2235" s="9" t="str">
        <f t="shared" si="70"/>
        <v/>
      </c>
      <c r="F2235" t="str">
        <f t="shared" si="71"/>
        <v/>
      </c>
    </row>
    <row r="2236" spans="1:7" ht="15" hidden="1" customHeight="1" x14ac:dyDescent="0.3">
      <c r="A2236" t="s">
        <v>188</v>
      </c>
      <c r="B2236" s="2">
        <v>45352</v>
      </c>
      <c r="C2236" t="str" cm="1">
        <f t="array" ref="C2236">IFERROR(IF(SUMPRODUCT((measured[Site Name]=A2236)*(measured[Date]=B2236)*ISNUMBER(measured[Measured Value (kWh)]))=0,"",SUMIFS(measured[Measured Value (kWh)],measured[Site Name],A2236,measured[Date],B2236)),"")</f>
        <v/>
      </c>
      <c r="D2236" cm="1">
        <f t="array" ref="D2236">IFERROR(IF(SUMPRODUCT((expected_production[Site Name]=A2236)*(expected_production[Date]=B2236)*ISNUMBER(expected_production[Expected Production (kWh)]))=0,"",SUMIFS(expected_production[Expected Production (kWh)],expected_production[Site Name],A2236,expected_production[Date],B2236)),"")</f>
        <v>17897.400000000001</v>
      </c>
      <c r="E2236" s="9" t="str">
        <f t="shared" si="70"/>
        <v/>
      </c>
      <c r="F2236" t="str">
        <f t="shared" si="71"/>
        <v/>
      </c>
    </row>
    <row r="2237" spans="1:7" ht="15" hidden="1" customHeight="1" x14ac:dyDescent="0.3">
      <c r="A2237" t="s">
        <v>188</v>
      </c>
      <c r="B2237" s="2">
        <v>45383</v>
      </c>
      <c r="C2237" t="str" cm="1">
        <f t="array" ref="C2237">IFERROR(IF(SUMPRODUCT((measured[Site Name]=A2237)*(measured[Date]=B2237)*ISNUMBER(measured[Measured Value (kWh)]))=0,"",SUMIFS(measured[Measured Value (kWh)],measured[Site Name],A2237,measured[Date],B2237)),"")</f>
        <v/>
      </c>
      <c r="D2237" cm="1">
        <f t="array" ref="D2237">IFERROR(IF(SUMPRODUCT((expected_production[Site Name]=A2237)*(expected_production[Date]=B2237)*ISNUMBER(expected_production[Expected Production (kWh)]))=0,"",SUMIFS(expected_production[Expected Production (kWh)],expected_production[Site Name],A2237,expected_production[Date],B2237)),"")</f>
        <v>14674.5</v>
      </c>
      <c r="E2237" s="9" t="str">
        <f t="shared" si="70"/>
        <v/>
      </c>
      <c r="F2237" t="str">
        <f t="shared" si="71"/>
        <v/>
      </c>
    </row>
    <row r="2238" spans="1:7" ht="15" hidden="1" customHeight="1" x14ac:dyDescent="0.3">
      <c r="A2238" t="s">
        <v>188</v>
      </c>
      <c r="B2238" s="2">
        <v>45413</v>
      </c>
      <c r="C2238" t="str" cm="1">
        <f t="array" ref="C2238">IFERROR(IF(SUMPRODUCT((measured[Site Name]=A2238)*(measured[Date]=B2238)*ISNUMBER(measured[Measured Value (kWh)]))=0,"",SUMIFS(measured[Measured Value (kWh)],measured[Site Name],A2238,measured[Date],B2238)),"")</f>
        <v/>
      </c>
      <c r="D2238" cm="1">
        <f t="array" ref="D2238">IFERROR(IF(SUMPRODUCT((expected_production[Site Name]=A2238)*(expected_production[Date]=B2238)*ISNUMBER(expected_production[Expected Production (kWh)]))=0,"",SUMIFS(expected_production[Expected Production (kWh)],expected_production[Site Name],A2238,expected_production[Date],B2238)),"")</f>
        <v>13272.3</v>
      </c>
      <c r="E2238" s="9" t="str">
        <f t="shared" si="70"/>
        <v/>
      </c>
      <c r="F2238" t="str">
        <f t="shared" si="71"/>
        <v/>
      </c>
    </row>
    <row r="2239" spans="1:7" ht="15" hidden="1" customHeight="1" x14ac:dyDescent="0.3">
      <c r="A2239" t="s">
        <v>188</v>
      </c>
      <c r="B2239" s="2">
        <v>45444</v>
      </c>
      <c r="C2239" t="str" cm="1">
        <f t="array" ref="C2239">IFERROR(IF(SUMPRODUCT((measured[Site Name]=A2239)*(measured[Date]=B2239)*ISNUMBER(measured[Measured Value (kWh)]))=0,"",SUMIFS(measured[Measured Value (kWh)],measured[Site Name],A2239,measured[Date],B2239)),"")</f>
        <v/>
      </c>
      <c r="D2239" cm="1">
        <f t="array" ref="D2239">IFERROR(IF(SUMPRODUCT((expected_production[Site Name]=A2239)*(expected_production[Date]=B2239)*ISNUMBER(expected_production[Expected Production (kWh)]))=0,"",SUMIFS(expected_production[Expected Production (kWh)],expected_production[Site Name],A2239,expected_production[Date],B2239)),"")</f>
        <v>11571.3</v>
      </c>
      <c r="E2239" s="9" t="str">
        <f t="shared" si="70"/>
        <v/>
      </c>
      <c r="F2239" t="str">
        <f t="shared" si="71"/>
        <v/>
      </c>
    </row>
    <row r="2240" spans="1:7" ht="15" hidden="1" customHeight="1" x14ac:dyDescent="0.3">
      <c r="A2240" t="s">
        <v>188</v>
      </c>
      <c r="B2240" s="2">
        <v>45474</v>
      </c>
      <c r="C2240" t="str" cm="1">
        <f t="array" ref="C2240">IFERROR(IF(SUMPRODUCT((measured[Site Name]=A2240)*(measured[Date]=B2240)*ISNUMBER(measured[Measured Value (kWh)]))=0,"",SUMIFS(measured[Measured Value (kWh)],measured[Site Name],A2240,measured[Date],B2240)),"")</f>
        <v/>
      </c>
      <c r="D2240" cm="1">
        <f t="array" ref="D2240">IFERROR(IF(SUMPRODUCT((expected_production[Site Name]=A2240)*(expected_production[Date]=B2240)*ISNUMBER(expected_production[Expected Production (kWh)]))=0,"",SUMIFS(expected_production[Expected Production (kWh)],expected_production[Site Name],A2240,expected_production[Date],B2240)),"")</f>
        <v>12990.6</v>
      </c>
      <c r="E2240" s="9" t="str">
        <f t="shared" si="70"/>
        <v/>
      </c>
      <c r="F2240" t="str">
        <f t="shared" si="71"/>
        <v/>
      </c>
    </row>
    <row r="2241" spans="1:6" ht="15" hidden="1" customHeight="1" x14ac:dyDescent="0.3">
      <c r="A2241" t="s">
        <v>188</v>
      </c>
      <c r="B2241" s="2">
        <v>45505</v>
      </c>
      <c r="C2241" t="str" cm="1">
        <f t="array" ref="C2241">IFERROR(IF(SUMPRODUCT((measured[Site Name]=A2241)*(measured[Date]=B2241)*ISNUMBER(measured[Measured Value (kWh)]))=0,"",SUMIFS(measured[Measured Value (kWh)],measured[Site Name],A2241,measured[Date],B2241)),"")</f>
        <v/>
      </c>
      <c r="D2241" cm="1">
        <f t="array" ref="D2241">IFERROR(IF(SUMPRODUCT((expected_production[Site Name]=A2241)*(expected_production[Date]=B2241)*ISNUMBER(expected_production[Expected Production (kWh)]))=0,"",SUMIFS(expected_production[Expected Production (kWh)],expected_production[Site Name],A2241,expected_production[Date],B2241)),"")</f>
        <v>15871.5</v>
      </c>
      <c r="E2241" s="9" t="str">
        <f t="shared" si="70"/>
        <v/>
      </c>
      <c r="F2241" t="str">
        <f t="shared" si="71"/>
        <v/>
      </c>
    </row>
    <row r="2242" spans="1:6" ht="15" hidden="1" customHeight="1" x14ac:dyDescent="0.3">
      <c r="A2242" t="s">
        <v>188</v>
      </c>
      <c r="B2242" s="2">
        <v>45536</v>
      </c>
      <c r="C2242" cm="1">
        <f t="array" ref="C2242">IFERROR(IF(SUMPRODUCT((measured[Site Name]=A2242)*(measured[Date]=B2242)*ISNUMBER(measured[Measured Value (kWh)]))=0,"",SUMIFS(measured[Measured Value (kWh)],measured[Site Name],A2242,measured[Date],B2242)),"")</f>
        <v>10570</v>
      </c>
      <c r="D2242" cm="1">
        <f t="array" ref="D2242">IFERROR(IF(SUMPRODUCT((expected_production[Site Name]=A2242)*(expected_production[Date]=B2242)*ISNUMBER(expected_production[Expected Production (kWh)]))=0,"",SUMIFS(expected_production[Expected Production (kWh)],expected_production[Site Name],A2242,expected_production[Date],B2242)),"")</f>
        <v>18317.7</v>
      </c>
      <c r="E2242" s="9">
        <f t="shared" si="70"/>
        <v>0.57703751016776117</v>
      </c>
      <c r="F2242" t="str">
        <f t="shared" si="71"/>
        <v>Poor</v>
      </c>
    </row>
    <row r="2243" spans="1:6" ht="15" hidden="1" customHeight="1" x14ac:dyDescent="0.3">
      <c r="A2243" t="s">
        <v>188</v>
      </c>
      <c r="B2243" s="2">
        <v>45566</v>
      </c>
      <c r="C2243" cm="1">
        <f t="array" ref="C2243">IFERROR(IF(SUMPRODUCT((measured[Site Name]=A2243)*(measured[Date]=B2243)*ISNUMBER(measured[Measured Value (kWh)]))=0,"",SUMIFS(measured[Measured Value (kWh)],measured[Site Name],A2243,measured[Date],B2243)),"")</f>
        <v>18040</v>
      </c>
      <c r="D2243" cm="1">
        <f t="array" ref="D2243">IFERROR(IF(SUMPRODUCT((expected_production[Site Name]=A2243)*(expected_production[Date]=B2243)*ISNUMBER(expected_production[Expected Production (kWh)]))=0,"",SUMIFS(expected_production[Expected Production (kWh)],expected_production[Site Name],A2243,expected_production[Date],B2243)),"")</f>
        <v>20111.241039460543</v>
      </c>
      <c r="E2243" s="9">
        <f t="shared" si="70"/>
        <v>0.89701077942447549</v>
      </c>
      <c r="F2243" t="str">
        <f t="shared" si="71"/>
        <v>Moderate</v>
      </c>
    </row>
    <row r="2244" spans="1:6" ht="15" hidden="1" customHeight="1" x14ac:dyDescent="0.3">
      <c r="A2244" t="s">
        <v>188</v>
      </c>
      <c r="B2244" s="2">
        <v>45597</v>
      </c>
      <c r="C2244" cm="1">
        <f t="array" ref="C2244">IFERROR(IF(SUMPRODUCT((measured[Site Name]=A2244)*(measured[Date]=B2244)*ISNUMBER(measured[Measured Value (kWh)]))=0,"",SUMIFS(measured[Measured Value (kWh)],measured[Site Name],A2244,measured[Date],B2244)),"")</f>
        <v>18800</v>
      </c>
      <c r="D2244" cm="1">
        <f t="array" ref="D2244">IFERROR(IF(SUMPRODUCT((expected_production[Site Name]=A2244)*(expected_production[Date]=B2244)*ISNUMBER(expected_production[Expected Production (kWh)]))=0,"",SUMIFS(expected_production[Expected Production (kWh)],expected_production[Site Name],A2244,expected_production[Date],B2244)),"")</f>
        <v>20550.559223834032</v>
      </c>
      <c r="E2244" s="9">
        <f t="shared" si="70"/>
        <v>0.91481695438225463</v>
      </c>
      <c r="F2244" t="str">
        <f t="shared" si="71"/>
        <v>Expected</v>
      </c>
    </row>
    <row r="2245" spans="1:6" ht="15" hidden="1" customHeight="1" x14ac:dyDescent="0.3">
      <c r="A2245" t="s">
        <v>188</v>
      </c>
      <c r="B2245" s="2">
        <v>45627</v>
      </c>
      <c r="C2245" cm="1">
        <f t="array" ref="C2245">IFERROR(IF(SUMPRODUCT((measured[Site Name]=A2245)*(measured[Date]=B2245)*ISNUMBER(measured[Measured Value (kWh)]))=0,"",SUMIFS(measured[Measured Value (kWh)],measured[Site Name],A2245,measured[Date],B2245)),"")</f>
        <v>20883</v>
      </c>
      <c r="D2245" cm="1">
        <f t="array" ref="D2245">IFERROR(IF(SUMPRODUCT((expected_production[Site Name]=A2245)*(expected_production[Date]=B2245)*ISNUMBER(expected_production[Expected Production (kWh)]))=0,"",SUMIFS(expected_production[Expected Production (kWh)],expected_production[Site Name],A2245,expected_production[Date],B2245)),"")</f>
        <v>21893.636591273655</v>
      </c>
      <c r="E2245" s="9">
        <f t="shared" si="70"/>
        <v>0.95383879754008194</v>
      </c>
      <c r="F2245" t="str">
        <f t="shared" si="71"/>
        <v>Expected</v>
      </c>
    </row>
    <row r="2246" spans="1:6" ht="15" hidden="1" customHeight="1" x14ac:dyDescent="0.3">
      <c r="A2246" t="s">
        <v>188</v>
      </c>
      <c r="B2246" s="2">
        <v>45658</v>
      </c>
      <c r="C2246" cm="1">
        <f t="array" ref="C2246">IFERROR(IF(SUMPRODUCT((measured[Site Name]=A2246)*(measured[Date]=B2246)*ISNUMBER(measured[Measured Value (kWh)]))=0,"",SUMIFS(measured[Measured Value (kWh)],measured[Site Name],A2246,measured[Date],B2246)),"")</f>
        <v>20300</v>
      </c>
      <c r="D2246" cm="1">
        <f t="array" ref="D2246">IFERROR(IF(SUMPRODUCT((expected_production[Site Name]=A2246)*(expected_production[Date]=B2246)*ISNUMBER(expected_production[Expected Production (kWh)]))=0,"",SUMIFS(expected_production[Expected Production (kWh)],expected_production[Site Name],A2246,expected_production[Date],B2246)),"")</f>
        <v>20541.729312507021</v>
      </c>
      <c r="E2246" s="9">
        <f t="shared" si="70"/>
        <v>0.98823228030953358</v>
      </c>
      <c r="F2246" t="str">
        <f t="shared" si="71"/>
        <v>Expected</v>
      </c>
    </row>
    <row r="2247" spans="1:6" ht="15" hidden="1" customHeight="1" x14ac:dyDescent="0.3">
      <c r="A2247" t="s">
        <v>188</v>
      </c>
      <c r="B2247" s="2">
        <v>45689</v>
      </c>
      <c r="C2247" cm="1">
        <f t="array" ref="C2247">IFERROR(IF(SUMPRODUCT((measured[Site Name]=A2247)*(measured[Date]=B2247)*ISNUMBER(measured[Measured Value (kWh)]))=0,"",SUMIFS(measured[Measured Value (kWh)],measured[Site Name],A2247,measured[Date],B2247)),"")</f>
        <v>13100</v>
      </c>
      <c r="D2247" cm="1">
        <f t="array" ref="D2247">IFERROR(IF(SUMPRODUCT((expected_production[Site Name]=A2247)*(expected_production[Date]=B2247)*ISNUMBER(expected_production[Expected Production (kWh)]))=0,"",SUMIFS(expected_production[Expected Production (kWh)],expected_production[Site Name],A2247,expected_production[Date],B2247)),"")</f>
        <v>17488.113842132723</v>
      </c>
      <c r="E2247" s="9">
        <f t="shared" si="70"/>
        <v>0.74908021060791652</v>
      </c>
      <c r="F2247" t="str">
        <f t="shared" si="71"/>
        <v>Moderate</v>
      </c>
    </row>
    <row r="2248" spans="1:6" ht="15" hidden="1" customHeight="1" x14ac:dyDescent="0.3">
      <c r="A2248" t="s">
        <v>188</v>
      </c>
      <c r="B2248" s="2">
        <v>45717</v>
      </c>
      <c r="C2248" cm="1">
        <f t="array" ref="C2248">IFERROR(IF(SUMPRODUCT((measured[Site Name]=A2248)*(measured[Date]=B2248)*ISNUMBER(measured[Measured Value (kWh)]))=0,"",SUMIFS(measured[Measured Value (kWh)],measured[Site Name],A2248,measured[Date],B2248)),"")</f>
        <v>12342</v>
      </c>
      <c r="D2248" cm="1">
        <f t="array" ref="D2248">IFERROR(IF(SUMPRODUCT((expected_production[Site Name]=A2248)*(expected_production[Date]=B2248)*ISNUMBER(expected_production[Expected Production (kWh)]))=0,"",SUMIFS(expected_production[Expected Production (kWh)],expected_production[Site Name],A2248,expected_production[Date],B2248)),"")</f>
        <v>17836.578584632356</v>
      </c>
      <c r="E2248" s="9">
        <f t="shared" si="70"/>
        <v>0.69194884778146992</v>
      </c>
      <c r="F2248" t="str">
        <f t="shared" si="71"/>
        <v>Poor</v>
      </c>
    </row>
    <row r="2249" spans="1:6" ht="15" hidden="1" customHeight="1" x14ac:dyDescent="0.3">
      <c r="A2249" t="s">
        <v>188</v>
      </c>
      <c r="B2249" s="2">
        <v>45748</v>
      </c>
      <c r="C2249" cm="1">
        <f t="array" ref="C2249">IFERROR(IF(SUMPRODUCT((measured[Site Name]=A2249)*(measured[Date]=B2249)*ISNUMBER(measured[Measured Value (kWh)]))=0,"",SUMIFS(measured[Measured Value (kWh)],measured[Site Name],A2249,measured[Date],B2249)),"")</f>
        <v>10819</v>
      </c>
      <c r="D2249" cm="1">
        <f t="array" ref="D2249">IFERROR(IF(SUMPRODUCT((expected_production[Site Name]=A2249)*(expected_production[Date]=B2249)*ISNUMBER(expected_production[Expected Production (kWh)]))=0,"",SUMIFS(expected_production[Expected Production (kWh)],expected_production[Site Name],A2249,expected_production[Date],B2249)),"")</f>
        <v>14615.914441410436</v>
      </c>
      <c r="E2249" s="9">
        <f t="shared" si="70"/>
        <v>0.74022053449814573</v>
      </c>
      <c r="F2249" t="str">
        <f t="shared" si="71"/>
        <v>Moderate</v>
      </c>
    </row>
    <row r="2250" spans="1:6" ht="15" hidden="1" customHeight="1" x14ac:dyDescent="0.3">
      <c r="A2250" t="s">
        <v>188</v>
      </c>
      <c r="B2250" s="2">
        <v>45778</v>
      </c>
      <c r="C2250" cm="1">
        <f t="array" ref="C2250">IFERROR(IF(SUMPRODUCT((measured[Site Name]=A2250)*(measured[Date]=B2250)*ISNUMBER(measured[Measured Value (kWh)]))=0,"",SUMIFS(measured[Measured Value (kWh)],measured[Site Name],A2250,measured[Date],B2250)),"")</f>
        <v>15169</v>
      </c>
      <c r="D2250" cm="1">
        <f t="array" ref="D2250">IFERROR(IF(SUMPRODUCT((expected_production[Site Name]=A2250)*(expected_production[Date]=B2250)*ISNUMBER(expected_production[Expected Production (kWh)]))=0,"",SUMIFS(expected_production[Expected Production (kWh)],expected_production[Site Name],A2250,expected_production[Date],B2250)),"")</f>
        <v>13211.687544773018</v>
      </c>
      <c r="E2250" s="9">
        <f t="shared" si="70"/>
        <v>1.1481500715630653</v>
      </c>
      <c r="F2250" t="str">
        <f t="shared" si="71"/>
        <v>Expected</v>
      </c>
    </row>
    <row r="2251" spans="1:6" ht="15" hidden="1" customHeight="1" x14ac:dyDescent="0.3">
      <c r="A2251" t="s">
        <v>188</v>
      </c>
      <c r="B2251" s="2">
        <v>45809</v>
      </c>
      <c r="C2251" cm="1">
        <f t="array" ref="C2251">IFERROR(IF(SUMPRODUCT((measured[Site Name]=A2251)*(measured[Date]=B2251)*ISNUMBER(measured[Measured Value (kWh)]))=0,"",SUMIFS(measured[Measured Value (kWh)],measured[Site Name],A2251,measured[Date],B2251)),"")</f>
        <v>13081.41</v>
      </c>
      <c r="D2251" cm="1">
        <f t="array" ref="D2251">IFERROR(IF(SUMPRODUCT((expected_production[Site Name]=A2251)*(expected_production[Date]=B2251)*ISNUMBER(expected_production[Expected Production (kWh)]))=0,"",SUMIFS(expected_production[Expected Production (kWh)],expected_production[Site Name],A2251,expected_production[Date],B2251)),"")</f>
        <v>11511.590449148869</v>
      </c>
      <c r="E2251" s="9">
        <f t="shared" si="70"/>
        <v>1.1363686067347192</v>
      </c>
      <c r="F2251" t="str">
        <f t="shared" si="71"/>
        <v>Expected</v>
      </c>
    </row>
    <row r="2252" spans="1:6" ht="15" hidden="1" customHeight="1" x14ac:dyDescent="0.3">
      <c r="A2252" t="s">
        <v>188</v>
      </c>
      <c r="B2252" s="2">
        <v>45839</v>
      </c>
      <c r="C2252" cm="1">
        <f t="array" ref="C2252">IFERROR(IF(SUMPRODUCT((measured[Site Name]=A2252)*(measured[Date]=B2252)*ISNUMBER(measured[Measured Value (kWh)]))=0,"",SUMIFS(measured[Measured Value (kWh)],measured[Site Name],A2252,measured[Date],B2252)),"")</f>
        <v>14154</v>
      </c>
      <c r="D2252" cm="1">
        <f t="array" ref="D2252">IFERROR(IF(SUMPRODUCT((expected_production[Site Name]=A2252)*(expected_production[Date]=B2252)*ISNUMBER(expected_production[Expected Production (kWh)]))=0,"",SUMIFS(expected_production[Expected Production (kWh)],expected_production[Site Name],A2252,expected_production[Date],B2252)),"")</f>
        <v>12916.112294561213</v>
      </c>
      <c r="E2252" s="9">
        <f t="shared" si="70"/>
        <v>1.0958405809122644</v>
      </c>
      <c r="F2252" t="str">
        <f t="shared" si="71"/>
        <v>Expected</v>
      </c>
    </row>
    <row r="2253" spans="1:6" ht="15" hidden="1" customHeight="1" x14ac:dyDescent="0.3">
      <c r="A2253" t="s">
        <v>188</v>
      </c>
      <c r="B2253" s="2">
        <v>45870</v>
      </c>
      <c r="C2253" cm="1">
        <f t="array" ref="C2253">IFERROR(IF(SUMPRODUCT((measured[Site Name]=A2253)*(measured[Date]=B2253)*ISNUMBER(measured[Measured Value (kWh)]))=0,"",SUMIFS(measured[Measured Value (kWh)],measured[Site Name],A2253,measured[Date],B2253)),"")</f>
        <v>16190</v>
      </c>
      <c r="D2253" cm="1">
        <f t="array" ref="D2253">IFERROR(IF(SUMPRODUCT((expected_production[Site Name]=A2253)*(expected_production[Date]=B2253)*ISNUMBER(expected_production[Expected Production (kWh)]))=0,"",SUMIFS(expected_production[Expected Production (kWh)],expected_production[Site Name],A2253,expected_production[Date],B2253)),"")</f>
        <v>15771.087731768328</v>
      </c>
      <c r="E2253" s="9">
        <f t="shared" si="70"/>
        <v>1.0265620403206457</v>
      </c>
      <c r="F2253" t="str">
        <f t="shared" si="71"/>
        <v>Expected</v>
      </c>
    </row>
    <row r="2254" spans="1:6" ht="15" hidden="1" customHeight="1" x14ac:dyDescent="0.3">
      <c r="A2254" t="s">
        <v>188</v>
      </c>
      <c r="B2254" s="2">
        <v>45901</v>
      </c>
      <c r="C2254" cm="1">
        <f t="array" ref="C2254">IFERROR(IF(SUMPRODUCT((measured[Site Name]=A2254)*(measured[Date]=B2254)*ISNUMBER(measured[Measured Value (kWh)]))=0,"",SUMIFS(measured[Measured Value (kWh)],measured[Site Name],A2254,measured[Date],B2254)),"")</f>
        <v>16520</v>
      </c>
      <c r="D2254" cm="1">
        <f t="array" ref="D2254">IFERROR(IF(SUMPRODUCT((expected_production[Site Name]=A2254)*(expected_production[Date]=B2254)*ISNUMBER(expected_production[Expected Production (kWh)]))=0,"",SUMIFS(expected_production[Expected Production (kWh)],expected_production[Site Name],A2254,expected_production[Date],B2254)),"")</f>
        <v>18190.962922648498</v>
      </c>
      <c r="E2254" s="9">
        <f t="shared" si="70"/>
        <v>0.90814323959903853</v>
      </c>
      <c r="F2254" t="str">
        <f t="shared" si="71"/>
        <v>Expected</v>
      </c>
    </row>
    <row r="2255" spans="1:6" ht="15" hidden="1" customHeight="1" x14ac:dyDescent="0.3">
      <c r="A2255" t="s">
        <v>188</v>
      </c>
      <c r="B2255" s="2">
        <v>45931</v>
      </c>
      <c r="C2255" cm="1">
        <f t="array" ref="C2255">IFERROR(IF(SUMPRODUCT((measured[Site Name]=A2255)*(measured[Date]=B2255)*ISNUMBER(measured[Measured Value (kWh)]))=0,"",SUMIFS(measured[Measured Value (kWh)],measured[Site Name],A2255,measured[Date],B2255)),"")</f>
        <v>20440</v>
      </c>
      <c r="D2255" cm="1">
        <f t="array" ref="D2255">IFERROR(IF(SUMPRODUCT((expected_production[Site Name]=A2255)*(expected_production[Date]=B2255)*ISNUMBER(expected_production[Expected Production (kWh)]))=0,"",SUMIFS(expected_production[Expected Production (kWh)],expected_production[Site Name],A2255,expected_production[Date],B2255)),"")</f>
        <v>19970.558372133248</v>
      </c>
      <c r="E2255" s="9">
        <f t="shared" si="70"/>
        <v>1.0235066851471617</v>
      </c>
      <c r="F2255" t="str">
        <f t="shared" si="71"/>
        <v>Expected</v>
      </c>
    </row>
    <row r="2256" spans="1:6" ht="15" hidden="1" customHeight="1" x14ac:dyDescent="0.3">
      <c r="A2256" t="s">
        <v>188</v>
      </c>
      <c r="B2256" s="2">
        <v>45962</v>
      </c>
      <c r="C2256" cm="1">
        <f t="array" ref="C2256">IFERROR(IF(SUMPRODUCT((measured[Site Name]=A2256)*(measured[Date]=B2256)*ISNUMBER(measured[Measured Value (kWh)]))=0,"",SUMIFS(measured[Measured Value (kWh)],measured[Site Name],A2256,measured[Date],B2256)),"")</f>
        <v>17928</v>
      </c>
      <c r="D2256" cm="1">
        <f t="array" ref="D2256">IFERROR(IF(SUMPRODUCT((expected_production[Site Name]=A2256)*(expected_production[Date]=B2256)*ISNUMBER(expected_production[Expected Production (kWh)]))=0,"",SUMIFS(expected_production[Expected Production (kWh)],expected_production[Site Name],A2256,expected_production[Date],B2256)),"")</f>
        <v>20406.803426715207</v>
      </c>
      <c r="E2256" s="9">
        <f t="shared" si="70"/>
        <v>0.87853053832673644</v>
      </c>
      <c r="F2256" t="str">
        <f t="shared" si="71"/>
        <v>Moderate</v>
      </c>
    </row>
    <row r="2257" spans="1:7" ht="15" hidden="1" customHeight="1" x14ac:dyDescent="0.3">
      <c r="A2257" t="s">
        <v>188</v>
      </c>
      <c r="B2257" s="2">
        <v>45992</v>
      </c>
      <c r="C2257" cm="1">
        <f t="array" ref="C2257">IFERROR(IF(SUMPRODUCT((measured[Site Name]=A2257)*(measured[Date]=B2257)*ISNUMBER(measured[Measured Value (kWh)]))=0,"",SUMIFS(measured[Measured Value (kWh)],measured[Site Name],A2257,measured[Date],B2257)),"")</f>
        <v>20527.882300000001</v>
      </c>
      <c r="D2257" cm="1">
        <f t="array" ref="D2257">IFERROR(IF(SUMPRODUCT((expected_production[Site Name]=A2257)*(expected_production[Date]=B2257)*ISNUMBER(expected_production[Expected Production (kWh)]))=0,"",SUMIFS(expected_production[Expected Production (kWh)],expected_production[Site Name],A2257,expected_production[Date],B2257)),"")</f>
        <v>21740.485665027416</v>
      </c>
      <c r="E2257" s="9">
        <f t="shared" si="70"/>
        <v>0.94422372233486696</v>
      </c>
      <c r="F2257" t="str">
        <f t="shared" si="71"/>
        <v>Expected</v>
      </c>
    </row>
    <row r="2258" spans="1:7" ht="15" hidden="1" customHeight="1" x14ac:dyDescent="0.3">
      <c r="A2258" t="s">
        <v>188</v>
      </c>
      <c r="B2258" s="2">
        <v>46023</v>
      </c>
      <c r="C2258" cm="1">
        <f t="array" ref="C2258">IFERROR(IF(SUMPRODUCT((measured[Site Name]=A2258)*(measured[Date]=B2258)*ISNUMBER(measured[Measured Value (kWh)]))=0,"",SUMIFS(measured[Measured Value (kWh)],measured[Site Name],A2258,measured[Date],B2258)),"")</f>
        <v>22071</v>
      </c>
      <c r="D2258" cm="1">
        <f t="array" ref="D2258">IFERROR(IF(SUMPRODUCT((expected_production[Site Name]=A2258)*(expected_production[Date]=B2258)*ISNUMBER(expected_production[Expected Production (kWh)]))=0,"",SUMIFS(expected_production[Expected Production (kWh)],expected_production[Site Name],A2258,expected_production[Date],B2258)),"")</f>
        <v>20398.035282609588</v>
      </c>
      <c r="E2258" s="9">
        <f t="shared" si="70"/>
        <v>1.0820159733136996</v>
      </c>
      <c r="F2258" t="str">
        <f t="shared" si="71"/>
        <v>Expected</v>
      </c>
    </row>
    <row r="2259" spans="1:7" ht="15" hidden="1" customHeight="1" x14ac:dyDescent="0.3">
      <c r="A2259" t="s">
        <v>188</v>
      </c>
      <c r="B2259" s="2">
        <v>46054</v>
      </c>
      <c r="C2259" cm="1">
        <f t="array" ref="C2259">IFERROR(IF(SUMPRODUCT((measured[Site Name]=A2259)*(measured[Date]=B2259)*ISNUMBER(measured[Measured Value (kWh)]))=0,"",SUMIFS(measured[Measured Value (kWh)],measured[Site Name],A2259,measured[Date],B2259)),"")</f>
        <v>18965</v>
      </c>
      <c r="D2259" cm="1">
        <f t="array" ref="D2259">IFERROR(IF(SUMPRODUCT((expected_production[Site Name]=A2259)*(expected_production[Date]=B2259)*ISNUMBER(expected_production[Expected Production (kWh)]))=0,"",SUMIFS(expected_production[Expected Production (kWh)],expected_production[Site Name],A2259,expected_production[Date],B2259)),"")</f>
        <v>17365.780541218708</v>
      </c>
      <c r="E2259" s="9">
        <f t="shared" si="70"/>
        <v>1.0920902723022123</v>
      </c>
      <c r="F2259" t="str">
        <f t="shared" si="71"/>
        <v>Expected</v>
      </c>
    </row>
    <row r="2260" spans="1:7" ht="15" hidden="1" customHeight="1" x14ac:dyDescent="0.3">
      <c r="A2260" t="s">
        <v>188</v>
      </c>
      <c r="B2260" s="2">
        <v>46082</v>
      </c>
      <c r="C2260" cm="1">
        <f t="array" ref="C2260">IFERROR(IF(SUMPRODUCT((measured[Site Name]=A2260)*(measured[Date]=B2260)*ISNUMBER(measured[Measured Value (kWh)]))=0,"",SUMIFS(measured[Measured Value (kWh)],measured[Site Name],A2260,measured[Date],B2260)),"")</f>
        <v>15865</v>
      </c>
      <c r="D2260" cm="1">
        <f t="array" ref="D2260">IFERROR(IF(SUMPRODUCT((expected_production[Site Name]=A2260)*(expected_production[Date]=B2260)*ISNUMBER(expected_production[Expected Production (kWh)]))=0,"",SUMIFS(expected_production[Expected Production (kWh)],expected_production[Site Name],A2260,expected_production[Date],B2260)),"")</f>
        <v>17711.807694245461</v>
      </c>
      <c r="E2260" s="9">
        <f t="shared" si="70"/>
        <v>0.89573014081191238</v>
      </c>
      <c r="F2260" t="str">
        <f t="shared" si="71"/>
        <v>Moderate</v>
      </c>
    </row>
    <row r="2261" spans="1:7" ht="15" hidden="1" customHeight="1" x14ac:dyDescent="0.3">
      <c r="A2261" t="s">
        <v>188</v>
      </c>
      <c r="B2261" s="2">
        <v>46113</v>
      </c>
      <c r="C2261" cm="1">
        <f t="array" ref="C2261">IFERROR(IF(SUMPRODUCT((measured[Site Name]=A2261)*(measured[Date]=B2261)*ISNUMBER(measured[Measured Value (kWh)]))=0,"",SUMIFS(measured[Measured Value (kWh)],measured[Site Name],A2261,measured[Date],B2261)),"")</f>
        <v>13806.89</v>
      </c>
      <c r="D2261" cm="1">
        <f t="array" ref="D2261">IFERROR(IF(SUMPRODUCT((expected_production[Site Name]=A2261)*(expected_production[Date]=B2261)*ISNUMBER(expected_production[Expected Production (kWh)]))=0,"",SUMIFS(expected_production[Expected Production (kWh)],expected_production[Site Name],A2261,expected_production[Date],B2261)),"")</f>
        <v>14513.672823152736</v>
      </c>
      <c r="E2261" s="9">
        <f t="shared" si="70"/>
        <v>0.95130227670385048</v>
      </c>
      <c r="F2261" t="str">
        <f t="shared" si="71"/>
        <v>Expected</v>
      </c>
    </row>
    <row r="2262" spans="1:7" ht="15" hidden="1" customHeight="1" x14ac:dyDescent="0.3">
      <c r="A2262" t="s">
        <v>188</v>
      </c>
      <c r="B2262" s="2">
        <v>46143</v>
      </c>
      <c r="C2262" cm="1">
        <f t="array" ref="C2262">IFERROR(IF(SUMPRODUCT((measured[Site Name]=A2262)*(measured[Date]=B2262)*ISNUMBER(measured[Measured Value (kWh)]))=0,"",SUMIFS(measured[Measured Value (kWh)],measured[Site Name],A2262,measured[Date],B2262)),"")</f>
        <v>13506.85</v>
      </c>
      <c r="D2262" cm="1">
        <f t="array" ref="D2262">IFERROR(IF(SUMPRODUCT((expected_production[Site Name]=A2262)*(expected_production[Date]=B2262)*ISNUMBER(expected_production[Expected Production (kWh)]))=0,"",SUMIFS(expected_production[Expected Production (kWh)],expected_production[Site Name],A2262,expected_production[Date],B2262)),"")</f>
        <v>13119.268810392252</v>
      </c>
      <c r="E2262" s="9">
        <f t="shared" ref="E2262:E2325" si="72">IF(OR(C2262="",D2262="",D2262=0),"",C2262/D2262)</f>
        <v>1.0295428956605213</v>
      </c>
      <c r="F2262" t="str">
        <f t="shared" ref="F2262:F2325" si="73">IF(E2262="","",IF(E2262&gt;=0.9,"Expected",IF(E2262&gt;=0.7,"Moderate","Poor")))</f>
        <v>Expected</v>
      </c>
    </row>
    <row r="2263" spans="1:7" ht="15" hidden="1" customHeight="1" x14ac:dyDescent="0.3">
      <c r="A2263" t="s">
        <v>188</v>
      </c>
      <c r="B2263" s="2">
        <v>46174</v>
      </c>
      <c r="C2263" cm="1">
        <f t="array" ref="C2263">IFERROR(IF(SUMPRODUCT((measured[Site Name]=A2263)*(measured[Date]=B2263)*ISNUMBER(measured[Measured Value (kWh)]))=0,"",SUMIFS(measured[Measured Value (kWh)],measured[Site Name],A2263,measured[Date],B2263)),"")</f>
        <v>10711.09</v>
      </c>
      <c r="D2263" cm="1">
        <f t="array" ref="D2263">IFERROR(IF(SUMPRODUCT((expected_production[Site Name]=A2263)*(expected_production[Date]=B2263)*ISNUMBER(expected_production[Expected Production (kWh)]))=0,"",SUMIFS(expected_production[Expected Production (kWh)],expected_production[Site Name],A2263,expected_production[Date],B2263)),"")</f>
        <v>11431.064277422916</v>
      </c>
      <c r="E2263" s="9">
        <f t="shared" si="72"/>
        <v>0.93701598906718497</v>
      </c>
      <c r="F2263" t="str">
        <f t="shared" si="73"/>
        <v>Expected</v>
      </c>
    </row>
    <row r="2264" spans="1:7" ht="15" hidden="1" customHeight="1" x14ac:dyDescent="0.3">
      <c r="A2264" t="s">
        <v>188</v>
      </c>
      <c r="B2264" s="2">
        <v>46204</v>
      </c>
      <c r="C2264" cm="1">
        <f t="array" ref="C2264">IFERROR(IF(SUMPRODUCT((measured[Site Name]=A2264)*(measured[Date]=B2264)*ISNUMBER(measured[Measured Value (kWh)]))=0,"",SUMIFS(measured[Measured Value (kWh)],measured[Site Name],A2264,measured[Date],B2264)),"")</f>
        <v>9106.9599999999991</v>
      </c>
      <c r="D2264" cm="1">
        <f t="array" ref="D2264">IFERROR(IF(SUMPRODUCT((expected_production[Site Name]=A2264)*(expected_production[Date]=B2264)*ISNUMBER(expected_production[Expected Production (kWh)]))=0,"",SUMIFS(expected_production[Expected Production (kWh)],expected_production[Site Name],A2264,expected_production[Date],B2264)),"")</f>
        <v>12825.761175725114</v>
      </c>
      <c r="E2264" s="9">
        <f t="shared" si="72"/>
        <v>0.71005220471720898</v>
      </c>
      <c r="F2264" t="str">
        <f t="shared" si="73"/>
        <v>Moderate</v>
      </c>
      <c r="G2264" t="s">
        <v>875</v>
      </c>
    </row>
    <row r="2265" spans="1:7" ht="15" hidden="1" customHeight="1" x14ac:dyDescent="0.3">
      <c r="A2265" t="s">
        <v>188</v>
      </c>
      <c r="B2265" s="2">
        <v>46235</v>
      </c>
      <c r="C2265" cm="1">
        <f t="array" ref="C2265">IFERROR(IF(SUMPRODUCT((measured[Site Name]=A2265)*(measured[Date]=B2265)*ISNUMBER(measured[Measured Value (kWh)]))=0,"",SUMIFS(measured[Measured Value (kWh)],measured[Site Name],A2265,measured[Date],B2265)),"")</f>
        <v>14997.19</v>
      </c>
      <c r="D2265" cm="1">
        <f t="array" ref="D2265">IFERROR(IF(SUMPRODUCT((expected_production[Site Name]=A2265)*(expected_production[Date]=B2265)*ISNUMBER(expected_production[Expected Production (kWh)]))=0,"",SUMIFS(expected_production[Expected Production (kWh)],expected_production[Site Name],A2265,expected_production[Date],B2265)),"")</f>
        <v>15660.765415785712</v>
      </c>
      <c r="E2265" s="9">
        <f t="shared" si="72"/>
        <v>0.95762816195964207</v>
      </c>
      <c r="F2265" t="str">
        <f t="shared" si="73"/>
        <v>Expected</v>
      </c>
      <c r="G2265" t="s">
        <v>874</v>
      </c>
    </row>
    <row r="2266" spans="1:7" ht="15" customHeight="1" x14ac:dyDescent="0.3">
      <c r="A2266" t="s">
        <v>157</v>
      </c>
      <c r="B2266" s="2">
        <v>46266</v>
      </c>
      <c r="C2266" cm="1">
        <f t="array" ref="C2266">IFERROR(IF(SUMPRODUCT((measured[Site Name]=A2266)*(measured[Date]=B2266)*ISNUMBER(measured[Measured Value (kWh)]))=0,"",SUMIFS(measured[Measured Value (kWh)],measured[Site Name],A2266,measured[Date],B2266)),"")</f>
        <v>4995.41</v>
      </c>
      <c r="D2266" cm="1">
        <f t="array" ref="D2266">IFERROR(IF(SUMPRODUCT((expected_production[Site Name]=A2266)*(expected_production[Date]=B2266)*ISNUMBER(expected_production[Expected Production (kWh)]))=0,"",SUMIFS(expected_production[Expected Production (kWh)],expected_production[Site Name],A2266,expected_production[Date],B2266)),"")</f>
        <v>5838.9934380356735</v>
      </c>
      <c r="E2266" s="9">
        <f t="shared" si="72"/>
        <v>0.85552588010452224</v>
      </c>
      <c r="F2266" t="str">
        <f t="shared" si="73"/>
        <v>Moderate</v>
      </c>
      <c r="G2266" t="s">
        <v>874</v>
      </c>
    </row>
    <row r="2267" spans="1:7" ht="15" hidden="1" customHeight="1" x14ac:dyDescent="0.3">
      <c r="A2267" t="s">
        <v>188</v>
      </c>
      <c r="B2267" s="2">
        <v>46296</v>
      </c>
      <c r="C2267" t="str" cm="1">
        <f t="array" ref="C2267">IFERROR(IF(SUMPRODUCT((measured[Site Name]=A2267)*(measured[Date]=B2267)*ISNUMBER(measured[Measured Value (kWh)]))=0,"",SUMIFS(measured[Measured Value (kWh)],measured[Site Name],A2267,measured[Date],B2267)),"")</f>
        <v/>
      </c>
      <c r="D2267" cm="1">
        <f t="array" ref="D2267">IFERROR(IF(SUMPRODUCT((expected_production[Site Name]=A2267)*(expected_production[Date]=B2267)*ISNUMBER(expected_production[Expected Production (kWh)]))=0,"",SUMIFS(expected_production[Expected Production (kWh)],expected_production[Site Name],A2267,expected_production[Date],B2267)),"")</f>
        <v>19830.859811796046</v>
      </c>
      <c r="E2267" s="9" t="str">
        <f t="shared" si="72"/>
        <v/>
      </c>
      <c r="F2267" t="str">
        <f t="shared" si="73"/>
        <v/>
      </c>
    </row>
    <row r="2268" spans="1:7" ht="15" hidden="1" customHeight="1" x14ac:dyDescent="0.3">
      <c r="A2268" t="s">
        <v>188</v>
      </c>
      <c r="B2268" s="2">
        <v>46327</v>
      </c>
      <c r="C2268" t="str" cm="1">
        <f t="array" ref="C2268">IFERROR(IF(SUMPRODUCT((measured[Site Name]=A2268)*(measured[Date]=B2268)*ISNUMBER(measured[Measured Value (kWh)]))=0,"",SUMIFS(measured[Measured Value (kWh)],measured[Site Name],A2268,measured[Date],B2268)),"")</f>
        <v/>
      </c>
      <c r="D2268" cm="1">
        <f t="array" ref="D2268">IFERROR(IF(SUMPRODUCT((expected_production[Site Name]=A2268)*(expected_production[Date]=B2268)*ISNUMBER(expected_production[Expected Production (kWh)]))=0,"",SUMIFS(expected_production[Expected Production (kWh)],expected_production[Site Name],A2268,expected_production[Date],B2268)),"")</f>
        <v>20264.053233822535</v>
      </c>
      <c r="E2268" s="9" t="str">
        <f t="shared" si="72"/>
        <v/>
      </c>
      <c r="F2268" t="str">
        <f t="shared" si="73"/>
        <v/>
      </c>
    </row>
    <row r="2269" spans="1:7" ht="15" hidden="1" customHeight="1" x14ac:dyDescent="0.3">
      <c r="A2269" t="s">
        <v>188</v>
      </c>
      <c r="B2269" s="2">
        <v>46357</v>
      </c>
      <c r="C2269" t="str" cm="1">
        <f t="array" ref="C2269">IFERROR(IF(SUMPRODUCT((measured[Site Name]=A2269)*(measured[Date]=B2269)*ISNUMBER(measured[Measured Value (kWh)]))=0,"",SUMIFS(measured[Measured Value (kWh)],measured[Site Name],A2269,measured[Date],B2269)),"")</f>
        <v/>
      </c>
      <c r="D2269" cm="1">
        <f t="array" ref="D2269">IFERROR(IF(SUMPRODUCT((expected_production[Site Name]=A2269)*(expected_production[Date]=B2269)*ISNUMBER(expected_production[Expected Production (kWh)]))=0,"",SUMIFS(expected_production[Expected Production (kWh)],expected_production[Site Name],A2269,expected_production[Date],B2269)),"")</f>
        <v>21588.406064054721</v>
      </c>
      <c r="E2269" s="9" t="str">
        <f t="shared" si="72"/>
        <v/>
      </c>
      <c r="F2269" t="str">
        <f t="shared" si="73"/>
        <v/>
      </c>
    </row>
    <row r="2270" spans="1:7" ht="15" hidden="1" customHeight="1" x14ac:dyDescent="0.3">
      <c r="A2270" t="s">
        <v>226</v>
      </c>
      <c r="B2270" s="2">
        <v>45292</v>
      </c>
      <c r="C2270" t="str" cm="1">
        <f t="array" ref="C2270">IFERROR(IF(SUMPRODUCT((measured[Site Name]=A2270)*(measured[Date]=B2270)*ISNUMBER(measured[Measured Value (kWh)]))=0,"",SUMIFS(measured[Measured Value (kWh)],measured[Site Name],A2270,measured[Date],B2270)),"")</f>
        <v/>
      </c>
      <c r="D2270" cm="1">
        <f t="array" ref="D2270">IFERROR(IF(SUMPRODUCT((expected_production[Site Name]=A2270)*(expected_production[Date]=B2270)*ISNUMBER(expected_production[Expected Production (kWh)]))=0,"",SUMIFS(expected_production[Expected Production (kWh)],expected_production[Site Name],A2270,expected_production[Date],B2270)),"")</f>
        <v>30721.5</v>
      </c>
      <c r="E2270" s="9" t="str">
        <f t="shared" si="72"/>
        <v/>
      </c>
      <c r="F2270" t="str">
        <f t="shared" si="73"/>
        <v/>
      </c>
    </row>
    <row r="2271" spans="1:7" ht="15" hidden="1" customHeight="1" x14ac:dyDescent="0.3">
      <c r="A2271" t="s">
        <v>226</v>
      </c>
      <c r="B2271" s="2">
        <v>45323</v>
      </c>
      <c r="C2271" t="str" cm="1">
        <f t="array" ref="C2271">IFERROR(IF(SUMPRODUCT((measured[Site Name]=A2271)*(measured[Date]=B2271)*ISNUMBER(measured[Measured Value (kWh)]))=0,"",SUMIFS(measured[Measured Value (kWh)],measured[Site Name],A2271,measured[Date],B2271)),"")</f>
        <v/>
      </c>
      <c r="D2271" cm="1">
        <f t="array" ref="D2271">IFERROR(IF(SUMPRODUCT((expected_production[Site Name]=A2271)*(expected_production[Date]=B2271)*ISNUMBER(expected_production[Expected Production (kWh)]))=0,"",SUMIFS(expected_production[Expected Production (kWh)],expected_production[Site Name],A2271,expected_production[Date],B2271)),"")</f>
        <v>24282.9</v>
      </c>
      <c r="E2271" s="9" t="str">
        <f t="shared" si="72"/>
        <v/>
      </c>
      <c r="F2271" t="str">
        <f t="shared" si="73"/>
        <v/>
      </c>
    </row>
    <row r="2272" spans="1:7" ht="15" hidden="1" customHeight="1" x14ac:dyDescent="0.3">
      <c r="A2272" t="s">
        <v>226</v>
      </c>
      <c r="B2272" s="2">
        <v>45352</v>
      </c>
      <c r="C2272" t="str" cm="1">
        <f t="array" ref="C2272">IFERROR(IF(SUMPRODUCT((measured[Site Name]=A2272)*(measured[Date]=B2272)*ISNUMBER(measured[Measured Value (kWh)]))=0,"",SUMIFS(measured[Measured Value (kWh)],measured[Site Name],A2272,measured[Date],B2272)),"")</f>
        <v/>
      </c>
      <c r="D2272" cm="1">
        <f t="array" ref="D2272">IFERROR(IF(SUMPRODUCT((expected_production[Site Name]=A2272)*(expected_production[Date]=B2272)*ISNUMBER(expected_production[Expected Production (kWh)]))=0,"",SUMIFS(expected_production[Expected Production (kWh)],expected_production[Site Name],A2272,expected_production[Date],B2272)),"")</f>
        <v>24146.1</v>
      </c>
      <c r="E2272" s="9" t="str">
        <f t="shared" si="72"/>
        <v/>
      </c>
      <c r="F2272" t="str">
        <f t="shared" si="73"/>
        <v/>
      </c>
    </row>
    <row r="2273" spans="1:6" ht="15" hidden="1" customHeight="1" x14ac:dyDescent="0.3">
      <c r="A2273" t="s">
        <v>226</v>
      </c>
      <c r="B2273" s="2">
        <v>45383</v>
      </c>
      <c r="C2273" t="str" cm="1">
        <f t="array" ref="C2273">IFERROR(IF(SUMPRODUCT((measured[Site Name]=A2273)*(measured[Date]=B2273)*ISNUMBER(measured[Measured Value (kWh)]))=0,"",SUMIFS(measured[Measured Value (kWh)],measured[Site Name],A2273,measured[Date],B2273)),"")</f>
        <v/>
      </c>
      <c r="D2273" cm="1">
        <f t="array" ref="D2273">IFERROR(IF(SUMPRODUCT((expected_production[Site Name]=A2273)*(expected_production[Date]=B2273)*ISNUMBER(expected_production[Expected Production (kWh)]))=0,"",SUMIFS(expected_production[Expected Production (kWh)],expected_production[Site Name],A2273,expected_production[Date],B2273)),"")</f>
        <v>18389.7</v>
      </c>
      <c r="E2273" s="9" t="str">
        <f t="shared" si="72"/>
        <v/>
      </c>
      <c r="F2273" t="str">
        <f t="shared" si="73"/>
        <v/>
      </c>
    </row>
    <row r="2274" spans="1:6" ht="15" hidden="1" customHeight="1" x14ac:dyDescent="0.3">
      <c r="A2274" t="s">
        <v>226</v>
      </c>
      <c r="B2274" s="2">
        <v>45413</v>
      </c>
      <c r="C2274" t="str" cm="1">
        <f t="array" ref="C2274">IFERROR(IF(SUMPRODUCT((measured[Site Name]=A2274)*(measured[Date]=B2274)*ISNUMBER(measured[Measured Value (kWh)]))=0,"",SUMIFS(measured[Measured Value (kWh)],measured[Site Name],A2274,measured[Date],B2274)),"")</f>
        <v/>
      </c>
      <c r="D2274" cm="1">
        <f t="array" ref="D2274">IFERROR(IF(SUMPRODUCT((expected_production[Site Name]=A2274)*(expected_production[Date]=B2274)*ISNUMBER(expected_production[Expected Production (kWh)]))=0,"",SUMIFS(expected_production[Expected Production (kWh)],expected_production[Site Name],A2274,expected_production[Date],B2274)),"")</f>
        <v>18961.2</v>
      </c>
      <c r="E2274" s="9" t="str">
        <f t="shared" si="72"/>
        <v/>
      </c>
      <c r="F2274" t="str">
        <f t="shared" si="73"/>
        <v/>
      </c>
    </row>
    <row r="2275" spans="1:6" ht="15" hidden="1" customHeight="1" x14ac:dyDescent="0.3">
      <c r="A2275" t="s">
        <v>226</v>
      </c>
      <c r="B2275" s="2">
        <v>45444</v>
      </c>
      <c r="C2275" t="str" cm="1">
        <f t="array" ref="C2275">IFERROR(IF(SUMPRODUCT((measured[Site Name]=A2275)*(measured[Date]=B2275)*ISNUMBER(measured[Measured Value (kWh)]))=0,"",SUMIFS(measured[Measured Value (kWh)],measured[Site Name],A2275,measured[Date],B2275)),"")</f>
        <v/>
      </c>
      <c r="D2275" cm="1">
        <f t="array" ref="D2275">IFERROR(IF(SUMPRODUCT((expected_production[Site Name]=A2275)*(expected_production[Date]=B2275)*ISNUMBER(expected_production[Expected Production (kWh)]))=0,"",SUMIFS(expected_production[Expected Production (kWh)],expected_production[Site Name],A2275,expected_production[Date],B2275)),"")</f>
        <v>15280.2</v>
      </c>
      <c r="E2275" s="9" t="str">
        <f t="shared" si="72"/>
        <v/>
      </c>
      <c r="F2275" t="str">
        <f t="shared" si="73"/>
        <v/>
      </c>
    </row>
    <row r="2276" spans="1:6" ht="15" hidden="1" customHeight="1" x14ac:dyDescent="0.3">
      <c r="A2276" t="s">
        <v>226</v>
      </c>
      <c r="B2276" s="2">
        <v>45474</v>
      </c>
      <c r="C2276" t="str" cm="1">
        <f t="array" ref="C2276">IFERROR(IF(SUMPRODUCT((measured[Site Name]=A2276)*(measured[Date]=B2276)*ISNUMBER(measured[Measured Value (kWh)]))=0,"",SUMIFS(measured[Measured Value (kWh)],measured[Site Name],A2276,measured[Date],B2276)),"")</f>
        <v/>
      </c>
      <c r="D2276" cm="1">
        <f t="array" ref="D2276">IFERROR(IF(SUMPRODUCT((expected_production[Site Name]=A2276)*(expected_production[Date]=B2276)*ISNUMBER(expected_production[Expected Production (kWh)]))=0,"",SUMIFS(expected_production[Expected Production (kWh)],expected_production[Site Name],A2276,expected_production[Date],B2276)),"")</f>
        <v>17361.900000000001</v>
      </c>
      <c r="E2276" s="9" t="str">
        <f t="shared" si="72"/>
        <v/>
      </c>
      <c r="F2276" t="str">
        <f t="shared" si="73"/>
        <v/>
      </c>
    </row>
    <row r="2277" spans="1:6" ht="15" hidden="1" customHeight="1" x14ac:dyDescent="0.3">
      <c r="A2277" t="s">
        <v>226</v>
      </c>
      <c r="B2277" s="2">
        <v>45505</v>
      </c>
      <c r="C2277" t="str" cm="1">
        <f t="array" ref="C2277">IFERROR(IF(SUMPRODUCT((measured[Site Name]=A2277)*(measured[Date]=B2277)*ISNUMBER(measured[Measured Value (kWh)]))=0,"",SUMIFS(measured[Measured Value (kWh)],measured[Site Name],A2277,measured[Date],B2277)),"")</f>
        <v/>
      </c>
      <c r="D2277" cm="1">
        <f t="array" ref="D2277">IFERROR(IF(SUMPRODUCT((expected_production[Site Name]=A2277)*(expected_production[Date]=B2277)*ISNUMBER(expected_production[Expected Production (kWh)]))=0,"",SUMIFS(expected_production[Expected Production (kWh)],expected_production[Site Name],A2277,expected_production[Date],B2277)),"")</f>
        <v>19303.2</v>
      </c>
      <c r="E2277" s="9" t="str">
        <f t="shared" si="72"/>
        <v/>
      </c>
      <c r="F2277" t="str">
        <f t="shared" si="73"/>
        <v/>
      </c>
    </row>
    <row r="2278" spans="1:6" ht="15" hidden="1" customHeight="1" x14ac:dyDescent="0.3">
      <c r="A2278" t="s">
        <v>226</v>
      </c>
      <c r="B2278" s="2">
        <v>45536</v>
      </c>
      <c r="C2278" t="str" cm="1">
        <f t="array" ref="C2278">IFERROR(IF(SUMPRODUCT((measured[Site Name]=A2278)*(measured[Date]=B2278)*ISNUMBER(measured[Measured Value (kWh)]))=0,"",SUMIFS(measured[Measured Value (kWh)],measured[Site Name],A2278,measured[Date],B2278)),"")</f>
        <v/>
      </c>
      <c r="D2278" cm="1">
        <f t="array" ref="D2278">IFERROR(IF(SUMPRODUCT((expected_production[Site Name]=A2278)*(expected_production[Date]=B2278)*ISNUMBER(expected_production[Expected Production (kWh)]))=0,"",SUMIFS(expected_production[Expected Production (kWh)],expected_production[Site Name],A2278,expected_production[Date],B2278)),"")</f>
        <v>18141.3</v>
      </c>
      <c r="E2278" s="9" t="str">
        <f t="shared" si="72"/>
        <v/>
      </c>
      <c r="F2278" t="str">
        <f t="shared" si="73"/>
        <v/>
      </c>
    </row>
    <row r="2279" spans="1:6" ht="15" hidden="1" customHeight="1" x14ac:dyDescent="0.3">
      <c r="A2279" t="s">
        <v>226</v>
      </c>
      <c r="B2279" s="2">
        <v>45566</v>
      </c>
      <c r="C2279" t="str" cm="1">
        <f t="array" ref="C2279">IFERROR(IF(SUMPRODUCT((measured[Site Name]=A2279)*(measured[Date]=B2279)*ISNUMBER(measured[Measured Value (kWh)]))=0,"",SUMIFS(measured[Measured Value (kWh)],measured[Site Name],A2279,measured[Date],B2279)),"")</f>
        <v/>
      </c>
      <c r="D2279" cm="1">
        <f t="array" ref="D2279">IFERROR(IF(SUMPRODUCT((expected_production[Site Name]=A2279)*(expected_production[Date]=B2279)*ISNUMBER(expected_production[Expected Production (kWh)]))=0,"",SUMIFS(expected_production[Expected Production (kWh)],expected_production[Site Name],A2279,expected_production[Date],B2279)),"")</f>
        <v>22548.6</v>
      </c>
      <c r="E2279" s="9" t="str">
        <f t="shared" si="72"/>
        <v/>
      </c>
      <c r="F2279" t="str">
        <f t="shared" si="73"/>
        <v/>
      </c>
    </row>
    <row r="2280" spans="1:6" ht="15" hidden="1" customHeight="1" x14ac:dyDescent="0.3">
      <c r="A2280" t="s">
        <v>226</v>
      </c>
      <c r="B2280" s="2">
        <v>45597</v>
      </c>
      <c r="C2280" t="str" cm="1">
        <f t="array" ref="C2280">IFERROR(IF(SUMPRODUCT((measured[Site Name]=A2280)*(measured[Date]=B2280)*ISNUMBER(measured[Measured Value (kWh)]))=0,"",SUMIFS(measured[Measured Value (kWh)],measured[Site Name],A2280,measured[Date],B2280)),"")</f>
        <v/>
      </c>
      <c r="D2280" cm="1">
        <f t="array" ref="D2280">IFERROR(IF(SUMPRODUCT((expected_production[Site Name]=A2280)*(expected_production[Date]=B2280)*ISNUMBER(expected_production[Expected Production (kWh)]))=0,"",SUMIFS(expected_production[Expected Production (kWh)],expected_production[Site Name],A2280,expected_production[Date],B2280)),"")</f>
        <v>22923.9</v>
      </c>
      <c r="E2280" s="9" t="str">
        <f t="shared" si="72"/>
        <v/>
      </c>
      <c r="F2280" t="str">
        <f t="shared" si="73"/>
        <v/>
      </c>
    </row>
    <row r="2281" spans="1:6" ht="15" hidden="1" customHeight="1" x14ac:dyDescent="0.3">
      <c r="A2281" t="s">
        <v>226</v>
      </c>
      <c r="B2281" s="2">
        <v>45627</v>
      </c>
      <c r="C2281" t="str" cm="1">
        <f t="array" ref="C2281">IFERROR(IF(SUMPRODUCT((measured[Site Name]=A2281)*(measured[Date]=B2281)*ISNUMBER(measured[Measured Value (kWh)]))=0,"",SUMIFS(measured[Measured Value (kWh)],measured[Site Name],A2281,measured[Date],B2281)),"")</f>
        <v/>
      </c>
      <c r="D2281" cm="1">
        <f t="array" ref="D2281">IFERROR(IF(SUMPRODUCT((expected_production[Site Name]=A2281)*(expected_production[Date]=B2281)*ISNUMBER(expected_production[Expected Production (kWh)]))=0,"",SUMIFS(expected_production[Expected Production (kWh)],expected_production[Site Name],A2281,expected_production[Date],B2281)),"")</f>
        <v>28392.3</v>
      </c>
      <c r="E2281" s="9" t="str">
        <f t="shared" si="72"/>
        <v/>
      </c>
      <c r="F2281" t="str">
        <f t="shared" si="73"/>
        <v/>
      </c>
    </row>
    <row r="2282" spans="1:6" ht="15" hidden="1" customHeight="1" x14ac:dyDescent="0.3">
      <c r="A2282" t="s">
        <v>226</v>
      </c>
      <c r="B2282" s="2">
        <v>45658</v>
      </c>
      <c r="C2282" t="str" cm="1">
        <f t="array" ref="C2282">IFERROR(IF(SUMPRODUCT((measured[Site Name]=A2282)*(measured[Date]=B2282)*ISNUMBER(measured[Measured Value (kWh)]))=0,"",SUMIFS(measured[Measured Value (kWh)],measured[Site Name],A2282,measured[Date],B2282)),"")</f>
        <v/>
      </c>
      <c r="D2282" cm="1">
        <f t="array" ref="D2282">IFERROR(IF(SUMPRODUCT((expected_production[Site Name]=A2282)*(expected_production[Date]=B2282)*ISNUMBER(expected_production[Expected Production (kWh)]))=0,"",SUMIFS(expected_production[Expected Production (kWh)],expected_production[Site Name],A2282,expected_production[Date],B2282)),"")</f>
        <v>30721.5</v>
      </c>
      <c r="E2282" s="9" t="str">
        <f t="shared" si="72"/>
        <v/>
      </c>
      <c r="F2282" t="str">
        <f t="shared" si="73"/>
        <v/>
      </c>
    </row>
    <row r="2283" spans="1:6" ht="15" hidden="1" customHeight="1" x14ac:dyDescent="0.3">
      <c r="A2283" t="s">
        <v>226</v>
      </c>
      <c r="B2283" s="2">
        <v>45689</v>
      </c>
      <c r="C2283" t="str" cm="1">
        <f t="array" ref="C2283">IFERROR(IF(SUMPRODUCT((measured[Site Name]=A2283)*(measured[Date]=B2283)*ISNUMBER(measured[Measured Value (kWh)]))=0,"",SUMIFS(measured[Measured Value (kWh)],measured[Site Name],A2283,measured[Date],B2283)),"")</f>
        <v/>
      </c>
      <c r="D2283" cm="1">
        <f t="array" ref="D2283">IFERROR(IF(SUMPRODUCT((expected_production[Site Name]=A2283)*(expected_production[Date]=B2283)*ISNUMBER(expected_production[Expected Production (kWh)]))=0,"",SUMIFS(expected_production[Expected Production (kWh)],expected_production[Site Name],A2283,expected_production[Date],B2283)),"")</f>
        <v>24282.9</v>
      </c>
      <c r="E2283" s="9" t="str">
        <f t="shared" si="72"/>
        <v/>
      </c>
      <c r="F2283" t="str">
        <f t="shared" si="73"/>
        <v/>
      </c>
    </row>
    <row r="2284" spans="1:6" ht="15" hidden="1" customHeight="1" x14ac:dyDescent="0.3">
      <c r="A2284" t="s">
        <v>226</v>
      </c>
      <c r="B2284" s="2">
        <v>45717</v>
      </c>
      <c r="C2284" t="str" cm="1">
        <f t="array" ref="C2284">IFERROR(IF(SUMPRODUCT((measured[Site Name]=A2284)*(measured[Date]=B2284)*ISNUMBER(measured[Measured Value (kWh)]))=0,"",SUMIFS(measured[Measured Value (kWh)],measured[Site Name],A2284,measured[Date],B2284)),"")</f>
        <v/>
      </c>
      <c r="D2284" cm="1">
        <f t="array" ref="D2284">IFERROR(IF(SUMPRODUCT((expected_production[Site Name]=A2284)*(expected_production[Date]=B2284)*ISNUMBER(expected_production[Expected Production (kWh)]))=0,"",SUMIFS(expected_production[Expected Production (kWh)],expected_production[Site Name],A2284,expected_production[Date],B2284)),"")</f>
        <v>24146.1</v>
      </c>
      <c r="E2284" s="9" t="str">
        <f t="shared" si="72"/>
        <v/>
      </c>
      <c r="F2284" t="str">
        <f t="shared" si="73"/>
        <v/>
      </c>
    </row>
    <row r="2285" spans="1:6" ht="15" hidden="1" customHeight="1" x14ac:dyDescent="0.3">
      <c r="A2285" t="s">
        <v>226</v>
      </c>
      <c r="B2285" s="2">
        <v>45748</v>
      </c>
      <c r="C2285" t="str" cm="1">
        <f t="array" ref="C2285">IFERROR(IF(SUMPRODUCT((measured[Site Name]=A2285)*(measured[Date]=B2285)*ISNUMBER(measured[Measured Value (kWh)]))=0,"",SUMIFS(measured[Measured Value (kWh)],measured[Site Name],A2285,measured[Date],B2285)),"")</f>
        <v/>
      </c>
      <c r="D2285" cm="1">
        <f t="array" ref="D2285">IFERROR(IF(SUMPRODUCT((expected_production[Site Name]=A2285)*(expected_production[Date]=B2285)*ISNUMBER(expected_production[Expected Production (kWh)]))=0,"",SUMIFS(expected_production[Expected Production (kWh)],expected_production[Site Name],A2285,expected_production[Date],B2285)),"")</f>
        <v>18389.7</v>
      </c>
      <c r="E2285" s="9" t="str">
        <f t="shared" si="72"/>
        <v/>
      </c>
      <c r="F2285" t="str">
        <f t="shared" si="73"/>
        <v/>
      </c>
    </row>
    <row r="2286" spans="1:6" ht="15" hidden="1" customHeight="1" x14ac:dyDescent="0.3">
      <c r="A2286" t="s">
        <v>226</v>
      </c>
      <c r="B2286" s="2">
        <v>45778</v>
      </c>
      <c r="C2286" t="str" cm="1">
        <f t="array" ref="C2286">IFERROR(IF(SUMPRODUCT((measured[Site Name]=A2286)*(measured[Date]=B2286)*ISNUMBER(measured[Measured Value (kWh)]))=0,"",SUMIFS(measured[Measured Value (kWh)],measured[Site Name],A2286,measured[Date],B2286)),"")</f>
        <v/>
      </c>
      <c r="D2286" cm="1">
        <f t="array" ref="D2286">IFERROR(IF(SUMPRODUCT((expected_production[Site Name]=A2286)*(expected_production[Date]=B2286)*ISNUMBER(expected_production[Expected Production (kWh)]))=0,"",SUMIFS(expected_production[Expected Production (kWh)],expected_production[Site Name],A2286,expected_production[Date],B2286)),"")</f>
        <v>18961.2</v>
      </c>
      <c r="E2286" s="9" t="str">
        <f t="shared" si="72"/>
        <v/>
      </c>
      <c r="F2286" t="str">
        <f t="shared" si="73"/>
        <v/>
      </c>
    </row>
    <row r="2287" spans="1:6" ht="15" hidden="1" customHeight="1" x14ac:dyDescent="0.3">
      <c r="A2287" t="s">
        <v>226</v>
      </c>
      <c r="B2287" s="2">
        <v>45809</v>
      </c>
      <c r="C2287" t="str" cm="1">
        <f t="array" ref="C2287">IFERROR(IF(SUMPRODUCT((measured[Site Name]=A2287)*(measured[Date]=B2287)*ISNUMBER(measured[Measured Value (kWh)]))=0,"",SUMIFS(measured[Measured Value (kWh)],measured[Site Name],A2287,measured[Date],B2287)),"")</f>
        <v/>
      </c>
      <c r="D2287" cm="1">
        <f t="array" ref="D2287">IFERROR(IF(SUMPRODUCT((expected_production[Site Name]=A2287)*(expected_production[Date]=B2287)*ISNUMBER(expected_production[Expected Production (kWh)]))=0,"",SUMIFS(expected_production[Expected Production (kWh)],expected_production[Site Name],A2287,expected_production[Date],B2287)),"")</f>
        <v>15280.2</v>
      </c>
      <c r="E2287" s="9" t="str">
        <f t="shared" si="72"/>
        <v/>
      </c>
      <c r="F2287" t="str">
        <f t="shared" si="73"/>
        <v/>
      </c>
    </row>
    <row r="2288" spans="1:6" ht="15" hidden="1" customHeight="1" x14ac:dyDescent="0.3">
      <c r="A2288" t="s">
        <v>226</v>
      </c>
      <c r="B2288" s="2">
        <v>45839</v>
      </c>
      <c r="C2288" t="str" cm="1">
        <f t="array" ref="C2288">IFERROR(IF(SUMPRODUCT((measured[Site Name]=A2288)*(measured[Date]=B2288)*ISNUMBER(measured[Measured Value (kWh)]))=0,"",SUMIFS(measured[Measured Value (kWh)],measured[Site Name],A2288,measured[Date],B2288)),"")</f>
        <v/>
      </c>
      <c r="D2288" cm="1">
        <f t="array" ref="D2288">IFERROR(IF(SUMPRODUCT((expected_production[Site Name]=A2288)*(expected_production[Date]=B2288)*ISNUMBER(expected_production[Expected Production (kWh)]))=0,"",SUMIFS(expected_production[Expected Production (kWh)],expected_production[Site Name],A2288,expected_production[Date],B2288)),"")</f>
        <v>17361.900000000001</v>
      </c>
      <c r="E2288" s="9" t="str">
        <f t="shared" si="72"/>
        <v/>
      </c>
      <c r="F2288" t="str">
        <f t="shared" si="73"/>
        <v/>
      </c>
    </row>
    <row r="2289" spans="1:7" ht="15" hidden="1" customHeight="1" x14ac:dyDescent="0.3">
      <c r="A2289" t="s">
        <v>226</v>
      </c>
      <c r="B2289" s="2">
        <v>45870</v>
      </c>
      <c r="C2289" t="str" cm="1">
        <f t="array" ref="C2289">IFERROR(IF(SUMPRODUCT((measured[Site Name]=A2289)*(measured[Date]=B2289)*ISNUMBER(measured[Measured Value (kWh)]))=0,"",SUMIFS(measured[Measured Value (kWh)],measured[Site Name],A2289,measured[Date],B2289)),"")</f>
        <v/>
      </c>
      <c r="D2289" cm="1">
        <f t="array" ref="D2289">IFERROR(IF(SUMPRODUCT((expected_production[Site Name]=A2289)*(expected_production[Date]=B2289)*ISNUMBER(expected_production[Expected Production (kWh)]))=0,"",SUMIFS(expected_production[Expected Production (kWh)],expected_production[Site Name],A2289,expected_production[Date],B2289)),"")</f>
        <v>19303.2</v>
      </c>
      <c r="E2289" s="9" t="str">
        <f t="shared" si="72"/>
        <v/>
      </c>
      <c r="F2289" t="str">
        <f t="shared" si="73"/>
        <v/>
      </c>
    </row>
    <row r="2290" spans="1:7" ht="15" hidden="1" customHeight="1" x14ac:dyDescent="0.3">
      <c r="A2290" t="s">
        <v>226</v>
      </c>
      <c r="B2290" s="2">
        <v>45901</v>
      </c>
      <c r="C2290" t="str" cm="1">
        <f t="array" ref="C2290">IFERROR(IF(SUMPRODUCT((measured[Site Name]=A2290)*(measured[Date]=B2290)*ISNUMBER(measured[Measured Value (kWh)]))=0,"",SUMIFS(measured[Measured Value (kWh)],measured[Site Name],A2290,measured[Date],B2290)),"")</f>
        <v/>
      </c>
      <c r="D2290" cm="1">
        <f t="array" ref="D2290">IFERROR(IF(SUMPRODUCT((expected_production[Site Name]=A2290)*(expected_production[Date]=B2290)*ISNUMBER(expected_production[Expected Production (kWh)]))=0,"",SUMIFS(expected_production[Expected Production (kWh)],expected_production[Site Name],A2290,expected_production[Date],B2290)),"")</f>
        <v>18141.3</v>
      </c>
      <c r="E2290" s="9" t="str">
        <f t="shared" si="72"/>
        <v/>
      </c>
      <c r="F2290" t="str">
        <f t="shared" si="73"/>
        <v/>
      </c>
    </row>
    <row r="2291" spans="1:7" ht="15" hidden="1" customHeight="1" x14ac:dyDescent="0.3">
      <c r="A2291" t="s">
        <v>226</v>
      </c>
      <c r="B2291" s="2">
        <v>45931</v>
      </c>
      <c r="C2291" t="str" cm="1">
        <f t="array" ref="C2291">IFERROR(IF(SUMPRODUCT((measured[Site Name]=A2291)*(measured[Date]=B2291)*ISNUMBER(measured[Measured Value (kWh)]))=0,"",SUMIFS(measured[Measured Value (kWh)],measured[Site Name],A2291,measured[Date],B2291)),"")</f>
        <v/>
      </c>
      <c r="D2291" cm="1">
        <f t="array" ref="D2291">IFERROR(IF(SUMPRODUCT((expected_production[Site Name]=A2291)*(expected_production[Date]=B2291)*ISNUMBER(expected_production[Expected Production (kWh)]))=0,"",SUMIFS(expected_production[Expected Production (kWh)],expected_production[Site Name],A2291,expected_production[Date],B2291)),"")</f>
        <v>22548.6</v>
      </c>
      <c r="E2291" s="9" t="str">
        <f t="shared" si="72"/>
        <v/>
      </c>
      <c r="F2291" t="str">
        <f t="shared" si="73"/>
        <v/>
      </c>
    </row>
    <row r="2292" spans="1:7" ht="15" hidden="1" customHeight="1" x14ac:dyDescent="0.3">
      <c r="A2292" t="s">
        <v>226</v>
      </c>
      <c r="B2292" s="2">
        <v>45962</v>
      </c>
      <c r="C2292" t="str" cm="1">
        <f t="array" ref="C2292">IFERROR(IF(SUMPRODUCT((measured[Site Name]=A2292)*(measured[Date]=B2292)*ISNUMBER(measured[Measured Value (kWh)]))=0,"",SUMIFS(measured[Measured Value (kWh)],measured[Site Name],A2292,measured[Date],B2292)),"")</f>
        <v/>
      </c>
      <c r="D2292" cm="1">
        <f t="array" ref="D2292">IFERROR(IF(SUMPRODUCT((expected_production[Site Name]=A2292)*(expected_production[Date]=B2292)*ISNUMBER(expected_production[Expected Production (kWh)]))=0,"",SUMIFS(expected_production[Expected Production (kWh)],expected_production[Site Name],A2292,expected_production[Date],B2292)),"")</f>
        <v>22923.9</v>
      </c>
      <c r="E2292" s="9" t="str">
        <f t="shared" si="72"/>
        <v/>
      </c>
      <c r="F2292" t="str">
        <f t="shared" si="73"/>
        <v/>
      </c>
    </row>
    <row r="2293" spans="1:7" ht="15" hidden="1" customHeight="1" x14ac:dyDescent="0.3">
      <c r="A2293" t="s">
        <v>226</v>
      </c>
      <c r="B2293" s="2">
        <v>45992</v>
      </c>
      <c r="C2293" cm="1">
        <f t="array" ref="C2293">IFERROR(IF(SUMPRODUCT((measured[Site Name]=A2293)*(measured[Date]=B2293)*ISNUMBER(measured[Measured Value (kWh)]))=0,"",SUMIFS(measured[Measured Value (kWh)],measured[Site Name],A2293,measured[Date],B2293)),"")</f>
        <v>18509</v>
      </c>
      <c r="D2293" cm="1">
        <f t="array" ref="D2293">IFERROR(IF(SUMPRODUCT((expected_production[Site Name]=A2293)*(expected_production[Date]=B2293)*ISNUMBER(expected_production[Expected Production (kWh)]))=0,"",SUMIFS(expected_production[Expected Production (kWh)],expected_production[Site Name],A2293,expected_production[Date],B2293)),"")</f>
        <v>28392.3</v>
      </c>
      <c r="E2293" s="9">
        <f t="shared" si="72"/>
        <v>0.65190210021731243</v>
      </c>
      <c r="F2293" t="str">
        <f t="shared" si="73"/>
        <v>Poor</v>
      </c>
    </row>
    <row r="2294" spans="1:7" ht="15" hidden="1" customHeight="1" x14ac:dyDescent="0.3">
      <c r="A2294" t="s">
        <v>226</v>
      </c>
      <c r="B2294" s="2">
        <v>46023</v>
      </c>
      <c r="C2294" cm="1">
        <f t="array" ref="C2294">IFERROR(IF(SUMPRODUCT((measured[Site Name]=A2294)*(measured[Date]=B2294)*ISNUMBER(measured[Measured Value (kWh)]))=0,"",SUMIFS(measured[Measured Value (kWh)],measured[Site Name],A2294,measured[Date],B2294)),"")</f>
        <v>32917</v>
      </c>
      <c r="D2294" cm="1">
        <f t="array" ref="D2294">IFERROR(IF(SUMPRODUCT((expected_production[Site Name]=A2294)*(expected_production[Date]=B2294)*ISNUMBER(expected_production[Expected Production (kWh)]))=0,"",SUMIFS(expected_production[Expected Production (kWh)],expected_production[Site Name],A2294,expected_production[Date],B2294)),"")</f>
        <v>30703.189215504459</v>
      </c>
      <c r="E2294" s="9">
        <f t="shared" si="72"/>
        <v>1.0721036101154473</v>
      </c>
      <c r="F2294" t="str">
        <f t="shared" si="73"/>
        <v>Expected</v>
      </c>
    </row>
    <row r="2295" spans="1:7" ht="15" hidden="1" customHeight="1" x14ac:dyDescent="0.3">
      <c r="A2295" t="s">
        <v>226</v>
      </c>
      <c r="B2295" s="2">
        <v>46054</v>
      </c>
      <c r="C2295" cm="1">
        <f t="array" ref="C2295">IFERROR(IF(SUMPRODUCT((measured[Site Name]=A2295)*(measured[Date]=B2295)*ISNUMBER(measured[Measured Value (kWh)]))=0,"",SUMIFS(measured[Measured Value (kWh)],measured[Site Name],A2295,measured[Date],B2295)),"")</f>
        <v>31107</v>
      </c>
      <c r="D2295" cm="1">
        <f t="array" ref="D2295">IFERROR(IF(SUMPRODUCT((expected_production[Site Name]=A2295)*(expected_production[Date]=B2295)*ISNUMBER(expected_production[Expected Production (kWh)]))=0,"",SUMIFS(expected_production[Expected Production (kWh)],expected_production[Site Name],A2295,expected_production[Date],B2295)),"")</f>
        <v>24253.962191569797</v>
      </c>
      <c r="E2295" s="9">
        <f t="shared" si="72"/>
        <v>1.2825533310517068</v>
      </c>
      <c r="F2295" t="str">
        <f t="shared" si="73"/>
        <v>Expected</v>
      </c>
    </row>
    <row r="2296" spans="1:7" ht="15" hidden="1" customHeight="1" x14ac:dyDescent="0.3">
      <c r="A2296" t="s">
        <v>226</v>
      </c>
      <c r="B2296" s="2">
        <v>46082</v>
      </c>
      <c r="C2296" cm="1">
        <f t="array" ref="C2296">IFERROR(IF(SUMPRODUCT((measured[Site Name]=A2296)*(measured[Date]=B2296)*ISNUMBER(measured[Measured Value (kWh)]))=0,"",SUMIFS(measured[Measured Value (kWh)],measured[Site Name],A2296,measured[Date],B2296)),"")</f>
        <v>26454</v>
      </c>
      <c r="D2296" cm="1">
        <f t="array" ref="D2296">IFERROR(IF(SUMPRODUCT((expected_production[Site Name]=A2296)*(expected_production[Date]=B2296)*ISNUMBER(expected_production[Expected Production (kWh)]))=0,"",SUMIFS(expected_production[Expected Production (kWh)],expected_production[Site Name],A2296,expected_production[Date],B2296)),"")</f>
        <v>24104.341393834919</v>
      </c>
      <c r="E2296" s="9">
        <f t="shared" si="72"/>
        <v>1.0974786478408427</v>
      </c>
      <c r="F2296" t="str">
        <f t="shared" si="73"/>
        <v>Expected</v>
      </c>
    </row>
    <row r="2297" spans="1:7" ht="15" hidden="1" customHeight="1" x14ac:dyDescent="0.3">
      <c r="A2297" t="s">
        <v>226</v>
      </c>
      <c r="B2297" s="2">
        <v>46113</v>
      </c>
      <c r="C2297" cm="1">
        <f t="array" ref="C2297">IFERROR(IF(SUMPRODUCT((measured[Site Name]=A2297)*(measured[Date]=B2297)*ISNUMBER(measured[Measured Value (kWh)]))=0,"",SUMIFS(measured[Measured Value (kWh)],measured[Site Name],A2297,measured[Date],B2297)),"")</f>
        <v>20930.87</v>
      </c>
      <c r="D2297" cm="1">
        <f t="array" ref="D2297">IFERROR(IF(SUMPRODUCT((expected_production[Site Name]=A2297)*(expected_production[Date]=B2297)*ISNUMBER(expected_production[Expected Production (kWh)]))=0,"",SUMIFS(expected_production[Expected Production (kWh)],expected_production[Site Name],A2297,expected_production[Date],B2297)),"")</f>
        <v>18346.95482646138</v>
      </c>
      <c r="E2297" s="9">
        <f t="shared" si="72"/>
        <v>1.140836187693224</v>
      </c>
      <c r="F2297" t="str">
        <f t="shared" si="73"/>
        <v>Expected</v>
      </c>
    </row>
    <row r="2298" spans="1:7" ht="15" hidden="1" customHeight="1" x14ac:dyDescent="0.3">
      <c r="A2298" t="s">
        <v>226</v>
      </c>
      <c r="B2298" s="2">
        <v>46143</v>
      </c>
      <c r="C2298" cm="1">
        <f t="array" ref="C2298">IFERROR(IF(SUMPRODUCT((measured[Site Name]=A2298)*(measured[Date]=B2298)*ISNUMBER(measured[Measured Value (kWh)]))=0,"",SUMIFS(measured[Measured Value (kWh)],measured[Site Name],A2298,measured[Date],B2298)),"")</f>
        <v>20539.96</v>
      </c>
      <c r="D2298" cm="1">
        <f t="array" ref="D2298">IFERROR(IF(SUMPRODUCT((expected_production[Site Name]=A2298)*(expected_production[Date]=B2298)*ISNUMBER(expected_production[Expected Production (kWh)]))=0,"",SUMIFS(expected_production[Expected Production (kWh)],expected_production[Site Name],A2298,expected_production[Date],B2298)),"")</f>
        <v>18906.21495265657</v>
      </c>
      <c r="E2298" s="9">
        <f t="shared" si="72"/>
        <v>1.0864131213695878</v>
      </c>
      <c r="F2298" t="str">
        <f t="shared" si="73"/>
        <v>Expected</v>
      </c>
    </row>
    <row r="2299" spans="1:7" ht="15" hidden="1" customHeight="1" x14ac:dyDescent="0.3">
      <c r="A2299" t="s">
        <v>226</v>
      </c>
      <c r="B2299" s="2">
        <v>46174</v>
      </c>
      <c r="C2299" cm="1">
        <f t="array" ref="C2299">IFERROR(IF(SUMPRODUCT((measured[Site Name]=A2299)*(measured[Date]=B2299)*ISNUMBER(measured[Measured Value (kWh)]))=0,"",SUMIFS(measured[Measured Value (kWh)],measured[Site Name],A2299,measured[Date],B2299)),"")</f>
        <v>17006.73</v>
      </c>
      <c r="D2299" cm="1">
        <f t="array" ref="D2299">IFERROR(IF(SUMPRODUCT((expected_production[Site Name]=A2299)*(expected_production[Date]=B2299)*ISNUMBER(expected_production[Expected Production (kWh)]))=0,"",SUMIFS(expected_production[Expected Production (kWh)],expected_production[Site Name],A2299,expected_production[Date],B2299)),"")</f>
        <v>15226.808408209983</v>
      </c>
      <c r="E2299" s="9">
        <f t="shared" si="72"/>
        <v>1.1168939375916964</v>
      </c>
      <c r="F2299" t="str">
        <f t="shared" si="73"/>
        <v>Expected</v>
      </c>
    </row>
    <row r="2300" spans="1:7" ht="15" hidden="1" customHeight="1" x14ac:dyDescent="0.3">
      <c r="A2300" t="s">
        <v>226</v>
      </c>
      <c r="B2300" s="2">
        <v>46204</v>
      </c>
      <c r="C2300" cm="1">
        <f t="array" ref="C2300">IFERROR(IF(SUMPRODUCT((measured[Site Name]=A2300)*(measured[Date]=B2300)*ISNUMBER(measured[Measured Value (kWh)]))=0,"",SUMIFS(measured[Measured Value (kWh)],measured[Site Name],A2300,measured[Date],B2300)),"")</f>
        <v>17999.1711</v>
      </c>
      <c r="D2300" cm="1">
        <f t="array" ref="D2300">IFERROR(IF(SUMPRODUCT((expected_production[Site Name]=A2300)*(expected_production[Date]=B2300)*ISNUMBER(expected_production[Expected Production (kWh)]))=0,"",SUMIFS(expected_production[Expected Production (kWh)],expected_production[Site Name],A2300,expected_production[Date],B2300)),"")</f>
        <v>17291.255176373885</v>
      </c>
      <c r="E2300" s="9">
        <f t="shared" si="72"/>
        <v>1.0409406903319189</v>
      </c>
      <c r="F2300" t="str">
        <f t="shared" si="73"/>
        <v>Expected</v>
      </c>
      <c r="G2300" t="s">
        <v>874</v>
      </c>
    </row>
    <row r="2301" spans="1:7" ht="15" hidden="1" customHeight="1" x14ac:dyDescent="0.3">
      <c r="A2301" t="s">
        <v>226</v>
      </c>
      <c r="B2301" s="2">
        <v>46235</v>
      </c>
      <c r="C2301" cm="1">
        <f t="array" ref="C2301">IFERROR(IF(SUMPRODUCT((measured[Site Name]=A2301)*(measured[Date]=B2301)*ISNUMBER(measured[Measured Value (kWh)]))=0,"",SUMIFS(measured[Measured Value (kWh)],measured[Site Name],A2301,measured[Date],B2301)),"")</f>
        <v>22467.353999999999</v>
      </c>
      <c r="D2301" cm="1">
        <f t="array" ref="D2301">IFERROR(IF(SUMPRODUCT((expected_production[Site Name]=A2301)*(expected_production[Date]=B2301)*ISNUMBER(expected_production[Expected Production (kWh)]))=0,"",SUMIFS(expected_production[Expected Production (kWh)],expected_production[Site Name],A2301,expected_production[Date],B2301)),"")</f>
        <v>19213.197733055495</v>
      </c>
      <c r="E2301" s="9">
        <f t="shared" si="72"/>
        <v>1.1693708830855296</v>
      </c>
      <c r="F2301" t="str">
        <f t="shared" si="73"/>
        <v>Expected</v>
      </c>
      <c r="G2301" t="s">
        <v>874</v>
      </c>
    </row>
    <row r="2302" spans="1:7" ht="15" customHeight="1" x14ac:dyDescent="0.3">
      <c r="A2302" t="s">
        <v>226</v>
      </c>
      <c r="B2302" s="2">
        <v>46266</v>
      </c>
      <c r="C2302" cm="1">
        <f t="array" ref="C2302">IFERROR(IF(SUMPRODUCT((measured[Site Name]=A2302)*(measured[Date]=B2302)*ISNUMBER(measured[Measured Value (kWh)]))=0,"",SUMIFS(measured[Measured Value (kWh)],measured[Site Name],A2302,measured[Date],B2302)),"")</f>
        <v>21057.6623</v>
      </c>
      <c r="D2302" cm="1">
        <f t="array" ref="D2302">IFERROR(IF(SUMPRODUCT((expected_production[Site Name]=A2302)*(expected_production[Date]=B2302)*ISNUMBER(expected_production[Expected Production (kWh)]))=0,"",SUMIFS(expected_production[Expected Production (kWh)],expected_production[Site Name],A2302,expected_production[Date],B2302)),"")</f>
        <v>18045.952902736204</v>
      </c>
      <c r="E2302" s="9">
        <f t="shared" si="72"/>
        <v>1.1668911258660744</v>
      </c>
      <c r="F2302" t="str">
        <f t="shared" si="73"/>
        <v>Expected</v>
      </c>
      <c r="G2302" t="s">
        <v>874</v>
      </c>
    </row>
    <row r="2303" spans="1:7" ht="15" hidden="1" customHeight="1" x14ac:dyDescent="0.3">
      <c r="A2303" t="s">
        <v>226</v>
      </c>
      <c r="B2303" s="2">
        <v>46296</v>
      </c>
      <c r="C2303" t="str" cm="1">
        <f t="array" ref="C2303">IFERROR(IF(SUMPRODUCT((measured[Site Name]=A2303)*(measured[Date]=B2303)*ISNUMBER(measured[Measured Value (kWh)]))=0,"",SUMIFS(measured[Measured Value (kWh)],measured[Site Name],A2303,measured[Date],B2303)),"")</f>
        <v/>
      </c>
      <c r="D2303" cm="1">
        <f t="array" ref="D2303">IFERROR(IF(SUMPRODUCT((expected_production[Site Name]=A2303)*(expected_production[Date]=B2303)*ISNUMBER(expected_production[Expected Production (kWh)]))=0,"",SUMIFS(expected_production[Expected Production (kWh)],expected_production[Site Name],A2303,expected_production[Date],B2303)),"")</f>
        <v>22417.151237292415</v>
      </c>
      <c r="E2303" s="9" t="str">
        <f t="shared" si="72"/>
        <v/>
      </c>
      <c r="F2303" t="str">
        <f t="shared" si="73"/>
        <v/>
      </c>
    </row>
    <row r="2304" spans="1:7" ht="15" hidden="1" customHeight="1" x14ac:dyDescent="0.3">
      <c r="A2304" t="s">
        <v>226</v>
      </c>
      <c r="B2304" s="2">
        <v>46327</v>
      </c>
      <c r="C2304" t="str" cm="1">
        <f t="array" ref="C2304">IFERROR(IF(SUMPRODUCT((measured[Site Name]=A2304)*(measured[Date]=B2304)*ISNUMBER(measured[Measured Value (kWh)]))=0,"",SUMIFS(measured[Measured Value (kWh)],measured[Site Name],A2304,measured[Date],B2304)),"")</f>
        <v/>
      </c>
      <c r="D2304" cm="1">
        <f t="array" ref="D2304">IFERROR(IF(SUMPRODUCT((expected_production[Site Name]=A2304)*(expected_production[Date]=B2304)*ISNUMBER(expected_production[Expected Production (kWh)]))=0,"",SUMIFS(expected_production[Expected Production (kWh)],expected_production[Site Name],A2304,expected_production[Date],B2304)),"")</f>
        <v>22776.679829099001</v>
      </c>
      <c r="E2304" s="9" t="str">
        <f t="shared" si="72"/>
        <v/>
      </c>
      <c r="F2304" t="str">
        <f t="shared" si="73"/>
        <v/>
      </c>
    </row>
    <row r="2305" spans="1:6" ht="15" hidden="1" customHeight="1" x14ac:dyDescent="0.3">
      <c r="A2305" t="s">
        <v>226</v>
      </c>
      <c r="B2305" s="2">
        <v>46357</v>
      </c>
      <c r="C2305" t="str" cm="1">
        <f t="array" ref="C2305">IFERROR(IF(SUMPRODUCT((measured[Site Name]=A2305)*(measured[Date]=B2305)*ISNUMBER(measured[Measured Value (kWh)]))=0,"",SUMIFS(measured[Measured Value (kWh)],measured[Site Name],A2305,measured[Date],B2305)),"")</f>
        <v/>
      </c>
      <c r="D2305" cm="1">
        <f t="array" ref="D2305">IFERROR(IF(SUMPRODUCT((expected_production[Site Name]=A2305)*(expected_production[Date]=B2305)*ISNUMBER(expected_production[Expected Production (kWh)]))=0,"",SUMIFS(expected_production[Expected Production (kWh)],expected_production[Site Name],A2305,expected_production[Date],B2305)),"")</f>
        <v>28193.689457382596</v>
      </c>
      <c r="E2305" s="9" t="str">
        <f t="shared" si="72"/>
        <v/>
      </c>
      <c r="F2305" t="str">
        <f t="shared" si="73"/>
        <v/>
      </c>
    </row>
    <row r="2306" spans="1:6" ht="15" hidden="1" customHeight="1" x14ac:dyDescent="0.3">
      <c r="A2306" t="s">
        <v>208</v>
      </c>
      <c r="B2306" s="2">
        <v>45292</v>
      </c>
      <c r="C2306" t="str" cm="1">
        <f t="array" ref="C2306">IFERROR(IF(SUMPRODUCT((measured[Site Name]=A2306)*(measured[Date]=B2306)*ISNUMBER(measured[Measured Value (kWh)]))=0,"",SUMIFS(measured[Measured Value (kWh)],measured[Site Name],A2306,measured[Date],B2306)),"")</f>
        <v/>
      </c>
      <c r="D2306" cm="1">
        <f t="array" ref="D2306">IFERROR(IF(SUMPRODUCT((expected_production[Site Name]=A2306)*(expected_production[Date]=B2306)*ISNUMBER(expected_production[Expected Production (kWh)]))=0,"",SUMIFS(expected_production[Expected Production (kWh)],expected_production[Site Name],A2306,expected_production[Date],B2306)),"")</f>
        <v>18584.099999999999</v>
      </c>
      <c r="E2306" s="9" t="str">
        <f t="shared" si="72"/>
        <v/>
      </c>
      <c r="F2306" t="str">
        <f t="shared" si="73"/>
        <v/>
      </c>
    </row>
    <row r="2307" spans="1:6" ht="15" hidden="1" customHeight="1" x14ac:dyDescent="0.3">
      <c r="A2307" t="s">
        <v>208</v>
      </c>
      <c r="B2307" s="2">
        <v>45323</v>
      </c>
      <c r="C2307" t="str" cm="1">
        <f t="array" ref="C2307">IFERROR(IF(SUMPRODUCT((measured[Site Name]=A2307)*(measured[Date]=B2307)*ISNUMBER(measured[Measured Value (kWh)]))=0,"",SUMIFS(measured[Measured Value (kWh)],measured[Site Name],A2307,measured[Date],B2307)),"")</f>
        <v/>
      </c>
      <c r="D2307" cm="1">
        <f t="array" ref="D2307">IFERROR(IF(SUMPRODUCT((expected_production[Site Name]=A2307)*(expected_production[Date]=B2307)*ISNUMBER(expected_production[Expected Production (kWh)]))=0,"",SUMIFS(expected_production[Expected Production (kWh)],expected_production[Site Name],A2307,expected_production[Date],B2307)),"")</f>
        <v>16101.9</v>
      </c>
      <c r="E2307" s="9" t="str">
        <f t="shared" si="72"/>
        <v/>
      </c>
      <c r="F2307" t="str">
        <f t="shared" si="73"/>
        <v/>
      </c>
    </row>
    <row r="2308" spans="1:6" ht="15" hidden="1" customHeight="1" x14ac:dyDescent="0.3">
      <c r="A2308" t="s">
        <v>208</v>
      </c>
      <c r="B2308" s="2">
        <v>45352</v>
      </c>
      <c r="C2308" t="str" cm="1">
        <f t="array" ref="C2308">IFERROR(IF(SUMPRODUCT((measured[Site Name]=A2308)*(measured[Date]=B2308)*ISNUMBER(measured[Measured Value (kWh)]))=0,"",SUMIFS(measured[Measured Value (kWh)],measured[Site Name],A2308,measured[Date],B2308)),"")</f>
        <v/>
      </c>
      <c r="D2308" cm="1">
        <f t="array" ref="D2308">IFERROR(IF(SUMPRODUCT((expected_production[Site Name]=A2308)*(expected_production[Date]=B2308)*ISNUMBER(expected_production[Expected Production (kWh)]))=0,"",SUMIFS(expected_production[Expected Production (kWh)],expected_production[Site Name],A2308,expected_production[Date],B2308)),"")</f>
        <v>15901.2</v>
      </c>
      <c r="E2308" s="9" t="str">
        <f t="shared" si="72"/>
        <v/>
      </c>
      <c r="F2308" t="str">
        <f t="shared" si="73"/>
        <v/>
      </c>
    </row>
    <row r="2309" spans="1:6" ht="15" hidden="1" customHeight="1" x14ac:dyDescent="0.3">
      <c r="A2309" t="s">
        <v>208</v>
      </c>
      <c r="B2309" s="2">
        <v>45383</v>
      </c>
      <c r="C2309" t="str" cm="1">
        <f t="array" ref="C2309">IFERROR(IF(SUMPRODUCT((measured[Site Name]=A2309)*(measured[Date]=B2309)*ISNUMBER(measured[Measured Value (kWh)]))=0,"",SUMIFS(measured[Measured Value (kWh)],measured[Site Name],A2309,measured[Date],B2309)),"")</f>
        <v/>
      </c>
      <c r="D2309" cm="1">
        <f t="array" ref="D2309">IFERROR(IF(SUMPRODUCT((expected_production[Site Name]=A2309)*(expected_production[Date]=B2309)*ISNUMBER(expected_production[Expected Production (kWh)]))=0,"",SUMIFS(expected_production[Expected Production (kWh)],expected_production[Site Name],A2309,expected_production[Date],B2309)),"")</f>
        <v>13660.2</v>
      </c>
      <c r="E2309" s="9" t="str">
        <f t="shared" si="72"/>
        <v/>
      </c>
      <c r="F2309" t="str">
        <f t="shared" si="73"/>
        <v/>
      </c>
    </row>
    <row r="2310" spans="1:6" ht="15" hidden="1" customHeight="1" x14ac:dyDescent="0.3">
      <c r="A2310" t="s">
        <v>208</v>
      </c>
      <c r="B2310" s="2">
        <v>45413</v>
      </c>
      <c r="C2310" t="str" cm="1">
        <f t="array" ref="C2310">IFERROR(IF(SUMPRODUCT((measured[Site Name]=A2310)*(measured[Date]=B2310)*ISNUMBER(measured[Measured Value (kWh)]))=0,"",SUMIFS(measured[Measured Value (kWh)],measured[Site Name],A2310,measured[Date],B2310)),"")</f>
        <v/>
      </c>
      <c r="D2310" cm="1">
        <f t="array" ref="D2310">IFERROR(IF(SUMPRODUCT((expected_production[Site Name]=A2310)*(expected_production[Date]=B2310)*ISNUMBER(expected_production[Expected Production (kWh)]))=0,"",SUMIFS(expected_production[Expected Production (kWh)],expected_production[Site Name],A2310,expected_production[Date],B2310)),"")</f>
        <v>12620.7</v>
      </c>
      <c r="E2310" s="9" t="str">
        <f t="shared" si="72"/>
        <v/>
      </c>
      <c r="F2310" t="str">
        <f t="shared" si="73"/>
        <v/>
      </c>
    </row>
    <row r="2311" spans="1:6" ht="15" hidden="1" customHeight="1" x14ac:dyDescent="0.3">
      <c r="A2311" t="s">
        <v>208</v>
      </c>
      <c r="B2311" s="2">
        <v>45444</v>
      </c>
      <c r="C2311" t="str" cm="1">
        <f t="array" ref="C2311">IFERROR(IF(SUMPRODUCT((measured[Site Name]=A2311)*(measured[Date]=B2311)*ISNUMBER(measured[Measured Value (kWh)]))=0,"",SUMIFS(measured[Measured Value (kWh)],measured[Site Name],A2311,measured[Date],B2311)),"")</f>
        <v/>
      </c>
      <c r="D2311" cm="1">
        <f t="array" ref="D2311">IFERROR(IF(SUMPRODUCT((expected_production[Site Name]=A2311)*(expected_production[Date]=B2311)*ISNUMBER(expected_production[Expected Production (kWh)]))=0,"",SUMIFS(expected_production[Expected Production (kWh)],expected_production[Site Name],A2311,expected_production[Date],B2311)),"")</f>
        <v>11094.3</v>
      </c>
      <c r="E2311" s="9" t="str">
        <f t="shared" si="72"/>
        <v/>
      </c>
      <c r="F2311" t="str">
        <f t="shared" si="73"/>
        <v/>
      </c>
    </row>
    <row r="2312" spans="1:6" ht="15" hidden="1" customHeight="1" x14ac:dyDescent="0.3">
      <c r="A2312" t="s">
        <v>208</v>
      </c>
      <c r="B2312" s="2">
        <v>45474</v>
      </c>
      <c r="C2312" t="str" cm="1">
        <f t="array" ref="C2312">IFERROR(IF(SUMPRODUCT((measured[Site Name]=A2312)*(measured[Date]=B2312)*ISNUMBER(measured[Measured Value (kWh)]))=0,"",SUMIFS(measured[Measured Value (kWh)],measured[Site Name],A2312,measured[Date],B2312)),"")</f>
        <v/>
      </c>
      <c r="D2312" cm="1">
        <f t="array" ref="D2312">IFERROR(IF(SUMPRODUCT((expected_production[Site Name]=A2312)*(expected_production[Date]=B2312)*ISNUMBER(expected_production[Expected Production (kWh)]))=0,"",SUMIFS(expected_production[Expected Production (kWh)],expected_production[Site Name],A2312,expected_production[Date],B2312)),"")</f>
        <v>12367.8</v>
      </c>
      <c r="E2312" s="9" t="str">
        <f t="shared" si="72"/>
        <v/>
      </c>
      <c r="F2312" t="str">
        <f t="shared" si="73"/>
        <v/>
      </c>
    </row>
    <row r="2313" spans="1:6" ht="15" hidden="1" customHeight="1" x14ac:dyDescent="0.3">
      <c r="A2313" t="s">
        <v>208</v>
      </c>
      <c r="B2313" s="2">
        <v>45505</v>
      </c>
      <c r="C2313" t="str" cm="1">
        <f t="array" ref="C2313">IFERROR(IF(SUMPRODUCT((measured[Site Name]=A2313)*(measured[Date]=B2313)*ISNUMBER(measured[Measured Value (kWh)]))=0,"",SUMIFS(measured[Measured Value (kWh)],measured[Site Name],A2313,measured[Date],B2313)),"")</f>
        <v/>
      </c>
      <c r="D2313" cm="1">
        <f t="array" ref="D2313">IFERROR(IF(SUMPRODUCT((expected_production[Site Name]=A2313)*(expected_production[Date]=B2313)*ISNUMBER(expected_production[Expected Production (kWh)]))=0,"",SUMIFS(expected_production[Expected Production (kWh)],expected_production[Site Name],A2313,expected_production[Date],B2313)),"")</f>
        <v>14484.6</v>
      </c>
      <c r="E2313" s="9" t="str">
        <f t="shared" si="72"/>
        <v/>
      </c>
      <c r="F2313" t="str">
        <f t="shared" si="73"/>
        <v/>
      </c>
    </row>
    <row r="2314" spans="1:6" ht="15" hidden="1" customHeight="1" x14ac:dyDescent="0.3">
      <c r="A2314" t="s">
        <v>208</v>
      </c>
      <c r="B2314" s="2">
        <v>45536</v>
      </c>
      <c r="C2314" t="str" cm="1">
        <f t="array" ref="C2314">IFERROR(IF(SUMPRODUCT((measured[Site Name]=A2314)*(measured[Date]=B2314)*ISNUMBER(measured[Measured Value (kWh)]))=0,"",SUMIFS(measured[Measured Value (kWh)],measured[Site Name],A2314,measured[Date],B2314)),"")</f>
        <v/>
      </c>
      <c r="D2314" cm="1">
        <f t="array" ref="D2314">IFERROR(IF(SUMPRODUCT((expected_production[Site Name]=A2314)*(expected_production[Date]=B2314)*ISNUMBER(expected_production[Expected Production (kWh)]))=0,"",SUMIFS(expected_production[Expected Production (kWh)],expected_production[Site Name],A2314,expected_production[Date],B2314)),"")</f>
        <v>16189.2</v>
      </c>
      <c r="E2314" s="9" t="str">
        <f t="shared" si="72"/>
        <v/>
      </c>
      <c r="F2314" t="str">
        <f t="shared" si="73"/>
        <v/>
      </c>
    </row>
    <row r="2315" spans="1:6" ht="15" hidden="1" customHeight="1" x14ac:dyDescent="0.3">
      <c r="A2315" t="s">
        <v>208</v>
      </c>
      <c r="B2315" s="2">
        <v>45566</v>
      </c>
      <c r="C2315" t="str" cm="1">
        <f t="array" ref="C2315">IFERROR(IF(SUMPRODUCT((measured[Site Name]=A2315)*(measured[Date]=B2315)*ISNUMBER(measured[Measured Value (kWh)]))=0,"",SUMIFS(measured[Measured Value (kWh)],measured[Site Name],A2315,measured[Date],B2315)),"")</f>
        <v/>
      </c>
      <c r="D2315" cm="1">
        <f t="array" ref="D2315">IFERROR(IF(SUMPRODUCT((expected_production[Site Name]=A2315)*(expected_production[Date]=B2315)*ISNUMBER(expected_production[Expected Production (kWh)]))=0,"",SUMIFS(expected_production[Expected Production (kWh)],expected_production[Site Name],A2315,expected_production[Date],B2315)),"")</f>
        <v>18663.3</v>
      </c>
      <c r="E2315" s="9" t="str">
        <f t="shared" si="72"/>
        <v/>
      </c>
      <c r="F2315" t="str">
        <f t="shared" si="73"/>
        <v/>
      </c>
    </row>
    <row r="2316" spans="1:6" ht="15" hidden="1" customHeight="1" x14ac:dyDescent="0.3">
      <c r="A2316" t="s">
        <v>208</v>
      </c>
      <c r="B2316" s="2">
        <v>45597</v>
      </c>
      <c r="C2316" t="str" cm="1">
        <f t="array" ref="C2316">IFERROR(IF(SUMPRODUCT((measured[Site Name]=A2316)*(measured[Date]=B2316)*ISNUMBER(measured[Measured Value (kWh)]))=0,"",SUMIFS(measured[Measured Value (kWh)],measured[Site Name],A2316,measured[Date],B2316)),"")</f>
        <v/>
      </c>
      <c r="D2316" cm="1">
        <f t="array" ref="D2316">IFERROR(IF(SUMPRODUCT((expected_production[Site Name]=A2316)*(expected_production[Date]=B2316)*ISNUMBER(expected_production[Expected Production (kWh)]))=0,"",SUMIFS(expected_production[Expected Production (kWh)],expected_production[Site Name],A2316,expected_production[Date],B2316)),"")</f>
        <v>18589.5</v>
      </c>
      <c r="E2316" s="9" t="str">
        <f t="shared" si="72"/>
        <v/>
      </c>
      <c r="F2316" t="str">
        <f t="shared" si="73"/>
        <v/>
      </c>
    </row>
    <row r="2317" spans="1:6" ht="15" hidden="1" customHeight="1" x14ac:dyDescent="0.3">
      <c r="A2317" t="s">
        <v>208</v>
      </c>
      <c r="B2317" s="2">
        <v>45627</v>
      </c>
      <c r="C2317" t="str" cm="1">
        <f t="array" ref="C2317">IFERROR(IF(SUMPRODUCT((measured[Site Name]=A2317)*(measured[Date]=B2317)*ISNUMBER(measured[Measured Value (kWh)]))=0,"",SUMIFS(measured[Measured Value (kWh)],measured[Site Name],A2317,measured[Date],B2317)),"")</f>
        <v/>
      </c>
      <c r="D2317" cm="1">
        <f t="array" ref="D2317">IFERROR(IF(SUMPRODUCT((expected_production[Site Name]=A2317)*(expected_production[Date]=B2317)*ISNUMBER(expected_production[Expected Production (kWh)]))=0,"",SUMIFS(expected_production[Expected Production (kWh)],expected_production[Site Name],A2317,expected_production[Date],B2317)),"")</f>
        <v>19022.400000000001</v>
      </c>
      <c r="E2317" s="9" t="str">
        <f t="shared" si="72"/>
        <v/>
      </c>
      <c r="F2317" t="str">
        <f t="shared" si="73"/>
        <v/>
      </c>
    </row>
    <row r="2318" spans="1:6" ht="15" hidden="1" customHeight="1" x14ac:dyDescent="0.3">
      <c r="A2318" t="s">
        <v>208</v>
      </c>
      <c r="B2318" s="2">
        <v>45658</v>
      </c>
      <c r="C2318" t="str" cm="1">
        <f t="array" ref="C2318">IFERROR(IF(SUMPRODUCT((measured[Site Name]=A2318)*(measured[Date]=B2318)*ISNUMBER(measured[Measured Value (kWh)]))=0,"",SUMIFS(measured[Measured Value (kWh)],measured[Site Name],A2318,measured[Date],B2318)),"")</f>
        <v/>
      </c>
      <c r="D2318" cm="1">
        <f t="array" ref="D2318">IFERROR(IF(SUMPRODUCT((expected_production[Site Name]=A2318)*(expected_production[Date]=B2318)*ISNUMBER(expected_production[Expected Production (kWh)]))=0,"",SUMIFS(expected_production[Expected Production (kWh)],expected_production[Site Name],A2318,expected_production[Date],B2318)),"")</f>
        <v>18584.099999999999</v>
      </c>
      <c r="E2318" s="9" t="str">
        <f t="shared" si="72"/>
        <v/>
      </c>
      <c r="F2318" t="str">
        <f t="shared" si="73"/>
        <v/>
      </c>
    </row>
    <row r="2319" spans="1:6" ht="15" hidden="1" customHeight="1" x14ac:dyDescent="0.3">
      <c r="A2319" t="s">
        <v>208</v>
      </c>
      <c r="B2319" s="2">
        <v>45689</v>
      </c>
      <c r="C2319" t="str" cm="1">
        <f t="array" ref="C2319">IFERROR(IF(SUMPRODUCT((measured[Site Name]=A2319)*(measured[Date]=B2319)*ISNUMBER(measured[Measured Value (kWh)]))=0,"",SUMIFS(measured[Measured Value (kWh)],measured[Site Name],A2319,measured[Date],B2319)),"")</f>
        <v/>
      </c>
      <c r="D2319" cm="1">
        <f t="array" ref="D2319">IFERROR(IF(SUMPRODUCT((expected_production[Site Name]=A2319)*(expected_production[Date]=B2319)*ISNUMBER(expected_production[Expected Production (kWh)]))=0,"",SUMIFS(expected_production[Expected Production (kWh)],expected_production[Site Name],A2319,expected_production[Date],B2319)),"")</f>
        <v>16101.9</v>
      </c>
      <c r="E2319" s="9" t="str">
        <f t="shared" si="72"/>
        <v/>
      </c>
      <c r="F2319" t="str">
        <f t="shared" si="73"/>
        <v/>
      </c>
    </row>
    <row r="2320" spans="1:6" ht="15" hidden="1" customHeight="1" x14ac:dyDescent="0.3">
      <c r="A2320" t="s">
        <v>208</v>
      </c>
      <c r="B2320" s="2">
        <v>45717</v>
      </c>
      <c r="C2320" t="str" cm="1">
        <f t="array" ref="C2320">IFERROR(IF(SUMPRODUCT((measured[Site Name]=A2320)*(measured[Date]=B2320)*ISNUMBER(measured[Measured Value (kWh)]))=0,"",SUMIFS(measured[Measured Value (kWh)],measured[Site Name],A2320,measured[Date],B2320)),"")</f>
        <v/>
      </c>
      <c r="D2320" cm="1">
        <f t="array" ref="D2320">IFERROR(IF(SUMPRODUCT((expected_production[Site Name]=A2320)*(expected_production[Date]=B2320)*ISNUMBER(expected_production[Expected Production (kWh)]))=0,"",SUMIFS(expected_production[Expected Production (kWh)],expected_production[Site Name],A2320,expected_production[Date],B2320)),"")</f>
        <v>15901.2</v>
      </c>
      <c r="E2320" s="9" t="str">
        <f t="shared" si="72"/>
        <v/>
      </c>
      <c r="F2320" t="str">
        <f t="shared" si="73"/>
        <v/>
      </c>
    </row>
    <row r="2321" spans="1:7" ht="15" hidden="1" customHeight="1" x14ac:dyDescent="0.3">
      <c r="A2321" t="s">
        <v>208</v>
      </c>
      <c r="B2321" s="2">
        <v>45748</v>
      </c>
      <c r="C2321" cm="1">
        <f t="array" ref="C2321">IFERROR(IF(SUMPRODUCT((measured[Site Name]=A2321)*(measured[Date]=B2321)*ISNUMBER(measured[Measured Value (kWh)]))=0,"",SUMIFS(measured[Measured Value (kWh)],measured[Site Name],A2321,measured[Date],B2321)),"")</f>
        <v>4166</v>
      </c>
      <c r="D2321" cm="1">
        <f t="array" ref="D2321">IFERROR(IF(SUMPRODUCT((expected_production[Site Name]=A2321)*(expected_production[Date]=B2321)*ISNUMBER(expected_production[Expected Production (kWh)]))=0,"",SUMIFS(expected_production[Expected Production (kWh)],expected_production[Site Name],A2321,expected_production[Date],B2321)),"")</f>
        <v>13660.2</v>
      </c>
      <c r="E2321" s="9">
        <f t="shared" si="72"/>
        <v>0.30497357286130511</v>
      </c>
      <c r="F2321" t="str">
        <f t="shared" si="73"/>
        <v>Poor</v>
      </c>
    </row>
    <row r="2322" spans="1:7" ht="15" hidden="1" customHeight="1" x14ac:dyDescent="0.3">
      <c r="A2322" t="s">
        <v>208</v>
      </c>
      <c r="B2322" s="2">
        <v>45778</v>
      </c>
      <c r="C2322" cm="1">
        <f t="array" ref="C2322">IFERROR(IF(SUMPRODUCT((measured[Site Name]=A2322)*(measured[Date]=B2322)*ISNUMBER(measured[Measured Value (kWh)]))=0,"",SUMIFS(measured[Measured Value (kWh)],measured[Site Name],A2322,measured[Date],B2322)),"")</f>
        <v>5400</v>
      </c>
      <c r="D2322" cm="1">
        <f t="array" ref="D2322">IFERROR(IF(SUMPRODUCT((expected_production[Site Name]=A2322)*(expected_production[Date]=B2322)*ISNUMBER(expected_production[Expected Production (kWh)]))=0,"",SUMIFS(expected_production[Expected Production (kWh)],expected_production[Site Name],A2322,expected_production[Date],B2322)),"")</f>
        <v>12613.420329623359</v>
      </c>
      <c r="E2322" s="9">
        <f t="shared" si="72"/>
        <v>0.42811544045018324</v>
      </c>
      <c r="F2322" t="str">
        <f t="shared" si="73"/>
        <v>Poor</v>
      </c>
    </row>
    <row r="2323" spans="1:7" ht="15" hidden="1" customHeight="1" x14ac:dyDescent="0.3">
      <c r="A2323" t="s">
        <v>208</v>
      </c>
      <c r="B2323" s="2">
        <v>45809</v>
      </c>
      <c r="C2323" cm="1">
        <f t="array" ref="C2323">IFERROR(IF(SUMPRODUCT((measured[Site Name]=A2323)*(measured[Date]=B2323)*ISNUMBER(measured[Measured Value (kWh)]))=0,"",SUMIFS(measured[Measured Value (kWh)],measured[Site Name],A2323,measured[Date],B2323)),"")</f>
        <v>8687.2999999999993</v>
      </c>
      <c r="D2323" cm="1">
        <f t="array" ref="D2323">IFERROR(IF(SUMPRODUCT((expected_production[Site Name]=A2323)*(expected_production[Date]=B2323)*ISNUMBER(expected_production[Expected Production (kWh)]))=0,"",SUMIFS(expected_production[Expected Production (kWh)],expected_production[Site Name],A2323,expected_production[Date],B2323)),"")</f>
        <v>11081.292096325571</v>
      </c>
      <c r="E2323" s="9">
        <f t="shared" si="72"/>
        <v>0.78396092481675561</v>
      </c>
      <c r="F2323" t="str">
        <f t="shared" si="73"/>
        <v>Moderate</v>
      </c>
    </row>
    <row r="2324" spans="1:7" ht="15" hidden="1" customHeight="1" x14ac:dyDescent="0.3">
      <c r="A2324" t="s">
        <v>208</v>
      </c>
      <c r="B2324" s="2">
        <v>45839</v>
      </c>
      <c r="C2324" cm="1">
        <f t="array" ref="C2324">IFERROR(IF(SUMPRODUCT((measured[Site Name]=A2324)*(measured[Date]=B2324)*ISNUMBER(measured[Measured Value (kWh)]))=0,"",SUMIFS(measured[Measured Value (kWh)],measured[Site Name],A2324,measured[Date],B2324)),"")</f>
        <v>7090</v>
      </c>
      <c r="D2324" cm="1">
        <f t="array" ref="D2324">IFERROR(IF(SUMPRODUCT((expected_production[Site Name]=A2324)*(expected_production[Date]=B2324)*ISNUMBER(expected_production[Expected Production (kWh)]))=0,"",SUMIFS(expected_production[Expected Production (kWh)],expected_production[Site Name],A2324,expected_production[Date],B2324)),"")</f>
        <v>12346.173503924145</v>
      </c>
      <c r="E2324" s="9">
        <f t="shared" si="72"/>
        <v>0.574266998414245</v>
      </c>
      <c r="F2324" t="str">
        <f t="shared" si="73"/>
        <v>Poor</v>
      </c>
    </row>
    <row r="2325" spans="1:7" ht="15" hidden="1" customHeight="1" x14ac:dyDescent="0.3">
      <c r="A2325" t="s">
        <v>208</v>
      </c>
      <c r="B2325" s="2">
        <v>45870</v>
      </c>
      <c r="C2325" cm="1">
        <f t="array" ref="C2325">IFERROR(IF(SUMPRODUCT((measured[Site Name]=A2325)*(measured[Date]=B2325)*ISNUMBER(measured[Measured Value (kWh)]))=0,"",SUMIFS(measured[Measured Value (kWh)],measured[Site Name],A2325,measured[Date],B2325)),"")</f>
        <v>10240</v>
      </c>
      <c r="D2325" cm="1">
        <f t="array" ref="D2325">IFERROR(IF(SUMPRODUCT((expected_production[Site Name]=A2325)*(expected_production[Date]=B2325)*ISNUMBER(expected_production[Expected Production (kWh)]))=0,"",SUMIFS(expected_production[Expected Production (kWh)],expected_production[Site Name],A2325,expected_production[Date],B2325)),"")</f>
        <v>14450.653951114573</v>
      </c>
      <c r="E2325" s="9">
        <f t="shared" si="72"/>
        <v>0.70861844970069288</v>
      </c>
      <c r="F2325" t="str">
        <f t="shared" si="73"/>
        <v>Moderate</v>
      </c>
    </row>
    <row r="2326" spans="1:7" ht="15" hidden="1" customHeight="1" x14ac:dyDescent="0.3">
      <c r="A2326" t="s">
        <v>208</v>
      </c>
      <c r="B2326" s="2">
        <v>45901</v>
      </c>
      <c r="C2326" cm="1">
        <f t="array" ref="C2326">IFERROR(IF(SUMPRODUCT((measured[Site Name]=A2326)*(measured[Date]=B2326)*ISNUMBER(measured[Measured Value (kWh)]))=0,"",SUMIFS(measured[Measured Value (kWh)],measured[Site Name],A2326,measured[Date],B2326)),"")</f>
        <v>11379</v>
      </c>
      <c r="D2326" cm="1">
        <f t="array" ref="D2326">IFERROR(IF(SUMPRODUCT((expected_production[Site Name]=A2326)*(expected_production[Date]=B2326)*ISNUMBER(expected_production[Expected Production (kWh)]))=0,"",SUMIFS(expected_production[Expected Production (kWh)],expected_production[Site Name],A2326,expected_production[Date],B2326)),"")</f>
        <v>16141.632502105231</v>
      </c>
      <c r="E2326" s="9">
        <f t="shared" ref="E2326:E2389" si="74">IF(OR(C2326="",D2326="",D2326=0),"",C2326/D2326)</f>
        <v>0.70494728451511479</v>
      </c>
      <c r="F2326" t="str">
        <f t="shared" ref="F2326:F2389" si="75">IF(E2326="","",IF(E2326&gt;=0.9,"Expected",IF(E2326&gt;=0.7,"Moderate","Poor")))</f>
        <v>Moderate</v>
      </c>
    </row>
    <row r="2327" spans="1:7" ht="15" hidden="1" customHeight="1" x14ac:dyDescent="0.3">
      <c r="A2327" t="s">
        <v>208</v>
      </c>
      <c r="B2327" s="2">
        <v>45931</v>
      </c>
      <c r="C2327" cm="1">
        <f t="array" ref="C2327">IFERROR(IF(SUMPRODUCT((measured[Site Name]=A2327)*(measured[Date]=B2327)*ISNUMBER(measured[Measured Value (kWh)]))=0,"",SUMIFS(measured[Measured Value (kWh)],measured[Site Name],A2327,measured[Date],B2327)),"")</f>
        <v>16828.7</v>
      </c>
      <c r="D2327" cm="1">
        <f t="array" ref="D2327">IFERROR(IF(SUMPRODUCT((expected_production[Site Name]=A2327)*(expected_production[Date]=B2327)*ISNUMBER(expected_production[Expected Production (kWh)]))=0,"",SUMIFS(expected_production[Expected Production (kWh)],expected_production[Site Name],A2327,expected_production[Date],B2327)),"")</f>
        <v>18597.729605700617</v>
      </c>
      <c r="E2327" s="9">
        <f t="shared" si="74"/>
        <v>0.90487927057728756</v>
      </c>
      <c r="F2327" t="str">
        <f t="shared" si="75"/>
        <v>Expected</v>
      </c>
    </row>
    <row r="2328" spans="1:7" ht="15" hidden="1" customHeight="1" x14ac:dyDescent="0.3">
      <c r="A2328" t="s">
        <v>208</v>
      </c>
      <c r="B2328" s="2">
        <v>45962</v>
      </c>
      <c r="C2328" cm="1">
        <f t="array" ref="C2328">IFERROR(IF(SUMPRODUCT((measured[Site Name]=A2328)*(measured[Date]=B2328)*ISNUMBER(measured[Measured Value (kWh)]))=0,"",SUMIFS(measured[Measured Value (kWh)],measured[Site Name],A2328,measured[Date],B2328)),"")</f>
        <v>15461</v>
      </c>
      <c r="D2328" cm="1">
        <f t="array" ref="D2328">IFERROR(IF(SUMPRODUCT((expected_production[Site Name]=A2328)*(expected_production[Date]=B2328)*ISNUMBER(expected_production[Expected Production (kWh)]))=0,"",SUMIFS(expected_production[Expected Production (kWh)],expected_production[Site Name],A2328,expected_production[Date],B2328)),"")</f>
        <v>18513.148008536686</v>
      </c>
      <c r="E2328" s="9">
        <f t="shared" si="74"/>
        <v>0.83513619579288756</v>
      </c>
      <c r="F2328" t="str">
        <f t="shared" si="75"/>
        <v>Moderate</v>
      </c>
    </row>
    <row r="2329" spans="1:7" ht="15" hidden="1" customHeight="1" x14ac:dyDescent="0.3">
      <c r="A2329" t="s">
        <v>208</v>
      </c>
      <c r="B2329" s="2">
        <v>45992</v>
      </c>
      <c r="C2329" cm="1">
        <f t="array" ref="C2329">IFERROR(IF(SUMPRODUCT((measured[Site Name]=A2329)*(measured[Date]=B2329)*ISNUMBER(measured[Measured Value (kWh)]))=0,"",SUMIFS(measured[Measured Value (kWh)],measured[Site Name],A2329,measured[Date],B2329)),"")</f>
        <v>17561</v>
      </c>
      <c r="D2329" cm="1">
        <f t="array" ref="D2329">IFERROR(IF(SUMPRODUCT((expected_production[Site Name]=A2329)*(expected_production[Date]=B2329)*ISNUMBER(expected_production[Expected Production (kWh)]))=0,"",SUMIFS(expected_production[Expected Production (kWh)],expected_production[Site Name],A2329,expected_production[Date],B2329)),"")</f>
        <v>18933.342842881411</v>
      </c>
      <c r="E2329" s="9">
        <f t="shared" si="74"/>
        <v>0.92751713977453343</v>
      </c>
      <c r="F2329" t="str">
        <f t="shared" si="75"/>
        <v>Expected</v>
      </c>
    </row>
    <row r="2330" spans="1:7" ht="15" hidden="1" customHeight="1" x14ac:dyDescent="0.3">
      <c r="A2330" t="s">
        <v>208</v>
      </c>
      <c r="B2330" s="2">
        <v>46023</v>
      </c>
      <c r="C2330" cm="1">
        <f t="array" ref="C2330">IFERROR(IF(SUMPRODUCT((measured[Site Name]=A2330)*(measured[Date]=B2330)*ISNUMBER(measured[Measured Value (kWh)]))=0,"",SUMIFS(measured[Measured Value (kWh)],measured[Site Name],A2330,measured[Date],B2330)),"")</f>
        <v>20127</v>
      </c>
      <c r="D2330" cm="1">
        <f t="array" ref="D2330">IFERROR(IF(SUMPRODUCT((expected_production[Site Name]=A2330)*(expected_production[Date]=B2330)*ISNUMBER(expected_production[Expected Production (kWh)]))=0,"",SUMIFS(expected_production[Expected Production (kWh)],expected_production[Site Name],A2330,expected_production[Date],B2330)),"")</f>
        <v>18486.07009926574</v>
      </c>
      <c r="E2330" s="9">
        <f t="shared" si="74"/>
        <v>1.0887657512885573</v>
      </c>
      <c r="F2330" t="str">
        <f t="shared" si="75"/>
        <v>Expected</v>
      </c>
    </row>
    <row r="2331" spans="1:7" ht="15" hidden="1" customHeight="1" x14ac:dyDescent="0.3">
      <c r="A2331" t="s">
        <v>208</v>
      </c>
      <c r="B2331" s="2">
        <v>46054</v>
      </c>
      <c r="C2331" cm="1">
        <f t="array" ref="C2331">IFERROR(IF(SUMPRODUCT((measured[Site Name]=A2331)*(measured[Date]=B2331)*ISNUMBER(measured[Measured Value (kWh)]))=0,"",SUMIFS(measured[Measured Value (kWh)],measured[Site Name],A2331,measured[Date],B2331)),"")</f>
        <v>16780</v>
      </c>
      <c r="D2331" cm="1">
        <f t="array" ref="D2331">IFERROR(IF(SUMPRODUCT((expected_production[Site Name]=A2331)*(expected_production[Date]=B2331)*ISNUMBER(expected_production[Expected Production (kWh)]))=0,"",SUMIFS(expected_production[Expected Production (kWh)],expected_production[Site Name],A2331,expected_production[Date],B2331)),"")</f>
        <v>16007.417028436108</v>
      </c>
      <c r="E2331" s="9">
        <f t="shared" si="74"/>
        <v>1.0482640622276191</v>
      </c>
      <c r="F2331" t="str">
        <f t="shared" si="75"/>
        <v>Expected</v>
      </c>
    </row>
    <row r="2332" spans="1:7" ht="15" hidden="1" customHeight="1" x14ac:dyDescent="0.3">
      <c r="A2332" t="s">
        <v>208</v>
      </c>
      <c r="B2332" s="2">
        <v>46082</v>
      </c>
      <c r="C2332" cm="1">
        <f t="array" ref="C2332">IFERROR(IF(SUMPRODUCT((measured[Site Name]=A2332)*(measured[Date]=B2332)*ISNUMBER(measured[Measured Value (kWh)]))=0,"",SUMIFS(measured[Measured Value (kWh)],measured[Site Name],A2332,measured[Date],B2332)),"")</f>
        <v>14651</v>
      </c>
      <c r="D2332" cm="1">
        <f t="array" ref="D2332">IFERROR(IF(SUMPRODUCT((expected_production[Site Name]=A2332)*(expected_production[Date]=B2332)*ISNUMBER(expected_production[Expected Production (kWh)]))=0,"",SUMIFS(expected_production[Expected Production (kWh)],expected_production[Site Name],A2332,expected_production[Date],B2332)),"")</f>
        <v>15799.384348673744</v>
      </c>
      <c r="E2332" s="9">
        <f t="shared" si="74"/>
        <v>0.9273146140805073</v>
      </c>
      <c r="F2332" t="str">
        <f t="shared" si="75"/>
        <v>Expected</v>
      </c>
    </row>
    <row r="2333" spans="1:7" ht="15" hidden="1" customHeight="1" x14ac:dyDescent="0.3">
      <c r="A2333" t="s">
        <v>208</v>
      </c>
      <c r="B2333" s="2">
        <v>46113</v>
      </c>
      <c r="C2333" cm="1">
        <f t="array" ref="C2333">IFERROR(IF(SUMPRODUCT((measured[Site Name]=A2333)*(measured[Date]=B2333)*ISNUMBER(measured[Measured Value (kWh)]))=0,"",SUMIFS(measured[Measured Value (kWh)],measured[Site Name],A2333,measured[Date],B2333)),"")</f>
        <v>12498.2</v>
      </c>
      <c r="D2333" cm="1">
        <f t="array" ref="D2333">IFERROR(IF(SUMPRODUCT((expected_production[Site Name]=A2333)*(expected_production[Date]=B2333)*ISNUMBER(expected_production[Expected Production (kWh)]))=0,"",SUMIFS(expected_production[Expected Production (kWh)],expected_production[Site Name],A2333,expected_production[Date],B2333)),"")</f>
        <v>13564.64381982924</v>
      </c>
      <c r="E2333" s="9">
        <f t="shared" si="74"/>
        <v>0.92138062495453976</v>
      </c>
      <c r="F2333" t="str">
        <f t="shared" si="75"/>
        <v>Expected</v>
      </c>
    </row>
    <row r="2334" spans="1:7" ht="15" hidden="1" customHeight="1" x14ac:dyDescent="0.3">
      <c r="A2334" t="s">
        <v>208</v>
      </c>
      <c r="B2334" s="2">
        <v>46143</v>
      </c>
      <c r="C2334" cm="1">
        <f t="array" ref="C2334">IFERROR(IF(SUMPRODUCT((measured[Site Name]=A2334)*(measured[Date]=B2334)*ISNUMBER(measured[Measured Value (kWh)]))=0,"",SUMIFS(measured[Measured Value (kWh)],measured[Site Name],A2334,measured[Date],B2334)),"")</f>
        <v>11697.82</v>
      </c>
      <c r="D2334" cm="1">
        <f t="array" ref="D2334">IFERROR(IF(SUMPRODUCT((expected_production[Site Name]=A2334)*(expected_production[Date]=B2334)*ISNUMBER(expected_production[Expected Production (kWh)]))=0,"",SUMIFS(expected_production[Expected Production (kWh)],expected_production[Site Name],A2334,expected_production[Date],B2334)),"")</f>
        <v>12525.18660935667</v>
      </c>
      <c r="E2334" s="9">
        <f t="shared" si="74"/>
        <v>0.93394376984861815</v>
      </c>
      <c r="F2334" t="str">
        <f t="shared" si="75"/>
        <v>Expected</v>
      </c>
    </row>
    <row r="2335" spans="1:7" ht="15" hidden="1" customHeight="1" x14ac:dyDescent="0.3">
      <c r="A2335" t="s">
        <v>208</v>
      </c>
      <c r="B2335" s="2">
        <v>46174</v>
      </c>
      <c r="C2335" cm="1">
        <f t="array" ref="C2335">IFERROR(IF(SUMPRODUCT((measured[Site Name]=A2335)*(measured[Date]=B2335)*ISNUMBER(measured[Measured Value (kWh)]))=0,"",SUMIFS(measured[Measured Value (kWh)],measured[Site Name],A2335,measured[Date],B2335)),"")</f>
        <v>9082.64</v>
      </c>
      <c r="D2335" cm="1">
        <f t="array" ref="D2335">IFERROR(IF(SUMPRODUCT((expected_production[Site Name]=A2335)*(expected_production[Date]=B2335)*ISNUMBER(expected_production[Expected Production (kWh)]))=0,"",SUMIFS(expected_production[Expected Production (kWh)],expected_production[Site Name],A2335,expected_production[Date],B2335)),"")</f>
        <v>11003.77595863496</v>
      </c>
      <c r="E2335" s="9">
        <f t="shared" si="74"/>
        <v>0.82541120740218332</v>
      </c>
      <c r="F2335" t="str">
        <f t="shared" si="75"/>
        <v>Moderate</v>
      </c>
    </row>
    <row r="2336" spans="1:7" ht="15" hidden="1" customHeight="1" x14ac:dyDescent="0.3">
      <c r="A2336" t="s">
        <v>208</v>
      </c>
      <c r="B2336" s="2">
        <v>46204</v>
      </c>
      <c r="C2336" cm="1">
        <f t="array" ref="C2336">IFERROR(IF(SUMPRODUCT((measured[Site Name]=A2336)*(measured[Date]=B2336)*ISNUMBER(measured[Measured Value (kWh)]))=0,"",SUMIFS(measured[Measured Value (kWh)],measured[Site Name],A2336,measured[Date],B2336)),"")</f>
        <v>7916.06</v>
      </c>
      <c r="D2336" cm="1">
        <f t="array" ref="D2336">IFERROR(IF(SUMPRODUCT((expected_production[Site Name]=A2336)*(expected_production[Date]=B2336)*ISNUMBER(expected_production[Expected Production (kWh)]))=0,"",SUMIFS(expected_production[Expected Production (kWh)],expected_production[Site Name],A2336,expected_production[Date],B2336)),"")</f>
        <v>12259.809235482948</v>
      </c>
      <c r="E2336" s="9">
        <f t="shared" si="74"/>
        <v>0.64569193924232904</v>
      </c>
      <c r="F2336" t="str">
        <f t="shared" si="75"/>
        <v>Poor</v>
      </c>
      <c r="G2336" t="s">
        <v>874</v>
      </c>
    </row>
    <row r="2337" spans="1:7" ht="15" hidden="1" customHeight="1" x14ac:dyDescent="0.3">
      <c r="A2337" s="12" t="s">
        <v>208</v>
      </c>
      <c r="B2337" s="42">
        <v>46235</v>
      </c>
      <c r="C2337" s="12" cm="1">
        <f t="array" ref="C2337">IFERROR(IF(SUMPRODUCT((measured[Site Name]=A2337)*(measured[Date]=B2337)*ISNUMBER(measured[Measured Value (kWh)]))=0,"",SUMIFS(measured[Measured Value (kWh)],measured[Site Name],A2337,measured[Date],B2337)),"")</f>
        <v>11233.53</v>
      </c>
      <c r="D2337" s="12" cm="1">
        <f t="array" ref="D2337">IFERROR(IF(SUMPRODUCT((expected_production[Site Name]=A2337)*(expected_production[Date]=B2337)*ISNUMBER(expected_production[Expected Production (kWh)]))=0,"",SUMIFS(expected_production[Expected Production (kWh)],expected_production[Site Name],A2337,expected_production[Date],B2337)),"")</f>
        <v>14349.56836726236</v>
      </c>
      <c r="E2337" s="43">
        <f t="shared" si="74"/>
        <v>0.78284793747724113</v>
      </c>
      <c r="F2337" s="12" t="str">
        <f t="shared" si="75"/>
        <v>Moderate</v>
      </c>
      <c r="G2337" s="12" t="s">
        <v>875</v>
      </c>
    </row>
    <row r="2338" spans="1:7" ht="15" customHeight="1" x14ac:dyDescent="0.3">
      <c r="A2338" t="s">
        <v>171</v>
      </c>
      <c r="B2338" s="2">
        <v>46266</v>
      </c>
      <c r="C2338" cm="1">
        <f t="array" ref="C2338">IFERROR(IF(SUMPRODUCT((measured[Site Name]=A2338)*(measured[Date]=B2338)*ISNUMBER(measured[Measured Value (kWh)]))=0,"",SUMIFS(measured[Measured Value (kWh)],measured[Site Name],A2338,measured[Date],B2338)),"")</f>
        <v>7731.86</v>
      </c>
      <c r="D2338" cm="1">
        <f t="array" ref="D2338">IFERROR(IF(SUMPRODUCT((expected_production[Site Name]=A2338)*(expected_production[Date]=B2338)*ISNUMBER(expected_production[Expected Production (kWh)]))=0,"",SUMIFS(expected_production[Expected Production (kWh)],expected_production[Site Name],A2338,expected_production[Date],B2338)),"")</f>
        <v>8993.9780290349136</v>
      </c>
      <c r="E2338" s="9">
        <f t="shared" si="74"/>
        <v>0.85967076804496667</v>
      </c>
      <c r="F2338" t="str">
        <f t="shared" si="75"/>
        <v>Moderate</v>
      </c>
      <c r="G2338" t="s">
        <v>874</v>
      </c>
    </row>
    <row r="2339" spans="1:7" ht="15" hidden="1" customHeight="1" x14ac:dyDescent="0.3">
      <c r="A2339" t="s">
        <v>208</v>
      </c>
      <c r="B2339" s="2">
        <v>46296</v>
      </c>
      <c r="C2339" t="str" cm="1">
        <f t="array" ref="C2339">IFERROR(IF(SUMPRODUCT((measured[Site Name]=A2339)*(measured[Date]=B2339)*ISNUMBER(measured[Measured Value (kWh)]))=0,"",SUMIFS(measured[Measured Value (kWh)],measured[Site Name],A2339,measured[Date],B2339)),"")</f>
        <v/>
      </c>
      <c r="D2339" cm="1">
        <f t="array" ref="D2339">IFERROR(IF(SUMPRODUCT((expected_production[Site Name]=A2339)*(expected_production[Date]=B2339)*ISNUMBER(expected_production[Expected Production (kWh)]))=0,"",SUMIFS(expected_production[Expected Production (kWh)],expected_production[Site Name],A2339,expected_production[Date],B2339)),"")</f>
        <v>18467.634292237461</v>
      </c>
      <c r="E2339" s="9" t="str">
        <f t="shared" si="74"/>
        <v/>
      </c>
      <c r="F2339" t="str">
        <f t="shared" si="75"/>
        <v/>
      </c>
    </row>
    <row r="2340" spans="1:7" ht="15" hidden="1" customHeight="1" x14ac:dyDescent="0.3">
      <c r="A2340" t="s">
        <v>208</v>
      </c>
      <c r="B2340" s="2">
        <v>46327</v>
      </c>
      <c r="C2340" t="str" cm="1">
        <f t="array" ref="C2340">IFERROR(IF(SUMPRODUCT((measured[Site Name]=A2340)*(measured[Date]=B2340)*ISNUMBER(measured[Measured Value (kWh)]))=0,"",SUMIFS(measured[Measured Value (kWh)],measured[Site Name],A2340,measured[Date],B2340)),"")</f>
        <v/>
      </c>
      <c r="D2340" cm="1">
        <f t="array" ref="D2340">IFERROR(IF(SUMPRODUCT((expected_production[Site Name]=A2340)*(expected_production[Date]=B2340)*ISNUMBER(expected_production[Expected Production (kWh)]))=0,"",SUMIFS(expected_production[Expected Production (kWh)],expected_production[Site Name],A2340,expected_production[Date],B2340)),"")</f>
        <v>18383.644362423769</v>
      </c>
      <c r="E2340" s="9" t="str">
        <f t="shared" si="74"/>
        <v/>
      </c>
      <c r="F2340" t="str">
        <f t="shared" si="75"/>
        <v/>
      </c>
    </row>
    <row r="2341" spans="1:7" ht="15" hidden="1" customHeight="1" x14ac:dyDescent="0.3">
      <c r="A2341" t="s">
        <v>208</v>
      </c>
      <c r="B2341" s="2">
        <v>46357</v>
      </c>
      <c r="C2341" t="str" cm="1">
        <f t="array" ref="C2341">IFERROR(IF(SUMPRODUCT((measured[Site Name]=A2341)*(measured[Date]=B2341)*ISNUMBER(measured[Measured Value (kWh)]))=0,"",SUMIFS(measured[Measured Value (kWh)],measured[Site Name],A2341,measured[Date],B2341)),"")</f>
        <v/>
      </c>
      <c r="D2341" cm="1">
        <f t="array" ref="D2341">IFERROR(IF(SUMPRODUCT((expected_production[Site Name]=A2341)*(expected_production[Date]=B2341)*ISNUMBER(expected_production[Expected Production (kWh)]))=0,"",SUMIFS(expected_production[Expected Production (kWh)],expected_production[Site Name],A2341,expected_production[Date],B2341)),"")</f>
        <v>18800.899839123842</v>
      </c>
      <c r="E2341" s="9" t="str">
        <f t="shared" si="74"/>
        <v/>
      </c>
      <c r="F2341" t="str">
        <f t="shared" si="75"/>
        <v/>
      </c>
    </row>
    <row r="2342" spans="1:7" ht="15" hidden="1" customHeight="1" x14ac:dyDescent="0.3">
      <c r="A2342" t="s">
        <v>190</v>
      </c>
      <c r="B2342" s="2">
        <v>45292</v>
      </c>
      <c r="C2342" cm="1">
        <f t="array" ref="C2342">IFERROR(IF(SUMPRODUCT((measured[Site Name]=A2342)*(measured[Date]=B2342)*ISNUMBER(measured[Measured Value (kWh)]))=0,"",SUMIFS(measured[Measured Value (kWh)],measured[Site Name],A2342,measured[Date],B2342)),"")</f>
        <v>9171</v>
      </c>
      <c r="D2342" cm="1">
        <f t="array" ref="D2342">IFERROR(IF(SUMPRODUCT((expected_production[Site Name]=A2342)*(expected_production[Date]=B2342)*ISNUMBER(expected_production[Expected Production (kWh)]))=0,"",SUMIFS(expected_production[Expected Production (kWh)],expected_production[Site Name],A2342,expected_production[Date],B2342)),"")</f>
        <v>16397.23330498518</v>
      </c>
      <c r="E2342" s="9">
        <f t="shared" si="74"/>
        <v>0.55930167177726131</v>
      </c>
      <c r="F2342" t="str">
        <f t="shared" si="75"/>
        <v>Poor</v>
      </c>
    </row>
    <row r="2343" spans="1:7" ht="15" hidden="1" customHeight="1" x14ac:dyDescent="0.3">
      <c r="A2343" t="s">
        <v>190</v>
      </c>
      <c r="B2343" s="2">
        <v>45323</v>
      </c>
      <c r="C2343" cm="1">
        <f t="array" ref="C2343">IFERROR(IF(SUMPRODUCT((measured[Site Name]=A2343)*(measured[Date]=B2343)*ISNUMBER(measured[Measured Value (kWh)]))=0,"",SUMIFS(measured[Measured Value (kWh)],measured[Site Name],A2343,measured[Date],B2343)),"")</f>
        <v>8406</v>
      </c>
      <c r="D2343" cm="1">
        <f t="array" ref="D2343">IFERROR(IF(SUMPRODUCT((expected_production[Site Name]=A2343)*(expected_production[Date]=B2343)*ISNUMBER(expected_production[Expected Production (kWh)]))=0,"",SUMIFS(expected_production[Expected Production (kWh)],expected_production[Site Name],A2343,expected_production[Date],B2343)),"")</f>
        <v>14000.445899715163</v>
      </c>
      <c r="E2343" s="9">
        <f t="shared" si="74"/>
        <v>0.60040944839985555</v>
      </c>
      <c r="F2343" t="str">
        <f t="shared" si="75"/>
        <v>Poor</v>
      </c>
    </row>
    <row r="2344" spans="1:7" ht="15" hidden="1" customHeight="1" x14ac:dyDescent="0.3">
      <c r="A2344" t="s">
        <v>190</v>
      </c>
      <c r="B2344" s="2">
        <v>45352</v>
      </c>
      <c r="C2344" cm="1">
        <f t="array" ref="C2344">IFERROR(IF(SUMPRODUCT((measured[Site Name]=A2344)*(measured[Date]=B2344)*ISNUMBER(measured[Measured Value (kWh)]))=0,"",SUMIFS(measured[Measured Value (kWh)],measured[Site Name],A2344,measured[Date],B2344)),"")</f>
        <v>9529</v>
      </c>
      <c r="D2344" cm="1">
        <f t="array" ref="D2344">IFERROR(IF(SUMPRODUCT((expected_production[Site Name]=A2344)*(expected_production[Date]=B2344)*ISNUMBER(expected_production[Expected Production (kWh)]))=0,"",SUMIFS(expected_production[Expected Production (kWh)],expected_production[Site Name],A2344,expected_production[Date],B2344)),"")</f>
        <v>14900.459214058055</v>
      </c>
      <c r="E2344" s="9">
        <f t="shared" si="74"/>
        <v>0.63951049179811359</v>
      </c>
      <c r="F2344" t="str">
        <f t="shared" si="75"/>
        <v>Poor</v>
      </c>
    </row>
    <row r="2345" spans="1:7" ht="15" hidden="1" customHeight="1" x14ac:dyDescent="0.3">
      <c r="A2345" t="s">
        <v>190</v>
      </c>
      <c r="B2345" s="2">
        <v>45383</v>
      </c>
      <c r="C2345" cm="1">
        <f t="array" ref="C2345">IFERROR(IF(SUMPRODUCT((measured[Site Name]=A2345)*(measured[Date]=B2345)*ISNUMBER(measured[Measured Value (kWh)]))=0,"",SUMIFS(measured[Measured Value (kWh)],measured[Site Name],A2345,measured[Date],B2345)),"")</f>
        <v>8796</v>
      </c>
      <c r="D2345" cm="1">
        <f t="array" ref="D2345">IFERROR(IF(SUMPRODUCT((expected_production[Site Name]=A2345)*(expected_production[Date]=B2345)*ISNUMBER(expected_production[Expected Production (kWh)]))=0,"",SUMIFS(expected_production[Expected Production (kWh)],expected_production[Site Name],A2345,expected_production[Date],B2345)),"")</f>
        <v>12962.963009739124</v>
      </c>
      <c r="E2345" s="9">
        <f t="shared" si="74"/>
        <v>0.6785485689800651</v>
      </c>
      <c r="F2345" t="str">
        <f t="shared" si="75"/>
        <v>Poor</v>
      </c>
    </row>
    <row r="2346" spans="1:7" ht="15" hidden="1" customHeight="1" x14ac:dyDescent="0.3">
      <c r="A2346" t="s">
        <v>190</v>
      </c>
      <c r="B2346" s="2">
        <v>45413</v>
      </c>
      <c r="C2346" cm="1">
        <f t="array" ref="C2346">IFERROR(IF(SUMPRODUCT((measured[Site Name]=A2346)*(measured[Date]=B2346)*ISNUMBER(measured[Measured Value (kWh)]))=0,"",SUMIFS(measured[Measured Value (kWh)],measured[Site Name],A2346,measured[Date],B2346)),"")</f>
        <v>10039</v>
      </c>
      <c r="D2346" cm="1">
        <f t="array" ref="D2346">IFERROR(IF(SUMPRODUCT((expected_production[Site Name]=A2346)*(expected_production[Date]=B2346)*ISNUMBER(expected_production[Expected Production (kWh)]))=0,"",SUMIFS(expected_production[Expected Production (kWh)],expected_production[Site Name],A2346,expected_production[Date],B2346)),"")</f>
        <v>12598.46668565353</v>
      </c>
      <c r="E2346" s="9">
        <f t="shared" si="74"/>
        <v>0.79684300085754756</v>
      </c>
      <c r="F2346" t="str">
        <f t="shared" si="75"/>
        <v>Moderate</v>
      </c>
    </row>
    <row r="2347" spans="1:7" ht="15" hidden="1" customHeight="1" x14ac:dyDescent="0.3">
      <c r="A2347" t="s">
        <v>190</v>
      </c>
      <c r="B2347" s="2">
        <v>45444</v>
      </c>
      <c r="C2347" cm="1">
        <f t="array" ref="C2347">IFERROR(IF(SUMPRODUCT((measured[Site Name]=A2347)*(measured[Date]=B2347)*ISNUMBER(measured[Measured Value (kWh)]))=0,"",SUMIFS(measured[Measured Value (kWh)],measured[Site Name],A2347,measured[Date],B2347)),"")</f>
        <v>10175</v>
      </c>
      <c r="D2347" cm="1">
        <f t="array" ref="D2347">IFERROR(IF(SUMPRODUCT((expected_production[Site Name]=A2347)*(expected_production[Date]=B2347)*ISNUMBER(expected_production[Expected Production (kWh)]))=0,"",SUMIFS(expected_production[Expected Production (kWh)],expected_production[Site Name],A2347,expected_production[Date],B2347)),"")</f>
        <v>11377.548507907646</v>
      </c>
      <c r="E2347" s="9">
        <f t="shared" si="74"/>
        <v>0.89430513022450764</v>
      </c>
      <c r="F2347" t="str">
        <f t="shared" si="75"/>
        <v>Moderate</v>
      </c>
    </row>
    <row r="2348" spans="1:7" ht="15" hidden="1" customHeight="1" x14ac:dyDescent="0.3">
      <c r="A2348" t="s">
        <v>190</v>
      </c>
      <c r="B2348" s="2">
        <v>45474</v>
      </c>
      <c r="C2348" cm="1">
        <f t="array" ref="C2348">IFERROR(IF(SUMPRODUCT((measured[Site Name]=A2348)*(measured[Date]=B2348)*ISNUMBER(measured[Measured Value (kWh)]))=0,"",SUMIFS(measured[Measured Value (kWh)],measured[Site Name],A2348,measured[Date],B2348)),"")</f>
        <v>10629</v>
      </c>
      <c r="D2348" cm="1">
        <f t="array" ref="D2348">IFERROR(IF(SUMPRODUCT((expected_production[Site Name]=A2348)*(expected_production[Date]=B2348)*ISNUMBER(expected_production[Expected Production (kWh)]))=0,"",SUMIFS(expected_production[Expected Production (kWh)],expected_production[Site Name],A2348,expected_production[Date],B2348)),"")</f>
        <v>12661.07550311989</v>
      </c>
      <c r="E2348" s="9">
        <f t="shared" si="74"/>
        <v>0.83950214161354986</v>
      </c>
      <c r="F2348" t="str">
        <f t="shared" si="75"/>
        <v>Moderate</v>
      </c>
    </row>
    <row r="2349" spans="1:7" ht="15" hidden="1" customHeight="1" x14ac:dyDescent="0.3">
      <c r="A2349" t="s">
        <v>190</v>
      </c>
      <c r="B2349" s="2">
        <v>45505</v>
      </c>
      <c r="C2349" cm="1">
        <f t="array" ref="C2349">IFERROR(IF(SUMPRODUCT((measured[Site Name]=A2349)*(measured[Date]=B2349)*ISNUMBER(measured[Measured Value (kWh)]))=0,"",SUMIFS(measured[Measured Value (kWh)],measured[Site Name],A2349,measured[Date],B2349)),"")</f>
        <v>10264</v>
      </c>
      <c r="D2349" cm="1">
        <f t="array" ref="D2349">IFERROR(IF(SUMPRODUCT((expected_production[Site Name]=A2349)*(expected_production[Date]=B2349)*ISNUMBER(expected_production[Expected Production (kWh)]))=0,"",SUMIFS(expected_production[Expected Production (kWh)],expected_production[Site Name],A2349,expected_production[Date],B2349)),"")</f>
        <v>14561.857277153622</v>
      </c>
      <c r="E2349" s="9">
        <f t="shared" si="74"/>
        <v>0.70485514345092415</v>
      </c>
      <c r="F2349" t="str">
        <f t="shared" si="75"/>
        <v>Moderate</v>
      </c>
    </row>
    <row r="2350" spans="1:7" ht="15" hidden="1" customHeight="1" x14ac:dyDescent="0.3">
      <c r="A2350" t="s">
        <v>190</v>
      </c>
      <c r="B2350" s="2">
        <v>45536</v>
      </c>
      <c r="C2350" cm="1">
        <f t="array" ref="C2350">IFERROR(IF(SUMPRODUCT((measured[Site Name]=A2350)*(measured[Date]=B2350)*ISNUMBER(measured[Measured Value (kWh)]))=0,"",SUMIFS(measured[Measured Value (kWh)],measured[Site Name],A2350,measured[Date],B2350)),"")</f>
        <v>9192</v>
      </c>
      <c r="D2350" cm="1">
        <f t="array" ref="D2350">IFERROR(IF(SUMPRODUCT((expected_production[Site Name]=A2350)*(expected_production[Date]=B2350)*ISNUMBER(expected_production[Expected Production (kWh)]))=0,"",SUMIFS(expected_production[Expected Production (kWh)],expected_production[Site Name],A2350,expected_production[Date],B2350)),"")</f>
        <v>15690.238876033922</v>
      </c>
      <c r="E2350" s="9">
        <f t="shared" si="74"/>
        <v>0.5858419411345186</v>
      </c>
      <c r="F2350" t="str">
        <f t="shared" si="75"/>
        <v>Poor</v>
      </c>
    </row>
    <row r="2351" spans="1:7" ht="15" hidden="1" customHeight="1" x14ac:dyDescent="0.3">
      <c r="A2351" t="s">
        <v>190</v>
      </c>
      <c r="B2351" s="2">
        <v>45566</v>
      </c>
      <c r="C2351" cm="1">
        <f t="array" ref="C2351">IFERROR(IF(SUMPRODUCT((measured[Site Name]=A2351)*(measured[Date]=B2351)*ISNUMBER(measured[Measured Value (kWh)]))=0,"",SUMIFS(measured[Measured Value (kWh)],measured[Site Name],A2351,measured[Date],B2351)),"")</f>
        <v>10175</v>
      </c>
      <c r="D2351" cm="1">
        <f t="array" ref="D2351">IFERROR(IF(SUMPRODUCT((expected_production[Site Name]=A2351)*(expected_production[Date]=B2351)*ISNUMBER(expected_production[Expected Production (kWh)]))=0,"",SUMIFS(expected_production[Expected Production (kWh)],expected_production[Site Name],A2351,expected_production[Date],B2351)),"")</f>
        <v>16465.456433402236</v>
      </c>
      <c r="E2351" s="9">
        <f t="shared" si="74"/>
        <v>0.61796039734183994</v>
      </c>
      <c r="F2351" t="str">
        <f t="shared" si="75"/>
        <v>Poor</v>
      </c>
    </row>
    <row r="2352" spans="1:7" ht="15" hidden="1" customHeight="1" x14ac:dyDescent="0.3">
      <c r="A2352" t="s">
        <v>190</v>
      </c>
      <c r="B2352" s="2">
        <v>45597</v>
      </c>
      <c r="C2352" cm="1">
        <f t="array" ref="C2352">IFERROR(IF(SUMPRODUCT((measured[Site Name]=A2352)*(measured[Date]=B2352)*ISNUMBER(measured[Measured Value (kWh)]))=0,"",SUMIFS(measured[Measured Value (kWh)],measured[Site Name],A2352,measured[Date],B2352)),"")</f>
        <v>9431</v>
      </c>
      <c r="D2352" cm="1">
        <f t="array" ref="D2352">IFERROR(IF(SUMPRODUCT((expected_production[Site Name]=A2352)*(expected_production[Date]=B2352)*ISNUMBER(expected_production[Expected Production (kWh)]))=0,"",SUMIFS(expected_production[Expected Production (kWh)],expected_production[Site Name],A2352,expected_production[Date],B2352)),"")</f>
        <v>16129.447771837769</v>
      </c>
      <c r="E2352" s="9">
        <f t="shared" si="74"/>
        <v>0.58470693686529374</v>
      </c>
      <c r="F2352" t="str">
        <f t="shared" si="75"/>
        <v>Poor</v>
      </c>
    </row>
    <row r="2353" spans="1:6" ht="15" hidden="1" customHeight="1" x14ac:dyDescent="0.3">
      <c r="A2353" t="s">
        <v>190</v>
      </c>
      <c r="B2353" s="2">
        <v>45627</v>
      </c>
      <c r="C2353" cm="1">
        <f t="array" ref="C2353">IFERROR(IF(SUMPRODUCT((measured[Site Name]=A2353)*(measured[Date]=B2353)*ISNUMBER(measured[Measured Value (kWh)]))=0,"",SUMIFS(measured[Measured Value (kWh)],measured[Site Name],A2353,measured[Date],B2353)),"")</f>
        <v>9104</v>
      </c>
      <c r="D2353" cm="1">
        <f t="array" ref="D2353">IFERROR(IF(SUMPRODUCT((expected_production[Site Name]=A2353)*(expected_production[Date]=B2353)*ISNUMBER(expected_production[Expected Production (kWh)]))=0,"",SUMIFS(expected_production[Expected Production (kWh)],expected_production[Site Name],A2353,expected_production[Date],B2353)),"")</f>
        <v>17036.325400836424</v>
      </c>
      <c r="E2353" s="9">
        <f t="shared" si="74"/>
        <v>0.53438753873256173</v>
      </c>
      <c r="F2353" t="str">
        <f t="shared" si="75"/>
        <v>Poor</v>
      </c>
    </row>
    <row r="2354" spans="1:6" ht="15" hidden="1" customHeight="1" x14ac:dyDescent="0.3">
      <c r="A2354" t="s">
        <v>190</v>
      </c>
      <c r="B2354" s="2">
        <v>45658</v>
      </c>
      <c r="C2354" cm="1">
        <f t="array" ref="C2354">IFERROR(IF(SUMPRODUCT((measured[Site Name]=A2354)*(measured[Date]=B2354)*ISNUMBER(measured[Measured Value (kWh)]))=0,"",SUMIFS(measured[Measured Value (kWh)],measured[Site Name],A2354,measured[Date],B2354)),"")</f>
        <v>5093</v>
      </c>
      <c r="D2354" cm="1">
        <f t="array" ref="D2354">IFERROR(IF(SUMPRODUCT((expected_production[Site Name]=A2354)*(expected_production[Date]=B2354)*ISNUMBER(expected_production[Expected Production (kWh)]))=0,"",SUMIFS(expected_production[Expected Production (kWh)],expected_production[Site Name],A2354,expected_production[Date],B2354)),"")</f>
        <v>16282.21781120276</v>
      </c>
      <c r="E2354" s="9">
        <f t="shared" si="74"/>
        <v>0.31279522599776488</v>
      </c>
      <c r="F2354" t="str">
        <f t="shared" si="75"/>
        <v>Poor</v>
      </c>
    </row>
    <row r="2355" spans="1:6" ht="15" hidden="1" customHeight="1" x14ac:dyDescent="0.3">
      <c r="A2355" t="s">
        <v>190</v>
      </c>
      <c r="B2355" s="2">
        <v>45689</v>
      </c>
      <c r="C2355" cm="1">
        <f t="array" ref="C2355">IFERROR(IF(SUMPRODUCT((measured[Site Name]=A2355)*(measured[Date]=B2355)*ISNUMBER(measured[Measured Value (kWh)]))=0,"",SUMIFS(measured[Measured Value (kWh)],measured[Site Name],A2355,measured[Date],B2355)),"")</f>
        <v>7532</v>
      </c>
      <c r="D2355" cm="1">
        <f t="array" ref="D2355">IFERROR(IF(SUMPRODUCT((expected_production[Site Name]=A2355)*(expected_production[Date]=B2355)*ISNUMBER(expected_production[Expected Production (kWh)]))=0,"",SUMIFS(expected_production[Expected Production (kWh)],expected_production[Site Name],A2355,expected_production[Date],B2355)),"")</f>
        <v>13902.242247405096</v>
      </c>
      <c r="E2355" s="9">
        <f t="shared" si="74"/>
        <v>0.54178310706719812</v>
      </c>
      <c r="F2355" t="str">
        <f t="shared" si="75"/>
        <v>Poor</v>
      </c>
    </row>
    <row r="2356" spans="1:6" ht="15" hidden="1" customHeight="1" x14ac:dyDescent="0.3">
      <c r="A2356" t="s">
        <v>190</v>
      </c>
      <c r="B2356" s="2">
        <v>45717</v>
      </c>
      <c r="C2356" cm="1">
        <f t="array" ref="C2356">IFERROR(IF(SUMPRODUCT((measured[Site Name]=A2356)*(measured[Date]=B2356)*ISNUMBER(measured[Measured Value (kWh)]))=0,"",SUMIFS(measured[Measured Value (kWh)],measured[Site Name],A2356,measured[Date],B2356)),"")</f>
        <v>7375</v>
      </c>
      <c r="D2356" cm="1">
        <f t="array" ref="D2356">IFERROR(IF(SUMPRODUCT((expected_production[Site Name]=A2356)*(expected_production[Date]=B2356)*ISNUMBER(expected_production[Expected Production (kWh)]))=0,"",SUMIFS(expected_production[Expected Production (kWh)],expected_production[Site Name],A2356,expected_production[Date],B2356)),"")</f>
        <v>14796.227140934265</v>
      </c>
      <c r="E2356" s="9">
        <f t="shared" si="74"/>
        <v>0.49843787404404005</v>
      </c>
      <c r="F2356" t="str">
        <f t="shared" si="75"/>
        <v>Poor</v>
      </c>
    </row>
    <row r="2357" spans="1:6" ht="15" hidden="1" customHeight="1" x14ac:dyDescent="0.3">
      <c r="A2357" t="s">
        <v>190</v>
      </c>
      <c r="B2357" s="2">
        <v>45748</v>
      </c>
      <c r="C2357" cm="1">
        <f t="array" ref="C2357">IFERROR(IF(SUMPRODUCT((measured[Site Name]=A2357)*(measured[Date]=B2357)*ISNUMBER(measured[Measured Value (kWh)]))=0,"",SUMIFS(measured[Measured Value (kWh)],measured[Site Name],A2357,measured[Date],B2357)),"")</f>
        <v>7602</v>
      </c>
      <c r="D2357" cm="1">
        <f t="array" ref="D2357">IFERROR(IF(SUMPRODUCT((expected_production[Site Name]=A2357)*(expected_production[Date]=B2357)*ISNUMBER(expected_production[Expected Production (kWh)]))=0,"",SUMIFS(expected_production[Expected Production (kWh)],expected_production[Site Name],A2357,expected_production[Date],B2357)),"")</f>
        <v>12872.28415958279</v>
      </c>
      <c r="E2357" s="9">
        <f t="shared" si="74"/>
        <v>0.59057117647147961</v>
      </c>
      <c r="F2357" t="str">
        <f t="shared" si="75"/>
        <v>Poor</v>
      </c>
    </row>
    <row r="2358" spans="1:6" ht="15" hidden="1" customHeight="1" x14ac:dyDescent="0.3">
      <c r="A2358" t="s">
        <v>190</v>
      </c>
      <c r="B2358" s="2">
        <v>45778</v>
      </c>
      <c r="C2358" cm="1">
        <f t="array" ref="C2358">IFERROR(IF(SUMPRODUCT((measured[Site Name]=A2358)*(measured[Date]=B2358)*ISNUMBER(measured[Measured Value (kWh)]))=0,"",SUMIFS(measured[Measured Value (kWh)],measured[Site Name],A2358,measured[Date],B2358)),"")</f>
        <v>10378</v>
      </c>
      <c r="D2358" cm="1">
        <f t="array" ref="D2358">IFERROR(IF(SUMPRODUCT((expected_production[Site Name]=A2358)*(expected_production[Date]=B2358)*ISNUMBER(expected_production[Expected Production (kWh)]))=0,"",SUMIFS(expected_production[Expected Production (kWh)],expected_production[Site Name],A2358,expected_production[Date],B2358)),"")</f>
        <v>12510.337569499328</v>
      </c>
      <c r="E2358" s="9">
        <f t="shared" si="74"/>
        <v>0.8295539542675453</v>
      </c>
      <c r="F2358" t="str">
        <f t="shared" si="75"/>
        <v>Moderate</v>
      </c>
    </row>
    <row r="2359" spans="1:6" ht="15" hidden="1" customHeight="1" x14ac:dyDescent="0.3">
      <c r="A2359" t="s">
        <v>190</v>
      </c>
      <c r="B2359" s="2">
        <v>45809</v>
      </c>
      <c r="C2359" cm="1">
        <f t="array" ref="C2359">IFERROR(IF(SUMPRODUCT((measured[Site Name]=A2359)*(measured[Date]=B2359)*ISNUMBER(measured[Measured Value (kWh)]))=0,"",SUMIFS(measured[Measured Value (kWh)],measured[Site Name],A2359,measured[Date],B2359)),"")</f>
        <v>10510.45</v>
      </c>
      <c r="D2359" cm="1">
        <f t="array" ref="D2359">IFERROR(IF(SUMPRODUCT((expected_production[Site Name]=A2359)*(expected_production[Date]=B2359)*ISNUMBER(expected_production[Expected Production (kWh)]))=0,"",SUMIFS(expected_production[Expected Production (kWh)],expected_production[Site Name],A2359,expected_production[Date],B2359)),"")</f>
        <v>11297.959989794939</v>
      </c>
      <c r="E2359" s="9">
        <f t="shared" si="74"/>
        <v>0.9302962667148521</v>
      </c>
      <c r="F2359" t="str">
        <f t="shared" si="75"/>
        <v>Expected</v>
      </c>
    </row>
    <row r="2360" spans="1:6" ht="15" hidden="1" customHeight="1" x14ac:dyDescent="0.3">
      <c r="A2360" t="s">
        <v>190</v>
      </c>
      <c r="B2360" s="2">
        <v>45839</v>
      </c>
      <c r="C2360" cm="1">
        <f t="array" ref="C2360">IFERROR(IF(SUMPRODUCT((measured[Site Name]=A2360)*(measured[Date]=B2360)*ISNUMBER(measured[Measured Value (kWh)]))=0,"",SUMIFS(measured[Measured Value (kWh)],measured[Site Name],A2360,measured[Date],B2360)),"")</f>
        <v>9750</v>
      </c>
      <c r="D2360" cm="1">
        <f t="array" ref="D2360">IFERROR(IF(SUMPRODUCT((expected_production[Site Name]=A2360)*(expected_production[Date]=B2360)*ISNUMBER(expected_production[Expected Production (kWh)]))=0,"",SUMIFS(expected_production[Expected Production (kWh)],expected_production[Site Name],A2360,expected_production[Date],B2360)),"")</f>
        <v>12572.508424165575</v>
      </c>
      <c r="E2360" s="9">
        <f t="shared" si="74"/>
        <v>0.77550156826775785</v>
      </c>
      <c r="F2360" t="str">
        <f t="shared" si="75"/>
        <v>Moderate</v>
      </c>
    </row>
    <row r="2361" spans="1:6" ht="15" hidden="1" customHeight="1" x14ac:dyDescent="0.3">
      <c r="A2361" t="s">
        <v>190</v>
      </c>
      <c r="B2361" s="2">
        <v>45870</v>
      </c>
      <c r="C2361" cm="1">
        <f t="array" ref="C2361">IFERROR(IF(SUMPRODUCT((measured[Site Name]=A2361)*(measured[Date]=B2361)*ISNUMBER(measured[Measured Value (kWh)]))=0,"",SUMIFS(measured[Measured Value (kWh)],measured[Site Name],A2361,measured[Date],B2361)),"")</f>
        <v>10081</v>
      </c>
      <c r="D2361" cm="1">
        <f t="array" ref="D2361">IFERROR(IF(SUMPRODUCT((expected_production[Site Name]=A2361)*(expected_production[Date]=B2361)*ISNUMBER(expected_production[Expected Production (kWh)]))=0,"",SUMIFS(expected_production[Expected Production (kWh)],expected_production[Site Name],A2361,expected_production[Date],B2361)),"")</f>
        <v>14459.993800952938</v>
      </c>
      <c r="E2361" s="9">
        <f t="shared" si="74"/>
        <v>0.69716489085463129</v>
      </c>
      <c r="F2361" t="str">
        <f t="shared" si="75"/>
        <v>Poor</v>
      </c>
    </row>
    <row r="2362" spans="1:6" ht="15" hidden="1" customHeight="1" x14ac:dyDescent="0.3">
      <c r="A2362" t="s">
        <v>190</v>
      </c>
      <c r="B2362" s="2">
        <v>45901</v>
      </c>
      <c r="C2362" cm="1">
        <f t="array" ref="C2362">IFERROR(IF(SUMPRODUCT((measured[Site Name]=A2362)*(measured[Date]=B2362)*ISNUMBER(measured[Measured Value (kWh)]))=0,"",SUMIFS(measured[Measured Value (kWh)],measured[Site Name],A2362,measured[Date],B2362)),"")</f>
        <v>11225</v>
      </c>
      <c r="D2362" cm="1">
        <f t="array" ref="D2362">IFERROR(IF(SUMPRODUCT((expected_production[Site Name]=A2362)*(expected_production[Date]=B2362)*ISNUMBER(expected_production[Expected Production (kWh)]))=0,"",SUMIFS(expected_production[Expected Production (kWh)],expected_production[Site Name],A2362,expected_production[Date],B2362)),"")</f>
        <v>15580.482116033294</v>
      </c>
      <c r="E2362" s="9">
        <f t="shared" si="74"/>
        <v>0.72045267382636191</v>
      </c>
      <c r="F2362" t="str">
        <f t="shared" si="75"/>
        <v>Moderate</v>
      </c>
    </row>
    <row r="2363" spans="1:6" ht="15" hidden="1" customHeight="1" x14ac:dyDescent="0.3">
      <c r="A2363" t="s">
        <v>190</v>
      </c>
      <c r="B2363" s="2">
        <v>45931</v>
      </c>
      <c r="C2363" cm="1">
        <f t="array" ref="C2363">IFERROR(IF(SUMPRODUCT((measured[Site Name]=A2363)*(measured[Date]=B2363)*ISNUMBER(measured[Measured Value (kWh)]))=0,"",SUMIFS(measured[Measured Value (kWh)],measured[Site Name],A2363,measured[Date],B2363)),"")</f>
        <v>9885</v>
      </c>
      <c r="D2363" cm="1">
        <f t="array" ref="D2363">IFERROR(IF(SUMPRODUCT((expected_production[Site Name]=A2363)*(expected_production[Date]=B2363)*ISNUMBER(expected_production[Expected Production (kWh)]))=0,"",SUMIFS(expected_production[Expected Production (kWh)],expected_production[Site Name],A2363,expected_production[Date],B2363)),"")</f>
        <v>16350.276851731103</v>
      </c>
      <c r="E2363" s="9">
        <f t="shared" si="74"/>
        <v>0.60457691876657216</v>
      </c>
      <c r="F2363" t="str">
        <f t="shared" si="75"/>
        <v>Poor</v>
      </c>
    </row>
    <row r="2364" spans="1:6" ht="15" hidden="1" customHeight="1" x14ac:dyDescent="0.3">
      <c r="A2364" t="s">
        <v>190</v>
      </c>
      <c r="B2364" s="2">
        <v>45962</v>
      </c>
      <c r="C2364" cm="1">
        <f t="array" ref="C2364">IFERROR(IF(SUMPRODUCT((measured[Site Name]=A2364)*(measured[Date]=B2364)*ISNUMBER(measured[Measured Value (kWh)]))=0,"",SUMIFS(measured[Measured Value (kWh)],measured[Site Name],A2364,measured[Date],B2364)),"")</f>
        <v>8679</v>
      </c>
      <c r="D2364" cm="1">
        <f t="array" ref="D2364">IFERROR(IF(SUMPRODUCT((expected_production[Site Name]=A2364)*(expected_production[Date]=B2364)*ISNUMBER(expected_production[Expected Production (kWh)]))=0,"",SUMIFS(expected_production[Expected Production (kWh)],expected_production[Site Name],A2364,expected_production[Date],B2364)),"")</f>
        <v>16016.618646543804</v>
      </c>
      <c r="E2364" s="9">
        <f t="shared" si="74"/>
        <v>0.54187467352060759</v>
      </c>
      <c r="F2364" t="str">
        <f t="shared" si="75"/>
        <v>Poor</v>
      </c>
    </row>
    <row r="2365" spans="1:6" ht="15" hidden="1" customHeight="1" x14ac:dyDescent="0.3">
      <c r="A2365" t="s">
        <v>190</v>
      </c>
      <c r="B2365" s="2">
        <v>45992</v>
      </c>
      <c r="C2365" cm="1">
        <f t="array" ref="C2365">IFERROR(IF(SUMPRODUCT((measured[Site Name]=A2365)*(measured[Date]=B2365)*ISNUMBER(measured[Measured Value (kWh)]))=0,"",SUMIFS(measured[Measured Value (kWh)],measured[Site Name],A2365,measured[Date],B2365)),"")</f>
        <v>9967</v>
      </c>
      <c r="D2365" cm="1">
        <f t="array" ref="D2365">IFERROR(IF(SUMPRODUCT((expected_production[Site Name]=A2365)*(expected_production[Date]=B2365)*ISNUMBER(expected_production[Expected Production (kWh)]))=0,"",SUMIFS(expected_production[Expected Production (kWh)],expected_production[Site Name],A2365,expected_production[Date],B2365)),"")</f>
        <v>16917.152461973888</v>
      </c>
      <c r="E2365" s="9">
        <f t="shared" si="74"/>
        <v>0.58916534696980871</v>
      </c>
      <c r="F2365" t="str">
        <f t="shared" si="75"/>
        <v>Poor</v>
      </c>
    </row>
    <row r="2366" spans="1:6" ht="15" hidden="1" customHeight="1" x14ac:dyDescent="0.3">
      <c r="A2366" t="s">
        <v>190</v>
      </c>
      <c r="B2366" s="2">
        <v>46023</v>
      </c>
      <c r="C2366" cm="1">
        <f t="array" ref="C2366">IFERROR(IF(SUMPRODUCT((measured[Site Name]=A2366)*(measured[Date]=B2366)*ISNUMBER(measured[Measured Value (kWh)]))=0,"",SUMIFS(measured[Measured Value (kWh)],measured[Site Name],A2366,measured[Date],B2366)),"")</f>
        <v>9751</v>
      </c>
      <c r="D2366" cm="1">
        <f t="array" ref="D2366">IFERROR(IF(SUMPRODUCT((expected_production[Site Name]=A2366)*(expected_production[Date]=B2366)*ISNUMBER(expected_production[Expected Production (kWh)]))=0,"",SUMIFS(expected_production[Expected Production (kWh)],expected_production[Site Name],A2366,expected_production[Date],B2366)),"")</f>
        <v>16168.320025024894</v>
      </c>
      <c r="E2366" s="9">
        <f t="shared" si="74"/>
        <v>0.60309296110589494</v>
      </c>
      <c r="F2366" t="str">
        <f t="shared" si="75"/>
        <v>Poor</v>
      </c>
    </row>
    <row r="2367" spans="1:6" ht="15" hidden="1" customHeight="1" x14ac:dyDescent="0.3">
      <c r="A2367" t="s">
        <v>190</v>
      </c>
      <c r="B2367" s="2">
        <v>46054</v>
      </c>
      <c r="C2367" cm="1">
        <f t="array" ref="C2367">IFERROR(IF(SUMPRODUCT((measured[Site Name]=A2367)*(measured[Date]=B2367)*ISNUMBER(measured[Measured Value (kWh)]))=0,"",SUMIFS(measured[Measured Value (kWh)],measured[Site Name],A2367,measured[Date],B2367)),"")</f>
        <v>8451</v>
      </c>
      <c r="D2367" cm="1">
        <f t="array" ref="D2367">IFERROR(IF(SUMPRODUCT((expected_production[Site Name]=A2367)*(expected_production[Date]=B2367)*ISNUMBER(expected_production[Expected Production (kWh)]))=0,"",SUMIFS(expected_production[Expected Production (kWh)],expected_production[Site Name],A2367,expected_production[Date],B2367)),"")</f>
        <v>13804.992927119112</v>
      </c>
      <c r="E2367" s="9">
        <f t="shared" si="74"/>
        <v>0.61216981744325982</v>
      </c>
      <c r="F2367" t="str">
        <f t="shared" si="75"/>
        <v>Poor</v>
      </c>
    </row>
    <row r="2368" spans="1:6" ht="15" hidden="1" customHeight="1" x14ac:dyDescent="0.3">
      <c r="A2368" t="s">
        <v>190</v>
      </c>
      <c r="B2368" s="2">
        <v>46082</v>
      </c>
      <c r="C2368" cm="1">
        <f t="array" ref="C2368">IFERROR(IF(SUMPRODUCT((measured[Site Name]=A2368)*(measured[Date]=B2368)*ISNUMBER(measured[Measured Value (kWh)]))=0,"",SUMIFS(measured[Measured Value (kWh)],measured[Site Name],A2368,measured[Date],B2368)),"")</f>
        <v>8559</v>
      </c>
      <c r="D2368" cm="1">
        <f t="array" ref="D2368">IFERROR(IF(SUMPRODUCT((expected_production[Site Name]=A2368)*(expected_production[Date]=B2368)*ISNUMBER(expected_production[Expected Production (kWh)]))=0,"",SUMIFS(expected_production[Expected Production (kWh)],expected_production[Site Name],A2368,expected_production[Date],B2368)),"")</f>
        <v>14692.724194672381</v>
      </c>
      <c r="E2368" s="9">
        <f t="shared" si="74"/>
        <v>0.5825332243766963</v>
      </c>
      <c r="F2368" t="str">
        <f t="shared" si="75"/>
        <v>Poor</v>
      </c>
    </row>
    <row r="2369" spans="1:7" ht="15" hidden="1" customHeight="1" x14ac:dyDescent="0.3">
      <c r="A2369" t="s">
        <v>190</v>
      </c>
      <c r="B2369" s="2">
        <v>46113</v>
      </c>
      <c r="C2369" cm="1">
        <f t="array" ref="C2369">IFERROR(IF(SUMPRODUCT((measured[Site Name]=A2369)*(measured[Date]=B2369)*ISNUMBER(measured[Measured Value (kWh)]))=0,"",SUMIFS(measured[Measured Value (kWh)],measured[Site Name],A2369,measured[Date],B2369)),"")</f>
        <v>7937.13</v>
      </c>
      <c r="D2369" cm="1">
        <f t="array" ref="D2369">IFERROR(IF(SUMPRODUCT((expected_production[Site Name]=A2369)*(expected_production[Date]=B2369)*ISNUMBER(expected_production[Expected Production (kWh)]))=0,"",SUMIFS(expected_production[Expected Production (kWh)],expected_production[Site Name],A2369,expected_production[Date],B2369)),"")</f>
        <v>12782.239628436664</v>
      </c>
      <c r="E2369" s="9">
        <f t="shared" si="74"/>
        <v>0.62094986721593426</v>
      </c>
      <c r="F2369" t="str">
        <f t="shared" si="75"/>
        <v>Poor</v>
      </c>
    </row>
    <row r="2370" spans="1:7" ht="15" hidden="1" customHeight="1" x14ac:dyDescent="0.3">
      <c r="A2370" t="s">
        <v>190</v>
      </c>
      <c r="B2370" s="2">
        <v>46143</v>
      </c>
      <c r="C2370" cm="1">
        <f t="array" ref="C2370">IFERROR(IF(SUMPRODUCT((measured[Site Name]=A2370)*(measured[Date]=B2370)*ISNUMBER(measured[Measured Value (kWh)]))=0,"",SUMIFS(measured[Measured Value (kWh)],measured[Site Name],A2370,measured[Date],B2370)),"")</f>
        <v>10005.799999999999</v>
      </c>
      <c r="D2370" cm="1">
        <f t="array" ref="D2370">IFERROR(IF(SUMPRODUCT((expected_production[Site Name]=A2370)*(expected_production[Date]=B2370)*ISNUMBER(expected_production[Expected Production (kWh)]))=0,"",SUMIFS(expected_production[Expected Production (kWh)],expected_production[Site Name],A2370,expected_production[Date],B2370)),"")</f>
        <v>12422.824936390874</v>
      </c>
      <c r="E2370" s="9">
        <f t="shared" si="74"/>
        <v>0.80543677072108222</v>
      </c>
      <c r="F2370" t="str">
        <f t="shared" si="75"/>
        <v>Moderate</v>
      </c>
    </row>
    <row r="2371" spans="1:7" ht="15" hidden="1" customHeight="1" x14ac:dyDescent="0.3">
      <c r="A2371" t="s">
        <v>190</v>
      </c>
      <c r="B2371" s="2">
        <v>46174</v>
      </c>
      <c r="C2371" cm="1">
        <f t="array" ref="C2371">IFERROR(IF(SUMPRODUCT((measured[Site Name]=A2371)*(measured[Date]=B2371)*ISNUMBER(measured[Measured Value (kWh)]))=0,"",SUMIFS(measured[Measured Value (kWh)],measured[Site Name],A2371,measured[Date],B2371)),"")</f>
        <v>9053</v>
      </c>
      <c r="D2371" cm="1">
        <f t="array" ref="D2371">IFERROR(IF(SUMPRODUCT((expected_production[Site Name]=A2371)*(expected_production[Date]=B2371)*ISNUMBER(expected_production[Expected Production (kWh)]))=0,"",SUMIFS(expected_production[Expected Production (kWh)],expected_production[Site Name],A2371,expected_production[Date],B2371)),"")</f>
        <v>11218.92821131828</v>
      </c>
      <c r="E2371" s="9">
        <f t="shared" si="74"/>
        <v>0.8069398278943285</v>
      </c>
      <c r="F2371" t="str">
        <f t="shared" si="75"/>
        <v>Moderate</v>
      </c>
    </row>
    <row r="2372" spans="1:7" ht="15" hidden="1" customHeight="1" x14ac:dyDescent="0.3">
      <c r="A2372" t="s">
        <v>190</v>
      </c>
      <c r="B2372" s="2">
        <v>46204</v>
      </c>
      <c r="C2372" cm="1">
        <f t="array" ref="C2372">IFERROR(IF(SUMPRODUCT((measured[Site Name]=A2372)*(measured[Date]=B2372)*ISNUMBER(measured[Measured Value (kWh)]))=0,"",SUMIFS(measured[Measured Value (kWh)],measured[Site Name],A2372,measured[Date],B2372)),"")</f>
        <v>9713.4699999999993</v>
      </c>
      <c r="D2372" cm="1">
        <f t="array" ref="D2372">IFERROR(IF(SUMPRODUCT((expected_production[Site Name]=A2372)*(expected_production[Date]=B2372)*ISNUMBER(expected_production[Expected Production (kWh)]))=0,"",SUMIFS(expected_production[Expected Production (kWh)],expected_production[Site Name],A2372,expected_production[Date],B2372)),"")</f>
        <v>12484.560891905581</v>
      </c>
      <c r="E2372" s="9">
        <f t="shared" si="74"/>
        <v>0.77803857773626384</v>
      </c>
      <c r="F2372" t="str">
        <f t="shared" si="75"/>
        <v>Moderate</v>
      </c>
      <c r="G2372" t="s">
        <v>874</v>
      </c>
    </row>
    <row r="2373" spans="1:7" ht="15" hidden="1" customHeight="1" x14ac:dyDescent="0.3">
      <c r="A2373" t="s">
        <v>190</v>
      </c>
      <c r="B2373" s="2">
        <v>46235</v>
      </c>
      <c r="C2373" cm="1">
        <f t="array" ref="C2373">IFERROR(IF(SUMPRODUCT((measured[Site Name]=A2373)*(measured[Date]=B2373)*ISNUMBER(measured[Measured Value (kWh)]))=0,"",SUMIFS(measured[Measured Value (kWh)],measured[Site Name],A2373,measured[Date],B2373)),"")</f>
        <v>9565</v>
      </c>
      <c r="D2373" cm="1">
        <f t="array" ref="D2373">IFERROR(IF(SUMPRODUCT((expected_production[Site Name]=A2373)*(expected_production[Date]=B2373)*ISNUMBER(expected_production[Expected Production (kWh)]))=0,"",SUMIFS(expected_production[Expected Production (kWh)],expected_production[Site Name],A2373,expected_production[Date],B2373)),"")</f>
        <v>14358.842882744424</v>
      </c>
      <c r="E2373" s="9">
        <f t="shared" si="74"/>
        <v>0.66614002800285743</v>
      </c>
      <c r="F2373" t="str">
        <f t="shared" si="75"/>
        <v>Poor</v>
      </c>
      <c r="G2373" t="s">
        <v>874</v>
      </c>
    </row>
    <row r="2374" spans="1:7" ht="15" customHeight="1" x14ac:dyDescent="0.3">
      <c r="A2374" t="s">
        <v>190</v>
      </c>
      <c r="B2374" s="2">
        <v>46266</v>
      </c>
      <c r="C2374" cm="1">
        <f t="array" ref="C2374">IFERROR(IF(SUMPRODUCT((measured[Site Name]=A2374)*(measured[Date]=B2374)*ISNUMBER(measured[Measured Value (kWh)]))=0,"",SUMIFS(measured[Measured Value (kWh)],measured[Site Name],A2374,measured[Date],B2374)),"")</f>
        <v>7250.71</v>
      </c>
      <c r="D2374" cm="1">
        <f t="array" ref="D2374">IFERROR(IF(SUMPRODUCT((expected_production[Site Name]=A2374)*(expected_production[Date]=B2374)*ISNUMBER(expected_production[Expected Production (kWh)]))=0,"",SUMIFS(expected_production[Expected Production (kWh)],expected_production[Site Name],A2374,expected_production[Date],B2374)),"")</f>
        <v>15471.493129325414</v>
      </c>
      <c r="E2374" s="9">
        <f t="shared" si="74"/>
        <v>0.46864966033928906</v>
      </c>
      <c r="F2374" t="str">
        <f t="shared" si="75"/>
        <v>Poor</v>
      </c>
      <c r="G2374" t="s">
        <v>874</v>
      </c>
    </row>
    <row r="2375" spans="1:7" ht="15" hidden="1" customHeight="1" x14ac:dyDescent="0.3">
      <c r="A2375" t="s">
        <v>190</v>
      </c>
      <c r="B2375" s="2">
        <v>46296</v>
      </c>
      <c r="C2375" t="str" cm="1">
        <f t="array" ref="C2375">IFERROR(IF(SUMPRODUCT((measured[Site Name]=A2375)*(measured[Date]=B2375)*ISNUMBER(measured[Measured Value (kWh)]))=0,"",SUMIFS(measured[Measured Value (kWh)],measured[Site Name],A2375,measured[Date],B2375)),"")</f>
        <v/>
      </c>
      <c r="D2375" cm="1">
        <f t="array" ref="D2375">IFERROR(IF(SUMPRODUCT((expected_production[Site Name]=A2375)*(expected_production[Date]=B2375)*ISNUMBER(expected_production[Expected Production (kWh)]))=0,"",SUMIFS(expected_production[Expected Production (kWh)],expected_production[Site Name],A2375,expected_production[Date],B2375)),"")</f>
        <v>16235.902977213465</v>
      </c>
      <c r="E2375" s="9" t="str">
        <f t="shared" si="74"/>
        <v/>
      </c>
      <c r="F2375" t="str">
        <f t="shared" si="75"/>
        <v/>
      </c>
    </row>
    <row r="2376" spans="1:7" ht="15" hidden="1" customHeight="1" x14ac:dyDescent="0.3">
      <c r="A2376" t="s">
        <v>190</v>
      </c>
      <c r="B2376" s="2">
        <v>46327</v>
      </c>
      <c r="C2376" t="str" cm="1">
        <f t="array" ref="C2376">IFERROR(IF(SUMPRODUCT((measured[Site Name]=A2376)*(measured[Date]=B2376)*ISNUMBER(measured[Measured Value (kWh)]))=0,"",SUMIFS(measured[Measured Value (kWh)],measured[Site Name],A2376,measured[Date],B2376)),"")</f>
        <v/>
      </c>
      <c r="D2376" cm="1">
        <f t="array" ref="D2376">IFERROR(IF(SUMPRODUCT((expected_production[Site Name]=A2376)*(expected_production[Date]=B2376)*ISNUMBER(expected_production[Expected Production (kWh)]))=0,"",SUMIFS(expected_production[Expected Production (kWh)],expected_production[Site Name],A2376,expected_production[Date],B2376)),"")</f>
        <v>15904.578786430813</v>
      </c>
      <c r="E2376" s="9" t="str">
        <f t="shared" si="74"/>
        <v/>
      </c>
      <c r="F2376" t="str">
        <f t="shared" si="75"/>
        <v/>
      </c>
    </row>
    <row r="2377" spans="1:7" ht="15" hidden="1" customHeight="1" x14ac:dyDescent="0.3">
      <c r="A2377" t="s">
        <v>190</v>
      </c>
      <c r="B2377" s="2">
        <v>46357</v>
      </c>
      <c r="C2377" t="str" cm="1">
        <f t="array" ref="C2377">IFERROR(IF(SUMPRODUCT((measured[Site Name]=A2377)*(measured[Date]=B2377)*ISNUMBER(measured[Measured Value (kWh)]))=0,"",SUMIFS(measured[Measured Value (kWh)],measured[Site Name],A2377,measured[Date],B2377)),"")</f>
        <v/>
      </c>
      <c r="D2377" cm="1">
        <f t="array" ref="D2377">IFERROR(IF(SUMPRODUCT((expected_production[Site Name]=A2377)*(expected_production[Date]=B2377)*ISNUMBER(expected_production[Expected Production (kWh)]))=0,"",SUMIFS(expected_production[Expected Production (kWh)],expected_production[Site Name],A2377,expected_production[Date],B2377)),"")</f>
        <v>16798.813164699131</v>
      </c>
      <c r="E2377" s="9" t="str">
        <f t="shared" si="74"/>
        <v/>
      </c>
      <c r="F2377" t="str">
        <f t="shared" si="75"/>
        <v/>
      </c>
    </row>
    <row r="2378" spans="1:7" ht="15" hidden="1" customHeight="1" x14ac:dyDescent="0.3">
      <c r="A2378" t="s">
        <v>199</v>
      </c>
      <c r="B2378" s="2">
        <v>45292</v>
      </c>
      <c r="C2378" cm="1">
        <f t="array" ref="C2378">IFERROR(IF(SUMPRODUCT((measured[Site Name]=A2378)*(measured[Date]=B2378)*ISNUMBER(measured[Measured Value (kWh)]))=0,"",SUMIFS(measured[Measured Value (kWh)],measured[Site Name],A2378,measured[Date],B2378)),"")</f>
        <v>3404</v>
      </c>
      <c r="D2378" cm="1">
        <f t="array" ref="D2378">IFERROR(IF(SUMPRODUCT((expected_production[Site Name]=A2378)*(expected_production[Date]=B2378)*ISNUMBER(expected_production[Expected Production (kWh)]))=0,"",SUMIFS(expected_production[Expected Production (kWh)],expected_production[Site Name],A2378,expected_production[Date],B2378)),"")</f>
        <v>3716.5518666473745</v>
      </c>
      <c r="E2378" s="9">
        <f t="shared" si="74"/>
        <v>0.91590272977158227</v>
      </c>
      <c r="F2378" t="str">
        <f t="shared" si="75"/>
        <v>Expected</v>
      </c>
    </row>
    <row r="2379" spans="1:7" ht="15" hidden="1" customHeight="1" x14ac:dyDescent="0.3">
      <c r="A2379" t="s">
        <v>199</v>
      </c>
      <c r="B2379" s="2">
        <v>45323</v>
      </c>
      <c r="C2379" cm="1">
        <f t="array" ref="C2379">IFERROR(IF(SUMPRODUCT((measured[Site Name]=A2379)*(measured[Date]=B2379)*ISNUMBER(measured[Measured Value (kWh)]))=0,"",SUMIFS(measured[Measured Value (kWh)],measured[Site Name],A2379,measured[Date],B2379)),"")</f>
        <v>3408</v>
      </c>
      <c r="D2379" cm="1">
        <f t="array" ref="D2379">IFERROR(IF(SUMPRODUCT((expected_production[Site Name]=A2379)*(expected_production[Date]=B2379)*ISNUMBER(expected_production[Expected Production (kWh)]))=0,"",SUMIFS(expected_production[Expected Production (kWh)],expected_production[Site Name],A2379,expected_production[Date],B2379)),"")</f>
        <v>3209.5861821488743</v>
      </c>
      <c r="E2379" s="9">
        <f t="shared" si="74"/>
        <v>1.061819127635415</v>
      </c>
      <c r="F2379" t="str">
        <f t="shared" si="75"/>
        <v>Expected</v>
      </c>
    </row>
    <row r="2380" spans="1:7" ht="15" hidden="1" customHeight="1" x14ac:dyDescent="0.3">
      <c r="A2380" t="s">
        <v>199</v>
      </c>
      <c r="B2380" s="2">
        <v>45352</v>
      </c>
      <c r="C2380" cm="1">
        <f t="array" ref="C2380">IFERROR(IF(SUMPRODUCT((measured[Site Name]=A2380)*(measured[Date]=B2380)*ISNUMBER(measured[Measured Value (kWh)]))=0,"",SUMIFS(measured[Measured Value (kWh)],measured[Site Name],A2380,measured[Date],B2380)),"")</f>
        <v>3131</v>
      </c>
      <c r="D2380" cm="1">
        <f t="array" ref="D2380">IFERROR(IF(SUMPRODUCT((expected_production[Site Name]=A2380)*(expected_production[Date]=B2380)*ISNUMBER(expected_production[Expected Production (kWh)]))=0,"",SUMIFS(expected_production[Expected Production (kWh)],expected_production[Site Name],A2380,expected_production[Date],B2380)),"")</f>
        <v>3465.9534962314337</v>
      </c>
      <c r="E2380" s="9">
        <f t="shared" si="74"/>
        <v>0.90335891794404277</v>
      </c>
      <c r="F2380" t="str">
        <f t="shared" si="75"/>
        <v>Expected</v>
      </c>
    </row>
    <row r="2381" spans="1:7" ht="15" hidden="1" customHeight="1" x14ac:dyDescent="0.3">
      <c r="A2381" t="s">
        <v>199</v>
      </c>
      <c r="B2381" s="2">
        <v>45383</v>
      </c>
      <c r="C2381" cm="1">
        <f t="array" ref="C2381">IFERROR(IF(SUMPRODUCT((measured[Site Name]=A2381)*(measured[Date]=B2381)*ISNUMBER(measured[Measured Value (kWh)]))=0,"",SUMIFS(measured[Measured Value (kWh)],measured[Site Name],A2381,measured[Date],B2381)),"")</f>
        <v>2829</v>
      </c>
      <c r="D2381" cm="1">
        <f t="array" ref="D2381">IFERROR(IF(SUMPRODUCT((expected_production[Site Name]=A2381)*(expected_production[Date]=B2381)*ISNUMBER(expected_production[Expected Production (kWh)]))=0,"",SUMIFS(expected_production[Expected Production (kWh)],expected_production[Site Name],A2381,expected_production[Date],B2381)),"")</f>
        <v>3002.8791067355883</v>
      </c>
      <c r="E2381" s="9">
        <f t="shared" si="74"/>
        <v>0.94209586847982996</v>
      </c>
      <c r="F2381" t="str">
        <f t="shared" si="75"/>
        <v>Expected</v>
      </c>
    </row>
    <row r="2382" spans="1:7" ht="15" hidden="1" customHeight="1" x14ac:dyDescent="0.3">
      <c r="A2382" t="s">
        <v>199</v>
      </c>
      <c r="B2382" s="2">
        <v>45413</v>
      </c>
      <c r="C2382" cm="1">
        <f t="array" ref="C2382">IFERROR(IF(SUMPRODUCT((measured[Site Name]=A2382)*(measured[Date]=B2382)*ISNUMBER(measured[Measured Value (kWh)]))=0,"",SUMIFS(measured[Measured Value (kWh)],measured[Site Name],A2382,measured[Date],B2382)),"")</f>
        <v>3129</v>
      </c>
      <c r="D2382" cm="1">
        <f t="array" ref="D2382">IFERROR(IF(SUMPRODUCT((expected_production[Site Name]=A2382)*(expected_production[Date]=B2382)*ISNUMBER(expected_production[Expected Production (kWh)]))=0,"",SUMIFS(expected_production[Expected Production (kWh)],expected_production[Site Name],A2382,expected_production[Date],B2382)),"")</f>
        <v>3031.2753434171987</v>
      </c>
      <c r="E2382" s="9">
        <f t="shared" si="74"/>
        <v>1.0322387924261063</v>
      </c>
      <c r="F2382" t="str">
        <f t="shared" si="75"/>
        <v>Expected</v>
      </c>
    </row>
    <row r="2383" spans="1:7" ht="15" hidden="1" customHeight="1" x14ac:dyDescent="0.3">
      <c r="A2383" t="s">
        <v>199</v>
      </c>
      <c r="B2383" s="2">
        <v>45444</v>
      </c>
      <c r="C2383" cm="1">
        <f t="array" ref="C2383">IFERROR(IF(SUMPRODUCT((measured[Site Name]=A2383)*(measured[Date]=B2383)*ISNUMBER(measured[Measured Value (kWh)]))=0,"",SUMIFS(measured[Measured Value (kWh)],measured[Site Name],A2383,measured[Date],B2383)),"")</f>
        <v>2591</v>
      </c>
      <c r="D2383" cm="1">
        <f t="array" ref="D2383">IFERROR(IF(SUMPRODUCT((expected_production[Site Name]=A2383)*(expected_production[Date]=B2383)*ISNUMBER(expected_production[Expected Production (kWh)]))=0,"",SUMIFS(expected_production[Expected Production (kWh)],expected_production[Site Name],A2383,expected_production[Date],B2383)),"")</f>
        <v>2775.0728714294351</v>
      </c>
      <c r="E2383" s="9">
        <f t="shared" si="74"/>
        <v>0.93366917556488549</v>
      </c>
      <c r="F2383" t="str">
        <f t="shared" si="75"/>
        <v>Expected</v>
      </c>
    </row>
    <row r="2384" spans="1:7" ht="15" hidden="1" customHeight="1" x14ac:dyDescent="0.3">
      <c r="A2384" t="s">
        <v>199</v>
      </c>
      <c r="B2384" s="2">
        <v>45474</v>
      </c>
      <c r="C2384" cm="1">
        <f t="array" ref="C2384">IFERROR(IF(SUMPRODUCT((measured[Site Name]=A2384)*(measured[Date]=B2384)*ISNUMBER(measured[Measured Value (kWh)]))=0,"",SUMIFS(measured[Measured Value (kWh)],measured[Site Name],A2384,measured[Date],B2384)),"")</f>
        <v>3122</v>
      </c>
      <c r="D2384" cm="1">
        <f t="array" ref="D2384">IFERROR(IF(SUMPRODUCT((expected_production[Site Name]=A2384)*(expected_production[Date]=B2384)*ISNUMBER(expected_production[Expected Production (kWh)]))=0,"",SUMIFS(expected_production[Expected Production (kWh)],expected_production[Site Name],A2384,expected_production[Date],B2384)),"")</f>
        <v>3037.0427030436795</v>
      </c>
      <c r="E2384" s="9">
        <f t="shared" si="74"/>
        <v>1.0279736919310281</v>
      </c>
      <c r="F2384" t="str">
        <f t="shared" si="75"/>
        <v>Expected</v>
      </c>
    </row>
    <row r="2385" spans="1:6" ht="15" hidden="1" customHeight="1" x14ac:dyDescent="0.3">
      <c r="A2385" t="s">
        <v>199</v>
      </c>
      <c r="B2385" s="2">
        <v>45505</v>
      </c>
      <c r="C2385" cm="1">
        <f t="array" ref="C2385">IFERROR(IF(SUMPRODUCT((measured[Site Name]=A2385)*(measured[Date]=B2385)*ISNUMBER(measured[Measured Value (kWh)]))=0,"",SUMIFS(measured[Measured Value (kWh)],measured[Site Name],A2385,measured[Date],B2385)),"")</f>
        <v>2990</v>
      </c>
      <c r="D2385" cm="1">
        <f t="array" ref="D2385">IFERROR(IF(SUMPRODUCT((expected_production[Site Name]=A2385)*(expected_production[Date]=B2385)*ISNUMBER(expected_production[Expected Production (kWh)]))=0,"",SUMIFS(expected_production[Expected Production (kWh)],expected_production[Site Name],A2385,expected_production[Date],B2385)),"")</f>
        <v>3414.9116947621055</v>
      </c>
      <c r="E2385" s="9">
        <f t="shared" si="74"/>
        <v>0.87557168889202963</v>
      </c>
      <c r="F2385" t="str">
        <f t="shared" si="75"/>
        <v>Moderate</v>
      </c>
    </row>
    <row r="2386" spans="1:6" ht="15" hidden="1" customHeight="1" x14ac:dyDescent="0.3">
      <c r="A2386" t="s">
        <v>199</v>
      </c>
      <c r="B2386" s="2">
        <v>45536</v>
      </c>
      <c r="C2386" cm="1">
        <f t="array" ref="C2386">IFERROR(IF(SUMPRODUCT((measured[Site Name]=A2386)*(measured[Date]=B2386)*ISNUMBER(measured[Measured Value (kWh)]))=0,"",SUMIFS(measured[Measured Value (kWh)],measured[Site Name],A2386,measured[Date],B2386)),"")</f>
        <v>2990</v>
      </c>
      <c r="D2386" cm="1">
        <f t="array" ref="D2386">IFERROR(IF(SUMPRODUCT((expected_production[Site Name]=A2386)*(expected_production[Date]=B2386)*ISNUMBER(expected_production[Expected Production (kWh)]))=0,"",SUMIFS(expected_production[Expected Production (kWh)],expected_production[Site Name],A2386,expected_production[Date],B2386)),"")</f>
        <v>3639.5510132191048</v>
      </c>
      <c r="E2386" s="9">
        <f t="shared" si="74"/>
        <v>0.82152990551310046</v>
      </c>
      <c r="F2386" t="str">
        <f t="shared" si="75"/>
        <v>Moderate</v>
      </c>
    </row>
    <row r="2387" spans="1:6" ht="15" hidden="1" customHeight="1" x14ac:dyDescent="0.3">
      <c r="A2387" t="s">
        <v>199</v>
      </c>
      <c r="B2387" s="2">
        <v>45566</v>
      </c>
      <c r="C2387" cm="1">
        <f t="array" ref="C2387">IFERROR(IF(SUMPRODUCT((measured[Site Name]=A2387)*(measured[Date]=B2387)*ISNUMBER(measured[Measured Value (kWh)]))=0,"",SUMIFS(measured[Measured Value (kWh)],measured[Site Name],A2387,measured[Date],B2387)),"")</f>
        <v>4061</v>
      </c>
      <c r="D2387" cm="1">
        <f t="array" ref="D2387">IFERROR(IF(SUMPRODUCT((expected_production[Site Name]=A2387)*(expected_production[Date]=B2387)*ISNUMBER(expected_production[Expected Production (kWh)]))=0,"",SUMIFS(expected_production[Expected Production (kWh)],expected_production[Site Name],A2387,expected_production[Date],B2387)),"")</f>
        <v>3809.3378938372666</v>
      </c>
      <c r="E2387" s="9">
        <f t="shared" si="74"/>
        <v>1.0660645270060898</v>
      </c>
      <c r="F2387" t="str">
        <f t="shared" si="75"/>
        <v>Expected</v>
      </c>
    </row>
    <row r="2388" spans="1:6" ht="15" hidden="1" customHeight="1" x14ac:dyDescent="0.3">
      <c r="A2388" t="s">
        <v>199</v>
      </c>
      <c r="B2388" s="2">
        <v>45597</v>
      </c>
      <c r="C2388" cm="1">
        <f t="array" ref="C2388">IFERROR(IF(SUMPRODUCT((measured[Site Name]=A2388)*(measured[Date]=B2388)*ISNUMBER(measured[Measured Value (kWh)]))=0,"",SUMIFS(measured[Measured Value (kWh)],measured[Site Name],A2388,measured[Date],B2388)),"")</f>
        <v>3991</v>
      </c>
      <c r="D2388" cm="1">
        <f t="array" ref="D2388">IFERROR(IF(SUMPRODUCT((expected_production[Site Name]=A2388)*(expected_production[Date]=B2388)*ISNUMBER(expected_production[Expected Production (kWh)]))=0,"",SUMIFS(expected_production[Expected Production (kWh)],expected_production[Site Name],A2388,expected_production[Date],B2388)),"")</f>
        <v>3644.3634816153444</v>
      </c>
      <c r="E2388" s="9">
        <f t="shared" si="74"/>
        <v>1.0951157918614118</v>
      </c>
      <c r="F2388" t="str">
        <f t="shared" si="75"/>
        <v>Expected</v>
      </c>
    </row>
    <row r="2389" spans="1:6" ht="15" hidden="1" customHeight="1" x14ac:dyDescent="0.3">
      <c r="A2389" t="s">
        <v>199</v>
      </c>
      <c r="B2389" s="2">
        <v>45627</v>
      </c>
      <c r="C2389" cm="1">
        <f t="array" ref="C2389">IFERROR(IF(SUMPRODUCT((measured[Site Name]=A2389)*(measured[Date]=B2389)*ISNUMBER(measured[Measured Value (kWh)]))=0,"",SUMIFS(measured[Measured Value (kWh)],measured[Site Name],A2389,measured[Date],B2389)),"")</f>
        <v>3569</v>
      </c>
      <c r="D2389" cm="1">
        <f t="array" ref="D2389">IFERROR(IF(SUMPRODUCT((expected_production[Site Name]=A2389)*(expected_production[Date]=B2389)*ISNUMBER(expected_production[Expected Production (kWh)]))=0,"",SUMIFS(expected_production[Expected Production (kWh)],expected_production[Site Name],A2389,expected_production[Date],B2389)),"")</f>
        <v>3918.8156642387385</v>
      </c>
      <c r="E2389" s="9">
        <f t="shared" si="74"/>
        <v>0.91073434062464564</v>
      </c>
      <c r="F2389" t="str">
        <f t="shared" si="75"/>
        <v>Expected</v>
      </c>
    </row>
    <row r="2390" spans="1:6" ht="15" hidden="1" customHeight="1" x14ac:dyDescent="0.3">
      <c r="A2390" t="s">
        <v>199</v>
      </c>
      <c r="B2390" s="2">
        <v>45658</v>
      </c>
      <c r="C2390" cm="1">
        <f t="array" ref="C2390">IFERROR(IF(SUMPRODUCT((measured[Site Name]=A2390)*(measured[Date]=B2390)*ISNUMBER(measured[Measured Value (kWh)]))=0,"",SUMIFS(measured[Measured Value (kWh)],measured[Site Name],A2390,measured[Date],B2390)),"")</f>
        <v>3838</v>
      </c>
      <c r="D2390" cm="1">
        <f t="array" ref="D2390">IFERROR(IF(SUMPRODUCT((expected_production[Site Name]=A2390)*(expected_production[Date]=B2390)*ISNUMBER(expected_production[Expected Production (kWh)]))=0,"",SUMIFS(expected_production[Expected Production (kWh)],expected_production[Site Name],A2390,expected_production[Date],B2390)),"")</f>
        <v>3690.4827707115087</v>
      </c>
      <c r="E2390" s="9">
        <f t="shared" ref="E2390:E2453" si="76">IF(OR(C2390="",D2390="",D2390=0),"",C2390/D2390)</f>
        <v>1.0399723392449414</v>
      </c>
      <c r="F2390" t="str">
        <f t="shared" ref="F2390:F2453" si="77">IF(E2390="","",IF(E2390&gt;=0.9,"Expected",IF(E2390&gt;=0.7,"Moderate","Poor")))</f>
        <v>Expected</v>
      </c>
    </row>
    <row r="2391" spans="1:6" ht="15" hidden="1" customHeight="1" x14ac:dyDescent="0.3">
      <c r="A2391" t="s">
        <v>199</v>
      </c>
      <c r="B2391" s="2">
        <v>45689</v>
      </c>
      <c r="C2391" cm="1">
        <f t="array" ref="C2391">IFERROR(IF(SUMPRODUCT((measured[Site Name]=A2391)*(measured[Date]=B2391)*ISNUMBER(measured[Measured Value (kWh)]))=0,"",SUMIFS(measured[Measured Value (kWh)],measured[Site Name],A2391,measured[Date],B2391)),"")</f>
        <v>2653</v>
      </c>
      <c r="D2391" cm="1">
        <f t="array" ref="D2391">IFERROR(IF(SUMPRODUCT((expected_production[Site Name]=A2391)*(expected_production[Date]=B2391)*ISNUMBER(expected_production[Expected Production (kWh)]))=0,"",SUMIFS(expected_production[Expected Production (kWh)],expected_production[Site Name],A2391,expected_production[Date],B2391)),"")</f>
        <v>3187.0731073690663</v>
      </c>
      <c r="E2391" s="9">
        <f t="shared" si="76"/>
        <v>0.8324252097844268</v>
      </c>
      <c r="F2391" t="str">
        <f t="shared" si="77"/>
        <v>Moderate</v>
      </c>
    </row>
    <row r="2392" spans="1:6" ht="15" hidden="1" customHeight="1" x14ac:dyDescent="0.3">
      <c r="A2392" t="s">
        <v>199</v>
      </c>
      <c r="B2392" s="2">
        <v>45717</v>
      </c>
      <c r="C2392" cm="1">
        <f t="array" ref="C2392">IFERROR(IF(SUMPRODUCT((measured[Site Name]=A2392)*(measured[Date]=B2392)*ISNUMBER(measured[Measured Value (kWh)]))=0,"",SUMIFS(measured[Measured Value (kWh)],measured[Site Name],A2392,measured[Date],B2392)),"")</f>
        <v>2925</v>
      </c>
      <c r="D2392" cm="1">
        <f t="array" ref="D2392">IFERROR(IF(SUMPRODUCT((expected_production[Site Name]=A2392)*(expected_production[Date]=B2392)*ISNUMBER(expected_production[Expected Production (kWh)]))=0,"",SUMIFS(expected_production[Expected Production (kWh)],expected_production[Site Name],A2392,expected_production[Date],B2392)),"")</f>
        <v>3441.7083697509015</v>
      </c>
      <c r="E2392" s="9">
        <f t="shared" si="76"/>
        <v>0.84986863666537238</v>
      </c>
      <c r="F2392" t="str">
        <f t="shared" si="77"/>
        <v>Moderate</v>
      </c>
    </row>
    <row r="2393" spans="1:6" ht="15" hidden="1" customHeight="1" x14ac:dyDescent="0.3">
      <c r="A2393" t="s">
        <v>199</v>
      </c>
      <c r="B2393" s="2">
        <v>45748</v>
      </c>
      <c r="C2393" cm="1">
        <f t="array" ref="C2393">IFERROR(IF(SUMPRODUCT((measured[Site Name]=A2393)*(measured[Date]=B2393)*ISNUMBER(measured[Measured Value (kWh)]))=0,"",SUMIFS(measured[Measured Value (kWh)],measured[Site Name],A2393,measured[Date],B2393)),"")</f>
        <v>2246</v>
      </c>
      <c r="D2393" cm="1">
        <f t="array" ref="D2393">IFERROR(IF(SUMPRODUCT((expected_production[Site Name]=A2393)*(expected_production[Date]=B2393)*ISNUMBER(expected_production[Expected Production (kWh)]))=0,"",SUMIFS(expected_production[Expected Production (kWh)],expected_production[Site Name],A2393,expected_production[Date],B2393)),"")</f>
        <v>2981.873290059827</v>
      </c>
      <c r="E2393" s="9">
        <f t="shared" si="76"/>
        <v>0.75321778678091889</v>
      </c>
      <c r="F2393" t="str">
        <f t="shared" si="77"/>
        <v>Moderate</v>
      </c>
    </row>
    <row r="2394" spans="1:6" ht="15" hidden="1" customHeight="1" x14ac:dyDescent="0.3">
      <c r="A2394" t="s">
        <v>199</v>
      </c>
      <c r="B2394" s="2">
        <v>45778</v>
      </c>
      <c r="C2394" cm="1">
        <f t="array" ref="C2394">IFERROR(IF(SUMPRODUCT((measured[Site Name]=A2394)*(measured[Date]=B2394)*ISNUMBER(measured[Measured Value (kWh)]))=0,"",SUMIFS(measured[Measured Value (kWh)],measured[Site Name],A2394,measured[Date],B2394)),"")</f>
        <v>3149</v>
      </c>
      <c r="D2394" cm="1">
        <f t="array" ref="D2394">IFERROR(IF(SUMPRODUCT((expected_production[Site Name]=A2394)*(expected_production[Date]=B2394)*ISNUMBER(expected_production[Expected Production (kWh)]))=0,"",SUMIFS(expected_production[Expected Production (kWh)],expected_production[Site Name],A2394,expected_production[Date],B2394)),"")</f>
        <v>3010.0708886608436</v>
      </c>
      <c r="E2394" s="9">
        <f t="shared" si="76"/>
        <v>1.0461547639500826</v>
      </c>
      <c r="F2394" t="str">
        <f t="shared" si="77"/>
        <v>Expected</v>
      </c>
    </row>
    <row r="2395" spans="1:6" ht="15" hidden="1" customHeight="1" x14ac:dyDescent="0.3">
      <c r="A2395" t="s">
        <v>199</v>
      </c>
      <c r="B2395" s="2">
        <v>45809</v>
      </c>
      <c r="C2395" cm="1">
        <f t="array" ref="C2395">IFERROR(IF(SUMPRODUCT((measured[Site Name]=A2395)*(measured[Date]=B2395)*ISNUMBER(measured[Measured Value (kWh)]))=0,"",SUMIFS(measured[Measured Value (kWh)],measured[Site Name],A2395,measured[Date],B2395)),"")</f>
        <v>2654.45</v>
      </c>
      <c r="D2395" cm="1">
        <f t="array" ref="D2395">IFERROR(IF(SUMPRODUCT((expected_production[Site Name]=A2395)*(expected_production[Date]=B2395)*ISNUMBER(expected_production[Expected Production (kWh)]))=0,"",SUMIFS(expected_production[Expected Production (kWh)],expected_production[Site Name],A2395,expected_production[Date],B2395)),"")</f>
        <v>2755.6606107532152</v>
      </c>
      <c r="E2395" s="9">
        <f t="shared" si="76"/>
        <v>0.96327174313183972</v>
      </c>
      <c r="F2395" t="str">
        <f t="shared" si="77"/>
        <v>Expected</v>
      </c>
    </row>
    <row r="2396" spans="1:6" ht="15" hidden="1" customHeight="1" x14ac:dyDescent="0.3">
      <c r="A2396" t="s">
        <v>199</v>
      </c>
      <c r="B2396" s="2">
        <v>45839</v>
      </c>
      <c r="C2396" cm="1">
        <f t="array" ref="C2396">IFERROR(IF(SUMPRODUCT((measured[Site Name]=A2396)*(measured[Date]=B2396)*ISNUMBER(measured[Measured Value (kWh)]))=0,"",SUMIFS(measured[Measured Value (kWh)],measured[Site Name],A2396,measured[Date],B2396)),"")</f>
        <v>2863</v>
      </c>
      <c r="D2396" cm="1">
        <f t="array" ref="D2396">IFERROR(IF(SUMPRODUCT((expected_production[Site Name]=A2396)*(expected_production[Date]=B2396)*ISNUMBER(expected_production[Expected Production (kWh)]))=0,"",SUMIFS(expected_production[Expected Production (kWh)],expected_production[Site Name],A2396,expected_production[Date],B2396)),"")</f>
        <v>3015.7979043058617</v>
      </c>
      <c r="E2396" s="9">
        <f t="shared" si="76"/>
        <v>0.94933416987666785</v>
      </c>
      <c r="F2396" t="str">
        <f t="shared" si="77"/>
        <v>Expected</v>
      </c>
    </row>
    <row r="2397" spans="1:6" ht="15" hidden="1" customHeight="1" x14ac:dyDescent="0.3">
      <c r="A2397" t="s">
        <v>199</v>
      </c>
      <c r="B2397" s="2">
        <v>45870</v>
      </c>
      <c r="C2397" cm="1">
        <f t="array" ref="C2397">IFERROR(IF(SUMPRODUCT((measured[Site Name]=A2397)*(measured[Date]=B2397)*ISNUMBER(measured[Measured Value (kWh)]))=0,"",SUMIFS(measured[Measured Value (kWh)],measured[Site Name],A2397,measured[Date],B2397)),"")</f>
        <v>3192</v>
      </c>
      <c r="D2397" cm="1">
        <f t="array" ref="D2397">IFERROR(IF(SUMPRODUCT((expected_production[Site Name]=A2397)*(expected_production[Date]=B2397)*ISNUMBER(expected_production[Expected Production (kWh)]))=0,"",SUMIFS(expected_production[Expected Production (kWh)],expected_production[Site Name],A2397,expected_production[Date],B2397)),"")</f>
        <v>3391.0236171957504</v>
      </c>
      <c r="E2397" s="9">
        <f t="shared" si="76"/>
        <v>0.94130869033571185</v>
      </c>
      <c r="F2397" t="str">
        <f t="shared" si="77"/>
        <v>Expected</v>
      </c>
    </row>
    <row r="2398" spans="1:6" ht="15" hidden="1" customHeight="1" x14ac:dyDescent="0.3">
      <c r="A2398" t="s">
        <v>199</v>
      </c>
      <c r="B2398" s="2">
        <v>45901</v>
      </c>
      <c r="C2398" cm="1">
        <f t="array" ref="C2398">IFERROR(IF(SUMPRODUCT((measured[Site Name]=A2398)*(measured[Date]=B2398)*ISNUMBER(measured[Measured Value (kWh)]))=0,"",SUMIFS(measured[Measured Value (kWh)],measured[Site Name],A2398,measured[Date],B2398)),"")</f>
        <v>3092</v>
      </c>
      <c r="D2398" cm="1">
        <f t="array" ref="D2398">IFERROR(IF(SUMPRODUCT((expected_production[Site Name]=A2398)*(expected_production[Date]=B2398)*ISNUMBER(expected_production[Expected Production (kWh)]))=0,"",SUMIFS(expected_production[Expected Production (kWh)],expected_production[Site Name],A2398,expected_production[Date],B2398)),"")</f>
        <v>3614.0915329508925</v>
      </c>
      <c r="E2398" s="9">
        <f t="shared" si="76"/>
        <v>0.85554003594241934</v>
      </c>
      <c r="F2398" t="str">
        <f t="shared" si="77"/>
        <v>Moderate</v>
      </c>
    </row>
    <row r="2399" spans="1:6" ht="15" hidden="1" customHeight="1" x14ac:dyDescent="0.3">
      <c r="A2399" t="s">
        <v>199</v>
      </c>
      <c r="B2399" s="2">
        <v>45931</v>
      </c>
      <c r="C2399" cm="1">
        <f t="array" ref="C2399">IFERROR(IF(SUMPRODUCT((measured[Site Name]=A2399)*(measured[Date]=B2399)*ISNUMBER(measured[Measured Value (kWh)]))=0,"",SUMIFS(measured[Measured Value (kWh)],measured[Site Name],A2399,measured[Date],B2399)),"")</f>
        <v>3600</v>
      </c>
      <c r="D2399" cm="1">
        <f t="array" ref="D2399">IFERROR(IF(SUMPRODUCT((expected_production[Site Name]=A2399)*(expected_production[Date]=B2399)*ISNUMBER(expected_production[Expected Production (kWh)]))=0,"",SUMIFS(expected_production[Expected Production (kWh)],expected_production[Site Name],A2399,expected_production[Date],B2399)),"")</f>
        <v>3782.6907160422993</v>
      </c>
      <c r="E2399" s="9">
        <f t="shared" si="76"/>
        <v>0.95170350161922768</v>
      </c>
      <c r="F2399" t="str">
        <f t="shared" si="77"/>
        <v>Expected</v>
      </c>
    </row>
    <row r="2400" spans="1:6" ht="15" hidden="1" customHeight="1" x14ac:dyDescent="0.3">
      <c r="A2400" t="s">
        <v>199</v>
      </c>
      <c r="B2400" s="2">
        <v>45962</v>
      </c>
      <c r="C2400" cm="1">
        <f t="array" ref="C2400">IFERROR(IF(SUMPRODUCT((measured[Site Name]=A2400)*(measured[Date]=B2400)*ISNUMBER(measured[Measured Value (kWh)]))=0,"",SUMIFS(measured[Measured Value (kWh)],measured[Site Name],A2400,measured[Date],B2400)),"")</f>
        <v>2755</v>
      </c>
      <c r="D2400" cm="1">
        <f t="array" ref="D2400">IFERROR(IF(SUMPRODUCT((expected_production[Site Name]=A2400)*(expected_production[Date]=B2400)*ISNUMBER(expected_production[Expected Production (kWh)]))=0,"",SUMIFS(expected_production[Expected Production (kWh)],expected_production[Site Name],A2400,expected_production[Date],B2400)),"")</f>
        <v>3618.8703370452081</v>
      </c>
      <c r="E2400" s="9">
        <f t="shared" si="76"/>
        <v>0.76128729227956959</v>
      </c>
      <c r="F2400" t="str">
        <f t="shared" si="77"/>
        <v>Moderate</v>
      </c>
    </row>
    <row r="2401" spans="1:7" ht="15" hidden="1" customHeight="1" x14ac:dyDescent="0.3">
      <c r="A2401" t="s">
        <v>199</v>
      </c>
      <c r="B2401" s="2">
        <v>45992</v>
      </c>
      <c r="C2401" cm="1">
        <f t="array" ref="C2401">IFERROR(IF(SUMPRODUCT((measured[Site Name]=A2401)*(measured[Date]=B2401)*ISNUMBER(measured[Measured Value (kWh)]))=0,"",SUMIFS(measured[Measured Value (kWh)],measured[Site Name],A2401,measured[Date],B2401)),"")</f>
        <v>3248</v>
      </c>
      <c r="D2401" cm="1">
        <f t="array" ref="D2401">IFERROR(IF(SUMPRODUCT((expected_production[Site Name]=A2401)*(expected_production[Date]=B2401)*ISNUMBER(expected_production[Expected Production (kWh)]))=0,"",SUMIFS(expected_production[Expected Production (kWh)],expected_production[Site Name],A2401,expected_production[Date],B2401)),"")</f>
        <v>3891.4026647461983</v>
      </c>
      <c r="E2401" s="9">
        <f t="shared" si="76"/>
        <v>0.83466047588057513</v>
      </c>
      <c r="F2401" t="str">
        <f t="shared" si="77"/>
        <v>Moderate</v>
      </c>
    </row>
    <row r="2402" spans="1:7" ht="15" hidden="1" customHeight="1" x14ac:dyDescent="0.3">
      <c r="A2402" t="s">
        <v>199</v>
      </c>
      <c r="B2402" s="2">
        <v>46023</v>
      </c>
      <c r="C2402" cm="1">
        <f t="array" ref="C2402">IFERROR(IF(SUMPRODUCT((measured[Site Name]=A2402)*(measured[Date]=B2402)*ISNUMBER(measured[Measured Value (kWh)]))=0,"",SUMIFS(measured[Measured Value (kWh)],measured[Site Name],A2402,measured[Date],B2402)),"")</f>
        <v>3546</v>
      </c>
      <c r="D2402" cm="1">
        <f t="array" ref="D2402">IFERROR(IF(SUMPRODUCT((expected_production[Site Name]=A2402)*(expected_production[Date]=B2402)*ISNUMBER(expected_production[Expected Production (kWh)]))=0,"",SUMIFS(expected_production[Expected Production (kWh)],expected_production[Site Name],A2402,expected_production[Date],B2402)),"")</f>
        <v>3664.6670113115588</v>
      </c>
      <c r="E2402" s="9">
        <f t="shared" si="76"/>
        <v>0.96761861010965666</v>
      </c>
      <c r="F2402" t="str">
        <f t="shared" si="77"/>
        <v>Expected</v>
      </c>
    </row>
    <row r="2403" spans="1:7" ht="15" hidden="1" customHeight="1" x14ac:dyDescent="0.3">
      <c r="A2403" t="s">
        <v>199</v>
      </c>
      <c r="B2403" s="2">
        <v>46054</v>
      </c>
      <c r="C2403" cm="1">
        <f t="array" ref="C2403">IFERROR(IF(SUMPRODUCT((measured[Site Name]=A2403)*(measured[Date]=B2403)*ISNUMBER(measured[Measured Value (kWh)]))=0,"",SUMIFS(measured[Measured Value (kWh)],measured[Site Name],A2403,measured[Date],B2403)),"")</f>
        <v>3398</v>
      </c>
      <c r="D2403" cm="1">
        <f t="array" ref="D2403">IFERROR(IF(SUMPRODUCT((expected_production[Site Name]=A2403)*(expected_production[Date]=B2403)*ISNUMBER(expected_production[Expected Production (kWh)]))=0,"",SUMIFS(expected_production[Expected Production (kWh)],expected_production[Site Name],A2403,expected_production[Date],B2403)),"")</f>
        <v>3164.7788121123981</v>
      </c>
      <c r="E2403" s="9">
        <f t="shared" si="76"/>
        <v>1.0736927291711529</v>
      </c>
      <c r="F2403" t="str">
        <f t="shared" si="77"/>
        <v>Expected</v>
      </c>
    </row>
    <row r="2404" spans="1:7" ht="15" hidden="1" customHeight="1" x14ac:dyDescent="0.3">
      <c r="A2404" t="s">
        <v>199</v>
      </c>
      <c r="B2404" s="2">
        <v>46082</v>
      </c>
      <c r="C2404" cm="1">
        <f t="array" ref="C2404">IFERROR(IF(SUMPRODUCT((measured[Site Name]=A2404)*(measured[Date]=B2404)*ISNUMBER(measured[Measured Value (kWh)]))=0,"",SUMIFS(measured[Measured Value (kWh)],measured[Site Name],A2404,measured[Date],B2404)),"")</f>
        <v>2638</v>
      </c>
      <c r="D2404" cm="1">
        <f t="array" ref="D2404">IFERROR(IF(SUMPRODUCT((expected_production[Site Name]=A2404)*(expected_production[Date]=B2404)*ISNUMBER(expected_production[Expected Production (kWh)]))=0,"",SUMIFS(expected_production[Expected Production (kWh)],expected_production[Site Name],A2404,expected_production[Date],B2404)),"")</f>
        <v>3417.6328433987883</v>
      </c>
      <c r="E2404" s="9">
        <f t="shared" si="76"/>
        <v>0.77187928630055702</v>
      </c>
      <c r="F2404" t="str">
        <f t="shared" si="77"/>
        <v>Moderate</v>
      </c>
    </row>
    <row r="2405" spans="1:7" ht="15" hidden="1" customHeight="1" x14ac:dyDescent="0.3">
      <c r="A2405" t="s">
        <v>199</v>
      </c>
      <c r="B2405" s="2">
        <v>46113</v>
      </c>
      <c r="C2405" cm="1">
        <f t="array" ref="C2405">IFERROR(IF(SUMPRODUCT((measured[Site Name]=A2405)*(measured[Date]=B2405)*ISNUMBER(measured[Measured Value (kWh)]))=0,"",SUMIFS(measured[Measured Value (kWh)],measured[Site Name],A2405,measured[Date],B2405)),"")</f>
        <v>2034.35</v>
      </c>
      <c r="D2405" cm="1">
        <f t="array" ref="D2405">IFERROR(IF(SUMPRODUCT((expected_production[Site Name]=A2405)*(expected_production[Date]=B2405)*ISNUMBER(expected_production[Expected Production (kWh)]))=0,"",SUMIFS(expected_production[Expected Production (kWh)],expected_production[Site Name],A2405,expected_production[Date],B2405)),"")</f>
        <v>2961.0144138097471</v>
      </c>
      <c r="E2405" s="9">
        <f t="shared" si="76"/>
        <v>0.68704495003877153</v>
      </c>
      <c r="F2405" t="str">
        <f t="shared" si="77"/>
        <v>Poor</v>
      </c>
    </row>
    <row r="2406" spans="1:7" ht="15" hidden="1" customHeight="1" x14ac:dyDescent="0.3">
      <c r="A2406" t="s">
        <v>199</v>
      </c>
      <c r="B2406" s="2">
        <v>46143</v>
      </c>
      <c r="C2406" cm="1">
        <f t="array" ref="C2406">IFERROR(IF(SUMPRODUCT((measured[Site Name]=A2406)*(measured[Date]=B2406)*ISNUMBER(measured[Measured Value (kWh)]))=0,"",SUMIFS(measured[Measured Value (kWh)],measured[Site Name],A2406,measured[Date],B2406)),"")</f>
        <v>2231.41</v>
      </c>
      <c r="D2406" cm="1">
        <f t="array" ref="D2406">IFERROR(IF(SUMPRODUCT((expected_production[Site Name]=A2406)*(expected_production[Date]=B2406)*ISNUMBER(expected_production[Expected Production (kWh)]))=0,"",SUMIFS(expected_production[Expected Production (kWh)],expected_production[Site Name],A2406,expected_production[Date],B2406)),"")</f>
        <v>2989.0147638483495</v>
      </c>
      <c r="E2406" s="9">
        <f t="shared" si="76"/>
        <v>0.74653696160639393</v>
      </c>
      <c r="F2406" t="str">
        <f t="shared" si="77"/>
        <v>Moderate</v>
      </c>
    </row>
    <row r="2407" spans="1:7" ht="15" hidden="1" customHeight="1" x14ac:dyDescent="0.3">
      <c r="A2407" t="s">
        <v>199</v>
      </c>
      <c r="B2407" s="2">
        <v>46174</v>
      </c>
      <c r="C2407" cm="1">
        <f t="array" ref="C2407">IFERROR(IF(SUMPRODUCT((measured[Site Name]=A2407)*(measured[Date]=B2407)*ISNUMBER(measured[Measured Value (kWh)]))=0,"",SUMIFS(measured[Measured Value (kWh)],measured[Site Name],A2407,measured[Date],B2407)),"")</f>
        <v>1788</v>
      </c>
      <c r="D2407" cm="1">
        <f t="array" ref="D2407">IFERROR(IF(SUMPRODUCT((expected_production[Site Name]=A2407)*(expected_production[Date]=B2407)*ISNUMBER(expected_production[Expected Production (kWh)]))=0,"",SUMIFS(expected_production[Expected Production (kWh)],expected_production[Site Name],A2407,expected_production[Date],B2407)),"")</f>
        <v>2736.3841432190206</v>
      </c>
      <c r="E2407" s="9">
        <f t="shared" si="76"/>
        <v>0.65341703007262608</v>
      </c>
      <c r="F2407" t="str">
        <f t="shared" si="77"/>
        <v>Poor</v>
      </c>
    </row>
    <row r="2408" spans="1:7" ht="15" hidden="1" customHeight="1" x14ac:dyDescent="0.3">
      <c r="A2408" t="s">
        <v>213</v>
      </c>
      <c r="B2408" s="2">
        <v>46204</v>
      </c>
      <c r="C2408" cm="1">
        <f t="array" ref="C2408">IFERROR(IF(SUMPRODUCT((measured[Site Name]=A2408)*(measured[Date]=B2408)*ISNUMBER(measured[Measured Value (kWh)]))=0,"",SUMIFS(measured[Measured Value (kWh)],measured[Site Name],A2408,measured[Date],B2408)),"")</f>
        <v>2899</v>
      </c>
      <c r="D2408" cm="1">
        <f t="array" ref="D2408">IFERROR(IF(SUMPRODUCT((expected_production[Site Name]=A2408)*(expected_production[Date]=B2408)*ISNUMBER(expected_production[Expected Production (kWh)]))=0,"",SUMIFS(expected_production[Expected Production (kWh)],expected_production[Site Name],A2408,expected_production[Date],B2408)),"")</f>
        <v>6049.9370889112515</v>
      </c>
      <c r="E2408" s="9">
        <f t="shared" si="76"/>
        <v>0.47917853646998915</v>
      </c>
      <c r="F2408" t="str">
        <f t="shared" si="77"/>
        <v>Poor</v>
      </c>
      <c r="G2408" t="s">
        <v>875</v>
      </c>
    </row>
    <row r="2409" spans="1:7" ht="15" hidden="1" customHeight="1" x14ac:dyDescent="0.3">
      <c r="A2409" t="s">
        <v>199</v>
      </c>
      <c r="B2409" s="2">
        <v>46235</v>
      </c>
      <c r="C2409" cm="1">
        <f t="array" ref="C2409">IFERROR(IF(SUMPRODUCT((measured[Site Name]=A2409)*(measured[Date]=B2409)*ISNUMBER(measured[Measured Value (kWh)]))=0,"",SUMIFS(measured[Measured Value (kWh)],measured[Site Name],A2409,measured[Date],B2409)),"")</f>
        <v>3050</v>
      </c>
      <c r="D2409" cm="1">
        <f t="array" ref="D2409">IFERROR(IF(SUMPRODUCT((expected_production[Site Name]=A2409)*(expected_production[Date]=B2409)*ISNUMBER(expected_production[Expected Production (kWh)]))=0,"",SUMIFS(expected_production[Expected Production (kWh)],expected_production[Site Name],A2409,expected_production[Date],B2409)),"")</f>
        <v>3367.3026421201248</v>
      </c>
      <c r="E2409" s="9">
        <f t="shared" si="76"/>
        <v>0.90576949094176329</v>
      </c>
      <c r="F2409" t="str">
        <f t="shared" si="77"/>
        <v>Expected</v>
      </c>
      <c r="G2409" t="s">
        <v>874</v>
      </c>
    </row>
    <row r="2410" spans="1:7" ht="15" customHeight="1" x14ac:dyDescent="0.3">
      <c r="A2410" t="s">
        <v>220</v>
      </c>
      <c r="B2410" s="2">
        <v>46266</v>
      </c>
      <c r="C2410" cm="1">
        <f t="array" ref="C2410">IFERROR(IF(SUMPRODUCT((measured[Site Name]=A2410)*(measured[Date]=B2410)*ISNUMBER(measured[Measured Value (kWh)]))=0,"",SUMIFS(measured[Measured Value (kWh)],measured[Site Name],A2410,measured[Date],B2410)),"")</f>
        <v>35252.918700000002</v>
      </c>
      <c r="D2410" cm="1">
        <f t="array" ref="D2410">IFERROR(IF(SUMPRODUCT((expected_production[Site Name]=A2410)*(expected_production[Date]=B2410)*ISNUMBER(expected_production[Expected Production (kWh)]))=0,"",SUMIFS(expected_production[Expected Production (kWh)],expected_production[Site Name],A2410,expected_production[Date],B2410)),"")</f>
        <v>40510.76372290984</v>
      </c>
      <c r="E2410" s="9">
        <f t="shared" si="76"/>
        <v>0.87021116020243294</v>
      </c>
      <c r="F2410" t="str">
        <f t="shared" si="77"/>
        <v>Moderate</v>
      </c>
      <c r="G2410" t="s">
        <v>874</v>
      </c>
    </row>
    <row r="2411" spans="1:7" ht="15" hidden="1" customHeight="1" x14ac:dyDescent="0.3">
      <c r="A2411" t="s">
        <v>199</v>
      </c>
      <c r="B2411" s="2">
        <v>46296</v>
      </c>
      <c r="C2411" t="str" cm="1">
        <f t="array" ref="C2411">IFERROR(IF(SUMPRODUCT((measured[Site Name]=A2411)*(measured[Date]=B2411)*ISNUMBER(measured[Measured Value (kWh)]))=0,"",SUMIFS(measured[Measured Value (kWh)],measured[Site Name],A2411,measured[Date],B2411)),"")</f>
        <v/>
      </c>
      <c r="D2411" cm="1">
        <f t="array" ref="D2411">IFERROR(IF(SUMPRODUCT((expected_production[Site Name]=A2411)*(expected_production[Date]=B2411)*ISNUMBER(expected_production[Expected Production (kWh)]))=0,"",SUMIFS(expected_production[Expected Production (kWh)],expected_production[Site Name],A2411,expected_production[Date],B2411)),"")</f>
        <v>3756.2299412664979</v>
      </c>
      <c r="E2411" s="9" t="str">
        <f t="shared" si="76"/>
        <v/>
      </c>
      <c r="F2411" t="str">
        <f t="shared" si="77"/>
        <v/>
      </c>
    </row>
    <row r="2412" spans="1:7" ht="15" hidden="1" customHeight="1" x14ac:dyDescent="0.3">
      <c r="A2412" t="s">
        <v>199</v>
      </c>
      <c r="B2412" s="2">
        <v>46327</v>
      </c>
      <c r="C2412" t="str" cm="1">
        <f t="array" ref="C2412">IFERROR(IF(SUMPRODUCT((measured[Site Name]=A2412)*(measured[Date]=B2412)*ISNUMBER(measured[Measured Value (kWh)]))=0,"",SUMIFS(measured[Measured Value (kWh)],measured[Site Name],A2412,measured[Date],B2412)),"")</f>
        <v/>
      </c>
      <c r="D2412" cm="1">
        <f t="array" ref="D2412">IFERROR(IF(SUMPRODUCT((expected_production[Site Name]=A2412)*(expected_production[Date]=B2412)*ISNUMBER(expected_production[Expected Production (kWh)]))=0,"",SUMIFS(expected_production[Expected Production (kWh)],expected_production[Site Name],A2412,expected_production[Date],B2412)),"")</f>
        <v>3593.555522771529</v>
      </c>
      <c r="E2412" s="9" t="str">
        <f t="shared" si="76"/>
        <v/>
      </c>
      <c r="F2412" t="str">
        <f t="shared" si="77"/>
        <v/>
      </c>
    </row>
    <row r="2413" spans="1:7" ht="15" hidden="1" customHeight="1" x14ac:dyDescent="0.3">
      <c r="A2413" t="s">
        <v>199</v>
      </c>
      <c r="B2413" s="2">
        <v>46357</v>
      </c>
      <c r="C2413" t="str" cm="1">
        <f t="array" ref="C2413">IFERROR(IF(SUMPRODUCT((measured[Site Name]=A2413)*(measured[Date]=B2413)*ISNUMBER(measured[Measured Value (kWh)]))=0,"",SUMIFS(measured[Measured Value (kWh)],measured[Site Name],A2413,measured[Date],B2413)),"")</f>
        <v/>
      </c>
      <c r="D2413" cm="1">
        <f t="array" ref="D2413">IFERROR(IF(SUMPRODUCT((expected_production[Site Name]=A2413)*(expected_production[Date]=B2413)*ISNUMBER(expected_production[Expected Production (kWh)]))=0,"",SUMIFS(expected_production[Expected Production (kWh)],expected_production[Site Name],A2413,expected_production[Date],B2413)),"")</f>
        <v>3864.1814253683365</v>
      </c>
      <c r="E2413" s="9" t="str">
        <f t="shared" si="76"/>
        <v/>
      </c>
      <c r="F2413" t="str">
        <f t="shared" si="77"/>
        <v/>
      </c>
    </row>
    <row r="2414" spans="1:7" ht="15" hidden="1" customHeight="1" x14ac:dyDescent="0.3">
      <c r="A2414" t="s">
        <v>192</v>
      </c>
      <c r="B2414" s="2">
        <v>45292</v>
      </c>
      <c r="C2414" t="str" cm="1">
        <f t="array" ref="C2414">IFERROR(IF(SUMPRODUCT((measured[Site Name]=A2414)*(measured[Date]=B2414)*ISNUMBER(measured[Measured Value (kWh)]))=0,"",SUMIFS(measured[Measured Value (kWh)],measured[Site Name],A2414,measured[Date],B2414)),"")</f>
        <v/>
      </c>
      <c r="D2414" cm="1">
        <f t="array" ref="D2414">IFERROR(IF(SUMPRODUCT((expected_production[Site Name]=A2414)*(expected_production[Date]=B2414)*ISNUMBER(expected_production[Expected Production (kWh)]))=0,"",SUMIFS(expected_production[Expected Production (kWh)],expected_production[Site Name],A2414,expected_production[Date],B2414)),"")</f>
        <v>0</v>
      </c>
      <c r="E2414" s="9" t="str">
        <f t="shared" si="76"/>
        <v/>
      </c>
      <c r="F2414" t="str">
        <f t="shared" si="77"/>
        <v/>
      </c>
    </row>
    <row r="2415" spans="1:7" ht="15" hidden="1" customHeight="1" x14ac:dyDescent="0.3">
      <c r="A2415" t="s">
        <v>192</v>
      </c>
      <c r="B2415" s="2">
        <v>45323</v>
      </c>
      <c r="C2415" t="str" cm="1">
        <f t="array" ref="C2415">IFERROR(IF(SUMPRODUCT((measured[Site Name]=A2415)*(measured[Date]=B2415)*ISNUMBER(measured[Measured Value (kWh)]))=0,"",SUMIFS(measured[Measured Value (kWh)],measured[Site Name],A2415,measured[Date],B2415)),"")</f>
        <v/>
      </c>
      <c r="D2415" cm="1">
        <f t="array" ref="D2415">IFERROR(IF(SUMPRODUCT((expected_production[Site Name]=A2415)*(expected_production[Date]=B2415)*ISNUMBER(expected_production[Expected Production (kWh)]))=0,"",SUMIFS(expected_production[Expected Production (kWh)],expected_production[Site Name],A2415,expected_production[Date],B2415)),"")</f>
        <v>0</v>
      </c>
      <c r="E2415" s="9" t="str">
        <f t="shared" si="76"/>
        <v/>
      </c>
      <c r="F2415" t="str">
        <f t="shared" si="77"/>
        <v/>
      </c>
    </row>
    <row r="2416" spans="1:7" ht="15" hidden="1" customHeight="1" x14ac:dyDescent="0.3">
      <c r="A2416" t="s">
        <v>192</v>
      </c>
      <c r="B2416" s="2">
        <v>45352</v>
      </c>
      <c r="C2416" t="str" cm="1">
        <f t="array" ref="C2416">IFERROR(IF(SUMPRODUCT((measured[Site Name]=A2416)*(measured[Date]=B2416)*ISNUMBER(measured[Measured Value (kWh)]))=0,"",SUMIFS(measured[Measured Value (kWh)],measured[Site Name],A2416,measured[Date],B2416)),"")</f>
        <v/>
      </c>
      <c r="D2416" cm="1">
        <f t="array" ref="D2416">IFERROR(IF(SUMPRODUCT((expected_production[Site Name]=A2416)*(expected_production[Date]=B2416)*ISNUMBER(expected_production[Expected Production (kWh)]))=0,"",SUMIFS(expected_production[Expected Production (kWh)],expected_production[Site Name],A2416,expected_production[Date],B2416)),"")</f>
        <v>0</v>
      </c>
      <c r="E2416" s="9" t="str">
        <f t="shared" si="76"/>
        <v/>
      </c>
      <c r="F2416" t="str">
        <f t="shared" si="77"/>
        <v/>
      </c>
    </row>
    <row r="2417" spans="1:6" ht="15" hidden="1" customHeight="1" x14ac:dyDescent="0.3">
      <c r="A2417" t="s">
        <v>192</v>
      </c>
      <c r="B2417" s="2">
        <v>45383</v>
      </c>
      <c r="C2417" t="str" cm="1">
        <f t="array" ref="C2417">IFERROR(IF(SUMPRODUCT((measured[Site Name]=A2417)*(measured[Date]=B2417)*ISNUMBER(measured[Measured Value (kWh)]))=0,"",SUMIFS(measured[Measured Value (kWh)],measured[Site Name],A2417,measured[Date],B2417)),"")</f>
        <v/>
      </c>
      <c r="D2417" cm="1">
        <f t="array" ref="D2417">IFERROR(IF(SUMPRODUCT((expected_production[Site Name]=A2417)*(expected_production[Date]=B2417)*ISNUMBER(expected_production[Expected Production (kWh)]))=0,"",SUMIFS(expected_production[Expected Production (kWh)],expected_production[Site Name],A2417,expected_production[Date],B2417)),"")</f>
        <v>0</v>
      </c>
      <c r="E2417" s="9" t="str">
        <f t="shared" si="76"/>
        <v/>
      </c>
      <c r="F2417" t="str">
        <f t="shared" si="77"/>
        <v/>
      </c>
    </row>
    <row r="2418" spans="1:6" ht="15" hidden="1" customHeight="1" x14ac:dyDescent="0.3">
      <c r="A2418" t="s">
        <v>192</v>
      </c>
      <c r="B2418" s="2">
        <v>45413</v>
      </c>
      <c r="C2418" t="str" cm="1">
        <f t="array" ref="C2418">IFERROR(IF(SUMPRODUCT((measured[Site Name]=A2418)*(measured[Date]=B2418)*ISNUMBER(measured[Measured Value (kWh)]))=0,"",SUMIFS(measured[Measured Value (kWh)],measured[Site Name],A2418,measured[Date],B2418)),"")</f>
        <v/>
      </c>
      <c r="D2418" cm="1">
        <f t="array" ref="D2418">IFERROR(IF(SUMPRODUCT((expected_production[Site Name]=A2418)*(expected_production[Date]=B2418)*ISNUMBER(expected_production[Expected Production (kWh)]))=0,"",SUMIFS(expected_production[Expected Production (kWh)],expected_production[Site Name],A2418,expected_production[Date],B2418)),"")</f>
        <v>0</v>
      </c>
      <c r="E2418" s="9" t="str">
        <f t="shared" si="76"/>
        <v/>
      </c>
      <c r="F2418" t="str">
        <f t="shared" si="77"/>
        <v/>
      </c>
    </row>
    <row r="2419" spans="1:6" ht="15" hidden="1" customHeight="1" x14ac:dyDescent="0.3">
      <c r="A2419" t="s">
        <v>192</v>
      </c>
      <c r="B2419" s="2">
        <v>45444</v>
      </c>
      <c r="C2419" t="str" cm="1">
        <f t="array" ref="C2419">IFERROR(IF(SUMPRODUCT((measured[Site Name]=A2419)*(measured[Date]=B2419)*ISNUMBER(measured[Measured Value (kWh)]))=0,"",SUMIFS(measured[Measured Value (kWh)],measured[Site Name],A2419,measured[Date],B2419)),"")</f>
        <v/>
      </c>
      <c r="D2419" cm="1">
        <f t="array" ref="D2419">IFERROR(IF(SUMPRODUCT((expected_production[Site Name]=A2419)*(expected_production[Date]=B2419)*ISNUMBER(expected_production[Expected Production (kWh)]))=0,"",SUMIFS(expected_production[Expected Production (kWh)],expected_production[Site Name],A2419,expected_production[Date],B2419)),"")</f>
        <v>0</v>
      </c>
      <c r="E2419" s="9" t="str">
        <f t="shared" si="76"/>
        <v/>
      </c>
      <c r="F2419" t="str">
        <f t="shared" si="77"/>
        <v/>
      </c>
    </row>
    <row r="2420" spans="1:6" ht="15" hidden="1" customHeight="1" x14ac:dyDescent="0.3">
      <c r="A2420" t="s">
        <v>192</v>
      </c>
      <c r="B2420" s="2">
        <v>45474</v>
      </c>
      <c r="C2420" t="str" cm="1">
        <f t="array" ref="C2420">IFERROR(IF(SUMPRODUCT((measured[Site Name]=A2420)*(measured[Date]=B2420)*ISNUMBER(measured[Measured Value (kWh)]))=0,"",SUMIFS(measured[Measured Value (kWh)],measured[Site Name],A2420,measured[Date],B2420)),"")</f>
        <v/>
      </c>
      <c r="D2420" cm="1">
        <f t="array" ref="D2420">IFERROR(IF(SUMPRODUCT((expected_production[Site Name]=A2420)*(expected_production[Date]=B2420)*ISNUMBER(expected_production[Expected Production (kWh)]))=0,"",SUMIFS(expected_production[Expected Production (kWh)],expected_production[Site Name],A2420,expected_production[Date],B2420)),"")</f>
        <v>0</v>
      </c>
      <c r="E2420" s="9" t="str">
        <f t="shared" si="76"/>
        <v/>
      </c>
      <c r="F2420" t="str">
        <f t="shared" si="77"/>
        <v/>
      </c>
    </row>
    <row r="2421" spans="1:6" ht="15" hidden="1" customHeight="1" x14ac:dyDescent="0.3">
      <c r="A2421" t="s">
        <v>192</v>
      </c>
      <c r="B2421" s="2">
        <v>45505</v>
      </c>
      <c r="C2421" t="str" cm="1">
        <f t="array" ref="C2421">IFERROR(IF(SUMPRODUCT((measured[Site Name]=A2421)*(measured[Date]=B2421)*ISNUMBER(measured[Measured Value (kWh)]))=0,"",SUMIFS(measured[Measured Value (kWh)],measured[Site Name],A2421,measured[Date],B2421)),"")</f>
        <v/>
      </c>
      <c r="D2421" cm="1">
        <f t="array" ref="D2421">IFERROR(IF(SUMPRODUCT((expected_production[Site Name]=A2421)*(expected_production[Date]=B2421)*ISNUMBER(expected_production[Expected Production (kWh)]))=0,"",SUMIFS(expected_production[Expected Production (kWh)],expected_production[Site Name],A2421,expected_production[Date],B2421)),"")</f>
        <v>0</v>
      </c>
      <c r="E2421" s="9" t="str">
        <f t="shared" si="76"/>
        <v/>
      </c>
      <c r="F2421" t="str">
        <f t="shared" si="77"/>
        <v/>
      </c>
    </row>
    <row r="2422" spans="1:6" ht="15" hidden="1" customHeight="1" x14ac:dyDescent="0.3">
      <c r="A2422" t="s">
        <v>192</v>
      </c>
      <c r="B2422" s="2">
        <v>45536</v>
      </c>
      <c r="C2422" t="str" cm="1">
        <f t="array" ref="C2422">IFERROR(IF(SUMPRODUCT((measured[Site Name]=A2422)*(measured[Date]=B2422)*ISNUMBER(measured[Measured Value (kWh)]))=0,"",SUMIFS(measured[Measured Value (kWh)],measured[Site Name],A2422,measured[Date],B2422)),"")</f>
        <v/>
      </c>
      <c r="D2422" cm="1">
        <f t="array" ref="D2422">IFERROR(IF(SUMPRODUCT((expected_production[Site Name]=A2422)*(expected_production[Date]=B2422)*ISNUMBER(expected_production[Expected Production (kWh)]))=0,"",SUMIFS(expected_production[Expected Production (kWh)],expected_production[Site Name],A2422,expected_production[Date],B2422)),"")</f>
        <v>0</v>
      </c>
      <c r="E2422" s="9" t="str">
        <f t="shared" si="76"/>
        <v/>
      </c>
      <c r="F2422" t="str">
        <f t="shared" si="77"/>
        <v/>
      </c>
    </row>
    <row r="2423" spans="1:6" ht="15" hidden="1" customHeight="1" x14ac:dyDescent="0.3">
      <c r="A2423" t="s">
        <v>192</v>
      </c>
      <c r="B2423" s="2">
        <v>45566</v>
      </c>
      <c r="C2423" t="str" cm="1">
        <f t="array" ref="C2423">IFERROR(IF(SUMPRODUCT((measured[Site Name]=A2423)*(measured[Date]=B2423)*ISNUMBER(measured[Measured Value (kWh)]))=0,"",SUMIFS(measured[Measured Value (kWh)],measured[Site Name],A2423,measured[Date],B2423)),"")</f>
        <v/>
      </c>
      <c r="D2423" cm="1">
        <f t="array" ref="D2423">IFERROR(IF(SUMPRODUCT((expected_production[Site Name]=A2423)*(expected_production[Date]=B2423)*ISNUMBER(expected_production[Expected Production (kWh)]))=0,"",SUMIFS(expected_production[Expected Production (kWh)],expected_production[Site Name],A2423,expected_production[Date],B2423)),"")</f>
        <v>0</v>
      </c>
      <c r="E2423" s="9" t="str">
        <f t="shared" si="76"/>
        <v/>
      </c>
      <c r="F2423" t="str">
        <f t="shared" si="77"/>
        <v/>
      </c>
    </row>
    <row r="2424" spans="1:6" ht="15" hidden="1" customHeight="1" x14ac:dyDescent="0.3">
      <c r="A2424" t="s">
        <v>192</v>
      </c>
      <c r="B2424" s="2">
        <v>45597</v>
      </c>
      <c r="C2424" t="str" cm="1">
        <f t="array" ref="C2424">IFERROR(IF(SUMPRODUCT((measured[Site Name]=A2424)*(measured[Date]=B2424)*ISNUMBER(measured[Measured Value (kWh)]))=0,"",SUMIFS(measured[Measured Value (kWh)],measured[Site Name],A2424,measured[Date],B2424)),"")</f>
        <v/>
      </c>
      <c r="D2424" cm="1">
        <f t="array" ref="D2424">IFERROR(IF(SUMPRODUCT((expected_production[Site Name]=A2424)*(expected_production[Date]=B2424)*ISNUMBER(expected_production[Expected Production (kWh)]))=0,"",SUMIFS(expected_production[Expected Production (kWh)],expected_production[Site Name],A2424,expected_production[Date],B2424)),"")</f>
        <v>0</v>
      </c>
      <c r="E2424" s="9" t="str">
        <f t="shared" si="76"/>
        <v/>
      </c>
      <c r="F2424" t="str">
        <f t="shared" si="77"/>
        <v/>
      </c>
    </row>
    <row r="2425" spans="1:6" ht="15" hidden="1" customHeight="1" x14ac:dyDescent="0.3">
      <c r="A2425" t="s">
        <v>192</v>
      </c>
      <c r="B2425" s="2">
        <v>45627</v>
      </c>
      <c r="C2425" t="str" cm="1">
        <f t="array" ref="C2425">IFERROR(IF(SUMPRODUCT((measured[Site Name]=A2425)*(measured[Date]=B2425)*ISNUMBER(measured[Measured Value (kWh)]))=0,"",SUMIFS(measured[Measured Value (kWh)],measured[Site Name],A2425,measured[Date],B2425)),"")</f>
        <v/>
      </c>
      <c r="D2425" cm="1">
        <f t="array" ref="D2425">IFERROR(IF(SUMPRODUCT((expected_production[Site Name]=A2425)*(expected_production[Date]=B2425)*ISNUMBER(expected_production[Expected Production (kWh)]))=0,"",SUMIFS(expected_production[Expected Production (kWh)],expected_production[Site Name],A2425,expected_production[Date],B2425)),"")</f>
        <v>0</v>
      </c>
      <c r="E2425" s="9" t="str">
        <f t="shared" si="76"/>
        <v/>
      </c>
      <c r="F2425" t="str">
        <f t="shared" si="77"/>
        <v/>
      </c>
    </row>
    <row r="2426" spans="1:6" ht="15" hidden="1" customHeight="1" x14ac:dyDescent="0.3">
      <c r="A2426" t="s">
        <v>192</v>
      </c>
      <c r="B2426" s="2">
        <v>45658</v>
      </c>
      <c r="C2426" t="str" cm="1">
        <f t="array" ref="C2426">IFERROR(IF(SUMPRODUCT((measured[Site Name]=A2426)*(measured[Date]=B2426)*ISNUMBER(measured[Measured Value (kWh)]))=0,"",SUMIFS(measured[Measured Value (kWh)],measured[Site Name],A2426,measured[Date],B2426)),"")</f>
        <v/>
      </c>
      <c r="D2426" cm="1">
        <f t="array" ref="D2426">IFERROR(IF(SUMPRODUCT((expected_production[Site Name]=A2426)*(expected_production[Date]=B2426)*ISNUMBER(expected_production[Expected Production (kWh)]))=0,"",SUMIFS(expected_production[Expected Production (kWh)],expected_production[Site Name],A2426,expected_production[Date],B2426)),"")</f>
        <v>0</v>
      </c>
      <c r="E2426" s="9" t="str">
        <f t="shared" si="76"/>
        <v/>
      </c>
      <c r="F2426" t="str">
        <f t="shared" si="77"/>
        <v/>
      </c>
    </row>
    <row r="2427" spans="1:6" ht="15" hidden="1" customHeight="1" x14ac:dyDescent="0.3">
      <c r="A2427" t="s">
        <v>192</v>
      </c>
      <c r="B2427" s="2">
        <v>45689</v>
      </c>
      <c r="C2427" t="str" cm="1">
        <f t="array" ref="C2427">IFERROR(IF(SUMPRODUCT((measured[Site Name]=A2427)*(measured[Date]=B2427)*ISNUMBER(measured[Measured Value (kWh)]))=0,"",SUMIFS(measured[Measured Value (kWh)],measured[Site Name],A2427,measured[Date],B2427)),"")</f>
        <v/>
      </c>
      <c r="D2427" cm="1">
        <f t="array" ref="D2427">IFERROR(IF(SUMPRODUCT((expected_production[Site Name]=A2427)*(expected_production[Date]=B2427)*ISNUMBER(expected_production[Expected Production (kWh)]))=0,"",SUMIFS(expected_production[Expected Production (kWh)],expected_production[Site Name],A2427,expected_production[Date],B2427)),"")</f>
        <v>0</v>
      </c>
      <c r="E2427" s="9" t="str">
        <f t="shared" si="76"/>
        <v/>
      </c>
      <c r="F2427" t="str">
        <f t="shared" si="77"/>
        <v/>
      </c>
    </row>
    <row r="2428" spans="1:6" ht="15" hidden="1" customHeight="1" x14ac:dyDescent="0.3">
      <c r="A2428" t="s">
        <v>192</v>
      </c>
      <c r="B2428" s="2">
        <v>45717</v>
      </c>
      <c r="C2428" t="str" cm="1">
        <f t="array" ref="C2428">IFERROR(IF(SUMPRODUCT((measured[Site Name]=A2428)*(measured[Date]=B2428)*ISNUMBER(measured[Measured Value (kWh)]))=0,"",SUMIFS(measured[Measured Value (kWh)],measured[Site Name],A2428,measured[Date],B2428)),"")</f>
        <v/>
      </c>
      <c r="D2428" cm="1">
        <f t="array" ref="D2428">IFERROR(IF(SUMPRODUCT((expected_production[Site Name]=A2428)*(expected_production[Date]=B2428)*ISNUMBER(expected_production[Expected Production (kWh)]))=0,"",SUMIFS(expected_production[Expected Production (kWh)],expected_production[Site Name],A2428,expected_production[Date],B2428)),"")</f>
        <v>0</v>
      </c>
      <c r="E2428" s="9" t="str">
        <f t="shared" si="76"/>
        <v/>
      </c>
      <c r="F2428" t="str">
        <f t="shared" si="77"/>
        <v/>
      </c>
    </row>
    <row r="2429" spans="1:6" ht="15" hidden="1" customHeight="1" x14ac:dyDescent="0.3">
      <c r="A2429" t="s">
        <v>192</v>
      </c>
      <c r="B2429" s="2">
        <v>45748</v>
      </c>
      <c r="C2429" t="str" cm="1">
        <f t="array" ref="C2429">IFERROR(IF(SUMPRODUCT((measured[Site Name]=A2429)*(measured[Date]=B2429)*ISNUMBER(measured[Measured Value (kWh)]))=0,"",SUMIFS(measured[Measured Value (kWh)],measured[Site Name],A2429,measured[Date],B2429)),"")</f>
        <v/>
      </c>
      <c r="D2429" cm="1">
        <f t="array" ref="D2429">IFERROR(IF(SUMPRODUCT((expected_production[Site Name]=A2429)*(expected_production[Date]=B2429)*ISNUMBER(expected_production[Expected Production (kWh)]))=0,"",SUMIFS(expected_production[Expected Production (kWh)],expected_production[Site Name],A2429,expected_production[Date],B2429)),"")</f>
        <v>0</v>
      </c>
      <c r="E2429" s="9" t="str">
        <f t="shared" si="76"/>
        <v/>
      </c>
      <c r="F2429" t="str">
        <f t="shared" si="77"/>
        <v/>
      </c>
    </row>
    <row r="2430" spans="1:6" ht="15" hidden="1" customHeight="1" x14ac:dyDescent="0.3">
      <c r="A2430" t="s">
        <v>192</v>
      </c>
      <c r="B2430" s="2">
        <v>45778</v>
      </c>
      <c r="C2430" t="str" cm="1">
        <f t="array" ref="C2430">IFERROR(IF(SUMPRODUCT((measured[Site Name]=A2430)*(measured[Date]=B2430)*ISNUMBER(measured[Measured Value (kWh)]))=0,"",SUMIFS(measured[Measured Value (kWh)],measured[Site Name],A2430,measured[Date],B2430)),"")</f>
        <v/>
      </c>
      <c r="D2430" cm="1">
        <f t="array" ref="D2430">IFERROR(IF(SUMPRODUCT((expected_production[Site Name]=A2430)*(expected_production[Date]=B2430)*ISNUMBER(expected_production[Expected Production (kWh)]))=0,"",SUMIFS(expected_production[Expected Production (kWh)],expected_production[Site Name],A2430,expected_production[Date],B2430)),"")</f>
        <v>0</v>
      </c>
      <c r="E2430" s="9" t="str">
        <f t="shared" si="76"/>
        <v/>
      </c>
      <c r="F2430" t="str">
        <f t="shared" si="77"/>
        <v/>
      </c>
    </row>
    <row r="2431" spans="1:6" ht="15" hidden="1" customHeight="1" x14ac:dyDescent="0.3">
      <c r="A2431" t="s">
        <v>192</v>
      </c>
      <c r="B2431" s="2">
        <v>45809</v>
      </c>
      <c r="C2431" t="str" cm="1">
        <f t="array" ref="C2431">IFERROR(IF(SUMPRODUCT((measured[Site Name]=A2431)*(measured[Date]=B2431)*ISNUMBER(measured[Measured Value (kWh)]))=0,"",SUMIFS(measured[Measured Value (kWh)],measured[Site Name],A2431,measured[Date],B2431)),"")</f>
        <v/>
      </c>
      <c r="D2431" cm="1">
        <f t="array" ref="D2431">IFERROR(IF(SUMPRODUCT((expected_production[Site Name]=A2431)*(expected_production[Date]=B2431)*ISNUMBER(expected_production[Expected Production (kWh)]))=0,"",SUMIFS(expected_production[Expected Production (kWh)],expected_production[Site Name],A2431,expected_production[Date],B2431)),"")</f>
        <v>0</v>
      </c>
      <c r="E2431" s="9" t="str">
        <f t="shared" si="76"/>
        <v/>
      </c>
      <c r="F2431" t="str">
        <f t="shared" si="77"/>
        <v/>
      </c>
    </row>
    <row r="2432" spans="1:6" ht="15" hidden="1" customHeight="1" x14ac:dyDescent="0.3">
      <c r="A2432" t="s">
        <v>192</v>
      </c>
      <c r="B2432" s="2">
        <v>45839</v>
      </c>
      <c r="C2432" t="str" cm="1">
        <f t="array" ref="C2432">IFERROR(IF(SUMPRODUCT((measured[Site Name]=A2432)*(measured[Date]=B2432)*ISNUMBER(measured[Measured Value (kWh)]))=0,"",SUMIFS(measured[Measured Value (kWh)],measured[Site Name],A2432,measured[Date],B2432)),"")</f>
        <v/>
      </c>
      <c r="D2432" cm="1">
        <f t="array" ref="D2432">IFERROR(IF(SUMPRODUCT((expected_production[Site Name]=A2432)*(expected_production[Date]=B2432)*ISNUMBER(expected_production[Expected Production (kWh)]))=0,"",SUMIFS(expected_production[Expected Production (kWh)],expected_production[Site Name],A2432,expected_production[Date],B2432)),"")</f>
        <v>0</v>
      </c>
      <c r="E2432" s="9" t="str">
        <f t="shared" si="76"/>
        <v/>
      </c>
      <c r="F2432" t="str">
        <f t="shared" si="77"/>
        <v/>
      </c>
    </row>
    <row r="2433" spans="1:7" ht="15" hidden="1" customHeight="1" x14ac:dyDescent="0.3">
      <c r="A2433" t="s">
        <v>192</v>
      </c>
      <c r="B2433" s="2">
        <v>45870</v>
      </c>
      <c r="C2433" t="str" cm="1">
        <f t="array" ref="C2433">IFERROR(IF(SUMPRODUCT((measured[Site Name]=A2433)*(measured[Date]=B2433)*ISNUMBER(measured[Measured Value (kWh)]))=0,"",SUMIFS(measured[Measured Value (kWh)],measured[Site Name],A2433,measured[Date],B2433)),"")</f>
        <v/>
      </c>
      <c r="D2433" cm="1">
        <f t="array" ref="D2433">IFERROR(IF(SUMPRODUCT((expected_production[Site Name]=A2433)*(expected_production[Date]=B2433)*ISNUMBER(expected_production[Expected Production (kWh)]))=0,"",SUMIFS(expected_production[Expected Production (kWh)],expected_production[Site Name],A2433,expected_production[Date],B2433)),"")</f>
        <v>0</v>
      </c>
      <c r="E2433" s="9" t="str">
        <f t="shared" si="76"/>
        <v/>
      </c>
      <c r="F2433" t="str">
        <f t="shared" si="77"/>
        <v/>
      </c>
    </row>
    <row r="2434" spans="1:7" ht="15" hidden="1" customHeight="1" x14ac:dyDescent="0.3">
      <c r="A2434" t="s">
        <v>192</v>
      </c>
      <c r="B2434" s="2">
        <v>45901</v>
      </c>
      <c r="C2434" t="str" cm="1">
        <f t="array" ref="C2434">IFERROR(IF(SUMPRODUCT((measured[Site Name]=A2434)*(measured[Date]=B2434)*ISNUMBER(measured[Measured Value (kWh)]))=0,"",SUMIFS(measured[Measured Value (kWh)],measured[Site Name],A2434,measured[Date],B2434)),"")</f>
        <v/>
      </c>
      <c r="D2434" cm="1">
        <f t="array" ref="D2434">IFERROR(IF(SUMPRODUCT((expected_production[Site Name]=A2434)*(expected_production[Date]=B2434)*ISNUMBER(expected_production[Expected Production (kWh)]))=0,"",SUMIFS(expected_production[Expected Production (kWh)],expected_production[Site Name],A2434,expected_production[Date],B2434)),"")</f>
        <v>0</v>
      </c>
      <c r="E2434" s="9" t="str">
        <f t="shared" si="76"/>
        <v/>
      </c>
      <c r="F2434" t="str">
        <f t="shared" si="77"/>
        <v/>
      </c>
    </row>
    <row r="2435" spans="1:7" ht="15" hidden="1" customHeight="1" x14ac:dyDescent="0.3">
      <c r="A2435" t="s">
        <v>192</v>
      </c>
      <c r="B2435" s="2">
        <v>45931</v>
      </c>
      <c r="C2435" t="str" cm="1">
        <f t="array" ref="C2435">IFERROR(IF(SUMPRODUCT((measured[Site Name]=A2435)*(measured[Date]=B2435)*ISNUMBER(measured[Measured Value (kWh)]))=0,"",SUMIFS(measured[Measured Value (kWh)],measured[Site Name],A2435,measured[Date],B2435)),"")</f>
        <v/>
      </c>
      <c r="D2435" cm="1">
        <f t="array" ref="D2435">IFERROR(IF(SUMPRODUCT((expected_production[Site Name]=A2435)*(expected_production[Date]=B2435)*ISNUMBER(expected_production[Expected Production (kWh)]))=0,"",SUMIFS(expected_production[Expected Production (kWh)],expected_production[Site Name],A2435,expected_production[Date],B2435)),"")</f>
        <v>0</v>
      </c>
      <c r="E2435" s="9" t="str">
        <f t="shared" si="76"/>
        <v/>
      </c>
      <c r="F2435" t="str">
        <f t="shared" si="77"/>
        <v/>
      </c>
    </row>
    <row r="2436" spans="1:7" ht="15" hidden="1" customHeight="1" x14ac:dyDescent="0.3">
      <c r="A2436" t="s">
        <v>192</v>
      </c>
      <c r="B2436" s="2">
        <v>45962</v>
      </c>
      <c r="C2436" t="str" cm="1">
        <f t="array" ref="C2436">IFERROR(IF(SUMPRODUCT((measured[Site Name]=A2436)*(measured[Date]=B2436)*ISNUMBER(measured[Measured Value (kWh)]))=0,"",SUMIFS(measured[Measured Value (kWh)],measured[Site Name],A2436,measured[Date],B2436)),"")</f>
        <v/>
      </c>
      <c r="D2436" cm="1">
        <f t="array" ref="D2436">IFERROR(IF(SUMPRODUCT((expected_production[Site Name]=A2436)*(expected_production[Date]=B2436)*ISNUMBER(expected_production[Expected Production (kWh)]))=0,"",SUMIFS(expected_production[Expected Production (kWh)],expected_production[Site Name],A2436,expected_production[Date],B2436)),"")</f>
        <v>0</v>
      </c>
      <c r="E2436" s="9" t="str">
        <f t="shared" si="76"/>
        <v/>
      </c>
      <c r="F2436" t="str">
        <f t="shared" si="77"/>
        <v/>
      </c>
    </row>
    <row r="2437" spans="1:7" ht="15" hidden="1" customHeight="1" x14ac:dyDescent="0.3">
      <c r="A2437" t="s">
        <v>192</v>
      </c>
      <c r="B2437" s="2">
        <v>45992</v>
      </c>
      <c r="C2437" t="str" cm="1">
        <f t="array" ref="C2437">IFERROR(IF(SUMPRODUCT((measured[Site Name]=A2437)*(measured[Date]=B2437)*ISNUMBER(measured[Measured Value (kWh)]))=0,"",SUMIFS(measured[Measured Value (kWh)],measured[Site Name],A2437,measured[Date],B2437)),"")</f>
        <v/>
      </c>
      <c r="D2437" cm="1">
        <f t="array" ref="D2437">IFERROR(IF(SUMPRODUCT((expected_production[Site Name]=A2437)*(expected_production[Date]=B2437)*ISNUMBER(expected_production[Expected Production (kWh)]))=0,"",SUMIFS(expected_production[Expected Production (kWh)],expected_production[Site Name],A2437,expected_production[Date],B2437)),"")</f>
        <v>0</v>
      </c>
      <c r="E2437" s="9" t="str">
        <f t="shared" si="76"/>
        <v/>
      </c>
      <c r="F2437" t="str">
        <f t="shared" si="77"/>
        <v/>
      </c>
    </row>
    <row r="2438" spans="1:7" ht="15" hidden="1" customHeight="1" x14ac:dyDescent="0.3">
      <c r="A2438" t="s">
        <v>192</v>
      </c>
      <c r="B2438" s="2">
        <v>46023</v>
      </c>
      <c r="C2438" t="str" cm="1">
        <f t="array" ref="C2438">IFERROR(IF(SUMPRODUCT((measured[Site Name]=A2438)*(measured[Date]=B2438)*ISNUMBER(measured[Measured Value (kWh)]))=0,"",SUMIFS(measured[Measured Value (kWh)],measured[Site Name],A2438,measured[Date],B2438)),"")</f>
        <v/>
      </c>
      <c r="D2438" cm="1">
        <f t="array" ref="D2438">IFERROR(IF(SUMPRODUCT((expected_production[Site Name]=A2438)*(expected_production[Date]=B2438)*ISNUMBER(expected_production[Expected Production (kWh)]))=0,"",SUMIFS(expected_production[Expected Production (kWh)],expected_production[Site Name],A2438,expected_production[Date],B2438)),"")</f>
        <v>0</v>
      </c>
      <c r="E2438" s="9" t="str">
        <f t="shared" si="76"/>
        <v/>
      </c>
      <c r="F2438" t="str">
        <f t="shared" si="77"/>
        <v/>
      </c>
    </row>
    <row r="2439" spans="1:7" ht="15" hidden="1" customHeight="1" x14ac:dyDescent="0.3">
      <c r="A2439" t="s">
        <v>192</v>
      </c>
      <c r="B2439" s="2">
        <v>46054</v>
      </c>
      <c r="C2439" t="str" cm="1">
        <f t="array" ref="C2439">IFERROR(IF(SUMPRODUCT((measured[Site Name]=A2439)*(measured[Date]=B2439)*ISNUMBER(measured[Measured Value (kWh)]))=0,"",SUMIFS(measured[Measured Value (kWh)],measured[Site Name],A2439,measured[Date],B2439)),"")</f>
        <v/>
      </c>
      <c r="D2439" cm="1">
        <f t="array" ref="D2439">IFERROR(IF(SUMPRODUCT((expected_production[Site Name]=A2439)*(expected_production[Date]=B2439)*ISNUMBER(expected_production[Expected Production (kWh)]))=0,"",SUMIFS(expected_production[Expected Production (kWh)],expected_production[Site Name],A2439,expected_production[Date],B2439)),"")</f>
        <v>0</v>
      </c>
      <c r="E2439" s="9" t="str">
        <f t="shared" si="76"/>
        <v/>
      </c>
      <c r="F2439" t="str">
        <f t="shared" si="77"/>
        <v/>
      </c>
    </row>
    <row r="2440" spans="1:7" ht="15" hidden="1" customHeight="1" x14ac:dyDescent="0.3">
      <c r="A2440" t="s">
        <v>192</v>
      </c>
      <c r="B2440" s="2">
        <v>46082</v>
      </c>
      <c r="C2440" t="str" cm="1">
        <f t="array" ref="C2440">IFERROR(IF(SUMPRODUCT((measured[Site Name]=A2440)*(measured[Date]=B2440)*ISNUMBER(measured[Measured Value (kWh)]))=0,"",SUMIFS(measured[Measured Value (kWh)],measured[Site Name],A2440,measured[Date],B2440)),"")</f>
        <v/>
      </c>
      <c r="D2440" cm="1">
        <f t="array" ref="D2440">IFERROR(IF(SUMPRODUCT((expected_production[Site Name]=A2440)*(expected_production[Date]=B2440)*ISNUMBER(expected_production[Expected Production (kWh)]))=0,"",SUMIFS(expected_production[Expected Production (kWh)],expected_production[Site Name],A2440,expected_production[Date],B2440)),"")</f>
        <v>0</v>
      </c>
      <c r="E2440" s="9" t="str">
        <f t="shared" si="76"/>
        <v/>
      </c>
      <c r="F2440" t="str">
        <f t="shared" si="77"/>
        <v/>
      </c>
    </row>
    <row r="2441" spans="1:7" ht="15" hidden="1" customHeight="1" x14ac:dyDescent="0.3">
      <c r="A2441" t="s">
        <v>192</v>
      </c>
      <c r="B2441" s="2">
        <v>46113</v>
      </c>
      <c r="C2441" t="str" cm="1">
        <f t="array" ref="C2441">IFERROR(IF(SUMPRODUCT((measured[Site Name]=A2441)*(measured[Date]=B2441)*ISNUMBER(measured[Measured Value (kWh)]))=0,"",SUMIFS(measured[Measured Value (kWh)],measured[Site Name],A2441,measured[Date],B2441)),"")</f>
        <v/>
      </c>
      <c r="D2441" cm="1">
        <f t="array" ref="D2441">IFERROR(IF(SUMPRODUCT((expected_production[Site Name]=A2441)*(expected_production[Date]=B2441)*ISNUMBER(expected_production[Expected Production (kWh)]))=0,"",SUMIFS(expected_production[Expected Production (kWh)],expected_production[Site Name],A2441,expected_production[Date],B2441)),"")</f>
        <v>0</v>
      </c>
      <c r="E2441" s="9" t="str">
        <f t="shared" si="76"/>
        <v/>
      </c>
      <c r="F2441" t="str">
        <f t="shared" si="77"/>
        <v/>
      </c>
    </row>
    <row r="2442" spans="1:7" ht="15" hidden="1" customHeight="1" x14ac:dyDescent="0.3">
      <c r="A2442" t="s">
        <v>192</v>
      </c>
      <c r="B2442" s="2">
        <v>46143</v>
      </c>
      <c r="C2442" t="str" cm="1">
        <f t="array" ref="C2442">IFERROR(IF(SUMPRODUCT((measured[Site Name]=A2442)*(measured[Date]=B2442)*ISNUMBER(measured[Measured Value (kWh)]))=0,"",SUMIFS(measured[Measured Value (kWh)],measured[Site Name],A2442,measured[Date],B2442)),"")</f>
        <v/>
      </c>
      <c r="D2442" cm="1">
        <f t="array" ref="D2442">IFERROR(IF(SUMPRODUCT((expected_production[Site Name]=A2442)*(expected_production[Date]=B2442)*ISNUMBER(expected_production[Expected Production (kWh)]))=0,"",SUMIFS(expected_production[Expected Production (kWh)],expected_production[Site Name],A2442,expected_production[Date],B2442)),"")</f>
        <v>0</v>
      </c>
      <c r="E2442" s="9" t="str">
        <f t="shared" si="76"/>
        <v/>
      </c>
      <c r="F2442" t="str">
        <f t="shared" si="77"/>
        <v/>
      </c>
    </row>
    <row r="2443" spans="1:7" ht="15" hidden="1" customHeight="1" x14ac:dyDescent="0.3">
      <c r="A2443" t="s">
        <v>192</v>
      </c>
      <c r="B2443" s="2">
        <v>46174</v>
      </c>
      <c r="C2443" t="str" cm="1">
        <f t="array" ref="C2443">IFERROR(IF(SUMPRODUCT((measured[Site Name]=A2443)*(measured[Date]=B2443)*ISNUMBER(measured[Measured Value (kWh)]))=0,"",SUMIFS(measured[Measured Value (kWh)],measured[Site Name],A2443,measured[Date],B2443)),"")</f>
        <v/>
      </c>
      <c r="D2443" cm="1">
        <f t="array" ref="D2443">IFERROR(IF(SUMPRODUCT((expected_production[Site Name]=A2443)*(expected_production[Date]=B2443)*ISNUMBER(expected_production[Expected Production (kWh)]))=0,"",SUMIFS(expected_production[Expected Production (kWh)],expected_production[Site Name],A2443,expected_production[Date],B2443)),"")</f>
        <v>0</v>
      </c>
      <c r="E2443" s="9" t="str">
        <f t="shared" si="76"/>
        <v/>
      </c>
      <c r="F2443" t="str">
        <f t="shared" si="77"/>
        <v/>
      </c>
    </row>
    <row r="2444" spans="1:7" ht="15" hidden="1" customHeight="1" x14ac:dyDescent="0.3">
      <c r="A2444" t="s">
        <v>216</v>
      </c>
      <c r="B2444" s="2">
        <v>46204</v>
      </c>
      <c r="C2444" cm="1">
        <f t="array" ref="C2444">IFERROR(IF(SUMPRODUCT((measured[Site Name]=A2444)*(measured[Date]=B2444)*ISNUMBER(measured[Measured Value (kWh)]))=0,"",SUMIFS(measured[Measured Value (kWh)],measured[Site Name],A2444,measured[Date],B2444)),"")</f>
        <v>10206</v>
      </c>
      <c r="D2444" cm="1">
        <f t="array" ref="D2444">IFERROR(IF(SUMPRODUCT((expected_production[Site Name]=A2444)*(expected_production[Date]=B2444)*ISNUMBER(expected_production[Expected Production (kWh)]))=0,"",SUMIFS(expected_production[Expected Production (kWh)],expected_production[Site Name],A2444,expected_production[Date],B2444)),"")</f>
        <v>19065.844917339273</v>
      </c>
      <c r="E2444" s="9">
        <f t="shared" si="76"/>
        <v>0.53530279115604462</v>
      </c>
      <c r="F2444" t="str">
        <f t="shared" si="77"/>
        <v>Poor</v>
      </c>
      <c r="G2444" t="s">
        <v>875</v>
      </c>
    </row>
    <row r="2445" spans="1:7" ht="15" hidden="1" customHeight="1" x14ac:dyDescent="0.3">
      <c r="A2445" t="s">
        <v>192</v>
      </c>
      <c r="B2445" s="2">
        <v>46235</v>
      </c>
      <c r="C2445" t="str" cm="1">
        <f t="array" ref="C2445">IFERROR(IF(SUMPRODUCT((measured[Site Name]=A2445)*(measured[Date]=B2445)*ISNUMBER(measured[Measured Value (kWh)]))=0,"",SUMIFS(measured[Measured Value (kWh)],measured[Site Name],A2445,measured[Date],B2445)),"")</f>
        <v/>
      </c>
      <c r="D2445" cm="1">
        <f t="array" ref="D2445">IFERROR(IF(SUMPRODUCT((expected_production[Site Name]=A2445)*(expected_production[Date]=B2445)*ISNUMBER(expected_production[Expected Production (kWh)]))=0,"",SUMIFS(expected_production[Expected Production (kWh)],expected_production[Site Name],A2445,expected_production[Date],B2445)),"")</f>
        <v>0</v>
      </c>
      <c r="E2445" s="9" t="str">
        <f t="shared" si="76"/>
        <v/>
      </c>
      <c r="F2445" t="str">
        <f t="shared" si="77"/>
        <v/>
      </c>
      <c r="G2445" t="s">
        <v>874</v>
      </c>
    </row>
    <row r="2446" spans="1:7" ht="15" customHeight="1" x14ac:dyDescent="0.3">
      <c r="A2446" t="s">
        <v>192</v>
      </c>
      <c r="B2446" s="2">
        <v>46266</v>
      </c>
      <c r="C2446" t="str" cm="1">
        <f t="array" ref="C2446">IFERROR(IF(SUMPRODUCT((measured[Site Name]=A2446)*(measured[Date]=B2446)*ISNUMBER(measured[Measured Value (kWh)]))=0,"",SUMIFS(measured[Measured Value (kWh)],measured[Site Name],A2446,measured[Date],B2446)),"")</f>
        <v/>
      </c>
      <c r="D2446" cm="1">
        <f t="array" ref="D2446">IFERROR(IF(SUMPRODUCT((expected_production[Site Name]=A2446)*(expected_production[Date]=B2446)*ISNUMBER(expected_production[Expected Production (kWh)]))=0,"",SUMIFS(expected_production[Expected Production (kWh)],expected_production[Site Name],A2446,expected_production[Date],B2446)),"")</f>
        <v>0</v>
      </c>
      <c r="E2446" s="9" t="str">
        <f t="shared" si="76"/>
        <v/>
      </c>
      <c r="F2446" t="str">
        <f t="shared" si="77"/>
        <v/>
      </c>
      <c r="G2446" t="s">
        <v>874</v>
      </c>
    </row>
    <row r="2447" spans="1:7" ht="15" hidden="1" customHeight="1" x14ac:dyDescent="0.3">
      <c r="A2447" t="s">
        <v>192</v>
      </c>
      <c r="B2447" s="2">
        <v>46296</v>
      </c>
      <c r="C2447" t="str" cm="1">
        <f t="array" ref="C2447">IFERROR(IF(SUMPRODUCT((measured[Site Name]=A2447)*(measured[Date]=B2447)*ISNUMBER(measured[Measured Value (kWh)]))=0,"",SUMIFS(measured[Measured Value (kWh)],measured[Site Name],A2447,measured[Date],B2447)),"")</f>
        <v/>
      </c>
      <c r="D2447" cm="1">
        <f t="array" ref="D2447">IFERROR(IF(SUMPRODUCT((expected_production[Site Name]=A2447)*(expected_production[Date]=B2447)*ISNUMBER(expected_production[Expected Production (kWh)]))=0,"",SUMIFS(expected_production[Expected Production (kWh)],expected_production[Site Name],A2447,expected_production[Date],B2447)),"")</f>
        <v>0</v>
      </c>
      <c r="E2447" s="9" t="str">
        <f t="shared" si="76"/>
        <v/>
      </c>
      <c r="F2447" t="str">
        <f t="shared" si="77"/>
        <v/>
      </c>
    </row>
    <row r="2448" spans="1:7" ht="15" hidden="1" customHeight="1" x14ac:dyDescent="0.3">
      <c r="A2448" t="s">
        <v>192</v>
      </c>
      <c r="B2448" s="2">
        <v>46327</v>
      </c>
      <c r="C2448" t="str" cm="1">
        <f t="array" ref="C2448">IFERROR(IF(SUMPRODUCT((measured[Site Name]=A2448)*(measured[Date]=B2448)*ISNUMBER(measured[Measured Value (kWh)]))=0,"",SUMIFS(measured[Measured Value (kWh)],measured[Site Name],A2448,measured[Date],B2448)),"")</f>
        <v/>
      </c>
      <c r="D2448" cm="1">
        <f t="array" ref="D2448">IFERROR(IF(SUMPRODUCT((expected_production[Site Name]=A2448)*(expected_production[Date]=B2448)*ISNUMBER(expected_production[Expected Production (kWh)]))=0,"",SUMIFS(expected_production[Expected Production (kWh)],expected_production[Site Name],A2448,expected_production[Date],B2448)),"")</f>
        <v>0</v>
      </c>
      <c r="E2448" s="9" t="str">
        <f t="shared" si="76"/>
        <v/>
      </c>
      <c r="F2448" t="str">
        <f t="shared" si="77"/>
        <v/>
      </c>
    </row>
    <row r="2449" spans="1:6" ht="15" hidden="1" customHeight="1" x14ac:dyDescent="0.3">
      <c r="A2449" t="s">
        <v>192</v>
      </c>
      <c r="B2449" s="2">
        <v>46357</v>
      </c>
      <c r="C2449" t="str" cm="1">
        <f t="array" ref="C2449">IFERROR(IF(SUMPRODUCT((measured[Site Name]=A2449)*(measured[Date]=B2449)*ISNUMBER(measured[Measured Value (kWh)]))=0,"",SUMIFS(measured[Measured Value (kWh)],measured[Site Name],A2449,measured[Date],B2449)),"")</f>
        <v/>
      </c>
      <c r="D2449" cm="1">
        <f t="array" ref="D2449">IFERROR(IF(SUMPRODUCT((expected_production[Site Name]=A2449)*(expected_production[Date]=B2449)*ISNUMBER(expected_production[Expected Production (kWh)]))=0,"",SUMIFS(expected_production[Expected Production (kWh)],expected_production[Site Name],A2449,expected_production[Date],B2449)),"")</f>
        <v>0</v>
      </c>
      <c r="E2449" s="9" t="str">
        <f t="shared" si="76"/>
        <v/>
      </c>
      <c r="F2449" t="str">
        <f t="shared" si="77"/>
        <v/>
      </c>
    </row>
    <row r="2450" spans="1:6" ht="15" hidden="1" customHeight="1" x14ac:dyDescent="0.3">
      <c r="A2450" t="s">
        <v>194</v>
      </c>
      <c r="B2450" s="2">
        <v>45292</v>
      </c>
      <c r="C2450" cm="1">
        <f t="array" ref="C2450">IFERROR(IF(SUMPRODUCT((measured[Site Name]=A2450)*(measured[Date]=B2450)*ISNUMBER(measured[Measured Value (kWh)]))=0,"",SUMIFS(measured[Measured Value (kWh)],measured[Site Name],A2450,measured[Date],B2450)),"")</f>
        <v>6142</v>
      </c>
      <c r="D2450" cm="1">
        <f t="array" ref="D2450">IFERROR(IF(SUMPRODUCT((expected_production[Site Name]=A2450)*(expected_production[Date]=B2450)*ISNUMBER(expected_production[Expected Production (kWh)]))=0,"",SUMIFS(expected_production[Expected Production (kWh)],expected_production[Site Name],A2450,expected_production[Date],B2450)),"")</f>
        <v>7367.9898912371764</v>
      </c>
      <c r="E2450" s="9">
        <f t="shared" si="76"/>
        <v>0.83360592110810872</v>
      </c>
      <c r="F2450" t="str">
        <f t="shared" si="77"/>
        <v>Moderate</v>
      </c>
    </row>
    <row r="2451" spans="1:6" ht="15" hidden="1" customHeight="1" x14ac:dyDescent="0.3">
      <c r="A2451" t="s">
        <v>194</v>
      </c>
      <c r="B2451" s="2">
        <v>45323</v>
      </c>
      <c r="C2451" cm="1">
        <f t="array" ref="C2451">IFERROR(IF(SUMPRODUCT((measured[Site Name]=A2451)*(measured[Date]=B2451)*ISNUMBER(measured[Measured Value (kWh)]))=0,"",SUMIFS(measured[Measured Value (kWh)],measured[Site Name],A2451,measured[Date],B2451)),"")</f>
        <v>5738</v>
      </c>
      <c r="D2451" cm="1">
        <f t="array" ref="D2451">IFERROR(IF(SUMPRODUCT((expected_production[Site Name]=A2451)*(expected_production[Date]=B2451)*ISNUMBER(expected_production[Expected Production (kWh)]))=0,"",SUMIFS(expected_production[Expected Production (kWh)],expected_production[Site Name],A2451,expected_production[Date],B2451)),"")</f>
        <v>6267.3876787326935</v>
      </c>
      <c r="E2451" s="9">
        <f t="shared" si="76"/>
        <v>0.91553296112045535</v>
      </c>
      <c r="F2451" t="str">
        <f t="shared" si="77"/>
        <v>Expected</v>
      </c>
    </row>
    <row r="2452" spans="1:6" ht="15" hidden="1" customHeight="1" x14ac:dyDescent="0.3">
      <c r="A2452" t="s">
        <v>194</v>
      </c>
      <c r="B2452" s="2">
        <v>45352</v>
      </c>
      <c r="C2452" cm="1">
        <f t="array" ref="C2452">IFERROR(IF(SUMPRODUCT((measured[Site Name]=A2452)*(measured[Date]=B2452)*ISNUMBER(measured[Measured Value (kWh)]))=0,"",SUMIFS(measured[Measured Value (kWh)],measured[Site Name],A2452,measured[Date],B2452)),"")</f>
        <v>5912</v>
      </c>
      <c r="D2452" cm="1">
        <f t="array" ref="D2452">IFERROR(IF(SUMPRODUCT((expected_production[Site Name]=A2452)*(expected_production[Date]=B2452)*ISNUMBER(expected_production[Expected Production (kWh)]))=0,"",SUMIFS(expected_production[Expected Production (kWh)],expected_production[Site Name],A2452,expected_production[Date],B2452)),"")</f>
        <v>6318.4940469592939</v>
      </c>
      <c r="E2452" s="9">
        <f t="shared" si="76"/>
        <v>0.9356659919376018</v>
      </c>
      <c r="F2452" t="str">
        <f t="shared" si="77"/>
        <v>Expected</v>
      </c>
    </row>
    <row r="2453" spans="1:6" ht="15" hidden="1" customHeight="1" x14ac:dyDescent="0.3">
      <c r="A2453" t="s">
        <v>194</v>
      </c>
      <c r="B2453" s="2">
        <v>45383</v>
      </c>
      <c r="C2453" cm="1">
        <f t="array" ref="C2453">IFERROR(IF(SUMPRODUCT((measured[Site Name]=A2453)*(measured[Date]=B2453)*ISNUMBER(measured[Measured Value (kWh)]))=0,"",SUMIFS(measured[Measured Value (kWh)],measured[Site Name],A2453,measured[Date],B2453)),"")</f>
        <v>4354</v>
      </c>
      <c r="D2453" cm="1">
        <f t="array" ref="D2453">IFERROR(IF(SUMPRODUCT((expected_production[Site Name]=A2453)*(expected_production[Date]=B2453)*ISNUMBER(expected_production[Expected Production (kWh)]))=0,"",SUMIFS(expected_production[Expected Production (kWh)],expected_production[Site Name],A2453,expected_production[Date],B2453)),"")</f>
        <v>4986.3003598390242</v>
      </c>
      <c r="E2453" s="9">
        <f t="shared" si="76"/>
        <v>0.87319248456596443</v>
      </c>
      <c r="F2453" t="str">
        <f t="shared" si="77"/>
        <v>Moderate</v>
      </c>
    </row>
    <row r="2454" spans="1:6" ht="15" hidden="1" customHeight="1" x14ac:dyDescent="0.3">
      <c r="A2454" t="s">
        <v>194</v>
      </c>
      <c r="B2454" s="2">
        <v>45413</v>
      </c>
      <c r="C2454" cm="1">
        <f t="array" ref="C2454">IFERROR(IF(SUMPRODUCT((measured[Site Name]=A2454)*(measured[Date]=B2454)*ISNUMBER(measured[Measured Value (kWh)]))=0,"",SUMIFS(measured[Measured Value (kWh)],measured[Site Name],A2454,measured[Date],B2454)),"")</f>
        <v>3536</v>
      </c>
      <c r="D2454" cm="1">
        <f t="array" ref="D2454">IFERROR(IF(SUMPRODUCT((expected_production[Site Name]=A2454)*(expected_production[Date]=B2454)*ISNUMBER(expected_production[Expected Production (kWh)]))=0,"",SUMIFS(expected_production[Expected Production (kWh)],expected_production[Site Name],A2454,expected_production[Date],B2454)),"")</f>
        <v>4722.362189657817</v>
      </c>
      <c r="E2454" s="9">
        <f t="shared" ref="E2454:E2517" si="78">IF(OR(C2454="",D2454="",D2454=0),"",C2454/D2454)</f>
        <v>0.74877780610390221</v>
      </c>
      <c r="F2454" t="str">
        <f t="shared" ref="F2454:F2517" si="79">IF(E2454="","",IF(E2454&gt;=0.9,"Expected",IF(E2454&gt;=0.7,"Moderate","Poor")))</f>
        <v>Moderate</v>
      </c>
    </row>
    <row r="2455" spans="1:6" ht="15" hidden="1" customHeight="1" x14ac:dyDescent="0.3">
      <c r="A2455" t="s">
        <v>194</v>
      </c>
      <c r="B2455" s="2">
        <v>45444</v>
      </c>
      <c r="C2455" cm="1">
        <f t="array" ref="C2455">IFERROR(IF(SUMPRODUCT((measured[Site Name]=A2455)*(measured[Date]=B2455)*ISNUMBER(measured[Measured Value (kWh)]))=0,"",SUMIFS(measured[Measured Value (kWh)],measured[Site Name],A2455,measured[Date],B2455)),"")</f>
        <v>2689</v>
      </c>
      <c r="D2455" cm="1">
        <f t="array" ref="D2455">IFERROR(IF(SUMPRODUCT((expected_production[Site Name]=A2455)*(expected_production[Date]=B2455)*ISNUMBER(expected_production[Expected Production (kWh)]))=0,"",SUMIFS(expected_production[Expected Production (kWh)],expected_production[Site Name],A2455,expected_production[Date],B2455)),"")</f>
        <v>4226.3271261024893</v>
      </c>
      <c r="E2455" s="9">
        <f t="shared" si="78"/>
        <v>0.63624984999204037</v>
      </c>
      <c r="F2455" t="str">
        <f t="shared" si="79"/>
        <v>Poor</v>
      </c>
    </row>
    <row r="2456" spans="1:6" ht="15" hidden="1" customHeight="1" x14ac:dyDescent="0.3">
      <c r="A2456" t="s">
        <v>194</v>
      </c>
      <c r="B2456" s="2">
        <v>45474</v>
      </c>
      <c r="C2456" cm="1">
        <f t="array" ref="C2456">IFERROR(IF(SUMPRODUCT((measured[Site Name]=A2456)*(measured[Date]=B2456)*ISNUMBER(measured[Measured Value (kWh)]))=0,"",SUMIFS(measured[Measured Value (kWh)],measured[Site Name],A2456,measured[Date],B2456)),"")</f>
        <v>3106</v>
      </c>
      <c r="D2456" cm="1">
        <f t="array" ref="D2456">IFERROR(IF(SUMPRODUCT((expected_production[Site Name]=A2456)*(expected_production[Date]=B2456)*ISNUMBER(expected_production[Expected Production (kWh)]))=0,"",SUMIFS(expected_production[Expected Production (kWh)],expected_production[Site Name],A2456,expected_production[Date],B2456)),"")</f>
        <v>4693.6072929024576</v>
      </c>
      <c r="E2456" s="9">
        <f t="shared" si="78"/>
        <v>0.66175114494491405</v>
      </c>
      <c r="F2456" t="str">
        <f t="shared" si="79"/>
        <v>Poor</v>
      </c>
    </row>
    <row r="2457" spans="1:6" ht="15" hidden="1" customHeight="1" x14ac:dyDescent="0.3">
      <c r="A2457" t="s">
        <v>194</v>
      </c>
      <c r="B2457" s="2">
        <v>45505</v>
      </c>
      <c r="C2457" cm="1">
        <f t="array" ref="C2457">IFERROR(IF(SUMPRODUCT((measured[Site Name]=A2457)*(measured[Date]=B2457)*ISNUMBER(measured[Measured Value (kWh)]))=0,"",SUMIFS(measured[Measured Value (kWh)],measured[Site Name],A2457,measured[Date],B2457)),"")</f>
        <v>4461</v>
      </c>
      <c r="D2457" cm="1">
        <f t="array" ref="D2457">IFERROR(IF(SUMPRODUCT((expected_production[Site Name]=A2457)*(expected_production[Date]=B2457)*ISNUMBER(expected_production[Expected Production (kWh)]))=0,"",SUMIFS(expected_production[Expected Production (kWh)],expected_production[Site Name],A2457,expected_production[Date],B2457)),"")</f>
        <v>5394.9667335952854</v>
      </c>
      <c r="E2457" s="9">
        <f t="shared" si="78"/>
        <v>0.82688183640144963</v>
      </c>
      <c r="F2457" t="str">
        <f t="shared" si="79"/>
        <v>Moderate</v>
      </c>
    </row>
    <row r="2458" spans="1:6" ht="15" hidden="1" customHeight="1" x14ac:dyDescent="0.3">
      <c r="A2458" t="s">
        <v>194</v>
      </c>
      <c r="B2458" s="2">
        <v>45536</v>
      </c>
      <c r="C2458" cm="1">
        <f t="array" ref="C2458">IFERROR(IF(SUMPRODUCT((measured[Site Name]=A2458)*(measured[Date]=B2458)*ISNUMBER(measured[Measured Value (kWh)]))=0,"",SUMIFS(measured[Measured Value (kWh)],measured[Site Name],A2458,measured[Date],B2458)),"")</f>
        <v>5033</v>
      </c>
      <c r="D2458" cm="1">
        <f t="array" ref="D2458">IFERROR(IF(SUMPRODUCT((expected_production[Site Name]=A2458)*(expected_production[Date]=B2458)*ISNUMBER(expected_production[Expected Production (kWh)]))=0,"",SUMIFS(expected_production[Expected Production (kWh)],expected_production[Site Name],A2458,expected_production[Date],B2458)),"")</f>
        <v>6289.0384942791752</v>
      </c>
      <c r="E2458" s="9">
        <f t="shared" si="78"/>
        <v>0.80028131559033533</v>
      </c>
      <c r="F2458" t="str">
        <f t="shared" si="79"/>
        <v>Moderate</v>
      </c>
    </row>
    <row r="2459" spans="1:6" ht="15" hidden="1" customHeight="1" x14ac:dyDescent="0.3">
      <c r="A2459" t="s">
        <v>194</v>
      </c>
      <c r="B2459" s="2">
        <v>45566</v>
      </c>
      <c r="C2459" cm="1">
        <f t="array" ref="C2459">IFERROR(IF(SUMPRODUCT((measured[Site Name]=A2459)*(measured[Date]=B2459)*ISNUMBER(measured[Measured Value (kWh)]))=0,"",SUMIFS(measured[Measured Value (kWh)],measured[Site Name],A2459,measured[Date],B2459)),"")</f>
        <v>6965</v>
      </c>
      <c r="D2459" cm="1">
        <f t="array" ref="D2459">IFERROR(IF(SUMPRODUCT((expected_production[Site Name]=A2459)*(expected_production[Date]=B2459)*ISNUMBER(expected_production[Expected Production (kWh)]))=0,"",SUMIFS(expected_production[Expected Production (kWh)],expected_production[Site Name],A2459,expected_production[Date],B2459)),"")</f>
        <v>7181.2892676946758</v>
      </c>
      <c r="E2459" s="9">
        <f t="shared" si="78"/>
        <v>0.96988155474147775</v>
      </c>
      <c r="F2459" t="str">
        <f t="shared" si="79"/>
        <v>Expected</v>
      </c>
    </row>
    <row r="2460" spans="1:6" ht="15" hidden="1" customHeight="1" x14ac:dyDescent="0.3">
      <c r="A2460" t="s">
        <v>194</v>
      </c>
      <c r="B2460" s="2">
        <v>45597</v>
      </c>
      <c r="C2460" cm="1">
        <f t="array" ref="C2460">IFERROR(IF(SUMPRODUCT((measured[Site Name]=A2460)*(measured[Date]=B2460)*ISNUMBER(measured[Measured Value (kWh)]))=0,"",SUMIFS(measured[Measured Value (kWh)],measured[Site Name],A2460,measured[Date],B2460)),"")</f>
        <v>6934</v>
      </c>
      <c r="D2460" cm="1">
        <f t="array" ref="D2460">IFERROR(IF(SUMPRODUCT((expected_production[Site Name]=A2460)*(expected_production[Date]=B2460)*ISNUMBER(expected_production[Expected Production (kWh)]))=0,"",SUMIFS(expected_production[Expected Production (kWh)],expected_production[Site Name],A2460,expected_production[Date],B2460)),"")</f>
        <v>7256.2982403371761</v>
      </c>
      <c r="E2460" s="9">
        <f t="shared" si="78"/>
        <v>0.95558365578945659</v>
      </c>
      <c r="F2460" t="str">
        <f t="shared" si="79"/>
        <v>Expected</v>
      </c>
    </row>
    <row r="2461" spans="1:6" ht="15" hidden="1" customHeight="1" x14ac:dyDescent="0.3">
      <c r="A2461" t="s">
        <v>194</v>
      </c>
      <c r="B2461" s="2">
        <v>45627</v>
      </c>
      <c r="C2461" cm="1">
        <f t="array" ref="C2461">IFERROR(IF(SUMPRODUCT((measured[Site Name]=A2461)*(measured[Date]=B2461)*ISNUMBER(measured[Measured Value (kWh)]))=0,"",SUMIFS(measured[Measured Value (kWh)],measured[Site Name],A2461,measured[Date],B2461)),"")</f>
        <v>7000</v>
      </c>
      <c r="D2461" cm="1">
        <f t="array" ref="D2461">IFERROR(IF(SUMPRODUCT((expected_production[Site Name]=A2461)*(expected_production[Date]=B2461)*ISNUMBER(expected_production[Expected Production (kWh)]))=0,"",SUMIFS(expected_production[Expected Production (kWh)],expected_production[Site Name],A2461,expected_production[Date],B2461)),"")</f>
        <v>7781.886517287101</v>
      </c>
      <c r="E2461" s="9">
        <f t="shared" si="78"/>
        <v>0.8995248111688372</v>
      </c>
      <c r="F2461" t="str">
        <f t="shared" si="79"/>
        <v>Moderate</v>
      </c>
    </row>
    <row r="2462" spans="1:6" ht="15" hidden="1" customHeight="1" x14ac:dyDescent="0.3">
      <c r="A2462" t="s">
        <v>194</v>
      </c>
      <c r="B2462" s="2">
        <v>45658</v>
      </c>
      <c r="C2462" cm="1">
        <f t="array" ref="C2462">IFERROR(IF(SUMPRODUCT((measured[Site Name]=A2462)*(measured[Date]=B2462)*ISNUMBER(measured[Measured Value (kWh)]))=0,"",SUMIFS(measured[Measured Value (kWh)],measured[Site Name],A2462,measured[Date],B2462)),"")</f>
        <v>5900</v>
      </c>
      <c r="D2462" cm="1">
        <f t="array" ref="D2462">IFERROR(IF(SUMPRODUCT((expected_production[Site Name]=A2462)*(expected_production[Date]=B2462)*ISNUMBER(expected_production[Expected Production (kWh)]))=0,"",SUMIFS(expected_production[Expected Production (kWh)],expected_production[Site Name],A2462,expected_production[Date],B2462)),"")</f>
        <v>7316.3084288976197</v>
      </c>
      <c r="E2462" s="9">
        <f t="shared" si="78"/>
        <v>0.80641761584249927</v>
      </c>
      <c r="F2462" t="str">
        <f t="shared" si="79"/>
        <v>Moderate</v>
      </c>
    </row>
    <row r="2463" spans="1:6" ht="15" hidden="1" customHeight="1" x14ac:dyDescent="0.3">
      <c r="A2463" t="s">
        <v>194</v>
      </c>
      <c r="B2463" s="2">
        <v>45689</v>
      </c>
      <c r="C2463" cm="1">
        <f t="array" ref="C2463">IFERROR(IF(SUMPRODUCT((measured[Site Name]=A2463)*(measured[Date]=B2463)*ISNUMBER(measured[Measured Value (kWh)]))=0,"",SUMIFS(measured[Measured Value (kWh)],measured[Site Name],A2463,measured[Date],B2463)),"")</f>
        <v>4280</v>
      </c>
      <c r="D2463" cm="1">
        <f t="array" ref="D2463">IFERROR(IF(SUMPRODUCT((expected_production[Site Name]=A2463)*(expected_production[Date]=B2463)*ISNUMBER(expected_production[Expected Production (kWh)]))=0,"",SUMIFS(expected_production[Expected Production (kWh)],expected_production[Site Name],A2463,expected_production[Date],B2463)),"")</f>
        <v>6223.4261960125477</v>
      </c>
      <c r="E2463" s="9">
        <f t="shared" si="78"/>
        <v>0.68772407114625489</v>
      </c>
      <c r="F2463" t="str">
        <f t="shared" si="79"/>
        <v>Poor</v>
      </c>
    </row>
    <row r="2464" spans="1:6" ht="15" hidden="1" customHeight="1" x14ac:dyDescent="0.3">
      <c r="A2464" t="s">
        <v>194</v>
      </c>
      <c r="B2464" s="2">
        <v>45717</v>
      </c>
      <c r="C2464" cm="1">
        <f t="array" ref="C2464">IFERROR(IF(SUMPRODUCT((measured[Site Name]=A2464)*(measured[Date]=B2464)*ISNUMBER(measured[Measured Value (kWh)]))=0,"",SUMIFS(measured[Measured Value (kWh)],measured[Site Name],A2464,measured[Date],B2464)),"")</f>
        <v>4292</v>
      </c>
      <c r="D2464" cm="1">
        <f t="array" ref="D2464">IFERROR(IF(SUMPRODUCT((expected_production[Site Name]=A2464)*(expected_production[Date]=B2464)*ISNUMBER(expected_production[Expected Production (kWh)]))=0,"",SUMIFS(expected_production[Expected Production (kWh)],expected_production[Site Name],A2464,expected_production[Date],B2464)),"")</f>
        <v>6274.294755912375</v>
      </c>
      <c r="E2464" s="9">
        <f t="shared" si="78"/>
        <v>0.68406094500988734</v>
      </c>
      <c r="F2464" t="str">
        <f t="shared" si="79"/>
        <v>Poor</v>
      </c>
    </row>
    <row r="2465" spans="1:7" ht="15" hidden="1" customHeight="1" x14ac:dyDescent="0.3">
      <c r="A2465" t="s">
        <v>194</v>
      </c>
      <c r="B2465" s="2">
        <v>45748</v>
      </c>
      <c r="C2465" cm="1">
        <f t="array" ref="C2465">IFERROR(IF(SUMPRODUCT((measured[Site Name]=A2465)*(measured[Date]=B2465)*ISNUMBER(measured[Measured Value (kWh)]))=0,"",SUMIFS(measured[Measured Value (kWh)],measured[Site Name],A2465,measured[Date],B2465)),"")</f>
        <v>3097</v>
      </c>
      <c r="D2465" cm="1">
        <f t="array" ref="D2465">IFERROR(IF(SUMPRODUCT((expected_production[Site Name]=A2465)*(expected_production[Date]=B2465)*ISNUMBER(expected_production[Expected Production (kWh)]))=0,"",SUMIFS(expected_production[Expected Production (kWh)],expected_production[Site Name],A2465,expected_production[Date],B2465)),"")</f>
        <v>4951.4200641207835</v>
      </c>
      <c r="E2465" s="9">
        <f t="shared" si="78"/>
        <v>0.62547712775202191</v>
      </c>
      <c r="F2465" t="str">
        <f t="shared" si="79"/>
        <v>Poor</v>
      </c>
    </row>
    <row r="2466" spans="1:7" ht="15" hidden="1" customHeight="1" x14ac:dyDescent="0.3">
      <c r="A2466" t="s">
        <v>194</v>
      </c>
      <c r="B2466" s="2">
        <v>45778</v>
      </c>
      <c r="C2466" cm="1">
        <f t="array" ref="C2466">IFERROR(IF(SUMPRODUCT((measured[Site Name]=A2466)*(measured[Date]=B2466)*ISNUMBER(measured[Measured Value (kWh)]))=0,"",SUMIFS(measured[Measured Value (kWh)],measured[Site Name],A2466,measured[Date],B2466)),"")</f>
        <v>3200</v>
      </c>
      <c r="D2466" cm="1">
        <f t="array" ref="D2466">IFERROR(IF(SUMPRODUCT((expected_production[Site Name]=A2466)*(expected_production[Date]=B2466)*ISNUMBER(expected_production[Expected Production (kWh)]))=0,"",SUMIFS(expected_production[Expected Production (kWh)],expected_production[Site Name],A2466,expected_production[Date],B2466)),"")</f>
        <v>4689.3282009734257</v>
      </c>
      <c r="E2466" s="9">
        <f t="shared" si="78"/>
        <v>0.68240051940398072</v>
      </c>
      <c r="F2466" t="str">
        <f t="shared" si="79"/>
        <v>Poor</v>
      </c>
    </row>
    <row r="2467" spans="1:7" ht="15" hidden="1" customHeight="1" x14ac:dyDescent="0.3">
      <c r="A2467" t="s">
        <v>194</v>
      </c>
      <c r="B2467" s="2">
        <v>45809</v>
      </c>
      <c r="C2467" cm="1">
        <f t="array" ref="C2467">IFERROR(IF(SUMPRODUCT((measured[Site Name]=A2467)*(measured[Date]=B2467)*ISNUMBER(measured[Measured Value (kWh)]))=0,"",SUMIFS(measured[Measured Value (kWh)],measured[Site Name],A2467,measured[Date],B2467)),"")</f>
        <v>2560.4</v>
      </c>
      <c r="D2467" cm="1">
        <f t="array" ref="D2467">IFERROR(IF(SUMPRODUCT((expected_production[Site Name]=A2467)*(expected_production[Date]=B2467)*ISNUMBER(expected_production[Expected Production (kWh)]))=0,"",SUMIFS(expected_production[Expected Production (kWh)],expected_production[Site Name],A2467,expected_production[Date],B2467)),"")</f>
        <v>4196.763014572467</v>
      </c>
      <c r="E2467" s="9">
        <f t="shared" si="78"/>
        <v>0.61008925000279846</v>
      </c>
      <c r="F2467" t="str">
        <f t="shared" si="79"/>
        <v>Poor</v>
      </c>
    </row>
    <row r="2468" spans="1:7" ht="15" hidden="1" customHeight="1" x14ac:dyDescent="0.3">
      <c r="A2468" t="s">
        <v>194</v>
      </c>
      <c r="B2468" s="2">
        <v>45839</v>
      </c>
      <c r="C2468" cm="1">
        <f t="array" ref="C2468">IFERROR(IF(SUMPRODUCT((measured[Site Name]=A2468)*(measured[Date]=B2468)*ISNUMBER(measured[Measured Value (kWh)]))=0,"",SUMIFS(measured[Measured Value (kWh)],measured[Site Name],A2468,measured[Date],B2468)),"")</f>
        <v>2823</v>
      </c>
      <c r="D2468" cm="1">
        <f t="array" ref="D2468">IFERROR(IF(SUMPRODUCT((expected_production[Site Name]=A2468)*(expected_production[Date]=B2468)*ISNUMBER(expected_production[Expected Production (kWh)]))=0,"",SUMIFS(expected_production[Expected Production (kWh)],expected_production[Site Name],A2468,expected_production[Date],B2468)),"")</f>
        <v>4660.7744512067748</v>
      </c>
      <c r="E2468" s="9">
        <f t="shared" si="78"/>
        <v>0.60569333048696761</v>
      </c>
      <c r="F2468" t="str">
        <f t="shared" si="79"/>
        <v>Poor</v>
      </c>
    </row>
    <row r="2469" spans="1:7" ht="15" hidden="1" customHeight="1" x14ac:dyDescent="0.3">
      <c r="A2469" t="s">
        <v>194</v>
      </c>
      <c r="B2469" s="2">
        <v>45870</v>
      </c>
      <c r="C2469" cm="1">
        <f t="array" ref="C2469">IFERROR(IF(SUMPRODUCT((measured[Site Name]=A2469)*(measured[Date]=B2469)*ISNUMBER(measured[Measured Value (kWh)]))=0,"",SUMIFS(measured[Measured Value (kWh)],measured[Site Name],A2469,measured[Date],B2469)),"")</f>
        <v>4200</v>
      </c>
      <c r="D2469" cm="1">
        <f t="array" ref="D2469">IFERROR(IF(SUMPRODUCT((expected_production[Site Name]=A2469)*(expected_production[Date]=B2469)*ISNUMBER(expected_production[Expected Production (kWh)]))=0,"",SUMIFS(expected_production[Expected Production (kWh)],expected_production[Site Name],A2469,expected_production[Date],B2469)),"")</f>
        <v>5357.2277244145489</v>
      </c>
      <c r="E2469" s="9">
        <f t="shared" si="78"/>
        <v>0.78398758015443271</v>
      </c>
      <c r="F2469" t="str">
        <f t="shared" si="79"/>
        <v>Moderate</v>
      </c>
    </row>
    <row r="2470" spans="1:7" ht="15" hidden="1" customHeight="1" x14ac:dyDescent="0.3">
      <c r="A2470" t="s">
        <v>194</v>
      </c>
      <c r="B2470" s="2">
        <v>45901</v>
      </c>
      <c r="C2470" cm="1">
        <f t="array" ref="C2470">IFERROR(IF(SUMPRODUCT((measured[Site Name]=A2470)*(measured[Date]=B2470)*ISNUMBER(measured[Measured Value (kWh)]))=0,"",SUMIFS(measured[Measured Value (kWh)],measured[Site Name],A2470,measured[Date],B2470)),"")</f>
        <v>4566</v>
      </c>
      <c r="D2470" cm="1">
        <f t="array" ref="D2470">IFERROR(IF(SUMPRODUCT((expected_production[Site Name]=A2470)*(expected_production[Date]=B2470)*ISNUMBER(expected_production[Expected Production (kWh)]))=0,"",SUMIFS(expected_production[Expected Production (kWh)],expected_production[Site Name],A2470,expected_production[Date],B2470)),"")</f>
        <v>6245.0452514671961</v>
      </c>
      <c r="E2470" s="9">
        <f t="shared" si="78"/>
        <v>0.73113961807198669</v>
      </c>
      <c r="F2470" t="str">
        <f t="shared" si="79"/>
        <v>Moderate</v>
      </c>
    </row>
    <row r="2471" spans="1:7" ht="15" hidden="1" customHeight="1" x14ac:dyDescent="0.3">
      <c r="A2471" t="s">
        <v>194</v>
      </c>
      <c r="B2471" s="2">
        <v>45931</v>
      </c>
      <c r="C2471" cm="1">
        <f t="array" ref="C2471">IFERROR(IF(SUMPRODUCT((measured[Site Name]=A2471)*(measured[Date]=B2471)*ISNUMBER(measured[Measured Value (kWh)]))=0,"",SUMIFS(measured[Measured Value (kWh)],measured[Site Name],A2471,measured[Date],B2471)),"")</f>
        <v>6195.1</v>
      </c>
      <c r="D2471" cm="1">
        <f t="array" ref="D2471">IFERROR(IF(SUMPRODUCT((expected_production[Site Name]=A2471)*(expected_production[Date]=B2471)*ISNUMBER(expected_production[Expected Production (kWh)]))=0,"",SUMIFS(expected_production[Expected Production (kWh)],expected_production[Site Name],A2471,expected_production[Date],B2471)),"")</f>
        <v>7131.054529468136</v>
      </c>
      <c r="E2471" s="9">
        <f t="shared" si="78"/>
        <v>0.86874949201405938</v>
      </c>
      <c r="F2471" t="str">
        <f t="shared" si="79"/>
        <v>Moderate</v>
      </c>
    </row>
    <row r="2472" spans="1:7" ht="15" hidden="1" customHeight="1" x14ac:dyDescent="0.3">
      <c r="A2472" t="s">
        <v>194</v>
      </c>
      <c r="B2472" s="2">
        <v>45962</v>
      </c>
      <c r="C2472" cm="1">
        <f t="array" ref="C2472">IFERROR(IF(SUMPRODUCT((measured[Site Name]=A2472)*(measured[Date]=B2472)*ISNUMBER(measured[Measured Value (kWh)]))=0,"",SUMIFS(measured[Measured Value (kWh)],measured[Site Name],A2472,measured[Date],B2472)),"")</f>
        <v>5304</v>
      </c>
      <c r="D2472" cm="1">
        <f t="array" ref="D2472">IFERROR(IF(SUMPRODUCT((expected_production[Site Name]=A2472)*(expected_production[Date]=B2472)*ISNUMBER(expected_production[Expected Production (kWh)]))=0,"",SUMIFS(expected_production[Expected Production (kWh)],expected_production[Site Name],A2472,expected_production[Date],B2472)),"")</f>
        <v>7205.5387974281102</v>
      </c>
      <c r="E2472" s="9">
        <f t="shared" si="78"/>
        <v>0.7361004012487129</v>
      </c>
      <c r="F2472" t="str">
        <f t="shared" si="79"/>
        <v>Moderate</v>
      </c>
    </row>
    <row r="2473" spans="1:7" ht="15" hidden="1" customHeight="1" x14ac:dyDescent="0.3">
      <c r="A2473" t="s">
        <v>194</v>
      </c>
      <c r="B2473" s="2">
        <v>45992</v>
      </c>
      <c r="C2473" cm="1">
        <f t="array" ref="C2473">IFERROR(IF(SUMPRODUCT((measured[Site Name]=A2473)*(measured[Date]=B2473)*ISNUMBER(measured[Measured Value (kWh)]))=0,"",SUMIFS(measured[Measured Value (kWh)],measured[Site Name],A2473,measured[Date],B2473)),"")</f>
        <v>6296</v>
      </c>
      <c r="D2473" cm="1">
        <f t="array" ref="D2473">IFERROR(IF(SUMPRODUCT((expected_production[Site Name]=A2473)*(expected_production[Date]=B2473)*ISNUMBER(expected_production[Expected Production (kWh)]))=0,"",SUMIFS(expected_production[Expected Production (kWh)],expected_production[Site Name],A2473,expected_production[Date],B2473)),"")</f>
        <v>7727.4504658299993</v>
      </c>
      <c r="E2473" s="9">
        <f t="shared" si="78"/>
        <v>0.81475772997061224</v>
      </c>
      <c r="F2473" t="str">
        <f t="shared" si="79"/>
        <v>Moderate</v>
      </c>
    </row>
    <row r="2474" spans="1:7" ht="15" hidden="1" customHeight="1" x14ac:dyDescent="0.3">
      <c r="A2474" t="s">
        <v>194</v>
      </c>
      <c r="B2474" s="2">
        <v>46023</v>
      </c>
      <c r="C2474" cm="1">
        <f t="array" ref="C2474">IFERROR(IF(SUMPRODUCT((measured[Site Name]=A2474)*(measured[Date]=B2474)*ISNUMBER(measured[Measured Value (kWh)]))=0,"",SUMIFS(measured[Measured Value (kWh)],measured[Site Name],A2474,measured[Date],B2474)),"")</f>
        <v>6828</v>
      </c>
      <c r="D2474" cm="1">
        <f t="array" ref="D2474">IFERROR(IF(SUMPRODUCT((expected_production[Site Name]=A2474)*(expected_production[Date]=B2474)*ISNUMBER(expected_production[Expected Production (kWh)]))=0,"",SUMIFS(expected_production[Expected Production (kWh)],expected_production[Site Name],A2474,expected_production[Date],B2474)),"")</f>
        <v>7265.1292011837795</v>
      </c>
      <c r="E2474" s="9">
        <f t="shared" si="78"/>
        <v>0.93983187510105759</v>
      </c>
      <c r="F2474" t="str">
        <f t="shared" si="79"/>
        <v>Expected</v>
      </c>
    </row>
    <row r="2475" spans="1:7" ht="15" hidden="1" customHeight="1" x14ac:dyDescent="0.3">
      <c r="A2475" t="s">
        <v>194</v>
      </c>
      <c r="B2475" s="2">
        <v>46054</v>
      </c>
      <c r="C2475" cm="1">
        <f t="array" ref="C2475">IFERROR(IF(SUMPRODUCT((measured[Site Name]=A2475)*(measured[Date]=B2475)*ISNUMBER(measured[Measured Value (kWh)]))=0,"",SUMIFS(measured[Measured Value (kWh)],measured[Site Name],A2475,measured[Date],B2475)),"")</f>
        <v>6062</v>
      </c>
      <c r="D2475" cm="1">
        <f t="array" ref="D2475">IFERROR(IF(SUMPRODUCT((expected_production[Site Name]=A2475)*(expected_production[Date]=B2475)*ISNUMBER(expected_production[Expected Production (kWh)]))=0,"",SUMIFS(expected_production[Expected Production (kWh)],expected_production[Site Name],A2475,expected_production[Date],B2475)),"")</f>
        <v>6179.8919260263392</v>
      </c>
      <c r="E2475" s="9">
        <f t="shared" si="78"/>
        <v>0.9809233029578005</v>
      </c>
      <c r="F2475" t="str">
        <f t="shared" si="79"/>
        <v>Expected</v>
      </c>
    </row>
    <row r="2476" spans="1:7" ht="15" hidden="1" customHeight="1" x14ac:dyDescent="0.3">
      <c r="A2476" t="s">
        <v>194</v>
      </c>
      <c r="B2476" s="2">
        <v>46082</v>
      </c>
      <c r="C2476" cm="1">
        <f t="array" ref="C2476">IFERROR(IF(SUMPRODUCT((measured[Site Name]=A2476)*(measured[Date]=B2476)*ISNUMBER(measured[Measured Value (kWh)]))=0,"",SUMIFS(measured[Measured Value (kWh)],measured[Site Name],A2476,measured[Date],B2476)),"")</f>
        <v>4541</v>
      </c>
      <c r="D2476" cm="1">
        <f t="array" ref="D2476">IFERROR(IF(SUMPRODUCT((expected_production[Site Name]=A2476)*(expected_production[Date]=B2476)*ISNUMBER(expected_production[Expected Production (kWh)]))=0,"",SUMIFS(expected_production[Expected Production (kWh)],expected_production[Site Name],A2476,expected_production[Date],B2476)),"")</f>
        <v>6230.404648875844</v>
      </c>
      <c r="E2476" s="9">
        <f t="shared" si="78"/>
        <v>0.72884511615458802</v>
      </c>
      <c r="F2476" t="str">
        <f t="shared" si="79"/>
        <v>Moderate</v>
      </c>
    </row>
    <row r="2477" spans="1:7" ht="15" hidden="1" customHeight="1" x14ac:dyDescent="0.3">
      <c r="A2477" t="s">
        <v>194</v>
      </c>
      <c r="B2477" s="2">
        <v>46113</v>
      </c>
      <c r="C2477" s="5" cm="1">
        <f t="array" ref="C2477">IFERROR(IF(SUMPRODUCT((measured[Site Name]=A2477)*(measured[Date]=B2477)*ISNUMBER(measured[Measured Value (kWh)]))=0,"",SUMIFS(measured[Measured Value (kWh)],measured[Site Name],A2477,measured[Date],B2477)),"")</f>
        <v>3743.09</v>
      </c>
      <c r="D2477" cm="1">
        <f t="array" ref="D2477">IFERROR(IF(SUMPRODUCT((expected_production[Site Name]=A2477)*(expected_production[Date]=B2477)*ISNUMBER(expected_production[Expected Production (kWh)]))=0,"",SUMIFS(expected_production[Expected Production (kWh)],expected_production[Site Name],A2477,expected_production[Date],B2477)),"")</f>
        <v>4916.7837639386307</v>
      </c>
      <c r="E2477" s="9">
        <f t="shared" si="78"/>
        <v>0.76128830953541193</v>
      </c>
      <c r="F2477" t="str">
        <f t="shared" si="79"/>
        <v>Moderate</v>
      </c>
    </row>
    <row r="2478" spans="1:7" ht="15" hidden="1" customHeight="1" x14ac:dyDescent="0.3">
      <c r="A2478" t="s">
        <v>194</v>
      </c>
      <c r="B2478" s="2">
        <v>46143</v>
      </c>
      <c r="C2478" s="5" cm="1">
        <f t="array" ref="C2478">IFERROR(IF(SUMPRODUCT((measured[Site Name]=A2478)*(measured[Date]=B2478)*ISNUMBER(measured[Measured Value (kWh)]))=0,"",SUMIFS(measured[Measured Value (kWh)],measured[Site Name],A2478,measured[Date],B2478)),"")</f>
        <v>3041.11</v>
      </c>
      <c r="D2478" cm="1">
        <f t="array" ref="D2478">IFERROR(IF(SUMPRODUCT((expected_production[Site Name]=A2478)*(expected_production[Date]=B2478)*ISNUMBER(expected_production[Expected Production (kWh)]))=0,"",SUMIFS(expected_production[Expected Production (kWh)],expected_production[Site Name],A2478,expected_production[Date],B2478)),"")</f>
        <v>4656.5252924909692</v>
      </c>
      <c r="E2478" s="9">
        <f t="shared" si="78"/>
        <v>0.65308568277381429</v>
      </c>
      <c r="F2478" t="str">
        <f t="shared" si="79"/>
        <v>Poor</v>
      </c>
    </row>
    <row r="2479" spans="1:7" ht="15" hidden="1" customHeight="1" x14ac:dyDescent="0.3">
      <c r="A2479" t="s">
        <v>194</v>
      </c>
      <c r="B2479" s="2">
        <v>46174</v>
      </c>
      <c r="C2479" cm="1">
        <f t="array" ref="C2479">IFERROR(IF(SUMPRODUCT((measured[Site Name]=A2479)*(measured[Date]=B2479)*ISNUMBER(measured[Measured Value (kWh)]))=0,"",SUMIFS(measured[Measured Value (kWh)],measured[Site Name],A2479,measured[Date],B2479)),"")</f>
        <v>2444</v>
      </c>
      <c r="D2479" cm="1">
        <f t="array" ref="D2479">IFERROR(IF(SUMPRODUCT((expected_production[Site Name]=A2479)*(expected_production[Date]=B2479)*ISNUMBER(expected_production[Expected Production (kWh)]))=0,"",SUMIFS(expected_production[Expected Production (kWh)],expected_production[Site Name],A2479,expected_production[Date],B2479)),"")</f>
        <v>4167.4057106710252</v>
      </c>
      <c r="E2479" s="9">
        <f t="shared" si="78"/>
        <v>0.58645597997380328</v>
      </c>
      <c r="F2479" t="str">
        <f t="shared" si="79"/>
        <v>Poor</v>
      </c>
    </row>
    <row r="2480" spans="1:7" ht="15" hidden="1" customHeight="1" x14ac:dyDescent="0.3">
      <c r="A2480" t="s">
        <v>218</v>
      </c>
      <c r="B2480" s="2">
        <v>46204</v>
      </c>
      <c r="C2480" cm="1">
        <f t="array" ref="C2480">IFERROR(IF(SUMPRODUCT((measured[Site Name]=A2480)*(measured[Date]=B2480)*ISNUMBER(measured[Measured Value (kWh)]))=0,"",SUMIFS(measured[Measured Value (kWh)],measured[Site Name],A2480,measured[Date],B2480)),"")</f>
        <v>4951</v>
      </c>
      <c r="D2480" cm="1">
        <f t="array" ref="D2480">IFERROR(IF(SUMPRODUCT((expected_production[Site Name]=A2480)*(expected_production[Date]=B2480)*ISNUMBER(expected_production[Expected Production (kWh)]))=0,"",SUMIFS(expected_production[Expected Production (kWh)],expected_production[Site Name],A2480,expected_production[Date],B2480)),"")</f>
        <v>6209.7062393000651</v>
      </c>
      <c r="E2480" s="9">
        <f t="shared" si="78"/>
        <v>0.79730019572682043</v>
      </c>
      <c r="F2480" t="str">
        <f t="shared" si="79"/>
        <v>Moderate</v>
      </c>
      <c r="G2480" t="s">
        <v>875</v>
      </c>
    </row>
    <row r="2481" spans="1:7" ht="15" hidden="1" customHeight="1" x14ac:dyDescent="0.3">
      <c r="A2481" t="s">
        <v>194</v>
      </c>
      <c r="B2481" s="2">
        <v>46235</v>
      </c>
      <c r="C2481" cm="1">
        <f t="array" ref="C2481">IFERROR(IF(SUMPRODUCT((measured[Site Name]=A2481)*(measured[Date]=B2481)*ISNUMBER(measured[Measured Value (kWh)]))=0,"",SUMIFS(measured[Measured Value (kWh)],measured[Site Name],A2481,measured[Date],B2481)),"")</f>
        <v>3881</v>
      </c>
      <c r="D2481" cm="1">
        <f t="array" ref="D2481">IFERROR(IF(SUMPRODUCT((expected_production[Site Name]=A2481)*(expected_production[Date]=B2481)*ISNUMBER(expected_production[Expected Production (kWh)]))=0,"",SUMIFS(expected_production[Expected Production (kWh)],expected_production[Site Name],A2481,expected_production[Date],B2481)),"")</f>
        <v>5319.7527081153776</v>
      </c>
      <c r="E2481" s="9">
        <f t="shared" si="78"/>
        <v>0.72954518996333517</v>
      </c>
      <c r="F2481" t="str">
        <f t="shared" si="79"/>
        <v>Moderate</v>
      </c>
      <c r="G2481" t="s">
        <v>874</v>
      </c>
    </row>
    <row r="2482" spans="1:7" ht="15" customHeight="1" x14ac:dyDescent="0.3">
      <c r="A2482" t="s">
        <v>271</v>
      </c>
      <c r="B2482" s="2">
        <v>46266</v>
      </c>
      <c r="C2482" cm="1">
        <f t="array" ref="C2482">IFERROR(IF(SUMPRODUCT((measured[Site Name]=A2482)*(measured[Date]=B2482)*ISNUMBER(measured[Measured Value (kWh)]))=0,"",SUMIFS(measured[Measured Value (kWh)],measured[Site Name],A2482,measured[Date],B2482)),"")</f>
        <v>12896.9249</v>
      </c>
      <c r="D2482" cm="1">
        <f t="array" ref="D2482">IFERROR(IF(SUMPRODUCT((expected_production[Site Name]=A2482)*(expected_production[Date]=B2482)*ISNUMBER(expected_production[Expected Production (kWh)]))=0,"",SUMIFS(expected_production[Expected Production (kWh)],expected_production[Site Name],A2482,expected_production[Date],B2482)),"")</f>
        <v>14803.530876667501</v>
      </c>
      <c r="E2482" s="9">
        <f t="shared" si="78"/>
        <v>0.87120599858560865</v>
      </c>
      <c r="F2482" t="str">
        <f t="shared" si="79"/>
        <v>Moderate</v>
      </c>
      <c r="G2482" t="s">
        <v>874</v>
      </c>
    </row>
    <row r="2483" spans="1:7" ht="15" hidden="1" customHeight="1" x14ac:dyDescent="0.3">
      <c r="A2483" t="s">
        <v>194</v>
      </c>
      <c r="B2483" s="2">
        <v>46296</v>
      </c>
      <c r="C2483" t="str" cm="1">
        <f t="array" ref="C2483">IFERROR(IF(SUMPRODUCT((measured[Site Name]=A2483)*(measured[Date]=B2483)*ISNUMBER(measured[Measured Value (kWh)]))=0,"",SUMIFS(measured[Measured Value (kWh)],measured[Site Name],A2483,measured[Date],B2483)),"")</f>
        <v/>
      </c>
      <c r="D2483" cm="1">
        <f t="array" ref="D2483">IFERROR(IF(SUMPRODUCT((expected_production[Site Name]=A2483)*(expected_production[Date]=B2483)*ISNUMBER(expected_production[Expected Production (kWh)]))=0,"",SUMIFS(expected_production[Expected Production (kWh)],expected_production[Site Name],A2483,expected_production[Date],B2483)),"")</f>
        <v>7081.171194566351</v>
      </c>
      <c r="E2483" s="9" t="str">
        <f t="shared" si="78"/>
        <v/>
      </c>
      <c r="F2483" t="str">
        <f t="shared" si="79"/>
        <v/>
      </c>
    </row>
    <row r="2484" spans="1:7" ht="15" hidden="1" customHeight="1" x14ac:dyDescent="0.3">
      <c r="A2484" t="s">
        <v>194</v>
      </c>
      <c r="B2484" s="2">
        <v>46327</v>
      </c>
      <c r="C2484" t="str" cm="1">
        <f t="array" ref="C2484">IFERROR(IF(SUMPRODUCT((measured[Site Name]=A2484)*(measured[Date]=B2484)*ISNUMBER(measured[Measured Value (kWh)]))=0,"",SUMIFS(measured[Measured Value (kWh)],measured[Site Name],A2484,measured[Date],B2484)),"")</f>
        <v/>
      </c>
      <c r="D2484" cm="1">
        <f t="array" ref="D2484">IFERROR(IF(SUMPRODUCT((expected_production[Site Name]=A2484)*(expected_production[Date]=B2484)*ISNUMBER(expected_production[Expected Production (kWh)]))=0,"",SUMIFS(expected_production[Expected Production (kWh)],expected_production[Site Name],A2484,expected_production[Date],B2484)),"")</f>
        <v>7155.1344282714026</v>
      </c>
      <c r="E2484" s="9" t="str">
        <f t="shared" si="78"/>
        <v/>
      </c>
      <c r="F2484" t="str">
        <f t="shared" si="79"/>
        <v/>
      </c>
    </row>
    <row r="2485" spans="1:7" ht="15" hidden="1" customHeight="1" x14ac:dyDescent="0.3">
      <c r="A2485" t="s">
        <v>194</v>
      </c>
      <c r="B2485" s="2">
        <v>46357</v>
      </c>
      <c r="C2485" t="str" cm="1">
        <f t="array" ref="C2485">IFERROR(IF(SUMPRODUCT((measured[Site Name]=A2485)*(measured[Date]=B2485)*ISNUMBER(measured[Measured Value (kWh)]))=0,"",SUMIFS(measured[Measured Value (kWh)],measured[Site Name],A2485,measured[Date],B2485)),"")</f>
        <v/>
      </c>
      <c r="D2485" cm="1">
        <f t="array" ref="D2485">IFERROR(IF(SUMPRODUCT((expected_production[Site Name]=A2485)*(expected_production[Date]=B2485)*ISNUMBER(expected_production[Expected Production (kWh)]))=0,"",SUMIFS(expected_production[Expected Production (kWh)],expected_production[Site Name],A2485,expected_production[Date],B2485)),"")</f>
        <v>7673.3952068313411</v>
      </c>
      <c r="E2485" s="9" t="str">
        <f t="shared" si="78"/>
        <v/>
      </c>
      <c r="F2485" t="str">
        <f t="shared" si="79"/>
        <v/>
      </c>
    </row>
    <row r="2486" spans="1:7" ht="15" hidden="1" customHeight="1" x14ac:dyDescent="0.3">
      <c r="A2486" t="s">
        <v>196</v>
      </c>
      <c r="B2486" s="2">
        <v>45292</v>
      </c>
      <c r="C2486" cm="1">
        <f t="array" ref="C2486">IFERROR(IF(SUMPRODUCT((measured[Site Name]=A2486)*(measured[Date]=B2486)*ISNUMBER(measured[Measured Value (kWh)]))=0,"",SUMIFS(measured[Measured Value (kWh)],measured[Site Name],A2486,measured[Date],B2486)),"")</f>
        <v>3510</v>
      </c>
      <c r="D2486" cm="1">
        <f t="array" ref="D2486">IFERROR(IF(SUMPRODUCT((expected_production[Site Name]=A2486)*(expected_production[Date]=B2486)*ISNUMBER(expected_production[Expected Production (kWh)]))=0,"",SUMIFS(expected_production[Expected Production (kWh)],expected_production[Site Name],A2486,expected_production[Date],B2486)),"")</f>
        <v>4218.9729401852237</v>
      </c>
      <c r="E2486" s="9">
        <f t="shared" si="78"/>
        <v>0.83195603521597894</v>
      </c>
      <c r="F2486" t="str">
        <f t="shared" si="79"/>
        <v>Moderate</v>
      </c>
    </row>
    <row r="2487" spans="1:7" ht="15" hidden="1" customHeight="1" x14ac:dyDescent="0.3">
      <c r="A2487" t="s">
        <v>196</v>
      </c>
      <c r="B2487" s="2">
        <v>45323</v>
      </c>
      <c r="C2487" cm="1">
        <f t="array" ref="C2487">IFERROR(IF(SUMPRODUCT((measured[Site Name]=A2487)*(measured[Date]=B2487)*ISNUMBER(measured[Measured Value (kWh)]))=0,"",SUMIFS(measured[Measured Value (kWh)],measured[Site Name],A2487,measured[Date],B2487)),"")</f>
        <v>3517</v>
      </c>
      <c r="D2487" cm="1">
        <f t="array" ref="D2487">IFERROR(IF(SUMPRODUCT((expected_production[Site Name]=A2487)*(expected_production[Date]=B2487)*ISNUMBER(expected_production[Expected Production (kWh)]))=0,"",SUMIFS(expected_production[Expected Production (kWh)],expected_production[Site Name],A2487,expected_production[Date],B2487)),"")</f>
        <v>3759.2092133933834</v>
      </c>
      <c r="E2487" s="9">
        <f t="shared" si="78"/>
        <v>0.93556910519094394</v>
      </c>
      <c r="F2487" t="str">
        <f t="shared" si="79"/>
        <v>Expected</v>
      </c>
    </row>
    <row r="2488" spans="1:7" ht="15" hidden="1" customHeight="1" x14ac:dyDescent="0.3">
      <c r="A2488" t="s">
        <v>196</v>
      </c>
      <c r="B2488" s="2">
        <v>45352</v>
      </c>
      <c r="C2488" cm="1">
        <f t="array" ref="C2488">IFERROR(IF(SUMPRODUCT((measured[Site Name]=A2488)*(measured[Date]=B2488)*ISNUMBER(measured[Measured Value (kWh)]))=0,"",SUMIFS(measured[Measured Value (kWh)],measured[Site Name],A2488,measured[Date],B2488)),"")</f>
        <v>3409</v>
      </c>
      <c r="D2488" cm="1">
        <f t="array" ref="D2488">IFERROR(IF(SUMPRODUCT((expected_production[Site Name]=A2488)*(expected_production[Date]=B2488)*ISNUMBER(expected_production[Expected Production (kWh)]))=0,"",SUMIFS(expected_production[Expected Production (kWh)],expected_production[Site Name],A2488,expected_production[Date],B2488)),"")</f>
        <v>3852.4311812179853</v>
      </c>
      <c r="E2488" s="9">
        <f t="shared" si="78"/>
        <v>0.88489575534019271</v>
      </c>
      <c r="F2488" t="str">
        <f t="shared" si="79"/>
        <v>Moderate</v>
      </c>
    </row>
    <row r="2489" spans="1:7" ht="15" hidden="1" customHeight="1" x14ac:dyDescent="0.3">
      <c r="A2489" t="s">
        <v>196</v>
      </c>
      <c r="B2489" s="2">
        <v>45383</v>
      </c>
      <c r="C2489" cm="1">
        <f t="array" ref="C2489">IFERROR(IF(SUMPRODUCT((measured[Site Name]=A2489)*(measured[Date]=B2489)*ISNUMBER(measured[Measured Value (kWh)]))=0,"",SUMIFS(measured[Measured Value (kWh)],measured[Site Name],A2489,measured[Date],B2489)),"")</f>
        <v>2977</v>
      </c>
      <c r="D2489" cm="1">
        <f t="array" ref="D2489">IFERROR(IF(SUMPRODUCT((expected_production[Site Name]=A2489)*(expected_production[Date]=B2489)*ISNUMBER(expected_production[Expected Production (kWh)]))=0,"",SUMIFS(expected_production[Expected Production (kWh)],expected_production[Site Name],A2489,expected_production[Date],B2489)),"")</f>
        <v>3220.3319610903145</v>
      </c>
      <c r="E2489" s="9">
        <f t="shared" si="78"/>
        <v>0.92443885784745961</v>
      </c>
      <c r="F2489" t="str">
        <f t="shared" si="79"/>
        <v>Expected</v>
      </c>
    </row>
    <row r="2490" spans="1:7" ht="15" hidden="1" customHeight="1" x14ac:dyDescent="0.3">
      <c r="A2490" t="s">
        <v>196</v>
      </c>
      <c r="B2490" s="2">
        <v>45413</v>
      </c>
      <c r="C2490" cm="1">
        <f t="array" ref="C2490">IFERROR(IF(SUMPRODUCT((measured[Site Name]=A2490)*(measured[Date]=B2490)*ISNUMBER(measured[Measured Value (kWh)]))=0,"",SUMIFS(measured[Measured Value (kWh)],measured[Site Name],A2490,measured[Date],B2490)),"")</f>
        <v>2754</v>
      </c>
      <c r="D2490" cm="1">
        <f t="array" ref="D2490">IFERROR(IF(SUMPRODUCT((expected_production[Site Name]=A2490)*(expected_production[Date]=B2490)*ISNUMBER(expected_production[Expected Production (kWh)]))=0,"",SUMIFS(expected_production[Expected Production (kWh)],expected_production[Site Name],A2490,expected_production[Date],B2490)),"")</f>
        <v>2885.4371378472433</v>
      </c>
      <c r="E2490" s="9">
        <f t="shared" si="78"/>
        <v>0.95444810211831355</v>
      </c>
      <c r="F2490" t="str">
        <f t="shared" si="79"/>
        <v>Expected</v>
      </c>
    </row>
    <row r="2491" spans="1:7" ht="15" hidden="1" customHeight="1" x14ac:dyDescent="0.3">
      <c r="A2491" t="s">
        <v>196</v>
      </c>
      <c r="B2491" s="2">
        <v>45444</v>
      </c>
      <c r="C2491" cm="1">
        <f t="array" ref="C2491">IFERROR(IF(SUMPRODUCT((measured[Site Name]=A2491)*(measured[Date]=B2491)*ISNUMBER(measured[Measured Value (kWh)]))=0,"",SUMIFS(measured[Measured Value (kWh)],measured[Site Name],A2491,measured[Date],B2491)),"")</f>
        <v>2322</v>
      </c>
      <c r="D2491" cm="1">
        <f t="array" ref="D2491">IFERROR(IF(SUMPRODUCT((expected_production[Site Name]=A2491)*(expected_production[Date]=B2491)*ISNUMBER(expected_production[Expected Production (kWh)]))=0,"",SUMIFS(expected_production[Expected Production (kWh)],expected_production[Site Name],A2491,expected_production[Date],B2491)),"")</f>
        <v>2622.7020239067679</v>
      </c>
      <c r="E2491" s="9">
        <f t="shared" si="78"/>
        <v>0.88534647811082889</v>
      </c>
      <c r="F2491" t="str">
        <f t="shared" si="79"/>
        <v>Moderate</v>
      </c>
    </row>
    <row r="2492" spans="1:7" ht="15" hidden="1" customHeight="1" x14ac:dyDescent="0.3">
      <c r="A2492" t="s">
        <v>196</v>
      </c>
      <c r="B2492" s="2">
        <v>45474</v>
      </c>
      <c r="C2492" cm="1">
        <f t="array" ref="C2492">IFERROR(IF(SUMPRODUCT((measured[Site Name]=A2492)*(measured[Date]=B2492)*ISNUMBER(measured[Measured Value (kWh)]))=0,"",SUMIFS(measured[Measured Value (kWh)],measured[Site Name],A2492,measured[Date],B2492)),"")</f>
        <v>3200</v>
      </c>
      <c r="D2492" cm="1">
        <f t="array" ref="D2492">IFERROR(IF(SUMPRODUCT((expected_production[Site Name]=A2492)*(expected_production[Date]=B2492)*ISNUMBER(expected_production[Expected Production (kWh)]))=0,"",SUMIFS(expected_production[Expected Production (kWh)],expected_production[Site Name],A2492,expected_production[Date],B2492)),"")</f>
        <v>2804.5175602389995</v>
      </c>
      <c r="E2492" s="9">
        <f t="shared" si="78"/>
        <v>1.1410162109048436</v>
      </c>
      <c r="F2492" t="str">
        <f t="shared" si="79"/>
        <v>Expected</v>
      </c>
    </row>
    <row r="2493" spans="1:7" ht="15" hidden="1" customHeight="1" x14ac:dyDescent="0.3">
      <c r="A2493" t="s">
        <v>196</v>
      </c>
      <c r="B2493" s="2">
        <v>45505</v>
      </c>
      <c r="C2493" cm="1">
        <f t="array" ref="C2493">IFERROR(IF(SUMPRODUCT((measured[Site Name]=A2493)*(measured[Date]=B2493)*ISNUMBER(measured[Measured Value (kWh)]))=0,"",SUMIFS(measured[Measured Value (kWh)],measured[Site Name],A2493,measured[Date],B2493)),"")</f>
        <v>1967.434</v>
      </c>
      <c r="D2493" cm="1">
        <f t="array" ref="D2493">IFERROR(IF(SUMPRODUCT((expected_production[Site Name]=A2493)*(expected_production[Date]=B2493)*ISNUMBER(expected_production[Expected Production (kWh)]))=0,"",SUMIFS(expected_production[Expected Production (kWh)],expected_production[Site Name],A2493,expected_production[Date],B2493)),"")</f>
        <v>3182.1868538557865</v>
      </c>
      <c r="E2493" s="9">
        <f t="shared" si="78"/>
        <v>0.61826476267919439</v>
      </c>
      <c r="F2493" t="str">
        <f t="shared" si="79"/>
        <v>Poor</v>
      </c>
    </row>
    <row r="2494" spans="1:7" ht="15" hidden="1" customHeight="1" x14ac:dyDescent="0.3">
      <c r="A2494" t="s">
        <v>196</v>
      </c>
      <c r="B2494" s="2">
        <v>45536</v>
      </c>
      <c r="C2494" cm="1">
        <f t="array" ref="C2494">IFERROR(IF(SUMPRODUCT((measured[Site Name]=A2494)*(measured[Date]=B2494)*ISNUMBER(measured[Measured Value (kWh)]))=0,"",SUMIFS(measured[Measured Value (kWh)],measured[Site Name],A2494,measured[Date],B2494)),"")</f>
        <v>2608</v>
      </c>
      <c r="D2494" cm="1">
        <f t="array" ref="D2494">IFERROR(IF(SUMPRODUCT((expected_production[Site Name]=A2494)*(expected_production[Date]=B2494)*ISNUMBER(expected_production[Expected Production (kWh)]))=0,"",SUMIFS(expected_production[Expected Production (kWh)],expected_production[Site Name],A2494,expected_production[Date],B2494)),"")</f>
        <v>3269.4503188262975</v>
      </c>
      <c r="E2494" s="9">
        <f t="shared" si="78"/>
        <v>0.79768760668498184</v>
      </c>
      <c r="F2494" t="str">
        <f t="shared" si="79"/>
        <v>Moderate</v>
      </c>
    </row>
    <row r="2495" spans="1:7" ht="15" hidden="1" customHeight="1" x14ac:dyDescent="0.3">
      <c r="A2495" t="s">
        <v>196</v>
      </c>
      <c r="B2495" s="2">
        <v>45566</v>
      </c>
      <c r="C2495" cm="1">
        <f t="array" ref="C2495">IFERROR(IF(SUMPRODUCT((measured[Site Name]=A2495)*(measured[Date]=B2495)*ISNUMBER(measured[Measured Value (kWh)]))=0,"",SUMIFS(measured[Measured Value (kWh)],measured[Site Name],A2495,measured[Date],B2495)),"")</f>
        <v>3179</v>
      </c>
      <c r="D2495" cm="1">
        <f t="array" ref="D2495">IFERROR(IF(SUMPRODUCT((expected_production[Site Name]=A2495)*(expected_production[Date]=B2495)*ISNUMBER(expected_production[Expected Production (kWh)]))=0,"",SUMIFS(expected_production[Expected Production (kWh)],expected_production[Site Name],A2495,expected_production[Date],B2495)),"")</f>
        <v>3707.4374342451729</v>
      </c>
      <c r="E2495" s="9">
        <f t="shared" si="78"/>
        <v>0.85746558273268292</v>
      </c>
      <c r="F2495" t="str">
        <f t="shared" si="79"/>
        <v>Moderate</v>
      </c>
    </row>
    <row r="2496" spans="1:7" ht="15" hidden="1" customHeight="1" x14ac:dyDescent="0.3">
      <c r="A2496" t="s">
        <v>196</v>
      </c>
      <c r="B2496" s="2">
        <v>45597</v>
      </c>
      <c r="C2496" cm="1">
        <f t="array" ref="C2496">IFERROR(IF(SUMPRODUCT((measured[Site Name]=A2496)*(measured[Date]=B2496)*ISNUMBER(measured[Measured Value (kWh)]))=0,"",SUMIFS(measured[Measured Value (kWh)],measured[Site Name],A2496,measured[Date],B2496)),"")</f>
        <v>2499</v>
      </c>
      <c r="D2496" cm="1">
        <f t="array" ref="D2496">IFERROR(IF(SUMPRODUCT((expected_production[Site Name]=A2496)*(expected_production[Date]=B2496)*ISNUMBER(expected_production[Expected Production (kWh)]))=0,"",SUMIFS(expected_production[Expected Production (kWh)],expected_production[Site Name],A2496,expected_production[Date],B2496)),"")</f>
        <v>3758.0722647907974</v>
      </c>
      <c r="E2496" s="9">
        <f t="shared" si="78"/>
        <v>0.6649685859990011</v>
      </c>
      <c r="F2496" t="str">
        <f t="shared" si="79"/>
        <v>Poor</v>
      </c>
    </row>
    <row r="2497" spans="1:6" ht="15" hidden="1" customHeight="1" x14ac:dyDescent="0.3">
      <c r="A2497" t="s">
        <v>196</v>
      </c>
      <c r="B2497" s="2">
        <v>45627</v>
      </c>
      <c r="C2497" cm="1">
        <f t="array" ref="C2497">IFERROR(IF(SUMPRODUCT((measured[Site Name]=A2497)*(measured[Date]=B2497)*ISNUMBER(measured[Measured Value (kWh)]))=0,"",SUMIFS(measured[Measured Value (kWh)],measured[Site Name],A2497,measured[Date],B2497)),"")</f>
        <v>2419</v>
      </c>
      <c r="D2497" cm="1">
        <f t="array" ref="D2497">IFERROR(IF(SUMPRODUCT((expected_production[Site Name]=A2497)*(expected_production[Date]=B2497)*ISNUMBER(expected_production[Expected Production (kWh)]))=0,"",SUMIFS(expected_production[Expected Production (kWh)],expected_production[Site Name],A2497,expected_production[Date],B2497)),"")</f>
        <v>4232.6288581700574</v>
      </c>
      <c r="E2497" s="9">
        <f t="shared" si="78"/>
        <v>0.5715124290500242</v>
      </c>
      <c r="F2497" t="str">
        <f t="shared" si="79"/>
        <v>Poor</v>
      </c>
    </row>
    <row r="2498" spans="1:6" ht="15" hidden="1" customHeight="1" x14ac:dyDescent="0.3">
      <c r="A2498" t="s">
        <v>196</v>
      </c>
      <c r="B2498" s="2">
        <v>45658</v>
      </c>
      <c r="C2498" cm="1">
        <f t="array" ref="C2498">IFERROR(IF(SUMPRODUCT((measured[Site Name]=A2498)*(measured[Date]=B2498)*ISNUMBER(measured[Measured Value (kWh)]))=0,"",SUMIFS(measured[Measured Value (kWh)],measured[Site Name],A2498,measured[Date],B2498)),"")</f>
        <v>2940</v>
      </c>
      <c r="D2498" cm="1">
        <f t="array" ref="D2498">IFERROR(IF(SUMPRODUCT((expected_production[Site Name]=A2498)*(expected_production[Date]=B2498)*ISNUMBER(expected_production[Expected Production (kWh)]))=0,"",SUMIFS(expected_production[Expected Production (kWh)],expected_production[Site Name],A2498,expected_production[Date],B2498)),"")</f>
        <v>4189.3797004633398</v>
      </c>
      <c r="E2498" s="9">
        <f t="shared" si="78"/>
        <v>0.70177453709312621</v>
      </c>
      <c r="F2498" t="str">
        <f t="shared" si="79"/>
        <v>Moderate</v>
      </c>
    </row>
    <row r="2499" spans="1:6" ht="15" hidden="1" customHeight="1" x14ac:dyDescent="0.3">
      <c r="A2499" t="s">
        <v>196</v>
      </c>
      <c r="B2499" s="2">
        <v>45689</v>
      </c>
      <c r="C2499" cm="1">
        <f t="array" ref="C2499">IFERROR(IF(SUMPRODUCT((measured[Site Name]=A2499)*(measured[Date]=B2499)*ISNUMBER(measured[Measured Value (kWh)]))=0,"",SUMIFS(measured[Measured Value (kWh)],measured[Site Name],A2499,measured[Date],B2499)),"")</f>
        <v>2482</v>
      </c>
      <c r="D2499" cm="1">
        <f t="array" ref="D2499">IFERROR(IF(SUMPRODUCT((expected_production[Site Name]=A2499)*(expected_production[Date]=B2499)*ISNUMBER(expected_production[Expected Production (kWh)]))=0,"",SUMIFS(expected_production[Expected Production (kWh)],expected_production[Site Name],A2499,expected_production[Date],B2499)),"")</f>
        <v>3732.8409050411192</v>
      </c>
      <c r="E2499" s="9">
        <f t="shared" si="78"/>
        <v>0.66490913037523613</v>
      </c>
      <c r="F2499" t="str">
        <f t="shared" si="79"/>
        <v>Poor</v>
      </c>
    </row>
    <row r="2500" spans="1:6" ht="15" hidden="1" customHeight="1" x14ac:dyDescent="0.3">
      <c r="A2500" t="s">
        <v>196</v>
      </c>
      <c r="B2500" s="2">
        <v>45717</v>
      </c>
      <c r="C2500" cm="1">
        <f t="array" ref="C2500">IFERROR(IF(SUMPRODUCT((measured[Site Name]=A2500)*(measured[Date]=B2500)*ISNUMBER(measured[Measured Value (kWh)]))=0,"",SUMIFS(measured[Measured Value (kWh)],measured[Site Name],A2500,measured[Date],B2500)),"")</f>
        <v>2660</v>
      </c>
      <c r="D2500" cm="1">
        <f t="array" ref="D2500">IFERROR(IF(SUMPRODUCT((expected_production[Site Name]=A2500)*(expected_production[Date]=B2500)*ISNUMBER(expected_production[Expected Production (kWh)]))=0,"",SUMIFS(expected_production[Expected Production (kWh)],expected_production[Site Name],A2500,expected_production[Date],B2500)),"")</f>
        <v>3825.4825561577431</v>
      </c>
      <c r="E2500" s="9">
        <f t="shared" si="78"/>
        <v>0.69533711393306252</v>
      </c>
      <c r="F2500" t="str">
        <f t="shared" si="79"/>
        <v>Poor</v>
      </c>
    </row>
    <row r="2501" spans="1:6" ht="15" hidden="1" customHeight="1" x14ac:dyDescent="0.3">
      <c r="A2501" t="s">
        <v>196</v>
      </c>
      <c r="B2501" s="2">
        <v>45748</v>
      </c>
      <c r="C2501" cm="1">
        <f t="array" ref="C2501">IFERROR(IF(SUMPRODUCT((measured[Site Name]=A2501)*(measured[Date]=B2501)*ISNUMBER(measured[Measured Value (kWh)]))=0,"",SUMIFS(measured[Measured Value (kWh)],measured[Site Name],A2501,measured[Date],B2501)),"")</f>
        <v>3014</v>
      </c>
      <c r="D2501" cm="1">
        <f t="array" ref="D2501">IFERROR(IF(SUMPRODUCT((expected_production[Site Name]=A2501)*(expected_production[Date]=B2501)*ISNUMBER(expected_production[Expected Production (kWh)]))=0,"",SUMIFS(expected_production[Expected Production (kWh)],expected_production[Site Name],A2501,expected_production[Date],B2501)),"")</f>
        <v>3197.8050126500571</v>
      </c>
      <c r="E2501" s="9">
        <f t="shared" si="78"/>
        <v>0.9425215071203682</v>
      </c>
      <c r="F2501" t="str">
        <f t="shared" si="79"/>
        <v>Expected</v>
      </c>
    </row>
    <row r="2502" spans="1:6" ht="15" hidden="1" customHeight="1" x14ac:dyDescent="0.3">
      <c r="A2502" t="s">
        <v>196</v>
      </c>
      <c r="B2502" s="2">
        <v>45778</v>
      </c>
      <c r="C2502" cm="1">
        <f t="array" ref="C2502">IFERROR(IF(SUMPRODUCT((measured[Site Name]=A2502)*(measured[Date]=B2502)*ISNUMBER(measured[Measured Value (kWh)]))=0,"",SUMIFS(measured[Measured Value (kWh)],measured[Site Name],A2502,measured[Date],B2502)),"")</f>
        <v>3259</v>
      </c>
      <c r="D2502" cm="1">
        <f t="array" ref="D2502">IFERROR(IF(SUMPRODUCT((expected_production[Site Name]=A2502)*(expected_production[Date]=B2502)*ISNUMBER(expected_production[Expected Production (kWh)]))=0,"",SUMIFS(expected_production[Expected Production (kWh)],expected_production[Site Name],A2502,expected_production[Date],B2502)),"")</f>
        <v>2865.2528542338605</v>
      </c>
      <c r="E2502" s="9">
        <f t="shared" si="78"/>
        <v>1.137421430427795</v>
      </c>
      <c r="F2502" t="str">
        <f t="shared" si="79"/>
        <v>Expected</v>
      </c>
    </row>
    <row r="2503" spans="1:6" ht="15" hidden="1" customHeight="1" x14ac:dyDescent="0.3">
      <c r="A2503" t="s">
        <v>196</v>
      </c>
      <c r="B2503" s="2">
        <v>45809</v>
      </c>
      <c r="C2503" cm="1">
        <f t="array" ref="C2503">IFERROR(IF(SUMPRODUCT((measured[Site Name]=A2503)*(measured[Date]=B2503)*ISNUMBER(measured[Measured Value (kWh)]))=0,"",SUMIFS(measured[Measured Value (kWh)],measured[Site Name],A2503,measured[Date],B2503)),"")</f>
        <v>2701.4</v>
      </c>
      <c r="D2503" cm="1">
        <f t="array" ref="D2503">IFERROR(IF(SUMPRODUCT((expected_production[Site Name]=A2503)*(expected_production[Date]=B2503)*ISNUMBER(expected_production[Expected Production (kWh)]))=0,"",SUMIFS(expected_production[Expected Production (kWh)],expected_production[Site Name],A2503,expected_production[Date],B2503)),"")</f>
        <v>2604.3556316774702</v>
      </c>
      <c r="E2503" s="9">
        <f t="shared" si="78"/>
        <v>1.0372623335853803</v>
      </c>
      <c r="F2503" t="str">
        <f t="shared" si="79"/>
        <v>Expected</v>
      </c>
    </row>
    <row r="2504" spans="1:6" ht="15" hidden="1" customHeight="1" x14ac:dyDescent="0.3">
      <c r="A2504" t="s">
        <v>196</v>
      </c>
      <c r="B2504" s="2">
        <v>45839</v>
      </c>
      <c r="C2504" cm="1">
        <f t="array" ref="C2504">IFERROR(IF(SUMPRODUCT((measured[Site Name]=A2504)*(measured[Date]=B2504)*ISNUMBER(measured[Measured Value (kWh)]))=0,"",SUMIFS(measured[Measured Value (kWh)],measured[Site Name],A2504,measured[Date],B2504)),"")</f>
        <v>2990</v>
      </c>
      <c r="D2504" cm="1">
        <f t="array" ref="D2504">IFERROR(IF(SUMPRODUCT((expected_production[Site Name]=A2504)*(expected_production[Date]=B2504)*ISNUMBER(expected_production[Expected Production (kWh)]))=0,"",SUMIFS(expected_production[Expected Production (kWh)],expected_production[Site Name],A2504,expected_production[Date],B2504)),"")</f>
        <v>2784.8993273230644</v>
      </c>
      <c r="E2504" s="9">
        <f t="shared" si="78"/>
        <v>1.0736474279930561</v>
      </c>
      <c r="F2504" t="str">
        <f t="shared" si="79"/>
        <v>Expected</v>
      </c>
    </row>
    <row r="2505" spans="1:6" ht="15" hidden="1" customHeight="1" x14ac:dyDescent="0.3">
      <c r="A2505" t="s">
        <v>196</v>
      </c>
      <c r="B2505" s="2">
        <v>45870</v>
      </c>
      <c r="C2505" cm="1">
        <f t="array" ref="C2505">IFERROR(IF(SUMPRODUCT((measured[Site Name]=A2505)*(measured[Date]=B2505)*ISNUMBER(measured[Measured Value (kWh)]))=0,"",SUMIFS(measured[Measured Value (kWh)],measured[Site Name],A2505,measured[Date],B2505)),"")</f>
        <v>3504</v>
      </c>
      <c r="D2505" cm="1">
        <f t="array" ref="D2505">IFERROR(IF(SUMPRODUCT((expected_production[Site Name]=A2505)*(expected_production[Date]=B2505)*ISNUMBER(expected_production[Expected Production (kWh)]))=0,"",SUMIFS(expected_production[Expected Production (kWh)],expected_production[Site Name],A2505,expected_production[Date],B2505)),"")</f>
        <v>3159.9267390445784</v>
      </c>
      <c r="E2505" s="9">
        <f t="shared" si="78"/>
        <v>1.1088864677474941</v>
      </c>
      <c r="F2505" t="str">
        <f t="shared" si="79"/>
        <v>Expected</v>
      </c>
    </row>
    <row r="2506" spans="1:6" ht="15" hidden="1" customHeight="1" x14ac:dyDescent="0.3">
      <c r="A2506" t="s">
        <v>196</v>
      </c>
      <c r="B2506" s="2">
        <v>45901</v>
      </c>
      <c r="C2506" cm="1">
        <f t="array" ref="C2506">IFERROR(IF(SUMPRODUCT((measured[Site Name]=A2506)*(measured[Date]=B2506)*ISNUMBER(measured[Measured Value (kWh)]))=0,"",SUMIFS(measured[Measured Value (kWh)],measured[Site Name],A2506,measured[Date],B2506)),"")</f>
        <v>3456</v>
      </c>
      <c r="D2506" cm="1">
        <f t="array" ref="D2506">IFERROR(IF(SUMPRODUCT((expected_production[Site Name]=A2506)*(expected_production[Date]=B2506)*ISNUMBER(expected_production[Expected Production (kWh)]))=0,"",SUMIFS(expected_production[Expected Production (kWh)],expected_production[Site Name],A2506,expected_production[Date],B2506)),"")</f>
        <v>3246.5797763946262</v>
      </c>
      <c r="E2506" s="9">
        <f t="shared" si="78"/>
        <v>1.0645048752930808</v>
      </c>
      <c r="F2506" t="str">
        <f t="shared" si="79"/>
        <v>Expected</v>
      </c>
    </row>
    <row r="2507" spans="1:6" ht="15" hidden="1" customHeight="1" x14ac:dyDescent="0.3">
      <c r="A2507" t="s">
        <v>196</v>
      </c>
      <c r="B2507" s="2">
        <v>45931</v>
      </c>
      <c r="C2507" cm="1">
        <f t="array" ref="C2507">IFERROR(IF(SUMPRODUCT((measured[Site Name]=A2507)*(measured[Date]=B2507)*ISNUMBER(measured[Measured Value (kWh)]))=0,"",SUMIFS(measured[Measured Value (kWh)],measured[Site Name],A2507,measured[Date],B2507)),"")</f>
        <v>4131</v>
      </c>
      <c r="D2507" cm="1">
        <f t="array" ref="D2507">IFERROR(IF(SUMPRODUCT((expected_production[Site Name]=A2507)*(expected_production[Date]=B2507)*ISNUMBER(expected_production[Expected Production (kWh)]))=0,"",SUMIFS(expected_production[Expected Production (kWh)],expected_production[Site Name],A2507,expected_production[Date],B2507)),"")</f>
        <v>3681.5030731495408</v>
      </c>
      <c r="E2507" s="9">
        <f t="shared" si="78"/>
        <v>1.1220960346682294</v>
      </c>
      <c r="F2507" t="str">
        <f t="shared" si="79"/>
        <v>Expected</v>
      </c>
    </row>
    <row r="2508" spans="1:6" ht="15" hidden="1" customHeight="1" x14ac:dyDescent="0.3">
      <c r="A2508" t="s">
        <v>196</v>
      </c>
      <c r="B2508" s="2">
        <v>45962</v>
      </c>
      <c r="C2508" cm="1">
        <f t="array" ref="C2508">IFERROR(IF(SUMPRODUCT((measured[Site Name]=A2508)*(measured[Date]=B2508)*ISNUMBER(measured[Measured Value (kWh)]))=0,"",SUMIFS(measured[Measured Value (kWh)],measured[Site Name],A2508,measured[Date],B2508)),"")</f>
        <v>3798</v>
      </c>
      <c r="D2508" cm="1">
        <f t="array" ref="D2508">IFERROR(IF(SUMPRODUCT((expected_production[Site Name]=A2508)*(expected_production[Date]=B2508)*ISNUMBER(expected_production[Expected Production (kWh)]))=0,"",SUMIFS(expected_production[Expected Production (kWh)],expected_production[Site Name],A2508,expected_production[Date],B2508)),"")</f>
        <v>3731.7837016343951</v>
      </c>
      <c r="E2508" s="9">
        <f t="shared" si="78"/>
        <v>1.0177438736164168</v>
      </c>
      <c r="F2508" t="str">
        <f t="shared" si="79"/>
        <v>Expected</v>
      </c>
    </row>
    <row r="2509" spans="1:6" ht="15" hidden="1" customHeight="1" x14ac:dyDescent="0.3">
      <c r="A2509" t="s">
        <v>196</v>
      </c>
      <c r="B2509" s="2">
        <v>45992</v>
      </c>
      <c r="C2509" cm="1">
        <f t="array" ref="C2509">IFERROR(IF(SUMPRODUCT((measured[Site Name]=A2509)*(measured[Date]=B2509)*ISNUMBER(measured[Measured Value (kWh)]))=0,"",SUMIFS(measured[Measured Value (kWh)],measured[Site Name],A2509,measured[Date],B2509)),"")</f>
        <v>4633</v>
      </c>
      <c r="D2509" cm="1">
        <f t="array" ref="D2509">IFERROR(IF(SUMPRODUCT((expected_production[Site Name]=A2509)*(expected_production[Date]=B2509)*ISNUMBER(expected_production[Expected Production (kWh)]))=0,"",SUMIFS(expected_production[Expected Production (kWh)],expected_production[Site Name],A2509,expected_production[Date],B2509)),"")</f>
        <v>4203.0206646028137</v>
      </c>
      <c r="E2509" s="9">
        <f t="shared" si="78"/>
        <v>1.1023024557120087</v>
      </c>
      <c r="F2509" t="str">
        <f t="shared" si="79"/>
        <v>Expected</v>
      </c>
    </row>
    <row r="2510" spans="1:6" ht="15" hidden="1" customHeight="1" x14ac:dyDescent="0.3">
      <c r="A2510" t="s">
        <v>196</v>
      </c>
      <c r="B2510" s="2">
        <v>46023</v>
      </c>
      <c r="C2510" cm="1">
        <f t="array" ref="C2510">IFERROR(IF(SUMPRODUCT((measured[Site Name]=A2510)*(measured[Date]=B2510)*ISNUMBER(measured[Measured Value (kWh)]))=0,"",SUMIFS(measured[Measured Value (kWh)],measured[Site Name],A2510,measured[Date],B2510)),"")</f>
        <v>5177</v>
      </c>
      <c r="D2510" cm="1">
        <f t="array" ref="D2510">IFERROR(IF(SUMPRODUCT((expected_production[Site Name]=A2510)*(expected_production[Date]=B2510)*ISNUMBER(expected_production[Expected Production (kWh)]))=0,"",SUMIFS(expected_production[Expected Production (kWh)],expected_production[Site Name],A2510,expected_production[Date],B2510)),"")</f>
        <v>4160.0740445094589</v>
      </c>
      <c r="E2510" s="9">
        <f t="shared" si="78"/>
        <v>1.2444490036980709</v>
      </c>
      <c r="F2510" t="str">
        <f t="shared" si="79"/>
        <v>Expected</v>
      </c>
    </row>
    <row r="2511" spans="1:6" ht="15" hidden="1" customHeight="1" x14ac:dyDescent="0.3">
      <c r="A2511" t="s">
        <v>196</v>
      </c>
      <c r="B2511" s="2">
        <v>46054</v>
      </c>
      <c r="C2511" cm="1">
        <f t="array" ref="C2511">IFERROR(IF(SUMPRODUCT((measured[Site Name]=A2511)*(measured[Date]=B2511)*ISNUMBER(measured[Measured Value (kWh)]))=0,"",SUMIFS(measured[Measured Value (kWh)],measured[Site Name],A2511,measured[Date],B2511)),"")</f>
        <v>3087</v>
      </c>
      <c r="D2511" cm="1">
        <f t="array" ref="D2511">IFERROR(IF(SUMPRODUCT((expected_production[Site Name]=A2511)*(expected_production[Date]=B2511)*ISNUMBER(expected_production[Expected Production (kWh)]))=0,"",SUMIFS(expected_production[Expected Production (kWh)],expected_production[Site Name],A2511,expected_production[Date],B2511)),"")</f>
        <v>3706.7288409373073</v>
      </c>
      <c r="E2511" s="9">
        <f t="shared" si="78"/>
        <v>0.83280977176075321</v>
      </c>
      <c r="F2511" t="str">
        <f t="shared" si="79"/>
        <v>Moderate</v>
      </c>
    </row>
    <row r="2512" spans="1:6" ht="15" hidden="1" customHeight="1" x14ac:dyDescent="0.3">
      <c r="A2512" t="s">
        <v>196</v>
      </c>
      <c r="B2512" s="2">
        <v>46082</v>
      </c>
      <c r="C2512" cm="1">
        <f t="array" ref="C2512">IFERROR(IF(SUMPRODUCT((measured[Site Name]=A2512)*(measured[Date]=B2512)*ISNUMBER(measured[Measured Value (kWh)]))=0,"",SUMIFS(measured[Measured Value (kWh)],measured[Site Name],A2512,measured[Date],B2512)),"")</f>
        <v>4035</v>
      </c>
      <c r="D2512" cm="1">
        <f t="array" ref="D2512">IFERROR(IF(SUMPRODUCT((expected_production[Site Name]=A2512)*(expected_production[Date]=B2512)*ISNUMBER(expected_production[Expected Production (kWh)]))=0,"",SUMIFS(expected_production[Expected Production (kWh)],expected_production[Site Name],A2512,expected_production[Date],B2512)),"")</f>
        <v>3798.7224428082818</v>
      </c>
      <c r="E2512" s="9">
        <f t="shared" si="78"/>
        <v>1.0621992158545401</v>
      </c>
      <c r="F2512" t="str">
        <f t="shared" si="79"/>
        <v>Expected</v>
      </c>
    </row>
    <row r="2513" spans="1:7" ht="15" hidden="1" customHeight="1" x14ac:dyDescent="0.3">
      <c r="A2513" t="s">
        <v>196</v>
      </c>
      <c r="B2513" s="2">
        <v>46113</v>
      </c>
      <c r="C2513" s="5" cm="1">
        <f t="array" ref="C2513">IFERROR(IF(SUMPRODUCT((measured[Site Name]=A2513)*(measured[Date]=B2513)*ISNUMBER(measured[Measured Value (kWh)]))=0,"",SUMIFS(measured[Measured Value (kWh)],measured[Site Name],A2513,measured[Date],B2513)),"")</f>
        <v>3282.98</v>
      </c>
      <c r="D2513" cm="1">
        <f t="array" ref="D2513">IFERROR(IF(SUMPRODUCT((expected_production[Site Name]=A2513)*(expected_production[Date]=B2513)*ISNUMBER(expected_production[Expected Production (kWh)]))=0,"",SUMIFS(expected_production[Expected Production (kWh)],expected_production[Site Name],A2513,expected_production[Date],B2513)),"")</f>
        <v>3175.4356452952784</v>
      </c>
      <c r="E2513" s="9">
        <f t="shared" si="78"/>
        <v>1.0338675906923382</v>
      </c>
      <c r="F2513" t="str">
        <f t="shared" si="79"/>
        <v>Expected</v>
      </c>
    </row>
    <row r="2514" spans="1:7" ht="15" hidden="1" customHeight="1" x14ac:dyDescent="0.3">
      <c r="A2514" t="s">
        <v>196</v>
      </c>
      <c r="B2514" s="2">
        <v>46143</v>
      </c>
      <c r="C2514" s="5" cm="1">
        <f t="array" ref="C2514">IFERROR(IF(SUMPRODUCT((measured[Site Name]=A2514)*(measured[Date]=B2514)*ISNUMBER(measured[Measured Value (kWh)]))=0,"",SUMIFS(measured[Measured Value (kWh)],measured[Site Name],A2514,measured[Date],B2514)),"")</f>
        <v>3208.4</v>
      </c>
      <c r="D2514" cm="1">
        <f t="array" ref="D2514">IFERROR(IF(SUMPRODUCT((expected_production[Site Name]=A2514)*(expected_production[Date]=B2514)*ISNUMBER(expected_production[Expected Production (kWh)]))=0,"",SUMIFS(expected_production[Expected Production (kWh)],expected_production[Site Name],A2514,expected_production[Date],B2514)),"")</f>
        <v>2845.2097642370845</v>
      </c>
      <c r="E2514" s="9">
        <f t="shared" si="78"/>
        <v>1.1276497221147073</v>
      </c>
      <c r="F2514" t="str">
        <f t="shared" si="79"/>
        <v>Expected</v>
      </c>
    </row>
    <row r="2515" spans="1:7" ht="15" hidden="1" customHeight="1" x14ac:dyDescent="0.3">
      <c r="A2515" t="s">
        <v>196</v>
      </c>
      <c r="B2515" s="2">
        <v>46174</v>
      </c>
      <c r="C2515" cm="1">
        <f t="array" ref="C2515">IFERROR(IF(SUMPRODUCT((measured[Site Name]=A2515)*(measured[Date]=B2515)*ISNUMBER(measured[Measured Value (kWh)]))=0,"",SUMIFS(measured[Measured Value (kWh)],measured[Site Name],A2515,measured[Date],B2515)),"")</f>
        <v>3015</v>
      </c>
      <c r="D2515" cm="1">
        <f t="array" ref="D2515">IFERROR(IF(SUMPRODUCT((expected_production[Site Name]=A2515)*(expected_production[Date]=B2515)*ISNUMBER(expected_production[Expected Production (kWh)]))=0,"",SUMIFS(expected_production[Expected Production (kWh)],expected_production[Site Name],A2515,expected_production[Date],B2515)),"")</f>
        <v>2586.137576599996</v>
      </c>
      <c r="E2515" s="9">
        <f t="shared" si="78"/>
        <v>1.165831248608139</v>
      </c>
      <c r="F2515" t="str">
        <f t="shared" si="79"/>
        <v>Expected</v>
      </c>
    </row>
    <row r="2516" spans="1:7" ht="15" hidden="1" customHeight="1" x14ac:dyDescent="0.3">
      <c r="A2516" t="s">
        <v>192</v>
      </c>
      <c r="B2516" s="2">
        <v>46204</v>
      </c>
      <c r="C2516" cm="1">
        <f t="array" ref="C2516">IFERROR(IF(SUMPRODUCT((measured[Site Name]=A2516)*(measured[Date]=B2516)*ISNUMBER(measured[Measured Value (kWh)]))=0,"",SUMIFS(measured[Measured Value (kWh)],measured[Site Name],A2516,measured[Date],B2516)),"")</f>
        <v>0</v>
      </c>
      <c r="D2516" cm="1">
        <f t="array" ref="D2516">IFERROR(IF(SUMPRODUCT((expected_production[Site Name]=A2516)*(expected_production[Date]=B2516)*ISNUMBER(expected_production[Expected Production (kWh)]))=0,"",SUMIFS(expected_production[Expected Production (kWh)],expected_production[Site Name],A2516,expected_production[Date],B2516)),"")</f>
        <v>0</v>
      </c>
      <c r="E2516" s="9" t="str">
        <f t="shared" si="78"/>
        <v/>
      </c>
      <c r="F2516" t="str">
        <f t="shared" si="79"/>
        <v/>
      </c>
      <c r="G2516" t="s">
        <v>874</v>
      </c>
    </row>
    <row r="2517" spans="1:7" ht="15" hidden="1" customHeight="1" x14ac:dyDescent="0.3">
      <c r="A2517" t="s">
        <v>196</v>
      </c>
      <c r="B2517" s="2">
        <v>46235</v>
      </c>
      <c r="C2517" cm="1">
        <f t="array" ref="C2517">IFERROR(IF(SUMPRODUCT((measured[Site Name]=A2517)*(measured[Date]=B2517)*ISNUMBER(measured[Measured Value (kWh)]))=0,"",SUMIFS(measured[Measured Value (kWh)],measured[Site Name],A2517,measured[Date],B2517)),"")</f>
        <v>3769</v>
      </c>
      <c r="D2517" cm="1">
        <f t="array" ref="D2517">IFERROR(IF(SUMPRODUCT((expected_production[Site Name]=A2517)*(expected_production[Date]=B2517)*ISNUMBER(expected_production[Expected Production (kWh)]))=0,"",SUMIFS(expected_production[Expected Production (kWh)],expected_production[Site Name],A2517,expected_production[Date],B2517)),"")</f>
        <v>3137.8223387574267</v>
      </c>
      <c r="E2517" s="9">
        <f t="shared" si="78"/>
        <v>1.2011514971534427</v>
      </c>
      <c r="F2517" t="str">
        <f t="shared" si="79"/>
        <v>Expected</v>
      </c>
      <c r="G2517" t="s">
        <v>874</v>
      </c>
    </row>
    <row r="2518" spans="1:7" ht="15" customHeight="1" x14ac:dyDescent="0.3">
      <c r="A2518" t="s">
        <v>196</v>
      </c>
      <c r="B2518" s="2">
        <v>46266</v>
      </c>
      <c r="C2518" cm="1">
        <f t="array" ref="C2518">IFERROR(IF(SUMPRODUCT((measured[Site Name]=A2518)*(measured[Date]=B2518)*ISNUMBER(measured[Measured Value (kWh)]))=0,"",SUMIFS(measured[Measured Value (kWh)],measured[Site Name],A2518,measured[Date],B2518)),"")</f>
        <v>3170.27</v>
      </c>
      <c r="D2518" cm="1">
        <f t="array" ref="D2518">IFERROR(IF(SUMPRODUCT((expected_production[Site Name]=A2518)*(expected_production[Date]=B2518)*ISNUMBER(expected_production[Expected Production (kWh)]))=0,"",SUMIFS(expected_production[Expected Production (kWh)],expected_production[Site Name],A2518,expected_production[Date],B2518)),"")</f>
        <v>3223.8692185659038</v>
      </c>
      <c r="E2518" s="9">
        <f t="shared" ref="E2518:E2581" si="80">IF(OR(C2518="",D2518="",D2518=0),"",C2518/D2518)</f>
        <v>0.98337425778402177</v>
      </c>
      <c r="F2518" t="str">
        <f t="shared" ref="F2518:F2581" si="81">IF(E2518="","",IF(E2518&gt;=0.9,"Expected",IF(E2518&gt;=0.7,"Moderate","Poor")))</f>
        <v>Expected</v>
      </c>
      <c r="G2518" t="s">
        <v>874</v>
      </c>
    </row>
    <row r="2519" spans="1:7" ht="15" hidden="1" customHeight="1" x14ac:dyDescent="0.3">
      <c r="A2519" t="s">
        <v>196</v>
      </c>
      <c r="B2519" s="2">
        <v>46296</v>
      </c>
      <c r="C2519" t="str" cm="1">
        <f t="array" ref="C2519">IFERROR(IF(SUMPRODUCT((measured[Site Name]=A2519)*(measured[Date]=B2519)*ISNUMBER(measured[Measured Value (kWh)]))=0,"",SUMIFS(measured[Measured Value (kWh)],measured[Site Name],A2519,measured[Date],B2519)),"")</f>
        <v/>
      </c>
      <c r="D2519" cm="1">
        <f t="array" ref="D2519">IFERROR(IF(SUMPRODUCT((expected_production[Site Name]=A2519)*(expected_production[Date]=B2519)*ISNUMBER(expected_production[Expected Production (kWh)]))=0,"",SUMIFS(expected_production[Expected Production (kWh)],expected_production[Site Name],A2519,expected_production[Date],B2519)),"")</f>
        <v>3655.7501287594819</v>
      </c>
      <c r="E2519" s="9" t="str">
        <f t="shared" si="80"/>
        <v/>
      </c>
      <c r="F2519" t="str">
        <f t="shared" si="81"/>
        <v/>
      </c>
    </row>
    <row r="2520" spans="1:7" ht="15" hidden="1" customHeight="1" x14ac:dyDescent="0.3">
      <c r="A2520" t="s">
        <v>196</v>
      </c>
      <c r="B2520" s="2">
        <v>46327</v>
      </c>
      <c r="C2520" t="str" cm="1">
        <f t="array" ref="C2520">IFERROR(IF(SUMPRODUCT((measured[Site Name]=A2520)*(measured[Date]=B2520)*ISNUMBER(measured[Measured Value (kWh)]))=0,"",SUMIFS(measured[Measured Value (kWh)],measured[Site Name],A2520,measured[Date],B2520)),"")</f>
        <v/>
      </c>
      <c r="D2520" cm="1">
        <f t="array" ref="D2520">IFERROR(IF(SUMPRODUCT((expected_production[Site Name]=A2520)*(expected_production[Date]=B2520)*ISNUMBER(expected_production[Expected Production (kWh)]))=0,"",SUMIFS(expected_production[Expected Production (kWh)],expected_production[Site Name],A2520,expected_production[Date],B2520)),"")</f>
        <v>3705.679032906874</v>
      </c>
      <c r="E2520" s="9" t="str">
        <f t="shared" si="80"/>
        <v/>
      </c>
      <c r="F2520" t="str">
        <f t="shared" si="81"/>
        <v/>
      </c>
    </row>
    <row r="2521" spans="1:7" ht="15" hidden="1" customHeight="1" x14ac:dyDescent="0.3">
      <c r="A2521" t="s">
        <v>196</v>
      </c>
      <c r="B2521" s="2">
        <v>46357</v>
      </c>
      <c r="C2521" t="str" cm="1">
        <f t="array" ref="C2521">IFERROR(IF(SUMPRODUCT((measured[Site Name]=A2521)*(measured[Date]=B2521)*ISNUMBER(measured[Measured Value (kWh)]))=0,"",SUMIFS(measured[Measured Value (kWh)],measured[Site Name],A2521,measured[Date],B2521)),"")</f>
        <v/>
      </c>
      <c r="D2521" cm="1">
        <f t="array" ref="D2521">IFERROR(IF(SUMPRODUCT((expected_production[Site Name]=A2521)*(expected_production[Date]=B2521)*ISNUMBER(expected_production[Expected Production (kWh)]))=0,"",SUMIFS(expected_production[Expected Production (kWh)],expected_production[Site Name],A2521,expected_production[Date],B2521)),"")</f>
        <v>4173.6195870279453</v>
      </c>
      <c r="E2521" s="9" t="str">
        <f t="shared" si="80"/>
        <v/>
      </c>
      <c r="F2521" t="str">
        <f t="shared" si="81"/>
        <v/>
      </c>
    </row>
    <row r="2522" spans="1:7" ht="15" hidden="1" customHeight="1" x14ac:dyDescent="0.3">
      <c r="A2522" t="s">
        <v>201</v>
      </c>
      <c r="B2522" s="2">
        <v>45292</v>
      </c>
      <c r="C2522" t="str" cm="1">
        <f t="array" ref="C2522">IFERROR(IF(SUMPRODUCT((measured[Site Name]=A2522)*(measured[Date]=B2522)*ISNUMBER(measured[Measured Value (kWh)]))=0,"",SUMIFS(measured[Measured Value (kWh)],measured[Site Name],A2522,measured[Date],B2522)),"")</f>
        <v/>
      </c>
      <c r="D2522" cm="1">
        <f t="array" ref="D2522">IFERROR(IF(SUMPRODUCT((expected_production[Site Name]=A2522)*(expected_production[Date]=B2522)*ISNUMBER(expected_production[Expected Production (kWh)]))=0,"",SUMIFS(expected_production[Expected Production (kWh)],expected_production[Site Name],A2522,expected_production[Date],B2522)),"")</f>
        <v>13239.806396546535</v>
      </c>
      <c r="E2522" s="9" t="str">
        <f t="shared" si="80"/>
        <v/>
      </c>
      <c r="F2522" t="str">
        <f t="shared" si="81"/>
        <v/>
      </c>
    </row>
    <row r="2523" spans="1:7" ht="15" hidden="1" customHeight="1" x14ac:dyDescent="0.3">
      <c r="A2523" t="s">
        <v>201</v>
      </c>
      <c r="B2523" s="2">
        <v>45323</v>
      </c>
      <c r="C2523" cm="1">
        <f t="array" ref="C2523">IFERROR(IF(SUMPRODUCT((measured[Site Name]=A2523)*(measured[Date]=B2523)*ISNUMBER(measured[Measured Value (kWh)]))=0,"",SUMIFS(measured[Measured Value (kWh)],measured[Site Name],A2523,measured[Date],B2523)),"")</f>
        <v>11561</v>
      </c>
      <c r="D2523" cm="1">
        <f t="array" ref="D2523">IFERROR(IF(SUMPRODUCT((expected_production[Site Name]=A2523)*(expected_production[Date]=B2523)*ISNUMBER(expected_production[Expected Production (kWh)]))=0,"",SUMIFS(expected_production[Expected Production (kWh)],expected_production[Site Name],A2523,expected_production[Date],B2523)),"")</f>
        <v>11866.728835111957</v>
      </c>
      <c r="E2523" s="9">
        <f t="shared" si="80"/>
        <v>0.9742364690926999</v>
      </c>
      <c r="F2523" t="str">
        <f t="shared" si="81"/>
        <v>Expected</v>
      </c>
    </row>
    <row r="2524" spans="1:7" ht="15" hidden="1" customHeight="1" x14ac:dyDescent="0.3">
      <c r="A2524" t="s">
        <v>201</v>
      </c>
      <c r="B2524" s="2">
        <v>45352</v>
      </c>
      <c r="C2524" cm="1">
        <f t="array" ref="C2524">IFERROR(IF(SUMPRODUCT((measured[Site Name]=A2524)*(measured[Date]=B2524)*ISNUMBER(measured[Measured Value (kWh)]))=0,"",SUMIFS(measured[Measured Value (kWh)],measured[Site Name],A2524,measured[Date],B2524)),"")</f>
        <v>11738</v>
      </c>
      <c r="D2524" cm="1">
        <f t="array" ref="D2524">IFERROR(IF(SUMPRODUCT((expected_production[Site Name]=A2524)*(expected_production[Date]=B2524)*ISNUMBER(expected_production[Expected Production (kWh)]))=0,"",SUMIFS(expected_production[Expected Production (kWh)],expected_production[Site Name],A2524,expected_production[Date],B2524)),"")</f>
        <v>12650.451797625823</v>
      </c>
      <c r="E2524" s="9">
        <f t="shared" si="80"/>
        <v>0.92787199918052987</v>
      </c>
      <c r="F2524" t="str">
        <f t="shared" si="81"/>
        <v>Expected</v>
      </c>
    </row>
    <row r="2525" spans="1:7" ht="15" hidden="1" customHeight="1" x14ac:dyDescent="0.3">
      <c r="A2525" t="s">
        <v>201</v>
      </c>
      <c r="B2525" s="2">
        <v>45383</v>
      </c>
      <c r="C2525" cm="1">
        <f t="array" ref="C2525">IFERROR(IF(SUMPRODUCT((measured[Site Name]=A2525)*(measured[Date]=B2525)*ISNUMBER(measured[Measured Value (kWh)]))=0,"",SUMIFS(measured[Measured Value (kWh)],measured[Site Name],A2525,measured[Date],B2525)),"")</f>
        <v>307</v>
      </c>
      <c r="D2525" cm="1">
        <f t="array" ref="D2525">IFERROR(IF(SUMPRODUCT((expected_production[Site Name]=A2525)*(expected_production[Date]=B2525)*ISNUMBER(expected_production[Expected Production (kWh)]))=0,"",SUMIFS(expected_production[Expected Production (kWh)],expected_production[Site Name],A2525,expected_production[Date],B2525)),"")</f>
        <v>11337.969685309417</v>
      </c>
      <c r="E2525" s="9">
        <f t="shared" si="80"/>
        <v>2.7077158302670296E-2</v>
      </c>
      <c r="F2525" t="str">
        <f t="shared" si="81"/>
        <v>Poor</v>
      </c>
    </row>
    <row r="2526" spans="1:7" ht="15" hidden="1" customHeight="1" x14ac:dyDescent="0.3">
      <c r="A2526" t="s">
        <v>201</v>
      </c>
      <c r="B2526" s="2">
        <v>45413</v>
      </c>
      <c r="C2526" cm="1">
        <f t="array" ref="C2526">IFERROR(IF(SUMPRODUCT((measured[Site Name]=A2526)*(measured[Date]=B2526)*ISNUMBER(measured[Measured Value (kWh)]))=0,"",SUMIFS(measured[Measured Value (kWh)],measured[Site Name],A2526,measured[Date],B2526)),"")</f>
        <v>1</v>
      </c>
      <c r="D2526" cm="1">
        <f t="array" ref="D2526">IFERROR(IF(SUMPRODUCT((expected_production[Site Name]=A2526)*(expected_production[Date]=B2526)*ISNUMBER(expected_production[Expected Production (kWh)]))=0,"",SUMIFS(expected_production[Expected Production (kWh)],expected_production[Site Name],A2526,expected_production[Date],B2526)),"")</f>
        <v>11581.676570630239</v>
      </c>
      <c r="E2526" s="9">
        <f t="shared" si="80"/>
        <v>8.6343284920931192E-5</v>
      </c>
      <c r="F2526" t="str">
        <f t="shared" si="81"/>
        <v>Poor</v>
      </c>
    </row>
    <row r="2527" spans="1:7" ht="15" hidden="1" customHeight="1" x14ac:dyDescent="0.3">
      <c r="A2527" t="s">
        <v>201</v>
      </c>
      <c r="B2527" s="2">
        <v>45444</v>
      </c>
      <c r="C2527" cm="1">
        <f t="array" ref="C2527">IFERROR(IF(SUMPRODUCT((measured[Site Name]=A2527)*(measured[Date]=B2527)*ISNUMBER(measured[Measured Value (kWh)]))=0,"",SUMIFS(measured[Measured Value (kWh)],measured[Site Name],A2527,measured[Date],B2527)),"")</f>
        <v>1</v>
      </c>
      <c r="D2527" cm="1">
        <f t="array" ref="D2527">IFERROR(IF(SUMPRODUCT((expected_production[Site Name]=A2527)*(expected_production[Date]=B2527)*ISNUMBER(expected_production[Expected Production (kWh)]))=0,"",SUMIFS(expected_production[Expected Production (kWh)],expected_production[Site Name],A2527,expected_production[Date],B2527)),"")</f>
        <v>10821.225437130082</v>
      </c>
      <c r="E2527" s="9">
        <f t="shared" si="80"/>
        <v>9.2410975615457824E-5</v>
      </c>
      <c r="F2527" t="str">
        <f t="shared" si="81"/>
        <v>Poor</v>
      </c>
    </row>
    <row r="2528" spans="1:7" ht="15" hidden="1" customHeight="1" x14ac:dyDescent="0.3">
      <c r="A2528" t="s">
        <v>201</v>
      </c>
      <c r="B2528" s="2">
        <v>45474</v>
      </c>
      <c r="C2528" cm="1">
        <f t="array" ref="C2528">IFERROR(IF(SUMPRODUCT((measured[Site Name]=A2528)*(measured[Date]=B2528)*ISNUMBER(measured[Measured Value (kWh)]))=0,"",SUMIFS(measured[Measured Value (kWh)],measured[Site Name],A2528,measured[Date],B2528)),"")</f>
        <v>6245</v>
      </c>
      <c r="D2528" cm="1">
        <f t="array" ref="D2528">IFERROR(IF(SUMPRODUCT((expected_production[Site Name]=A2528)*(expected_production[Date]=B2528)*ISNUMBER(expected_production[Expected Production (kWh)]))=0,"",SUMIFS(expected_production[Expected Production (kWh)],expected_production[Site Name],A2528,expected_production[Date],B2528)),"")</f>
        <v>11802.032119717454</v>
      </c>
      <c r="E2528" s="9">
        <f t="shared" si="80"/>
        <v>0.52914616200430298</v>
      </c>
      <c r="F2528" t="str">
        <f t="shared" si="81"/>
        <v>Poor</v>
      </c>
    </row>
    <row r="2529" spans="1:6" ht="15" hidden="1" customHeight="1" x14ac:dyDescent="0.3">
      <c r="A2529" t="s">
        <v>201</v>
      </c>
      <c r="B2529" s="2">
        <v>45505</v>
      </c>
      <c r="C2529" cm="1">
        <f t="array" ref="C2529">IFERROR(IF(SUMPRODUCT((measured[Site Name]=A2529)*(measured[Date]=B2529)*ISNUMBER(measured[Measured Value (kWh)]))=0,"",SUMIFS(measured[Measured Value (kWh)],measured[Site Name],A2529,measured[Date],B2529)),"")</f>
        <v>10791</v>
      </c>
      <c r="D2529" cm="1">
        <f t="array" ref="D2529">IFERROR(IF(SUMPRODUCT((expected_production[Site Name]=A2529)*(expected_production[Date]=B2529)*ISNUMBER(expected_production[Expected Production (kWh)]))=0,"",SUMIFS(expected_production[Expected Production (kWh)],expected_production[Site Name],A2529,expected_production[Date],B2529)),"")</f>
        <v>13009.750347757816</v>
      </c>
      <c r="E2529" s="9">
        <f t="shared" si="80"/>
        <v>0.82945480978117236</v>
      </c>
      <c r="F2529" t="str">
        <f t="shared" si="81"/>
        <v>Moderate</v>
      </c>
    </row>
    <row r="2530" spans="1:6" ht="15" hidden="1" customHeight="1" x14ac:dyDescent="0.3">
      <c r="A2530" t="s">
        <v>201</v>
      </c>
      <c r="B2530" s="2">
        <v>45536</v>
      </c>
      <c r="C2530" cm="1">
        <f t="array" ref="C2530">IFERROR(IF(SUMPRODUCT((measured[Site Name]=A2530)*(measured[Date]=B2530)*ISNUMBER(measured[Measured Value (kWh)]))=0,"",SUMIFS(measured[Measured Value (kWh)],measured[Site Name],A2530,measured[Date],B2530)),"")</f>
        <v>10127</v>
      </c>
      <c r="D2530" cm="1">
        <f t="array" ref="D2530">IFERROR(IF(SUMPRODUCT((expected_production[Site Name]=A2530)*(expected_production[Date]=B2530)*ISNUMBER(expected_production[Expected Production (kWh)]))=0,"",SUMIFS(expected_production[Expected Production (kWh)],expected_production[Site Name],A2530,expected_production[Date],B2530)),"")</f>
        <v>13274.233916996838</v>
      </c>
      <c r="E2530" s="9">
        <f t="shared" si="80"/>
        <v>0.76290654988631779</v>
      </c>
      <c r="F2530" t="str">
        <f t="shared" si="81"/>
        <v>Moderate</v>
      </c>
    </row>
    <row r="2531" spans="1:6" ht="15" hidden="1" customHeight="1" x14ac:dyDescent="0.3">
      <c r="A2531" t="s">
        <v>201</v>
      </c>
      <c r="B2531" s="2">
        <v>45566</v>
      </c>
      <c r="C2531" cm="1">
        <f t="array" ref="C2531">IFERROR(IF(SUMPRODUCT((measured[Site Name]=A2531)*(measured[Date]=B2531)*ISNUMBER(measured[Measured Value (kWh)]))=0,"",SUMIFS(measured[Measured Value (kWh)],measured[Site Name],A2531,measured[Date],B2531)),"")</f>
        <v>12940</v>
      </c>
      <c r="D2531" cm="1">
        <f t="array" ref="D2531">IFERROR(IF(SUMPRODUCT((expected_production[Site Name]=A2531)*(expected_production[Date]=B2531)*ISNUMBER(expected_production[Expected Production (kWh)]))=0,"",SUMIFS(expected_production[Expected Production (kWh)],expected_production[Site Name],A2531,expected_production[Date],B2531)),"")</f>
        <v>13643.759224684914</v>
      </c>
      <c r="E2531" s="9">
        <f t="shared" si="80"/>
        <v>0.94841896481054566</v>
      </c>
      <c r="F2531" t="str">
        <f t="shared" si="81"/>
        <v>Expected</v>
      </c>
    </row>
    <row r="2532" spans="1:6" ht="15" hidden="1" customHeight="1" x14ac:dyDescent="0.3">
      <c r="A2532" t="s">
        <v>201</v>
      </c>
      <c r="B2532" s="2">
        <v>45597</v>
      </c>
      <c r="C2532" cm="1">
        <f t="array" ref="C2532">IFERROR(IF(SUMPRODUCT((measured[Site Name]=A2532)*(measured[Date]=B2532)*ISNUMBER(measured[Measured Value (kWh)]))=0,"",SUMIFS(measured[Measured Value (kWh)],measured[Site Name],A2532,measured[Date],B2532)),"")</f>
        <v>12711</v>
      </c>
      <c r="D2532" cm="1">
        <f t="array" ref="D2532">IFERROR(IF(SUMPRODUCT((expected_production[Site Name]=A2532)*(expected_production[Date]=B2532)*ISNUMBER(expected_production[Expected Production (kWh)]))=0,"",SUMIFS(expected_production[Expected Production (kWh)],expected_production[Site Name],A2532,expected_production[Date],B2532)),"")</f>
        <v>13227.374890564211</v>
      </c>
      <c r="E2532" s="9">
        <f t="shared" si="80"/>
        <v>0.96096164999961031</v>
      </c>
      <c r="F2532" t="str">
        <f t="shared" si="81"/>
        <v>Expected</v>
      </c>
    </row>
    <row r="2533" spans="1:6" ht="15" hidden="1" customHeight="1" x14ac:dyDescent="0.3">
      <c r="A2533" t="s">
        <v>201</v>
      </c>
      <c r="B2533" s="2">
        <v>45627</v>
      </c>
      <c r="C2533" cm="1">
        <f t="array" ref="C2533">IFERROR(IF(SUMPRODUCT((measured[Site Name]=A2533)*(measured[Date]=B2533)*ISNUMBER(measured[Measured Value (kWh)]))=0,"",SUMIFS(measured[Measured Value (kWh)],measured[Site Name],A2533,measured[Date],B2533)),"")</f>
        <v>12090</v>
      </c>
      <c r="D2533" cm="1">
        <f t="array" ref="D2533">IFERROR(IF(SUMPRODUCT((expected_production[Site Name]=A2533)*(expected_production[Date]=B2533)*ISNUMBER(expected_production[Expected Production (kWh)]))=0,"",SUMIFS(expected_production[Expected Production (kWh)],expected_production[Site Name],A2533,expected_production[Date],B2533)),"")</f>
        <v>13930.384997677616</v>
      </c>
      <c r="E2533" s="9">
        <f t="shared" si="80"/>
        <v>0.86788699680702053</v>
      </c>
      <c r="F2533" t="str">
        <f t="shared" si="81"/>
        <v>Moderate</v>
      </c>
    </row>
    <row r="2534" spans="1:6" ht="15" hidden="1" customHeight="1" x14ac:dyDescent="0.3">
      <c r="A2534" t="s">
        <v>201</v>
      </c>
      <c r="B2534" s="2">
        <v>45658</v>
      </c>
      <c r="C2534" cm="1">
        <f t="array" ref="C2534">IFERROR(IF(SUMPRODUCT((measured[Site Name]=A2534)*(measured[Date]=B2534)*ISNUMBER(measured[Measured Value (kWh)]))=0,"",SUMIFS(measured[Measured Value (kWh)],measured[Site Name],A2534,measured[Date],B2534)),"")</f>
        <v>10838</v>
      </c>
      <c r="D2534" cm="1">
        <f t="array" ref="D2534">IFERROR(IF(SUMPRODUCT((expected_production[Site Name]=A2534)*(expected_production[Date]=B2534)*ISNUMBER(expected_production[Expected Production (kWh)]))=0,"",SUMIFS(expected_production[Expected Production (kWh)],expected_production[Site Name],A2534,expected_production[Date],B2534)),"")</f>
        <v>13146.938115540892</v>
      </c>
      <c r="E2534" s="9">
        <f t="shared" si="80"/>
        <v>0.82437445926580322</v>
      </c>
      <c r="F2534" t="str">
        <f t="shared" si="81"/>
        <v>Moderate</v>
      </c>
    </row>
    <row r="2535" spans="1:6" ht="15" hidden="1" customHeight="1" x14ac:dyDescent="0.3">
      <c r="A2535" t="s">
        <v>201</v>
      </c>
      <c r="B2535" s="2">
        <v>45689</v>
      </c>
      <c r="C2535" cm="1">
        <f t="array" ref="C2535">IFERROR(IF(SUMPRODUCT((measured[Site Name]=A2535)*(measured[Date]=B2535)*ISNUMBER(measured[Measured Value (kWh)]))=0,"",SUMIFS(measured[Measured Value (kWh)],measured[Site Name],A2535,measured[Date],B2535)),"")</f>
        <v>8901</v>
      </c>
      <c r="D2535" cm="1">
        <f t="array" ref="D2535">IFERROR(IF(SUMPRODUCT((expected_production[Site Name]=A2535)*(expected_production[Date]=B2535)*ISNUMBER(expected_production[Expected Production (kWh)]))=0,"",SUMIFS(expected_production[Expected Production (kWh)],expected_production[Site Name],A2535,expected_production[Date],B2535)),"")</f>
        <v>11783.491763883754</v>
      </c>
      <c r="E2535" s="9">
        <f t="shared" si="80"/>
        <v>0.75537881116711492</v>
      </c>
      <c r="F2535" t="str">
        <f t="shared" si="81"/>
        <v>Moderate</v>
      </c>
    </row>
    <row r="2536" spans="1:6" ht="15" hidden="1" customHeight="1" x14ac:dyDescent="0.3">
      <c r="A2536" t="s">
        <v>201</v>
      </c>
      <c r="B2536" s="2">
        <v>45717</v>
      </c>
      <c r="C2536" cm="1">
        <f t="array" ref="C2536">IFERROR(IF(SUMPRODUCT((measured[Site Name]=A2536)*(measured[Date]=B2536)*ISNUMBER(measured[Measured Value (kWh)]))=0,"",SUMIFS(measured[Measured Value (kWh)],measured[Site Name],A2536,measured[Date],B2536)),"")</f>
        <v>9398</v>
      </c>
      <c r="D2536" cm="1">
        <f t="array" ref="D2536">IFERROR(IF(SUMPRODUCT((expected_production[Site Name]=A2536)*(expected_production[Date]=B2536)*ISNUMBER(expected_production[Expected Production (kWh)]))=0,"",SUMIFS(expected_production[Expected Production (kWh)],expected_production[Site Name],A2536,expected_production[Date],B2536)),"")</f>
        <v>12561.959033887704</v>
      </c>
      <c r="E2536" s="9">
        <f t="shared" si="80"/>
        <v>0.74813171851998028</v>
      </c>
      <c r="F2536" t="str">
        <f t="shared" si="81"/>
        <v>Moderate</v>
      </c>
    </row>
    <row r="2537" spans="1:6" ht="15" hidden="1" customHeight="1" x14ac:dyDescent="0.3">
      <c r="A2537" t="s">
        <v>201</v>
      </c>
      <c r="B2537" s="2">
        <v>45748</v>
      </c>
      <c r="C2537" cm="1">
        <f t="array" ref="C2537">IFERROR(IF(SUMPRODUCT((measured[Site Name]=A2537)*(measured[Date]=B2537)*ISNUMBER(measured[Measured Value (kWh)]))=0,"",SUMIFS(measured[Measured Value (kWh)],measured[Site Name],A2537,measured[Date],B2537)),"")</f>
        <v>8195</v>
      </c>
      <c r="D2537" cm="1">
        <f t="array" ref="D2537">IFERROR(IF(SUMPRODUCT((expected_production[Site Name]=A2537)*(expected_production[Date]=B2537)*ISNUMBER(expected_production[Expected Production (kWh)]))=0,"",SUMIFS(expected_production[Expected Production (kWh)],expected_production[Site Name],A2537,expected_production[Date],B2537)),"")</f>
        <v>11258.658029988115</v>
      </c>
      <c r="E2537" s="9">
        <f t="shared" si="80"/>
        <v>0.72788426277555662</v>
      </c>
      <c r="F2537" t="str">
        <f t="shared" si="81"/>
        <v>Moderate</v>
      </c>
    </row>
    <row r="2538" spans="1:6" ht="15" hidden="1" customHeight="1" x14ac:dyDescent="0.3">
      <c r="A2538" t="s">
        <v>201</v>
      </c>
      <c r="B2538" s="2">
        <v>45778</v>
      </c>
      <c r="C2538" cm="1">
        <f t="array" ref="C2538">IFERROR(IF(SUMPRODUCT((measured[Site Name]=A2538)*(measured[Date]=B2538)*ISNUMBER(measured[Measured Value (kWh)]))=0,"",SUMIFS(measured[Measured Value (kWh)],measured[Site Name],A2538,measured[Date],B2538)),"")</f>
        <v>6021</v>
      </c>
      <c r="D2538" cm="1">
        <f t="array" ref="D2538">IFERROR(IF(SUMPRODUCT((expected_production[Site Name]=A2538)*(expected_production[Date]=B2538)*ISNUMBER(expected_production[Expected Production (kWh)]))=0,"",SUMIFS(expected_production[Expected Production (kWh)],expected_production[Site Name],A2538,expected_production[Date],B2538)),"")</f>
        <v>11500.660130676019</v>
      </c>
      <c r="E2538" s="9">
        <f t="shared" si="80"/>
        <v>0.52353516507630948</v>
      </c>
      <c r="F2538" t="str">
        <f t="shared" si="81"/>
        <v>Poor</v>
      </c>
    </row>
    <row r="2539" spans="1:6" ht="15" hidden="1" customHeight="1" x14ac:dyDescent="0.3">
      <c r="A2539" t="s">
        <v>201</v>
      </c>
      <c r="B2539" s="2">
        <v>45809</v>
      </c>
      <c r="C2539" cm="1">
        <f t="array" ref="C2539">IFERROR(IF(SUMPRODUCT((measured[Site Name]=A2539)*(measured[Date]=B2539)*ISNUMBER(measured[Measured Value (kWh)]))=0,"",SUMIFS(measured[Measured Value (kWh)],measured[Site Name],A2539,measured[Date],B2539)),"")</f>
        <v>4341.5600000000004</v>
      </c>
      <c r="D2539" cm="1">
        <f t="array" ref="D2539">IFERROR(IF(SUMPRODUCT((expected_production[Site Name]=A2539)*(expected_production[Date]=B2539)*ISNUMBER(expected_production[Expected Production (kWh)]))=0,"",SUMIFS(expected_production[Expected Production (kWh)],expected_production[Site Name],A2539,expected_production[Date],B2539)),"")</f>
        <v>10745.528524380721</v>
      </c>
      <c r="E2539" s="9">
        <f t="shared" si="80"/>
        <v>0.40403410499068126</v>
      </c>
      <c r="F2539" t="str">
        <f t="shared" si="81"/>
        <v>Poor</v>
      </c>
    </row>
    <row r="2540" spans="1:6" ht="15" hidden="1" customHeight="1" x14ac:dyDescent="0.3">
      <c r="A2540" t="s">
        <v>201</v>
      </c>
      <c r="B2540" s="2">
        <v>45839</v>
      </c>
      <c r="C2540" cm="1">
        <f t="array" ref="C2540">IFERROR(IF(SUMPRODUCT((measured[Site Name]=A2540)*(measured[Date]=B2540)*ISNUMBER(measured[Measured Value (kWh)]))=0,"",SUMIFS(measured[Measured Value (kWh)],measured[Site Name],A2540,measured[Date],B2540)),"")</f>
        <v>6989</v>
      </c>
      <c r="D2540" cm="1">
        <f t="array" ref="D2540">IFERROR(IF(SUMPRODUCT((expected_production[Site Name]=A2540)*(expected_production[Date]=B2540)*ISNUMBER(expected_production[Expected Production (kWh)]))=0,"",SUMIFS(expected_production[Expected Production (kWh)],expected_production[Site Name],A2540,expected_production[Date],B2540)),"")</f>
        <v>11719.47424299436</v>
      </c>
      <c r="E2540" s="9">
        <f t="shared" si="80"/>
        <v>0.59635781052020043</v>
      </c>
      <c r="F2540" t="str">
        <f t="shared" si="81"/>
        <v>Poor</v>
      </c>
    </row>
    <row r="2541" spans="1:6" ht="15" hidden="1" customHeight="1" x14ac:dyDescent="0.3">
      <c r="A2541" t="s">
        <v>201</v>
      </c>
      <c r="B2541" s="2">
        <v>45870</v>
      </c>
      <c r="C2541" cm="1">
        <f t="array" ref="C2541">IFERROR(IF(SUMPRODUCT((measured[Site Name]=A2541)*(measured[Date]=B2541)*ISNUMBER(measured[Measured Value (kWh)]))=0,"",SUMIFS(measured[Measured Value (kWh)],measured[Site Name],A2541,measured[Date],B2541)),"")</f>
        <v>11205</v>
      </c>
      <c r="D2541" cm="1">
        <f t="array" ref="D2541">IFERROR(IF(SUMPRODUCT((expected_production[Site Name]=A2541)*(expected_production[Date]=B2541)*ISNUMBER(expected_production[Expected Production (kWh)]))=0,"",SUMIFS(expected_production[Expected Production (kWh)],expected_production[Site Name],A2541,expected_production[Date],B2541)),"")</f>
        <v>12918.744209618771</v>
      </c>
      <c r="E2541" s="9">
        <f t="shared" si="80"/>
        <v>0.8673443655349421</v>
      </c>
      <c r="F2541" t="str">
        <f t="shared" si="81"/>
        <v>Moderate</v>
      </c>
    </row>
    <row r="2542" spans="1:6" ht="15" hidden="1" customHeight="1" x14ac:dyDescent="0.3">
      <c r="A2542" t="s">
        <v>201</v>
      </c>
      <c r="B2542" s="2">
        <v>45901</v>
      </c>
      <c r="C2542" cm="1">
        <f t="array" ref="C2542">IFERROR(IF(SUMPRODUCT((measured[Site Name]=A2542)*(measured[Date]=B2542)*ISNUMBER(measured[Measured Value (kWh)]))=0,"",SUMIFS(measured[Measured Value (kWh)],measured[Site Name],A2542,measured[Date],B2542)),"")</f>
        <v>10024</v>
      </c>
      <c r="D2542" cm="1">
        <f t="array" ref="D2542">IFERROR(IF(SUMPRODUCT((expected_production[Site Name]=A2542)*(expected_production[Date]=B2542)*ISNUMBER(expected_production[Expected Production (kWh)]))=0,"",SUMIFS(expected_production[Expected Production (kWh)],expected_production[Site Name],A2542,expected_production[Date],B2542)),"")</f>
        <v>13181.377656634519</v>
      </c>
      <c r="E2542" s="9">
        <f t="shared" si="80"/>
        <v>0.76046679346560331</v>
      </c>
      <c r="F2542" t="str">
        <f t="shared" si="81"/>
        <v>Moderate</v>
      </c>
    </row>
    <row r="2543" spans="1:6" ht="15" hidden="1" customHeight="1" x14ac:dyDescent="0.3">
      <c r="A2543" t="s">
        <v>201</v>
      </c>
      <c r="B2543" s="2">
        <v>45931</v>
      </c>
      <c r="C2543" cm="1">
        <f t="array" ref="C2543">IFERROR(IF(SUMPRODUCT((measured[Site Name]=A2543)*(measured[Date]=B2543)*ISNUMBER(measured[Measured Value (kWh)]))=0,"",SUMIFS(measured[Measured Value (kWh)],measured[Site Name],A2543,measured[Date],B2543)),"")</f>
        <v>13192</v>
      </c>
      <c r="D2543" cm="1">
        <f t="array" ref="D2543">IFERROR(IF(SUMPRODUCT((expected_production[Site Name]=A2543)*(expected_production[Date]=B2543)*ISNUMBER(expected_production[Expected Production (kWh)]))=0,"",SUMIFS(expected_production[Expected Production (kWh)],expected_production[Site Name],A2543,expected_production[Date],B2543)),"")</f>
        <v>13548.318051445834</v>
      </c>
      <c r="E2543" s="9">
        <f t="shared" si="80"/>
        <v>0.97370020026893234</v>
      </c>
      <c r="F2543" t="str">
        <f t="shared" si="81"/>
        <v>Expected</v>
      </c>
    </row>
    <row r="2544" spans="1:6" ht="15" hidden="1" customHeight="1" x14ac:dyDescent="0.3">
      <c r="A2544" t="s">
        <v>201</v>
      </c>
      <c r="B2544" s="2">
        <v>45962</v>
      </c>
      <c r="C2544" cm="1">
        <f t="array" ref="C2544">IFERROR(IF(SUMPRODUCT((measured[Site Name]=A2544)*(measured[Date]=B2544)*ISNUMBER(measured[Measured Value (kWh)]))=0,"",SUMIFS(measured[Measured Value (kWh)],measured[Site Name],A2544,measured[Date],B2544)),"")</f>
        <v>10364</v>
      </c>
      <c r="D2544" cm="1">
        <f t="array" ref="D2544">IFERROR(IF(SUMPRODUCT((expected_production[Site Name]=A2544)*(expected_production[Date]=B2544)*ISNUMBER(expected_production[Expected Production (kWh)]))=0,"",SUMIFS(expected_production[Expected Production (kWh)],expected_production[Site Name],A2544,expected_production[Date],B2544)),"")</f>
        <v>13134.846419661228</v>
      </c>
      <c r="E2544" s="9">
        <f t="shared" si="80"/>
        <v>0.78904615013133184</v>
      </c>
      <c r="F2544" t="str">
        <f t="shared" si="81"/>
        <v>Moderate</v>
      </c>
    </row>
    <row r="2545" spans="1:7" ht="15" hidden="1" customHeight="1" x14ac:dyDescent="0.3">
      <c r="A2545" t="s">
        <v>201</v>
      </c>
      <c r="B2545" s="2">
        <v>45992</v>
      </c>
      <c r="C2545" cm="1">
        <f t="array" ref="C2545">IFERROR(IF(SUMPRODUCT((measured[Site Name]=A2545)*(measured[Date]=B2545)*ISNUMBER(measured[Measured Value (kWh)]))=0,"",SUMIFS(measured[Measured Value (kWh)],measured[Site Name],A2545,measured[Date],B2545)),"")</f>
        <v>10702</v>
      </c>
      <c r="D2545" cm="1">
        <f t="array" ref="D2545">IFERROR(IF(SUMPRODUCT((expected_production[Site Name]=A2545)*(expected_production[Date]=B2545)*ISNUMBER(expected_production[Expected Production (kWh)]))=0,"",SUMIFS(expected_production[Expected Production (kWh)],expected_production[Site Name],A2545,expected_production[Date],B2545)),"")</f>
        <v>13832.938812505647</v>
      </c>
      <c r="E2545" s="9">
        <f t="shared" si="80"/>
        <v>0.77366061869115432</v>
      </c>
      <c r="F2545" t="str">
        <f t="shared" si="81"/>
        <v>Moderate</v>
      </c>
    </row>
    <row r="2546" spans="1:7" ht="15" hidden="1" customHeight="1" x14ac:dyDescent="0.3">
      <c r="A2546" t="s">
        <v>201</v>
      </c>
      <c r="B2546" s="2">
        <v>46023</v>
      </c>
      <c r="C2546" cm="1">
        <f t="array" ref="C2546">IFERROR(IF(SUMPRODUCT((measured[Site Name]=A2546)*(measured[Date]=B2546)*ISNUMBER(measured[Measured Value (kWh)]))=0,"",SUMIFS(measured[Measured Value (kWh)],measured[Site Name],A2546,measured[Date],B2546)),"")</f>
        <v>12710</v>
      </c>
      <c r="D2546" cm="1">
        <f t="array" ref="D2546">IFERROR(IF(SUMPRODUCT((expected_production[Site Name]=A2546)*(expected_production[Date]=B2546)*ISNUMBER(expected_production[Expected Production (kWh)]))=0,"",SUMIFS(expected_production[Expected Production (kWh)],expected_production[Site Name],A2546,expected_production[Date],B2546)),"")</f>
        <v>13054.972318022374</v>
      </c>
      <c r="E2546" s="9">
        <f t="shared" si="80"/>
        <v>0.97357540792743469</v>
      </c>
      <c r="F2546" t="str">
        <f t="shared" si="81"/>
        <v>Expected</v>
      </c>
    </row>
    <row r="2547" spans="1:7" ht="15" hidden="1" customHeight="1" x14ac:dyDescent="0.3">
      <c r="A2547" t="s">
        <v>201</v>
      </c>
      <c r="B2547" s="2">
        <v>46054</v>
      </c>
      <c r="C2547" cm="1">
        <f t="array" ref="C2547">IFERROR(IF(SUMPRODUCT((measured[Site Name]=A2547)*(measured[Date]=B2547)*ISNUMBER(measured[Measured Value (kWh)]))=0,"",SUMIFS(measured[Measured Value (kWh)],measured[Site Name],A2547,measured[Date],B2547)),"")</f>
        <v>12261</v>
      </c>
      <c r="D2547" cm="1">
        <f t="array" ref="D2547">IFERROR(IF(SUMPRODUCT((expected_production[Site Name]=A2547)*(expected_production[Date]=B2547)*ISNUMBER(expected_production[Expected Production (kWh)]))=0,"",SUMIFS(expected_production[Expected Production (kWh)],expected_production[Site Name],A2547,expected_production[Date],B2547)),"")</f>
        <v>11701.063581131648</v>
      </c>
      <c r="E2547" s="9">
        <f t="shared" si="80"/>
        <v>1.04785346348953</v>
      </c>
      <c r="F2547" t="str">
        <f t="shared" si="81"/>
        <v>Expected</v>
      </c>
    </row>
    <row r="2548" spans="1:7" ht="15" hidden="1" customHeight="1" x14ac:dyDescent="0.3">
      <c r="A2548" t="s">
        <v>201</v>
      </c>
      <c r="B2548" s="2">
        <v>46082</v>
      </c>
      <c r="C2548" cm="1">
        <f t="array" ref="C2548">IFERROR(IF(SUMPRODUCT((measured[Site Name]=A2548)*(measured[Date]=B2548)*ISNUMBER(measured[Measured Value (kWh)]))=0,"",SUMIFS(measured[Measured Value (kWh)],measured[Site Name],A2548,measured[Date],B2548)),"")</f>
        <v>11049</v>
      </c>
      <c r="D2548" cm="1">
        <f t="array" ref="D2548">IFERROR(IF(SUMPRODUCT((expected_production[Site Name]=A2548)*(expected_production[Date]=B2548)*ISNUMBER(expected_production[Expected Production (kWh)]))=0,"",SUMIFS(expected_production[Expected Production (kWh)],expected_production[Site Name],A2548,expected_production[Date],B2548)),"")</f>
        <v>12474.085296992205</v>
      </c>
      <c r="E2548" s="9">
        <f t="shared" si="80"/>
        <v>0.88575632897621548</v>
      </c>
      <c r="F2548" t="str">
        <f t="shared" si="81"/>
        <v>Moderate</v>
      </c>
    </row>
    <row r="2549" spans="1:7" ht="15" hidden="1" customHeight="1" x14ac:dyDescent="0.3">
      <c r="A2549" t="s">
        <v>201</v>
      </c>
      <c r="B2549" s="2">
        <v>46113</v>
      </c>
      <c r="C2549" cm="1">
        <f t="array" ref="C2549">IFERROR(IF(SUMPRODUCT((measured[Site Name]=A2549)*(measured[Date]=B2549)*ISNUMBER(measured[Measured Value (kWh)]))=0,"",SUMIFS(measured[Measured Value (kWh)],measured[Site Name],A2549,measured[Date],B2549)),"")</f>
        <v>9364.19</v>
      </c>
      <c r="D2549" cm="1">
        <f t="array" ref="D2549">IFERROR(IF(SUMPRODUCT((expected_production[Site Name]=A2549)*(expected_production[Date]=B2549)*ISNUMBER(expected_production[Expected Production (kWh)]))=0,"",SUMIFS(expected_production[Expected Production (kWh)],expected_production[Site Name],A2549,expected_production[Date],B2549)),"")</f>
        <v>11179.901177585183</v>
      </c>
      <c r="E2549" s="9">
        <f t="shared" si="80"/>
        <v>0.83759148236251502</v>
      </c>
      <c r="F2549" t="str">
        <f t="shared" si="81"/>
        <v>Moderate</v>
      </c>
    </row>
    <row r="2550" spans="1:7" ht="15" hidden="1" customHeight="1" x14ac:dyDescent="0.3">
      <c r="A2550" t="s">
        <v>201</v>
      </c>
      <c r="B2550" s="2">
        <v>46143</v>
      </c>
      <c r="C2550" cm="1">
        <f t="array" ref="C2550">IFERROR(IF(SUMPRODUCT((measured[Site Name]=A2550)*(measured[Date]=B2550)*ISNUMBER(measured[Measured Value (kWh)]))=0,"",SUMIFS(measured[Measured Value (kWh)],measured[Site Name],A2550,measured[Date],B2550)),"")</f>
        <v>10132.34</v>
      </c>
      <c r="D2550" cm="1">
        <f t="array" ref="D2550">IFERROR(IF(SUMPRODUCT((expected_production[Site Name]=A2550)*(expected_production[Date]=B2550)*ISNUMBER(expected_production[Expected Production (kWh)]))=0,"",SUMIFS(expected_production[Expected Production (kWh)],expected_production[Site Name],A2550,expected_production[Date],B2550)),"")</f>
        <v>11420.210418993207</v>
      </c>
      <c r="E2550" s="9">
        <f t="shared" si="80"/>
        <v>0.88722883626983606</v>
      </c>
      <c r="F2550" t="str">
        <f t="shared" si="81"/>
        <v>Moderate</v>
      </c>
    </row>
    <row r="2551" spans="1:7" ht="15" hidden="1" customHeight="1" x14ac:dyDescent="0.3">
      <c r="A2551" t="s">
        <v>201</v>
      </c>
      <c r="B2551" s="2">
        <v>46174</v>
      </c>
      <c r="C2551" cm="1">
        <f t="array" ref="C2551">IFERROR(IF(SUMPRODUCT((measured[Site Name]=A2551)*(measured[Date]=B2551)*ISNUMBER(measured[Measured Value (kWh)]))=0,"",SUMIFS(measured[Measured Value (kWh)],measured[Site Name],A2551,measured[Date],B2551)),"")</f>
        <v>8126</v>
      </c>
      <c r="D2551" cm="1">
        <f t="array" ref="D2551">IFERROR(IF(SUMPRODUCT((expected_production[Site Name]=A2551)*(expected_production[Date]=B2551)*ISNUMBER(expected_production[Expected Production (kWh)]))=0,"",SUMIFS(expected_production[Expected Production (kWh)],expected_production[Site Name],A2551,expected_production[Date],B2551)),"")</f>
        <v>10670.361128610106</v>
      </c>
      <c r="E2551" s="9">
        <f t="shared" si="80"/>
        <v>0.76154873317380145</v>
      </c>
      <c r="F2551" t="str">
        <f t="shared" si="81"/>
        <v>Moderate</v>
      </c>
    </row>
    <row r="2552" spans="1:7" ht="15" hidden="1" customHeight="1" x14ac:dyDescent="0.3">
      <c r="A2552" t="s">
        <v>194</v>
      </c>
      <c r="B2552" s="2">
        <v>46204</v>
      </c>
      <c r="C2552" cm="1">
        <f t="array" ref="C2552">IFERROR(IF(SUMPRODUCT((measured[Site Name]=A2552)*(measured[Date]=B2552)*ISNUMBER(measured[Measured Value (kWh)]))=0,"",SUMIFS(measured[Measured Value (kWh)],measured[Site Name],A2552,measured[Date],B2552)),"")</f>
        <v>2690</v>
      </c>
      <c r="D2552" cm="1">
        <f t="array" ref="D2552">IFERROR(IF(SUMPRODUCT((expected_production[Site Name]=A2552)*(expected_production[Date]=B2552)*ISNUMBER(expected_production[Expected Production (kWh)]))=0,"",SUMIFS(expected_production[Expected Production (kWh)],expected_production[Site Name],A2552,expected_production[Date],B2552)),"")</f>
        <v>4628.17128264447</v>
      </c>
      <c r="E2552" s="9">
        <f t="shared" si="80"/>
        <v>0.58122308698630809</v>
      </c>
      <c r="F2552" t="str">
        <f t="shared" si="81"/>
        <v>Poor</v>
      </c>
      <c r="G2552" t="s">
        <v>874</v>
      </c>
    </row>
    <row r="2553" spans="1:7" ht="15" hidden="1" customHeight="1" x14ac:dyDescent="0.3">
      <c r="A2553" t="s">
        <v>201</v>
      </c>
      <c r="B2553" s="2">
        <v>46235</v>
      </c>
      <c r="C2553" cm="1">
        <f t="array" ref="C2553">IFERROR(IF(SUMPRODUCT((measured[Site Name]=A2553)*(measured[Date]=B2553)*ISNUMBER(measured[Measured Value (kWh)]))=0,"",SUMIFS(measured[Measured Value (kWh)],measured[Site Name],A2553,measured[Date],B2553)),"")</f>
        <v>11112</v>
      </c>
      <c r="D2553" cm="1">
        <f t="array" ref="D2553">IFERROR(IF(SUMPRODUCT((expected_production[Site Name]=A2553)*(expected_production[Date]=B2553)*ISNUMBER(expected_production[Expected Production (kWh)]))=0,"",SUMIFS(expected_production[Expected Production (kWh)],expected_production[Site Name],A2553,expected_production[Date],B2553)),"")</f>
        <v>12828.374679943196</v>
      </c>
      <c r="E2553" s="9">
        <f t="shared" si="80"/>
        <v>0.86620482151751466</v>
      </c>
      <c r="F2553" t="str">
        <f t="shared" si="81"/>
        <v>Moderate</v>
      </c>
      <c r="G2553" t="s">
        <v>874</v>
      </c>
    </row>
    <row r="2554" spans="1:7" ht="15" customHeight="1" x14ac:dyDescent="0.3">
      <c r="A2554" t="s">
        <v>80</v>
      </c>
      <c r="B2554" s="2">
        <v>46266</v>
      </c>
      <c r="C2554" cm="1">
        <f t="array" ref="C2554">IFERROR(IF(SUMPRODUCT((measured[Site Name]=A2554)*(measured[Date]=B2554)*ISNUMBER(measured[Measured Value (kWh)]))=0,"",SUMIFS(measured[Measured Value (kWh)],measured[Site Name],A2554,measured[Date],B2554)),"")</f>
        <v>16232</v>
      </c>
      <c r="D2554" cm="1">
        <f t="array" ref="D2554">IFERROR(IF(SUMPRODUCT((expected_production[Site Name]=A2554)*(expected_production[Date]=B2554)*ISNUMBER(expected_production[Expected Production (kWh)]))=0,"",SUMIFS(expected_production[Expected Production (kWh)],expected_production[Site Name],A2554,expected_production[Date],B2554)),"")</f>
        <v>18626.400000000001</v>
      </c>
      <c r="E2554" s="9">
        <f t="shared" si="80"/>
        <v>0.87145127346132367</v>
      </c>
      <c r="F2554" t="str">
        <f t="shared" si="81"/>
        <v>Moderate</v>
      </c>
      <c r="G2554" t="s">
        <v>874</v>
      </c>
    </row>
    <row r="2555" spans="1:7" ht="15" hidden="1" customHeight="1" x14ac:dyDescent="0.3">
      <c r="A2555" t="s">
        <v>201</v>
      </c>
      <c r="B2555" s="2">
        <v>46296</v>
      </c>
      <c r="C2555" t="str" cm="1">
        <f t="array" ref="C2555">IFERROR(IF(SUMPRODUCT((measured[Site Name]=A2555)*(measured[Date]=B2555)*ISNUMBER(measured[Measured Value (kWh)]))=0,"",SUMIFS(measured[Measured Value (kWh)],measured[Site Name],A2555,measured[Date],B2555)),"")</f>
        <v/>
      </c>
      <c r="D2555" cm="1">
        <f t="array" ref="D2555">IFERROR(IF(SUMPRODUCT((expected_production[Site Name]=A2555)*(expected_production[Date]=B2555)*ISNUMBER(expected_production[Expected Production (kWh)]))=0,"",SUMIFS(expected_production[Expected Production (kWh)],expected_production[Site Name],A2555,expected_production[Date],B2555)),"")</f>
        <v>13453.544510741107</v>
      </c>
      <c r="E2555" s="9" t="str">
        <f t="shared" si="80"/>
        <v/>
      </c>
      <c r="F2555" t="str">
        <f t="shared" si="81"/>
        <v/>
      </c>
    </row>
    <row r="2556" spans="1:7" ht="15" hidden="1" customHeight="1" x14ac:dyDescent="0.3">
      <c r="A2556" t="s">
        <v>201</v>
      </c>
      <c r="B2556" s="2">
        <v>46327</v>
      </c>
      <c r="C2556" t="str" cm="1">
        <f t="array" ref="C2556">IFERROR(IF(SUMPRODUCT((measured[Site Name]=A2556)*(measured[Date]=B2556)*ISNUMBER(measured[Measured Value (kWh)]))=0,"",SUMIFS(measured[Measured Value (kWh)],measured[Site Name],A2556,measured[Date],B2556)),"")</f>
        <v/>
      </c>
      <c r="D2556" cm="1">
        <f t="array" ref="D2556">IFERROR(IF(SUMPRODUCT((expected_production[Site Name]=A2556)*(expected_production[Date]=B2556)*ISNUMBER(expected_production[Expected Production (kWh)]))=0,"",SUMIFS(expected_production[Expected Production (kWh)],expected_production[Site Name],A2556,expected_production[Date],B2556)),"")</f>
        <v>13042.965206282768</v>
      </c>
      <c r="E2556" s="9" t="str">
        <f t="shared" si="80"/>
        <v/>
      </c>
      <c r="F2556" t="str">
        <f t="shared" si="81"/>
        <v/>
      </c>
    </row>
    <row r="2557" spans="1:7" ht="15" hidden="1" customHeight="1" x14ac:dyDescent="0.3">
      <c r="A2557" t="s">
        <v>201</v>
      </c>
      <c r="B2557" s="2">
        <v>46357</v>
      </c>
      <c r="C2557" t="str" cm="1">
        <f t="array" ref="C2557">IFERROR(IF(SUMPRODUCT((measured[Site Name]=A2557)*(measured[Date]=B2557)*ISNUMBER(measured[Measured Value (kWh)]))=0,"",SUMIFS(measured[Measured Value (kWh)],measured[Site Name],A2557,measured[Date],B2557)),"")</f>
        <v/>
      </c>
      <c r="D2557" cm="1">
        <f t="array" ref="D2557">IFERROR(IF(SUMPRODUCT((expected_production[Site Name]=A2557)*(expected_production[Date]=B2557)*ISNUMBER(expected_production[Expected Production (kWh)]))=0,"",SUMIFS(expected_production[Expected Production (kWh)],expected_production[Site Name],A2557,expected_production[Date],B2557)),"")</f>
        <v>13736.174285378745</v>
      </c>
      <c r="E2557" s="9" t="str">
        <f t="shared" si="80"/>
        <v/>
      </c>
      <c r="F2557" t="str">
        <f t="shared" si="81"/>
        <v/>
      </c>
    </row>
    <row r="2558" spans="1:7" ht="15" hidden="1" customHeight="1" x14ac:dyDescent="0.3">
      <c r="A2558" t="s">
        <v>211</v>
      </c>
      <c r="B2558" s="2">
        <v>45292</v>
      </c>
      <c r="C2558" t="str" cm="1">
        <f t="array" ref="C2558">IFERROR(IF(SUMPRODUCT((measured[Site Name]=A2558)*(measured[Date]=B2558)*ISNUMBER(measured[Measured Value (kWh)]))=0,"",SUMIFS(measured[Measured Value (kWh)],measured[Site Name],A2558,measured[Date],B2558)),"")</f>
        <v/>
      </c>
      <c r="D2558" cm="1">
        <f t="array" ref="D2558">IFERROR(IF(SUMPRODUCT((expected_production[Site Name]=A2558)*(expected_production[Date]=B2558)*ISNUMBER(expected_production[Expected Production (kWh)]))=0,"",SUMIFS(expected_production[Expected Production (kWh)],expected_production[Site Name],A2558,expected_production[Date],B2558)),"")</f>
        <v>7299.9</v>
      </c>
      <c r="E2558" s="9" t="str">
        <f t="shared" si="80"/>
        <v/>
      </c>
      <c r="F2558" t="str">
        <f t="shared" si="81"/>
        <v/>
      </c>
    </row>
    <row r="2559" spans="1:7" ht="15" hidden="1" customHeight="1" x14ac:dyDescent="0.3">
      <c r="A2559" t="s">
        <v>211</v>
      </c>
      <c r="B2559" s="2">
        <v>45323</v>
      </c>
      <c r="C2559" t="str" cm="1">
        <f t="array" ref="C2559">IFERROR(IF(SUMPRODUCT((measured[Site Name]=A2559)*(measured[Date]=B2559)*ISNUMBER(measured[Measured Value (kWh)]))=0,"",SUMIFS(measured[Measured Value (kWh)],measured[Site Name],A2559,measured[Date],B2559)),"")</f>
        <v/>
      </c>
      <c r="D2559" cm="1">
        <f t="array" ref="D2559">IFERROR(IF(SUMPRODUCT((expected_production[Site Name]=A2559)*(expected_production[Date]=B2559)*ISNUMBER(expected_production[Expected Production (kWh)]))=0,"",SUMIFS(expected_production[Expected Production (kWh)],expected_production[Site Name],A2559,expected_production[Date],B2559)),"")</f>
        <v>6223.5</v>
      </c>
      <c r="E2559" s="9" t="str">
        <f t="shared" si="80"/>
        <v/>
      </c>
      <c r="F2559" t="str">
        <f t="shared" si="81"/>
        <v/>
      </c>
    </row>
    <row r="2560" spans="1:7" ht="15" hidden="1" customHeight="1" x14ac:dyDescent="0.3">
      <c r="A2560" t="s">
        <v>211</v>
      </c>
      <c r="B2560" s="2">
        <v>45352</v>
      </c>
      <c r="C2560" t="str" cm="1">
        <f t="array" ref="C2560">IFERROR(IF(SUMPRODUCT((measured[Site Name]=A2560)*(measured[Date]=B2560)*ISNUMBER(measured[Measured Value (kWh)]))=0,"",SUMIFS(measured[Measured Value (kWh)],measured[Site Name],A2560,measured[Date],B2560)),"")</f>
        <v/>
      </c>
      <c r="D2560" cm="1">
        <f t="array" ref="D2560">IFERROR(IF(SUMPRODUCT((expected_production[Site Name]=A2560)*(expected_production[Date]=B2560)*ISNUMBER(expected_production[Expected Production (kWh)]))=0,"",SUMIFS(expected_production[Expected Production (kWh)],expected_production[Site Name],A2560,expected_production[Date],B2560)),"")</f>
        <v>6048.9</v>
      </c>
      <c r="E2560" s="9" t="str">
        <f t="shared" si="80"/>
        <v/>
      </c>
      <c r="F2560" t="str">
        <f t="shared" si="81"/>
        <v/>
      </c>
    </row>
    <row r="2561" spans="1:6" ht="15" hidden="1" customHeight="1" x14ac:dyDescent="0.3">
      <c r="A2561" t="s">
        <v>211</v>
      </c>
      <c r="B2561" s="2">
        <v>45383</v>
      </c>
      <c r="C2561" t="str" cm="1">
        <f t="array" ref="C2561">IFERROR(IF(SUMPRODUCT((measured[Site Name]=A2561)*(measured[Date]=B2561)*ISNUMBER(measured[Measured Value (kWh)]))=0,"",SUMIFS(measured[Measured Value (kWh)],measured[Site Name],A2561,measured[Date],B2561)),"")</f>
        <v/>
      </c>
      <c r="D2561" cm="1">
        <f t="array" ref="D2561">IFERROR(IF(SUMPRODUCT((expected_production[Site Name]=A2561)*(expected_production[Date]=B2561)*ISNUMBER(expected_production[Expected Production (kWh)]))=0,"",SUMIFS(expected_production[Expected Production (kWh)],expected_production[Site Name],A2561,expected_production[Date],B2561)),"")</f>
        <v>5130.8999999999996</v>
      </c>
      <c r="E2561" s="9" t="str">
        <f t="shared" si="80"/>
        <v/>
      </c>
      <c r="F2561" t="str">
        <f t="shared" si="81"/>
        <v/>
      </c>
    </row>
    <row r="2562" spans="1:6" ht="15" hidden="1" customHeight="1" x14ac:dyDescent="0.3">
      <c r="A2562" t="s">
        <v>211</v>
      </c>
      <c r="B2562" s="2">
        <v>45413</v>
      </c>
      <c r="C2562" t="str" cm="1">
        <f t="array" ref="C2562">IFERROR(IF(SUMPRODUCT((measured[Site Name]=A2562)*(measured[Date]=B2562)*ISNUMBER(measured[Measured Value (kWh)]))=0,"",SUMIFS(measured[Measured Value (kWh)],measured[Site Name],A2562,measured[Date],B2562)),"")</f>
        <v/>
      </c>
      <c r="D2562" cm="1">
        <f t="array" ref="D2562">IFERROR(IF(SUMPRODUCT((expected_production[Site Name]=A2562)*(expected_production[Date]=B2562)*ISNUMBER(expected_production[Expected Production (kWh)]))=0,"",SUMIFS(expected_production[Expected Production (kWh)],expected_production[Site Name],A2562,expected_production[Date],B2562)),"")</f>
        <v>4621.5</v>
      </c>
      <c r="E2562" s="9" t="str">
        <f t="shared" si="80"/>
        <v/>
      </c>
      <c r="F2562" t="str">
        <f t="shared" si="81"/>
        <v/>
      </c>
    </row>
    <row r="2563" spans="1:6" ht="15" hidden="1" customHeight="1" x14ac:dyDescent="0.3">
      <c r="A2563" t="s">
        <v>211</v>
      </c>
      <c r="B2563" s="2">
        <v>45444</v>
      </c>
      <c r="C2563" t="str" cm="1">
        <f t="array" ref="C2563">IFERROR(IF(SUMPRODUCT((measured[Site Name]=A2563)*(measured[Date]=B2563)*ISNUMBER(measured[Measured Value (kWh)]))=0,"",SUMIFS(measured[Measured Value (kWh)],measured[Site Name],A2563,measured[Date],B2563)),"")</f>
        <v/>
      </c>
      <c r="D2563" cm="1">
        <f t="array" ref="D2563">IFERROR(IF(SUMPRODUCT((expected_production[Site Name]=A2563)*(expected_production[Date]=B2563)*ISNUMBER(expected_production[Expected Production (kWh)]))=0,"",SUMIFS(expected_production[Expected Production (kWh)],expected_production[Site Name],A2563,expected_production[Date],B2563)),"")</f>
        <v>3931.2</v>
      </c>
      <c r="E2563" s="9" t="str">
        <f t="shared" si="80"/>
        <v/>
      </c>
      <c r="F2563" t="str">
        <f t="shared" si="81"/>
        <v/>
      </c>
    </row>
    <row r="2564" spans="1:6" ht="15" hidden="1" customHeight="1" x14ac:dyDescent="0.3">
      <c r="A2564" t="s">
        <v>211</v>
      </c>
      <c r="B2564" s="2">
        <v>45474</v>
      </c>
      <c r="C2564" t="str" cm="1">
        <f t="array" ref="C2564">IFERROR(IF(SUMPRODUCT((measured[Site Name]=A2564)*(measured[Date]=B2564)*ISNUMBER(measured[Measured Value (kWh)]))=0,"",SUMIFS(measured[Measured Value (kWh)],measured[Site Name],A2564,measured[Date],B2564)),"")</f>
        <v/>
      </c>
      <c r="D2564" cm="1">
        <f t="array" ref="D2564">IFERROR(IF(SUMPRODUCT((expected_production[Site Name]=A2564)*(expected_production[Date]=B2564)*ISNUMBER(expected_production[Expected Production (kWh)]))=0,"",SUMIFS(expected_production[Expected Production (kWh)],expected_production[Site Name],A2564,expected_production[Date],B2564)),"")</f>
        <v>4065.3</v>
      </c>
      <c r="E2564" s="9" t="str">
        <f t="shared" si="80"/>
        <v/>
      </c>
      <c r="F2564" t="str">
        <f t="shared" si="81"/>
        <v/>
      </c>
    </row>
    <row r="2565" spans="1:6" ht="15" hidden="1" customHeight="1" x14ac:dyDescent="0.3">
      <c r="A2565" t="s">
        <v>211</v>
      </c>
      <c r="B2565" s="2">
        <v>45505</v>
      </c>
      <c r="C2565" t="str" cm="1">
        <f t="array" ref="C2565">IFERROR(IF(SUMPRODUCT((measured[Site Name]=A2565)*(measured[Date]=B2565)*ISNUMBER(measured[Measured Value (kWh)]))=0,"",SUMIFS(measured[Measured Value (kWh)],measured[Site Name],A2565,measured[Date],B2565)),"")</f>
        <v/>
      </c>
      <c r="D2565" cm="1">
        <f t="array" ref="D2565">IFERROR(IF(SUMPRODUCT((expected_production[Site Name]=A2565)*(expected_production[Date]=B2565)*ISNUMBER(expected_production[Expected Production (kWh)]))=0,"",SUMIFS(expected_production[Expected Production (kWh)],expected_production[Site Name],A2565,expected_production[Date],B2565)),"")</f>
        <v>4723.2</v>
      </c>
      <c r="E2565" s="9" t="str">
        <f t="shared" si="80"/>
        <v/>
      </c>
      <c r="F2565" t="str">
        <f t="shared" si="81"/>
        <v/>
      </c>
    </row>
    <row r="2566" spans="1:6" ht="15" hidden="1" customHeight="1" x14ac:dyDescent="0.3">
      <c r="A2566" t="s">
        <v>211</v>
      </c>
      <c r="B2566" s="2">
        <v>45536</v>
      </c>
      <c r="C2566" t="str" cm="1">
        <f t="array" ref="C2566">IFERROR(IF(SUMPRODUCT((measured[Site Name]=A2566)*(measured[Date]=B2566)*ISNUMBER(measured[Measured Value (kWh)]))=0,"",SUMIFS(measured[Measured Value (kWh)],measured[Site Name],A2566,measured[Date],B2566)),"")</f>
        <v/>
      </c>
      <c r="D2566" cm="1">
        <f t="array" ref="D2566">IFERROR(IF(SUMPRODUCT((expected_production[Site Name]=A2566)*(expected_production[Date]=B2566)*ISNUMBER(expected_production[Expected Production (kWh)]))=0,"",SUMIFS(expected_production[Expected Production (kWh)],expected_production[Site Name],A2566,expected_production[Date],B2566)),"")</f>
        <v>5251.5</v>
      </c>
      <c r="E2566" s="9" t="str">
        <f t="shared" si="80"/>
        <v/>
      </c>
      <c r="F2566" t="str">
        <f t="shared" si="81"/>
        <v/>
      </c>
    </row>
    <row r="2567" spans="1:6" ht="15" hidden="1" customHeight="1" x14ac:dyDescent="0.3">
      <c r="A2567" t="s">
        <v>211</v>
      </c>
      <c r="B2567" s="2">
        <v>45566</v>
      </c>
      <c r="C2567" t="str" cm="1">
        <f t="array" ref="C2567">IFERROR(IF(SUMPRODUCT((measured[Site Name]=A2567)*(measured[Date]=B2567)*ISNUMBER(measured[Measured Value (kWh)]))=0,"",SUMIFS(measured[Measured Value (kWh)],measured[Site Name],A2567,measured[Date],B2567)),"")</f>
        <v/>
      </c>
      <c r="D2567" cm="1">
        <f t="array" ref="D2567">IFERROR(IF(SUMPRODUCT((expected_production[Site Name]=A2567)*(expected_production[Date]=B2567)*ISNUMBER(expected_production[Expected Production (kWh)]))=0,"",SUMIFS(expected_production[Expected Production (kWh)],expected_production[Site Name],A2567,expected_production[Date],B2567)),"")</f>
        <v>6489.9</v>
      </c>
      <c r="E2567" s="9" t="str">
        <f t="shared" si="80"/>
        <v/>
      </c>
      <c r="F2567" t="str">
        <f t="shared" si="81"/>
        <v/>
      </c>
    </row>
    <row r="2568" spans="1:6" ht="15" hidden="1" customHeight="1" x14ac:dyDescent="0.3">
      <c r="A2568" t="s">
        <v>211</v>
      </c>
      <c r="B2568" s="2">
        <v>45597</v>
      </c>
      <c r="C2568" t="str" cm="1">
        <f t="array" ref="C2568">IFERROR(IF(SUMPRODUCT((measured[Site Name]=A2568)*(measured[Date]=B2568)*ISNUMBER(measured[Measured Value (kWh)]))=0,"",SUMIFS(measured[Measured Value (kWh)],measured[Site Name],A2568,measured[Date],B2568)),"")</f>
        <v/>
      </c>
      <c r="D2568" cm="1">
        <f t="array" ref="D2568">IFERROR(IF(SUMPRODUCT((expected_production[Site Name]=A2568)*(expected_production[Date]=B2568)*ISNUMBER(expected_production[Expected Production (kWh)]))=0,"",SUMIFS(expected_production[Expected Production (kWh)],expected_production[Site Name],A2568,expected_production[Date],B2568)),"")</f>
        <v>6813.9</v>
      </c>
      <c r="E2568" s="9" t="str">
        <f t="shared" si="80"/>
        <v/>
      </c>
      <c r="F2568" t="str">
        <f t="shared" si="81"/>
        <v/>
      </c>
    </row>
    <row r="2569" spans="1:6" ht="15" hidden="1" customHeight="1" x14ac:dyDescent="0.3">
      <c r="A2569" t="s">
        <v>211</v>
      </c>
      <c r="B2569" s="2">
        <v>45627</v>
      </c>
      <c r="C2569" t="str" cm="1">
        <f t="array" ref="C2569">IFERROR(IF(SUMPRODUCT((measured[Site Name]=A2569)*(measured[Date]=B2569)*ISNUMBER(measured[Measured Value (kWh)]))=0,"",SUMIFS(measured[Measured Value (kWh)],measured[Site Name],A2569,measured[Date],B2569)),"")</f>
        <v/>
      </c>
      <c r="D2569" cm="1">
        <f t="array" ref="D2569">IFERROR(IF(SUMPRODUCT((expected_production[Site Name]=A2569)*(expected_production[Date]=B2569)*ISNUMBER(expected_production[Expected Production (kWh)]))=0,"",SUMIFS(expected_production[Expected Production (kWh)],expected_production[Site Name],A2569,expected_production[Date],B2569)),"")</f>
        <v>7296.3</v>
      </c>
      <c r="E2569" s="9" t="str">
        <f t="shared" si="80"/>
        <v/>
      </c>
      <c r="F2569" t="str">
        <f t="shared" si="81"/>
        <v/>
      </c>
    </row>
    <row r="2570" spans="1:6" ht="15" hidden="1" customHeight="1" x14ac:dyDescent="0.3">
      <c r="A2570" t="s">
        <v>211</v>
      </c>
      <c r="B2570" s="2">
        <v>45658</v>
      </c>
      <c r="C2570" t="str" cm="1">
        <f t="array" ref="C2570">IFERROR(IF(SUMPRODUCT((measured[Site Name]=A2570)*(measured[Date]=B2570)*ISNUMBER(measured[Measured Value (kWh)]))=0,"",SUMIFS(measured[Measured Value (kWh)],measured[Site Name],A2570,measured[Date],B2570)),"")</f>
        <v/>
      </c>
      <c r="D2570" cm="1">
        <f t="array" ref="D2570">IFERROR(IF(SUMPRODUCT((expected_production[Site Name]=A2570)*(expected_production[Date]=B2570)*ISNUMBER(expected_production[Expected Production (kWh)]))=0,"",SUMIFS(expected_production[Expected Production (kWh)],expected_production[Site Name],A2570,expected_production[Date],B2570)),"")</f>
        <v>7299.9</v>
      </c>
      <c r="E2570" s="9" t="str">
        <f t="shared" si="80"/>
        <v/>
      </c>
      <c r="F2570" t="str">
        <f t="shared" si="81"/>
        <v/>
      </c>
    </row>
    <row r="2571" spans="1:6" ht="15" hidden="1" customHeight="1" x14ac:dyDescent="0.3">
      <c r="A2571" t="s">
        <v>211</v>
      </c>
      <c r="B2571" s="2">
        <v>45689</v>
      </c>
      <c r="C2571" t="str" cm="1">
        <f t="array" ref="C2571">IFERROR(IF(SUMPRODUCT((measured[Site Name]=A2571)*(measured[Date]=B2571)*ISNUMBER(measured[Measured Value (kWh)]))=0,"",SUMIFS(measured[Measured Value (kWh)],measured[Site Name],A2571,measured[Date],B2571)),"")</f>
        <v/>
      </c>
      <c r="D2571" cm="1">
        <f t="array" ref="D2571">IFERROR(IF(SUMPRODUCT((expected_production[Site Name]=A2571)*(expected_production[Date]=B2571)*ISNUMBER(expected_production[Expected Production (kWh)]))=0,"",SUMIFS(expected_production[Expected Production (kWh)],expected_production[Site Name],A2571,expected_production[Date],B2571)),"")</f>
        <v>6223.5</v>
      </c>
      <c r="E2571" s="9" t="str">
        <f t="shared" si="80"/>
        <v/>
      </c>
      <c r="F2571" t="str">
        <f t="shared" si="81"/>
        <v/>
      </c>
    </row>
    <row r="2572" spans="1:6" ht="15" hidden="1" customHeight="1" x14ac:dyDescent="0.3">
      <c r="A2572" t="s">
        <v>211</v>
      </c>
      <c r="B2572" s="2">
        <v>45717</v>
      </c>
      <c r="C2572" t="str" cm="1">
        <f t="array" ref="C2572">IFERROR(IF(SUMPRODUCT((measured[Site Name]=A2572)*(measured[Date]=B2572)*ISNUMBER(measured[Measured Value (kWh)]))=0,"",SUMIFS(measured[Measured Value (kWh)],measured[Site Name],A2572,measured[Date],B2572)),"")</f>
        <v/>
      </c>
      <c r="D2572" cm="1">
        <f t="array" ref="D2572">IFERROR(IF(SUMPRODUCT((expected_production[Site Name]=A2572)*(expected_production[Date]=B2572)*ISNUMBER(expected_production[Expected Production (kWh)]))=0,"",SUMIFS(expected_production[Expected Production (kWh)],expected_production[Site Name],A2572,expected_production[Date],B2572)),"")</f>
        <v>6048.9</v>
      </c>
      <c r="E2572" s="9" t="str">
        <f t="shared" si="80"/>
        <v/>
      </c>
      <c r="F2572" t="str">
        <f t="shared" si="81"/>
        <v/>
      </c>
    </row>
    <row r="2573" spans="1:6" ht="15" hidden="1" customHeight="1" x14ac:dyDescent="0.3">
      <c r="A2573" t="s">
        <v>211</v>
      </c>
      <c r="B2573" s="2">
        <v>45748</v>
      </c>
      <c r="C2573" t="str" cm="1">
        <f t="array" ref="C2573">IFERROR(IF(SUMPRODUCT((measured[Site Name]=A2573)*(measured[Date]=B2573)*ISNUMBER(measured[Measured Value (kWh)]))=0,"",SUMIFS(measured[Measured Value (kWh)],measured[Site Name],A2573,measured[Date],B2573)),"")</f>
        <v/>
      </c>
      <c r="D2573" cm="1">
        <f t="array" ref="D2573">IFERROR(IF(SUMPRODUCT((expected_production[Site Name]=A2573)*(expected_production[Date]=B2573)*ISNUMBER(expected_production[Expected Production (kWh)]))=0,"",SUMIFS(expected_production[Expected Production (kWh)],expected_production[Site Name],A2573,expected_production[Date],B2573)),"")</f>
        <v>5130.8999999999996</v>
      </c>
      <c r="E2573" s="9" t="str">
        <f t="shared" si="80"/>
        <v/>
      </c>
      <c r="F2573" t="str">
        <f t="shared" si="81"/>
        <v/>
      </c>
    </row>
    <row r="2574" spans="1:6" ht="15" hidden="1" customHeight="1" x14ac:dyDescent="0.3">
      <c r="A2574" t="s">
        <v>211</v>
      </c>
      <c r="B2574" s="2">
        <v>45778</v>
      </c>
      <c r="C2574" t="str" cm="1">
        <f t="array" ref="C2574">IFERROR(IF(SUMPRODUCT((measured[Site Name]=A2574)*(measured[Date]=B2574)*ISNUMBER(measured[Measured Value (kWh)]))=0,"",SUMIFS(measured[Measured Value (kWh)],measured[Site Name],A2574,measured[Date],B2574)),"")</f>
        <v/>
      </c>
      <c r="D2574" cm="1">
        <f t="array" ref="D2574">IFERROR(IF(SUMPRODUCT((expected_production[Site Name]=A2574)*(expected_production[Date]=B2574)*ISNUMBER(expected_production[Expected Production (kWh)]))=0,"",SUMIFS(expected_production[Expected Production (kWh)],expected_production[Site Name],A2574,expected_production[Date],B2574)),"")</f>
        <v>4621.5</v>
      </c>
      <c r="E2574" s="9" t="str">
        <f t="shared" si="80"/>
        <v/>
      </c>
      <c r="F2574" t="str">
        <f t="shared" si="81"/>
        <v/>
      </c>
    </row>
    <row r="2575" spans="1:6" ht="15" hidden="1" customHeight="1" x14ac:dyDescent="0.3">
      <c r="A2575" t="s">
        <v>211</v>
      </c>
      <c r="B2575" s="2">
        <v>45809</v>
      </c>
      <c r="C2575" t="str" cm="1">
        <f t="array" ref="C2575">IFERROR(IF(SUMPRODUCT((measured[Site Name]=A2575)*(measured[Date]=B2575)*ISNUMBER(measured[Measured Value (kWh)]))=0,"",SUMIFS(measured[Measured Value (kWh)],measured[Site Name],A2575,measured[Date],B2575)),"")</f>
        <v/>
      </c>
      <c r="D2575" cm="1">
        <f t="array" ref="D2575">IFERROR(IF(SUMPRODUCT((expected_production[Site Name]=A2575)*(expected_production[Date]=B2575)*ISNUMBER(expected_production[Expected Production (kWh)]))=0,"",SUMIFS(expected_production[Expected Production (kWh)],expected_production[Site Name],A2575,expected_production[Date],B2575)),"")</f>
        <v>3931.2</v>
      </c>
      <c r="E2575" s="9" t="str">
        <f t="shared" si="80"/>
        <v/>
      </c>
      <c r="F2575" t="str">
        <f t="shared" si="81"/>
        <v/>
      </c>
    </row>
    <row r="2576" spans="1:6" ht="15" hidden="1" customHeight="1" x14ac:dyDescent="0.3">
      <c r="A2576" t="s">
        <v>211</v>
      </c>
      <c r="B2576" s="2">
        <v>45839</v>
      </c>
      <c r="C2576" t="str" cm="1">
        <f t="array" ref="C2576">IFERROR(IF(SUMPRODUCT((measured[Site Name]=A2576)*(measured[Date]=B2576)*ISNUMBER(measured[Measured Value (kWh)]))=0,"",SUMIFS(measured[Measured Value (kWh)],measured[Site Name],A2576,measured[Date],B2576)),"")</f>
        <v/>
      </c>
      <c r="D2576" cm="1">
        <f t="array" ref="D2576">IFERROR(IF(SUMPRODUCT((expected_production[Site Name]=A2576)*(expected_production[Date]=B2576)*ISNUMBER(expected_production[Expected Production (kWh)]))=0,"",SUMIFS(expected_production[Expected Production (kWh)],expected_production[Site Name],A2576,expected_production[Date],B2576)),"")</f>
        <v>4065.3</v>
      </c>
      <c r="E2576" s="9" t="str">
        <f t="shared" si="80"/>
        <v/>
      </c>
      <c r="F2576" t="str">
        <f t="shared" si="81"/>
        <v/>
      </c>
    </row>
    <row r="2577" spans="1:7" ht="15" hidden="1" customHeight="1" x14ac:dyDescent="0.3">
      <c r="A2577" t="s">
        <v>211</v>
      </c>
      <c r="B2577" s="2">
        <v>45870</v>
      </c>
      <c r="C2577" cm="1">
        <f t="array" ref="C2577">IFERROR(IF(SUMPRODUCT((measured[Site Name]=A2577)*(measured[Date]=B2577)*ISNUMBER(measured[Measured Value (kWh)]))=0,"",SUMIFS(measured[Measured Value (kWh)],measured[Site Name],A2577,measured[Date],B2577)),"")</f>
        <v>3866</v>
      </c>
      <c r="D2577" cm="1">
        <f t="array" ref="D2577">IFERROR(IF(SUMPRODUCT((expected_production[Site Name]=A2577)*(expected_production[Date]=B2577)*ISNUMBER(expected_production[Expected Production (kWh)]))=0,"",SUMIFS(expected_production[Expected Production (kWh)],expected_production[Site Name],A2577,expected_production[Date],B2577)),"")</f>
        <v>4722.3825267358525</v>
      </c>
      <c r="E2577" s="9">
        <f t="shared" si="80"/>
        <v>0.81865456220722743</v>
      </c>
      <c r="F2577" t="str">
        <f t="shared" si="81"/>
        <v>Moderate</v>
      </c>
    </row>
    <row r="2578" spans="1:7" ht="15" hidden="1" customHeight="1" x14ac:dyDescent="0.3">
      <c r="A2578" t="s">
        <v>211</v>
      </c>
      <c r="B2578" s="2">
        <v>45901</v>
      </c>
      <c r="C2578" cm="1">
        <f t="array" ref="C2578">IFERROR(IF(SUMPRODUCT((measured[Site Name]=A2578)*(measured[Date]=B2578)*ISNUMBER(measured[Measured Value (kWh)]))=0,"",SUMIFS(measured[Measured Value (kWh)],measured[Site Name],A2578,measured[Date],B2578)),"")</f>
        <v>4249</v>
      </c>
      <c r="D2578" cm="1">
        <f t="array" ref="D2578">IFERROR(IF(SUMPRODUCT((expected_production[Site Name]=A2578)*(expected_production[Date]=B2578)*ISNUMBER(expected_production[Expected Production (kWh)]))=0,"",SUMIFS(expected_production[Expected Production (kWh)],expected_production[Site Name],A2578,expected_production[Date],B2578)),"")</f>
        <v>5247.4616066317685</v>
      </c>
      <c r="E2578" s="9">
        <f t="shared" si="80"/>
        <v>0.80972483812556006</v>
      </c>
      <c r="F2578" t="str">
        <f t="shared" si="81"/>
        <v>Moderate</v>
      </c>
    </row>
    <row r="2579" spans="1:7" ht="15" hidden="1" customHeight="1" x14ac:dyDescent="0.3">
      <c r="A2579" t="s">
        <v>211</v>
      </c>
      <c r="B2579" s="2">
        <v>45931</v>
      </c>
      <c r="C2579" cm="1">
        <f t="array" ref="C2579">IFERROR(IF(SUMPRODUCT((measured[Site Name]=A2579)*(measured[Date]=B2579)*ISNUMBER(measured[Measured Value (kWh)]))=0,"",SUMIFS(measured[Measured Value (kWh)],measured[Site Name],A2579,measured[Date],B2579)),"")</f>
        <v>5286</v>
      </c>
      <c r="D2579" cm="1">
        <f t="array" ref="D2579">IFERROR(IF(SUMPRODUCT((expected_production[Site Name]=A2579)*(expected_production[Date]=B2579)*ISNUMBER(expected_production[Expected Production (kWh)]))=0,"",SUMIFS(expected_production[Expected Production (kWh)],expected_production[Site Name],A2579,expected_production[Date],B2579)),"")</f>
        <v>6481.1687577402463</v>
      </c>
      <c r="E2579" s="9">
        <f t="shared" si="80"/>
        <v>0.81559363713328781</v>
      </c>
      <c r="F2579" t="str">
        <f t="shared" si="81"/>
        <v>Moderate</v>
      </c>
    </row>
    <row r="2580" spans="1:7" ht="15" hidden="1" customHeight="1" x14ac:dyDescent="0.3">
      <c r="A2580" t="s">
        <v>211</v>
      </c>
      <c r="B2580" s="2">
        <v>45962</v>
      </c>
      <c r="C2580" cm="1">
        <f t="array" ref="C2580">IFERROR(IF(SUMPRODUCT((measured[Site Name]=A2580)*(measured[Date]=B2580)*ISNUMBER(measured[Measured Value (kWh)]))=0,"",SUMIFS(measured[Measured Value (kWh)],measured[Site Name],A2580,measured[Date],B2580)),"")</f>
        <v>5001</v>
      </c>
      <c r="D2580" cm="1">
        <f t="array" ref="D2580">IFERROR(IF(SUMPRODUCT((expected_production[Site Name]=A2580)*(expected_production[Date]=B2580)*ISNUMBER(expected_production[Expected Production (kWh)]))=0,"",SUMIFS(expected_production[Expected Production (kWh)],expected_production[Site Name],A2580,expected_production[Date],B2580)),"")</f>
        <v>6800.6770701314535</v>
      </c>
      <c r="E2580" s="9">
        <f t="shared" si="80"/>
        <v>0.73536795651779618</v>
      </c>
      <c r="F2580" t="str">
        <f t="shared" si="81"/>
        <v>Moderate</v>
      </c>
    </row>
    <row r="2581" spans="1:7" ht="15" hidden="1" customHeight="1" x14ac:dyDescent="0.3">
      <c r="A2581" t="s">
        <v>211</v>
      </c>
      <c r="B2581" s="2">
        <v>45992</v>
      </c>
      <c r="C2581" cm="1">
        <f t="array" ref="C2581">IFERROR(IF(SUMPRODUCT((measured[Site Name]=A2581)*(measured[Date]=B2581)*ISNUMBER(measured[Measured Value (kWh)]))=0,"",SUMIFS(measured[Measured Value (kWh)],measured[Site Name],A2581,measured[Date],B2581)),"")</f>
        <v>6707</v>
      </c>
      <c r="D2581" cm="1">
        <f t="array" ref="D2581">IFERROR(IF(SUMPRODUCT((expected_production[Site Name]=A2581)*(expected_production[Date]=B2581)*ISNUMBER(expected_production[Expected Production (kWh)]))=0,"",SUMIFS(expected_production[Expected Production (kWh)],expected_production[Site Name],A2581,expected_production[Date],B2581)),"")</f>
        <v>7277.9405654073571</v>
      </c>
      <c r="E2581" s="9">
        <f t="shared" si="80"/>
        <v>0.92155190602667414</v>
      </c>
      <c r="F2581" t="str">
        <f t="shared" si="81"/>
        <v>Expected</v>
      </c>
    </row>
    <row r="2582" spans="1:7" ht="15" hidden="1" customHeight="1" x14ac:dyDescent="0.3">
      <c r="A2582" t="s">
        <v>211</v>
      </c>
      <c r="B2582" s="2">
        <v>46023</v>
      </c>
      <c r="C2582" cm="1">
        <f t="array" ref="C2582">IFERROR(IF(SUMPRODUCT((measured[Site Name]=A2582)*(measured[Date]=B2582)*ISNUMBER(measured[Measured Value (kWh)]))=0,"",SUMIFS(measured[Measured Value (kWh)],measured[Site Name],A2582,measured[Date],B2582)),"")</f>
        <v>7171.5</v>
      </c>
      <c r="D2582" cm="1">
        <f t="array" ref="D2582">IFERROR(IF(SUMPRODUCT((expected_production[Site Name]=A2582)*(expected_production[Date]=B2582)*ISNUMBER(expected_production[Expected Production (kWh)]))=0,"",SUMIFS(expected_production[Expected Production (kWh)],expected_production[Site Name],A2582,expected_production[Date],B2582)),"")</f>
        <v>7277.1915314493199</v>
      </c>
      <c r="E2582" s="9">
        <f t="shared" ref="E2582:E2645" si="82">IF(OR(C2582="",D2582="",D2582=0),"",C2582/D2582)</f>
        <v>0.98547632957129683</v>
      </c>
      <c r="F2582" t="str">
        <f t="shared" ref="F2582:F2645" si="83">IF(E2582="","",IF(E2582&gt;=0.9,"Expected",IF(E2582&gt;=0.7,"Moderate","Poor")))</f>
        <v>Expected</v>
      </c>
    </row>
    <row r="2583" spans="1:7" ht="15" hidden="1" customHeight="1" x14ac:dyDescent="0.3">
      <c r="A2583" t="s">
        <v>211</v>
      </c>
      <c r="B2583" s="2">
        <v>46054</v>
      </c>
      <c r="C2583" cm="1">
        <f t="array" ref="C2583">IFERROR(IF(SUMPRODUCT((measured[Site Name]=A2583)*(measured[Date]=B2583)*ISNUMBER(measured[Measured Value (kWh)]))=0,"",SUMIFS(measured[Measured Value (kWh)],measured[Site Name],A2583,measured[Date],B2583)),"")</f>
        <v>4844</v>
      </c>
      <c r="D2583" cm="1">
        <f t="array" ref="D2583">IFERROR(IF(SUMPRODUCT((expected_production[Site Name]=A2583)*(expected_production[Date]=B2583)*ISNUMBER(expected_production[Expected Production (kWh)]))=0,"",SUMIFS(expected_production[Expected Production (kWh)],expected_production[Site Name],A2583,expected_production[Date],B2583)),"")</f>
        <v>6200.442164635072</v>
      </c>
      <c r="E2583" s="9">
        <f t="shared" si="82"/>
        <v>0.78123460736853667</v>
      </c>
      <c r="F2583" t="str">
        <f t="shared" si="83"/>
        <v>Moderate</v>
      </c>
    </row>
    <row r="2584" spans="1:7" ht="15" hidden="1" customHeight="1" x14ac:dyDescent="0.3">
      <c r="A2584" t="s">
        <v>211</v>
      </c>
      <c r="B2584" s="2">
        <v>46082</v>
      </c>
      <c r="C2584" cm="1">
        <f t="array" ref="C2584">IFERROR(IF(SUMPRODUCT((measured[Site Name]=A2584)*(measured[Date]=B2584)*ISNUMBER(measured[Measured Value (kWh)]))=0,"",SUMIFS(measured[Measured Value (kWh)],measured[Site Name],A2584,measured[Date],B2584)),"")</f>
        <v>5410</v>
      </c>
      <c r="D2584" cm="1">
        <f t="array" ref="D2584">IFERROR(IF(SUMPRODUCT((expected_production[Site Name]=A2584)*(expected_production[Date]=B2584)*ISNUMBER(expected_production[Expected Production (kWh)]))=0,"",SUMIFS(expected_production[Expected Production (kWh)],expected_production[Site Name],A2584,expected_production[Date],B2584)),"")</f>
        <v>6023.2446258801019</v>
      </c>
      <c r="E2584" s="9">
        <f t="shared" si="82"/>
        <v>0.89818699654914047</v>
      </c>
      <c r="F2584" t="str">
        <f t="shared" si="83"/>
        <v>Moderate</v>
      </c>
    </row>
    <row r="2585" spans="1:7" ht="15" hidden="1" customHeight="1" x14ac:dyDescent="0.3">
      <c r="A2585" t="s">
        <v>211</v>
      </c>
      <c r="B2585" s="2">
        <v>46113</v>
      </c>
      <c r="C2585" cm="1">
        <f t="array" ref="C2585">IFERROR(IF(SUMPRODUCT((measured[Site Name]=A2585)*(measured[Date]=B2585)*ISNUMBER(measured[Measured Value (kWh)]))=0,"",SUMIFS(measured[Measured Value (kWh)],measured[Site Name],A2585,measured[Date],B2585)),"")</f>
        <v>2815.5</v>
      </c>
      <c r="D2585" cm="1">
        <f t="array" ref="D2585">IFERROR(IF(SUMPRODUCT((expected_production[Site Name]=A2585)*(expected_production[Date]=B2585)*ISNUMBER(expected_production[Expected Production (kWh)]))=0,"",SUMIFS(expected_production[Expected Production (kWh)],expected_production[Site Name],A2585,expected_production[Date],B2585)),"")</f>
        <v>5106.0929912863039</v>
      </c>
      <c r="E2585" s="9">
        <f t="shared" si="82"/>
        <v>0.55140006357203686</v>
      </c>
      <c r="F2585" t="str">
        <f t="shared" si="83"/>
        <v>Poor</v>
      </c>
    </row>
    <row r="2586" spans="1:7" ht="15" hidden="1" customHeight="1" x14ac:dyDescent="0.3">
      <c r="A2586" t="s">
        <v>211</v>
      </c>
      <c r="B2586" s="2">
        <v>46143</v>
      </c>
      <c r="C2586" cm="1">
        <f t="array" ref="C2586">IFERROR(IF(SUMPRODUCT((measured[Site Name]=A2586)*(measured[Date]=B2586)*ISNUMBER(measured[Measured Value (kWh)]))=0,"",SUMIFS(measured[Measured Value (kWh)],measured[Site Name],A2586,measured[Date],B2586)),"")</f>
        <v>2205.5</v>
      </c>
      <c r="D2586" cm="1">
        <f t="array" ref="D2586">IFERROR(IF(SUMPRODUCT((expected_production[Site Name]=A2586)*(expected_production[Date]=B2586)*ISNUMBER(expected_production[Expected Production (kWh)]))=0,"",SUMIFS(expected_production[Expected Production (kWh)],expected_production[Site Name],A2586,expected_production[Date],B2586)),"")</f>
        <v>4596.5030401091117</v>
      </c>
      <c r="E2586" s="9">
        <f t="shared" si="82"/>
        <v>0.47982128604175706</v>
      </c>
      <c r="F2586" t="str">
        <f t="shared" si="83"/>
        <v>Poor</v>
      </c>
    </row>
    <row r="2587" spans="1:7" ht="15" hidden="1" customHeight="1" x14ac:dyDescent="0.3">
      <c r="A2587" t="s">
        <v>211</v>
      </c>
      <c r="B2587" s="2">
        <v>46174</v>
      </c>
      <c r="C2587" cm="1">
        <f t="array" ref="C2587">IFERROR(IF(SUMPRODUCT((measured[Site Name]=A2587)*(measured[Date]=B2587)*ISNUMBER(measured[Measured Value (kWh)]))=0,"",SUMIFS(measured[Measured Value (kWh)],measured[Site Name],A2587,measured[Date],B2587)),"")</f>
        <v>1921.8</v>
      </c>
      <c r="D2587" cm="1">
        <f t="array" ref="D2587">IFERROR(IF(SUMPRODUCT((expected_production[Site Name]=A2587)*(expected_production[Date]=B2587)*ISNUMBER(expected_production[Expected Production (kWh)]))=0,"",SUMIFS(expected_production[Expected Production (kWh)],expected_production[Site Name],A2587,expected_production[Date],B2587)),"")</f>
        <v>3907.6063428599132</v>
      </c>
      <c r="E2587" s="9">
        <f t="shared" si="82"/>
        <v>0.49181003186556044</v>
      </c>
      <c r="F2587" t="str">
        <f t="shared" si="83"/>
        <v>Poor</v>
      </c>
    </row>
    <row r="2588" spans="1:7" ht="15" hidden="1" customHeight="1" x14ac:dyDescent="0.3">
      <c r="A2588" t="s">
        <v>196</v>
      </c>
      <c r="B2588" s="2">
        <v>46204</v>
      </c>
      <c r="C2588" cm="1">
        <f t="array" ref="C2588">IFERROR(IF(SUMPRODUCT((measured[Site Name]=A2588)*(measured[Date]=B2588)*ISNUMBER(measured[Measured Value (kWh)]))=0,"",SUMIFS(measured[Measured Value (kWh)],measured[Site Name],A2588,measured[Date],B2588)),"")</f>
        <v>3037</v>
      </c>
      <c r="D2588" cm="1">
        <f t="array" ref="D2588">IFERROR(IF(SUMPRODUCT((expected_production[Site Name]=A2588)*(expected_production[Date]=B2588)*ISNUMBER(expected_production[Expected Production (kWh)]))=0,"",SUMIFS(expected_production[Expected Production (kWh)],expected_production[Site Name],A2588,expected_production[Date],B2588)),"")</f>
        <v>2765.4183283714306</v>
      </c>
      <c r="E2588" s="9">
        <f t="shared" si="82"/>
        <v>1.0982063613458819</v>
      </c>
      <c r="F2588" t="str">
        <f t="shared" si="83"/>
        <v>Expected</v>
      </c>
      <c r="G2588" t="s">
        <v>874</v>
      </c>
    </row>
    <row r="2589" spans="1:7" ht="15" hidden="1" customHeight="1" x14ac:dyDescent="0.3">
      <c r="A2589" t="s">
        <v>211</v>
      </c>
      <c r="B2589" s="2">
        <v>46235</v>
      </c>
      <c r="C2589" cm="1">
        <f t="array" ref="C2589">IFERROR(IF(SUMPRODUCT((measured[Site Name]=A2589)*(measured[Date]=B2589)*ISNUMBER(measured[Measured Value (kWh)]))=0,"",SUMIFS(measured[Measured Value (kWh)],measured[Site Name],A2589,measured[Date],B2589)),"")</f>
        <v>4145</v>
      </c>
      <c r="D2589" cm="1">
        <f t="array" ref="D2589">IFERROR(IF(SUMPRODUCT((expected_production[Site Name]=A2589)*(expected_production[Date]=B2589)*ISNUMBER(expected_production[Expected Production (kWh)]))=0,"",SUMIFS(expected_production[Expected Production (kWh)],expected_production[Site Name],A2589,expected_production[Date],B2589)),"")</f>
        <v>4689.3483957890121</v>
      </c>
      <c r="E2589" s="9">
        <f t="shared" si="82"/>
        <v>0.88391811615493709</v>
      </c>
      <c r="F2589" t="str">
        <f t="shared" si="83"/>
        <v>Moderate</v>
      </c>
      <c r="G2589" t="s">
        <v>874</v>
      </c>
    </row>
    <row r="2590" spans="1:7" ht="15" customHeight="1" x14ac:dyDescent="0.3">
      <c r="A2590" t="s">
        <v>241</v>
      </c>
      <c r="B2590" s="2">
        <v>46266</v>
      </c>
      <c r="C2590" cm="1">
        <f t="array" ref="C2590">IFERROR(IF(SUMPRODUCT((measured[Site Name]=A2590)*(measured[Date]=B2590)*ISNUMBER(measured[Measured Value (kWh)]))=0,"",SUMIFS(measured[Measured Value (kWh)],measured[Site Name],A2590,measured[Date],B2590)),"")</f>
        <v>20723.336220000001</v>
      </c>
      <c r="D2590" cm="1">
        <f t="array" ref="D2590">IFERROR(IF(SUMPRODUCT((expected_production[Site Name]=A2590)*(expected_production[Date]=B2590)*ISNUMBER(expected_production[Expected Production (kWh)]))=0,"",SUMIFS(expected_production[Expected Production (kWh)],expected_production[Site Name],A2590,expected_production[Date],B2590)),"")</f>
        <v>23750.38599606149</v>
      </c>
      <c r="E2590" s="9">
        <f t="shared" si="82"/>
        <v>0.87254734400681055</v>
      </c>
      <c r="F2590" t="str">
        <f t="shared" si="83"/>
        <v>Moderate</v>
      </c>
      <c r="G2590" t="s">
        <v>874</v>
      </c>
    </row>
    <row r="2591" spans="1:7" ht="15" hidden="1" customHeight="1" x14ac:dyDescent="0.3">
      <c r="A2591" t="s">
        <v>211</v>
      </c>
      <c r="B2591" s="2">
        <v>46296</v>
      </c>
      <c r="C2591" t="str" cm="1">
        <f t="array" ref="C2591">IFERROR(IF(SUMPRODUCT((measured[Site Name]=A2591)*(measured[Date]=B2591)*ISNUMBER(measured[Measured Value (kWh)]))=0,"",SUMIFS(measured[Measured Value (kWh)],measured[Site Name],A2591,measured[Date],B2591)),"")</f>
        <v/>
      </c>
      <c r="D2591" cm="1">
        <f t="array" ref="D2591">IFERROR(IF(SUMPRODUCT((expected_production[Site Name]=A2591)*(expected_production[Date]=B2591)*ISNUMBER(expected_production[Expected Production (kWh)]))=0,"",SUMIFS(expected_production[Expected Production (kWh)],expected_production[Site Name],A2591,expected_production[Date],B2591)),"")</f>
        <v>6435.8315203987922</v>
      </c>
      <c r="E2591" s="9" t="str">
        <f t="shared" si="82"/>
        <v/>
      </c>
      <c r="F2591" t="str">
        <f t="shared" si="83"/>
        <v/>
      </c>
    </row>
    <row r="2592" spans="1:7" ht="15" hidden="1" customHeight="1" x14ac:dyDescent="0.3">
      <c r="A2592" t="s">
        <v>211</v>
      </c>
      <c r="B2592" s="2">
        <v>46327</v>
      </c>
      <c r="C2592" t="str" cm="1">
        <f t="array" ref="C2592">IFERROR(IF(SUMPRODUCT((measured[Site Name]=A2592)*(measured[Date]=B2592)*ISNUMBER(measured[Measured Value (kWh)]))=0,"",SUMIFS(measured[Measured Value (kWh)],measured[Site Name],A2592,measured[Date],B2592)),"")</f>
        <v/>
      </c>
      <c r="D2592" cm="1">
        <f t="array" ref="D2592">IFERROR(IF(SUMPRODUCT((expected_production[Site Name]=A2592)*(expected_production[Date]=B2592)*ISNUMBER(expected_production[Expected Production (kWh)]))=0,"",SUMIFS(expected_production[Expected Production (kWh)],expected_production[Site Name],A2592,expected_production[Date],B2592)),"")</f>
        <v>6753.1048000770879</v>
      </c>
      <c r="E2592" s="9" t="str">
        <f t="shared" si="82"/>
        <v/>
      </c>
      <c r="F2592" t="str">
        <f t="shared" si="83"/>
        <v/>
      </c>
    </row>
    <row r="2593" spans="1:6" ht="15" hidden="1" customHeight="1" x14ac:dyDescent="0.3">
      <c r="A2593" t="s">
        <v>211</v>
      </c>
      <c r="B2593" s="2">
        <v>46357</v>
      </c>
      <c r="C2593" t="str" cm="1">
        <f t="array" ref="C2593">IFERROR(IF(SUMPRODUCT((measured[Site Name]=A2593)*(measured[Date]=B2593)*ISNUMBER(measured[Measured Value (kWh)]))=0,"",SUMIFS(measured[Measured Value (kWh)],measured[Site Name],A2593,measured[Date],B2593)),"")</f>
        <v/>
      </c>
      <c r="D2593" cm="1">
        <f t="array" ref="D2593">IFERROR(IF(SUMPRODUCT((expected_production[Site Name]=A2593)*(expected_production[Date]=B2593)*ISNUMBER(expected_production[Expected Production (kWh)]))=0,"",SUMIFS(expected_production[Expected Production (kWh)],expected_production[Site Name],A2593,expected_production[Date],B2593)),"")</f>
        <v>7227.0297295528198</v>
      </c>
      <c r="E2593" s="9" t="str">
        <f t="shared" si="82"/>
        <v/>
      </c>
      <c r="F2593" t="str">
        <f t="shared" si="83"/>
        <v/>
      </c>
    </row>
    <row r="2594" spans="1:6" ht="15" hidden="1" customHeight="1" x14ac:dyDescent="0.3">
      <c r="A2594" t="s">
        <v>202</v>
      </c>
      <c r="B2594" s="2">
        <v>45292</v>
      </c>
      <c r="C2594" cm="1">
        <f t="array" ref="C2594">IFERROR(IF(SUMPRODUCT((measured[Site Name]=A2594)*(measured[Date]=B2594)*ISNUMBER(measured[Measured Value (kWh)]))=0,"",SUMIFS(measured[Measured Value (kWh)],measured[Site Name],A2594,measured[Date],B2594)),"")</f>
        <v>17892</v>
      </c>
      <c r="D2594" cm="1">
        <f t="array" ref="D2594">IFERROR(IF(SUMPRODUCT((expected_production[Site Name]=A2594)*(expected_production[Date]=B2594)*ISNUMBER(expected_production[Expected Production (kWh)]))=0,"",SUMIFS(expected_production[Expected Production (kWh)],expected_production[Site Name],A2594,expected_production[Date],B2594)),"")</f>
        <v>27902.484576566538</v>
      </c>
      <c r="E2594" s="9">
        <f t="shared" si="82"/>
        <v>0.64123321888783746</v>
      </c>
      <c r="F2594" t="str">
        <f t="shared" si="83"/>
        <v>Poor</v>
      </c>
    </row>
    <row r="2595" spans="1:6" ht="15" hidden="1" customHeight="1" x14ac:dyDescent="0.3">
      <c r="A2595" t="s">
        <v>202</v>
      </c>
      <c r="B2595" s="2">
        <v>45323</v>
      </c>
      <c r="C2595" cm="1">
        <f t="array" ref="C2595">IFERROR(IF(SUMPRODUCT((measured[Site Name]=A2595)*(measured[Date]=B2595)*ISNUMBER(measured[Measured Value (kWh)]))=0,"",SUMIFS(measured[Measured Value (kWh)],measured[Site Name],A2595,measured[Date],B2595)),"")</f>
        <v>15929</v>
      </c>
      <c r="D2595" cm="1">
        <f t="array" ref="D2595">IFERROR(IF(SUMPRODUCT((expected_production[Site Name]=A2595)*(expected_production[Date]=B2595)*ISNUMBER(expected_production[Expected Production (kWh)]))=0,"",SUMIFS(expected_production[Expected Production (kWh)],expected_production[Site Name],A2595,expected_production[Date],B2595)),"")</f>
        <v>23732.794114348395</v>
      </c>
      <c r="E2595" s="9">
        <f t="shared" si="82"/>
        <v>0.67118097950252009</v>
      </c>
      <c r="F2595" t="str">
        <f t="shared" si="83"/>
        <v>Poor</v>
      </c>
    </row>
    <row r="2596" spans="1:6" ht="15" hidden="1" customHeight="1" x14ac:dyDescent="0.3">
      <c r="A2596" t="s">
        <v>202</v>
      </c>
      <c r="B2596" s="2">
        <v>45352</v>
      </c>
      <c r="C2596" cm="1">
        <f t="array" ref="C2596">IFERROR(IF(SUMPRODUCT((measured[Site Name]=A2596)*(measured[Date]=B2596)*ISNUMBER(measured[Measured Value (kWh)]))=0,"",SUMIFS(measured[Measured Value (kWh)],measured[Site Name],A2596,measured[Date],B2596)),"")</f>
        <v>18524</v>
      </c>
      <c r="D2596" cm="1">
        <f t="array" ref="D2596">IFERROR(IF(SUMPRODUCT((expected_production[Site Name]=A2596)*(expected_production[Date]=B2596)*ISNUMBER(expected_production[Expected Production (kWh)]))=0,"",SUMIFS(expected_production[Expected Production (kWh)],expected_production[Site Name],A2596,expected_production[Date],B2596)),"")</f>
        <v>24008.627611653508</v>
      </c>
      <c r="E2596" s="9">
        <f t="shared" si="82"/>
        <v>0.77155597144622567</v>
      </c>
      <c r="F2596" t="str">
        <f t="shared" si="83"/>
        <v>Moderate</v>
      </c>
    </row>
    <row r="2597" spans="1:6" ht="15" hidden="1" customHeight="1" x14ac:dyDescent="0.3">
      <c r="A2597" t="s">
        <v>202</v>
      </c>
      <c r="B2597" s="2">
        <v>45383</v>
      </c>
      <c r="C2597" cm="1">
        <f t="array" ref="C2597">IFERROR(IF(SUMPRODUCT((measured[Site Name]=A2597)*(measured[Date]=B2597)*ISNUMBER(measured[Measured Value (kWh)]))=0,"",SUMIFS(measured[Measured Value (kWh)],measured[Site Name],A2597,measured[Date],B2597)),"")</f>
        <v>13076</v>
      </c>
      <c r="D2597" cm="1">
        <f t="array" ref="D2597">IFERROR(IF(SUMPRODUCT((expected_production[Site Name]=A2597)*(expected_production[Date]=B2597)*ISNUMBER(expected_production[Expected Production (kWh)]))=0,"",SUMIFS(expected_production[Expected Production (kWh)],expected_production[Site Name],A2597,expected_production[Date],B2597)),"")</f>
        <v>19918.494759322384</v>
      </c>
      <c r="E2597" s="9">
        <f t="shared" si="82"/>
        <v>0.65647530890255068</v>
      </c>
      <c r="F2597" t="str">
        <f t="shared" si="83"/>
        <v>Poor</v>
      </c>
    </row>
    <row r="2598" spans="1:6" ht="15" hidden="1" customHeight="1" x14ac:dyDescent="0.3">
      <c r="A2598" t="s">
        <v>202</v>
      </c>
      <c r="B2598" s="2">
        <v>45413</v>
      </c>
      <c r="C2598" cm="1">
        <f t="array" ref="C2598">IFERROR(IF(SUMPRODUCT((measured[Site Name]=A2598)*(measured[Date]=B2598)*ISNUMBER(measured[Measured Value (kWh)]))=0,"",SUMIFS(measured[Measured Value (kWh)],measured[Site Name],A2598,measured[Date],B2598)),"")</f>
        <v>17640</v>
      </c>
      <c r="D2598" cm="1">
        <f t="array" ref="D2598">IFERROR(IF(SUMPRODUCT((expected_production[Site Name]=A2598)*(expected_production[Date]=B2598)*ISNUMBER(expected_production[Expected Production (kWh)]))=0,"",SUMIFS(expected_production[Expected Production (kWh)],expected_production[Site Name],A2598,expected_production[Date],B2598)),"")</f>
        <v>18892.436699292051</v>
      </c>
      <c r="E2598" s="9">
        <f t="shared" si="82"/>
        <v>0.93370697918818579</v>
      </c>
      <c r="F2598" t="str">
        <f t="shared" si="83"/>
        <v>Expected</v>
      </c>
    </row>
    <row r="2599" spans="1:6" ht="15" hidden="1" customHeight="1" x14ac:dyDescent="0.3">
      <c r="A2599" t="s">
        <v>202</v>
      </c>
      <c r="B2599" s="2">
        <v>45444</v>
      </c>
      <c r="C2599" cm="1">
        <f t="array" ref="C2599">IFERROR(IF(SUMPRODUCT((measured[Site Name]=A2599)*(measured[Date]=B2599)*ISNUMBER(measured[Measured Value (kWh)]))=0,"",SUMIFS(measured[Measured Value (kWh)],measured[Site Name],A2599,measured[Date],B2599)),"")</f>
        <v>14642</v>
      </c>
      <c r="D2599" cm="1">
        <f t="array" ref="D2599">IFERROR(IF(SUMPRODUCT((expected_production[Site Name]=A2599)*(expected_production[Date]=B2599)*ISNUMBER(expected_production[Expected Production (kWh)]))=0,"",SUMIFS(expected_production[Expected Production (kWh)],expected_production[Site Name],A2599,expected_production[Date],B2599)),"")</f>
        <v>16928.290056198035</v>
      </c>
      <c r="E2599" s="9">
        <f t="shared" si="82"/>
        <v>0.86494264638613372</v>
      </c>
      <c r="F2599" t="str">
        <f t="shared" si="83"/>
        <v>Moderate</v>
      </c>
    </row>
    <row r="2600" spans="1:6" ht="15" hidden="1" customHeight="1" x14ac:dyDescent="0.3">
      <c r="A2600" t="s">
        <v>202</v>
      </c>
      <c r="B2600" s="2">
        <v>45474</v>
      </c>
      <c r="C2600" cm="1">
        <f t="array" ref="C2600">IFERROR(IF(SUMPRODUCT((measured[Site Name]=A2600)*(measured[Date]=B2600)*ISNUMBER(measured[Measured Value (kWh)]))=0,"",SUMIFS(measured[Measured Value (kWh)],measured[Site Name],A2600,measured[Date],B2600)),"")</f>
        <v>15002</v>
      </c>
      <c r="D2600" cm="1">
        <f t="array" ref="D2600">IFERROR(IF(SUMPRODUCT((expected_production[Site Name]=A2600)*(expected_production[Date]=B2600)*ISNUMBER(expected_production[Expected Production (kWh)]))=0,"",SUMIFS(expected_production[Expected Production (kWh)],expected_production[Site Name],A2600,expected_production[Date],B2600)),"")</f>
        <v>18749.751478316513</v>
      </c>
      <c r="E2600" s="9">
        <f t="shared" si="82"/>
        <v>0.80011727181287351</v>
      </c>
      <c r="F2600" t="str">
        <f t="shared" si="83"/>
        <v>Moderate</v>
      </c>
    </row>
    <row r="2601" spans="1:6" ht="15" hidden="1" customHeight="1" x14ac:dyDescent="0.3">
      <c r="A2601" t="s">
        <v>202</v>
      </c>
      <c r="B2601" s="2">
        <v>45505</v>
      </c>
      <c r="C2601" cm="1">
        <f t="array" ref="C2601">IFERROR(IF(SUMPRODUCT((measured[Site Name]=A2601)*(measured[Date]=B2601)*ISNUMBER(measured[Measured Value (kWh)]))=0,"",SUMIFS(measured[Measured Value (kWh)],measured[Site Name],A2601,measured[Date],B2601)),"")</f>
        <v>20792</v>
      </c>
      <c r="D2601" cm="1">
        <f t="array" ref="D2601">IFERROR(IF(SUMPRODUCT((expected_production[Site Name]=A2601)*(expected_production[Date]=B2601)*ISNUMBER(expected_production[Expected Production (kWh)]))=0,"",SUMIFS(expected_production[Expected Production (kWh)],expected_production[Site Name],A2601,expected_production[Date],B2601)),"")</f>
        <v>21877.733818928697</v>
      </c>
      <c r="E2601" s="9">
        <f t="shared" si="82"/>
        <v>0.95037265614826538</v>
      </c>
      <c r="F2601" t="str">
        <f t="shared" si="83"/>
        <v>Expected</v>
      </c>
    </row>
    <row r="2602" spans="1:6" ht="15" hidden="1" customHeight="1" x14ac:dyDescent="0.3">
      <c r="A2602" t="s">
        <v>202</v>
      </c>
      <c r="B2602" s="2">
        <v>45536</v>
      </c>
      <c r="C2602" cm="1">
        <f t="array" ref="C2602">IFERROR(IF(SUMPRODUCT((measured[Site Name]=A2602)*(measured[Date]=B2602)*ISNUMBER(measured[Measured Value (kWh)]))=0,"",SUMIFS(measured[Measured Value (kWh)],measured[Site Name],A2602,measured[Date],B2602)),"")</f>
        <v>20898</v>
      </c>
      <c r="D2602" cm="1">
        <f t="array" ref="D2602">IFERROR(IF(SUMPRODUCT((expected_production[Site Name]=A2602)*(expected_production[Date]=B2602)*ISNUMBER(expected_production[Expected Production (kWh)]))=0,"",SUMIFS(expected_production[Expected Production (kWh)],expected_production[Site Name],A2602,expected_production[Date],B2602)),"")</f>
        <v>24302.824240444963</v>
      </c>
      <c r="E2602" s="9">
        <f t="shared" si="82"/>
        <v>0.85990005907302636</v>
      </c>
      <c r="F2602" t="str">
        <f t="shared" si="83"/>
        <v>Moderate</v>
      </c>
    </row>
    <row r="2603" spans="1:6" ht="15" hidden="1" customHeight="1" x14ac:dyDescent="0.3">
      <c r="A2603" t="s">
        <v>202</v>
      </c>
      <c r="B2603" s="2">
        <v>45566</v>
      </c>
      <c r="C2603" cm="1">
        <f t="array" ref="C2603">IFERROR(IF(SUMPRODUCT((measured[Site Name]=A2603)*(measured[Date]=B2603)*ISNUMBER(measured[Measured Value (kWh)]))=0,"",SUMIFS(measured[Measured Value (kWh)],measured[Site Name],A2603,measured[Date],B2603)),"")</f>
        <v>30325</v>
      </c>
      <c r="D2603" cm="1">
        <f t="array" ref="D2603">IFERROR(IF(SUMPRODUCT((expected_production[Site Name]=A2603)*(expected_production[Date]=B2603)*ISNUMBER(expected_production[Expected Production (kWh)]))=0,"",SUMIFS(expected_production[Expected Production (kWh)],expected_production[Site Name],A2603,expected_production[Date],B2603)),"")</f>
        <v>26992.018861246819</v>
      </c>
      <c r="E2603" s="9">
        <f t="shared" si="82"/>
        <v>1.1234802463604689</v>
      </c>
      <c r="F2603" t="str">
        <f t="shared" si="83"/>
        <v>Expected</v>
      </c>
    </row>
    <row r="2604" spans="1:6" ht="15" hidden="1" customHeight="1" x14ac:dyDescent="0.3">
      <c r="A2604" t="s">
        <v>202</v>
      </c>
      <c r="B2604" s="2">
        <v>45597</v>
      </c>
      <c r="C2604" cm="1">
        <f t="array" ref="C2604">IFERROR(IF(SUMPRODUCT((measured[Site Name]=A2604)*(measured[Date]=B2604)*ISNUMBER(measured[Measured Value (kWh)]))=0,"",SUMIFS(measured[Measured Value (kWh)],measured[Site Name],A2604,measured[Date],B2604)),"")</f>
        <v>27930</v>
      </c>
      <c r="D2604" cm="1">
        <f t="array" ref="D2604">IFERROR(IF(SUMPRODUCT((expected_production[Site Name]=A2604)*(expected_production[Date]=B2604)*ISNUMBER(expected_production[Expected Production (kWh)]))=0,"",SUMIFS(expected_production[Expected Production (kWh)],expected_production[Site Name],A2604,expected_production[Date],B2604)),"")</f>
        <v>26696.239928481817</v>
      </c>
      <c r="E2604" s="9">
        <f t="shared" si="82"/>
        <v>1.0462147506474087</v>
      </c>
      <c r="F2604" t="str">
        <f t="shared" si="83"/>
        <v>Expected</v>
      </c>
    </row>
    <row r="2605" spans="1:6" ht="15" hidden="1" customHeight="1" x14ac:dyDescent="0.3">
      <c r="A2605" t="s">
        <v>202</v>
      </c>
      <c r="B2605" s="2">
        <v>45627</v>
      </c>
      <c r="C2605" cm="1">
        <f t="array" ref="C2605">IFERROR(IF(SUMPRODUCT((measured[Site Name]=A2605)*(measured[Date]=B2605)*ISNUMBER(measured[Measured Value (kWh)]))=0,"",SUMIFS(measured[Measured Value (kWh)],measured[Site Name],A2605,measured[Date],B2605)),"")</f>
        <v>17653</v>
      </c>
      <c r="D2605" cm="1">
        <f t="array" ref="D2605">IFERROR(IF(SUMPRODUCT((expected_production[Site Name]=A2605)*(expected_production[Date]=B2605)*ISNUMBER(expected_production[Expected Production (kWh)]))=0,"",SUMIFS(expected_production[Expected Production (kWh)],expected_production[Site Name],A2605,expected_production[Date],B2605)),"")</f>
        <v>28713.218093837793</v>
      </c>
      <c r="E2605" s="9">
        <f t="shared" si="82"/>
        <v>0.61480395343733862</v>
      </c>
      <c r="F2605" t="str">
        <f t="shared" si="83"/>
        <v>Poor</v>
      </c>
    </row>
    <row r="2606" spans="1:6" ht="15" hidden="1" customHeight="1" x14ac:dyDescent="0.3">
      <c r="A2606" t="s">
        <v>202</v>
      </c>
      <c r="B2606" s="2">
        <v>45658</v>
      </c>
      <c r="C2606" cm="1">
        <f t="array" ref="C2606">IFERROR(IF(SUMPRODUCT((measured[Site Name]=A2606)*(measured[Date]=B2606)*ISNUMBER(measured[Measured Value (kWh)]))=0,"",SUMIFS(measured[Measured Value (kWh)],measured[Site Name],A2606,measured[Date],B2606)),"")</f>
        <v>23957</v>
      </c>
      <c r="D2606" cm="1">
        <f t="array" ref="D2606">IFERROR(IF(SUMPRODUCT((expected_production[Site Name]=A2606)*(expected_production[Date]=B2606)*ISNUMBER(expected_production[Expected Production (kWh)]))=0,"",SUMIFS(expected_production[Expected Production (kWh)],expected_production[Site Name],A2606,expected_production[Date],B2606)),"")</f>
        <v>27706.76753201156</v>
      </c>
      <c r="E2606" s="9">
        <f t="shared" si="82"/>
        <v>0.86466239601284445</v>
      </c>
      <c r="F2606" t="str">
        <f t="shared" si="83"/>
        <v>Moderate</v>
      </c>
    </row>
    <row r="2607" spans="1:6" ht="15" hidden="1" customHeight="1" x14ac:dyDescent="0.3">
      <c r="A2607" t="s">
        <v>202</v>
      </c>
      <c r="B2607" s="2">
        <v>45689</v>
      </c>
      <c r="C2607" cm="1">
        <f t="array" ref="C2607">IFERROR(IF(SUMPRODUCT((measured[Site Name]=A2607)*(measured[Date]=B2607)*ISNUMBER(measured[Measured Value (kWh)]))=0,"",SUMIFS(measured[Measured Value (kWh)],measured[Site Name],A2607,measured[Date],B2607)),"")</f>
        <v>19898</v>
      </c>
      <c r="D2607" cm="1">
        <f t="array" ref="D2607">IFERROR(IF(SUMPRODUCT((expected_production[Site Name]=A2607)*(expected_production[Date]=B2607)*ISNUMBER(expected_production[Expected Production (kWh)]))=0,"",SUMIFS(expected_production[Expected Production (kWh)],expected_production[Site Name],A2607,expected_production[Date],B2607)),"")</f>
        <v>23566.324626287358</v>
      </c>
      <c r="E2607" s="9">
        <f t="shared" si="82"/>
        <v>0.84434040163414037</v>
      </c>
      <c r="F2607" t="str">
        <f t="shared" si="83"/>
        <v>Moderate</v>
      </c>
    </row>
    <row r="2608" spans="1:6" ht="15" hidden="1" customHeight="1" x14ac:dyDescent="0.3">
      <c r="A2608" t="s">
        <v>202</v>
      </c>
      <c r="B2608" s="2">
        <v>45717</v>
      </c>
      <c r="C2608" cm="1">
        <f t="array" ref="C2608">IFERROR(IF(SUMPRODUCT((measured[Site Name]=A2608)*(measured[Date]=B2608)*ISNUMBER(measured[Measured Value (kWh)]))=0,"",SUMIFS(measured[Measured Value (kWh)],measured[Site Name],A2608,measured[Date],B2608)),"")</f>
        <v>18434</v>
      </c>
      <c r="D2608" cm="1">
        <f t="array" ref="D2608">IFERROR(IF(SUMPRODUCT((expected_production[Site Name]=A2608)*(expected_production[Date]=B2608)*ISNUMBER(expected_production[Expected Production (kWh)]))=0,"",SUMIFS(expected_production[Expected Production (kWh)],expected_production[Site Name],A2608,expected_production[Date],B2608)),"")</f>
        <v>23840.681846166044</v>
      </c>
      <c r="E2608" s="9">
        <f t="shared" si="82"/>
        <v>0.77321614033301977</v>
      </c>
      <c r="F2608" t="str">
        <f t="shared" si="83"/>
        <v>Moderate</v>
      </c>
    </row>
    <row r="2609" spans="1:7" ht="15" hidden="1" customHeight="1" x14ac:dyDescent="0.3">
      <c r="A2609" t="s">
        <v>202</v>
      </c>
      <c r="B2609" s="2">
        <v>45748</v>
      </c>
      <c r="C2609" cm="1">
        <f t="array" ref="C2609">IFERROR(IF(SUMPRODUCT((measured[Site Name]=A2609)*(measured[Date]=B2609)*ISNUMBER(measured[Measured Value (kWh)]))=0,"",SUMIFS(measured[Measured Value (kWh)],measured[Site Name],A2609,measured[Date],B2609)),"")</f>
        <v>16717</v>
      </c>
      <c r="D2609" cm="1">
        <f t="array" ref="D2609">IFERROR(IF(SUMPRODUCT((expected_production[Site Name]=A2609)*(expected_production[Date]=B2609)*ISNUMBER(expected_production[Expected Production (kWh)]))=0,"",SUMIFS(expected_production[Expected Production (kWh)],expected_production[Site Name],A2609,expected_production[Date],B2609)),"")</f>
        <v>19779.160395700172</v>
      </c>
      <c r="E2609" s="9">
        <f t="shared" si="82"/>
        <v>0.84518248831402065</v>
      </c>
      <c r="F2609" t="str">
        <f t="shared" si="83"/>
        <v>Moderate</v>
      </c>
    </row>
    <row r="2610" spans="1:7" ht="15" hidden="1" customHeight="1" x14ac:dyDescent="0.3">
      <c r="A2610" t="s">
        <v>202</v>
      </c>
      <c r="B2610" s="2">
        <v>45778</v>
      </c>
      <c r="C2610" cm="1">
        <f t="array" ref="C2610">IFERROR(IF(SUMPRODUCT((measured[Site Name]=A2610)*(measured[Date]=B2610)*ISNUMBER(measured[Measured Value (kWh)]))=0,"",SUMIFS(measured[Measured Value (kWh)],measured[Site Name],A2610,measured[Date],B2610)),"")</f>
        <v>19518</v>
      </c>
      <c r="D2610" cm="1">
        <f t="array" ref="D2610">IFERROR(IF(SUMPRODUCT((expected_production[Site Name]=A2610)*(expected_production[Date]=B2610)*ISNUMBER(expected_production[Expected Production (kWh)]))=0,"",SUMIFS(expected_production[Expected Production (kWh)],expected_production[Site Name],A2610,expected_production[Date],B2610)),"")</f>
        <v>18760.279843235607</v>
      </c>
      <c r="E2610" s="9">
        <f t="shared" si="82"/>
        <v>1.0403895977616562</v>
      </c>
      <c r="F2610" t="str">
        <f t="shared" si="83"/>
        <v>Expected</v>
      </c>
    </row>
    <row r="2611" spans="1:7" ht="15" hidden="1" customHeight="1" x14ac:dyDescent="0.3">
      <c r="A2611" t="s">
        <v>202</v>
      </c>
      <c r="B2611" s="2">
        <v>45809</v>
      </c>
      <c r="C2611" cm="1">
        <f t="array" ref="C2611">IFERROR(IF(SUMPRODUCT((measured[Site Name]=A2611)*(measured[Date]=B2611)*ISNUMBER(measured[Measured Value (kWh)]))=0,"",SUMIFS(measured[Measured Value (kWh)],measured[Site Name],A2611,measured[Date],B2611)),"")</f>
        <v>16703.900000000001</v>
      </c>
      <c r="D2611" cm="1">
        <f t="array" ref="D2611">IFERROR(IF(SUMPRODUCT((expected_production[Site Name]=A2611)*(expected_production[Date]=B2611)*ISNUMBER(expected_production[Expected Production (kWh)]))=0,"",SUMIFS(expected_production[Expected Production (kWh)],expected_production[Site Name],A2611,expected_production[Date],B2611)),"")</f>
        <v>16809.872848939503</v>
      </c>
      <c r="E2611" s="9">
        <f t="shared" si="82"/>
        <v>0.99369579711329059</v>
      </c>
      <c r="F2611" t="str">
        <f t="shared" si="83"/>
        <v>Expected</v>
      </c>
    </row>
    <row r="2612" spans="1:7" ht="15" hidden="1" customHeight="1" x14ac:dyDescent="0.3">
      <c r="A2612" t="s">
        <v>202</v>
      </c>
      <c r="B2612" s="2">
        <v>45839</v>
      </c>
      <c r="C2612" cm="1">
        <f t="array" ref="C2612">IFERROR(IF(SUMPRODUCT((measured[Site Name]=A2612)*(measured[Date]=B2612)*ISNUMBER(measured[Measured Value (kWh)]))=0,"",SUMIFS(measured[Measured Value (kWh)],measured[Site Name],A2612,measured[Date],B2612)),"")</f>
        <v>17442.419999999998</v>
      </c>
      <c r="D2612" cm="1">
        <f t="array" ref="D2612">IFERROR(IF(SUMPRODUCT((expected_production[Site Name]=A2612)*(expected_production[Date]=B2612)*ISNUMBER(expected_production[Expected Production (kWh)]))=0,"",SUMIFS(expected_production[Expected Production (kWh)],expected_production[Site Name],A2612,expected_production[Date],B2612)),"")</f>
        <v>18618.592737564624</v>
      </c>
      <c r="E2612" s="9">
        <f t="shared" si="82"/>
        <v>0.93682805386297563</v>
      </c>
      <c r="F2612" t="str">
        <f t="shared" si="83"/>
        <v>Expected</v>
      </c>
    </row>
    <row r="2613" spans="1:7" ht="15" hidden="1" customHeight="1" x14ac:dyDescent="0.3">
      <c r="A2613" t="s">
        <v>202</v>
      </c>
      <c r="B2613" s="2">
        <v>45870</v>
      </c>
      <c r="C2613" cm="1">
        <f t="array" ref="C2613">IFERROR(IF(SUMPRODUCT((measured[Site Name]=A2613)*(measured[Date]=B2613)*ISNUMBER(measured[Measured Value (kWh)]))=0,"",SUMIFS(measured[Measured Value (kWh)],measured[Site Name],A2613,measured[Date],B2613)),"")</f>
        <v>21419</v>
      </c>
      <c r="D2613" cm="1">
        <f t="array" ref="D2613">IFERROR(IF(SUMPRODUCT((expected_production[Site Name]=A2613)*(expected_production[Date]=B2613)*ISNUMBER(expected_production[Expected Production (kWh)]))=0,"",SUMIFS(expected_production[Expected Production (kWh)],expected_production[Site Name],A2613,expected_production[Date],B2613)),"")</f>
        <v>21724.694136162008</v>
      </c>
      <c r="E2613" s="9">
        <f t="shared" si="82"/>
        <v>0.98592872542895038</v>
      </c>
      <c r="F2613" t="str">
        <f t="shared" si="83"/>
        <v>Expected</v>
      </c>
    </row>
    <row r="2614" spans="1:7" ht="15" hidden="1" customHeight="1" x14ac:dyDescent="0.3">
      <c r="A2614" t="s">
        <v>202</v>
      </c>
      <c r="B2614" s="2">
        <v>45901</v>
      </c>
      <c r="C2614" cm="1">
        <f t="array" ref="C2614">IFERROR(IF(SUMPRODUCT((measured[Site Name]=A2614)*(measured[Date]=B2614)*ISNUMBER(measured[Measured Value (kWh)]))=0,"",SUMIFS(measured[Measured Value (kWh)],measured[Site Name],A2614,measured[Date],B2614)),"")</f>
        <v>19487</v>
      </c>
      <c r="D2614" cm="1">
        <f t="array" ref="D2614">IFERROR(IF(SUMPRODUCT((expected_production[Site Name]=A2614)*(expected_production[Date]=B2614)*ISNUMBER(expected_production[Expected Production (kWh)]))=0,"",SUMIFS(expected_production[Expected Production (kWh)],expected_production[Site Name],A2614,expected_production[Date],B2614)),"")</f>
        <v>24132.820503180628</v>
      </c>
      <c r="E2614" s="9">
        <f t="shared" si="82"/>
        <v>0.80748953473679863</v>
      </c>
      <c r="F2614" t="str">
        <f t="shared" si="83"/>
        <v>Moderate</v>
      </c>
    </row>
    <row r="2615" spans="1:7" ht="15" hidden="1" customHeight="1" x14ac:dyDescent="0.3">
      <c r="A2615" t="s">
        <v>202</v>
      </c>
      <c r="B2615" s="2">
        <v>45931</v>
      </c>
      <c r="C2615" cm="1">
        <f t="array" ref="C2615">IFERROR(IF(SUMPRODUCT((measured[Site Name]=A2615)*(measured[Date]=B2615)*ISNUMBER(measured[Measured Value (kWh)]))=0,"",SUMIFS(measured[Measured Value (kWh)],measured[Site Name],A2615,measured[Date],B2615)),"")</f>
        <v>25859.040000000001</v>
      </c>
      <c r="D2615" cm="1">
        <f t="array" ref="D2615">IFERROR(IF(SUMPRODUCT((expected_production[Site Name]=A2615)*(expected_production[Date]=B2615)*ISNUMBER(expected_production[Expected Production (kWh)]))=0,"",SUMIFS(expected_production[Expected Production (kWh)],expected_production[Site Name],A2615,expected_production[Date],B2615)),"")</f>
        <v>26803.203601039953</v>
      </c>
      <c r="E2615" s="9">
        <f t="shared" si="82"/>
        <v>0.96477422568236137</v>
      </c>
      <c r="F2615" t="str">
        <f t="shared" si="83"/>
        <v>Expected</v>
      </c>
    </row>
    <row r="2616" spans="1:7" ht="15" hidden="1" customHeight="1" x14ac:dyDescent="0.3">
      <c r="A2616" t="s">
        <v>202</v>
      </c>
      <c r="B2616" s="2">
        <v>45962</v>
      </c>
      <c r="C2616" cm="1">
        <f t="array" ref="C2616">IFERROR(IF(SUMPRODUCT((measured[Site Name]=A2616)*(measured[Date]=B2616)*ISNUMBER(measured[Measured Value (kWh)]))=0,"",SUMIFS(measured[Measured Value (kWh)],measured[Site Name],A2616,measured[Date],B2616)),"")</f>
        <v>23228</v>
      </c>
      <c r="D2616" cm="1">
        <f t="array" ref="D2616">IFERROR(IF(SUMPRODUCT((expected_production[Site Name]=A2616)*(expected_production[Date]=B2616)*ISNUMBER(expected_production[Expected Production (kWh)]))=0,"",SUMIFS(expected_production[Expected Production (kWh)],expected_production[Site Name],A2616,expected_production[Date],B2616)),"")</f>
        <v>26509.493708625017</v>
      </c>
      <c r="E2616" s="9">
        <f t="shared" si="82"/>
        <v>0.87621439531463541</v>
      </c>
      <c r="F2616" t="str">
        <f t="shared" si="83"/>
        <v>Moderate</v>
      </c>
    </row>
    <row r="2617" spans="1:7" ht="15" hidden="1" customHeight="1" x14ac:dyDescent="0.3">
      <c r="A2617" t="s">
        <v>202</v>
      </c>
      <c r="B2617" s="2">
        <v>45992</v>
      </c>
      <c r="C2617" cm="1">
        <f t="array" ref="C2617">IFERROR(IF(SUMPRODUCT((measured[Site Name]=A2617)*(measured[Date]=B2617)*ISNUMBER(measured[Measured Value (kWh)]))=0,"",SUMIFS(measured[Measured Value (kWh)],measured[Site Name],A2617,measured[Date],B2617)),"")</f>
        <v>13257</v>
      </c>
      <c r="D2617" cm="1">
        <f t="array" ref="D2617">IFERROR(IF(SUMPRODUCT((expected_production[Site Name]=A2617)*(expected_production[Date]=B2617)*ISNUMBER(expected_production[Expected Production (kWh)]))=0,"",SUMIFS(expected_production[Expected Production (kWh)],expected_production[Site Name],A2617,expected_production[Date],B2617)),"")</f>
        <v>28512.362656768266</v>
      </c>
      <c r="E2617" s="9">
        <f t="shared" si="82"/>
        <v>0.4649562072279918</v>
      </c>
      <c r="F2617" t="str">
        <f t="shared" si="83"/>
        <v>Poor</v>
      </c>
    </row>
    <row r="2618" spans="1:7" ht="15" hidden="1" customHeight="1" x14ac:dyDescent="0.3">
      <c r="A2618" t="s">
        <v>202</v>
      </c>
      <c r="B2618" s="2">
        <v>46023</v>
      </c>
      <c r="C2618" cm="1">
        <f t="array" ref="C2618">IFERROR(IF(SUMPRODUCT((measured[Site Name]=A2618)*(measured[Date]=B2618)*ISNUMBER(measured[Measured Value (kWh)]))=0,"",SUMIFS(measured[Measured Value (kWh)],measured[Site Name],A2618,measured[Date],B2618)),"")</f>
        <v>24628</v>
      </c>
      <c r="D2618" cm="1">
        <f t="array" ref="D2618">IFERROR(IF(SUMPRODUCT((expected_production[Site Name]=A2618)*(expected_production[Date]=B2618)*ISNUMBER(expected_production[Expected Production (kWh)]))=0,"",SUMIFS(expected_production[Expected Production (kWh)],expected_production[Site Name],A2618,expected_production[Date],B2618)),"")</f>
        <v>27512.952443635233</v>
      </c>
      <c r="E2618" s="9">
        <f t="shared" si="82"/>
        <v>0.89514202630395523</v>
      </c>
      <c r="F2618" t="str">
        <f t="shared" si="83"/>
        <v>Moderate</v>
      </c>
    </row>
    <row r="2619" spans="1:7" ht="15" hidden="1" customHeight="1" x14ac:dyDescent="0.3">
      <c r="A2619" t="s">
        <v>202</v>
      </c>
      <c r="B2619" s="2">
        <v>46054</v>
      </c>
      <c r="C2619" cm="1">
        <f t="array" ref="C2619">IFERROR(IF(SUMPRODUCT((measured[Site Name]=A2619)*(measured[Date]=B2619)*ISNUMBER(measured[Measured Value (kWh)]))=0,"",SUMIFS(measured[Measured Value (kWh)],measured[Site Name],A2619,measured[Date],B2619)),"")</f>
        <v>24848.5</v>
      </c>
      <c r="D2619" cm="1">
        <f t="array" ref="D2619">IFERROR(IF(SUMPRODUCT((expected_production[Site Name]=A2619)*(expected_production[Date]=B2619)*ISNUMBER(expected_production[Expected Production (kWh)]))=0,"",SUMIFS(expected_production[Expected Production (kWh)],expected_production[Site Name],A2619,expected_production[Date],B2619)),"")</f>
        <v>23401.472869947615</v>
      </c>
      <c r="E2619" s="9">
        <f t="shared" si="82"/>
        <v>1.0618348741591677</v>
      </c>
      <c r="F2619" t="str">
        <f t="shared" si="83"/>
        <v>Expected</v>
      </c>
    </row>
    <row r="2620" spans="1:7" ht="15" hidden="1" customHeight="1" x14ac:dyDescent="0.3">
      <c r="A2620" t="s">
        <v>202</v>
      </c>
      <c r="B2620" s="2">
        <v>46082</v>
      </c>
      <c r="C2620" cm="1">
        <f t="array" ref="C2620">IFERROR(IF(SUMPRODUCT((measured[Site Name]=A2620)*(measured[Date]=B2620)*ISNUMBER(measured[Measured Value (kWh)]))=0,"",SUMIFS(measured[Measured Value (kWh)],measured[Site Name],A2620,measured[Date],B2620)),"")</f>
        <v>20359</v>
      </c>
      <c r="D2620" cm="1">
        <f t="array" ref="D2620">IFERROR(IF(SUMPRODUCT((expected_production[Site Name]=A2620)*(expected_production[Date]=B2620)*ISNUMBER(expected_production[Expected Production (kWh)]))=0,"",SUMIFS(expected_production[Expected Production (kWh)],expected_production[Site Name],A2620,expected_production[Date],B2620)),"")</f>
        <v>23673.910899189719</v>
      </c>
      <c r="E2620" s="9">
        <f t="shared" si="82"/>
        <v>0.85997620277842735</v>
      </c>
      <c r="F2620" t="str">
        <f t="shared" si="83"/>
        <v>Moderate</v>
      </c>
    </row>
    <row r="2621" spans="1:7" ht="15" hidden="1" customHeight="1" x14ac:dyDescent="0.3">
      <c r="A2621" t="s">
        <v>202</v>
      </c>
      <c r="B2621" s="2">
        <v>46113</v>
      </c>
      <c r="C2621" s="5" cm="1">
        <f t="array" ref="C2621">IFERROR(IF(SUMPRODUCT((measured[Site Name]=A2621)*(measured[Date]=B2621)*ISNUMBER(measured[Measured Value (kWh)]))=0,"",SUMIFS(measured[Measured Value (kWh)],measured[Site Name],A2621,measured[Date],B2621)),"")</f>
        <v>17480.97</v>
      </c>
      <c r="D2621" cm="1">
        <f t="array" ref="D2621">IFERROR(IF(SUMPRODUCT((expected_production[Site Name]=A2621)*(expected_production[Date]=B2621)*ISNUMBER(expected_production[Expected Production (kWh)]))=0,"",SUMIFS(expected_production[Expected Production (kWh)],expected_production[Site Name],A2621,expected_production[Date],B2621)),"")</f>
        <v>19640.800707379509</v>
      </c>
      <c r="E2621" s="9">
        <f t="shared" si="82"/>
        <v>0.89003346963507401</v>
      </c>
      <c r="F2621" t="str">
        <f t="shared" si="83"/>
        <v>Moderate</v>
      </c>
    </row>
    <row r="2622" spans="1:7" ht="15" hidden="1" customHeight="1" x14ac:dyDescent="0.3">
      <c r="A2622" t="s">
        <v>202</v>
      </c>
      <c r="B2622" s="2">
        <v>46143</v>
      </c>
      <c r="C2622" s="5" cm="1">
        <f t="array" ref="C2622">IFERROR(IF(SUMPRODUCT((measured[Site Name]=A2622)*(measured[Date]=B2622)*ISNUMBER(measured[Measured Value (kWh)]))=0,"",SUMIFS(measured[Measured Value (kWh)],measured[Site Name],A2622,measured[Date],B2622)),"")</f>
        <v>17505.34</v>
      </c>
      <c r="D2622" cm="1">
        <f t="array" ref="D2622">IFERROR(IF(SUMPRODUCT((expected_production[Site Name]=A2622)*(expected_production[Date]=B2622)*ISNUMBER(expected_production[Expected Production (kWh)]))=0,"",SUMIFS(expected_production[Expected Production (kWh)],expected_production[Site Name],A2622,expected_production[Date],B2622)),"")</f>
        <v>18629.047454196345</v>
      </c>
      <c r="E2622" s="9">
        <f t="shared" si="82"/>
        <v>0.93967982222605695</v>
      </c>
      <c r="F2622" t="str">
        <f t="shared" si="83"/>
        <v>Expected</v>
      </c>
    </row>
    <row r="2623" spans="1:7" ht="15" hidden="1" customHeight="1" x14ac:dyDescent="0.3">
      <c r="A2623" t="s">
        <v>202</v>
      </c>
      <c r="B2623" s="2">
        <v>46174</v>
      </c>
      <c r="C2623" cm="1">
        <f t="array" ref="C2623">IFERROR(IF(SUMPRODUCT((measured[Site Name]=A2623)*(measured[Date]=B2623)*ISNUMBER(measured[Measured Value (kWh)]))=0,"",SUMIFS(measured[Measured Value (kWh)],measured[Site Name],A2623,measured[Date],B2623)),"")</f>
        <v>11655</v>
      </c>
      <c r="D2623" cm="1">
        <f t="array" ref="D2623">IFERROR(IF(SUMPRODUCT((expected_production[Site Name]=A2623)*(expected_production[Date]=B2623)*ISNUMBER(expected_production[Expected Production (kWh)]))=0,"",SUMIFS(expected_production[Expected Production (kWh)],expected_production[Site Name],A2623,expected_production[Date],B2623)),"")</f>
        <v>16692.283996755727</v>
      </c>
      <c r="E2623" s="9">
        <f t="shared" si="82"/>
        <v>0.69822679761890216</v>
      </c>
      <c r="F2623" t="str">
        <f t="shared" si="83"/>
        <v>Poor</v>
      </c>
    </row>
    <row r="2624" spans="1:7" ht="15" hidden="1" customHeight="1" x14ac:dyDescent="0.3">
      <c r="A2624" t="s">
        <v>199</v>
      </c>
      <c r="B2624" s="2">
        <v>46204</v>
      </c>
      <c r="C2624" cm="1">
        <f t="array" ref="C2624">IFERROR(IF(SUMPRODUCT((measured[Site Name]=A2624)*(measured[Date]=B2624)*ISNUMBER(measured[Measured Value (kWh)]))=0,"",SUMIFS(measured[Measured Value (kWh)],measured[Site Name],A2624,measured[Date],B2624)),"")</f>
        <v>2200.69</v>
      </c>
      <c r="D2624" cm="1">
        <f t="array" ref="D2624">IFERROR(IF(SUMPRODUCT((expected_production[Site Name]=A2624)*(expected_production[Date]=B2624)*ISNUMBER(expected_production[Expected Production (kWh)]))=0,"",SUMIFS(expected_production[Expected Production (kWh)],expected_production[Site Name],A2624,expected_production[Date],B2624)),"")</f>
        <v>2994.701717727155</v>
      </c>
      <c r="E2624" s="9">
        <f t="shared" si="82"/>
        <v>0.73486116729856676</v>
      </c>
      <c r="F2624" t="str">
        <f t="shared" si="83"/>
        <v>Moderate</v>
      </c>
      <c r="G2624" t="s">
        <v>874</v>
      </c>
    </row>
    <row r="2625" spans="1:7" ht="15" hidden="1" customHeight="1" x14ac:dyDescent="0.3">
      <c r="A2625" s="12" t="s">
        <v>202</v>
      </c>
      <c r="B2625" s="42">
        <v>46235</v>
      </c>
      <c r="C2625" s="12" cm="1">
        <f t="array" ref="C2625">IFERROR(IF(SUMPRODUCT((measured[Site Name]=A2625)*(measured[Date]=B2625)*ISNUMBER(measured[Measured Value (kWh)]))=0,"",SUMIFS(measured[Measured Value (kWh)],measured[Site Name],A2625,measured[Date],B2625)),"")</f>
        <v>18697</v>
      </c>
      <c r="D2625" s="12" cm="1">
        <f t="array" ref="D2625">IFERROR(IF(SUMPRODUCT((expected_production[Site Name]=A2625)*(expected_production[Date]=B2625)*ISNUMBER(expected_production[Expected Production (kWh)]))=0,"",SUMIFS(expected_production[Expected Production (kWh)],expected_production[Site Name],A2625,expected_production[Date],B2625)),"")</f>
        <v>21572.72500049564</v>
      </c>
      <c r="E2625" s="43">
        <f t="shared" si="82"/>
        <v>0.86669625647990367</v>
      </c>
      <c r="F2625" s="12" t="str">
        <f t="shared" si="83"/>
        <v>Moderate</v>
      </c>
      <c r="G2625" s="12" t="s">
        <v>874</v>
      </c>
    </row>
    <row r="2626" spans="1:7" ht="15" customHeight="1" x14ac:dyDescent="0.3">
      <c r="A2626" t="s">
        <v>188</v>
      </c>
      <c r="B2626" s="2">
        <v>46266</v>
      </c>
      <c r="C2626" cm="1">
        <f t="array" ref="C2626">IFERROR(IF(SUMPRODUCT((measured[Site Name]=A2626)*(measured[Date]=B2626)*ISNUMBER(measured[Measured Value (kWh)]))=0,"",SUMIFS(measured[Measured Value (kWh)],measured[Site Name],A2626,measured[Date],B2626)),"")</f>
        <v>15845.86</v>
      </c>
      <c r="D2626" cm="1">
        <f t="array" ref="D2626">IFERROR(IF(SUMPRODUCT((expected_production[Site Name]=A2626)*(expected_production[Date]=B2626)*ISNUMBER(expected_production[Expected Production (kWh)]))=0,"",SUMIFS(expected_production[Expected Production (kWh)],expected_production[Site Name],A2626,expected_production[Date],B2626)),"")</f>
        <v>18063.713033882868</v>
      </c>
      <c r="E2626" s="9">
        <f t="shared" si="82"/>
        <v>0.87722053435399761</v>
      </c>
      <c r="F2626" t="str">
        <f t="shared" si="83"/>
        <v>Moderate</v>
      </c>
      <c r="G2626" t="s">
        <v>874</v>
      </c>
    </row>
    <row r="2627" spans="1:7" ht="15" hidden="1" customHeight="1" x14ac:dyDescent="0.3">
      <c r="A2627" t="s">
        <v>202</v>
      </c>
      <c r="B2627" s="2">
        <v>46296</v>
      </c>
      <c r="C2627" t="str" cm="1">
        <f t="array" ref="C2627">IFERROR(IF(SUMPRODUCT((measured[Site Name]=A2627)*(measured[Date]=B2627)*ISNUMBER(measured[Measured Value (kWh)]))=0,"",SUMIFS(measured[Measured Value (kWh)],measured[Site Name],A2627,measured[Date],B2627)),"")</f>
        <v/>
      </c>
      <c r="D2627" cm="1">
        <f t="array" ref="D2627">IFERROR(IF(SUMPRODUCT((expected_production[Site Name]=A2627)*(expected_production[Date]=B2627)*ISNUMBER(expected_production[Expected Production (kWh)]))=0,"",SUMIFS(expected_production[Expected Production (kWh)],expected_production[Site Name],A2627,expected_production[Date],B2627)),"")</f>
        <v>26615.709146167072</v>
      </c>
      <c r="E2627" s="9" t="str">
        <f t="shared" si="82"/>
        <v/>
      </c>
      <c r="F2627" t="str">
        <f t="shared" si="83"/>
        <v/>
      </c>
    </row>
    <row r="2628" spans="1:7" ht="15" hidden="1" customHeight="1" x14ac:dyDescent="0.3">
      <c r="A2628" t="s">
        <v>202</v>
      </c>
      <c r="B2628" s="2">
        <v>46327</v>
      </c>
      <c r="C2628" t="str" cm="1">
        <f t="array" ref="C2628">IFERROR(IF(SUMPRODUCT((measured[Site Name]=A2628)*(measured[Date]=B2628)*ISNUMBER(measured[Measured Value (kWh)]))=0,"",SUMIFS(measured[Measured Value (kWh)],measured[Site Name],A2628,measured[Date],B2628)),"")</f>
        <v/>
      </c>
      <c r="D2628" cm="1">
        <f t="array" ref="D2628">IFERROR(IF(SUMPRODUCT((expected_production[Site Name]=A2628)*(expected_production[Date]=B2628)*ISNUMBER(expected_production[Expected Production (kWh)]))=0,"",SUMIFS(expected_production[Expected Production (kWh)],expected_production[Site Name],A2628,expected_production[Date],B2628)),"")</f>
        <v>26324.053820698267</v>
      </c>
      <c r="E2628" s="9" t="str">
        <f t="shared" si="82"/>
        <v/>
      </c>
      <c r="F2628" t="str">
        <f t="shared" si="83"/>
        <v/>
      </c>
    </row>
    <row r="2629" spans="1:7" ht="15" hidden="1" customHeight="1" x14ac:dyDescent="0.3">
      <c r="A2629" t="s">
        <v>202</v>
      </c>
      <c r="B2629" s="2">
        <v>46357</v>
      </c>
      <c r="C2629" t="str" cm="1">
        <f t="array" ref="C2629">IFERROR(IF(SUMPRODUCT((measured[Site Name]=A2629)*(measured[Date]=B2629)*ISNUMBER(measured[Measured Value (kWh)]))=0,"",SUMIFS(measured[Measured Value (kWh)],measured[Site Name],A2629,measured[Date],B2629)),"")</f>
        <v/>
      </c>
      <c r="D2629" cm="1">
        <f t="array" ref="D2629">IFERROR(IF(SUMPRODUCT((expected_production[Site Name]=A2629)*(expected_production[Date]=B2629)*ISNUMBER(expected_production[Expected Production (kWh)]))=0,"",SUMIFS(expected_production[Expected Production (kWh)],expected_production[Site Name],A2629,expected_production[Date],B2629)),"")</f>
        <v>28312.912248785648</v>
      </c>
      <c r="E2629" s="9" t="str">
        <f t="shared" si="82"/>
        <v/>
      </c>
      <c r="F2629" t="str">
        <f t="shared" si="83"/>
        <v/>
      </c>
    </row>
    <row r="2630" spans="1:7" ht="15" hidden="1" customHeight="1" x14ac:dyDescent="0.3">
      <c r="A2630" t="s">
        <v>206</v>
      </c>
      <c r="B2630" s="2">
        <v>45292</v>
      </c>
      <c r="C2630" t="str" cm="1">
        <f t="array" ref="C2630">IFERROR(IF(SUMPRODUCT((measured[Site Name]=A2630)*(measured[Date]=B2630)*ISNUMBER(measured[Measured Value (kWh)]))=0,"",SUMIFS(measured[Measured Value (kWh)],measured[Site Name],A2630,measured[Date],B2630)),"")</f>
        <v/>
      </c>
      <c r="D2630" t="str" cm="1">
        <f t="array" ref="D2630">IFERROR(IF(SUMPRODUCT((expected_production[Site Name]=A2630)*(expected_production[Date]=B2630)*ISNUMBER(expected_production[Expected Production (kWh)]))=0,"",SUMIFS(expected_production[Expected Production (kWh)],expected_production[Site Name],A2630,expected_production[Date],B2630)),"")</f>
        <v/>
      </c>
      <c r="E2630" s="9" t="str">
        <f t="shared" si="82"/>
        <v/>
      </c>
      <c r="F2630" t="str">
        <f t="shared" si="83"/>
        <v/>
      </c>
    </row>
    <row r="2631" spans="1:7" ht="15" hidden="1" customHeight="1" x14ac:dyDescent="0.3">
      <c r="A2631" t="s">
        <v>206</v>
      </c>
      <c r="B2631" s="2">
        <v>45323</v>
      </c>
      <c r="C2631" t="str" cm="1">
        <f t="array" ref="C2631">IFERROR(IF(SUMPRODUCT((measured[Site Name]=A2631)*(measured[Date]=B2631)*ISNUMBER(measured[Measured Value (kWh)]))=0,"",SUMIFS(measured[Measured Value (kWh)],measured[Site Name],A2631,measured[Date],B2631)),"")</f>
        <v/>
      </c>
      <c r="D2631" t="str" cm="1">
        <f t="array" ref="D2631">IFERROR(IF(SUMPRODUCT((expected_production[Site Name]=A2631)*(expected_production[Date]=B2631)*ISNUMBER(expected_production[Expected Production (kWh)]))=0,"",SUMIFS(expected_production[Expected Production (kWh)],expected_production[Site Name],A2631,expected_production[Date],B2631)),"")</f>
        <v/>
      </c>
      <c r="E2631" s="9" t="str">
        <f t="shared" si="82"/>
        <v/>
      </c>
      <c r="F2631" t="str">
        <f t="shared" si="83"/>
        <v/>
      </c>
    </row>
    <row r="2632" spans="1:7" ht="15" hidden="1" customHeight="1" x14ac:dyDescent="0.3">
      <c r="A2632" t="s">
        <v>206</v>
      </c>
      <c r="B2632" s="2">
        <v>45352</v>
      </c>
      <c r="C2632" t="str" cm="1">
        <f t="array" ref="C2632">IFERROR(IF(SUMPRODUCT((measured[Site Name]=A2632)*(measured[Date]=B2632)*ISNUMBER(measured[Measured Value (kWh)]))=0,"",SUMIFS(measured[Measured Value (kWh)],measured[Site Name],A2632,measured[Date],B2632)),"")</f>
        <v/>
      </c>
      <c r="D2632" t="str" cm="1">
        <f t="array" ref="D2632">IFERROR(IF(SUMPRODUCT((expected_production[Site Name]=A2632)*(expected_production[Date]=B2632)*ISNUMBER(expected_production[Expected Production (kWh)]))=0,"",SUMIFS(expected_production[Expected Production (kWh)],expected_production[Site Name],A2632,expected_production[Date],B2632)),"")</f>
        <v/>
      </c>
      <c r="E2632" s="9" t="str">
        <f t="shared" si="82"/>
        <v/>
      </c>
      <c r="F2632" t="str">
        <f t="shared" si="83"/>
        <v/>
      </c>
    </row>
    <row r="2633" spans="1:7" ht="15" hidden="1" customHeight="1" x14ac:dyDescent="0.3">
      <c r="A2633" t="s">
        <v>206</v>
      </c>
      <c r="B2633" s="2">
        <v>45383</v>
      </c>
      <c r="C2633" t="str" cm="1">
        <f t="array" ref="C2633">IFERROR(IF(SUMPRODUCT((measured[Site Name]=A2633)*(measured[Date]=B2633)*ISNUMBER(measured[Measured Value (kWh)]))=0,"",SUMIFS(measured[Measured Value (kWh)],measured[Site Name],A2633,measured[Date],B2633)),"")</f>
        <v/>
      </c>
      <c r="D2633" t="str" cm="1">
        <f t="array" ref="D2633">IFERROR(IF(SUMPRODUCT((expected_production[Site Name]=A2633)*(expected_production[Date]=B2633)*ISNUMBER(expected_production[Expected Production (kWh)]))=0,"",SUMIFS(expected_production[Expected Production (kWh)],expected_production[Site Name],A2633,expected_production[Date],B2633)),"")</f>
        <v/>
      </c>
      <c r="E2633" s="9" t="str">
        <f t="shared" si="82"/>
        <v/>
      </c>
      <c r="F2633" t="str">
        <f t="shared" si="83"/>
        <v/>
      </c>
    </row>
    <row r="2634" spans="1:7" ht="15" hidden="1" customHeight="1" x14ac:dyDescent="0.3">
      <c r="A2634" t="s">
        <v>206</v>
      </c>
      <c r="B2634" s="2">
        <v>45413</v>
      </c>
      <c r="C2634" t="str" cm="1">
        <f t="array" ref="C2634">IFERROR(IF(SUMPRODUCT((measured[Site Name]=A2634)*(measured[Date]=B2634)*ISNUMBER(measured[Measured Value (kWh)]))=0,"",SUMIFS(measured[Measured Value (kWh)],measured[Site Name],A2634,measured[Date],B2634)),"")</f>
        <v/>
      </c>
      <c r="D2634" t="str" cm="1">
        <f t="array" ref="D2634">IFERROR(IF(SUMPRODUCT((expected_production[Site Name]=A2634)*(expected_production[Date]=B2634)*ISNUMBER(expected_production[Expected Production (kWh)]))=0,"",SUMIFS(expected_production[Expected Production (kWh)],expected_production[Site Name],A2634,expected_production[Date],B2634)),"")</f>
        <v/>
      </c>
      <c r="E2634" s="9" t="str">
        <f t="shared" si="82"/>
        <v/>
      </c>
      <c r="F2634" t="str">
        <f t="shared" si="83"/>
        <v/>
      </c>
    </row>
    <row r="2635" spans="1:7" ht="15" hidden="1" customHeight="1" x14ac:dyDescent="0.3">
      <c r="A2635" t="s">
        <v>206</v>
      </c>
      <c r="B2635" s="2">
        <v>45444</v>
      </c>
      <c r="C2635" t="str" cm="1">
        <f t="array" ref="C2635">IFERROR(IF(SUMPRODUCT((measured[Site Name]=A2635)*(measured[Date]=B2635)*ISNUMBER(measured[Measured Value (kWh)]))=0,"",SUMIFS(measured[Measured Value (kWh)],measured[Site Name],A2635,measured[Date],B2635)),"")</f>
        <v/>
      </c>
      <c r="D2635" t="str" cm="1">
        <f t="array" ref="D2635">IFERROR(IF(SUMPRODUCT((expected_production[Site Name]=A2635)*(expected_production[Date]=B2635)*ISNUMBER(expected_production[Expected Production (kWh)]))=0,"",SUMIFS(expected_production[Expected Production (kWh)],expected_production[Site Name],A2635,expected_production[Date],B2635)),"")</f>
        <v/>
      </c>
      <c r="E2635" s="9" t="str">
        <f t="shared" si="82"/>
        <v/>
      </c>
      <c r="F2635" t="str">
        <f t="shared" si="83"/>
        <v/>
      </c>
    </row>
    <row r="2636" spans="1:7" ht="15" hidden="1" customHeight="1" x14ac:dyDescent="0.3">
      <c r="A2636" t="s">
        <v>206</v>
      </c>
      <c r="B2636" s="2">
        <v>45474</v>
      </c>
      <c r="C2636" t="str" cm="1">
        <f t="array" ref="C2636">IFERROR(IF(SUMPRODUCT((measured[Site Name]=A2636)*(measured[Date]=B2636)*ISNUMBER(measured[Measured Value (kWh)]))=0,"",SUMIFS(measured[Measured Value (kWh)],measured[Site Name],A2636,measured[Date],B2636)),"")</f>
        <v/>
      </c>
      <c r="D2636" t="str" cm="1">
        <f t="array" ref="D2636">IFERROR(IF(SUMPRODUCT((expected_production[Site Name]=A2636)*(expected_production[Date]=B2636)*ISNUMBER(expected_production[Expected Production (kWh)]))=0,"",SUMIFS(expected_production[Expected Production (kWh)],expected_production[Site Name],A2636,expected_production[Date],B2636)),"")</f>
        <v/>
      </c>
      <c r="E2636" s="9" t="str">
        <f t="shared" si="82"/>
        <v/>
      </c>
      <c r="F2636" t="str">
        <f t="shared" si="83"/>
        <v/>
      </c>
    </row>
    <row r="2637" spans="1:7" ht="15" hidden="1" customHeight="1" x14ac:dyDescent="0.3">
      <c r="A2637" t="s">
        <v>206</v>
      </c>
      <c r="B2637" s="2">
        <v>45505</v>
      </c>
      <c r="C2637" t="str" cm="1">
        <f t="array" ref="C2637">IFERROR(IF(SUMPRODUCT((measured[Site Name]=A2637)*(measured[Date]=B2637)*ISNUMBER(measured[Measured Value (kWh)]))=0,"",SUMIFS(measured[Measured Value (kWh)],measured[Site Name],A2637,measured[Date],B2637)),"")</f>
        <v/>
      </c>
      <c r="D2637" t="str" cm="1">
        <f t="array" ref="D2637">IFERROR(IF(SUMPRODUCT((expected_production[Site Name]=A2637)*(expected_production[Date]=B2637)*ISNUMBER(expected_production[Expected Production (kWh)]))=0,"",SUMIFS(expected_production[Expected Production (kWh)],expected_production[Site Name],A2637,expected_production[Date],B2637)),"")</f>
        <v/>
      </c>
      <c r="E2637" s="9" t="str">
        <f t="shared" si="82"/>
        <v/>
      </c>
      <c r="F2637" t="str">
        <f t="shared" si="83"/>
        <v/>
      </c>
    </row>
    <row r="2638" spans="1:7" ht="15" hidden="1" customHeight="1" x14ac:dyDescent="0.3">
      <c r="A2638" t="s">
        <v>206</v>
      </c>
      <c r="B2638" s="2">
        <v>45536</v>
      </c>
      <c r="C2638" t="str" cm="1">
        <f t="array" ref="C2638">IFERROR(IF(SUMPRODUCT((measured[Site Name]=A2638)*(measured[Date]=B2638)*ISNUMBER(measured[Measured Value (kWh)]))=0,"",SUMIFS(measured[Measured Value (kWh)],measured[Site Name],A2638,measured[Date],B2638)),"")</f>
        <v/>
      </c>
      <c r="D2638" t="str" cm="1">
        <f t="array" ref="D2638">IFERROR(IF(SUMPRODUCT((expected_production[Site Name]=A2638)*(expected_production[Date]=B2638)*ISNUMBER(expected_production[Expected Production (kWh)]))=0,"",SUMIFS(expected_production[Expected Production (kWh)],expected_production[Site Name],A2638,expected_production[Date],B2638)),"")</f>
        <v/>
      </c>
      <c r="E2638" s="9" t="str">
        <f t="shared" si="82"/>
        <v/>
      </c>
      <c r="F2638" t="str">
        <f t="shared" si="83"/>
        <v/>
      </c>
    </row>
    <row r="2639" spans="1:7" ht="15" hidden="1" customHeight="1" x14ac:dyDescent="0.3">
      <c r="A2639" t="s">
        <v>206</v>
      </c>
      <c r="B2639" s="2">
        <v>45566</v>
      </c>
      <c r="C2639" t="str" cm="1">
        <f t="array" ref="C2639">IFERROR(IF(SUMPRODUCT((measured[Site Name]=A2639)*(measured[Date]=B2639)*ISNUMBER(measured[Measured Value (kWh)]))=0,"",SUMIFS(measured[Measured Value (kWh)],measured[Site Name],A2639,measured[Date],B2639)),"")</f>
        <v/>
      </c>
      <c r="D2639" t="str" cm="1">
        <f t="array" ref="D2639">IFERROR(IF(SUMPRODUCT((expected_production[Site Name]=A2639)*(expected_production[Date]=B2639)*ISNUMBER(expected_production[Expected Production (kWh)]))=0,"",SUMIFS(expected_production[Expected Production (kWh)],expected_production[Site Name],A2639,expected_production[Date],B2639)),"")</f>
        <v/>
      </c>
      <c r="E2639" s="9" t="str">
        <f t="shared" si="82"/>
        <v/>
      </c>
      <c r="F2639" t="str">
        <f t="shared" si="83"/>
        <v/>
      </c>
    </row>
    <row r="2640" spans="1:7" ht="15" hidden="1" customHeight="1" x14ac:dyDescent="0.3">
      <c r="A2640" t="s">
        <v>206</v>
      </c>
      <c r="B2640" s="2">
        <v>45597</v>
      </c>
      <c r="C2640" t="str" cm="1">
        <f t="array" ref="C2640">IFERROR(IF(SUMPRODUCT((measured[Site Name]=A2640)*(measured[Date]=B2640)*ISNUMBER(measured[Measured Value (kWh)]))=0,"",SUMIFS(measured[Measured Value (kWh)],measured[Site Name],A2640,measured[Date],B2640)),"")</f>
        <v/>
      </c>
      <c r="D2640" t="str" cm="1">
        <f t="array" ref="D2640">IFERROR(IF(SUMPRODUCT((expected_production[Site Name]=A2640)*(expected_production[Date]=B2640)*ISNUMBER(expected_production[Expected Production (kWh)]))=0,"",SUMIFS(expected_production[Expected Production (kWh)],expected_production[Site Name],A2640,expected_production[Date],B2640)),"")</f>
        <v/>
      </c>
      <c r="E2640" s="9" t="str">
        <f t="shared" si="82"/>
        <v/>
      </c>
      <c r="F2640" t="str">
        <f t="shared" si="83"/>
        <v/>
      </c>
    </row>
    <row r="2641" spans="1:6" ht="15" hidden="1" customHeight="1" x14ac:dyDescent="0.3">
      <c r="A2641" t="s">
        <v>206</v>
      </c>
      <c r="B2641" s="2">
        <v>45627</v>
      </c>
      <c r="C2641" t="str" cm="1">
        <f t="array" ref="C2641">IFERROR(IF(SUMPRODUCT((measured[Site Name]=A2641)*(measured[Date]=B2641)*ISNUMBER(measured[Measured Value (kWh)]))=0,"",SUMIFS(measured[Measured Value (kWh)],measured[Site Name],A2641,measured[Date],B2641)),"")</f>
        <v/>
      </c>
      <c r="D2641" t="str" cm="1">
        <f t="array" ref="D2641">IFERROR(IF(SUMPRODUCT((expected_production[Site Name]=A2641)*(expected_production[Date]=B2641)*ISNUMBER(expected_production[Expected Production (kWh)]))=0,"",SUMIFS(expected_production[Expected Production (kWh)],expected_production[Site Name],A2641,expected_production[Date],B2641)),"")</f>
        <v/>
      </c>
      <c r="E2641" s="9" t="str">
        <f t="shared" si="82"/>
        <v/>
      </c>
      <c r="F2641" t="str">
        <f t="shared" si="83"/>
        <v/>
      </c>
    </row>
    <row r="2642" spans="1:6" ht="15" hidden="1" customHeight="1" x14ac:dyDescent="0.3">
      <c r="A2642" t="s">
        <v>206</v>
      </c>
      <c r="B2642" s="2">
        <v>45658</v>
      </c>
      <c r="C2642" t="str" cm="1">
        <f t="array" ref="C2642">IFERROR(IF(SUMPRODUCT((measured[Site Name]=A2642)*(measured[Date]=B2642)*ISNUMBER(measured[Measured Value (kWh)]))=0,"",SUMIFS(measured[Measured Value (kWh)],measured[Site Name],A2642,measured[Date],B2642)),"")</f>
        <v/>
      </c>
      <c r="D2642" t="str" cm="1">
        <f t="array" ref="D2642">IFERROR(IF(SUMPRODUCT((expected_production[Site Name]=A2642)*(expected_production[Date]=B2642)*ISNUMBER(expected_production[Expected Production (kWh)]))=0,"",SUMIFS(expected_production[Expected Production (kWh)],expected_production[Site Name],A2642,expected_production[Date],B2642)),"")</f>
        <v/>
      </c>
      <c r="E2642" s="9" t="str">
        <f t="shared" si="82"/>
        <v/>
      </c>
      <c r="F2642" t="str">
        <f t="shared" si="83"/>
        <v/>
      </c>
    </row>
    <row r="2643" spans="1:6" ht="15" hidden="1" customHeight="1" x14ac:dyDescent="0.3">
      <c r="A2643" t="s">
        <v>206</v>
      </c>
      <c r="B2643" s="2">
        <v>45689</v>
      </c>
      <c r="C2643" t="str" cm="1">
        <f t="array" ref="C2643">IFERROR(IF(SUMPRODUCT((measured[Site Name]=A2643)*(measured[Date]=B2643)*ISNUMBER(measured[Measured Value (kWh)]))=0,"",SUMIFS(measured[Measured Value (kWh)],measured[Site Name],A2643,measured[Date],B2643)),"")</f>
        <v/>
      </c>
      <c r="D2643" t="str" cm="1">
        <f t="array" ref="D2643">IFERROR(IF(SUMPRODUCT((expected_production[Site Name]=A2643)*(expected_production[Date]=B2643)*ISNUMBER(expected_production[Expected Production (kWh)]))=0,"",SUMIFS(expected_production[Expected Production (kWh)],expected_production[Site Name],A2643,expected_production[Date],B2643)),"")</f>
        <v/>
      </c>
      <c r="E2643" s="9" t="str">
        <f t="shared" si="82"/>
        <v/>
      </c>
      <c r="F2643" t="str">
        <f t="shared" si="83"/>
        <v/>
      </c>
    </row>
    <row r="2644" spans="1:6" ht="15" hidden="1" customHeight="1" x14ac:dyDescent="0.3">
      <c r="A2644" t="s">
        <v>206</v>
      </c>
      <c r="B2644" s="2">
        <v>45717</v>
      </c>
      <c r="C2644" t="str" cm="1">
        <f t="array" ref="C2644">IFERROR(IF(SUMPRODUCT((measured[Site Name]=A2644)*(measured[Date]=B2644)*ISNUMBER(measured[Measured Value (kWh)]))=0,"",SUMIFS(measured[Measured Value (kWh)],measured[Site Name],A2644,measured[Date],B2644)),"")</f>
        <v/>
      </c>
      <c r="D2644" t="str" cm="1">
        <f t="array" ref="D2644">IFERROR(IF(SUMPRODUCT((expected_production[Site Name]=A2644)*(expected_production[Date]=B2644)*ISNUMBER(expected_production[Expected Production (kWh)]))=0,"",SUMIFS(expected_production[Expected Production (kWh)],expected_production[Site Name],A2644,expected_production[Date],B2644)),"")</f>
        <v/>
      </c>
      <c r="E2644" s="9" t="str">
        <f t="shared" si="82"/>
        <v/>
      </c>
      <c r="F2644" t="str">
        <f t="shared" si="83"/>
        <v/>
      </c>
    </row>
    <row r="2645" spans="1:6" ht="15" hidden="1" customHeight="1" x14ac:dyDescent="0.3">
      <c r="A2645" t="s">
        <v>206</v>
      </c>
      <c r="B2645" s="2">
        <v>45748</v>
      </c>
      <c r="C2645" t="str" cm="1">
        <f t="array" ref="C2645">IFERROR(IF(SUMPRODUCT((measured[Site Name]=A2645)*(measured[Date]=B2645)*ISNUMBER(measured[Measured Value (kWh)]))=0,"",SUMIFS(measured[Measured Value (kWh)],measured[Site Name],A2645,measured[Date],B2645)),"")</f>
        <v/>
      </c>
      <c r="D2645" t="str" cm="1">
        <f t="array" ref="D2645">IFERROR(IF(SUMPRODUCT((expected_production[Site Name]=A2645)*(expected_production[Date]=B2645)*ISNUMBER(expected_production[Expected Production (kWh)]))=0,"",SUMIFS(expected_production[Expected Production (kWh)],expected_production[Site Name],A2645,expected_production[Date],B2645)),"")</f>
        <v/>
      </c>
      <c r="E2645" s="9" t="str">
        <f t="shared" si="82"/>
        <v/>
      </c>
      <c r="F2645" t="str">
        <f t="shared" si="83"/>
        <v/>
      </c>
    </row>
    <row r="2646" spans="1:6" ht="15" hidden="1" customHeight="1" x14ac:dyDescent="0.3">
      <c r="A2646" t="s">
        <v>206</v>
      </c>
      <c r="B2646" s="2">
        <v>45778</v>
      </c>
      <c r="C2646" t="str" cm="1">
        <f t="array" ref="C2646">IFERROR(IF(SUMPRODUCT((measured[Site Name]=A2646)*(measured[Date]=B2646)*ISNUMBER(measured[Measured Value (kWh)]))=0,"",SUMIFS(measured[Measured Value (kWh)],measured[Site Name],A2646,measured[Date],B2646)),"")</f>
        <v/>
      </c>
      <c r="D2646" t="str" cm="1">
        <f t="array" ref="D2646">IFERROR(IF(SUMPRODUCT((expected_production[Site Name]=A2646)*(expected_production[Date]=B2646)*ISNUMBER(expected_production[Expected Production (kWh)]))=0,"",SUMIFS(expected_production[Expected Production (kWh)],expected_production[Site Name],A2646,expected_production[Date],B2646)),"")</f>
        <v/>
      </c>
      <c r="E2646" s="9" t="str">
        <f t="shared" ref="E2646:E2709" si="84">IF(OR(C2646="",D2646="",D2646=0),"",C2646/D2646)</f>
        <v/>
      </c>
      <c r="F2646" t="str">
        <f t="shared" ref="F2646:F2709" si="85">IF(E2646="","",IF(E2646&gt;=0.9,"Expected",IF(E2646&gt;=0.7,"Moderate","Poor")))</f>
        <v/>
      </c>
    </row>
    <row r="2647" spans="1:6" ht="15" hidden="1" customHeight="1" x14ac:dyDescent="0.3">
      <c r="A2647" t="s">
        <v>206</v>
      </c>
      <c r="B2647" s="2">
        <v>45809</v>
      </c>
      <c r="C2647" t="str" cm="1">
        <f t="array" ref="C2647">IFERROR(IF(SUMPRODUCT((measured[Site Name]=A2647)*(measured[Date]=B2647)*ISNUMBER(measured[Measured Value (kWh)]))=0,"",SUMIFS(measured[Measured Value (kWh)],measured[Site Name],A2647,measured[Date],B2647)),"")</f>
        <v/>
      </c>
      <c r="D2647" t="str" cm="1">
        <f t="array" ref="D2647">IFERROR(IF(SUMPRODUCT((expected_production[Site Name]=A2647)*(expected_production[Date]=B2647)*ISNUMBER(expected_production[Expected Production (kWh)]))=0,"",SUMIFS(expected_production[Expected Production (kWh)],expected_production[Site Name],A2647,expected_production[Date],B2647)),"")</f>
        <v/>
      </c>
      <c r="E2647" s="9" t="str">
        <f t="shared" si="84"/>
        <v/>
      </c>
      <c r="F2647" t="str">
        <f t="shared" si="85"/>
        <v/>
      </c>
    </row>
    <row r="2648" spans="1:6" ht="15" hidden="1" customHeight="1" x14ac:dyDescent="0.3">
      <c r="A2648" t="s">
        <v>206</v>
      </c>
      <c r="B2648" s="2">
        <v>45839</v>
      </c>
      <c r="C2648" t="str" cm="1">
        <f t="array" ref="C2648">IFERROR(IF(SUMPRODUCT((measured[Site Name]=A2648)*(measured[Date]=B2648)*ISNUMBER(measured[Measured Value (kWh)]))=0,"",SUMIFS(measured[Measured Value (kWh)],measured[Site Name],A2648,measured[Date],B2648)),"")</f>
        <v/>
      </c>
      <c r="D2648" t="str" cm="1">
        <f t="array" ref="D2648">IFERROR(IF(SUMPRODUCT((expected_production[Site Name]=A2648)*(expected_production[Date]=B2648)*ISNUMBER(expected_production[Expected Production (kWh)]))=0,"",SUMIFS(expected_production[Expected Production (kWh)],expected_production[Site Name],A2648,expected_production[Date],B2648)),"")</f>
        <v/>
      </c>
      <c r="E2648" s="9" t="str">
        <f t="shared" si="84"/>
        <v/>
      </c>
      <c r="F2648" t="str">
        <f t="shared" si="85"/>
        <v/>
      </c>
    </row>
    <row r="2649" spans="1:6" ht="15" hidden="1" customHeight="1" x14ac:dyDescent="0.3">
      <c r="A2649" t="s">
        <v>206</v>
      </c>
      <c r="B2649" s="2">
        <v>45870</v>
      </c>
      <c r="C2649" t="str" cm="1">
        <f t="array" ref="C2649">IFERROR(IF(SUMPRODUCT((measured[Site Name]=A2649)*(measured[Date]=B2649)*ISNUMBER(measured[Measured Value (kWh)]))=0,"",SUMIFS(measured[Measured Value (kWh)],measured[Site Name],A2649,measured[Date],B2649)),"")</f>
        <v/>
      </c>
      <c r="D2649" t="str" cm="1">
        <f t="array" ref="D2649">IFERROR(IF(SUMPRODUCT((expected_production[Site Name]=A2649)*(expected_production[Date]=B2649)*ISNUMBER(expected_production[Expected Production (kWh)]))=0,"",SUMIFS(expected_production[Expected Production (kWh)],expected_production[Site Name],A2649,expected_production[Date],B2649)),"")</f>
        <v/>
      </c>
      <c r="E2649" s="9" t="str">
        <f t="shared" si="84"/>
        <v/>
      </c>
      <c r="F2649" t="str">
        <f t="shared" si="85"/>
        <v/>
      </c>
    </row>
    <row r="2650" spans="1:6" ht="15" hidden="1" customHeight="1" x14ac:dyDescent="0.3">
      <c r="A2650" t="s">
        <v>206</v>
      </c>
      <c r="B2650" s="2">
        <v>45901</v>
      </c>
      <c r="C2650" t="str" cm="1">
        <f t="array" ref="C2650">IFERROR(IF(SUMPRODUCT((measured[Site Name]=A2650)*(measured[Date]=B2650)*ISNUMBER(measured[Measured Value (kWh)]))=0,"",SUMIFS(measured[Measured Value (kWh)],measured[Site Name],A2650,measured[Date],B2650)),"")</f>
        <v/>
      </c>
      <c r="D2650" t="str" cm="1">
        <f t="array" ref="D2650">IFERROR(IF(SUMPRODUCT((expected_production[Site Name]=A2650)*(expected_production[Date]=B2650)*ISNUMBER(expected_production[Expected Production (kWh)]))=0,"",SUMIFS(expected_production[Expected Production (kWh)],expected_production[Site Name],A2650,expected_production[Date],B2650)),"")</f>
        <v/>
      </c>
      <c r="E2650" s="9" t="str">
        <f t="shared" si="84"/>
        <v/>
      </c>
      <c r="F2650" t="str">
        <f t="shared" si="85"/>
        <v/>
      </c>
    </row>
    <row r="2651" spans="1:6" ht="15" hidden="1" customHeight="1" x14ac:dyDescent="0.3">
      <c r="A2651" t="s">
        <v>206</v>
      </c>
      <c r="B2651" s="2">
        <v>45931</v>
      </c>
      <c r="C2651" t="str" cm="1">
        <f t="array" ref="C2651">IFERROR(IF(SUMPRODUCT((measured[Site Name]=A2651)*(measured[Date]=B2651)*ISNUMBER(measured[Measured Value (kWh)]))=0,"",SUMIFS(measured[Measured Value (kWh)],measured[Site Name],A2651,measured[Date],B2651)),"")</f>
        <v/>
      </c>
      <c r="D2651" t="str" cm="1">
        <f t="array" ref="D2651">IFERROR(IF(SUMPRODUCT((expected_production[Site Name]=A2651)*(expected_production[Date]=B2651)*ISNUMBER(expected_production[Expected Production (kWh)]))=0,"",SUMIFS(expected_production[Expected Production (kWh)],expected_production[Site Name],A2651,expected_production[Date],B2651)),"")</f>
        <v/>
      </c>
      <c r="E2651" s="9" t="str">
        <f t="shared" si="84"/>
        <v/>
      </c>
      <c r="F2651" t="str">
        <f t="shared" si="85"/>
        <v/>
      </c>
    </row>
    <row r="2652" spans="1:6" ht="15" hidden="1" customHeight="1" x14ac:dyDescent="0.3">
      <c r="A2652" t="s">
        <v>206</v>
      </c>
      <c r="B2652" s="2">
        <v>45962</v>
      </c>
      <c r="C2652" t="str" cm="1">
        <f t="array" ref="C2652">IFERROR(IF(SUMPRODUCT((measured[Site Name]=A2652)*(measured[Date]=B2652)*ISNUMBER(measured[Measured Value (kWh)]))=0,"",SUMIFS(measured[Measured Value (kWh)],measured[Site Name],A2652,measured[Date],B2652)),"")</f>
        <v/>
      </c>
      <c r="D2652" t="str" cm="1">
        <f t="array" ref="D2652">IFERROR(IF(SUMPRODUCT((expected_production[Site Name]=A2652)*(expected_production[Date]=B2652)*ISNUMBER(expected_production[Expected Production (kWh)]))=0,"",SUMIFS(expected_production[Expected Production (kWh)],expected_production[Site Name],A2652,expected_production[Date],B2652)),"")</f>
        <v/>
      </c>
      <c r="E2652" s="9" t="str">
        <f t="shared" si="84"/>
        <v/>
      </c>
      <c r="F2652" t="str">
        <f t="shared" si="85"/>
        <v/>
      </c>
    </row>
    <row r="2653" spans="1:6" ht="15" hidden="1" customHeight="1" x14ac:dyDescent="0.3">
      <c r="A2653" t="s">
        <v>206</v>
      </c>
      <c r="B2653" s="2">
        <v>45992</v>
      </c>
      <c r="C2653" t="str" cm="1">
        <f t="array" ref="C2653">IFERROR(IF(SUMPRODUCT((measured[Site Name]=A2653)*(measured[Date]=B2653)*ISNUMBER(measured[Measured Value (kWh)]))=0,"",SUMIFS(measured[Measured Value (kWh)],measured[Site Name],A2653,measured[Date],B2653)),"")</f>
        <v/>
      </c>
      <c r="D2653" t="str" cm="1">
        <f t="array" ref="D2653">IFERROR(IF(SUMPRODUCT((expected_production[Site Name]=A2653)*(expected_production[Date]=B2653)*ISNUMBER(expected_production[Expected Production (kWh)]))=0,"",SUMIFS(expected_production[Expected Production (kWh)],expected_production[Site Name],A2653,expected_production[Date],B2653)),"")</f>
        <v/>
      </c>
      <c r="E2653" s="9" t="str">
        <f t="shared" si="84"/>
        <v/>
      </c>
      <c r="F2653" t="str">
        <f t="shared" si="85"/>
        <v/>
      </c>
    </row>
    <row r="2654" spans="1:6" ht="15" hidden="1" customHeight="1" x14ac:dyDescent="0.3">
      <c r="A2654" t="s">
        <v>206</v>
      </c>
      <c r="B2654" s="2">
        <v>46023</v>
      </c>
      <c r="C2654" t="str" cm="1">
        <f t="array" ref="C2654">IFERROR(IF(SUMPRODUCT((measured[Site Name]=A2654)*(measured[Date]=B2654)*ISNUMBER(measured[Measured Value (kWh)]))=0,"",SUMIFS(measured[Measured Value (kWh)],measured[Site Name],A2654,measured[Date],B2654)),"")</f>
        <v/>
      </c>
      <c r="D2654" t="str" cm="1">
        <f t="array" ref="D2654">IFERROR(IF(SUMPRODUCT((expected_production[Site Name]=A2654)*(expected_production[Date]=B2654)*ISNUMBER(expected_production[Expected Production (kWh)]))=0,"",SUMIFS(expected_production[Expected Production (kWh)],expected_production[Site Name],A2654,expected_production[Date],B2654)),"")</f>
        <v/>
      </c>
      <c r="E2654" s="9" t="str">
        <f t="shared" si="84"/>
        <v/>
      </c>
      <c r="F2654" t="str">
        <f t="shared" si="85"/>
        <v/>
      </c>
    </row>
    <row r="2655" spans="1:6" ht="15" hidden="1" customHeight="1" x14ac:dyDescent="0.3">
      <c r="A2655" t="s">
        <v>206</v>
      </c>
      <c r="B2655" s="2">
        <v>46054</v>
      </c>
      <c r="C2655" t="str" cm="1">
        <f t="array" ref="C2655">IFERROR(IF(SUMPRODUCT((measured[Site Name]=A2655)*(measured[Date]=B2655)*ISNUMBER(measured[Measured Value (kWh)]))=0,"",SUMIFS(measured[Measured Value (kWh)],measured[Site Name],A2655,measured[Date],B2655)),"")</f>
        <v/>
      </c>
      <c r="D2655" t="str" cm="1">
        <f t="array" ref="D2655">IFERROR(IF(SUMPRODUCT((expected_production[Site Name]=A2655)*(expected_production[Date]=B2655)*ISNUMBER(expected_production[Expected Production (kWh)]))=0,"",SUMIFS(expected_production[Expected Production (kWh)],expected_production[Site Name],A2655,expected_production[Date],B2655)),"")</f>
        <v/>
      </c>
      <c r="E2655" s="9" t="str">
        <f t="shared" si="84"/>
        <v/>
      </c>
      <c r="F2655" t="str">
        <f t="shared" si="85"/>
        <v/>
      </c>
    </row>
    <row r="2656" spans="1:6" ht="15" hidden="1" customHeight="1" x14ac:dyDescent="0.3">
      <c r="A2656" t="s">
        <v>206</v>
      </c>
      <c r="B2656" s="2">
        <v>46082</v>
      </c>
      <c r="C2656" t="str" cm="1">
        <f t="array" ref="C2656">IFERROR(IF(SUMPRODUCT((measured[Site Name]=A2656)*(measured[Date]=B2656)*ISNUMBER(measured[Measured Value (kWh)]))=0,"",SUMIFS(measured[Measured Value (kWh)],measured[Site Name],A2656,measured[Date],B2656)),"")</f>
        <v/>
      </c>
      <c r="D2656" t="str" cm="1">
        <f t="array" ref="D2656">IFERROR(IF(SUMPRODUCT((expected_production[Site Name]=A2656)*(expected_production[Date]=B2656)*ISNUMBER(expected_production[Expected Production (kWh)]))=0,"",SUMIFS(expected_production[Expected Production (kWh)],expected_production[Site Name],A2656,expected_production[Date],B2656)),"")</f>
        <v/>
      </c>
      <c r="E2656" s="9" t="str">
        <f t="shared" si="84"/>
        <v/>
      </c>
      <c r="F2656" t="str">
        <f t="shared" si="85"/>
        <v/>
      </c>
    </row>
    <row r="2657" spans="1:7" ht="15" hidden="1" customHeight="1" x14ac:dyDescent="0.3">
      <c r="A2657" t="s">
        <v>206</v>
      </c>
      <c r="B2657" s="2">
        <v>46113</v>
      </c>
      <c r="C2657" t="str" cm="1">
        <f t="array" ref="C2657">IFERROR(IF(SUMPRODUCT((measured[Site Name]=A2657)*(measured[Date]=B2657)*ISNUMBER(measured[Measured Value (kWh)]))=0,"",SUMIFS(measured[Measured Value (kWh)],measured[Site Name],A2657,measured[Date],B2657)),"")</f>
        <v/>
      </c>
      <c r="D2657" t="str" cm="1">
        <f t="array" ref="D2657">IFERROR(IF(SUMPRODUCT((expected_production[Site Name]=A2657)*(expected_production[Date]=B2657)*ISNUMBER(expected_production[Expected Production (kWh)]))=0,"",SUMIFS(expected_production[Expected Production (kWh)],expected_production[Site Name],A2657,expected_production[Date],B2657)),"")</f>
        <v/>
      </c>
      <c r="E2657" s="9" t="str">
        <f t="shared" si="84"/>
        <v/>
      </c>
      <c r="F2657" t="str">
        <f t="shared" si="85"/>
        <v/>
      </c>
    </row>
    <row r="2658" spans="1:7" ht="15" hidden="1" customHeight="1" x14ac:dyDescent="0.3">
      <c r="A2658" t="s">
        <v>206</v>
      </c>
      <c r="B2658" s="2">
        <v>46143</v>
      </c>
      <c r="C2658" t="str" cm="1">
        <f t="array" ref="C2658">IFERROR(IF(SUMPRODUCT((measured[Site Name]=A2658)*(measured[Date]=B2658)*ISNUMBER(measured[Measured Value (kWh)]))=0,"",SUMIFS(measured[Measured Value (kWh)],measured[Site Name],A2658,measured[Date],B2658)),"")</f>
        <v/>
      </c>
      <c r="D2658" t="str" cm="1">
        <f t="array" ref="D2658">IFERROR(IF(SUMPRODUCT((expected_production[Site Name]=A2658)*(expected_production[Date]=B2658)*ISNUMBER(expected_production[Expected Production (kWh)]))=0,"",SUMIFS(expected_production[Expected Production (kWh)],expected_production[Site Name],A2658,expected_production[Date],B2658)),"")</f>
        <v/>
      </c>
      <c r="E2658" s="9" t="str">
        <f t="shared" si="84"/>
        <v/>
      </c>
      <c r="F2658" t="str">
        <f t="shared" si="85"/>
        <v/>
      </c>
    </row>
    <row r="2659" spans="1:7" ht="15" hidden="1" customHeight="1" x14ac:dyDescent="0.3">
      <c r="A2659" t="s">
        <v>206</v>
      </c>
      <c r="B2659" s="2">
        <v>46174</v>
      </c>
      <c r="C2659" cm="1">
        <f t="array" ref="C2659">IFERROR(IF(SUMPRODUCT((measured[Site Name]=A2659)*(measured[Date]=B2659)*ISNUMBER(measured[Measured Value (kWh)]))=0,"",SUMIFS(measured[Measured Value (kWh)],measured[Site Name],A2659,measured[Date],B2659)),"")</f>
        <v>0</v>
      </c>
      <c r="D2659" t="str" cm="1">
        <f t="array" ref="D2659">IFERROR(IF(SUMPRODUCT((expected_production[Site Name]=A2659)*(expected_production[Date]=B2659)*ISNUMBER(expected_production[Expected Production (kWh)]))=0,"",SUMIFS(expected_production[Expected Production (kWh)],expected_production[Site Name],A2659,expected_production[Date],B2659)),"")</f>
        <v/>
      </c>
      <c r="E2659" s="9" t="str">
        <f t="shared" si="84"/>
        <v/>
      </c>
      <c r="F2659" t="str">
        <f t="shared" si="85"/>
        <v/>
      </c>
    </row>
    <row r="2660" spans="1:7" ht="15" hidden="1" customHeight="1" x14ac:dyDescent="0.3">
      <c r="A2660" t="s">
        <v>201</v>
      </c>
      <c r="B2660" s="2">
        <v>46204</v>
      </c>
      <c r="C2660" cm="1">
        <f t="array" ref="C2660">IFERROR(IF(SUMPRODUCT((measured[Site Name]=A2660)*(measured[Date]=B2660)*ISNUMBER(measured[Measured Value (kWh)]))=0,"",SUMIFS(measured[Measured Value (kWh)],measured[Site Name],A2660,measured[Date],B2660)),"")</f>
        <v>9893.59</v>
      </c>
      <c r="D2660" cm="1">
        <f t="array" ref="D2660">IFERROR(IF(SUMPRODUCT((expected_production[Site Name]=A2660)*(expected_production[Date]=B2660)*ISNUMBER(expected_production[Expected Production (kWh)]))=0,"",SUMIFS(expected_production[Expected Production (kWh)],expected_production[Site Name],A2660,expected_production[Date],B2660)),"")</f>
        <v>11637.493877240553</v>
      </c>
      <c r="E2660" s="9">
        <f t="shared" si="84"/>
        <v>0.85014781570359355</v>
      </c>
      <c r="F2660" t="str">
        <f t="shared" si="85"/>
        <v>Moderate</v>
      </c>
      <c r="G2660" t="s">
        <v>874</v>
      </c>
    </row>
    <row r="2661" spans="1:7" ht="15" hidden="1" customHeight="1" x14ac:dyDescent="0.3">
      <c r="A2661" t="s">
        <v>206</v>
      </c>
      <c r="B2661" s="2">
        <v>46235</v>
      </c>
      <c r="C2661" t="str" cm="1">
        <f t="array" ref="C2661">IFERROR(IF(SUMPRODUCT((measured[Site Name]=A2661)*(measured[Date]=B2661)*ISNUMBER(measured[Measured Value (kWh)]))=0,"",SUMIFS(measured[Measured Value (kWh)],measured[Site Name],A2661,measured[Date],B2661)),"")</f>
        <v/>
      </c>
      <c r="D2661" t="str" cm="1">
        <f t="array" ref="D2661">IFERROR(IF(SUMPRODUCT((expected_production[Site Name]=A2661)*(expected_production[Date]=B2661)*ISNUMBER(expected_production[Expected Production (kWh)]))=0,"",SUMIFS(expected_production[Expected Production (kWh)],expected_production[Site Name],A2661,expected_production[Date],B2661)),"")</f>
        <v/>
      </c>
      <c r="E2661" s="9" t="str">
        <f t="shared" si="84"/>
        <v/>
      </c>
      <c r="F2661" t="str">
        <f t="shared" si="85"/>
        <v/>
      </c>
      <c r="G2661" t="s">
        <v>874</v>
      </c>
    </row>
    <row r="2662" spans="1:7" ht="15" customHeight="1" x14ac:dyDescent="0.3">
      <c r="A2662" t="s">
        <v>206</v>
      </c>
      <c r="B2662" s="2">
        <v>46266</v>
      </c>
      <c r="C2662" t="str" cm="1">
        <f t="array" ref="C2662">IFERROR(IF(SUMPRODUCT((measured[Site Name]=A2662)*(measured[Date]=B2662)*ISNUMBER(measured[Measured Value (kWh)]))=0,"",SUMIFS(measured[Measured Value (kWh)],measured[Site Name],A2662,measured[Date],B2662)),"")</f>
        <v/>
      </c>
      <c r="D2662" t="str" cm="1">
        <f t="array" ref="D2662">IFERROR(IF(SUMPRODUCT((expected_production[Site Name]=A2662)*(expected_production[Date]=B2662)*ISNUMBER(expected_production[Expected Production (kWh)]))=0,"",SUMIFS(expected_production[Expected Production (kWh)],expected_production[Site Name],A2662,expected_production[Date],B2662)),"")</f>
        <v/>
      </c>
      <c r="E2662" s="9" t="str">
        <f t="shared" si="84"/>
        <v/>
      </c>
      <c r="F2662" t="str">
        <f t="shared" si="85"/>
        <v/>
      </c>
      <c r="G2662" t="s">
        <v>874</v>
      </c>
    </row>
    <row r="2663" spans="1:7" ht="15" hidden="1" customHeight="1" x14ac:dyDescent="0.3">
      <c r="A2663" t="s">
        <v>206</v>
      </c>
      <c r="B2663" s="2">
        <v>46296</v>
      </c>
      <c r="C2663" t="str" cm="1">
        <f t="array" ref="C2663">IFERROR(IF(SUMPRODUCT((measured[Site Name]=A2663)*(measured[Date]=B2663)*ISNUMBER(measured[Measured Value (kWh)]))=0,"",SUMIFS(measured[Measured Value (kWh)],measured[Site Name],A2663,measured[Date],B2663)),"")</f>
        <v/>
      </c>
      <c r="D2663" t="str" cm="1">
        <f t="array" ref="D2663">IFERROR(IF(SUMPRODUCT((expected_production[Site Name]=A2663)*(expected_production[Date]=B2663)*ISNUMBER(expected_production[Expected Production (kWh)]))=0,"",SUMIFS(expected_production[Expected Production (kWh)],expected_production[Site Name],A2663,expected_production[Date],B2663)),"")</f>
        <v/>
      </c>
      <c r="E2663" s="9" t="str">
        <f t="shared" si="84"/>
        <v/>
      </c>
      <c r="F2663" t="str">
        <f t="shared" si="85"/>
        <v/>
      </c>
    </row>
    <row r="2664" spans="1:7" ht="15" hidden="1" customHeight="1" x14ac:dyDescent="0.3">
      <c r="A2664" t="s">
        <v>206</v>
      </c>
      <c r="B2664" s="2">
        <v>46327</v>
      </c>
      <c r="C2664" t="str" cm="1">
        <f t="array" ref="C2664">IFERROR(IF(SUMPRODUCT((measured[Site Name]=A2664)*(measured[Date]=B2664)*ISNUMBER(measured[Measured Value (kWh)]))=0,"",SUMIFS(measured[Measured Value (kWh)],measured[Site Name],A2664,measured[Date],B2664)),"")</f>
        <v/>
      </c>
      <c r="D2664" t="str" cm="1">
        <f t="array" ref="D2664">IFERROR(IF(SUMPRODUCT((expected_production[Site Name]=A2664)*(expected_production[Date]=B2664)*ISNUMBER(expected_production[Expected Production (kWh)]))=0,"",SUMIFS(expected_production[Expected Production (kWh)],expected_production[Site Name],A2664,expected_production[Date],B2664)),"")</f>
        <v/>
      </c>
      <c r="E2664" s="9" t="str">
        <f t="shared" si="84"/>
        <v/>
      </c>
      <c r="F2664" t="str">
        <f t="shared" si="85"/>
        <v/>
      </c>
    </row>
    <row r="2665" spans="1:7" ht="15" hidden="1" customHeight="1" x14ac:dyDescent="0.3">
      <c r="A2665" t="s">
        <v>206</v>
      </c>
      <c r="B2665" s="2">
        <v>46357</v>
      </c>
      <c r="C2665" t="str" cm="1">
        <f t="array" ref="C2665">IFERROR(IF(SUMPRODUCT((measured[Site Name]=A2665)*(measured[Date]=B2665)*ISNUMBER(measured[Measured Value (kWh)]))=0,"",SUMIFS(measured[Measured Value (kWh)],measured[Site Name],A2665,measured[Date],B2665)),"")</f>
        <v/>
      </c>
      <c r="D2665" t="str" cm="1">
        <f t="array" ref="D2665">IFERROR(IF(SUMPRODUCT((expected_production[Site Name]=A2665)*(expected_production[Date]=B2665)*ISNUMBER(expected_production[Expected Production (kWh)]))=0,"",SUMIFS(expected_production[Expected Production (kWh)],expected_production[Site Name],A2665,expected_production[Date],B2665)),"")</f>
        <v/>
      </c>
      <c r="E2665" s="9" t="str">
        <f t="shared" si="84"/>
        <v/>
      </c>
      <c r="F2665" t="str">
        <f t="shared" si="85"/>
        <v/>
      </c>
    </row>
    <row r="2666" spans="1:7" hidden="1" x14ac:dyDescent="0.3">
      <c r="A2666" t="s">
        <v>251</v>
      </c>
      <c r="B2666" s="2">
        <v>45292</v>
      </c>
      <c r="C2666" t="str" cm="1">
        <f t="array" ref="C2666">IFERROR(IF(SUMPRODUCT((measured[Site Name]=A2666)*(measured[Date]=B2666)*ISNUMBER(measured[Measured Value (kWh)]))=0,"",SUMIFS(measured[Measured Value (kWh)],measured[Site Name],A2666,measured[Date],B2666)),"")</f>
        <v/>
      </c>
      <c r="D2666" cm="1">
        <f t="array" ref="D2666">IFERROR(IF(SUMPRODUCT((expected_production[Site Name]=A2666)*(expected_production[Date]=B2666)*ISNUMBER(expected_production[Expected Production (kWh)]))=0,"",SUMIFS(expected_production[Expected Production (kWh)],expected_production[Site Name],A2666,expected_production[Date],B2666)),"")</f>
        <v>26451</v>
      </c>
      <c r="E2666" s="9" t="str">
        <f t="shared" si="84"/>
        <v/>
      </c>
      <c r="F2666" t="str">
        <f t="shared" si="85"/>
        <v/>
      </c>
    </row>
    <row r="2667" spans="1:7" hidden="1" x14ac:dyDescent="0.3">
      <c r="A2667" t="s">
        <v>251</v>
      </c>
      <c r="B2667" s="2">
        <v>45323</v>
      </c>
      <c r="C2667" t="str" cm="1">
        <f t="array" ref="C2667">IFERROR(IF(SUMPRODUCT((measured[Site Name]=A2667)*(measured[Date]=B2667)*ISNUMBER(measured[Measured Value (kWh)]))=0,"",SUMIFS(measured[Measured Value (kWh)],measured[Site Name],A2667,measured[Date],B2667)),"")</f>
        <v/>
      </c>
      <c r="D2667" cm="1">
        <f t="array" ref="D2667">IFERROR(IF(SUMPRODUCT((expected_production[Site Name]=A2667)*(expected_production[Date]=B2667)*ISNUMBER(expected_production[Expected Production (kWh)]))=0,"",SUMIFS(expected_production[Expected Production (kWh)],expected_production[Site Name],A2667,expected_production[Date],B2667)),"")</f>
        <v>23215.5</v>
      </c>
      <c r="E2667" s="9" t="str">
        <f t="shared" si="84"/>
        <v/>
      </c>
      <c r="F2667" t="str">
        <f t="shared" si="85"/>
        <v/>
      </c>
    </row>
    <row r="2668" spans="1:7" hidden="1" x14ac:dyDescent="0.3">
      <c r="A2668" t="s">
        <v>251</v>
      </c>
      <c r="B2668" s="2">
        <v>45352</v>
      </c>
      <c r="C2668" t="str" cm="1">
        <f t="array" ref="C2668">IFERROR(IF(SUMPRODUCT((measured[Site Name]=A2668)*(measured[Date]=B2668)*ISNUMBER(measured[Measured Value (kWh)]))=0,"",SUMIFS(measured[Measured Value (kWh)],measured[Site Name],A2668,measured[Date],B2668)),"")</f>
        <v/>
      </c>
      <c r="D2668" cm="1">
        <f t="array" ref="D2668">IFERROR(IF(SUMPRODUCT((expected_production[Site Name]=A2668)*(expected_production[Date]=B2668)*ISNUMBER(expected_production[Expected Production (kWh)]))=0,"",SUMIFS(expected_production[Expected Production (kWh)],expected_production[Site Name],A2668,expected_production[Date],B2668)),"")</f>
        <v>23034.600000000002</v>
      </c>
      <c r="E2668" s="9" t="str">
        <f t="shared" si="84"/>
        <v/>
      </c>
      <c r="F2668" t="str">
        <f t="shared" si="85"/>
        <v/>
      </c>
    </row>
    <row r="2669" spans="1:7" hidden="1" x14ac:dyDescent="0.3">
      <c r="A2669" t="s">
        <v>251</v>
      </c>
      <c r="B2669" s="2">
        <v>45383</v>
      </c>
      <c r="C2669" t="str" cm="1">
        <f t="array" ref="C2669">IFERROR(IF(SUMPRODUCT((measured[Site Name]=A2669)*(measured[Date]=B2669)*ISNUMBER(measured[Measured Value (kWh)]))=0,"",SUMIFS(measured[Measured Value (kWh)],measured[Site Name],A2669,measured[Date],B2669)),"")</f>
        <v/>
      </c>
      <c r="D2669" cm="1">
        <f t="array" ref="D2669">IFERROR(IF(SUMPRODUCT((expected_production[Site Name]=A2669)*(expected_production[Date]=B2669)*ISNUMBER(expected_production[Expected Production (kWh)]))=0,"",SUMIFS(expected_production[Expected Production (kWh)],expected_production[Site Name],A2669,expected_production[Date],B2669)),"")</f>
        <v>19930.5</v>
      </c>
      <c r="E2669" s="9" t="str">
        <f t="shared" si="84"/>
        <v/>
      </c>
      <c r="F2669" t="str">
        <f t="shared" si="85"/>
        <v/>
      </c>
    </row>
    <row r="2670" spans="1:7" hidden="1" x14ac:dyDescent="0.3">
      <c r="A2670" t="s">
        <v>251</v>
      </c>
      <c r="B2670" s="2">
        <v>45413</v>
      </c>
      <c r="C2670" t="str" cm="1">
        <f t="array" ref="C2670">IFERROR(IF(SUMPRODUCT((measured[Site Name]=A2670)*(measured[Date]=B2670)*ISNUMBER(measured[Measured Value (kWh)]))=0,"",SUMIFS(measured[Measured Value (kWh)],measured[Site Name],A2670,measured[Date],B2670)),"")</f>
        <v/>
      </c>
      <c r="D2670" cm="1">
        <f t="array" ref="D2670">IFERROR(IF(SUMPRODUCT((expected_production[Site Name]=A2670)*(expected_production[Date]=B2670)*ISNUMBER(expected_production[Expected Production (kWh)]))=0,"",SUMIFS(expected_production[Expected Production (kWh)],expected_production[Site Name],A2670,expected_production[Date],B2670)),"")</f>
        <v>18754.2</v>
      </c>
      <c r="E2670" s="9" t="str">
        <f t="shared" si="84"/>
        <v/>
      </c>
      <c r="F2670" t="str">
        <f t="shared" si="85"/>
        <v/>
      </c>
    </row>
    <row r="2671" spans="1:7" hidden="1" x14ac:dyDescent="0.3">
      <c r="A2671" t="s">
        <v>251</v>
      </c>
      <c r="B2671" s="2">
        <v>45444</v>
      </c>
      <c r="C2671" t="str" cm="1">
        <f t="array" ref="C2671">IFERROR(IF(SUMPRODUCT((measured[Site Name]=A2671)*(measured[Date]=B2671)*ISNUMBER(measured[Measured Value (kWh)]))=0,"",SUMIFS(measured[Measured Value (kWh)],measured[Site Name],A2671,measured[Date],B2671)),"")</f>
        <v/>
      </c>
      <c r="D2671" cm="1">
        <f t="array" ref="D2671">IFERROR(IF(SUMPRODUCT((expected_production[Site Name]=A2671)*(expected_production[Date]=B2671)*ISNUMBER(expected_production[Expected Production (kWh)]))=0,"",SUMIFS(expected_production[Expected Production (kWh)],expected_production[Site Name],A2671,expected_production[Date],B2671)),"")</f>
        <v>16767.900000000001</v>
      </c>
      <c r="E2671" s="9" t="str">
        <f t="shared" si="84"/>
        <v/>
      </c>
      <c r="F2671" t="str">
        <f t="shared" si="85"/>
        <v/>
      </c>
    </row>
    <row r="2672" spans="1:7" hidden="1" x14ac:dyDescent="0.3">
      <c r="A2672" t="s">
        <v>251</v>
      </c>
      <c r="B2672" s="2">
        <v>45474</v>
      </c>
      <c r="C2672" t="str" cm="1">
        <f t="array" ref="C2672">IFERROR(IF(SUMPRODUCT((measured[Site Name]=A2672)*(measured[Date]=B2672)*ISNUMBER(measured[Measured Value (kWh)]))=0,"",SUMIFS(measured[Measured Value (kWh)],measured[Site Name],A2672,measured[Date],B2672)),"")</f>
        <v/>
      </c>
      <c r="D2672" cm="1">
        <f t="array" ref="D2672">IFERROR(IF(SUMPRODUCT((expected_production[Site Name]=A2672)*(expected_production[Date]=B2672)*ISNUMBER(expected_production[Expected Production (kWh)]))=0,"",SUMIFS(expected_production[Expected Production (kWh)],expected_production[Site Name],A2672,expected_production[Date],B2672)),"")</f>
        <v>18261</v>
      </c>
      <c r="E2672" s="9" t="str">
        <f t="shared" si="84"/>
        <v/>
      </c>
      <c r="F2672" t="str">
        <f t="shared" si="85"/>
        <v/>
      </c>
    </row>
    <row r="2673" spans="1:6" hidden="1" x14ac:dyDescent="0.3">
      <c r="A2673" t="s">
        <v>251</v>
      </c>
      <c r="B2673" s="2">
        <v>45505</v>
      </c>
      <c r="C2673" t="str" cm="1">
        <f t="array" ref="C2673">IFERROR(IF(SUMPRODUCT((measured[Site Name]=A2673)*(measured[Date]=B2673)*ISNUMBER(measured[Measured Value (kWh)]))=0,"",SUMIFS(measured[Measured Value (kWh)],measured[Site Name],A2673,measured[Date],B2673)),"")</f>
        <v/>
      </c>
      <c r="D2673" cm="1">
        <f t="array" ref="D2673">IFERROR(IF(SUMPRODUCT((expected_production[Site Name]=A2673)*(expected_production[Date]=B2673)*ISNUMBER(expected_production[Expected Production (kWh)]))=0,"",SUMIFS(expected_production[Expected Production (kWh)],expected_production[Site Name],A2673,expected_production[Date],B2673)),"")</f>
        <v>21311.100000000002</v>
      </c>
      <c r="E2673" s="9" t="str">
        <f t="shared" si="84"/>
        <v/>
      </c>
      <c r="F2673" t="str">
        <f t="shared" si="85"/>
        <v/>
      </c>
    </row>
    <row r="2674" spans="1:6" hidden="1" x14ac:dyDescent="0.3">
      <c r="A2674" t="s">
        <v>251</v>
      </c>
      <c r="B2674" s="2">
        <v>45536</v>
      </c>
      <c r="C2674" t="str" cm="1">
        <f t="array" ref="C2674">IFERROR(IF(SUMPRODUCT((measured[Site Name]=A2674)*(measured[Date]=B2674)*ISNUMBER(measured[Measured Value (kWh)]))=0,"",SUMIFS(measured[Measured Value (kWh)],measured[Site Name],A2674,measured[Date],B2674)),"")</f>
        <v/>
      </c>
      <c r="D2674" cm="1">
        <f t="array" ref="D2674">IFERROR(IF(SUMPRODUCT((expected_production[Site Name]=A2674)*(expected_production[Date]=B2674)*ISNUMBER(expected_production[Expected Production (kWh)]))=0,"",SUMIFS(expected_production[Expected Production (kWh)],expected_production[Site Name],A2674,expected_production[Date],B2674)),"")</f>
        <v>23659.200000000001</v>
      </c>
      <c r="E2674" s="9" t="str">
        <f t="shared" si="84"/>
        <v/>
      </c>
      <c r="F2674" t="str">
        <f t="shared" si="85"/>
        <v/>
      </c>
    </row>
    <row r="2675" spans="1:6" hidden="1" x14ac:dyDescent="0.3">
      <c r="A2675" t="s">
        <v>251</v>
      </c>
      <c r="B2675" s="2">
        <v>45566</v>
      </c>
      <c r="C2675" t="str" cm="1">
        <f t="array" ref="C2675">IFERROR(IF(SUMPRODUCT((measured[Site Name]=A2675)*(measured[Date]=B2675)*ISNUMBER(measured[Measured Value (kWh)]))=0,"",SUMIFS(measured[Measured Value (kWh)],measured[Site Name],A2675,measured[Date],B2675)),"")</f>
        <v/>
      </c>
      <c r="D2675" cm="1">
        <f t="array" ref="D2675">IFERROR(IF(SUMPRODUCT((expected_production[Site Name]=A2675)*(expected_production[Date]=B2675)*ISNUMBER(expected_production[Expected Production (kWh)]))=0,"",SUMIFS(expected_production[Expected Production (kWh)],expected_production[Site Name],A2675,expected_production[Date],B2675)),"")</f>
        <v>26865.9</v>
      </c>
      <c r="E2675" s="9" t="str">
        <f t="shared" si="84"/>
        <v/>
      </c>
      <c r="F2675" t="str">
        <f t="shared" si="85"/>
        <v/>
      </c>
    </row>
    <row r="2676" spans="1:6" hidden="1" x14ac:dyDescent="0.3">
      <c r="A2676" t="s">
        <v>251</v>
      </c>
      <c r="B2676" s="2">
        <v>45597</v>
      </c>
      <c r="C2676" t="str" cm="1">
        <f t="array" ref="C2676">IFERROR(IF(SUMPRODUCT((measured[Site Name]=A2676)*(measured[Date]=B2676)*ISNUMBER(measured[Measured Value (kWh)]))=0,"",SUMIFS(measured[Measured Value (kWh)],measured[Site Name],A2676,measured[Date],B2676)),"")</f>
        <v/>
      </c>
      <c r="D2676" cm="1">
        <f t="array" ref="D2676">IFERROR(IF(SUMPRODUCT((expected_production[Site Name]=A2676)*(expected_production[Date]=B2676)*ISNUMBER(expected_production[Expected Production (kWh)]))=0,"",SUMIFS(expected_production[Expected Production (kWh)],expected_production[Site Name],A2676,expected_production[Date],B2676)),"")</f>
        <v>27153.9</v>
      </c>
      <c r="E2676" s="9" t="str">
        <f t="shared" si="84"/>
        <v/>
      </c>
      <c r="F2676" t="str">
        <f t="shared" si="85"/>
        <v/>
      </c>
    </row>
    <row r="2677" spans="1:6" hidden="1" x14ac:dyDescent="0.3">
      <c r="A2677" t="s">
        <v>251</v>
      </c>
      <c r="B2677" s="2">
        <v>45627</v>
      </c>
      <c r="C2677" t="str" cm="1">
        <f t="array" ref="C2677">IFERROR(IF(SUMPRODUCT((measured[Site Name]=A2677)*(measured[Date]=B2677)*ISNUMBER(measured[Measured Value (kWh)]))=0,"",SUMIFS(measured[Measured Value (kWh)],measured[Site Name],A2677,measured[Date],B2677)),"")</f>
        <v/>
      </c>
      <c r="D2677" cm="1">
        <f t="array" ref="D2677">IFERROR(IF(SUMPRODUCT((expected_production[Site Name]=A2677)*(expected_production[Date]=B2677)*ISNUMBER(expected_production[Expected Production (kWh)]))=0,"",SUMIFS(expected_production[Expected Production (kWh)],expected_production[Site Name],A2677,expected_production[Date],B2677)),"")</f>
        <v>27402.3</v>
      </c>
      <c r="E2677" s="9" t="str">
        <f t="shared" si="84"/>
        <v/>
      </c>
      <c r="F2677" t="str">
        <f t="shared" si="85"/>
        <v/>
      </c>
    </row>
    <row r="2678" spans="1:6" hidden="1" x14ac:dyDescent="0.3">
      <c r="A2678" t="s">
        <v>251</v>
      </c>
      <c r="B2678" s="2">
        <v>45658</v>
      </c>
      <c r="C2678" t="str" cm="1">
        <f t="array" ref="C2678">IFERROR(IF(SUMPRODUCT((measured[Site Name]=A2678)*(measured[Date]=B2678)*ISNUMBER(measured[Measured Value (kWh)]))=0,"",SUMIFS(measured[Measured Value (kWh)],measured[Site Name],A2678,measured[Date],B2678)),"")</f>
        <v/>
      </c>
      <c r="D2678" cm="1">
        <f t="array" ref="D2678">IFERROR(IF(SUMPRODUCT((expected_production[Site Name]=A2678)*(expected_production[Date]=B2678)*ISNUMBER(expected_production[Expected Production (kWh)]))=0,"",SUMIFS(expected_production[Expected Production (kWh)],expected_production[Site Name],A2678,expected_production[Date],B2678)),"")</f>
        <v>26451</v>
      </c>
      <c r="E2678" s="9" t="str">
        <f t="shared" si="84"/>
        <v/>
      </c>
      <c r="F2678" t="str">
        <f t="shared" si="85"/>
        <v/>
      </c>
    </row>
    <row r="2679" spans="1:6" hidden="1" x14ac:dyDescent="0.3">
      <c r="A2679" t="s">
        <v>251</v>
      </c>
      <c r="B2679" s="2">
        <v>45689</v>
      </c>
      <c r="C2679" t="str" cm="1">
        <f t="array" ref="C2679">IFERROR(IF(SUMPRODUCT((measured[Site Name]=A2679)*(measured[Date]=B2679)*ISNUMBER(measured[Measured Value (kWh)]))=0,"",SUMIFS(measured[Measured Value (kWh)],measured[Site Name],A2679,measured[Date],B2679)),"")</f>
        <v/>
      </c>
      <c r="D2679" cm="1">
        <f t="array" ref="D2679">IFERROR(IF(SUMPRODUCT((expected_production[Site Name]=A2679)*(expected_production[Date]=B2679)*ISNUMBER(expected_production[Expected Production (kWh)]))=0,"",SUMIFS(expected_production[Expected Production (kWh)],expected_production[Site Name],A2679,expected_production[Date],B2679)),"")</f>
        <v>23215.5</v>
      </c>
      <c r="E2679" s="9" t="str">
        <f t="shared" si="84"/>
        <v/>
      </c>
      <c r="F2679" t="str">
        <f t="shared" si="85"/>
        <v/>
      </c>
    </row>
    <row r="2680" spans="1:6" hidden="1" x14ac:dyDescent="0.3">
      <c r="A2680" t="s">
        <v>251</v>
      </c>
      <c r="B2680" s="2">
        <v>45717</v>
      </c>
      <c r="C2680" t="str" cm="1">
        <f t="array" ref="C2680">IFERROR(IF(SUMPRODUCT((measured[Site Name]=A2680)*(measured[Date]=B2680)*ISNUMBER(measured[Measured Value (kWh)]))=0,"",SUMIFS(measured[Measured Value (kWh)],measured[Site Name],A2680,measured[Date],B2680)),"")</f>
        <v/>
      </c>
      <c r="D2680" cm="1">
        <f t="array" ref="D2680">IFERROR(IF(SUMPRODUCT((expected_production[Site Name]=A2680)*(expected_production[Date]=B2680)*ISNUMBER(expected_production[Expected Production (kWh)]))=0,"",SUMIFS(expected_production[Expected Production (kWh)],expected_production[Site Name],A2680,expected_production[Date],B2680)),"")</f>
        <v>23034.600000000002</v>
      </c>
      <c r="E2680" s="9" t="str">
        <f t="shared" si="84"/>
        <v/>
      </c>
      <c r="F2680" t="str">
        <f t="shared" si="85"/>
        <v/>
      </c>
    </row>
    <row r="2681" spans="1:6" hidden="1" x14ac:dyDescent="0.3">
      <c r="A2681" t="s">
        <v>251</v>
      </c>
      <c r="B2681" s="2">
        <v>45748</v>
      </c>
      <c r="C2681" t="str" cm="1">
        <f t="array" ref="C2681">IFERROR(IF(SUMPRODUCT((measured[Site Name]=A2681)*(measured[Date]=B2681)*ISNUMBER(measured[Measured Value (kWh)]))=0,"",SUMIFS(measured[Measured Value (kWh)],measured[Site Name],A2681,measured[Date],B2681)),"")</f>
        <v/>
      </c>
      <c r="D2681" cm="1">
        <f t="array" ref="D2681">IFERROR(IF(SUMPRODUCT((expected_production[Site Name]=A2681)*(expected_production[Date]=B2681)*ISNUMBER(expected_production[Expected Production (kWh)]))=0,"",SUMIFS(expected_production[Expected Production (kWh)],expected_production[Site Name],A2681,expected_production[Date],B2681)),"")</f>
        <v>19930.5</v>
      </c>
      <c r="E2681" s="9" t="str">
        <f t="shared" si="84"/>
        <v/>
      </c>
      <c r="F2681" t="str">
        <f t="shared" si="85"/>
        <v/>
      </c>
    </row>
    <row r="2682" spans="1:6" hidden="1" x14ac:dyDescent="0.3">
      <c r="A2682" t="s">
        <v>251</v>
      </c>
      <c r="B2682" s="2">
        <v>45778</v>
      </c>
      <c r="C2682" t="str" cm="1">
        <f t="array" ref="C2682">IFERROR(IF(SUMPRODUCT((measured[Site Name]=A2682)*(measured[Date]=B2682)*ISNUMBER(measured[Measured Value (kWh)]))=0,"",SUMIFS(measured[Measured Value (kWh)],measured[Site Name],A2682,measured[Date],B2682)),"")</f>
        <v/>
      </c>
      <c r="D2682" cm="1">
        <f t="array" ref="D2682">IFERROR(IF(SUMPRODUCT((expected_production[Site Name]=A2682)*(expected_production[Date]=B2682)*ISNUMBER(expected_production[Expected Production (kWh)]))=0,"",SUMIFS(expected_production[Expected Production (kWh)],expected_production[Site Name],A2682,expected_production[Date],B2682)),"")</f>
        <v>18754.2</v>
      </c>
      <c r="E2682" s="9" t="str">
        <f t="shared" si="84"/>
        <v/>
      </c>
      <c r="F2682" t="str">
        <f t="shared" si="85"/>
        <v/>
      </c>
    </row>
    <row r="2683" spans="1:6" hidden="1" x14ac:dyDescent="0.3">
      <c r="A2683" t="s">
        <v>251</v>
      </c>
      <c r="B2683" s="2">
        <v>45809</v>
      </c>
      <c r="C2683" t="str" cm="1">
        <f t="array" ref="C2683">IFERROR(IF(SUMPRODUCT((measured[Site Name]=A2683)*(measured[Date]=B2683)*ISNUMBER(measured[Measured Value (kWh)]))=0,"",SUMIFS(measured[Measured Value (kWh)],measured[Site Name],A2683,measured[Date],B2683)),"")</f>
        <v/>
      </c>
      <c r="D2683" cm="1">
        <f t="array" ref="D2683">IFERROR(IF(SUMPRODUCT((expected_production[Site Name]=A2683)*(expected_production[Date]=B2683)*ISNUMBER(expected_production[Expected Production (kWh)]))=0,"",SUMIFS(expected_production[Expected Production (kWh)],expected_production[Site Name],A2683,expected_production[Date],B2683)),"")</f>
        <v>16767.900000000001</v>
      </c>
      <c r="E2683" s="9" t="str">
        <f t="shared" si="84"/>
        <v/>
      </c>
      <c r="F2683" t="str">
        <f t="shared" si="85"/>
        <v/>
      </c>
    </row>
    <row r="2684" spans="1:6" hidden="1" x14ac:dyDescent="0.3">
      <c r="A2684" t="s">
        <v>251</v>
      </c>
      <c r="B2684" s="2">
        <v>45839</v>
      </c>
      <c r="C2684" t="str" cm="1">
        <f t="array" ref="C2684">IFERROR(IF(SUMPRODUCT((measured[Site Name]=A2684)*(measured[Date]=B2684)*ISNUMBER(measured[Measured Value (kWh)]))=0,"",SUMIFS(measured[Measured Value (kWh)],measured[Site Name],A2684,measured[Date],B2684)),"")</f>
        <v/>
      </c>
      <c r="D2684" cm="1">
        <f t="array" ref="D2684">IFERROR(IF(SUMPRODUCT((expected_production[Site Name]=A2684)*(expected_production[Date]=B2684)*ISNUMBER(expected_production[Expected Production (kWh)]))=0,"",SUMIFS(expected_production[Expected Production (kWh)],expected_production[Site Name],A2684,expected_production[Date],B2684)),"")</f>
        <v>18261</v>
      </c>
      <c r="E2684" s="9" t="str">
        <f t="shared" si="84"/>
        <v/>
      </c>
      <c r="F2684" t="str">
        <f t="shared" si="85"/>
        <v/>
      </c>
    </row>
    <row r="2685" spans="1:6" hidden="1" x14ac:dyDescent="0.3">
      <c r="A2685" t="s">
        <v>251</v>
      </c>
      <c r="B2685" s="2">
        <v>45870</v>
      </c>
      <c r="C2685" t="str" cm="1">
        <f t="array" ref="C2685">IFERROR(IF(SUMPRODUCT((measured[Site Name]=A2685)*(measured[Date]=B2685)*ISNUMBER(measured[Measured Value (kWh)]))=0,"",SUMIFS(measured[Measured Value (kWh)],measured[Site Name],A2685,measured[Date],B2685)),"")</f>
        <v/>
      </c>
      <c r="D2685" cm="1">
        <f t="array" ref="D2685">IFERROR(IF(SUMPRODUCT((expected_production[Site Name]=A2685)*(expected_production[Date]=B2685)*ISNUMBER(expected_production[Expected Production (kWh)]))=0,"",SUMIFS(expected_production[Expected Production (kWh)],expected_production[Site Name],A2685,expected_production[Date],B2685)),"")</f>
        <v>21311.100000000002</v>
      </c>
      <c r="E2685" s="9" t="str">
        <f t="shared" si="84"/>
        <v/>
      </c>
      <c r="F2685" t="str">
        <f t="shared" si="85"/>
        <v/>
      </c>
    </row>
    <row r="2686" spans="1:6" hidden="1" x14ac:dyDescent="0.3">
      <c r="A2686" t="s">
        <v>251</v>
      </c>
      <c r="B2686" s="2">
        <v>45901</v>
      </c>
      <c r="C2686" t="str" cm="1">
        <f t="array" ref="C2686">IFERROR(IF(SUMPRODUCT((measured[Site Name]=A2686)*(measured[Date]=B2686)*ISNUMBER(measured[Measured Value (kWh)]))=0,"",SUMIFS(measured[Measured Value (kWh)],measured[Site Name],A2686,measured[Date],B2686)),"")</f>
        <v/>
      </c>
      <c r="D2686" cm="1">
        <f t="array" ref="D2686">IFERROR(IF(SUMPRODUCT((expected_production[Site Name]=A2686)*(expected_production[Date]=B2686)*ISNUMBER(expected_production[Expected Production (kWh)]))=0,"",SUMIFS(expected_production[Expected Production (kWh)],expected_production[Site Name],A2686,expected_production[Date],B2686)),"")</f>
        <v>23659.200000000001</v>
      </c>
      <c r="E2686" s="9" t="str">
        <f t="shared" si="84"/>
        <v/>
      </c>
      <c r="F2686" t="str">
        <f t="shared" si="85"/>
        <v/>
      </c>
    </row>
    <row r="2687" spans="1:6" hidden="1" x14ac:dyDescent="0.3">
      <c r="A2687" t="s">
        <v>251</v>
      </c>
      <c r="B2687" s="2">
        <v>45931</v>
      </c>
      <c r="C2687" t="str" cm="1">
        <f t="array" ref="C2687">IFERROR(IF(SUMPRODUCT((measured[Site Name]=A2687)*(measured[Date]=B2687)*ISNUMBER(measured[Measured Value (kWh)]))=0,"",SUMIFS(measured[Measured Value (kWh)],measured[Site Name],A2687,measured[Date],B2687)),"")</f>
        <v/>
      </c>
      <c r="D2687" cm="1">
        <f t="array" ref="D2687">IFERROR(IF(SUMPRODUCT((expected_production[Site Name]=A2687)*(expected_production[Date]=B2687)*ISNUMBER(expected_production[Expected Production (kWh)]))=0,"",SUMIFS(expected_production[Expected Production (kWh)],expected_production[Site Name],A2687,expected_production[Date],B2687)),"")</f>
        <v>26865.9</v>
      </c>
      <c r="E2687" s="9" t="str">
        <f t="shared" si="84"/>
        <v/>
      </c>
      <c r="F2687" t="str">
        <f t="shared" si="85"/>
        <v/>
      </c>
    </row>
    <row r="2688" spans="1:6" hidden="1" x14ac:dyDescent="0.3">
      <c r="A2688" t="s">
        <v>251</v>
      </c>
      <c r="B2688" s="2">
        <v>45962</v>
      </c>
      <c r="C2688" t="str" cm="1">
        <f t="array" ref="C2688">IFERROR(IF(SUMPRODUCT((measured[Site Name]=A2688)*(measured[Date]=B2688)*ISNUMBER(measured[Measured Value (kWh)]))=0,"",SUMIFS(measured[Measured Value (kWh)],measured[Site Name],A2688,measured[Date],B2688)),"")</f>
        <v/>
      </c>
      <c r="D2688" cm="1">
        <f t="array" ref="D2688">IFERROR(IF(SUMPRODUCT((expected_production[Site Name]=A2688)*(expected_production[Date]=B2688)*ISNUMBER(expected_production[Expected Production (kWh)]))=0,"",SUMIFS(expected_production[Expected Production (kWh)],expected_production[Site Name],A2688,expected_production[Date],B2688)),"")</f>
        <v>27153.9</v>
      </c>
      <c r="E2688" s="9" t="str">
        <f t="shared" si="84"/>
        <v/>
      </c>
      <c r="F2688" t="str">
        <f t="shared" si="85"/>
        <v/>
      </c>
    </row>
    <row r="2689" spans="1:7" hidden="1" x14ac:dyDescent="0.3">
      <c r="A2689" t="s">
        <v>251</v>
      </c>
      <c r="B2689" s="2">
        <v>45992</v>
      </c>
      <c r="C2689" t="str" cm="1">
        <f t="array" ref="C2689">IFERROR(IF(SUMPRODUCT((measured[Site Name]=A2689)*(measured[Date]=B2689)*ISNUMBER(measured[Measured Value (kWh)]))=0,"",SUMIFS(measured[Measured Value (kWh)],measured[Site Name],A2689,measured[Date],B2689)),"")</f>
        <v/>
      </c>
      <c r="D2689" cm="1">
        <f t="array" ref="D2689">IFERROR(IF(SUMPRODUCT((expected_production[Site Name]=A2689)*(expected_production[Date]=B2689)*ISNUMBER(expected_production[Expected Production (kWh)]))=0,"",SUMIFS(expected_production[Expected Production (kWh)],expected_production[Site Name],A2689,expected_production[Date],B2689)),"")</f>
        <v>27402.3</v>
      </c>
      <c r="E2689" s="9" t="str">
        <f t="shared" si="84"/>
        <v/>
      </c>
      <c r="F2689" t="str">
        <f t="shared" si="85"/>
        <v/>
      </c>
    </row>
    <row r="2690" spans="1:7" hidden="1" x14ac:dyDescent="0.3">
      <c r="A2690" t="s">
        <v>251</v>
      </c>
      <c r="B2690" s="2">
        <v>46023</v>
      </c>
      <c r="C2690" t="str" cm="1">
        <f t="array" ref="C2690">IFERROR(IF(SUMPRODUCT((measured[Site Name]=A2690)*(measured[Date]=B2690)*ISNUMBER(measured[Measured Value (kWh)]))=0,"",SUMIFS(measured[Measured Value (kWh)],measured[Site Name],A2690,measured[Date],B2690)),"")</f>
        <v/>
      </c>
      <c r="D2690" cm="1">
        <f t="array" ref="D2690">IFERROR(IF(SUMPRODUCT((expected_production[Site Name]=A2690)*(expected_production[Date]=B2690)*ISNUMBER(expected_production[Expected Production (kWh)]))=0,"",SUMIFS(expected_production[Expected Production (kWh)],expected_production[Site Name],A2690,expected_production[Date],B2690)),"")</f>
        <v>26451</v>
      </c>
      <c r="E2690" s="9" t="str">
        <f t="shared" si="84"/>
        <v/>
      </c>
      <c r="F2690" t="str">
        <f t="shared" si="85"/>
        <v/>
      </c>
    </row>
    <row r="2691" spans="1:7" hidden="1" x14ac:dyDescent="0.3">
      <c r="A2691" t="s">
        <v>251</v>
      </c>
      <c r="B2691" s="2">
        <v>46054</v>
      </c>
      <c r="C2691" t="str" cm="1">
        <f t="array" ref="C2691">IFERROR(IF(SUMPRODUCT((measured[Site Name]=A2691)*(measured[Date]=B2691)*ISNUMBER(measured[Measured Value (kWh)]))=0,"",SUMIFS(measured[Measured Value (kWh)],measured[Site Name],A2691,measured[Date],B2691)),"")</f>
        <v/>
      </c>
      <c r="D2691" cm="1">
        <f t="array" ref="D2691">IFERROR(IF(SUMPRODUCT((expected_production[Site Name]=A2691)*(expected_production[Date]=B2691)*ISNUMBER(expected_production[Expected Production (kWh)]))=0,"",SUMIFS(expected_production[Expected Production (kWh)],expected_production[Site Name],A2691,expected_production[Date],B2691)),"")</f>
        <v>23215.5</v>
      </c>
      <c r="E2691" s="9" t="str">
        <f t="shared" si="84"/>
        <v/>
      </c>
      <c r="F2691" t="str">
        <f t="shared" si="85"/>
        <v/>
      </c>
    </row>
    <row r="2692" spans="1:7" hidden="1" x14ac:dyDescent="0.3">
      <c r="A2692" t="s">
        <v>251</v>
      </c>
      <c r="B2692" s="2">
        <v>46082</v>
      </c>
      <c r="C2692" t="str" cm="1">
        <f t="array" ref="C2692">IFERROR(IF(SUMPRODUCT((measured[Site Name]=A2692)*(measured[Date]=B2692)*ISNUMBER(measured[Measured Value (kWh)]))=0,"",SUMIFS(measured[Measured Value (kWh)],measured[Site Name],A2692,measured[Date],B2692)),"")</f>
        <v/>
      </c>
      <c r="D2692" cm="1">
        <f t="array" ref="D2692">IFERROR(IF(SUMPRODUCT((expected_production[Site Name]=A2692)*(expected_production[Date]=B2692)*ISNUMBER(expected_production[Expected Production (kWh)]))=0,"",SUMIFS(expected_production[Expected Production (kWh)],expected_production[Site Name],A2692,expected_production[Date],B2692)),"")</f>
        <v>23034.600000000002</v>
      </c>
      <c r="E2692" s="9" t="str">
        <f t="shared" si="84"/>
        <v/>
      </c>
      <c r="F2692" t="str">
        <f t="shared" si="85"/>
        <v/>
      </c>
    </row>
    <row r="2693" spans="1:7" hidden="1" x14ac:dyDescent="0.3">
      <c r="A2693" t="s">
        <v>251</v>
      </c>
      <c r="B2693" s="2">
        <v>46113</v>
      </c>
      <c r="C2693" t="str" cm="1">
        <f t="array" ref="C2693">IFERROR(IF(SUMPRODUCT((measured[Site Name]=A2693)*(measured[Date]=B2693)*ISNUMBER(measured[Measured Value (kWh)]))=0,"",SUMIFS(measured[Measured Value (kWh)],measured[Site Name],A2693,measured[Date],B2693)),"")</f>
        <v/>
      </c>
      <c r="D2693" cm="1">
        <f t="array" ref="D2693">IFERROR(IF(SUMPRODUCT((expected_production[Site Name]=A2693)*(expected_production[Date]=B2693)*ISNUMBER(expected_production[Expected Production (kWh)]))=0,"",SUMIFS(expected_production[Expected Production (kWh)],expected_production[Site Name],A2693,expected_production[Date],B2693)),"")</f>
        <v>19930.5</v>
      </c>
      <c r="E2693" s="9" t="str">
        <f t="shared" si="84"/>
        <v/>
      </c>
      <c r="F2693" t="str">
        <f t="shared" si="85"/>
        <v/>
      </c>
    </row>
    <row r="2694" spans="1:7" hidden="1" x14ac:dyDescent="0.3">
      <c r="A2694" t="s">
        <v>251</v>
      </c>
      <c r="B2694" s="2">
        <v>46143</v>
      </c>
      <c r="C2694" cm="1">
        <f t="array" ref="C2694">IFERROR(IF(SUMPRODUCT((measured[Site Name]=A2694)*(measured[Date]=B2694)*ISNUMBER(measured[Measured Value (kWh)]))=0,"",SUMIFS(measured[Measured Value (kWh)],measured[Site Name],A2694,measured[Date],B2694)),"")</f>
        <v>17630</v>
      </c>
      <c r="D2694" cm="1">
        <f t="array" ref="D2694">IFERROR(IF(SUMPRODUCT((expected_production[Site Name]=A2694)*(expected_production[Date]=B2694)*ISNUMBER(expected_production[Expected Production (kWh)]))=0,"",SUMIFS(expected_production[Expected Production (kWh)],expected_production[Site Name],A2694,expected_production[Date],B2694)),"")</f>
        <v>18749.151057661766</v>
      </c>
      <c r="E2694" s="9">
        <f t="shared" si="84"/>
        <v>0.94030924097737056</v>
      </c>
      <c r="F2694" t="str">
        <f t="shared" si="85"/>
        <v>Expected</v>
      </c>
    </row>
    <row r="2695" spans="1:7" hidden="1" x14ac:dyDescent="0.3">
      <c r="A2695" t="s">
        <v>251</v>
      </c>
      <c r="B2695" s="2">
        <v>46174</v>
      </c>
      <c r="C2695" cm="1">
        <f t="array" ref="C2695">IFERROR(IF(SUMPRODUCT((measured[Site Name]=A2695)*(measured[Date]=B2695)*ISNUMBER(measured[Measured Value (kWh)]))=0,"",SUMIFS(measured[Measured Value (kWh)],measured[Site Name],A2695,measured[Date],B2695)),"")</f>
        <v>14172</v>
      </c>
      <c r="D2695" cm="1">
        <f t="array" ref="D2695">IFERROR(IF(SUMPRODUCT((expected_production[Site Name]=A2695)*(expected_production[Date]=B2695)*ISNUMBER(expected_production[Expected Production (kWh)]))=0,"",SUMIFS(expected_production[Expected Production (kWh)],expected_production[Site Name],A2695,expected_production[Date],B2695)),"")</f>
        <v>16753.394404270173</v>
      </c>
      <c r="E2695" s="9">
        <f t="shared" si="84"/>
        <v>0.84591812608361816</v>
      </c>
      <c r="F2695" t="str">
        <f t="shared" si="85"/>
        <v>Moderate</v>
      </c>
    </row>
    <row r="2696" spans="1:7" hidden="1" x14ac:dyDescent="0.3">
      <c r="A2696" t="s">
        <v>211</v>
      </c>
      <c r="B2696" s="2">
        <v>46204</v>
      </c>
      <c r="C2696" cm="1">
        <f t="array" ref="C2696">IFERROR(IF(SUMPRODUCT((measured[Site Name]=A2696)*(measured[Date]=B2696)*ISNUMBER(measured[Measured Value (kWh)]))=0,"",SUMIFS(measured[Measured Value (kWh)],measured[Site Name],A2696,measured[Date],B2696)),"")</f>
        <v>2292.6909999999998</v>
      </c>
      <c r="D2696" cm="1">
        <f t="array" ref="D2696">IFERROR(IF(SUMPRODUCT((expected_production[Site Name]=A2696)*(expected_production[Date]=B2696)*ISNUMBER(expected_production[Expected Production (kWh)]))=0,"",SUMIFS(expected_production[Expected Production (kWh)],expected_production[Site Name],A2696,expected_production[Date],B2696)),"")</f>
        <v>4038.5707143910558</v>
      </c>
      <c r="E2696" s="9">
        <f t="shared" si="84"/>
        <v>0.56769861471787963</v>
      </c>
      <c r="F2696" t="str">
        <f t="shared" si="85"/>
        <v>Poor</v>
      </c>
      <c r="G2696" t="s">
        <v>875</v>
      </c>
    </row>
    <row r="2697" spans="1:7" hidden="1" x14ac:dyDescent="0.3">
      <c r="A2697" t="s">
        <v>251</v>
      </c>
      <c r="B2697" s="2">
        <v>46235</v>
      </c>
      <c r="C2697" cm="1">
        <f t="array" ref="C2697">IFERROR(IF(SUMPRODUCT((measured[Site Name]=A2697)*(measured[Date]=B2697)*ISNUMBER(measured[Measured Value (kWh)]))=0,"",SUMIFS(measured[Measured Value (kWh)],measured[Site Name],A2697,measured[Date],B2697)),"")</f>
        <v>19960.113000000001</v>
      </c>
      <c r="D2697" cm="1">
        <f t="array" ref="D2697">IFERROR(IF(SUMPRODUCT((expected_production[Site Name]=A2697)*(expected_production[Date]=B2697)*ISNUMBER(expected_production[Expected Production (kWh)]))=0,"",SUMIFS(expected_production[Expected Production (kWh)],expected_production[Site Name],A2697,expected_production[Date],B2697)),"")</f>
        <v>21267.698831424816</v>
      </c>
      <c r="E2697" s="9">
        <f t="shared" si="84"/>
        <v>0.93851775682036898</v>
      </c>
      <c r="F2697" t="str">
        <f t="shared" si="85"/>
        <v>Expected</v>
      </c>
      <c r="G2697" t="s">
        <v>874</v>
      </c>
    </row>
    <row r="2698" spans="1:7" x14ac:dyDescent="0.3">
      <c r="A2698" t="s">
        <v>124</v>
      </c>
      <c r="B2698" s="2">
        <v>46266</v>
      </c>
      <c r="C2698" cm="1">
        <f t="array" ref="C2698">IFERROR(IF(SUMPRODUCT((measured[Site Name]=A2698)*(measured[Date]=B2698)*ISNUMBER(measured[Measured Value (kWh)]))=0,"",SUMIFS(measured[Measured Value (kWh)],measured[Site Name],A2698,measured[Date],B2698)),"")</f>
        <v>43037.19</v>
      </c>
      <c r="D2698" cm="1">
        <f t="array" ref="D2698">IFERROR(IF(SUMPRODUCT((expected_production[Site Name]=A2698)*(expected_production[Date]=B2698)*ISNUMBER(expected_production[Expected Production (kWh)]))=0,"",SUMIFS(expected_production[Expected Production (kWh)],expected_production[Site Name],A2698,expected_production[Date],B2698)),"")</f>
        <v>48830.272950042265</v>
      </c>
      <c r="E2698" s="9">
        <f t="shared" si="84"/>
        <v>0.88136288003204277</v>
      </c>
      <c r="F2698" t="str">
        <f t="shared" si="85"/>
        <v>Moderate</v>
      </c>
      <c r="G2698" t="s">
        <v>874</v>
      </c>
    </row>
    <row r="2699" spans="1:7" hidden="1" x14ac:dyDescent="0.3">
      <c r="A2699" t="s">
        <v>251</v>
      </c>
      <c r="B2699" s="2">
        <v>46296</v>
      </c>
      <c r="C2699" t="str" cm="1">
        <f t="array" ref="C2699">IFERROR(IF(SUMPRODUCT((measured[Site Name]=A2699)*(measured[Date]=B2699)*ISNUMBER(measured[Measured Value (kWh)]))=0,"",SUMIFS(measured[Measured Value (kWh)],measured[Site Name],A2699,measured[Date],B2699)),"")</f>
        <v/>
      </c>
      <c r="D2699" cm="1">
        <f t="array" ref="D2699">IFERROR(IF(SUMPRODUCT((expected_production[Site Name]=A2699)*(expected_production[Date]=B2699)*ISNUMBER(expected_production[Expected Production (kWh)]))=0,"",SUMIFS(expected_production[Expected Production (kWh)],expected_production[Site Name],A2699,expected_production[Date],B2699)),"")</f>
        <v>26779.750469297083</v>
      </c>
      <c r="E2699" s="9" t="str">
        <f t="shared" si="84"/>
        <v/>
      </c>
      <c r="F2699" t="str">
        <f t="shared" si="85"/>
        <v/>
      </c>
    </row>
    <row r="2700" spans="1:7" hidden="1" x14ac:dyDescent="0.3">
      <c r="A2700" t="s">
        <v>251</v>
      </c>
      <c r="B2700" s="2">
        <v>46327</v>
      </c>
      <c r="C2700" t="str" cm="1">
        <f t="array" ref="C2700">IFERROR(IF(SUMPRODUCT((measured[Site Name]=A2700)*(measured[Date]=B2700)*ISNUMBER(measured[Measured Value (kWh)]))=0,"",SUMIFS(measured[Measured Value (kWh)],measured[Site Name],A2700,measured[Date],B2700)),"")</f>
        <v/>
      </c>
      <c r="D2700" cm="1">
        <f t="array" ref="D2700">IFERROR(IF(SUMPRODUCT((expected_production[Site Name]=A2700)*(expected_production[Date]=B2700)*ISNUMBER(expected_production[Expected Production (kWh)]))=0,"",SUMIFS(expected_production[Expected Production (kWh)],expected_production[Site Name],A2700,expected_production[Date],B2700)),"")</f>
        <v>27050.694446476831</v>
      </c>
      <c r="E2700" s="9" t="str">
        <f t="shared" si="84"/>
        <v/>
      </c>
      <c r="F2700" t="str">
        <f t="shared" si="85"/>
        <v/>
      </c>
    </row>
    <row r="2701" spans="1:7" hidden="1" x14ac:dyDescent="0.3">
      <c r="A2701" t="s">
        <v>251</v>
      </c>
      <c r="B2701" s="2">
        <v>46357</v>
      </c>
      <c r="C2701" t="str" cm="1">
        <f t="array" ref="C2701">IFERROR(IF(SUMPRODUCT((measured[Site Name]=A2701)*(measured[Date]=B2701)*ISNUMBER(measured[Measured Value (kWh)]))=0,"",SUMIFS(measured[Measured Value (kWh)],measured[Site Name],A2701,measured[Date],B2701)),"")</f>
        <v/>
      </c>
      <c r="D2701" cm="1">
        <f t="array" ref="D2701">IFERROR(IF(SUMPRODUCT((expected_production[Site Name]=A2701)*(expected_production[Date]=B2701)*ISNUMBER(expected_production[Expected Production (kWh)]))=0,"",SUMIFS(expected_production[Expected Production (kWh)],expected_production[Site Name],A2701,expected_production[Date],B2701)),"")</f>
        <v>27282.404654213155</v>
      </c>
      <c r="E2701" s="9" t="str">
        <f t="shared" si="84"/>
        <v/>
      </c>
      <c r="F2701" t="str">
        <f t="shared" si="85"/>
        <v/>
      </c>
    </row>
    <row r="2702" spans="1:7" hidden="1" x14ac:dyDescent="0.3">
      <c r="A2702" t="s">
        <v>250</v>
      </c>
      <c r="B2702" s="2">
        <v>45292</v>
      </c>
      <c r="C2702" t="str" cm="1">
        <f t="array" ref="C2702">IFERROR(IF(SUMPRODUCT((measured[Site Name]=A2702)*(measured[Date]=B2702)*ISNUMBER(measured[Measured Value (kWh)]))=0,"",SUMIFS(measured[Measured Value (kWh)],measured[Site Name],A2702,measured[Date],B2702)),"")</f>
        <v/>
      </c>
      <c r="D2702" cm="1">
        <f t="array" ref="D2702">IFERROR(IF(SUMPRODUCT((expected_production[Site Name]=A2702)*(expected_production[Date]=B2702)*ISNUMBER(expected_production[Expected Production (kWh)]))=0,"",SUMIFS(expected_production[Expected Production (kWh)],expected_production[Site Name],A2702,expected_production[Date],B2702)),"")</f>
        <v>28877.4</v>
      </c>
      <c r="E2702" s="9" t="str">
        <f t="shared" si="84"/>
        <v/>
      </c>
      <c r="F2702" t="str">
        <f t="shared" si="85"/>
        <v/>
      </c>
    </row>
    <row r="2703" spans="1:7" hidden="1" x14ac:dyDescent="0.3">
      <c r="A2703" t="s">
        <v>250</v>
      </c>
      <c r="B2703" s="2">
        <v>45323</v>
      </c>
      <c r="C2703" t="str" cm="1">
        <f t="array" ref="C2703">IFERROR(IF(SUMPRODUCT((measured[Site Name]=A2703)*(measured[Date]=B2703)*ISNUMBER(measured[Measured Value (kWh)]))=0,"",SUMIFS(measured[Measured Value (kWh)],measured[Site Name],A2703,measured[Date],B2703)),"")</f>
        <v/>
      </c>
      <c r="D2703" cm="1">
        <f t="array" ref="D2703">IFERROR(IF(SUMPRODUCT((expected_production[Site Name]=A2703)*(expected_production[Date]=B2703)*ISNUMBER(expected_production[Expected Production (kWh)]))=0,"",SUMIFS(expected_production[Expected Production (kWh)],expected_production[Site Name],A2703,expected_production[Date],B2703)),"")</f>
        <v>25884.9</v>
      </c>
      <c r="E2703" s="9" t="str">
        <f t="shared" si="84"/>
        <v/>
      </c>
      <c r="F2703" t="str">
        <f t="shared" si="85"/>
        <v/>
      </c>
    </row>
    <row r="2704" spans="1:7" hidden="1" x14ac:dyDescent="0.3">
      <c r="A2704" t="s">
        <v>250</v>
      </c>
      <c r="B2704" s="2">
        <v>45352</v>
      </c>
      <c r="C2704" t="str" cm="1">
        <f t="array" ref="C2704">IFERROR(IF(SUMPRODUCT((measured[Site Name]=A2704)*(measured[Date]=B2704)*ISNUMBER(measured[Measured Value (kWh)]))=0,"",SUMIFS(measured[Measured Value (kWh)],measured[Site Name],A2704,measured[Date],B2704)),"")</f>
        <v/>
      </c>
      <c r="D2704" cm="1">
        <f t="array" ref="D2704">IFERROR(IF(SUMPRODUCT((expected_production[Site Name]=A2704)*(expected_production[Date]=B2704)*ISNUMBER(expected_production[Expected Production (kWh)]))=0,"",SUMIFS(expected_production[Expected Production (kWh)],expected_production[Site Name],A2704,expected_production[Date],B2704)),"")</f>
        <v>27341.100000000002</v>
      </c>
      <c r="E2704" s="9" t="str">
        <f t="shared" si="84"/>
        <v/>
      </c>
      <c r="F2704" t="str">
        <f t="shared" si="85"/>
        <v/>
      </c>
    </row>
    <row r="2705" spans="1:6" hidden="1" x14ac:dyDescent="0.3">
      <c r="A2705" t="s">
        <v>250</v>
      </c>
      <c r="B2705" s="2">
        <v>45383</v>
      </c>
      <c r="C2705" t="str" cm="1">
        <f t="array" ref="C2705">IFERROR(IF(SUMPRODUCT((measured[Site Name]=A2705)*(measured[Date]=B2705)*ISNUMBER(measured[Measured Value (kWh)]))=0,"",SUMIFS(measured[Measured Value (kWh)],measured[Site Name],A2705,measured[Date],B2705)),"")</f>
        <v/>
      </c>
      <c r="D2705" cm="1">
        <f t="array" ref="D2705">IFERROR(IF(SUMPRODUCT((expected_production[Site Name]=A2705)*(expected_production[Date]=B2705)*ISNUMBER(expected_production[Expected Production (kWh)]))=0,"",SUMIFS(expected_production[Expected Production (kWh)],expected_production[Site Name],A2705,expected_production[Date],B2705)),"")</f>
        <v>27823.5</v>
      </c>
      <c r="E2705" s="9" t="str">
        <f t="shared" si="84"/>
        <v/>
      </c>
      <c r="F2705" t="str">
        <f t="shared" si="85"/>
        <v/>
      </c>
    </row>
    <row r="2706" spans="1:6" hidden="1" x14ac:dyDescent="0.3">
      <c r="A2706" t="s">
        <v>250</v>
      </c>
      <c r="B2706" s="2">
        <v>45413</v>
      </c>
      <c r="C2706" t="str" cm="1">
        <f t="array" ref="C2706">IFERROR(IF(SUMPRODUCT((measured[Site Name]=A2706)*(measured[Date]=B2706)*ISNUMBER(measured[Measured Value (kWh)]))=0,"",SUMIFS(measured[Measured Value (kWh)],measured[Site Name],A2706,measured[Date],B2706)),"")</f>
        <v/>
      </c>
      <c r="D2706" cm="1">
        <f t="array" ref="D2706">IFERROR(IF(SUMPRODUCT((expected_production[Site Name]=A2706)*(expected_production[Date]=B2706)*ISNUMBER(expected_production[Expected Production (kWh)]))=0,"",SUMIFS(expected_production[Expected Production (kWh)],expected_production[Site Name],A2706,expected_production[Date],B2706)),"")</f>
        <v>29920.5</v>
      </c>
      <c r="E2706" s="9" t="str">
        <f t="shared" si="84"/>
        <v/>
      </c>
      <c r="F2706" t="str">
        <f t="shared" si="85"/>
        <v/>
      </c>
    </row>
    <row r="2707" spans="1:6" hidden="1" x14ac:dyDescent="0.3">
      <c r="A2707" t="s">
        <v>250</v>
      </c>
      <c r="B2707" s="2">
        <v>45444</v>
      </c>
      <c r="C2707" t="str" cm="1">
        <f t="array" ref="C2707">IFERROR(IF(SUMPRODUCT((measured[Site Name]=A2707)*(measured[Date]=B2707)*ISNUMBER(measured[Measured Value (kWh)]))=0,"",SUMIFS(measured[Measured Value (kWh)],measured[Site Name],A2707,measured[Date],B2707)),"")</f>
        <v/>
      </c>
      <c r="D2707" cm="1">
        <f t="array" ref="D2707">IFERROR(IF(SUMPRODUCT((expected_production[Site Name]=A2707)*(expected_production[Date]=B2707)*ISNUMBER(expected_production[Expected Production (kWh)]))=0,"",SUMIFS(expected_production[Expected Production (kWh)],expected_production[Site Name],A2707,expected_production[Date],B2707)),"")</f>
        <v>28644.3</v>
      </c>
      <c r="E2707" s="9" t="str">
        <f t="shared" si="84"/>
        <v/>
      </c>
      <c r="F2707" t="str">
        <f t="shared" si="85"/>
        <v/>
      </c>
    </row>
    <row r="2708" spans="1:6" hidden="1" x14ac:dyDescent="0.3">
      <c r="A2708" t="s">
        <v>250</v>
      </c>
      <c r="B2708" s="2">
        <v>45474</v>
      </c>
      <c r="C2708" t="str" cm="1">
        <f t="array" ref="C2708">IFERROR(IF(SUMPRODUCT((measured[Site Name]=A2708)*(measured[Date]=B2708)*ISNUMBER(measured[Measured Value (kWh)]))=0,"",SUMIFS(measured[Measured Value (kWh)],measured[Site Name],A2708,measured[Date],B2708)),"")</f>
        <v/>
      </c>
      <c r="D2708" cm="1">
        <f t="array" ref="D2708">IFERROR(IF(SUMPRODUCT((expected_production[Site Name]=A2708)*(expected_production[Date]=B2708)*ISNUMBER(expected_production[Expected Production (kWh)]))=0,"",SUMIFS(expected_production[Expected Production (kWh)],expected_production[Site Name],A2708,expected_production[Date],B2708)),"")</f>
        <v>28051.200000000001</v>
      </c>
      <c r="E2708" s="9" t="str">
        <f t="shared" si="84"/>
        <v/>
      </c>
      <c r="F2708" t="str">
        <f t="shared" si="85"/>
        <v/>
      </c>
    </row>
    <row r="2709" spans="1:6" hidden="1" x14ac:dyDescent="0.3">
      <c r="A2709" t="s">
        <v>250</v>
      </c>
      <c r="B2709" s="2">
        <v>45505</v>
      </c>
      <c r="C2709" t="str" cm="1">
        <f t="array" ref="C2709">IFERROR(IF(SUMPRODUCT((measured[Site Name]=A2709)*(measured[Date]=B2709)*ISNUMBER(measured[Measured Value (kWh)]))=0,"",SUMIFS(measured[Measured Value (kWh)],measured[Site Name],A2709,measured[Date],B2709)),"")</f>
        <v/>
      </c>
      <c r="D2709" cm="1">
        <f t="array" ref="D2709">IFERROR(IF(SUMPRODUCT((expected_production[Site Name]=A2709)*(expected_production[Date]=B2709)*ISNUMBER(expected_production[Expected Production (kWh)]))=0,"",SUMIFS(expected_production[Expected Production (kWh)],expected_production[Site Name],A2709,expected_production[Date],B2709)),"")</f>
        <v>31649.4</v>
      </c>
      <c r="E2709" s="9" t="str">
        <f t="shared" si="84"/>
        <v/>
      </c>
      <c r="F2709" t="str">
        <f t="shared" si="85"/>
        <v/>
      </c>
    </row>
    <row r="2710" spans="1:6" hidden="1" x14ac:dyDescent="0.3">
      <c r="A2710" t="s">
        <v>250</v>
      </c>
      <c r="B2710" s="2">
        <v>45536</v>
      </c>
      <c r="C2710" t="str" cm="1">
        <f t="array" ref="C2710">IFERROR(IF(SUMPRODUCT((measured[Site Name]=A2710)*(measured[Date]=B2710)*ISNUMBER(measured[Measured Value (kWh)]))=0,"",SUMIFS(measured[Measured Value (kWh)],measured[Site Name],A2710,measured[Date],B2710)),"")</f>
        <v/>
      </c>
      <c r="D2710" cm="1">
        <f t="array" ref="D2710">IFERROR(IF(SUMPRODUCT((expected_production[Site Name]=A2710)*(expected_production[Date]=B2710)*ISNUMBER(expected_production[Expected Production (kWh)]))=0,"",SUMIFS(expected_production[Expected Production (kWh)],expected_production[Site Name],A2710,expected_production[Date],B2710)),"")</f>
        <v>28250.100000000002</v>
      </c>
      <c r="E2710" s="9" t="str">
        <f t="shared" ref="E2710:E2773" si="86">IF(OR(C2710="",D2710="",D2710=0),"",C2710/D2710)</f>
        <v/>
      </c>
      <c r="F2710" t="str">
        <f t="shared" ref="F2710:F2773" si="87">IF(E2710="","",IF(E2710&gt;=0.9,"Expected",IF(E2710&gt;=0.7,"Moderate","Poor")))</f>
        <v/>
      </c>
    </row>
    <row r="2711" spans="1:6" hidden="1" x14ac:dyDescent="0.3">
      <c r="A2711" t="s">
        <v>250</v>
      </c>
      <c r="B2711" s="2">
        <v>45566</v>
      </c>
      <c r="C2711" t="str" cm="1">
        <f t="array" ref="C2711">IFERROR(IF(SUMPRODUCT((measured[Site Name]=A2711)*(measured[Date]=B2711)*ISNUMBER(measured[Measured Value (kWh)]))=0,"",SUMIFS(measured[Measured Value (kWh)],measured[Site Name],A2711,measured[Date],B2711)),"")</f>
        <v/>
      </c>
      <c r="D2711" cm="1">
        <f t="array" ref="D2711">IFERROR(IF(SUMPRODUCT((expected_production[Site Name]=A2711)*(expected_production[Date]=B2711)*ISNUMBER(expected_production[Expected Production (kWh)]))=0,"",SUMIFS(expected_production[Expected Production (kWh)],expected_production[Site Name],A2711,expected_production[Date],B2711)),"")</f>
        <v>28466.100000000002</v>
      </c>
      <c r="E2711" s="9" t="str">
        <f t="shared" si="86"/>
        <v/>
      </c>
      <c r="F2711" t="str">
        <f t="shared" si="87"/>
        <v/>
      </c>
    </row>
    <row r="2712" spans="1:6" hidden="1" x14ac:dyDescent="0.3">
      <c r="A2712" t="s">
        <v>250</v>
      </c>
      <c r="B2712" s="2">
        <v>45597</v>
      </c>
      <c r="C2712" t="str" cm="1">
        <f t="array" ref="C2712">IFERROR(IF(SUMPRODUCT((measured[Site Name]=A2712)*(measured[Date]=B2712)*ISNUMBER(measured[Measured Value (kWh)]))=0,"",SUMIFS(measured[Measured Value (kWh)],measured[Site Name],A2712,measured[Date],B2712)),"")</f>
        <v/>
      </c>
      <c r="D2712" cm="1">
        <f t="array" ref="D2712">IFERROR(IF(SUMPRODUCT((expected_production[Site Name]=A2712)*(expected_production[Date]=B2712)*ISNUMBER(expected_production[Expected Production (kWh)]))=0,"",SUMIFS(expected_production[Expected Production (kWh)],expected_production[Site Name],A2712,expected_production[Date],B2712)),"")</f>
        <v>28991.7</v>
      </c>
      <c r="E2712" s="9" t="str">
        <f t="shared" si="86"/>
        <v/>
      </c>
      <c r="F2712" t="str">
        <f t="shared" si="87"/>
        <v/>
      </c>
    </row>
    <row r="2713" spans="1:6" hidden="1" x14ac:dyDescent="0.3">
      <c r="A2713" t="s">
        <v>250</v>
      </c>
      <c r="B2713" s="2">
        <v>45627</v>
      </c>
      <c r="C2713" t="str" cm="1">
        <f t="array" ref="C2713">IFERROR(IF(SUMPRODUCT((measured[Site Name]=A2713)*(measured[Date]=B2713)*ISNUMBER(measured[Measured Value (kWh)]))=0,"",SUMIFS(measured[Measured Value (kWh)],measured[Site Name],A2713,measured[Date],B2713)),"")</f>
        <v/>
      </c>
      <c r="D2713" cm="1">
        <f t="array" ref="D2713">IFERROR(IF(SUMPRODUCT((expected_production[Site Name]=A2713)*(expected_production[Date]=B2713)*ISNUMBER(expected_production[Expected Production (kWh)]))=0,"",SUMIFS(expected_production[Expected Production (kWh)],expected_production[Site Name],A2713,expected_production[Date],B2713)),"")</f>
        <v>28903.5</v>
      </c>
      <c r="E2713" s="9" t="str">
        <f t="shared" si="86"/>
        <v/>
      </c>
      <c r="F2713" t="str">
        <f t="shared" si="87"/>
        <v/>
      </c>
    </row>
    <row r="2714" spans="1:6" hidden="1" x14ac:dyDescent="0.3">
      <c r="A2714" t="s">
        <v>250</v>
      </c>
      <c r="B2714" s="2">
        <v>45658</v>
      </c>
      <c r="C2714" t="str" cm="1">
        <f t="array" ref="C2714">IFERROR(IF(SUMPRODUCT((measured[Site Name]=A2714)*(measured[Date]=B2714)*ISNUMBER(measured[Measured Value (kWh)]))=0,"",SUMIFS(measured[Measured Value (kWh)],measured[Site Name],A2714,measured[Date],B2714)),"")</f>
        <v/>
      </c>
      <c r="D2714" cm="1">
        <f t="array" ref="D2714">IFERROR(IF(SUMPRODUCT((expected_production[Site Name]=A2714)*(expected_production[Date]=B2714)*ISNUMBER(expected_production[Expected Production (kWh)]))=0,"",SUMIFS(expected_production[Expected Production (kWh)],expected_production[Site Name],A2714,expected_production[Date],B2714)),"")</f>
        <v>28877.4</v>
      </c>
      <c r="E2714" s="9" t="str">
        <f t="shared" si="86"/>
        <v/>
      </c>
      <c r="F2714" t="str">
        <f t="shared" si="87"/>
        <v/>
      </c>
    </row>
    <row r="2715" spans="1:6" hidden="1" x14ac:dyDescent="0.3">
      <c r="A2715" t="s">
        <v>250</v>
      </c>
      <c r="B2715" s="2">
        <v>45689</v>
      </c>
      <c r="C2715" t="str" cm="1">
        <f t="array" ref="C2715">IFERROR(IF(SUMPRODUCT((measured[Site Name]=A2715)*(measured[Date]=B2715)*ISNUMBER(measured[Measured Value (kWh)]))=0,"",SUMIFS(measured[Measured Value (kWh)],measured[Site Name],A2715,measured[Date],B2715)),"")</f>
        <v/>
      </c>
      <c r="D2715" cm="1">
        <f t="array" ref="D2715">IFERROR(IF(SUMPRODUCT((expected_production[Site Name]=A2715)*(expected_production[Date]=B2715)*ISNUMBER(expected_production[Expected Production (kWh)]))=0,"",SUMIFS(expected_production[Expected Production (kWh)],expected_production[Site Name],A2715,expected_production[Date],B2715)),"")</f>
        <v>25884.9</v>
      </c>
      <c r="E2715" s="9" t="str">
        <f t="shared" si="86"/>
        <v/>
      </c>
      <c r="F2715" t="str">
        <f t="shared" si="87"/>
        <v/>
      </c>
    </row>
    <row r="2716" spans="1:6" hidden="1" x14ac:dyDescent="0.3">
      <c r="A2716" t="s">
        <v>250</v>
      </c>
      <c r="B2716" s="2">
        <v>45717</v>
      </c>
      <c r="C2716" t="str" cm="1">
        <f t="array" ref="C2716">IFERROR(IF(SUMPRODUCT((measured[Site Name]=A2716)*(measured[Date]=B2716)*ISNUMBER(measured[Measured Value (kWh)]))=0,"",SUMIFS(measured[Measured Value (kWh)],measured[Site Name],A2716,measured[Date],B2716)),"")</f>
        <v/>
      </c>
      <c r="D2716" cm="1">
        <f t="array" ref="D2716">IFERROR(IF(SUMPRODUCT((expected_production[Site Name]=A2716)*(expected_production[Date]=B2716)*ISNUMBER(expected_production[Expected Production (kWh)]))=0,"",SUMIFS(expected_production[Expected Production (kWh)],expected_production[Site Name],A2716,expected_production[Date],B2716)),"")</f>
        <v>27341.100000000002</v>
      </c>
      <c r="E2716" s="9" t="str">
        <f t="shared" si="86"/>
        <v/>
      </c>
      <c r="F2716" t="str">
        <f t="shared" si="87"/>
        <v/>
      </c>
    </row>
    <row r="2717" spans="1:6" hidden="1" x14ac:dyDescent="0.3">
      <c r="A2717" t="s">
        <v>250</v>
      </c>
      <c r="B2717" s="2">
        <v>45748</v>
      </c>
      <c r="C2717" t="str" cm="1">
        <f t="array" ref="C2717">IFERROR(IF(SUMPRODUCT((measured[Site Name]=A2717)*(measured[Date]=B2717)*ISNUMBER(measured[Measured Value (kWh)]))=0,"",SUMIFS(measured[Measured Value (kWh)],measured[Site Name],A2717,measured[Date],B2717)),"")</f>
        <v/>
      </c>
      <c r="D2717" cm="1">
        <f t="array" ref="D2717">IFERROR(IF(SUMPRODUCT((expected_production[Site Name]=A2717)*(expected_production[Date]=B2717)*ISNUMBER(expected_production[Expected Production (kWh)]))=0,"",SUMIFS(expected_production[Expected Production (kWh)],expected_production[Site Name],A2717,expected_production[Date],B2717)),"")</f>
        <v>27823.5</v>
      </c>
      <c r="E2717" s="9" t="str">
        <f t="shared" si="86"/>
        <v/>
      </c>
      <c r="F2717" t="str">
        <f t="shared" si="87"/>
        <v/>
      </c>
    </row>
    <row r="2718" spans="1:6" hidden="1" x14ac:dyDescent="0.3">
      <c r="A2718" t="s">
        <v>250</v>
      </c>
      <c r="B2718" s="2">
        <v>45778</v>
      </c>
      <c r="C2718" t="str" cm="1">
        <f t="array" ref="C2718">IFERROR(IF(SUMPRODUCT((measured[Site Name]=A2718)*(measured[Date]=B2718)*ISNUMBER(measured[Measured Value (kWh)]))=0,"",SUMIFS(measured[Measured Value (kWh)],measured[Site Name],A2718,measured[Date],B2718)),"")</f>
        <v/>
      </c>
      <c r="D2718" cm="1">
        <f t="array" ref="D2718">IFERROR(IF(SUMPRODUCT((expected_production[Site Name]=A2718)*(expected_production[Date]=B2718)*ISNUMBER(expected_production[Expected Production (kWh)]))=0,"",SUMIFS(expected_production[Expected Production (kWh)],expected_production[Site Name],A2718,expected_production[Date],B2718)),"")</f>
        <v>29920.5</v>
      </c>
      <c r="E2718" s="9" t="str">
        <f t="shared" si="86"/>
        <v/>
      </c>
      <c r="F2718" t="str">
        <f t="shared" si="87"/>
        <v/>
      </c>
    </row>
    <row r="2719" spans="1:6" hidden="1" x14ac:dyDescent="0.3">
      <c r="A2719" t="s">
        <v>250</v>
      </c>
      <c r="B2719" s="2">
        <v>45809</v>
      </c>
      <c r="C2719" t="str" cm="1">
        <f t="array" ref="C2719">IFERROR(IF(SUMPRODUCT((measured[Site Name]=A2719)*(measured[Date]=B2719)*ISNUMBER(measured[Measured Value (kWh)]))=0,"",SUMIFS(measured[Measured Value (kWh)],measured[Site Name],A2719,measured[Date],B2719)),"")</f>
        <v/>
      </c>
      <c r="D2719" cm="1">
        <f t="array" ref="D2719">IFERROR(IF(SUMPRODUCT((expected_production[Site Name]=A2719)*(expected_production[Date]=B2719)*ISNUMBER(expected_production[Expected Production (kWh)]))=0,"",SUMIFS(expected_production[Expected Production (kWh)],expected_production[Site Name],A2719,expected_production[Date],B2719)),"")</f>
        <v>28644.3</v>
      </c>
      <c r="E2719" s="9" t="str">
        <f t="shared" si="86"/>
        <v/>
      </c>
      <c r="F2719" t="str">
        <f t="shared" si="87"/>
        <v/>
      </c>
    </row>
    <row r="2720" spans="1:6" hidden="1" x14ac:dyDescent="0.3">
      <c r="A2720" t="s">
        <v>250</v>
      </c>
      <c r="B2720" s="2">
        <v>45839</v>
      </c>
      <c r="C2720" t="str" cm="1">
        <f t="array" ref="C2720">IFERROR(IF(SUMPRODUCT((measured[Site Name]=A2720)*(measured[Date]=B2720)*ISNUMBER(measured[Measured Value (kWh)]))=0,"",SUMIFS(measured[Measured Value (kWh)],measured[Site Name],A2720,measured[Date],B2720)),"")</f>
        <v/>
      </c>
      <c r="D2720" cm="1">
        <f t="array" ref="D2720">IFERROR(IF(SUMPRODUCT((expected_production[Site Name]=A2720)*(expected_production[Date]=B2720)*ISNUMBER(expected_production[Expected Production (kWh)]))=0,"",SUMIFS(expected_production[Expected Production (kWh)],expected_production[Site Name],A2720,expected_production[Date],B2720)),"")</f>
        <v>28051.200000000001</v>
      </c>
      <c r="E2720" s="9" t="str">
        <f t="shared" si="86"/>
        <v/>
      </c>
      <c r="F2720" t="str">
        <f t="shared" si="87"/>
        <v/>
      </c>
    </row>
    <row r="2721" spans="1:7" hidden="1" x14ac:dyDescent="0.3">
      <c r="A2721" t="s">
        <v>250</v>
      </c>
      <c r="B2721" s="2">
        <v>45870</v>
      </c>
      <c r="C2721" t="str" cm="1">
        <f t="array" ref="C2721">IFERROR(IF(SUMPRODUCT((measured[Site Name]=A2721)*(measured[Date]=B2721)*ISNUMBER(measured[Measured Value (kWh)]))=0,"",SUMIFS(measured[Measured Value (kWh)],measured[Site Name],A2721,measured[Date],B2721)),"")</f>
        <v/>
      </c>
      <c r="D2721" cm="1">
        <f t="array" ref="D2721">IFERROR(IF(SUMPRODUCT((expected_production[Site Name]=A2721)*(expected_production[Date]=B2721)*ISNUMBER(expected_production[Expected Production (kWh)]))=0,"",SUMIFS(expected_production[Expected Production (kWh)],expected_production[Site Name],A2721,expected_production[Date],B2721)),"")</f>
        <v>31649.4</v>
      </c>
      <c r="E2721" s="9" t="str">
        <f t="shared" si="86"/>
        <v/>
      </c>
      <c r="F2721" t="str">
        <f t="shared" si="87"/>
        <v/>
      </c>
    </row>
    <row r="2722" spans="1:7" hidden="1" x14ac:dyDescent="0.3">
      <c r="A2722" t="s">
        <v>250</v>
      </c>
      <c r="B2722" s="2">
        <v>45901</v>
      </c>
      <c r="C2722" t="str" cm="1">
        <f t="array" ref="C2722">IFERROR(IF(SUMPRODUCT((measured[Site Name]=A2722)*(measured[Date]=B2722)*ISNUMBER(measured[Measured Value (kWh)]))=0,"",SUMIFS(measured[Measured Value (kWh)],measured[Site Name],A2722,measured[Date],B2722)),"")</f>
        <v/>
      </c>
      <c r="D2722" cm="1">
        <f t="array" ref="D2722">IFERROR(IF(SUMPRODUCT((expected_production[Site Name]=A2722)*(expected_production[Date]=B2722)*ISNUMBER(expected_production[Expected Production (kWh)]))=0,"",SUMIFS(expected_production[Expected Production (kWh)],expected_production[Site Name],A2722,expected_production[Date],B2722)),"")</f>
        <v>28250.100000000002</v>
      </c>
      <c r="E2722" s="9" t="str">
        <f t="shared" si="86"/>
        <v/>
      </c>
      <c r="F2722" t="str">
        <f t="shared" si="87"/>
        <v/>
      </c>
    </row>
    <row r="2723" spans="1:7" hidden="1" x14ac:dyDescent="0.3">
      <c r="A2723" t="s">
        <v>250</v>
      </c>
      <c r="B2723" s="2">
        <v>45931</v>
      </c>
      <c r="C2723" t="str" cm="1">
        <f t="array" ref="C2723">IFERROR(IF(SUMPRODUCT((measured[Site Name]=A2723)*(measured[Date]=B2723)*ISNUMBER(measured[Measured Value (kWh)]))=0,"",SUMIFS(measured[Measured Value (kWh)],measured[Site Name],A2723,measured[Date],B2723)),"")</f>
        <v/>
      </c>
      <c r="D2723" cm="1">
        <f t="array" ref="D2723">IFERROR(IF(SUMPRODUCT((expected_production[Site Name]=A2723)*(expected_production[Date]=B2723)*ISNUMBER(expected_production[Expected Production (kWh)]))=0,"",SUMIFS(expected_production[Expected Production (kWh)],expected_production[Site Name],A2723,expected_production[Date],B2723)),"")</f>
        <v>28466.100000000002</v>
      </c>
      <c r="E2723" s="9" t="str">
        <f t="shared" si="86"/>
        <v/>
      </c>
      <c r="F2723" t="str">
        <f t="shared" si="87"/>
        <v/>
      </c>
    </row>
    <row r="2724" spans="1:7" hidden="1" x14ac:dyDescent="0.3">
      <c r="A2724" t="s">
        <v>250</v>
      </c>
      <c r="B2724" s="2">
        <v>45962</v>
      </c>
      <c r="C2724" t="str" cm="1">
        <f t="array" ref="C2724">IFERROR(IF(SUMPRODUCT((measured[Site Name]=A2724)*(measured[Date]=B2724)*ISNUMBER(measured[Measured Value (kWh)]))=0,"",SUMIFS(measured[Measured Value (kWh)],measured[Site Name],A2724,measured[Date],B2724)),"")</f>
        <v/>
      </c>
      <c r="D2724" cm="1">
        <f t="array" ref="D2724">IFERROR(IF(SUMPRODUCT((expected_production[Site Name]=A2724)*(expected_production[Date]=B2724)*ISNUMBER(expected_production[Expected Production (kWh)]))=0,"",SUMIFS(expected_production[Expected Production (kWh)],expected_production[Site Name],A2724,expected_production[Date],B2724)),"")</f>
        <v>28991.7</v>
      </c>
      <c r="E2724" s="9" t="str">
        <f t="shared" si="86"/>
        <v/>
      </c>
      <c r="F2724" t="str">
        <f t="shared" si="87"/>
        <v/>
      </c>
    </row>
    <row r="2725" spans="1:7" hidden="1" x14ac:dyDescent="0.3">
      <c r="A2725" t="s">
        <v>250</v>
      </c>
      <c r="B2725" s="2">
        <v>45992</v>
      </c>
      <c r="C2725" t="str" cm="1">
        <f t="array" ref="C2725">IFERROR(IF(SUMPRODUCT((measured[Site Name]=A2725)*(measured[Date]=B2725)*ISNUMBER(measured[Measured Value (kWh)]))=0,"",SUMIFS(measured[Measured Value (kWh)],measured[Site Name],A2725,measured[Date],B2725)),"")</f>
        <v/>
      </c>
      <c r="D2725" cm="1">
        <f t="array" ref="D2725">IFERROR(IF(SUMPRODUCT((expected_production[Site Name]=A2725)*(expected_production[Date]=B2725)*ISNUMBER(expected_production[Expected Production (kWh)]))=0,"",SUMIFS(expected_production[Expected Production (kWh)],expected_production[Site Name],A2725,expected_production[Date],B2725)),"")</f>
        <v>28903.5</v>
      </c>
      <c r="E2725" s="9" t="str">
        <f t="shared" si="86"/>
        <v/>
      </c>
      <c r="F2725" t="str">
        <f t="shared" si="87"/>
        <v/>
      </c>
    </row>
    <row r="2726" spans="1:7" hidden="1" x14ac:dyDescent="0.3">
      <c r="A2726" t="s">
        <v>250</v>
      </c>
      <c r="B2726" s="2">
        <v>46023</v>
      </c>
      <c r="C2726" t="str" cm="1">
        <f t="array" ref="C2726">IFERROR(IF(SUMPRODUCT((measured[Site Name]=A2726)*(measured[Date]=B2726)*ISNUMBER(measured[Measured Value (kWh)]))=0,"",SUMIFS(measured[Measured Value (kWh)],measured[Site Name],A2726,measured[Date],B2726)),"")</f>
        <v/>
      </c>
      <c r="D2726" cm="1">
        <f t="array" ref="D2726">IFERROR(IF(SUMPRODUCT((expected_production[Site Name]=A2726)*(expected_production[Date]=B2726)*ISNUMBER(expected_production[Expected Production (kWh)]))=0,"",SUMIFS(expected_production[Expected Production (kWh)],expected_production[Site Name],A2726,expected_production[Date],B2726)),"")</f>
        <v>28877.4</v>
      </c>
      <c r="E2726" s="9" t="str">
        <f t="shared" si="86"/>
        <v/>
      </c>
      <c r="F2726" t="str">
        <f t="shared" si="87"/>
        <v/>
      </c>
    </row>
    <row r="2727" spans="1:7" hidden="1" x14ac:dyDescent="0.3">
      <c r="A2727" t="s">
        <v>250</v>
      </c>
      <c r="B2727" s="2">
        <v>46054</v>
      </c>
      <c r="C2727" t="str" cm="1">
        <f t="array" ref="C2727">IFERROR(IF(SUMPRODUCT((measured[Site Name]=A2727)*(measured[Date]=B2727)*ISNUMBER(measured[Measured Value (kWh)]))=0,"",SUMIFS(measured[Measured Value (kWh)],measured[Site Name],A2727,measured[Date],B2727)),"")</f>
        <v/>
      </c>
      <c r="D2727" cm="1">
        <f t="array" ref="D2727">IFERROR(IF(SUMPRODUCT((expected_production[Site Name]=A2727)*(expected_production[Date]=B2727)*ISNUMBER(expected_production[Expected Production (kWh)]))=0,"",SUMIFS(expected_production[Expected Production (kWh)],expected_production[Site Name],A2727,expected_production[Date],B2727)),"")</f>
        <v>25884.9</v>
      </c>
      <c r="E2727" s="9" t="str">
        <f t="shared" si="86"/>
        <v/>
      </c>
      <c r="F2727" t="str">
        <f t="shared" si="87"/>
        <v/>
      </c>
    </row>
    <row r="2728" spans="1:7" hidden="1" x14ac:dyDescent="0.3">
      <c r="A2728" t="s">
        <v>250</v>
      </c>
      <c r="B2728" s="2">
        <v>46082</v>
      </c>
      <c r="C2728" t="str" cm="1">
        <f t="array" ref="C2728">IFERROR(IF(SUMPRODUCT((measured[Site Name]=A2728)*(measured[Date]=B2728)*ISNUMBER(measured[Measured Value (kWh)]))=0,"",SUMIFS(measured[Measured Value (kWh)],measured[Site Name],A2728,measured[Date],B2728)),"")</f>
        <v/>
      </c>
      <c r="D2728" cm="1">
        <f t="array" ref="D2728">IFERROR(IF(SUMPRODUCT((expected_production[Site Name]=A2728)*(expected_production[Date]=B2728)*ISNUMBER(expected_production[Expected Production (kWh)]))=0,"",SUMIFS(expected_production[Expected Production (kWh)],expected_production[Site Name],A2728,expected_production[Date],B2728)),"")</f>
        <v>27341.100000000002</v>
      </c>
      <c r="E2728" s="9" t="str">
        <f t="shared" si="86"/>
        <v/>
      </c>
      <c r="F2728" t="str">
        <f t="shared" si="87"/>
        <v/>
      </c>
    </row>
    <row r="2729" spans="1:7" hidden="1" x14ac:dyDescent="0.3">
      <c r="A2729" t="s">
        <v>250</v>
      </c>
      <c r="B2729" s="2">
        <v>46113</v>
      </c>
      <c r="C2729" t="str" cm="1">
        <f t="array" ref="C2729">IFERROR(IF(SUMPRODUCT((measured[Site Name]=A2729)*(measured[Date]=B2729)*ISNUMBER(measured[Measured Value (kWh)]))=0,"",SUMIFS(measured[Measured Value (kWh)],measured[Site Name],A2729,measured[Date],B2729)),"")</f>
        <v/>
      </c>
      <c r="D2729" cm="1">
        <f t="array" ref="D2729">IFERROR(IF(SUMPRODUCT((expected_production[Site Name]=A2729)*(expected_production[Date]=B2729)*ISNUMBER(expected_production[Expected Production (kWh)]))=0,"",SUMIFS(expected_production[Expected Production (kWh)],expected_production[Site Name],A2729,expected_production[Date],B2729)),"")</f>
        <v>27823.5</v>
      </c>
      <c r="E2729" s="9" t="str">
        <f t="shared" si="86"/>
        <v/>
      </c>
      <c r="F2729" t="str">
        <f t="shared" si="87"/>
        <v/>
      </c>
    </row>
    <row r="2730" spans="1:7" hidden="1" x14ac:dyDescent="0.3">
      <c r="A2730" t="s">
        <v>250</v>
      </c>
      <c r="B2730" s="2">
        <v>46143</v>
      </c>
      <c r="C2730" cm="1">
        <f t="array" ref="C2730">IFERROR(IF(SUMPRODUCT((measured[Site Name]=A2730)*(measured[Date]=B2730)*ISNUMBER(measured[Measured Value (kWh)]))=0,"",SUMIFS(measured[Measured Value (kWh)],measured[Site Name],A2730,measured[Date],B2730)),"")</f>
        <v>27917.200000000001</v>
      </c>
      <c r="D2730" cm="1">
        <f t="array" ref="D2730">IFERROR(IF(SUMPRODUCT((expected_production[Site Name]=A2730)*(expected_production[Date]=B2730)*ISNUMBER(expected_production[Expected Production (kWh)]))=0,"",SUMIFS(expected_production[Expected Production (kWh)],expected_production[Site Name],A2730,expected_production[Date],B2730)),"")</f>
        <v>29918.773725437732</v>
      </c>
      <c r="E2730" s="9">
        <f t="shared" si="86"/>
        <v>0.93309974052392597</v>
      </c>
      <c r="F2730" t="str">
        <f t="shared" si="87"/>
        <v>Expected</v>
      </c>
    </row>
    <row r="2731" spans="1:7" hidden="1" x14ac:dyDescent="0.3">
      <c r="A2731" t="s">
        <v>250</v>
      </c>
      <c r="B2731" s="2">
        <v>46174</v>
      </c>
      <c r="C2731" cm="1">
        <f t="array" ref="C2731">IFERROR(IF(SUMPRODUCT((measured[Site Name]=A2731)*(measured[Date]=B2731)*ISNUMBER(measured[Measured Value (kWh)]))=0,"",SUMIFS(measured[Measured Value (kWh)],measured[Site Name],A2731,measured[Date],B2731)),"")</f>
        <v>25295</v>
      </c>
      <c r="D2731" cm="1">
        <f t="array" ref="D2731">IFERROR(IF(SUMPRODUCT((expected_production[Site Name]=A2731)*(expected_production[Date]=B2731)*ISNUMBER(expected_production[Expected Production (kWh)]))=0,"",SUMIFS(expected_production[Expected Production (kWh)],expected_production[Site Name],A2731,expected_production[Date],B2731)),"")</f>
        <v>28625.575620097101</v>
      </c>
      <c r="E2731" s="9">
        <f t="shared" si="86"/>
        <v>0.88365035294665617</v>
      </c>
      <c r="F2731" t="str">
        <f t="shared" si="87"/>
        <v>Moderate</v>
      </c>
    </row>
    <row r="2732" spans="1:7" hidden="1" x14ac:dyDescent="0.3">
      <c r="A2732" t="s">
        <v>202</v>
      </c>
      <c r="B2732" s="2">
        <v>46204</v>
      </c>
      <c r="C2732" cm="1">
        <f t="array" ref="C2732">IFERROR(IF(SUMPRODUCT((measured[Site Name]=A2732)*(measured[Date]=B2732)*ISNUMBER(measured[Measured Value (kWh)]))=0,"",SUMIFS(measured[Measured Value (kWh)],measured[Site Name],A2732,measured[Date],B2732)),"")</f>
        <v>14705</v>
      </c>
      <c r="D2732" cm="1">
        <f t="array" ref="D2732">IFERROR(IF(SUMPRODUCT((expected_production[Site Name]=A2732)*(expected_production[Date]=B2732)*ISNUMBER(expected_production[Expected Production (kWh)]))=0,"",SUMIFS(expected_production[Expected Production (kWh)],expected_production[Site Name],A2732,expected_production[Date],B2732)),"")</f>
        <v>18488.351481788224</v>
      </c>
      <c r="E2732" s="9">
        <f t="shared" si="86"/>
        <v>0.79536566656497321</v>
      </c>
      <c r="F2732" t="str">
        <f t="shared" si="87"/>
        <v>Moderate</v>
      </c>
      <c r="G2732" t="s">
        <v>874</v>
      </c>
    </row>
    <row r="2733" spans="1:7" hidden="1" x14ac:dyDescent="0.3">
      <c r="A2733" t="s">
        <v>250</v>
      </c>
      <c r="B2733" s="2">
        <v>46235</v>
      </c>
      <c r="C2733" cm="1">
        <f t="array" ref="C2733">IFERROR(IF(SUMPRODUCT((measured[Site Name]=A2733)*(measured[Date]=B2733)*ISNUMBER(measured[Measured Value (kWh)]))=0,"",SUMIFS(measured[Measured Value (kWh)],measured[Site Name],A2733,measured[Date],B2733)),"")</f>
        <v>29161</v>
      </c>
      <c r="D2733" cm="1">
        <f t="array" ref="D2733">IFERROR(IF(SUMPRODUCT((expected_production[Site Name]=A2733)*(expected_production[Date]=B2733)*ISNUMBER(expected_production[Expected Production (kWh)]))=0,"",SUMIFS(expected_production[Expected Production (kWh)],expected_production[Site Name],A2733,expected_production[Date],B2733)),"")</f>
        <v>31591.627029084106</v>
      </c>
      <c r="E2733" s="9">
        <f t="shared" si="86"/>
        <v>0.92306103681059526</v>
      </c>
      <c r="F2733" t="str">
        <f t="shared" si="87"/>
        <v>Expected</v>
      </c>
      <c r="G2733" t="s">
        <v>874</v>
      </c>
    </row>
    <row r="2734" spans="1:7" x14ac:dyDescent="0.3">
      <c r="A2734" t="s">
        <v>222</v>
      </c>
      <c r="B2734" s="2">
        <v>46266</v>
      </c>
      <c r="C2734" cm="1">
        <f t="array" ref="C2734">IFERROR(IF(SUMPRODUCT((measured[Site Name]=A2734)*(measured[Date]=B2734)*ISNUMBER(measured[Measured Value (kWh)]))=0,"",SUMIFS(measured[Measured Value (kWh)],measured[Site Name],A2734,measured[Date],B2734)),"")</f>
        <v>9418.8441600000006</v>
      </c>
      <c r="D2734" cm="1">
        <f t="array" ref="D2734">IFERROR(IF(SUMPRODUCT((expected_production[Site Name]=A2734)*(expected_production[Date]=B2734)*ISNUMBER(expected_production[Expected Production (kWh)]))=0,"",SUMIFS(expected_production[Expected Production (kWh)],expected_production[Site Name],A2734,expected_production[Date],B2734)),"")</f>
        <v>10685.385624323986</v>
      </c>
      <c r="E2734" s="9">
        <f t="shared" si="86"/>
        <v>0.88146974673138068</v>
      </c>
      <c r="F2734" t="str">
        <f t="shared" si="87"/>
        <v>Moderate</v>
      </c>
      <c r="G2734" t="s">
        <v>874</v>
      </c>
    </row>
    <row r="2735" spans="1:7" hidden="1" x14ac:dyDescent="0.3">
      <c r="A2735" t="s">
        <v>250</v>
      </c>
      <c r="B2735" s="2">
        <v>46296</v>
      </c>
      <c r="C2735" t="str" cm="1">
        <f t="array" ref="C2735">IFERROR(IF(SUMPRODUCT((measured[Site Name]=A2735)*(measured[Date]=B2735)*ISNUMBER(measured[Measured Value (kWh)]))=0,"",SUMIFS(measured[Measured Value (kWh)],measured[Site Name],A2735,measured[Date],B2735)),"")</f>
        <v/>
      </c>
      <c r="D2735" cm="1">
        <f t="array" ref="D2735">IFERROR(IF(SUMPRODUCT((expected_production[Site Name]=A2735)*(expected_production[Date]=B2735)*ISNUMBER(expected_production[Expected Production (kWh)]))=0,"",SUMIFS(expected_production[Expected Production (kWh)],expected_production[Site Name],A2735,expected_production[Date],B2735)),"")</f>
        <v>28380.822681652753</v>
      </c>
      <c r="E2735" s="9" t="str">
        <f t="shared" si="86"/>
        <v/>
      </c>
      <c r="F2735" t="str">
        <f t="shared" si="87"/>
        <v/>
      </c>
    </row>
    <row r="2736" spans="1:7" hidden="1" x14ac:dyDescent="0.3">
      <c r="A2736" t="s">
        <v>250</v>
      </c>
      <c r="B2736" s="2">
        <v>46327</v>
      </c>
      <c r="C2736" t="str" cm="1">
        <f t="array" ref="C2736">IFERROR(IF(SUMPRODUCT((measured[Site Name]=A2736)*(measured[Date]=B2736)*ISNUMBER(measured[Measured Value (kWh)]))=0,"",SUMIFS(measured[Measured Value (kWh)],measured[Site Name],A2736,measured[Date],B2736)),"")</f>
        <v/>
      </c>
      <c r="D2736" cm="1">
        <f t="array" ref="D2736">IFERROR(IF(SUMPRODUCT((expected_production[Site Name]=A2736)*(expected_production[Date]=B2736)*ISNUMBER(expected_production[Expected Production (kWh)]))=0,"",SUMIFS(expected_production[Expected Production (kWh)],expected_production[Site Name],A2736,expected_production[Date],B2736)),"")</f>
        <v>28887.620101055476</v>
      </c>
      <c r="E2736" s="9" t="str">
        <f t="shared" si="86"/>
        <v/>
      </c>
      <c r="F2736" t="str">
        <f t="shared" si="87"/>
        <v/>
      </c>
    </row>
    <row r="2737" spans="1:6" hidden="1" x14ac:dyDescent="0.3">
      <c r="A2737" t="s">
        <v>250</v>
      </c>
      <c r="B2737" s="2">
        <v>46357</v>
      </c>
      <c r="C2737" t="str" cm="1">
        <f t="array" ref="C2737">IFERROR(IF(SUMPRODUCT((measured[Site Name]=A2737)*(measured[Date]=B2737)*ISNUMBER(measured[Measured Value (kWh)]))=0,"",SUMIFS(measured[Measured Value (kWh)],measured[Site Name],A2737,measured[Date],B2737)),"")</f>
        <v/>
      </c>
      <c r="D2737" cm="1">
        <f t="array" ref="D2737">IFERROR(IF(SUMPRODUCT((expected_production[Site Name]=A2737)*(expected_production[Date]=B2737)*ISNUMBER(expected_production[Expected Production (kWh)]))=0,"",SUMIFS(expected_production[Expected Production (kWh)],expected_production[Site Name],A2737,expected_production[Date],B2737)),"")</f>
        <v>28783.124934475545</v>
      </c>
      <c r="E2737" s="9" t="str">
        <f t="shared" si="86"/>
        <v/>
      </c>
      <c r="F2737" t="str">
        <f t="shared" si="87"/>
        <v/>
      </c>
    </row>
    <row r="2738" spans="1:6" hidden="1" x14ac:dyDescent="0.3">
      <c r="A2738" t="s">
        <v>271</v>
      </c>
      <c r="B2738" s="2">
        <v>45292</v>
      </c>
      <c r="C2738" t="str" cm="1">
        <f t="array" ref="C2738">IFERROR(IF(SUMPRODUCT((measured[Site Name]=A2738)*(measured[Date]=B2738)*ISNUMBER(measured[Measured Value (kWh)]))=0,"",SUMIFS(measured[Measured Value (kWh)],measured[Site Name],A2738,measured[Date],B2738)),"")</f>
        <v/>
      </c>
      <c r="D2738" cm="1">
        <f t="array" ref="D2738">IFERROR(IF(SUMPRODUCT((expected_production[Site Name]=A2738)*(expected_production[Date]=B2738)*ISNUMBER(expected_production[Expected Production (kWh)]))=0,"",SUMIFS(expected_production[Expected Production (kWh)],expected_production[Site Name],A2738,expected_production[Date],B2738)),"")</f>
        <v>17370.900000000001</v>
      </c>
      <c r="E2738" s="9" t="str">
        <f t="shared" si="86"/>
        <v/>
      </c>
      <c r="F2738" t="str">
        <f t="shared" si="87"/>
        <v/>
      </c>
    </row>
    <row r="2739" spans="1:6" hidden="1" x14ac:dyDescent="0.3">
      <c r="A2739" t="s">
        <v>271</v>
      </c>
      <c r="B2739" s="2">
        <v>45323</v>
      </c>
      <c r="C2739" t="str" cm="1">
        <f t="array" ref="C2739">IFERROR(IF(SUMPRODUCT((measured[Site Name]=A2739)*(measured[Date]=B2739)*ISNUMBER(measured[Measured Value (kWh)]))=0,"",SUMIFS(measured[Measured Value (kWh)],measured[Site Name],A2739,measured[Date],B2739)),"")</f>
        <v/>
      </c>
      <c r="D2739" cm="1">
        <f t="array" ref="D2739">IFERROR(IF(SUMPRODUCT((expected_production[Site Name]=A2739)*(expected_production[Date]=B2739)*ISNUMBER(expected_production[Expected Production (kWh)]))=0,"",SUMIFS(expected_production[Expected Production (kWh)],expected_production[Site Name],A2739,expected_production[Date],B2739)),"")</f>
        <v>15077.7</v>
      </c>
      <c r="E2739" s="9" t="str">
        <f t="shared" si="86"/>
        <v/>
      </c>
      <c r="F2739" t="str">
        <f t="shared" si="87"/>
        <v/>
      </c>
    </row>
    <row r="2740" spans="1:6" hidden="1" x14ac:dyDescent="0.3">
      <c r="A2740" t="s">
        <v>271</v>
      </c>
      <c r="B2740" s="2">
        <v>45352</v>
      </c>
      <c r="C2740" t="str" cm="1">
        <f t="array" ref="C2740">IFERROR(IF(SUMPRODUCT((measured[Site Name]=A2740)*(measured[Date]=B2740)*ISNUMBER(measured[Measured Value (kWh)]))=0,"",SUMIFS(measured[Measured Value (kWh)],measured[Site Name],A2740,measured[Date],B2740)),"")</f>
        <v/>
      </c>
      <c r="D2740" cm="1">
        <f t="array" ref="D2740">IFERROR(IF(SUMPRODUCT((expected_production[Site Name]=A2740)*(expected_production[Date]=B2740)*ISNUMBER(expected_production[Expected Production (kWh)]))=0,"",SUMIFS(expected_production[Expected Production (kWh)],expected_production[Site Name],A2740,expected_production[Date],B2740)),"")</f>
        <v>14634</v>
      </c>
      <c r="E2740" s="9" t="str">
        <f t="shared" si="86"/>
        <v/>
      </c>
      <c r="F2740" t="str">
        <f t="shared" si="87"/>
        <v/>
      </c>
    </row>
    <row r="2741" spans="1:6" hidden="1" x14ac:dyDescent="0.3">
      <c r="A2741" t="s">
        <v>271</v>
      </c>
      <c r="B2741" s="2">
        <v>45383</v>
      </c>
      <c r="C2741" t="str" cm="1">
        <f t="array" ref="C2741">IFERROR(IF(SUMPRODUCT((measured[Site Name]=A2741)*(measured[Date]=B2741)*ISNUMBER(measured[Measured Value (kWh)]))=0,"",SUMIFS(measured[Measured Value (kWh)],measured[Site Name],A2741,measured[Date],B2741)),"")</f>
        <v/>
      </c>
      <c r="D2741" cm="1">
        <f t="array" ref="D2741">IFERROR(IF(SUMPRODUCT((expected_production[Site Name]=A2741)*(expected_production[Date]=B2741)*ISNUMBER(expected_production[Expected Production (kWh)]))=0,"",SUMIFS(expected_production[Expected Production (kWh)],expected_production[Site Name],A2741,expected_production[Date],B2741)),"")</f>
        <v>12420</v>
      </c>
      <c r="E2741" s="9" t="str">
        <f t="shared" si="86"/>
        <v/>
      </c>
      <c r="F2741" t="str">
        <f t="shared" si="87"/>
        <v/>
      </c>
    </row>
    <row r="2742" spans="1:6" hidden="1" x14ac:dyDescent="0.3">
      <c r="A2742" t="s">
        <v>271</v>
      </c>
      <c r="B2742" s="2">
        <v>45413</v>
      </c>
      <c r="C2742" t="str" cm="1">
        <f t="array" ref="C2742">IFERROR(IF(SUMPRODUCT((measured[Site Name]=A2742)*(measured[Date]=B2742)*ISNUMBER(measured[Measured Value (kWh)]))=0,"",SUMIFS(measured[Measured Value (kWh)],measured[Site Name],A2742,measured[Date],B2742)),"")</f>
        <v/>
      </c>
      <c r="D2742" cm="1">
        <f t="array" ref="D2742">IFERROR(IF(SUMPRODUCT((expected_production[Site Name]=A2742)*(expected_production[Date]=B2742)*ISNUMBER(expected_production[Expected Production (kWh)]))=0,"",SUMIFS(expected_production[Expected Production (kWh)],expected_production[Site Name],A2742,expected_production[Date],B2742)),"")</f>
        <v>11402.1</v>
      </c>
      <c r="E2742" s="9" t="str">
        <f t="shared" si="86"/>
        <v/>
      </c>
      <c r="F2742" t="str">
        <f t="shared" si="87"/>
        <v/>
      </c>
    </row>
    <row r="2743" spans="1:6" hidden="1" x14ac:dyDescent="0.3">
      <c r="A2743" t="s">
        <v>271</v>
      </c>
      <c r="B2743" s="2">
        <v>45444</v>
      </c>
      <c r="C2743" t="str" cm="1">
        <f t="array" ref="C2743">IFERROR(IF(SUMPRODUCT((measured[Site Name]=A2743)*(measured[Date]=B2743)*ISNUMBER(measured[Measured Value (kWh)]))=0,"",SUMIFS(measured[Measured Value (kWh)],measured[Site Name],A2743,measured[Date],B2743)),"")</f>
        <v/>
      </c>
      <c r="D2743" cm="1">
        <f t="array" ref="D2743">IFERROR(IF(SUMPRODUCT((expected_production[Site Name]=A2743)*(expected_production[Date]=B2743)*ISNUMBER(expected_production[Expected Production (kWh)]))=0,"",SUMIFS(expected_production[Expected Production (kWh)],expected_production[Site Name],A2743,expected_production[Date],B2743)),"")</f>
        <v>9989.1</v>
      </c>
      <c r="E2743" s="9" t="str">
        <f t="shared" si="86"/>
        <v/>
      </c>
      <c r="F2743" t="str">
        <f t="shared" si="87"/>
        <v/>
      </c>
    </row>
    <row r="2744" spans="1:6" hidden="1" x14ac:dyDescent="0.3">
      <c r="A2744" t="s">
        <v>271</v>
      </c>
      <c r="B2744" s="2">
        <v>45474</v>
      </c>
      <c r="C2744" t="str" cm="1">
        <f t="array" ref="C2744">IFERROR(IF(SUMPRODUCT((measured[Site Name]=A2744)*(measured[Date]=B2744)*ISNUMBER(measured[Measured Value (kWh)]))=0,"",SUMIFS(measured[Measured Value (kWh)],measured[Site Name],A2744,measured[Date],B2744)),"")</f>
        <v/>
      </c>
      <c r="D2744" cm="1">
        <f t="array" ref="D2744">IFERROR(IF(SUMPRODUCT((expected_production[Site Name]=A2744)*(expected_production[Date]=B2744)*ISNUMBER(expected_production[Expected Production (kWh)]))=0,"",SUMIFS(expected_production[Expected Production (kWh)],expected_production[Site Name],A2744,expected_production[Date],B2744)),"")</f>
        <v>10986.300000000001</v>
      </c>
      <c r="E2744" s="9" t="str">
        <f t="shared" si="86"/>
        <v/>
      </c>
      <c r="F2744" t="str">
        <f t="shared" si="87"/>
        <v/>
      </c>
    </row>
    <row r="2745" spans="1:6" hidden="1" x14ac:dyDescent="0.3">
      <c r="A2745" t="s">
        <v>271</v>
      </c>
      <c r="B2745" s="2">
        <v>45505</v>
      </c>
      <c r="C2745" t="str" cm="1">
        <f t="array" ref="C2745">IFERROR(IF(SUMPRODUCT((measured[Site Name]=A2745)*(measured[Date]=B2745)*ISNUMBER(measured[Measured Value (kWh)]))=0,"",SUMIFS(measured[Measured Value (kWh)],measured[Site Name],A2745,measured[Date],B2745)),"")</f>
        <v/>
      </c>
      <c r="D2745" cm="1">
        <f t="array" ref="D2745">IFERROR(IF(SUMPRODUCT((expected_production[Site Name]=A2745)*(expected_production[Date]=B2745)*ISNUMBER(expected_production[Expected Production (kWh)]))=0,"",SUMIFS(expected_production[Expected Production (kWh)],expected_production[Site Name],A2745,expected_production[Date],B2745)),"")</f>
        <v>13108.77</v>
      </c>
      <c r="E2745" s="9" t="str">
        <f t="shared" si="86"/>
        <v/>
      </c>
      <c r="F2745" t="str">
        <f t="shared" si="87"/>
        <v/>
      </c>
    </row>
    <row r="2746" spans="1:6" hidden="1" x14ac:dyDescent="0.3">
      <c r="A2746" t="s">
        <v>271</v>
      </c>
      <c r="B2746" s="2">
        <v>45536</v>
      </c>
      <c r="C2746" t="str" cm="1">
        <f t="array" ref="C2746">IFERROR(IF(SUMPRODUCT((measured[Site Name]=A2746)*(measured[Date]=B2746)*ISNUMBER(measured[Measured Value (kWh)]))=0,"",SUMIFS(measured[Measured Value (kWh)],measured[Site Name],A2746,measured[Date],B2746)),"")</f>
        <v/>
      </c>
      <c r="D2746" cm="1">
        <f t="array" ref="D2746">IFERROR(IF(SUMPRODUCT((expected_production[Site Name]=A2746)*(expected_production[Date]=B2746)*ISNUMBER(expected_production[Expected Production (kWh)]))=0,"",SUMIFS(expected_production[Expected Production (kWh)],expected_production[Site Name],A2746,expected_production[Date],B2746)),"")</f>
        <v>14833.17</v>
      </c>
      <c r="E2746" s="9" t="str">
        <f t="shared" si="86"/>
        <v/>
      </c>
      <c r="F2746" t="str">
        <f t="shared" si="87"/>
        <v/>
      </c>
    </row>
    <row r="2747" spans="1:6" hidden="1" x14ac:dyDescent="0.3">
      <c r="A2747" t="s">
        <v>271</v>
      </c>
      <c r="B2747" s="2">
        <v>45566</v>
      </c>
      <c r="C2747" t="str" cm="1">
        <f t="array" ref="C2747">IFERROR(IF(SUMPRODUCT((measured[Site Name]=A2747)*(measured[Date]=B2747)*ISNUMBER(measured[Measured Value (kWh)]))=0,"",SUMIFS(measured[Measured Value (kWh)],measured[Site Name],A2747,measured[Date],B2747)),"")</f>
        <v/>
      </c>
      <c r="D2747" cm="1">
        <f t="array" ref="D2747">IFERROR(IF(SUMPRODUCT((expected_production[Site Name]=A2747)*(expected_production[Date]=B2747)*ISNUMBER(expected_production[Expected Production (kWh)]))=0,"",SUMIFS(expected_production[Expected Production (kWh)],expected_production[Site Name],A2747,expected_production[Date],B2747)),"")</f>
        <v>17053.2</v>
      </c>
      <c r="E2747" s="9" t="str">
        <f t="shared" si="86"/>
        <v/>
      </c>
      <c r="F2747" t="str">
        <f t="shared" si="87"/>
        <v/>
      </c>
    </row>
    <row r="2748" spans="1:6" hidden="1" x14ac:dyDescent="0.3">
      <c r="A2748" t="s">
        <v>271</v>
      </c>
      <c r="B2748" s="2">
        <v>45597</v>
      </c>
      <c r="C2748" t="str" cm="1">
        <f t="array" ref="C2748">IFERROR(IF(SUMPRODUCT((measured[Site Name]=A2748)*(measured[Date]=B2748)*ISNUMBER(measured[Measured Value (kWh)]))=0,"",SUMIFS(measured[Measured Value (kWh)],measured[Site Name],A2748,measured[Date],B2748)),"")</f>
        <v/>
      </c>
      <c r="D2748" cm="1">
        <f t="array" ref="D2748">IFERROR(IF(SUMPRODUCT((expected_production[Site Name]=A2748)*(expected_production[Date]=B2748)*ISNUMBER(expected_production[Expected Production (kWh)]))=0,"",SUMIFS(expected_production[Expected Production (kWh)],expected_production[Site Name],A2748,expected_production[Date],B2748)),"")</f>
        <v>17239.5</v>
      </c>
      <c r="E2748" s="9" t="str">
        <f t="shared" si="86"/>
        <v/>
      </c>
      <c r="F2748" t="str">
        <f t="shared" si="87"/>
        <v/>
      </c>
    </row>
    <row r="2749" spans="1:6" hidden="1" x14ac:dyDescent="0.3">
      <c r="A2749" t="s">
        <v>271</v>
      </c>
      <c r="B2749" s="2">
        <v>45627</v>
      </c>
      <c r="C2749" t="str" cm="1">
        <f t="array" ref="C2749">IFERROR(IF(SUMPRODUCT((measured[Site Name]=A2749)*(measured[Date]=B2749)*ISNUMBER(measured[Measured Value (kWh)]))=0,"",SUMIFS(measured[Measured Value (kWh)],measured[Site Name],A2749,measured[Date],B2749)),"")</f>
        <v/>
      </c>
      <c r="D2749" cm="1">
        <f t="array" ref="D2749">IFERROR(IF(SUMPRODUCT((expected_production[Site Name]=A2749)*(expected_production[Date]=B2749)*ISNUMBER(expected_production[Expected Production (kWh)]))=0,"",SUMIFS(expected_production[Expected Production (kWh)],expected_production[Site Name],A2749,expected_production[Date],B2749)),"")</f>
        <v>17465.400000000001</v>
      </c>
      <c r="E2749" s="9" t="str">
        <f t="shared" si="86"/>
        <v/>
      </c>
      <c r="F2749" t="str">
        <f t="shared" si="87"/>
        <v/>
      </c>
    </row>
    <row r="2750" spans="1:6" hidden="1" x14ac:dyDescent="0.3">
      <c r="A2750" t="s">
        <v>271</v>
      </c>
      <c r="B2750" s="2">
        <v>45658</v>
      </c>
      <c r="C2750" t="str" cm="1">
        <f t="array" ref="C2750">IFERROR(IF(SUMPRODUCT((measured[Site Name]=A2750)*(measured[Date]=B2750)*ISNUMBER(measured[Measured Value (kWh)]))=0,"",SUMIFS(measured[Measured Value (kWh)],measured[Site Name],A2750,measured[Date],B2750)),"")</f>
        <v/>
      </c>
      <c r="D2750" cm="1">
        <f t="array" ref="D2750">IFERROR(IF(SUMPRODUCT((expected_production[Site Name]=A2750)*(expected_production[Date]=B2750)*ISNUMBER(expected_production[Expected Production (kWh)]))=0,"",SUMIFS(expected_production[Expected Production (kWh)],expected_production[Site Name],A2750,expected_production[Date],B2750)),"")</f>
        <v>17370.900000000001</v>
      </c>
      <c r="E2750" s="9" t="str">
        <f t="shared" si="86"/>
        <v/>
      </c>
      <c r="F2750" t="str">
        <f t="shared" si="87"/>
        <v/>
      </c>
    </row>
    <row r="2751" spans="1:6" hidden="1" x14ac:dyDescent="0.3">
      <c r="A2751" t="s">
        <v>271</v>
      </c>
      <c r="B2751" s="2">
        <v>45689</v>
      </c>
      <c r="C2751" t="str" cm="1">
        <f t="array" ref="C2751">IFERROR(IF(SUMPRODUCT((measured[Site Name]=A2751)*(measured[Date]=B2751)*ISNUMBER(measured[Measured Value (kWh)]))=0,"",SUMIFS(measured[Measured Value (kWh)],measured[Site Name],A2751,measured[Date],B2751)),"")</f>
        <v/>
      </c>
      <c r="D2751" cm="1">
        <f t="array" ref="D2751">IFERROR(IF(SUMPRODUCT((expected_production[Site Name]=A2751)*(expected_production[Date]=B2751)*ISNUMBER(expected_production[Expected Production (kWh)]))=0,"",SUMIFS(expected_production[Expected Production (kWh)],expected_production[Site Name],A2751,expected_production[Date],B2751)),"")</f>
        <v>15077.7</v>
      </c>
      <c r="E2751" s="9" t="str">
        <f t="shared" si="86"/>
        <v/>
      </c>
      <c r="F2751" t="str">
        <f t="shared" si="87"/>
        <v/>
      </c>
    </row>
    <row r="2752" spans="1:6" hidden="1" x14ac:dyDescent="0.3">
      <c r="A2752" t="s">
        <v>271</v>
      </c>
      <c r="B2752" s="2">
        <v>45717</v>
      </c>
      <c r="C2752" t="str" cm="1">
        <f t="array" ref="C2752">IFERROR(IF(SUMPRODUCT((measured[Site Name]=A2752)*(measured[Date]=B2752)*ISNUMBER(measured[Measured Value (kWh)]))=0,"",SUMIFS(measured[Measured Value (kWh)],measured[Site Name],A2752,measured[Date],B2752)),"")</f>
        <v/>
      </c>
      <c r="D2752" cm="1">
        <f t="array" ref="D2752">IFERROR(IF(SUMPRODUCT((expected_production[Site Name]=A2752)*(expected_production[Date]=B2752)*ISNUMBER(expected_production[Expected Production (kWh)]))=0,"",SUMIFS(expected_production[Expected Production (kWh)],expected_production[Site Name],A2752,expected_production[Date],B2752)),"")</f>
        <v>14634</v>
      </c>
      <c r="E2752" s="9" t="str">
        <f t="shared" si="86"/>
        <v/>
      </c>
      <c r="F2752" t="str">
        <f t="shared" si="87"/>
        <v/>
      </c>
    </row>
    <row r="2753" spans="1:6" hidden="1" x14ac:dyDescent="0.3">
      <c r="A2753" t="s">
        <v>271</v>
      </c>
      <c r="B2753" s="2">
        <v>45748</v>
      </c>
      <c r="C2753" t="str" cm="1">
        <f t="array" ref="C2753">IFERROR(IF(SUMPRODUCT((measured[Site Name]=A2753)*(measured[Date]=B2753)*ISNUMBER(measured[Measured Value (kWh)]))=0,"",SUMIFS(measured[Measured Value (kWh)],measured[Site Name],A2753,measured[Date],B2753)),"")</f>
        <v/>
      </c>
      <c r="D2753" cm="1">
        <f t="array" ref="D2753">IFERROR(IF(SUMPRODUCT((expected_production[Site Name]=A2753)*(expected_production[Date]=B2753)*ISNUMBER(expected_production[Expected Production (kWh)]))=0,"",SUMIFS(expected_production[Expected Production (kWh)],expected_production[Site Name],A2753,expected_production[Date],B2753)),"")</f>
        <v>12420</v>
      </c>
      <c r="E2753" s="9" t="str">
        <f t="shared" si="86"/>
        <v/>
      </c>
      <c r="F2753" t="str">
        <f t="shared" si="87"/>
        <v/>
      </c>
    </row>
    <row r="2754" spans="1:6" hidden="1" x14ac:dyDescent="0.3">
      <c r="A2754" t="s">
        <v>271</v>
      </c>
      <c r="B2754" s="2">
        <v>45778</v>
      </c>
      <c r="C2754" t="str" cm="1">
        <f t="array" ref="C2754">IFERROR(IF(SUMPRODUCT((measured[Site Name]=A2754)*(measured[Date]=B2754)*ISNUMBER(measured[Measured Value (kWh)]))=0,"",SUMIFS(measured[Measured Value (kWh)],measured[Site Name],A2754,measured[Date],B2754)),"")</f>
        <v/>
      </c>
      <c r="D2754" cm="1">
        <f t="array" ref="D2754">IFERROR(IF(SUMPRODUCT((expected_production[Site Name]=A2754)*(expected_production[Date]=B2754)*ISNUMBER(expected_production[Expected Production (kWh)]))=0,"",SUMIFS(expected_production[Expected Production (kWh)],expected_production[Site Name],A2754,expected_production[Date],B2754)),"")</f>
        <v>11402.1</v>
      </c>
      <c r="E2754" s="9" t="str">
        <f t="shared" si="86"/>
        <v/>
      </c>
      <c r="F2754" t="str">
        <f t="shared" si="87"/>
        <v/>
      </c>
    </row>
    <row r="2755" spans="1:6" hidden="1" x14ac:dyDescent="0.3">
      <c r="A2755" t="s">
        <v>271</v>
      </c>
      <c r="B2755" s="2">
        <v>45809</v>
      </c>
      <c r="C2755" t="str" cm="1">
        <f t="array" ref="C2755">IFERROR(IF(SUMPRODUCT((measured[Site Name]=A2755)*(measured[Date]=B2755)*ISNUMBER(measured[Measured Value (kWh)]))=0,"",SUMIFS(measured[Measured Value (kWh)],measured[Site Name],A2755,measured[Date],B2755)),"")</f>
        <v/>
      </c>
      <c r="D2755" cm="1">
        <f t="array" ref="D2755">IFERROR(IF(SUMPRODUCT((expected_production[Site Name]=A2755)*(expected_production[Date]=B2755)*ISNUMBER(expected_production[Expected Production (kWh)]))=0,"",SUMIFS(expected_production[Expected Production (kWh)],expected_production[Site Name],A2755,expected_production[Date],B2755)),"")</f>
        <v>9989.1</v>
      </c>
      <c r="E2755" s="9" t="str">
        <f t="shared" si="86"/>
        <v/>
      </c>
      <c r="F2755" t="str">
        <f t="shared" si="87"/>
        <v/>
      </c>
    </row>
    <row r="2756" spans="1:6" hidden="1" x14ac:dyDescent="0.3">
      <c r="A2756" t="s">
        <v>271</v>
      </c>
      <c r="B2756" s="2">
        <v>45839</v>
      </c>
      <c r="C2756" t="str" cm="1">
        <f t="array" ref="C2756">IFERROR(IF(SUMPRODUCT((measured[Site Name]=A2756)*(measured[Date]=B2756)*ISNUMBER(measured[Measured Value (kWh)]))=0,"",SUMIFS(measured[Measured Value (kWh)],measured[Site Name],A2756,measured[Date],B2756)),"")</f>
        <v/>
      </c>
      <c r="D2756" cm="1">
        <f t="array" ref="D2756">IFERROR(IF(SUMPRODUCT((expected_production[Site Name]=A2756)*(expected_production[Date]=B2756)*ISNUMBER(expected_production[Expected Production (kWh)]))=0,"",SUMIFS(expected_production[Expected Production (kWh)],expected_production[Site Name],A2756,expected_production[Date],B2756)),"")</f>
        <v>10986.300000000001</v>
      </c>
      <c r="E2756" s="9" t="str">
        <f t="shared" si="86"/>
        <v/>
      </c>
      <c r="F2756" t="str">
        <f t="shared" si="87"/>
        <v/>
      </c>
    </row>
    <row r="2757" spans="1:6" hidden="1" x14ac:dyDescent="0.3">
      <c r="A2757" t="s">
        <v>271</v>
      </c>
      <c r="B2757" s="2">
        <v>45870</v>
      </c>
      <c r="C2757" t="str" cm="1">
        <f t="array" ref="C2757">IFERROR(IF(SUMPRODUCT((measured[Site Name]=A2757)*(measured[Date]=B2757)*ISNUMBER(measured[Measured Value (kWh)]))=0,"",SUMIFS(measured[Measured Value (kWh)],measured[Site Name],A2757,measured[Date],B2757)),"")</f>
        <v/>
      </c>
      <c r="D2757" cm="1">
        <f t="array" ref="D2757">IFERROR(IF(SUMPRODUCT((expected_production[Site Name]=A2757)*(expected_production[Date]=B2757)*ISNUMBER(expected_production[Expected Production (kWh)]))=0,"",SUMIFS(expected_production[Expected Production (kWh)],expected_production[Site Name],A2757,expected_production[Date],B2757)),"")</f>
        <v>13108.77</v>
      </c>
      <c r="E2757" s="9" t="str">
        <f t="shared" si="86"/>
        <v/>
      </c>
      <c r="F2757" t="str">
        <f t="shared" si="87"/>
        <v/>
      </c>
    </row>
    <row r="2758" spans="1:6" hidden="1" x14ac:dyDescent="0.3">
      <c r="A2758" t="s">
        <v>271</v>
      </c>
      <c r="B2758" s="2">
        <v>45901</v>
      </c>
      <c r="C2758" t="str" cm="1">
        <f t="array" ref="C2758">IFERROR(IF(SUMPRODUCT((measured[Site Name]=A2758)*(measured[Date]=B2758)*ISNUMBER(measured[Measured Value (kWh)]))=0,"",SUMIFS(measured[Measured Value (kWh)],measured[Site Name],A2758,measured[Date],B2758)),"")</f>
        <v/>
      </c>
      <c r="D2758" cm="1">
        <f t="array" ref="D2758">IFERROR(IF(SUMPRODUCT((expected_production[Site Name]=A2758)*(expected_production[Date]=B2758)*ISNUMBER(expected_production[Expected Production (kWh)]))=0,"",SUMIFS(expected_production[Expected Production (kWh)],expected_production[Site Name],A2758,expected_production[Date],B2758)),"")</f>
        <v>14833.17</v>
      </c>
      <c r="E2758" s="9" t="str">
        <f t="shared" si="86"/>
        <v/>
      </c>
      <c r="F2758" t="str">
        <f t="shared" si="87"/>
        <v/>
      </c>
    </row>
    <row r="2759" spans="1:6" hidden="1" x14ac:dyDescent="0.3">
      <c r="A2759" t="s">
        <v>271</v>
      </c>
      <c r="B2759" s="2">
        <v>45931</v>
      </c>
      <c r="C2759" t="str" cm="1">
        <f t="array" ref="C2759">IFERROR(IF(SUMPRODUCT((measured[Site Name]=A2759)*(measured[Date]=B2759)*ISNUMBER(measured[Measured Value (kWh)]))=0,"",SUMIFS(measured[Measured Value (kWh)],measured[Site Name],A2759,measured[Date],B2759)),"")</f>
        <v/>
      </c>
      <c r="D2759" cm="1">
        <f t="array" ref="D2759">IFERROR(IF(SUMPRODUCT((expected_production[Site Name]=A2759)*(expected_production[Date]=B2759)*ISNUMBER(expected_production[Expected Production (kWh)]))=0,"",SUMIFS(expected_production[Expected Production (kWh)],expected_production[Site Name],A2759,expected_production[Date],B2759)),"")</f>
        <v>17053.2</v>
      </c>
      <c r="E2759" s="9" t="str">
        <f t="shared" si="86"/>
        <v/>
      </c>
      <c r="F2759" t="str">
        <f t="shared" si="87"/>
        <v/>
      </c>
    </row>
    <row r="2760" spans="1:6" hidden="1" x14ac:dyDescent="0.3">
      <c r="A2760" t="s">
        <v>271</v>
      </c>
      <c r="B2760" s="2">
        <v>45962</v>
      </c>
      <c r="C2760" t="str" cm="1">
        <f t="array" ref="C2760">IFERROR(IF(SUMPRODUCT((measured[Site Name]=A2760)*(measured[Date]=B2760)*ISNUMBER(measured[Measured Value (kWh)]))=0,"",SUMIFS(measured[Measured Value (kWh)],measured[Site Name],A2760,measured[Date],B2760)),"")</f>
        <v/>
      </c>
      <c r="D2760" cm="1">
        <f t="array" ref="D2760">IFERROR(IF(SUMPRODUCT((expected_production[Site Name]=A2760)*(expected_production[Date]=B2760)*ISNUMBER(expected_production[Expected Production (kWh)]))=0,"",SUMIFS(expected_production[Expected Production (kWh)],expected_production[Site Name],A2760,expected_production[Date],B2760)),"")</f>
        <v>17239.5</v>
      </c>
      <c r="E2760" s="9" t="str">
        <f t="shared" si="86"/>
        <v/>
      </c>
      <c r="F2760" t="str">
        <f t="shared" si="87"/>
        <v/>
      </c>
    </row>
    <row r="2761" spans="1:6" hidden="1" x14ac:dyDescent="0.3">
      <c r="A2761" t="s">
        <v>271</v>
      </c>
      <c r="B2761" s="2">
        <v>45992</v>
      </c>
      <c r="C2761" t="str" cm="1">
        <f t="array" ref="C2761">IFERROR(IF(SUMPRODUCT((measured[Site Name]=A2761)*(measured[Date]=B2761)*ISNUMBER(measured[Measured Value (kWh)]))=0,"",SUMIFS(measured[Measured Value (kWh)],measured[Site Name],A2761,measured[Date],B2761)),"")</f>
        <v/>
      </c>
      <c r="D2761" cm="1">
        <f t="array" ref="D2761">IFERROR(IF(SUMPRODUCT((expected_production[Site Name]=A2761)*(expected_production[Date]=B2761)*ISNUMBER(expected_production[Expected Production (kWh)]))=0,"",SUMIFS(expected_production[Expected Production (kWh)],expected_production[Site Name],A2761,expected_production[Date],B2761)),"")</f>
        <v>17465.400000000001</v>
      </c>
      <c r="E2761" s="9" t="str">
        <f t="shared" si="86"/>
        <v/>
      </c>
      <c r="F2761" t="str">
        <f t="shared" si="87"/>
        <v/>
      </c>
    </row>
    <row r="2762" spans="1:6" hidden="1" x14ac:dyDescent="0.3">
      <c r="A2762" t="s">
        <v>271</v>
      </c>
      <c r="B2762" s="2">
        <v>46023</v>
      </c>
      <c r="C2762" t="str" cm="1">
        <f t="array" ref="C2762">IFERROR(IF(SUMPRODUCT((measured[Site Name]=A2762)*(measured[Date]=B2762)*ISNUMBER(measured[Measured Value (kWh)]))=0,"",SUMIFS(measured[Measured Value (kWh)],measured[Site Name],A2762,measured[Date],B2762)),"")</f>
        <v/>
      </c>
      <c r="D2762" cm="1">
        <f t="array" ref="D2762">IFERROR(IF(SUMPRODUCT((expected_production[Site Name]=A2762)*(expected_production[Date]=B2762)*ISNUMBER(expected_production[Expected Production (kWh)]))=0,"",SUMIFS(expected_production[Expected Production (kWh)],expected_production[Site Name],A2762,expected_production[Date],B2762)),"")</f>
        <v>17370.900000000001</v>
      </c>
      <c r="E2762" s="9" t="str">
        <f t="shared" si="86"/>
        <v/>
      </c>
      <c r="F2762" t="str">
        <f t="shared" si="87"/>
        <v/>
      </c>
    </row>
    <row r="2763" spans="1:6" hidden="1" x14ac:dyDescent="0.3">
      <c r="A2763" t="s">
        <v>271</v>
      </c>
      <c r="B2763" s="2">
        <v>46054</v>
      </c>
      <c r="C2763" t="str" cm="1">
        <f t="array" ref="C2763">IFERROR(IF(SUMPRODUCT((measured[Site Name]=A2763)*(measured[Date]=B2763)*ISNUMBER(measured[Measured Value (kWh)]))=0,"",SUMIFS(measured[Measured Value (kWh)],measured[Site Name],A2763,measured[Date],B2763)),"")</f>
        <v/>
      </c>
      <c r="D2763" cm="1">
        <f t="array" ref="D2763">IFERROR(IF(SUMPRODUCT((expected_production[Site Name]=A2763)*(expected_production[Date]=B2763)*ISNUMBER(expected_production[Expected Production (kWh)]))=0,"",SUMIFS(expected_production[Expected Production (kWh)],expected_production[Site Name],A2763,expected_production[Date],B2763)),"")</f>
        <v>15077.7</v>
      </c>
      <c r="E2763" s="9" t="str">
        <f t="shared" si="86"/>
        <v/>
      </c>
      <c r="F2763" t="str">
        <f t="shared" si="87"/>
        <v/>
      </c>
    </row>
    <row r="2764" spans="1:6" hidden="1" x14ac:dyDescent="0.3">
      <c r="A2764" t="s">
        <v>271</v>
      </c>
      <c r="B2764" s="2">
        <v>46082</v>
      </c>
      <c r="C2764" t="str" cm="1">
        <f t="array" ref="C2764">IFERROR(IF(SUMPRODUCT((measured[Site Name]=A2764)*(measured[Date]=B2764)*ISNUMBER(measured[Measured Value (kWh)]))=0,"",SUMIFS(measured[Measured Value (kWh)],measured[Site Name],A2764,measured[Date],B2764)),"")</f>
        <v/>
      </c>
      <c r="D2764" cm="1">
        <f t="array" ref="D2764">IFERROR(IF(SUMPRODUCT((expected_production[Site Name]=A2764)*(expected_production[Date]=B2764)*ISNUMBER(expected_production[Expected Production (kWh)]))=0,"",SUMIFS(expected_production[Expected Production (kWh)],expected_production[Site Name],A2764,expected_production[Date],B2764)),"")</f>
        <v>14634</v>
      </c>
      <c r="E2764" s="9" t="str">
        <f t="shared" si="86"/>
        <v/>
      </c>
      <c r="F2764" t="str">
        <f t="shared" si="87"/>
        <v/>
      </c>
    </row>
    <row r="2765" spans="1:6" hidden="1" x14ac:dyDescent="0.3">
      <c r="A2765" t="s">
        <v>271</v>
      </c>
      <c r="B2765" s="2">
        <v>46113</v>
      </c>
      <c r="C2765" t="str" cm="1">
        <f t="array" ref="C2765">IFERROR(IF(SUMPRODUCT((measured[Site Name]=A2765)*(measured[Date]=B2765)*ISNUMBER(measured[Measured Value (kWh)]))=0,"",SUMIFS(measured[Measured Value (kWh)],measured[Site Name],A2765,measured[Date],B2765)),"")</f>
        <v/>
      </c>
      <c r="D2765" cm="1">
        <f t="array" ref="D2765">IFERROR(IF(SUMPRODUCT((expected_production[Site Name]=A2765)*(expected_production[Date]=B2765)*ISNUMBER(expected_production[Expected Production (kWh)]))=0,"",SUMIFS(expected_production[Expected Production (kWh)],expected_production[Site Name],A2765,expected_production[Date],B2765)),"")</f>
        <v>12420</v>
      </c>
      <c r="E2765" s="9" t="str">
        <f t="shared" si="86"/>
        <v/>
      </c>
      <c r="F2765" t="str">
        <f t="shared" si="87"/>
        <v/>
      </c>
    </row>
    <row r="2766" spans="1:6" hidden="1" x14ac:dyDescent="0.3">
      <c r="A2766" t="s">
        <v>271</v>
      </c>
      <c r="B2766" s="2">
        <v>46143</v>
      </c>
      <c r="C2766" t="str" cm="1">
        <f t="array" ref="C2766">IFERROR(IF(SUMPRODUCT((measured[Site Name]=A2766)*(measured[Date]=B2766)*ISNUMBER(measured[Measured Value (kWh)]))=0,"",SUMIFS(measured[Measured Value (kWh)],measured[Site Name],A2766,measured[Date],B2766)),"")</f>
        <v/>
      </c>
      <c r="D2766" cm="1">
        <f t="array" ref="D2766">IFERROR(IF(SUMPRODUCT((expected_production[Site Name]=A2766)*(expected_production[Date]=B2766)*ISNUMBER(expected_production[Expected Production (kWh)]))=0,"",SUMIFS(expected_production[Expected Production (kWh)],expected_production[Site Name],A2766,expected_production[Date],B2766)),"")</f>
        <v>11402.1</v>
      </c>
      <c r="E2766" s="9" t="str">
        <f t="shared" si="86"/>
        <v/>
      </c>
      <c r="F2766" t="str">
        <f t="shared" si="87"/>
        <v/>
      </c>
    </row>
    <row r="2767" spans="1:6" hidden="1" x14ac:dyDescent="0.3">
      <c r="A2767" t="s">
        <v>271</v>
      </c>
      <c r="B2767" s="2">
        <v>46174</v>
      </c>
      <c r="C2767" cm="1">
        <f t="array" ref="C2767">IFERROR(IF(SUMPRODUCT((measured[Site Name]=A2767)*(measured[Date]=B2767)*ISNUMBER(measured[Measured Value (kWh)]))=0,"",SUMIFS(measured[Measured Value (kWh)],measured[Site Name],A2767,measured[Date],B2767)),"")</f>
        <v>10169</v>
      </c>
      <c r="D2767" cm="1">
        <f t="array" ref="D2767">IFERROR(IF(SUMPRODUCT((expected_production[Site Name]=A2767)*(expected_production[Date]=B2767)*ISNUMBER(expected_production[Expected Production (kWh)]))=0,"",SUMIFS(expected_production[Expected Production (kWh)],expected_production[Site Name],A2767,expected_production[Date],B2767)),"")</f>
        <v>9986.794899892071</v>
      </c>
      <c r="E2767" s="9">
        <f t="shared" si="86"/>
        <v>1.0182446021906286</v>
      </c>
      <c r="F2767" t="str">
        <f t="shared" si="87"/>
        <v>Expected</v>
      </c>
    </row>
    <row r="2768" spans="1:6" hidden="1" x14ac:dyDescent="0.3">
      <c r="A2768" t="s">
        <v>206</v>
      </c>
      <c r="B2768" s="2">
        <v>46204</v>
      </c>
      <c r="C2768" cm="1">
        <f t="array" ref="C2768">IFERROR(IF(SUMPRODUCT((measured[Site Name]=A2768)*(measured[Date]=B2768)*ISNUMBER(measured[Measured Value (kWh)]))=0,"",SUMIFS(measured[Measured Value (kWh)],measured[Site Name],A2768,measured[Date],B2768)),"")</f>
        <v>0</v>
      </c>
      <c r="D2768" t="str" cm="1">
        <f t="array" ref="D2768">IFERROR(IF(SUMPRODUCT((expected_production[Site Name]=A2768)*(expected_production[Date]=B2768)*ISNUMBER(expected_production[Expected Production (kWh)]))=0,"",SUMIFS(expected_production[Expected Production (kWh)],expected_production[Site Name],A2768,expected_production[Date],B2768)),"")</f>
        <v/>
      </c>
      <c r="E2768" s="9" t="str">
        <f t="shared" si="86"/>
        <v/>
      </c>
      <c r="F2768" t="str">
        <f t="shared" si="87"/>
        <v/>
      </c>
    </row>
    <row r="2769" spans="1:7" hidden="1" x14ac:dyDescent="0.3">
      <c r="A2769" t="s">
        <v>271</v>
      </c>
      <c r="B2769" s="2">
        <v>46235</v>
      </c>
      <c r="C2769" cm="1">
        <f t="array" ref="C2769">IFERROR(IF(SUMPRODUCT((measured[Site Name]=A2769)*(measured[Date]=B2769)*ISNUMBER(measured[Measured Value (kWh)]))=0,"",SUMIFS(measured[Measured Value (kWh)],measured[Site Name],A2769,measured[Date],B2769)),"")</f>
        <v>14833.727999999999</v>
      </c>
      <c r="D2769" cm="1">
        <f t="array" ref="D2769">IFERROR(IF(SUMPRODUCT((expected_production[Site Name]=A2769)*(expected_production[Date]=B2769)*ISNUMBER(expected_production[Expected Production (kWh)]))=0,"",SUMIFS(expected_production[Expected Production (kWh)],expected_production[Site Name],A2769,expected_production[Date],B2769)),"")</f>
        <v>13090.378706665202</v>
      </c>
      <c r="E2769" s="9">
        <f t="shared" si="86"/>
        <v>1.1331779112278195</v>
      </c>
      <c r="F2769" t="str">
        <f t="shared" si="87"/>
        <v>Expected</v>
      </c>
      <c r="G2769" t="s">
        <v>875</v>
      </c>
    </row>
    <row r="2770" spans="1:7" x14ac:dyDescent="0.3">
      <c r="A2770" t="s">
        <v>213</v>
      </c>
      <c r="B2770" s="2">
        <v>46266</v>
      </c>
      <c r="C2770" cm="1">
        <f t="array" ref="C2770">IFERROR(IF(SUMPRODUCT((measured[Site Name]=A2770)*(measured[Date]=B2770)*ISNUMBER(measured[Measured Value (kWh)]))=0,"",SUMIFS(measured[Measured Value (kWh)],measured[Site Name],A2770,measured[Date],B2770)),"")</f>
        <v>6939.4892900000004</v>
      </c>
      <c r="D2770" cm="1">
        <f t="array" ref="D2770">IFERROR(IF(SUMPRODUCT((expected_production[Site Name]=A2770)*(expected_production[Date]=B2770)*ISNUMBER(expected_production[Expected Production (kWh)]))=0,"",SUMIFS(expected_production[Expected Production (kWh)],expected_production[Site Name],A2770,expected_production[Date],B2770)),"")</f>
        <v>7807.3860868750344</v>
      </c>
      <c r="E2770" s="9">
        <f t="shared" si="86"/>
        <v>0.88883644446198817</v>
      </c>
      <c r="F2770" t="str">
        <f t="shared" si="87"/>
        <v>Moderate</v>
      </c>
      <c r="G2770" t="s">
        <v>874</v>
      </c>
    </row>
    <row r="2771" spans="1:7" hidden="1" x14ac:dyDescent="0.3">
      <c r="A2771" t="s">
        <v>271</v>
      </c>
      <c r="B2771" s="2">
        <v>46296</v>
      </c>
      <c r="C2771" t="str" cm="1">
        <f t="array" ref="C2771">IFERROR(IF(SUMPRODUCT((measured[Site Name]=A2771)*(measured[Date]=B2771)*ISNUMBER(measured[Measured Value (kWh)]))=0,"",SUMIFS(measured[Measured Value (kWh)],measured[Site Name],A2771,measured[Date],B2771)),"")</f>
        <v/>
      </c>
      <c r="D2771" cm="1">
        <f t="array" ref="D2771">IFERROR(IF(SUMPRODUCT((expected_production[Site Name]=A2771)*(expected_production[Date]=B2771)*ISNUMBER(expected_production[Expected Production (kWh)]))=0,"",SUMIFS(expected_production[Expected Production (kWh)],expected_production[Site Name],A2771,expected_production[Date],B2771)),"")</f>
        <v>17009.308190599775</v>
      </c>
      <c r="E2771" s="9" t="str">
        <f t="shared" si="86"/>
        <v/>
      </c>
      <c r="F2771" t="str">
        <f t="shared" si="87"/>
        <v/>
      </c>
    </row>
    <row r="2772" spans="1:7" hidden="1" x14ac:dyDescent="0.3">
      <c r="A2772" t="s">
        <v>271</v>
      </c>
      <c r="B2772" s="2">
        <v>46327</v>
      </c>
      <c r="C2772" t="str" cm="1">
        <f t="array" ref="C2772">IFERROR(IF(SUMPRODUCT((measured[Site Name]=A2772)*(measured[Date]=B2772)*ISNUMBER(measured[Measured Value (kWh)]))=0,"",SUMIFS(measured[Measured Value (kWh)],measured[Site Name],A2772,measured[Date],B2772)),"")</f>
        <v/>
      </c>
      <c r="D2772" cm="1">
        <f t="array" ref="D2772">IFERROR(IF(SUMPRODUCT((expected_production[Site Name]=A2772)*(expected_production[Date]=B2772)*ISNUMBER(expected_production[Expected Production (kWh)]))=0,"",SUMIFS(expected_production[Expected Production (kWh)],expected_production[Site Name],A2772,expected_production[Date],B2772)),"")</f>
        <v>17184.879960613085</v>
      </c>
      <c r="E2772" s="9" t="str">
        <f t="shared" si="86"/>
        <v/>
      </c>
      <c r="F2772" t="str">
        <f t="shared" si="87"/>
        <v/>
      </c>
    </row>
    <row r="2773" spans="1:7" hidden="1" x14ac:dyDescent="0.3">
      <c r="A2773" t="s">
        <v>271</v>
      </c>
      <c r="B2773" s="2">
        <v>46357</v>
      </c>
      <c r="C2773" t="str" cm="1">
        <f t="array" ref="C2773">IFERROR(IF(SUMPRODUCT((measured[Site Name]=A2773)*(measured[Date]=B2773)*ISNUMBER(measured[Measured Value (kWh)]))=0,"",SUMIFS(measured[Measured Value (kWh)],measured[Site Name],A2773,measured[Date],B2773)),"")</f>
        <v/>
      </c>
      <c r="D2773" cm="1">
        <f t="array" ref="D2773">IFERROR(IF(SUMPRODUCT((expected_production[Site Name]=A2773)*(expected_production[Date]=B2773)*ISNUMBER(expected_production[Expected Production (kWh)]))=0,"",SUMIFS(expected_production[Expected Production (kWh)],expected_production[Site Name],A2773,expected_production[Date],B2773)),"")</f>
        <v>17400.022045041002</v>
      </c>
      <c r="E2773" s="9" t="str">
        <f t="shared" si="86"/>
        <v/>
      </c>
      <c r="F2773" t="str">
        <f t="shared" si="87"/>
        <v/>
      </c>
    </row>
    <row r="2774" spans="1:7" hidden="1" x14ac:dyDescent="0.3">
      <c r="A2774" t="s">
        <v>1004</v>
      </c>
      <c r="B2774" s="2">
        <v>46204</v>
      </c>
      <c r="C2774" cm="1">
        <f t="array" ref="C2774">IFERROR(IF(SUMPRODUCT((measured[Site Name]=A2774)*(measured[Date]=B2774)*ISNUMBER(measured[Measured Value (kWh)]))=0,"",SUMIFS(measured[Measured Value (kWh)],measured[Site Name],A2774,measured[Date],B2774)),"")</f>
        <v>4094.8841000000002</v>
      </c>
      <c r="D2774" cm="1">
        <f t="array" ref="D2774">IFERROR(IF(SUMPRODUCT((expected_production[Site Name]=A2774)*(expected_production[Date]=B2774)*ISNUMBER(expected_production[Expected Production (kWh)]))=0,"",SUMIFS(expected_production[Expected Production (kWh)],expected_production[Site Name],A2774,expected_production[Date],B2774)),"")</f>
        <v>4643.2029957837503</v>
      </c>
      <c r="E2774" s="9">
        <f t="shared" ref="E2774:E2837" si="88">IF(OR(C2774="",D2774="",D2774=0),"",C2774/D2774)</f>
        <v>0.8819093422618719</v>
      </c>
      <c r="F2774" t="str">
        <f t="shared" ref="F2774:F2837" si="89">IF(E2774="","",IF(E2774&gt;=0.9,"Expected",IF(E2774&gt;=0.7,"Moderate","Poor")))</f>
        <v>Moderate</v>
      </c>
      <c r="G2774" t="s">
        <v>874</v>
      </c>
    </row>
    <row r="2775" spans="1:7" hidden="1" x14ac:dyDescent="0.3">
      <c r="A2775" t="s">
        <v>1004</v>
      </c>
      <c r="B2775" s="2">
        <v>46235</v>
      </c>
      <c r="C2775" cm="1">
        <f t="array" ref="C2775">IFERROR(IF(SUMPRODUCT((measured[Site Name]=A2775)*(measured[Date]=B2775)*ISNUMBER(measured[Measured Value (kWh)]))=0,"",SUMIFS(measured[Measured Value (kWh)],measured[Site Name],A2775,measured[Date],B2775)),"")</f>
        <v>4246.9290000000001</v>
      </c>
      <c r="D2775" cm="1">
        <f t="array" ref="D2775">IFERROR(IF(SUMPRODUCT((expected_production[Site Name]=A2775)*(expected_production[Date]=B2775)*ISNUMBER(expected_production[Expected Production (kWh)]))=0,"",SUMIFS(expected_production[Expected Production (kWh)],expected_production[Site Name],A2775,expected_production[Date],B2775)),"")</f>
        <v>5249.1498985010539</v>
      </c>
      <c r="E2775" s="9">
        <f t="shared" si="88"/>
        <v>0.80906986504857714</v>
      </c>
      <c r="F2775" t="str">
        <f t="shared" si="89"/>
        <v>Moderate</v>
      </c>
      <c r="G2775" t="s">
        <v>874</v>
      </c>
    </row>
    <row r="2776" spans="1:7" x14ac:dyDescent="0.3">
      <c r="A2776" t="s">
        <v>122</v>
      </c>
      <c r="B2776" s="2">
        <v>46266</v>
      </c>
      <c r="C2776" cm="1">
        <f t="array" ref="C2776">IFERROR(IF(SUMPRODUCT((measured[Site Name]=A2776)*(measured[Date]=B2776)*ISNUMBER(measured[Measured Value (kWh)]))=0,"",SUMIFS(measured[Measured Value (kWh)],measured[Site Name],A2776,measured[Date],B2776)),"")</f>
        <v>14407.6783</v>
      </c>
      <c r="D2776" cm="1">
        <f t="array" ref="D2776">IFERROR(IF(SUMPRODUCT((expected_production[Site Name]=A2776)*(expected_production[Date]=B2776)*ISNUMBER(expected_production[Expected Production (kWh)]))=0,"",SUMIFS(expected_production[Expected Production (kWh)],expected_production[Site Name],A2776,expected_production[Date],B2776)),"")</f>
        <v>16146.881402321082</v>
      </c>
      <c r="E2776" s="9">
        <f t="shared" si="88"/>
        <v>0.89228860614093097</v>
      </c>
      <c r="F2776" t="str">
        <f t="shared" si="89"/>
        <v>Moderate</v>
      </c>
      <c r="G2776" t="s">
        <v>874</v>
      </c>
    </row>
    <row r="2777" spans="1:7" hidden="1" x14ac:dyDescent="0.3">
      <c r="A2777" t="s">
        <v>1004</v>
      </c>
      <c r="B2777" s="2">
        <v>46296</v>
      </c>
      <c r="C2777" t="str" cm="1">
        <f t="array" ref="C2777">IFERROR(IF(SUMPRODUCT((measured[Site Name]=A2777)*(measured[Date]=B2777)*ISNUMBER(measured[Measured Value (kWh)]))=0,"",SUMIFS(measured[Measured Value (kWh)],measured[Site Name],A2777,measured[Date],B2777)),"")</f>
        <v/>
      </c>
      <c r="D2777" cm="1">
        <f t="array" ref="D2777">IFERROR(IF(SUMPRODUCT((expected_production[Site Name]=A2777)*(expected_production[Date]=B2777)*ISNUMBER(expected_production[Expected Production (kWh)]))=0,"",SUMIFS(expected_production[Expected Production (kWh)],expected_production[Site Name],A2777,expected_production[Date],B2777)),"")</f>
        <v>6018.0390241425775</v>
      </c>
      <c r="E2777" s="9" t="str">
        <f t="shared" ref="E2777:E2779" si="90">IF(OR(C2777="",D2777="",D2777=0),"",C2777/D2777)</f>
        <v/>
      </c>
      <c r="F2777" t="str">
        <f t="shared" ref="F2777:F2779" si="91">IF(E2777="","",IF(E2777&gt;=0.9,"Expected",IF(E2777&gt;=0.7,"Moderate","Poor")))</f>
        <v/>
      </c>
    </row>
    <row r="2778" spans="1:7" hidden="1" x14ac:dyDescent="0.3">
      <c r="A2778" t="s">
        <v>1004</v>
      </c>
      <c r="B2778" s="2">
        <v>46327</v>
      </c>
      <c r="C2778" t="str" cm="1">
        <f t="array" ref="C2778">IFERROR(IF(SUMPRODUCT((measured[Site Name]=A2778)*(measured[Date]=B2778)*ISNUMBER(measured[Measured Value (kWh)]))=0,"",SUMIFS(measured[Measured Value (kWh)],measured[Site Name],A2778,measured[Date],B2778)),"")</f>
        <v/>
      </c>
      <c r="D2778" cm="1">
        <f t="array" ref="D2778">IFERROR(IF(SUMPRODUCT((expected_production[Site Name]=A2778)*(expected_production[Date]=B2778)*ISNUMBER(expected_production[Expected Production (kWh)]))=0,"",SUMIFS(expected_production[Expected Production (kWh)],expected_production[Site Name],A2778,expected_production[Date],B2778)),"")</f>
        <v>5881.6153939933638</v>
      </c>
      <c r="E2778" s="9" t="str">
        <f t="shared" si="90"/>
        <v/>
      </c>
      <c r="F2778" t="str">
        <f t="shared" si="91"/>
        <v/>
      </c>
    </row>
    <row r="2779" spans="1:7" hidden="1" x14ac:dyDescent="0.3">
      <c r="A2779" t="s">
        <v>1004</v>
      </c>
      <c r="B2779" s="2">
        <v>46357</v>
      </c>
      <c r="C2779" t="str" cm="1">
        <f t="array" ref="C2779">IFERROR(IF(SUMPRODUCT((measured[Site Name]=A2779)*(measured[Date]=B2779)*ISNUMBER(measured[Measured Value (kWh)]))=0,"",SUMIFS(measured[Measured Value (kWh)],measured[Site Name],A2779,measured[Date],B2779)),"")</f>
        <v/>
      </c>
      <c r="D2779" cm="1">
        <f t="array" ref="D2779">IFERROR(IF(SUMPRODUCT((expected_production[Site Name]=A2779)*(expected_production[Date]=B2779)*ISNUMBER(expected_production[Expected Production (kWh)]))=0,"",SUMIFS(expected_production[Expected Production (kWh)],expected_production[Site Name],A2779,expected_production[Date],B2779)),"")</f>
        <v>5969.7196852837315</v>
      </c>
      <c r="E2779" s="9" t="str">
        <f t="shared" si="90"/>
        <v/>
      </c>
      <c r="F2779" t="str">
        <f t="shared" si="91"/>
        <v/>
      </c>
    </row>
  </sheetData>
  <dataValidations count="1">
    <dataValidation type="list" allowBlank="1" showInputMessage="1" showErrorMessage="1" sqref="G32 G2732 G68 G104 G140 G176 G212 G248 G284 G356 G392 G428 G320 G464 G500 G536 G572 G608 G680 G716 G752 G788:G789 G825 G644 G932 G968 G861 G1004 G1040 G1076 G1148 G1184 G1220 G1256 G1292 G1328 G1364 G1400 G1436 G1472 G1508 G1544 G1580 G1616 G1652 G1688 G1724 G1760 G1796 G1832 G1868 G1904 G1940 G1976 G2012 G2048 G2084 G2120 G2156 G2192 G2228 G2264 G2300 G2336 G2372 G2408 G2444 G2480 G2516 G2552 G2588 G2624 G2660 G2696 G1112 G2768 G2774:G2779" xr:uid="{CDE1D115-B860-4332-AA07-078EF4F2345D}">
      <formula1>"YES,NO"</formula1>
    </dataValidation>
  </dataValidations>
  <pageMargins left="0.75" right="0.75" top="1" bottom="1" header="0.511811023622047" footer="0.511811023622047"/>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90"/>
  <sheetViews>
    <sheetView zoomScale="85" zoomScaleNormal="85" workbookViewId="0">
      <pane ySplit="23" topLeftCell="A246" activePane="bottomLeft" state="frozen"/>
      <selection pane="bottomLeft" activeCell="G1816" sqref="G1816"/>
    </sheetView>
  </sheetViews>
  <sheetFormatPr defaultRowHeight="14.4" x14ac:dyDescent="0.3"/>
  <cols>
    <col min="1" max="1" width="26.88671875" bestFit="1" customWidth="1"/>
    <col min="2" max="2" width="12" customWidth="1"/>
    <col min="3" max="3" width="37.109375" customWidth="1"/>
    <col min="4" max="4" width="19.109375" bestFit="1" customWidth="1"/>
    <col min="5" max="5" width="31.33203125" customWidth="1"/>
    <col min="6" max="6" width="28.109375" customWidth="1"/>
    <col min="7" max="7" width="73.44140625" bestFit="1" customWidth="1"/>
    <col min="8" max="8" width="29.5546875" bestFit="1" customWidth="1"/>
    <col min="39" max="39" width="10.6640625" customWidth="1"/>
  </cols>
  <sheetData>
    <row r="1" spans="1:8" x14ac:dyDescent="0.3">
      <c r="A1" t="s">
        <v>268</v>
      </c>
      <c r="B1" t="s">
        <v>266</v>
      </c>
      <c r="C1" t="s">
        <v>886</v>
      </c>
      <c r="D1" t="s">
        <v>887</v>
      </c>
      <c r="E1" t="s">
        <v>888</v>
      </c>
      <c r="F1" t="s">
        <v>889</v>
      </c>
      <c r="G1" t="s">
        <v>890</v>
      </c>
      <c r="H1" t="s">
        <v>891</v>
      </c>
    </row>
    <row r="2" spans="1:8" hidden="1" x14ac:dyDescent="0.3">
      <c r="A2" t="s">
        <v>31</v>
      </c>
      <c r="B2" s="2">
        <v>45536</v>
      </c>
      <c r="C2" s="10"/>
    </row>
    <row r="3" spans="1:8" hidden="1" x14ac:dyDescent="0.3">
      <c r="A3" t="s">
        <v>31</v>
      </c>
      <c r="B3" s="2">
        <v>45566</v>
      </c>
      <c r="C3" s="10"/>
    </row>
    <row r="4" spans="1:8" hidden="1" x14ac:dyDescent="0.3">
      <c r="A4" t="s">
        <v>31</v>
      </c>
      <c r="B4" s="2">
        <v>45597</v>
      </c>
      <c r="C4" s="10"/>
    </row>
    <row r="5" spans="1:8" hidden="1" x14ac:dyDescent="0.3">
      <c r="A5" t="s">
        <v>31</v>
      </c>
      <c r="B5" s="2">
        <v>45627</v>
      </c>
      <c r="C5" s="10"/>
    </row>
    <row r="6" spans="1:8" hidden="1" x14ac:dyDescent="0.3">
      <c r="A6" t="s">
        <v>31</v>
      </c>
      <c r="B6" s="2">
        <v>45658</v>
      </c>
      <c r="C6" s="10"/>
    </row>
    <row r="7" spans="1:8" ht="72" hidden="1" customHeight="1" x14ac:dyDescent="0.3">
      <c r="A7" t="s">
        <v>31</v>
      </c>
      <c r="B7" s="2">
        <v>45689</v>
      </c>
      <c r="C7" s="10" t="s">
        <v>276</v>
      </c>
    </row>
    <row r="8" spans="1:8" ht="72" hidden="1" customHeight="1" x14ac:dyDescent="0.3">
      <c r="A8" t="s">
        <v>31</v>
      </c>
      <c r="B8" s="2">
        <v>45717</v>
      </c>
      <c r="C8" s="10" t="s">
        <v>277</v>
      </c>
    </row>
    <row r="9" spans="1:8" ht="57.6" hidden="1" customHeight="1" x14ac:dyDescent="0.3">
      <c r="A9" t="s">
        <v>31</v>
      </c>
      <c r="B9" s="2">
        <v>45748</v>
      </c>
      <c r="C9" s="10" t="s">
        <v>278</v>
      </c>
    </row>
    <row r="10" spans="1:8" ht="57.6" hidden="1" customHeight="1" x14ac:dyDescent="0.3">
      <c r="A10" t="s">
        <v>31</v>
      </c>
      <c r="B10" s="2">
        <v>45778</v>
      </c>
      <c r="C10" s="10" t="s">
        <v>279</v>
      </c>
    </row>
    <row r="11" spans="1:8" ht="57.6" hidden="1" customHeight="1" x14ac:dyDescent="0.3">
      <c r="A11" t="s">
        <v>31</v>
      </c>
      <c r="B11" s="2">
        <v>45809</v>
      </c>
      <c r="C11" s="10" t="s">
        <v>280</v>
      </c>
    </row>
    <row r="12" spans="1:8" ht="57.6" hidden="1" customHeight="1" x14ac:dyDescent="0.3">
      <c r="A12" t="s">
        <v>31</v>
      </c>
      <c r="B12" s="2">
        <v>45839</v>
      </c>
      <c r="C12" s="10" t="s">
        <v>281</v>
      </c>
    </row>
    <row r="13" spans="1:8" ht="57.6" hidden="1" customHeight="1" x14ac:dyDescent="0.3">
      <c r="A13" t="s">
        <v>31</v>
      </c>
      <c r="B13" s="2">
        <v>45870</v>
      </c>
      <c r="C13" s="10" t="s">
        <v>282</v>
      </c>
    </row>
    <row r="14" spans="1:8" ht="57.6" hidden="1" customHeight="1" x14ac:dyDescent="0.3">
      <c r="A14" t="s">
        <v>31</v>
      </c>
      <c r="B14" s="2">
        <v>45901</v>
      </c>
      <c r="C14" s="10" t="s">
        <v>283</v>
      </c>
    </row>
    <row r="15" spans="1:8" ht="57.6" hidden="1" customHeight="1" x14ac:dyDescent="0.3">
      <c r="A15" t="s">
        <v>31</v>
      </c>
      <c r="B15" s="2">
        <v>45931</v>
      </c>
      <c r="C15" s="10" t="s">
        <v>284</v>
      </c>
    </row>
    <row r="16" spans="1:8" ht="57.6" hidden="1" customHeight="1" x14ac:dyDescent="0.3">
      <c r="A16" t="s">
        <v>31</v>
      </c>
      <c r="B16" s="2">
        <v>45962</v>
      </c>
      <c r="C16" s="10" t="s">
        <v>285</v>
      </c>
    </row>
    <row r="17" spans="1:8" ht="28.8" hidden="1" x14ac:dyDescent="0.3">
      <c r="A17" t="s">
        <v>31</v>
      </c>
      <c r="B17" s="2">
        <v>45992</v>
      </c>
      <c r="C17" s="10" t="s">
        <v>286</v>
      </c>
    </row>
    <row r="18" spans="1:8" ht="28.8" hidden="1" x14ac:dyDescent="0.3">
      <c r="A18" t="s">
        <v>31</v>
      </c>
      <c r="B18" s="2">
        <v>46023</v>
      </c>
      <c r="C18" s="10" t="s">
        <v>286</v>
      </c>
    </row>
    <row r="19" spans="1:8" ht="28.8" hidden="1" x14ac:dyDescent="0.3">
      <c r="A19" t="s">
        <v>31</v>
      </c>
      <c r="B19" s="2">
        <v>46054</v>
      </c>
      <c r="C19" s="10" t="s">
        <v>286</v>
      </c>
    </row>
    <row r="20" spans="1:8" ht="28.8" hidden="1" x14ac:dyDescent="0.3">
      <c r="A20" t="s">
        <v>31</v>
      </c>
      <c r="B20" s="2">
        <v>46082</v>
      </c>
      <c r="C20" s="10" t="s">
        <v>286</v>
      </c>
    </row>
    <row r="21" spans="1:8" ht="28.95" hidden="1" customHeight="1" x14ac:dyDescent="0.3">
      <c r="A21" t="s">
        <v>31</v>
      </c>
      <c r="B21" s="2">
        <v>46113</v>
      </c>
      <c r="C21" s="10" t="s">
        <v>287</v>
      </c>
    </row>
    <row r="22" spans="1:8" hidden="1" x14ac:dyDescent="0.3">
      <c r="A22" t="s">
        <v>31</v>
      </c>
      <c r="B22" s="2">
        <v>46143</v>
      </c>
      <c r="C22" s="10" t="s">
        <v>852</v>
      </c>
    </row>
    <row r="23" spans="1:8" hidden="1" x14ac:dyDescent="0.3">
      <c r="A23" t="s">
        <v>31</v>
      </c>
      <c r="B23" s="2">
        <v>46174</v>
      </c>
      <c r="C23" s="10"/>
    </row>
    <row r="24" spans="1:8" hidden="1" x14ac:dyDescent="0.3">
      <c r="A24" t="s">
        <v>31</v>
      </c>
      <c r="B24" s="2">
        <v>46204</v>
      </c>
      <c r="C24" s="10">
        <v>31</v>
      </c>
      <c r="D24">
        <v>0</v>
      </c>
      <c r="E24" t="s">
        <v>33</v>
      </c>
      <c r="F24" t="s">
        <v>33</v>
      </c>
      <c r="G24" t="s">
        <v>1014</v>
      </c>
      <c r="H24" t="s">
        <v>36</v>
      </c>
    </row>
    <row r="25" spans="1:8" hidden="1" x14ac:dyDescent="0.3">
      <c r="A25" t="s">
        <v>31</v>
      </c>
      <c r="B25" s="2">
        <v>46235</v>
      </c>
      <c r="C25" s="10" t="s">
        <v>919</v>
      </c>
      <c r="D25">
        <v>0</v>
      </c>
      <c r="E25" t="s">
        <v>33</v>
      </c>
      <c r="F25" t="s">
        <v>33</v>
      </c>
      <c r="G25" t="s">
        <v>1073</v>
      </c>
      <c r="H25" t="s">
        <v>36</v>
      </c>
    </row>
    <row r="26" spans="1:8" hidden="1" x14ac:dyDescent="0.3">
      <c r="A26" t="s">
        <v>43</v>
      </c>
      <c r="B26" s="2">
        <v>45536</v>
      </c>
      <c r="C26" s="10"/>
    </row>
    <row r="27" spans="1:8" hidden="1" x14ac:dyDescent="0.3">
      <c r="A27" t="s">
        <v>43</v>
      </c>
      <c r="B27" s="2">
        <v>45566</v>
      </c>
      <c r="C27" s="10"/>
    </row>
    <row r="28" spans="1:8" hidden="1" x14ac:dyDescent="0.3">
      <c r="A28" t="s">
        <v>43</v>
      </c>
      <c r="B28" s="2">
        <v>45597</v>
      </c>
      <c r="C28" s="10"/>
    </row>
    <row r="29" spans="1:8" hidden="1" x14ac:dyDescent="0.3">
      <c r="A29" t="s">
        <v>43</v>
      </c>
      <c r="B29" s="2">
        <v>45627</v>
      </c>
      <c r="C29" s="10"/>
    </row>
    <row r="30" spans="1:8" hidden="1" x14ac:dyDescent="0.3">
      <c r="A30" t="s">
        <v>43</v>
      </c>
      <c r="B30" s="2">
        <v>45658</v>
      </c>
      <c r="C30" s="10"/>
    </row>
    <row r="31" spans="1:8" ht="43.2" hidden="1" customHeight="1" x14ac:dyDescent="0.3">
      <c r="A31" t="s">
        <v>43</v>
      </c>
      <c r="B31" s="2">
        <v>45689</v>
      </c>
      <c r="C31" s="10" t="s">
        <v>288</v>
      </c>
    </row>
    <row r="32" spans="1:8" hidden="1" x14ac:dyDescent="0.3">
      <c r="A32" t="s">
        <v>43</v>
      </c>
      <c r="B32" s="2">
        <v>45717</v>
      </c>
      <c r="C32" s="10" t="s">
        <v>289</v>
      </c>
    </row>
    <row r="33" spans="1:8" hidden="1" x14ac:dyDescent="0.3">
      <c r="A33" t="s">
        <v>43</v>
      </c>
      <c r="B33" s="2">
        <v>45748</v>
      </c>
      <c r="C33" s="10" t="s">
        <v>289</v>
      </c>
    </row>
    <row r="34" spans="1:8" ht="72" hidden="1" customHeight="1" x14ac:dyDescent="0.3">
      <c r="A34" t="s">
        <v>43</v>
      </c>
      <c r="B34" s="2">
        <v>45778</v>
      </c>
      <c r="C34" s="10" t="s">
        <v>290</v>
      </c>
    </row>
    <row r="35" spans="1:8" ht="72" hidden="1" customHeight="1" x14ac:dyDescent="0.3">
      <c r="A35" t="s">
        <v>43</v>
      </c>
      <c r="B35" s="2">
        <v>45809</v>
      </c>
      <c r="C35" s="10" t="s">
        <v>291</v>
      </c>
    </row>
    <row r="36" spans="1:8" ht="72" hidden="1" customHeight="1" x14ac:dyDescent="0.3">
      <c r="A36" t="s">
        <v>43</v>
      </c>
      <c r="B36" s="2">
        <v>45839</v>
      </c>
      <c r="C36" s="10" t="s">
        <v>292</v>
      </c>
    </row>
    <row r="37" spans="1:8" ht="57.6" hidden="1" customHeight="1" x14ac:dyDescent="0.3">
      <c r="A37" t="s">
        <v>43</v>
      </c>
      <c r="B37" s="2">
        <v>45870</v>
      </c>
      <c r="C37" s="10" t="s">
        <v>293</v>
      </c>
    </row>
    <row r="38" spans="1:8" ht="57.6" hidden="1" customHeight="1" x14ac:dyDescent="0.3">
      <c r="A38" t="s">
        <v>43</v>
      </c>
      <c r="B38" s="2">
        <v>45901</v>
      </c>
      <c r="C38" s="10" t="s">
        <v>294</v>
      </c>
    </row>
    <row r="39" spans="1:8" ht="72" hidden="1" customHeight="1" x14ac:dyDescent="0.3">
      <c r="A39" t="s">
        <v>43</v>
      </c>
      <c r="B39" s="2">
        <v>45931</v>
      </c>
      <c r="C39" s="10" t="s">
        <v>295</v>
      </c>
    </row>
    <row r="40" spans="1:8" ht="57.6" hidden="1" customHeight="1" x14ac:dyDescent="0.3">
      <c r="A40" t="s">
        <v>43</v>
      </c>
      <c r="B40" s="2">
        <v>45962</v>
      </c>
      <c r="C40" s="10" t="s">
        <v>296</v>
      </c>
    </row>
    <row r="41" spans="1:8" ht="28.8" hidden="1" x14ac:dyDescent="0.3">
      <c r="A41" t="s">
        <v>43</v>
      </c>
      <c r="B41" s="2">
        <v>45992</v>
      </c>
      <c r="C41" s="10" t="s">
        <v>297</v>
      </c>
    </row>
    <row r="42" spans="1:8" ht="28.8" hidden="1" x14ac:dyDescent="0.3">
      <c r="A42" t="s">
        <v>43</v>
      </c>
      <c r="B42" s="2">
        <v>46023</v>
      </c>
      <c r="C42" s="10" t="s">
        <v>298</v>
      </c>
    </row>
    <row r="43" spans="1:8" ht="28.8" hidden="1" x14ac:dyDescent="0.3">
      <c r="A43" t="s">
        <v>43</v>
      </c>
      <c r="B43" s="2">
        <v>46054</v>
      </c>
      <c r="C43" s="10" t="s">
        <v>299</v>
      </c>
    </row>
    <row r="44" spans="1:8" hidden="1" x14ac:dyDescent="0.3">
      <c r="A44" t="s">
        <v>43</v>
      </c>
      <c r="B44" s="2">
        <v>46082</v>
      </c>
      <c r="C44" s="10" t="s">
        <v>300</v>
      </c>
    </row>
    <row r="45" spans="1:8" hidden="1" x14ac:dyDescent="0.3">
      <c r="A45" t="s">
        <v>43</v>
      </c>
      <c r="B45" s="2">
        <v>46113</v>
      </c>
      <c r="C45" s="10" t="s">
        <v>300</v>
      </c>
    </row>
    <row r="46" spans="1:8" ht="28.8" hidden="1" x14ac:dyDescent="0.3">
      <c r="A46" t="s">
        <v>43</v>
      </c>
      <c r="B46" s="2">
        <v>46143</v>
      </c>
      <c r="C46" s="10" t="s">
        <v>867</v>
      </c>
    </row>
    <row r="47" spans="1:8" hidden="1" x14ac:dyDescent="0.3">
      <c r="A47" t="s">
        <v>43</v>
      </c>
      <c r="B47" s="2">
        <v>46174</v>
      </c>
      <c r="C47" s="10" t="s">
        <v>892</v>
      </c>
      <c r="D47">
        <v>0</v>
      </c>
      <c r="E47" t="s">
        <v>33</v>
      </c>
    </row>
    <row r="48" spans="1:8" hidden="1" x14ac:dyDescent="0.3">
      <c r="A48" t="s">
        <v>43</v>
      </c>
      <c r="B48" s="2">
        <v>46204</v>
      </c>
      <c r="C48" s="10">
        <v>31</v>
      </c>
      <c r="D48">
        <v>0</v>
      </c>
      <c r="E48" t="s">
        <v>33</v>
      </c>
      <c r="F48" t="s">
        <v>33</v>
      </c>
      <c r="G48" s="10" t="s">
        <v>932</v>
      </c>
      <c r="H48" t="s">
        <v>36</v>
      </c>
    </row>
    <row r="49" spans="1:8" hidden="1" x14ac:dyDescent="0.3">
      <c r="A49" t="s">
        <v>43</v>
      </c>
      <c r="B49" s="2">
        <v>46235</v>
      </c>
      <c r="C49" s="10" t="s">
        <v>919</v>
      </c>
      <c r="D49">
        <v>0</v>
      </c>
      <c r="E49" t="s">
        <v>33</v>
      </c>
      <c r="F49" t="s">
        <v>33</v>
      </c>
      <c r="G49" t="s">
        <v>1073</v>
      </c>
      <c r="H49" t="s">
        <v>36</v>
      </c>
    </row>
    <row r="50" spans="1:8" hidden="1" x14ac:dyDescent="0.3">
      <c r="A50" t="s">
        <v>49</v>
      </c>
      <c r="B50" s="2">
        <v>45536</v>
      </c>
      <c r="C50" s="10"/>
    </row>
    <row r="51" spans="1:8" hidden="1" x14ac:dyDescent="0.3">
      <c r="A51" t="s">
        <v>49</v>
      </c>
      <c r="B51" s="2">
        <v>45566</v>
      </c>
      <c r="C51" s="10"/>
    </row>
    <row r="52" spans="1:8" hidden="1" x14ac:dyDescent="0.3">
      <c r="A52" t="s">
        <v>49</v>
      </c>
      <c r="B52" s="2">
        <v>45597</v>
      </c>
      <c r="C52" s="10"/>
    </row>
    <row r="53" spans="1:8" hidden="1" x14ac:dyDescent="0.3">
      <c r="A53" t="s">
        <v>49</v>
      </c>
      <c r="B53" s="2">
        <v>45627</v>
      </c>
      <c r="C53" s="10"/>
    </row>
    <row r="54" spans="1:8" hidden="1" x14ac:dyDescent="0.3">
      <c r="A54" t="s">
        <v>49</v>
      </c>
      <c r="B54" s="2">
        <v>45658</v>
      </c>
      <c r="C54" s="10" t="s">
        <v>892</v>
      </c>
      <c r="D54" t="s">
        <v>33</v>
      </c>
      <c r="E54" t="s">
        <v>33</v>
      </c>
      <c r="F54" t="s">
        <v>893</v>
      </c>
      <c r="G54" s="10" t="s">
        <v>932</v>
      </c>
    </row>
    <row r="55" spans="1:8" hidden="1" x14ac:dyDescent="0.3">
      <c r="A55" t="s">
        <v>49</v>
      </c>
      <c r="B55" s="2">
        <v>45689</v>
      </c>
      <c r="C55" s="10" t="s">
        <v>895</v>
      </c>
      <c r="D55" t="s">
        <v>33</v>
      </c>
      <c r="E55" t="s">
        <v>33</v>
      </c>
      <c r="F55" t="s">
        <v>893</v>
      </c>
      <c r="G55" s="10" t="s">
        <v>932</v>
      </c>
    </row>
    <row r="56" spans="1:8" hidden="1" x14ac:dyDescent="0.3">
      <c r="A56" t="s">
        <v>49</v>
      </c>
      <c r="B56" s="2">
        <v>45717</v>
      </c>
      <c r="C56" s="10" t="s">
        <v>892</v>
      </c>
      <c r="D56" t="s">
        <v>33</v>
      </c>
      <c r="E56" t="s">
        <v>33</v>
      </c>
      <c r="F56" t="s">
        <v>893</v>
      </c>
      <c r="G56" s="10" t="s">
        <v>932</v>
      </c>
    </row>
    <row r="57" spans="1:8" hidden="1" x14ac:dyDescent="0.3">
      <c r="A57" t="s">
        <v>49</v>
      </c>
      <c r="B57" s="2">
        <v>45748</v>
      </c>
      <c r="C57" s="10" t="s">
        <v>896</v>
      </c>
      <c r="F57" t="s">
        <v>893</v>
      </c>
      <c r="G57" s="10" t="s">
        <v>932</v>
      </c>
    </row>
    <row r="58" spans="1:8" hidden="1" x14ac:dyDescent="0.3">
      <c r="A58" t="s">
        <v>49</v>
      </c>
      <c r="B58" s="2">
        <v>45778</v>
      </c>
      <c r="C58" s="10">
        <v>0</v>
      </c>
      <c r="D58">
        <v>30</v>
      </c>
      <c r="F58" t="s">
        <v>893</v>
      </c>
      <c r="G58" s="10" t="s">
        <v>932</v>
      </c>
    </row>
    <row r="59" spans="1:8" hidden="1" x14ac:dyDescent="0.3">
      <c r="A59" t="s">
        <v>49</v>
      </c>
      <c r="B59" s="2">
        <v>45809</v>
      </c>
      <c r="C59" s="10" t="s">
        <v>898</v>
      </c>
      <c r="D59">
        <v>4</v>
      </c>
      <c r="E59" t="s">
        <v>897</v>
      </c>
      <c r="F59" t="s">
        <v>893</v>
      </c>
      <c r="G59" s="10" t="s">
        <v>932</v>
      </c>
    </row>
    <row r="60" spans="1:8" hidden="1" x14ac:dyDescent="0.3">
      <c r="A60" t="s">
        <v>49</v>
      </c>
      <c r="B60" s="2">
        <v>45839</v>
      </c>
      <c r="C60" s="10" t="s">
        <v>899</v>
      </c>
      <c r="D60" s="10" t="s">
        <v>892</v>
      </c>
      <c r="E60" t="s">
        <v>913</v>
      </c>
      <c r="F60" t="s">
        <v>982</v>
      </c>
      <c r="G60" t="s">
        <v>992</v>
      </c>
    </row>
    <row r="61" spans="1:8" hidden="1" x14ac:dyDescent="0.3">
      <c r="A61" t="s">
        <v>49</v>
      </c>
      <c r="B61" s="2">
        <v>45870</v>
      </c>
      <c r="C61" s="10" t="s">
        <v>892</v>
      </c>
      <c r="D61">
        <v>0</v>
      </c>
      <c r="F61" t="s">
        <v>33</v>
      </c>
      <c r="G61" s="10" t="s">
        <v>932</v>
      </c>
    </row>
    <row r="62" spans="1:8" hidden="1" x14ac:dyDescent="0.3">
      <c r="A62" t="s">
        <v>49</v>
      </c>
      <c r="B62" s="2">
        <v>45901</v>
      </c>
      <c r="C62" s="10" t="s">
        <v>892</v>
      </c>
      <c r="D62">
        <v>0</v>
      </c>
      <c r="F62" t="s">
        <v>912</v>
      </c>
      <c r="G62" t="s">
        <v>914</v>
      </c>
    </row>
    <row r="63" spans="1:8" hidden="1" x14ac:dyDescent="0.3">
      <c r="A63" t="s">
        <v>49</v>
      </c>
      <c r="B63" s="2">
        <v>45931</v>
      </c>
      <c r="C63" s="10" t="s">
        <v>901</v>
      </c>
      <c r="D63" t="s">
        <v>900</v>
      </c>
      <c r="E63" t="s">
        <v>908</v>
      </c>
      <c r="F63" t="s">
        <v>915</v>
      </c>
      <c r="G63" s="10" t="s">
        <v>990</v>
      </c>
    </row>
    <row r="64" spans="1:8" hidden="1" x14ac:dyDescent="0.3">
      <c r="A64" t="s">
        <v>49</v>
      </c>
      <c r="B64" s="2">
        <v>45962</v>
      </c>
      <c r="C64" s="10" t="s">
        <v>896</v>
      </c>
      <c r="D64">
        <v>0</v>
      </c>
      <c r="F64" t="s">
        <v>33</v>
      </c>
      <c r="G64" s="10" t="s">
        <v>932</v>
      </c>
    </row>
    <row r="65" spans="1:8" hidden="1" x14ac:dyDescent="0.3">
      <c r="A65" t="s">
        <v>49</v>
      </c>
      <c r="B65" s="2">
        <v>45992</v>
      </c>
      <c r="C65" s="10" t="s">
        <v>911</v>
      </c>
      <c r="D65">
        <v>0</v>
      </c>
      <c r="E65" t="s">
        <v>33</v>
      </c>
      <c r="F65" t="s">
        <v>893</v>
      </c>
      <c r="G65" s="10" t="s">
        <v>932</v>
      </c>
    </row>
    <row r="66" spans="1:8" hidden="1" x14ac:dyDescent="0.3">
      <c r="A66" t="s">
        <v>49</v>
      </c>
      <c r="B66" s="2">
        <v>46023</v>
      </c>
      <c r="C66" s="10" t="s">
        <v>892</v>
      </c>
      <c r="D66">
        <v>0</v>
      </c>
      <c r="F66" t="s">
        <v>33</v>
      </c>
      <c r="G66" t="s">
        <v>894</v>
      </c>
    </row>
    <row r="67" spans="1:8" hidden="1" x14ac:dyDescent="0.3">
      <c r="A67" t="s">
        <v>49</v>
      </c>
      <c r="B67" s="2">
        <v>46054</v>
      </c>
      <c r="C67" s="10" t="s">
        <v>903</v>
      </c>
      <c r="D67">
        <v>0</v>
      </c>
      <c r="F67" t="s">
        <v>912</v>
      </c>
      <c r="G67" s="10" t="s">
        <v>932</v>
      </c>
    </row>
    <row r="68" spans="1:8" hidden="1" x14ac:dyDescent="0.3">
      <c r="A68" t="s">
        <v>49</v>
      </c>
      <c r="B68" s="2">
        <v>46082</v>
      </c>
      <c r="C68" s="10" t="s">
        <v>905</v>
      </c>
      <c r="D68" t="s">
        <v>904</v>
      </c>
      <c r="E68" t="s">
        <v>908</v>
      </c>
      <c r="F68" t="s">
        <v>910</v>
      </c>
      <c r="G68" s="10" t="s">
        <v>990</v>
      </c>
    </row>
    <row r="69" spans="1:8" hidden="1" x14ac:dyDescent="0.3">
      <c r="A69" t="s">
        <v>49</v>
      </c>
      <c r="B69" s="2">
        <v>46113</v>
      </c>
      <c r="C69" s="10" t="s">
        <v>896</v>
      </c>
      <c r="D69" t="s">
        <v>907</v>
      </c>
      <c r="E69" t="s">
        <v>908</v>
      </c>
      <c r="F69" t="s">
        <v>910</v>
      </c>
      <c r="G69" s="10" t="s">
        <v>991</v>
      </c>
    </row>
    <row r="70" spans="1:8" hidden="1" x14ac:dyDescent="0.3">
      <c r="A70" t="s">
        <v>49</v>
      </c>
      <c r="B70" s="2">
        <v>46143</v>
      </c>
      <c r="C70" s="10" t="s">
        <v>892</v>
      </c>
      <c r="D70" t="s">
        <v>906</v>
      </c>
      <c r="E70" t="s">
        <v>909</v>
      </c>
      <c r="F70" t="s">
        <v>910</v>
      </c>
      <c r="G70" s="10" t="s">
        <v>990</v>
      </c>
    </row>
    <row r="71" spans="1:8" hidden="1" x14ac:dyDescent="0.3">
      <c r="A71" t="s">
        <v>49</v>
      </c>
      <c r="B71" s="2">
        <v>46174</v>
      </c>
      <c r="C71" s="10" t="s">
        <v>896</v>
      </c>
      <c r="D71">
        <v>0</v>
      </c>
      <c r="E71" t="s">
        <v>33</v>
      </c>
      <c r="F71" t="s">
        <v>912</v>
      </c>
      <c r="G71" s="10" t="s">
        <v>1016</v>
      </c>
      <c r="H71" t="s">
        <v>36</v>
      </c>
    </row>
    <row r="72" spans="1:8" hidden="1" x14ac:dyDescent="0.3">
      <c r="A72" t="s">
        <v>49</v>
      </c>
      <c r="B72" s="2">
        <v>46204</v>
      </c>
      <c r="C72" s="10">
        <v>30</v>
      </c>
      <c r="D72" t="s">
        <v>1019</v>
      </c>
      <c r="E72" t="s">
        <v>927</v>
      </c>
      <c r="F72" t="s">
        <v>33</v>
      </c>
      <c r="G72" s="10" t="s">
        <v>1015</v>
      </c>
      <c r="H72" t="s">
        <v>36</v>
      </c>
    </row>
    <row r="73" spans="1:8" hidden="1" x14ac:dyDescent="0.3">
      <c r="A73" t="s">
        <v>49</v>
      </c>
      <c r="B73" s="2">
        <v>46235</v>
      </c>
      <c r="C73" s="10" t="s">
        <v>919</v>
      </c>
      <c r="D73">
        <v>0</v>
      </c>
      <c r="E73" t="s">
        <v>33</v>
      </c>
      <c r="F73" t="s">
        <v>33</v>
      </c>
      <c r="G73" t="s">
        <v>1073</v>
      </c>
      <c r="H73" t="s">
        <v>36</v>
      </c>
    </row>
    <row r="74" spans="1:8" hidden="1" x14ac:dyDescent="0.3">
      <c r="A74" t="s">
        <v>250</v>
      </c>
      <c r="B74" s="2">
        <v>46204</v>
      </c>
      <c r="C74">
        <v>31</v>
      </c>
      <c r="D74">
        <v>0</v>
      </c>
      <c r="E74" t="s">
        <v>33</v>
      </c>
      <c r="F74" t="s">
        <v>33</v>
      </c>
      <c r="G74" t="s">
        <v>959</v>
      </c>
      <c r="H74" t="s">
        <v>36</v>
      </c>
    </row>
    <row r="75" spans="1:8" hidden="1" x14ac:dyDescent="0.3">
      <c r="A75" t="s">
        <v>250</v>
      </c>
      <c r="B75" s="2">
        <v>46174</v>
      </c>
      <c r="C75" t="s">
        <v>919</v>
      </c>
      <c r="D75">
        <v>0</v>
      </c>
      <c r="E75" t="s">
        <v>33</v>
      </c>
      <c r="F75" t="s">
        <v>33</v>
      </c>
      <c r="G75" s="10" t="s">
        <v>996</v>
      </c>
      <c r="H75" t="s">
        <v>36</v>
      </c>
    </row>
    <row r="76" spans="1:8" hidden="1" x14ac:dyDescent="0.3">
      <c r="A76" t="s">
        <v>250</v>
      </c>
      <c r="B76" s="2">
        <v>45536</v>
      </c>
    </row>
    <row r="77" spans="1:8" hidden="1" x14ac:dyDescent="0.3">
      <c r="A77" t="s">
        <v>250</v>
      </c>
      <c r="B77" s="2">
        <v>45566</v>
      </c>
    </row>
    <row r="78" spans="1:8" hidden="1" x14ac:dyDescent="0.3">
      <c r="A78" t="s">
        <v>250</v>
      </c>
      <c r="B78" s="2">
        <v>45597</v>
      </c>
    </row>
    <row r="79" spans="1:8" ht="28.95" hidden="1" customHeight="1" x14ac:dyDescent="0.3">
      <c r="A79" t="s">
        <v>250</v>
      </c>
      <c r="B79" s="2">
        <v>45627</v>
      </c>
    </row>
    <row r="80" spans="1:8" ht="28.95" hidden="1" customHeight="1" x14ac:dyDescent="0.3">
      <c r="A80" t="s">
        <v>250</v>
      </c>
      <c r="B80" s="2">
        <v>45658</v>
      </c>
    </row>
    <row r="81" spans="1:8" hidden="1" x14ac:dyDescent="0.3">
      <c r="A81" t="s">
        <v>250</v>
      </c>
      <c r="B81" s="2">
        <v>45689</v>
      </c>
    </row>
    <row r="82" spans="1:8" ht="43.2" hidden="1" customHeight="1" x14ac:dyDescent="0.3">
      <c r="A82" t="s">
        <v>250</v>
      </c>
      <c r="B82" s="2">
        <v>45717</v>
      </c>
    </row>
    <row r="83" spans="1:8" ht="57.6" hidden="1" customHeight="1" x14ac:dyDescent="0.3">
      <c r="A83" t="s">
        <v>250</v>
      </c>
      <c r="B83" s="2">
        <v>45748</v>
      </c>
    </row>
    <row r="84" spans="1:8" ht="43.2" hidden="1" customHeight="1" x14ac:dyDescent="0.3">
      <c r="A84" t="s">
        <v>250</v>
      </c>
      <c r="B84" s="2">
        <v>45778</v>
      </c>
    </row>
    <row r="85" spans="1:8" ht="72" hidden="1" customHeight="1" x14ac:dyDescent="0.3">
      <c r="A85" t="s">
        <v>250</v>
      </c>
      <c r="B85" s="2">
        <v>45809</v>
      </c>
    </row>
    <row r="86" spans="1:8" ht="43.2" hidden="1" customHeight="1" x14ac:dyDescent="0.3">
      <c r="A86" t="s">
        <v>250</v>
      </c>
      <c r="B86" s="2">
        <v>45839</v>
      </c>
      <c r="C86" t="s">
        <v>911</v>
      </c>
      <c r="D86" t="s">
        <v>36</v>
      </c>
      <c r="E86" t="s">
        <v>36</v>
      </c>
      <c r="F86" t="s">
        <v>36</v>
      </c>
      <c r="G86" t="s">
        <v>36</v>
      </c>
      <c r="H86" t="s">
        <v>916</v>
      </c>
    </row>
    <row r="87" spans="1:8" ht="43.2" hidden="1" customHeight="1" x14ac:dyDescent="0.3">
      <c r="A87" t="s">
        <v>250</v>
      </c>
      <c r="B87" s="2">
        <v>45870</v>
      </c>
      <c r="C87" t="s">
        <v>911</v>
      </c>
      <c r="D87" t="s">
        <v>36</v>
      </c>
      <c r="E87" t="s">
        <v>36</v>
      </c>
      <c r="F87" t="s">
        <v>36</v>
      </c>
      <c r="G87" t="s">
        <v>36</v>
      </c>
      <c r="H87" t="s">
        <v>916</v>
      </c>
    </row>
    <row r="88" spans="1:8" ht="43.2" hidden="1" customHeight="1" x14ac:dyDescent="0.3">
      <c r="A88" t="s">
        <v>250</v>
      </c>
      <c r="B88" s="2">
        <v>45901</v>
      </c>
      <c r="C88" t="s">
        <v>919</v>
      </c>
      <c r="D88" t="s">
        <v>36</v>
      </c>
      <c r="E88" t="s">
        <v>36</v>
      </c>
      <c r="F88" t="s">
        <v>36</v>
      </c>
      <c r="G88" t="s">
        <v>36</v>
      </c>
      <c r="H88" t="s">
        <v>916</v>
      </c>
    </row>
    <row r="89" spans="1:8" hidden="1" x14ac:dyDescent="0.3">
      <c r="A89" t="s">
        <v>250</v>
      </c>
      <c r="B89" s="2">
        <v>45931</v>
      </c>
      <c r="C89" t="s">
        <v>911</v>
      </c>
      <c r="D89" t="s">
        <v>36</v>
      </c>
      <c r="E89" t="s">
        <v>36</v>
      </c>
      <c r="F89" t="s">
        <v>36</v>
      </c>
      <c r="G89" t="s">
        <v>36</v>
      </c>
      <c r="H89" t="s">
        <v>916</v>
      </c>
    </row>
    <row r="90" spans="1:8" hidden="1" x14ac:dyDescent="0.3">
      <c r="A90" t="s">
        <v>250</v>
      </c>
      <c r="B90" s="2">
        <v>45962</v>
      </c>
      <c r="C90" t="s">
        <v>919</v>
      </c>
      <c r="D90" t="s">
        <v>36</v>
      </c>
      <c r="E90" t="s">
        <v>36</v>
      </c>
      <c r="F90" t="s">
        <v>36</v>
      </c>
      <c r="G90" t="s">
        <v>36</v>
      </c>
      <c r="H90" t="s">
        <v>916</v>
      </c>
    </row>
    <row r="91" spans="1:8" hidden="1" x14ac:dyDescent="0.3">
      <c r="A91" t="s">
        <v>250</v>
      </c>
      <c r="B91" s="2">
        <v>45992</v>
      </c>
      <c r="C91" t="s">
        <v>911</v>
      </c>
      <c r="D91" t="s">
        <v>36</v>
      </c>
      <c r="E91" t="s">
        <v>36</v>
      </c>
      <c r="F91" t="s">
        <v>36</v>
      </c>
      <c r="G91" t="s">
        <v>36</v>
      </c>
      <c r="H91" t="s">
        <v>916</v>
      </c>
    </row>
    <row r="92" spans="1:8" hidden="1" x14ac:dyDescent="0.3">
      <c r="A92" t="s">
        <v>250</v>
      </c>
      <c r="B92" s="2">
        <v>46023</v>
      </c>
      <c r="C92" t="s">
        <v>911</v>
      </c>
      <c r="D92" t="s">
        <v>36</v>
      </c>
      <c r="E92" t="s">
        <v>36</v>
      </c>
      <c r="F92" t="s">
        <v>36</v>
      </c>
      <c r="G92" t="s">
        <v>36</v>
      </c>
      <c r="H92" t="s">
        <v>916</v>
      </c>
    </row>
    <row r="93" spans="1:8" hidden="1" x14ac:dyDescent="0.3">
      <c r="A93" t="s">
        <v>250</v>
      </c>
      <c r="B93" s="2">
        <v>46054</v>
      </c>
      <c r="C93" t="s">
        <v>895</v>
      </c>
      <c r="D93" t="s">
        <v>36</v>
      </c>
      <c r="E93" t="s">
        <v>36</v>
      </c>
      <c r="F93" t="s">
        <v>36</v>
      </c>
      <c r="G93" t="s">
        <v>36</v>
      </c>
      <c r="H93" t="s">
        <v>916</v>
      </c>
    </row>
    <row r="94" spans="1:8" hidden="1" x14ac:dyDescent="0.3">
      <c r="A94" t="s">
        <v>250</v>
      </c>
      <c r="B94" s="2">
        <v>46082</v>
      </c>
      <c r="C94" t="s">
        <v>911</v>
      </c>
      <c r="D94" t="s">
        <v>36</v>
      </c>
      <c r="E94" t="s">
        <v>36</v>
      </c>
      <c r="F94" t="s">
        <v>36</v>
      </c>
      <c r="G94" t="s">
        <v>36</v>
      </c>
      <c r="H94" t="s">
        <v>916</v>
      </c>
    </row>
    <row r="95" spans="1:8" hidden="1" x14ac:dyDescent="0.3">
      <c r="A95" t="s">
        <v>250</v>
      </c>
      <c r="B95" s="2">
        <v>46113</v>
      </c>
      <c r="C95" t="s">
        <v>963</v>
      </c>
      <c r="D95" t="s">
        <v>962</v>
      </c>
      <c r="E95" t="s">
        <v>916</v>
      </c>
      <c r="F95" t="s">
        <v>33</v>
      </c>
      <c r="G95" t="s">
        <v>33</v>
      </c>
      <c r="H95" t="s">
        <v>36</v>
      </c>
    </row>
    <row r="96" spans="1:8" hidden="1" x14ac:dyDescent="0.3">
      <c r="A96" t="s">
        <v>250</v>
      </c>
      <c r="B96" s="2">
        <v>46143</v>
      </c>
      <c r="C96" t="s">
        <v>911</v>
      </c>
      <c r="D96" t="s">
        <v>33</v>
      </c>
      <c r="E96" t="s">
        <v>33</v>
      </c>
      <c r="F96" t="s">
        <v>33</v>
      </c>
      <c r="G96" t="s">
        <v>943</v>
      </c>
      <c r="H96" t="s">
        <v>36</v>
      </c>
    </row>
    <row r="97" spans="1:8" hidden="1" x14ac:dyDescent="0.3">
      <c r="A97" t="s">
        <v>250</v>
      </c>
      <c r="B97" s="2">
        <v>46235</v>
      </c>
      <c r="C97" s="10" t="s">
        <v>919</v>
      </c>
      <c r="D97">
        <v>0</v>
      </c>
      <c r="E97" t="s">
        <v>33</v>
      </c>
      <c r="F97" t="s">
        <v>33</v>
      </c>
      <c r="G97" t="s">
        <v>959</v>
      </c>
      <c r="H97" t="s">
        <v>36</v>
      </c>
    </row>
    <row r="98" spans="1:8" ht="28.8" hidden="1" x14ac:dyDescent="0.3">
      <c r="A98" t="s">
        <v>55</v>
      </c>
      <c r="B98" s="2">
        <v>45536</v>
      </c>
      <c r="C98" s="10" t="s">
        <v>315</v>
      </c>
    </row>
    <row r="99" spans="1:8" hidden="1" x14ac:dyDescent="0.3">
      <c r="A99" t="s">
        <v>55</v>
      </c>
      <c r="B99" s="2">
        <v>45566</v>
      </c>
      <c r="C99" s="10"/>
    </row>
    <row r="100" spans="1:8" hidden="1" x14ac:dyDescent="0.3">
      <c r="A100" t="s">
        <v>55</v>
      </c>
      <c r="B100" s="2">
        <v>45597</v>
      </c>
      <c r="C100" s="10"/>
    </row>
    <row r="101" spans="1:8" hidden="1" x14ac:dyDescent="0.3">
      <c r="A101" t="s">
        <v>55</v>
      </c>
      <c r="B101" s="2">
        <v>45627</v>
      </c>
      <c r="C101" s="10"/>
    </row>
    <row r="102" spans="1:8" hidden="1" x14ac:dyDescent="0.3">
      <c r="A102" t="s">
        <v>55</v>
      </c>
      <c r="B102" s="2">
        <v>45658</v>
      </c>
      <c r="C102" s="10"/>
    </row>
    <row r="103" spans="1:8" ht="72" hidden="1" customHeight="1" x14ac:dyDescent="0.3">
      <c r="A103" t="s">
        <v>55</v>
      </c>
      <c r="B103" s="2">
        <v>45689</v>
      </c>
      <c r="C103" s="10" t="s">
        <v>316</v>
      </c>
    </row>
    <row r="104" spans="1:8" ht="86.4" hidden="1" customHeight="1" x14ac:dyDescent="0.3">
      <c r="A104" t="s">
        <v>55</v>
      </c>
      <c r="B104" s="2">
        <v>45717</v>
      </c>
      <c r="C104" s="10" t="s">
        <v>317</v>
      </c>
    </row>
    <row r="105" spans="1:8" ht="72" hidden="1" customHeight="1" x14ac:dyDescent="0.3">
      <c r="A105" t="s">
        <v>55</v>
      </c>
      <c r="B105" s="2">
        <v>45748</v>
      </c>
      <c r="C105" s="10" t="s">
        <v>318</v>
      </c>
    </row>
    <row r="106" spans="1:8" ht="72" hidden="1" customHeight="1" x14ac:dyDescent="0.3">
      <c r="A106" t="s">
        <v>55</v>
      </c>
      <c r="B106" s="2">
        <v>45778</v>
      </c>
      <c r="C106" s="10" t="s">
        <v>319</v>
      </c>
    </row>
    <row r="107" spans="1:8" ht="57.6" hidden="1" customHeight="1" x14ac:dyDescent="0.3">
      <c r="A107" t="s">
        <v>55</v>
      </c>
      <c r="B107" s="2">
        <v>45809</v>
      </c>
      <c r="C107" s="10" t="s">
        <v>320</v>
      </c>
    </row>
    <row r="108" spans="1:8" ht="72" hidden="1" customHeight="1" x14ac:dyDescent="0.3">
      <c r="A108" t="s">
        <v>55</v>
      </c>
      <c r="B108" s="2">
        <v>45839</v>
      </c>
      <c r="C108" s="10" t="s">
        <v>321</v>
      </c>
    </row>
    <row r="109" spans="1:8" ht="57.6" hidden="1" customHeight="1" x14ac:dyDescent="0.3">
      <c r="A109" t="s">
        <v>55</v>
      </c>
      <c r="B109" s="2">
        <v>45870</v>
      </c>
      <c r="C109" s="10" t="s">
        <v>322</v>
      </c>
    </row>
    <row r="110" spans="1:8" ht="72" hidden="1" customHeight="1" x14ac:dyDescent="0.3">
      <c r="A110" t="s">
        <v>55</v>
      </c>
      <c r="B110" s="2">
        <v>45901</v>
      </c>
      <c r="C110" s="10" t="s">
        <v>323</v>
      </c>
    </row>
    <row r="111" spans="1:8" ht="86.4" hidden="1" customHeight="1" x14ac:dyDescent="0.3">
      <c r="A111" t="s">
        <v>55</v>
      </c>
      <c r="B111" s="2">
        <v>45931</v>
      </c>
      <c r="C111" s="10" t="s">
        <v>324</v>
      </c>
    </row>
    <row r="112" spans="1:8" ht="57.6" hidden="1" customHeight="1" x14ac:dyDescent="0.3">
      <c r="A112" t="s">
        <v>55</v>
      </c>
      <c r="B112" s="2">
        <v>45962</v>
      </c>
      <c r="C112" s="10" t="s">
        <v>325</v>
      </c>
    </row>
    <row r="113" spans="1:8" hidden="1" x14ac:dyDescent="0.3">
      <c r="A113" t="s">
        <v>55</v>
      </c>
      <c r="B113" s="2">
        <v>45992</v>
      </c>
      <c r="C113" s="10" t="s">
        <v>326</v>
      </c>
    </row>
    <row r="114" spans="1:8" ht="28.8" hidden="1" x14ac:dyDescent="0.3">
      <c r="A114" t="s">
        <v>55</v>
      </c>
      <c r="B114" s="2">
        <v>46023</v>
      </c>
      <c r="C114" s="10" t="s">
        <v>327</v>
      </c>
    </row>
    <row r="115" spans="1:8" ht="43.2" hidden="1" x14ac:dyDescent="0.3">
      <c r="A115" t="s">
        <v>55</v>
      </c>
      <c r="B115" s="2">
        <v>46054</v>
      </c>
      <c r="C115" s="10" t="s">
        <v>314</v>
      </c>
    </row>
    <row r="116" spans="1:8" hidden="1" x14ac:dyDescent="0.3">
      <c r="A116" t="s">
        <v>55</v>
      </c>
      <c r="B116" s="2">
        <v>46082</v>
      </c>
      <c r="C116" s="10" t="s">
        <v>300</v>
      </c>
    </row>
    <row r="117" spans="1:8" hidden="1" x14ac:dyDescent="0.3">
      <c r="A117" t="s">
        <v>55</v>
      </c>
      <c r="B117" s="2">
        <v>46113</v>
      </c>
      <c r="C117" s="10" t="s">
        <v>300</v>
      </c>
    </row>
    <row r="118" spans="1:8" hidden="1" x14ac:dyDescent="0.3">
      <c r="A118" t="s">
        <v>55</v>
      </c>
      <c r="B118" s="2">
        <v>46143</v>
      </c>
      <c r="C118" s="10" t="s">
        <v>852</v>
      </c>
    </row>
    <row r="119" spans="1:8" hidden="1" x14ac:dyDescent="0.3">
      <c r="A119" t="s">
        <v>55</v>
      </c>
      <c r="B119" s="2">
        <v>46174</v>
      </c>
      <c r="C119" s="10"/>
    </row>
    <row r="120" spans="1:8" hidden="1" x14ac:dyDescent="0.3">
      <c r="A120" t="s">
        <v>55</v>
      </c>
      <c r="B120" s="2">
        <v>46204</v>
      </c>
      <c r="C120" s="10">
        <v>31</v>
      </c>
      <c r="D120">
        <v>0</v>
      </c>
      <c r="E120" t="s">
        <v>33</v>
      </c>
      <c r="F120" t="s">
        <v>33</v>
      </c>
      <c r="G120" s="10" t="s">
        <v>932</v>
      </c>
      <c r="H120" t="s">
        <v>36</v>
      </c>
    </row>
    <row r="121" spans="1:8" hidden="1" x14ac:dyDescent="0.3">
      <c r="A121" t="s">
        <v>55</v>
      </c>
      <c r="B121" s="2">
        <v>46235</v>
      </c>
      <c r="C121" s="10" t="s">
        <v>919</v>
      </c>
      <c r="D121">
        <v>0</v>
      </c>
      <c r="E121" t="s">
        <v>33</v>
      </c>
      <c r="F121" t="s">
        <v>33</v>
      </c>
      <c r="G121" t="s">
        <v>1073</v>
      </c>
      <c r="H121" t="s">
        <v>36</v>
      </c>
    </row>
    <row r="122" spans="1:8" hidden="1" x14ac:dyDescent="0.3">
      <c r="A122" t="s">
        <v>60</v>
      </c>
      <c r="B122" s="2">
        <v>45536</v>
      </c>
      <c r="C122" s="10"/>
    </row>
    <row r="123" spans="1:8" hidden="1" x14ac:dyDescent="0.3">
      <c r="A123" t="s">
        <v>60</v>
      </c>
      <c r="B123" s="2">
        <v>45566</v>
      </c>
      <c r="C123" s="10"/>
    </row>
    <row r="124" spans="1:8" hidden="1" x14ac:dyDescent="0.3">
      <c r="A124" t="s">
        <v>60</v>
      </c>
      <c r="B124" s="2">
        <v>45597</v>
      </c>
      <c r="C124" s="10"/>
    </row>
    <row r="125" spans="1:8" hidden="1" x14ac:dyDescent="0.3">
      <c r="A125" t="s">
        <v>60</v>
      </c>
      <c r="B125" s="2">
        <v>45627</v>
      </c>
      <c r="C125" s="10"/>
    </row>
    <row r="126" spans="1:8" hidden="1" x14ac:dyDescent="0.3">
      <c r="A126" t="s">
        <v>60</v>
      </c>
      <c r="B126" s="2">
        <v>45658</v>
      </c>
      <c r="C126" s="10"/>
    </row>
    <row r="127" spans="1:8" ht="28.95" hidden="1" customHeight="1" x14ac:dyDescent="0.3">
      <c r="A127" t="s">
        <v>60</v>
      </c>
      <c r="B127" s="2">
        <v>45689</v>
      </c>
      <c r="C127" s="10" t="s">
        <v>328</v>
      </c>
    </row>
    <row r="128" spans="1:8" ht="57.6" hidden="1" customHeight="1" x14ac:dyDescent="0.3">
      <c r="A128" t="s">
        <v>60</v>
      </c>
      <c r="B128" s="2">
        <v>45717</v>
      </c>
      <c r="C128" s="10" t="s">
        <v>329</v>
      </c>
    </row>
    <row r="129" spans="1:8" ht="86.4" hidden="1" customHeight="1" x14ac:dyDescent="0.3">
      <c r="A129" t="s">
        <v>60</v>
      </c>
      <c r="B129" s="2">
        <v>45748</v>
      </c>
      <c r="C129" s="10" t="s">
        <v>330</v>
      </c>
    </row>
    <row r="130" spans="1:8" ht="72" hidden="1" customHeight="1" x14ac:dyDescent="0.3">
      <c r="A130" t="s">
        <v>60</v>
      </c>
      <c r="B130" s="2">
        <v>45778</v>
      </c>
      <c r="C130" s="10" t="s">
        <v>331</v>
      </c>
    </row>
    <row r="131" spans="1:8" ht="72" hidden="1" customHeight="1" x14ac:dyDescent="0.3">
      <c r="A131" t="s">
        <v>60</v>
      </c>
      <c r="B131" s="2">
        <v>45809</v>
      </c>
      <c r="C131" s="10" t="s">
        <v>332</v>
      </c>
    </row>
    <row r="132" spans="1:8" ht="72" hidden="1" customHeight="1" x14ac:dyDescent="0.3">
      <c r="A132" t="s">
        <v>60</v>
      </c>
      <c r="B132" s="2">
        <v>45839</v>
      </c>
      <c r="C132" s="10" t="s">
        <v>333</v>
      </c>
    </row>
    <row r="133" spans="1:8" ht="72" hidden="1" customHeight="1" x14ac:dyDescent="0.3">
      <c r="A133" t="s">
        <v>60</v>
      </c>
      <c r="B133" s="2">
        <v>45870</v>
      </c>
      <c r="C133" s="10" t="s">
        <v>334</v>
      </c>
    </row>
    <row r="134" spans="1:8" ht="57.6" hidden="1" customHeight="1" x14ac:dyDescent="0.3">
      <c r="A134" t="s">
        <v>60</v>
      </c>
      <c r="B134" s="2">
        <v>45901</v>
      </c>
      <c r="C134" s="10" t="s">
        <v>335</v>
      </c>
    </row>
    <row r="135" spans="1:8" ht="57.6" hidden="1" customHeight="1" x14ac:dyDescent="0.3">
      <c r="A135" t="s">
        <v>60</v>
      </c>
      <c r="B135" s="2">
        <v>45931</v>
      </c>
      <c r="C135" s="10" t="s">
        <v>336</v>
      </c>
    </row>
    <row r="136" spans="1:8" ht="57.6" hidden="1" customHeight="1" x14ac:dyDescent="0.3">
      <c r="A136" t="s">
        <v>60</v>
      </c>
      <c r="B136" s="2">
        <v>45962</v>
      </c>
      <c r="C136" s="10" t="s">
        <v>337</v>
      </c>
    </row>
    <row r="137" spans="1:8" hidden="1" x14ac:dyDescent="0.3">
      <c r="A137" t="s">
        <v>60</v>
      </c>
      <c r="B137" s="2">
        <v>45992</v>
      </c>
      <c r="C137" s="10" t="s">
        <v>326</v>
      </c>
    </row>
    <row r="138" spans="1:8" hidden="1" x14ac:dyDescent="0.3">
      <c r="A138" t="s">
        <v>60</v>
      </c>
      <c r="B138" s="2">
        <v>46023</v>
      </c>
      <c r="C138" s="10" t="s">
        <v>338</v>
      </c>
    </row>
    <row r="139" spans="1:8" hidden="1" x14ac:dyDescent="0.3">
      <c r="A139" t="s">
        <v>60</v>
      </c>
      <c r="B139" s="2">
        <v>46054</v>
      </c>
      <c r="C139" s="10" t="s">
        <v>326</v>
      </c>
    </row>
    <row r="140" spans="1:8" hidden="1" x14ac:dyDescent="0.3">
      <c r="A140" t="s">
        <v>60</v>
      </c>
      <c r="B140" s="2">
        <v>46082</v>
      </c>
      <c r="C140" s="10" t="s">
        <v>339</v>
      </c>
    </row>
    <row r="141" spans="1:8" hidden="1" x14ac:dyDescent="0.3">
      <c r="A141" t="s">
        <v>60</v>
      </c>
      <c r="B141" s="2">
        <v>46113</v>
      </c>
      <c r="C141" s="10" t="s">
        <v>339</v>
      </c>
    </row>
    <row r="142" spans="1:8" hidden="1" x14ac:dyDescent="0.3">
      <c r="A142" t="s">
        <v>60</v>
      </c>
      <c r="B142" s="2">
        <v>46143</v>
      </c>
      <c r="C142" s="10" t="s">
        <v>868</v>
      </c>
    </row>
    <row r="143" spans="1:8" hidden="1" x14ac:dyDescent="0.3">
      <c r="A143" t="s">
        <v>60</v>
      </c>
      <c r="B143" s="2">
        <v>46174</v>
      </c>
      <c r="C143" s="10"/>
    </row>
    <row r="144" spans="1:8" hidden="1" x14ac:dyDescent="0.3">
      <c r="A144" t="s">
        <v>60</v>
      </c>
      <c r="B144" s="2">
        <v>46204</v>
      </c>
      <c r="C144" s="10">
        <v>31</v>
      </c>
      <c r="D144">
        <v>0</v>
      </c>
      <c r="E144" t="s">
        <v>33</v>
      </c>
      <c r="F144" t="s">
        <v>33</v>
      </c>
      <c r="G144" t="s">
        <v>1014</v>
      </c>
      <c r="H144" t="s">
        <v>36</v>
      </c>
    </row>
    <row r="145" spans="1:8" hidden="1" x14ac:dyDescent="0.3">
      <c r="A145" t="s">
        <v>60</v>
      </c>
      <c r="B145" s="2">
        <v>46235</v>
      </c>
      <c r="C145" s="10" t="s">
        <v>919</v>
      </c>
      <c r="D145">
        <v>0</v>
      </c>
      <c r="E145" t="s">
        <v>33</v>
      </c>
      <c r="F145" t="s">
        <v>33</v>
      </c>
      <c r="G145" t="s">
        <v>959</v>
      </c>
      <c r="H145" t="s">
        <v>36</v>
      </c>
    </row>
    <row r="146" spans="1:8" hidden="1" x14ac:dyDescent="0.3">
      <c r="A146" t="s">
        <v>61</v>
      </c>
      <c r="B146" s="2">
        <v>45536</v>
      </c>
      <c r="C146" s="10"/>
    </row>
    <row r="147" spans="1:8" hidden="1" x14ac:dyDescent="0.3">
      <c r="A147" t="s">
        <v>61</v>
      </c>
      <c r="B147" s="2">
        <v>45566</v>
      </c>
      <c r="C147" s="10"/>
    </row>
    <row r="148" spans="1:8" hidden="1" x14ac:dyDescent="0.3">
      <c r="A148" t="s">
        <v>61</v>
      </c>
      <c r="B148" s="2">
        <v>45597</v>
      </c>
      <c r="C148" s="10"/>
    </row>
    <row r="149" spans="1:8" hidden="1" x14ac:dyDescent="0.3">
      <c r="A149" t="s">
        <v>61</v>
      </c>
      <c r="B149" s="2">
        <v>45627</v>
      </c>
      <c r="C149" s="10"/>
    </row>
    <row r="150" spans="1:8" hidden="1" x14ac:dyDescent="0.3">
      <c r="A150" t="s">
        <v>61</v>
      </c>
      <c r="B150" s="2">
        <v>45658</v>
      </c>
      <c r="C150" s="10"/>
    </row>
    <row r="151" spans="1:8" ht="43.2" hidden="1" customHeight="1" x14ac:dyDescent="0.3">
      <c r="A151" t="s">
        <v>61</v>
      </c>
      <c r="B151" s="2">
        <v>45689</v>
      </c>
      <c r="C151" s="10" t="s">
        <v>340</v>
      </c>
    </row>
    <row r="152" spans="1:8" ht="57.6" hidden="1" customHeight="1" x14ac:dyDescent="0.3">
      <c r="A152" t="s">
        <v>61</v>
      </c>
      <c r="B152" s="2">
        <v>45717</v>
      </c>
      <c r="C152" s="10" t="s">
        <v>341</v>
      </c>
    </row>
    <row r="153" spans="1:8" ht="28.95" hidden="1" customHeight="1" x14ac:dyDescent="0.3">
      <c r="A153" t="s">
        <v>61</v>
      </c>
      <c r="B153" s="2">
        <v>45748</v>
      </c>
      <c r="C153" s="10" t="s">
        <v>342</v>
      </c>
    </row>
    <row r="154" spans="1:8" ht="57.6" hidden="1" customHeight="1" x14ac:dyDescent="0.3">
      <c r="A154" t="s">
        <v>61</v>
      </c>
      <c r="B154" s="2">
        <v>45778</v>
      </c>
      <c r="C154" s="10" t="s">
        <v>343</v>
      </c>
    </row>
    <row r="155" spans="1:8" ht="72" hidden="1" customHeight="1" x14ac:dyDescent="0.3">
      <c r="A155" t="s">
        <v>61</v>
      </c>
      <c r="B155" s="2">
        <v>45809</v>
      </c>
      <c r="C155" s="10" t="s">
        <v>344</v>
      </c>
    </row>
    <row r="156" spans="1:8" ht="57.6" hidden="1" customHeight="1" x14ac:dyDescent="0.3">
      <c r="A156" t="s">
        <v>61</v>
      </c>
      <c r="B156" s="2">
        <v>45839</v>
      </c>
      <c r="C156" s="10" t="s">
        <v>345</v>
      </c>
    </row>
    <row r="157" spans="1:8" ht="72" hidden="1" customHeight="1" x14ac:dyDescent="0.3">
      <c r="A157" t="s">
        <v>61</v>
      </c>
      <c r="B157" s="2">
        <v>45870</v>
      </c>
      <c r="C157" s="10" t="s">
        <v>346</v>
      </c>
    </row>
    <row r="158" spans="1:8" ht="57.6" hidden="1" customHeight="1" x14ac:dyDescent="0.3">
      <c r="A158" t="s">
        <v>61</v>
      </c>
      <c r="B158" s="2">
        <v>45901</v>
      </c>
      <c r="C158" s="10" t="s">
        <v>347</v>
      </c>
    </row>
    <row r="159" spans="1:8" ht="57.6" hidden="1" customHeight="1" x14ac:dyDescent="0.3">
      <c r="A159" t="s">
        <v>61</v>
      </c>
      <c r="B159" s="2">
        <v>45931</v>
      </c>
      <c r="C159" s="10" t="s">
        <v>348</v>
      </c>
    </row>
    <row r="160" spans="1:8" ht="57.6" hidden="1" customHeight="1" x14ac:dyDescent="0.3">
      <c r="A160" t="s">
        <v>61</v>
      </c>
      <c r="B160" s="2">
        <v>45962</v>
      </c>
      <c r="C160" s="10" t="s">
        <v>349</v>
      </c>
    </row>
    <row r="161" spans="1:8" hidden="1" x14ac:dyDescent="0.3">
      <c r="A161" t="s">
        <v>61</v>
      </c>
      <c r="B161" s="2">
        <v>45992</v>
      </c>
      <c r="C161" s="10" t="s">
        <v>326</v>
      </c>
    </row>
    <row r="162" spans="1:8" hidden="1" x14ac:dyDescent="0.3">
      <c r="A162" t="s">
        <v>61</v>
      </c>
      <c r="B162" s="2">
        <v>46023</v>
      </c>
      <c r="C162" s="10" t="s">
        <v>338</v>
      </c>
    </row>
    <row r="163" spans="1:8" ht="43.2" hidden="1" x14ac:dyDescent="0.3">
      <c r="A163" t="s">
        <v>61</v>
      </c>
      <c r="B163" s="2">
        <v>46054</v>
      </c>
      <c r="C163" s="10" t="s">
        <v>314</v>
      </c>
    </row>
    <row r="164" spans="1:8" hidden="1" x14ac:dyDescent="0.3">
      <c r="A164" t="s">
        <v>61</v>
      </c>
      <c r="B164" s="2">
        <v>46082</v>
      </c>
      <c r="C164" s="10" t="s">
        <v>338</v>
      </c>
    </row>
    <row r="165" spans="1:8" hidden="1" x14ac:dyDescent="0.3">
      <c r="A165" t="s">
        <v>61</v>
      </c>
      <c r="B165" s="2">
        <v>46113</v>
      </c>
      <c r="C165" s="10" t="s">
        <v>302</v>
      </c>
    </row>
    <row r="166" spans="1:8" hidden="1" x14ac:dyDescent="0.3">
      <c r="A166" t="s">
        <v>61</v>
      </c>
      <c r="B166" s="2">
        <v>46143</v>
      </c>
      <c r="C166" s="10" t="s">
        <v>302</v>
      </c>
    </row>
    <row r="167" spans="1:8" hidden="1" x14ac:dyDescent="0.3">
      <c r="A167" t="s">
        <v>61</v>
      </c>
      <c r="B167" s="2">
        <v>46174</v>
      </c>
      <c r="C167" s="10"/>
    </row>
    <row r="168" spans="1:8" hidden="1" x14ac:dyDescent="0.3">
      <c r="A168" t="s">
        <v>61</v>
      </c>
      <c r="B168" s="2">
        <v>46204</v>
      </c>
      <c r="C168" s="10">
        <v>31</v>
      </c>
      <c r="D168">
        <v>0</v>
      </c>
      <c r="E168" t="s">
        <v>33</v>
      </c>
      <c r="F168" t="s">
        <v>33</v>
      </c>
      <c r="G168" t="s">
        <v>1014</v>
      </c>
      <c r="H168" t="s">
        <v>36</v>
      </c>
    </row>
    <row r="169" spans="1:8" hidden="1" x14ac:dyDescent="0.3">
      <c r="A169" t="s">
        <v>61</v>
      </c>
      <c r="B169" s="2">
        <v>46235</v>
      </c>
      <c r="C169" s="10" t="s">
        <v>919</v>
      </c>
      <c r="D169">
        <v>0</v>
      </c>
      <c r="E169" t="s">
        <v>33</v>
      </c>
      <c r="F169" t="s">
        <v>33</v>
      </c>
      <c r="G169" t="s">
        <v>959</v>
      </c>
      <c r="H169" t="s">
        <v>36</v>
      </c>
    </row>
    <row r="170" spans="1:8" hidden="1" x14ac:dyDescent="0.3">
      <c r="A170" t="s">
        <v>64</v>
      </c>
      <c r="B170" s="2">
        <v>45536</v>
      </c>
      <c r="C170" s="10"/>
    </row>
    <row r="171" spans="1:8" hidden="1" x14ac:dyDescent="0.3">
      <c r="A171" t="s">
        <v>64</v>
      </c>
      <c r="B171" s="2">
        <v>45566</v>
      </c>
      <c r="C171" s="10"/>
    </row>
    <row r="172" spans="1:8" hidden="1" x14ac:dyDescent="0.3">
      <c r="A172" t="s">
        <v>64</v>
      </c>
      <c r="B172" s="2">
        <v>45597</v>
      </c>
      <c r="C172" s="10"/>
    </row>
    <row r="173" spans="1:8" hidden="1" x14ac:dyDescent="0.3">
      <c r="A173" t="s">
        <v>64</v>
      </c>
      <c r="B173" s="2">
        <v>45627</v>
      </c>
      <c r="C173" s="10"/>
    </row>
    <row r="174" spans="1:8" hidden="1" x14ac:dyDescent="0.3">
      <c r="A174" t="s">
        <v>64</v>
      </c>
      <c r="B174" s="2">
        <v>45658</v>
      </c>
      <c r="C174" s="10"/>
    </row>
    <row r="175" spans="1:8" ht="28.95" hidden="1" customHeight="1" x14ac:dyDescent="0.3">
      <c r="A175" t="s">
        <v>64</v>
      </c>
      <c r="B175" s="2">
        <v>45689</v>
      </c>
      <c r="C175" s="10" t="s">
        <v>303</v>
      </c>
    </row>
    <row r="176" spans="1:8" ht="28.95" hidden="1" customHeight="1" x14ac:dyDescent="0.3">
      <c r="A176" t="s">
        <v>64</v>
      </c>
      <c r="B176" s="2">
        <v>45717</v>
      </c>
      <c r="C176" s="10" t="s">
        <v>304</v>
      </c>
    </row>
    <row r="177" spans="1:8" ht="28.95" hidden="1" customHeight="1" x14ac:dyDescent="0.3">
      <c r="A177" t="s">
        <v>64</v>
      </c>
      <c r="B177" s="2">
        <v>45748</v>
      </c>
      <c r="C177" s="10" t="s">
        <v>305</v>
      </c>
    </row>
    <row r="178" spans="1:8" ht="28.95" hidden="1" customHeight="1" x14ac:dyDescent="0.3">
      <c r="A178" t="s">
        <v>64</v>
      </c>
      <c r="B178" s="2">
        <v>45778</v>
      </c>
      <c r="C178" s="10" t="s">
        <v>306</v>
      </c>
    </row>
    <row r="179" spans="1:8" ht="28.95" hidden="1" customHeight="1" x14ac:dyDescent="0.3">
      <c r="A179" t="s">
        <v>64</v>
      </c>
      <c r="B179" s="2">
        <v>45809</v>
      </c>
      <c r="C179" s="10" t="s">
        <v>307</v>
      </c>
    </row>
    <row r="180" spans="1:8" ht="28.95" hidden="1" customHeight="1" x14ac:dyDescent="0.3">
      <c r="A180" t="s">
        <v>64</v>
      </c>
      <c r="B180" s="2">
        <v>45839</v>
      </c>
      <c r="C180" s="10" t="s">
        <v>308</v>
      </c>
    </row>
    <row r="181" spans="1:8" ht="28.95" hidden="1" customHeight="1" x14ac:dyDescent="0.3">
      <c r="A181" t="s">
        <v>64</v>
      </c>
      <c r="B181" s="2">
        <v>45870</v>
      </c>
      <c r="C181" s="10" t="s">
        <v>309</v>
      </c>
    </row>
    <row r="182" spans="1:8" ht="28.95" hidden="1" customHeight="1" x14ac:dyDescent="0.3">
      <c r="A182" t="s">
        <v>64</v>
      </c>
      <c r="B182" s="2">
        <v>45901</v>
      </c>
      <c r="C182" s="10" t="s">
        <v>310</v>
      </c>
    </row>
    <row r="183" spans="1:8" ht="43.2" hidden="1" customHeight="1" x14ac:dyDescent="0.3">
      <c r="A183" t="s">
        <v>64</v>
      </c>
      <c r="B183" s="2">
        <v>45931</v>
      </c>
      <c r="C183" s="10" t="s">
        <v>311</v>
      </c>
    </row>
    <row r="184" spans="1:8" ht="86.4" hidden="1" x14ac:dyDescent="0.3">
      <c r="A184" t="s">
        <v>64</v>
      </c>
      <c r="B184" s="2">
        <v>45962</v>
      </c>
      <c r="C184" s="10" t="s">
        <v>312</v>
      </c>
    </row>
    <row r="185" spans="1:8" ht="28.8" hidden="1" x14ac:dyDescent="0.3">
      <c r="A185" t="s">
        <v>64</v>
      </c>
      <c r="B185" s="2">
        <v>45992</v>
      </c>
      <c r="C185" s="10" t="s">
        <v>313</v>
      </c>
    </row>
    <row r="186" spans="1:8" ht="28.8" hidden="1" x14ac:dyDescent="0.3">
      <c r="A186" t="s">
        <v>64</v>
      </c>
      <c r="B186" s="2">
        <v>46023</v>
      </c>
      <c r="C186" s="10" t="s">
        <v>313</v>
      </c>
    </row>
    <row r="187" spans="1:8" ht="43.2" hidden="1" x14ac:dyDescent="0.3">
      <c r="A187" t="s">
        <v>64</v>
      </c>
      <c r="B187" s="2">
        <v>46054</v>
      </c>
      <c r="C187" s="10" t="s">
        <v>314</v>
      </c>
    </row>
    <row r="188" spans="1:8" hidden="1" x14ac:dyDescent="0.3">
      <c r="A188" t="s">
        <v>64</v>
      </c>
      <c r="B188" s="2">
        <v>46082</v>
      </c>
      <c r="C188" s="10" t="s">
        <v>300</v>
      </c>
    </row>
    <row r="189" spans="1:8" hidden="1" x14ac:dyDescent="0.3">
      <c r="A189" t="s">
        <v>64</v>
      </c>
      <c r="B189" s="2">
        <v>46113</v>
      </c>
      <c r="C189" s="10" t="s">
        <v>300</v>
      </c>
    </row>
    <row r="190" spans="1:8" hidden="1" x14ac:dyDescent="0.3">
      <c r="A190" t="s">
        <v>64</v>
      </c>
      <c r="B190" s="2">
        <v>46143</v>
      </c>
      <c r="C190" s="10" t="s">
        <v>852</v>
      </c>
    </row>
    <row r="191" spans="1:8" hidden="1" x14ac:dyDescent="0.3">
      <c r="A191" t="s">
        <v>64</v>
      </c>
      <c r="B191" s="2">
        <v>46235</v>
      </c>
      <c r="C191" s="10" t="s">
        <v>898</v>
      </c>
      <c r="D191" t="s">
        <v>1074</v>
      </c>
      <c r="E191" t="s">
        <v>1076</v>
      </c>
      <c r="F191" t="s">
        <v>1075</v>
      </c>
      <c r="G191" t="s">
        <v>1077</v>
      </c>
      <c r="H191" t="s">
        <v>36</v>
      </c>
    </row>
    <row r="192" spans="1:8" ht="27.6" hidden="1" customHeight="1" x14ac:dyDescent="0.3">
      <c r="A192" t="s">
        <v>64</v>
      </c>
      <c r="B192" s="2">
        <v>46174</v>
      </c>
      <c r="C192" s="10"/>
    </row>
    <row r="193" spans="1:8" hidden="1" x14ac:dyDescent="0.3">
      <c r="A193" t="s">
        <v>64</v>
      </c>
      <c r="B193" s="2">
        <v>46204</v>
      </c>
      <c r="C193" s="10">
        <v>31</v>
      </c>
      <c r="D193">
        <v>0</v>
      </c>
      <c r="E193" t="s">
        <v>33</v>
      </c>
      <c r="F193" t="s">
        <v>33</v>
      </c>
      <c r="G193" s="10" t="s">
        <v>932</v>
      </c>
      <c r="H193" t="s">
        <v>36</v>
      </c>
    </row>
    <row r="194" spans="1:8" hidden="1" x14ac:dyDescent="0.3">
      <c r="A194" t="s">
        <v>66</v>
      </c>
      <c r="B194" s="2">
        <v>45536</v>
      </c>
      <c r="C194" s="10"/>
    </row>
    <row r="195" spans="1:8" hidden="1" x14ac:dyDescent="0.3">
      <c r="A195" t="s">
        <v>66</v>
      </c>
      <c r="B195" s="2">
        <v>45566</v>
      </c>
      <c r="C195" s="10"/>
    </row>
    <row r="196" spans="1:8" hidden="1" x14ac:dyDescent="0.3">
      <c r="A196" t="s">
        <v>66</v>
      </c>
      <c r="B196" s="2">
        <v>45597</v>
      </c>
      <c r="C196" s="10"/>
    </row>
    <row r="197" spans="1:8" hidden="1" x14ac:dyDescent="0.3">
      <c r="A197" t="s">
        <v>66</v>
      </c>
      <c r="B197" s="2">
        <v>45627</v>
      </c>
      <c r="C197" s="10"/>
    </row>
    <row r="198" spans="1:8" hidden="1" x14ac:dyDescent="0.3">
      <c r="A198" t="s">
        <v>66</v>
      </c>
      <c r="B198" s="2">
        <v>45658</v>
      </c>
      <c r="C198" s="10"/>
    </row>
    <row r="199" spans="1:8" ht="28.95" hidden="1" customHeight="1" x14ac:dyDescent="0.3">
      <c r="A199" t="s">
        <v>66</v>
      </c>
      <c r="B199" s="2">
        <v>45689</v>
      </c>
      <c r="C199" s="10" t="s">
        <v>350</v>
      </c>
    </row>
    <row r="200" spans="1:8" ht="28.95" hidden="1" customHeight="1" x14ac:dyDescent="0.3">
      <c r="A200" t="s">
        <v>66</v>
      </c>
      <c r="B200" s="2">
        <v>45717</v>
      </c>
      <c r="C200" s="10" t="s">
        <v>350</v>
      </c>
    </row>
    <row r="201" spans="1:8" ht="28.95" hidden="1" customHeight="1" x14ac:dyDescent="0.3">
      <c r="A201" t="s">
        <v>66</v>
      </c>
      <c r="B201" s="2">
        <v>45748</v>
      </c>
      <c r="C201" s="10" t="s">
        <v>350</v>
      </c>
    </row>
    <row r="202" spans="1:8" ht="43.2" hidden="1" customHeight="1" x14ac:dyDescent="0.3">
      <c r="A202" t="s">
        <v>66</v>
      </c>
      <c r="B202" s="2">
        <v>45778</v>
      </c>
      <c r="C202" s="10" t="s">
        <v>350</v>
      </c>
    </row>
    <row r="203" spans="1:8" ht="72" hidden="1" customHeight="1" x14ac:dyDescent="0.3">
      <c r="A203" t="s">
        <v>66</v>
      </c>
      <c r="B203" s="2">
        <v>45809</v>
      </c>
      <c r="C203" s="10" t="s">
        <v>350</v>
      </c>
    </row>
    <row r="204" spans="1:8" ht="72" hidden="1" customHeight="1" x14ac:dyDescent="0.3">
      <c r="A204" t="s">
        <v>66</v>
      </c>
      <c r="B204" s="2">
        <v>45839</v>
      </c>
      <c r="C204" s="10" t="s">
        <v>350</v>
      </c>
    </row>
    <row r="205" spans="1:8" ht="72" hidden="1" customHeight="1" x14ac:dyDescent="0.3">
      <c r="A205" t="s">
        <v>66</v>
      </c>
      <c r="B205" s="2">
        <v>45870</v>
      </c>
      <c r="C205" s="10" t="s">
        <v>350</v>
      </c>
    </row>
    <row r="206" spans="1:8" ht="57.6" hidden="1" customHeight="1" x14ac:dyDescent="0.3">
      <c r="A206" t="s">
        <v>66</v>
      </c>
      <c r="B206" s="2">
        <v>45901</v>
      </c>
      <c r="C206" s="10" t="s">
        <v>351</v>
      </c>
    </row>
    <row r="207" spans="1:8" ht="57.6" hidden="1" customHeight="1" x14ac:dyDescent="0.3">
      <c r="A207" t="s">
        <v>66</v>
      </c>
      <c r="B207" s="2">
        <v>45931</v>
      </c>
      <c r="C207" s="10" t="s">
        <v>352</v>
      </c>
    </row>
    <row r="208" spans="1:8" ht="57.6" hidden="1" customHeight="1" x14ac:dyDescent="0.3">
      <c r="A208" t="s">
        <v>66</v>
      </c>
      <c r="B208" s="2">
        <v>45962</v>
      </c>
      <c r="C208" s="10" t="s">
        <v>353</v>
      </c>
    </row>
    <row r="209" spans="1:8" hidden="1" x14ac:dyDescent="0.3">
      <c r="A209" t="s">
        <v>66</v>
      </c>
      <c r="B209" s="2">
        <v>45992</v>
      </c>
      <c r="C209" s="10" t="s">
        <v>353</v>
      </c>
    </row>
    <row r="210" spans="1:8" hidden="1" x14ac:dyDescent="0.3">
      <c r="A210" t="s">
        <v>66</v>
      </c>
      <c r="B210" s="2">
        <v>46023</v>
      </c>
      <c r="C210" s="10" t="s">
        <v>353</v>
      </c>
    </row>
    <row r="211" spans="1:8" hidden="1" x14ac:dyDescent="0.3">
      <c r="A211" t="s">
        <v>66</v>
      </c>
      <c r="B211" s="2">
        <v>46054</v>
      </c>
      <c r="C211" s="10" t="s">
        <v>353</v>
      </c>
    </row>
    <row r="212" spans="1:8" hidden="1" x14ac:dyDescent="0.3">
      <c r="A212" t="s">
        <v>66</v>
      </c>
      <c r="B212" s="2">
        <v>46082</v>
      </c>
      <c r="C212" s="10" t="s">
        <v>353</v>
      </c>
    </row>
    <row r="213" spans="1:8" hidden="1" x14ac:dyDescent="0.3">
      <c r="A213" t="s">
        <v>66</v>
      </c>
      <c r="B213" s="2">
        <v>46113</v>
      </c>
      <c r="C213" s="10" t="s">
        <v>353</v>
      </c>
    </row>
    <row r="214" spans="1:8" hidden="1" x14ac:dyDescent="0.3">
      <c r="A214" t="s">
        <v>66</v>
      </c>
      <c r="B214" s="2">
        <v>46143</v>
      </c>
      <c r="C214" s="10" t="s">
        <v>853</v>
      </c>
    </row>
    <row r="215" spans="1:8" hidden="1" x14ac:dyDescent="0.3">
      <c r="A215" t="s">
        <v>66</v>
      </c>
      <c r="B215" s="2">
        <v>46235</v>
      </c>
      <c r="C215" t="s">
        <v>896</v>
      </c>
      <c r="D215">
        <v>0</v>
      </c>
      <c r="E215" t="s">
        <v>33</v>
      </c>
      <c r="F215" t="s">
        <v>1078</v>
      </c>
      <c r="G215" t="s">
        <v>1073</v>
      </c>
      <c r="H215" t="s">
        <v>36</v>
      </c>
    </row>
    <row r="216" spans="1:8" hidden="1" x14ac:dyDescent="0.3">
      <c r="A216" t="s">
        <v>66</v>
      </c>
      <c r="B216" s="2">
        <v>46174</v>
      </c>
      <c r="C216" s="10"/>
    </row>
    <row r="217" spans="1:8" hidden="1" x14ac:dyDescent="0.3">
      <c r="A217" t="s">
        <v>66</v>
      </c>
      <c r="B217" s="2">
        <v>46204</v>
      </c>
      <c r="C217" s="10">
        <v>31</v>
      </c>
      <c r="D217">
        <v>0</v>
      </c>
      <c r="E217" t="s">
        <v>33</v>
      </c>
      <c r="F217" t="s">
        <v>33</v>
      </c>
      <c r="G217" s="10" t="s">
        <v>932</v>
      </c>
      <c r="H217" t="s">
        <v>36</v>
      </c>
    </row>
    <row r="218" spans="1:8" hidden="1" x14ac:dyDescent="0.3">
      <c r="A218" t="s">
        <v>71</v>
      </c>
      <c r="B218" s="2">
        <v>45536</v>
      </c>
      <c r="C218" s="10"/>
    </row>
    <row r="219" spans="1:8" hidden="1" x14ac:dyDescent="0.3">
      <c r="A219" t="s">
        <v>71</v>
      </c>
      <c r="B219" s="2">
        <v>45566</v>
      </c>
      <c r="C219" s="10"/>
    </row>
    <row r="220" spans="1:8" hidden="1" x14ac:dyDescent="0.3">
      <c r="A220" t="s">
        <v>71</v>
      </c>
      <c r="B220" s="2">
        <v>45597</v>
      </c>
      <c r="C220" s="10"/>
    </row>
    <row r="221" spans="1:8" hidden="1" x14ac:dyDescent="0.3">
      <c r="A221" t="s">
        <v>71</v>
      </c>
      <c r="B221" s="2">
        <v>45627</v>
      </c>
      <c r="C221" s="10"/>
    </row>
    <row r="222" spans="1:8" hidden="1" x14ac:dyDescent="0.3">
      <c r="A222" t="s">
        <v>71</v>
      </c>
      <c r="B222" s="2">
        <v>45658</v>
      </c>
      <c r="C222" s="10"/>
    </row>
    <row r="223" spans="1:8" ht="28.8" hidden="1" x14ac:dyDescent="0.3">
      <c r="A223" t="s">
        <v>71</v>
      </c>
      <c r="B223" s="2">
        <v>45689</v>
      </c>
      <c r="C223" s="10" t="s">
        <v>354</v>
      </c>
    </row>
    <row r="224" spans="1:8" ht="28.95" hidden="1" customHeight="1" x14ac:dyDescent="0.3">
      <c r="A224" t="s">
        <v>71</v>
      </c>
      <c r="B224" s="2">
        <v>45717</v>
      </c>
      <c r="C224" s="10" t="s">
        <v>355</v>
      </c>
    </row>
    <row r="225" spans="1:8" ht="43.2" hidden="1" customHeight="1" x14ac:dyDescent="0.3">
      <c r="A225" t="s">
        <v>71</v>
      </c>
      <c r="B225" s="2">
        <v>45748</v>
      </c>
      <c r="C225" s="10" t="s">
        <v>356</v>
      </c>
    </row>
    <row r="226" spans="1:8" ht="57.6" hidden="1" customHeight="1" x14ac:dyDescent="0.3">
      <c r="A226" t="s">
        <v>71</v>
      </c>
      <c r="B226" s="2">
        <v>45778</v>
      </c>
      <c r="C226" s="10" t="s">
        <v>357</v>
      </c>
    </row>
    <row r="227" spans="1:8" ht="57.6" hidden="1" customHeight="1" x14ac:dyDescent="0.3">
      <c r="A227" t="s">
        <v>71</v>
      </c>
      <c r="B227" s="2">
        <v>45809</v>
      </c>
      <c r="C227" s="10" t="s">
        <v>358</v>
      </c>
    </row>
    <row r="228" spans="1:8" ht="43.2" hidden="1" customHeight="1" x14ac:dyDescent="0.3">
      <c r="A228" t="s">
        <v>71</v>
      </c>
      <c r="B228" s="2">
        <v>45839</v>
      </c>
      <c r="C228" s="10" t="s">
        <v>359</v>
      </c>
    </row>
    <row r="229" spans="1:8" ht="43.2" hidden="1" customHeight="1" x14ac:dyDescent="0.3">
      <c r="A229" t="s">
        <v>71</v>
      </c>
      <c r="B229" s="2">
        <v>45870</v>
      </c>
      <c r="C229" s="10" t="s">
        <v>360</v>
      </c>
    </row>
    <row r="230" spans="1:8" ht="43.2" hidden="1" customHeight="1" x14ac:dyDescent="0.3">
      <c r="A230" t="s">
        <v>71</v>
      </c>
      <c r="B230" s="2">
        <v>45901</v>
      </c>
      <c r="C230" s="10" t="s">
        <v>361</v>
      </c>
    </row>
    <row r="231" spans="1:8" ht="43.2" hidden="1" customHeight="1" x14ac:dyDescent="0.3">
      <c r="A231" t="s">
        <v>71</v>
      </c>
      <c r="B231" s="2">
        <v>45931</v>
      </c>
      <c r="C231" s="10" t="s">
        <v>362</v>
      </c>
    </row>
    <row r="232" spans="1:8" ht="43.2" hidden="1" customHeight="1" x14ac:dyDescent="0.3">
      <c r="A232" t="s">
        <v>71</v>
      </c>
      <c r="B232" s="2">
        <v>45962</v>
      </c>
      <c r="C232" s="10" t="s">
        <v>363</v>
      </c>
    </row>
    <row r="233" spans="1:8" ht="28.8" hidden="1" x14ac:dyDescent="0.3">
      <c r="A233" t="s">
        <v>71</v>
      </c>
      <c r="B233" s="2">
        <v>45992</v>
      </c>
      <c r="C233" s="10" t="s">
        <v>364</v>
      </c>
    </row>
    <row r="234" spans="1:8" hidden="1" x14ac:dyDescent="0.3">
      <c r="A234" t="s">
        <v>71</v>
      </c>
      <c r="B234" s="2">
        <v>46023</v>
      </c>
      <c r="C234" s="10" t="s">
        <v>338</v>
      </c>
    </row>
    <row r="235" spans="1:8" hidden="1" x14ac:dyDescent="0.3">
      <c r="A235" t="s">
        <v>71</v>
      </c>
      <c r="B235" s="2">
        <v>46054</v>
      </c>
      <c r="C235" s="10" t="s">
        <v>326</v>
      </c>
    </row>
    <row r="236" spans="1:8" hidden="1" x14ac:dyDescent="0.3">
      <c r="A236" t="s">
        <v>71</v>
      </c>
      <c r="B236" s="2">
        <v>46082</v>
      </c>
      <c r="C236" s="10" t="s">
        <v>326</v>
      </c>
    </row>
    <row r="237" spans="1:8" hidden="1" x14ac:dyDescent="0.3">
      <c r="A237" t="s">
        <v>71</v>
      </c>
      <c r="B237" s="2">
        <v>46113</v>
      </c>
      <c r="C237" s="10" t="s">
        <v>302</v>
      </c>
    </row>
    <row r="238" spans="1:8" hidden="1" x14ac:dyDescent="0.3">
      <c r="A238" t="s">
        <v>71</v>
      </c>
      <c r="B238" s="2">
        <v>46143</v>
      </c>
      <c r="C238" s="10" t="s">
        <v>302</v>
      </c>
    </row>
    <row r="239" spans="1:8" ht="28.8" hidden="1" x14ac:dyDescent="0.3">
      <c r="A239" t="s">
        <v>71</v>
      </c>
      <c r="B239" s="2">
        <v>46235</v>
      </c>
      <c r="C239" s="10" t="s">
        <v>898</v>
      </c>
      <c r="D239" t="s">
        <v>1079</v>
      </c>
      <c r="E239" s="32" t="s">
        <v>1017</v>
      </c>
      <c r="F239" s="32" t="s">
        <v>1018</v>
      </c>
      <c r="G239" s="10" t="s">
        <v>1020</v>
      </c>
      <c r="H239" t="s">
        <v>36</v>
      </c>
    </row>
    <row r="240" spans="1:8" hidden="1" x14ac:dyDescent="0.3">
      <c r="A240" t="s">
        <v>71</v>
      </c>
      <c r="B240" s="2">
        <v>46174</v>
      </c>
      <c r="C240" s="10"/>
    </row>
    <row r="241" spans="1:8" ht="28.8" hidden="1" x14ac:dyDescent="0.3">
      <c r="A241" t="s">
        <v>71</v>
      </c>
      <c r="B241" s="2">
        <v>46204</v>
      </c>
      <c r="C241" s="10">
        <v>24</v>
      </c>
      <c r="D241" t="s">
        <v>1023</v>
      </c>
      <c r="E241" s="32" t="s">
        <v>1017</v>
      </c>
      <c r="F241" s="32" t="s">
        <v>1018</v>
      </c>
      <c r="G241" s="10" t="s">
        <v>1020</v>
      </c>
      <c r="H241" t="s">
        <v>36</v>
      </c>
    </row>
    <row r="242" spans="1:8" hidden="1" x14ac:dyDescent="0.3">
      <c r="A242" t="s">
        <v>251</v>
      </c>
      <c r="B242" s="2">
        <v>46204</v>
      </c>
      <c r="C242">
        <v>31</v>
      </c>
      <c r="D242">
        <v>0</v>
      </c>
      <c r="E242" t="s">
        <v>33</v>
      </c>
      <c r="F242" t="s">
        <v>33</v>
      </c>
      <c r="G242" t="s">
        <v>338</v>
      </c>
      <c r="H242" t="s">
        <v>36</v>
      </c>
    </row>
    <row r="243" spans="1:8" hidden="1" x14ac:dyDescent="0.3">
      <c r="A243" t="s">
        <v>251</v>
      </c>
      <c r="B243" s="2">
        <v>46174</v>
      </c>
    </row>
    <row r="244" spans="1:8" hidden="1" x14ac:dyDescent="0.3">
      <c r="A244" t="s">
        <v>251</v>
      </c>
      <c r="B244" s="2">
        <v>46143</v>
      </c>
      <c r="C244" t="s">
        <v>302</v>
      </c>
    </row>
    <row r="245" spans="1:8" hidden="1" x14ac:dyDescent="0.3">
      <c r="A245" t="s">
        <v>251</v>
      </c>
      <c r="B245" s="2">
        <v>46235</v>
      </c>
      <c r="C245" t="s">
        <v>896</v>
      </c>
      <c r="D245">
        <v>0</v>
      </c>
      <c r="E245" t="s">
        <v>33</v>
      </c>
      <c r="F245" t="s">
        <v>33</v>
      </c>
      <c r="G245" t="s">
        <v>338</v>
      </c>
      <c r="H245" t="s">
        <v>36</v>
      </c>
    </row>
    <row r="246" spans="1:8" x14ac:dyDescent="0.3">
      <c r="A246" t="s">
        <v>31</v>
      </c>
      <c r="B246" s="2">
        <v>46266</v>
      </c>
      <c r="C246">
        <v>30</v>
      </c>
      <c r="D246">
        <v>0</v>
      </c>
      <c r="E246" t="s">
        <v>33</v>
      </c>
      <c r="F246" t="s">
        <v>33</v>
      </c>
      <c r="G246" t="s">
        <v>1073</v>
      </c>
      <c r="H246" t="s">
        <v>36</v>
      </c>
    </row>
    <row r="247" spans="1:8" hidden="1" x14ac:dyDescent="0.3">
      <c r="A247" t="s">
        <v>251</v>
      </c>
      <c r="B247" s="2">
        <v>46296</v>
      </c>
    </row>
    <row r="248" spans="1:8" ht="28.95" hidden="1" customHeight="1" x14ac:dyDescent="0.3">
      <c r="A248" t="s">
        <v>251</v>
      </c>
      <c r="B248" s="2">
        <v>46327</v>
      </c>
    </row>
    <row r="249" spans="1:8" ht="43.2" hidden="1" customHeight="1" x14ac:dyDescent="0.3">
      <c r="A249" t="s">
        <v>251</v>
      </c>
      <c r="B249" s="2">
        <v>46357</v>
      </c>
    </row>
    <row r="250" spans="1:8" ht="57.6" hidden="1" customHeight="1" x14ac:dyDescent="0.3">
      <c r="A250" t="s">
        <v>77</v>
      </c>
      <c r="B250" s="2">
        <v>45536</v>
      </c>
      <c r="C250" s="10"/>
    </row>
    <row r="251" spans="1:8" ht="57.6" hidden="1" customHeight="1" x14ac:dyDescent="0.3">
      <c r="A251" t="s">
        <v>77</v>
      </c>
      <c r="B251" s="2">
        <v>45566</v>
      </c>
      <c r="C251" s="10"/>
    </row>
    <row r="252" spans="1:8" ht="43.2" hidden="1" customHeight="1" x14ac:dyDescent="0.3">
      <c r="A252" t="s">
        <v>77</v>
      </c>
      <c r="B252" s="2">
        <v>45597</v>
      </c>
      <c r="C252" s="10"/>
    </row>
    <row r="253" spans="1:8" ht="43.2" hidden="1" customHeight="1" x14ac:dyDescent="0.3">
      <c r="A253" t="s">
        <v>77</v>
      </c>
      <c r="B253" s="2">
        <v>45627</v>
      </c>
      <c r="C253" s="10"/>
    </row>
    <row r="254" spans="1:8" ht="43.2" hidden="1" customHeight="1" x14ac:dyDescent="0.3">
      <c r="A254" t="s">
        <v>77</v>
      </c>
      <c r="B254" s="2">
        <v>45658</v>
      </c>
      <c r="C254" s="10"/>
    </row>
    <row r="255" spans="1:8" ht="43.2" hidden="1" customHeight="1" x14ac:dyDescent="0.3">
      <c r="A255" t="s">
        <v>77</v>
      </c>
      <c r="B255" s="2">
        <v>45689</v>
      </c>
      <c r="C255" s="10" t="s">
        <v>365</v>
      </c>
    </row>
    <row r="256" spans="1:8" ht="57.6" hidden="1" customHeight="1" x14ac:dyDescent="0.3">
      <c r="A256" t="s">
        <v>77</v>
      </c>
      <c r="B256" s="2">
        <v>45717</v>
      </c>
      <c r="C256" s="10" t="s">
        <v>366</v>
      </c>
    </row>
    <row r="257" spans="1:8" ht="57.6" hidden="1" x14ac:dyDescent="0.3">
      <c r="A257" t="s">
        <v>77</v>
      </c>
      <c r="B257" s="2">
        <v>45748</v>
      </c>
      <c r="C257" s="10" t="s">
        <v>367</v>
      </c>
    </row>
    <row r="258" spans="1:8" ht="100.8" hidden="1" x14ac:dyDescent="0.3">
      <c r="A258" t="s">
        <v>77</v>
      </c>
      <c r="B258" s="2">
        <v>45778</v>
      </c>
      <c r="C258" s="10" t="s">
        <v>368</v>
      </c>
    </row>
    <row r="259" spans="1:8" ht="115.2" hidden="1" x14ac:dyDescent="0.3">
      <c r="A259" t="s">
        <v>77</v>
      </c>
      <c r="B259" s="2">
        <v>45809</v>
      </c>
      <c r="C259" s="10" t="s">
        <v>369</v>
      </c>
    </row>
    <row r="260" spans="1:8" ht="72" hidden="1" x14ac:dyDescent="0.3">
      <c r="A260" t="s">
        <v>77</v>
      </c>
      <c r="B260" s="2">
        <v>45839</v>
      </c>
      <c r="C260" s="10" t="s">
        <v>370</v>
      </c>
    </row>
    <row r="261" spans="1:8" ht="72" hidden="1" x14ac:dyDescent="0.3">
      <c r="A261" t="s">
        <v>77</v>
      </c>
      <c r="B261" s="2">
        <v>45870</v>
      </c>
      <c r="C261" s="10" t="s">
        <v>371</v>
      </c>
    </row>
    <row r="262" spans="1:8" ht="72" hidden="1" x14ac:dyDescent="0.3">
      <c r="A262" t="s">
        <v>77</v>
      </c>
      <c r="B262" s="2">
        <v>45901</v>
      </c>
      <c r="C262" s="10" t="s">
        <v>372</v>
      </c>
    </row>
    <row r="263" spans="1:8" ht="10.199999999999999" hidden="1" customHeight="1" x14ac:dyDescent="0.3">
      <c r="A263" t="s">
        <v>77</v>
      </c>
      <c r="B263" s="2">
        <v>45931</v>
      </c>
      <c r="C263" s="10" t="s">
        <v>373</v>
      </c>
    </row>
    <row r="264" spans="1:8" ht="86.4" hidden="1" x14ac:dyDescent="0.3">
      <c r="A264" t="s">
        <v>77</v>
      </c>
      <c r="B264" s="2">
        <v>45962</v>
      </c>
      <c r="C264" s="10" t="s">
        <v>374</v>
      </c>
    </row>
    <row r="265" spans="1:8" hidden="1" x14ac:dyDescent="0.3">
      <c r="A265" t="s">
        <v>77</v>
      </c>
      <c r="B265" s="2">
        <v>45992</v>
      </c>
      <c r="C265" s="10" t="s">
        <v>326</v>
      </c>
    </row>
    <row r="266" spans="1:8" hidden="1" x14ac:dyDescent="0.3">
      <c r="A266" t="s">
        <v>77</v>
      </c>
      <c r="B266" s="2">
        <v>46023</v>
      </c>
      <c r="C266" s="10" t="s">
        <v>375</v>
      </c>
    </row>
    <row r="267" spans="1:8" hidden="1" x14ac:dyDescent="0.3">
      <c r="A267" t="s">
        <v>77</v>
      </c>
      <c r="B267" s="2">
        <v>46054</v>
      </c>
      <c r="C267" s="10" t="s">
        <v>326</v>
      </c>
    </row>
    <row r="268" spans="1:8" hidden="1" x14ac:dyDescent="0.3">
      <c r="A268" t="s">
        <v>77</v>
      </c>
      <c r="B268" s="2">
        <v>46082</v>
      </c>
      <c r="C268" s="10" t="s">
        <v>326</v>
      </c>
    </row>
    <row r="269" spans="1:8" hidden="1" x14ac:dyDescent="0.3">
      <c r="A269" t="s">
        <v>77</v>
      </c>
      <c r="B269" s="2">
        <v>46113</v>
      </c>
      <c r="C269" s="10" t="s">
        <v>302</v>
      </c>
    </row>
    <row r="270" spans="1:8" hidden="1" x14ac:dyDescent="0.3">
      <c r="A270" t="s">
        <v>77</v>
      </c>
      <c r="B270" s="2">
        <v>46143</v>
      </c>
      <c r="C270" s="10" t="s">
        <v>302</v>
      </c>
    </row>
    <row r="271" spans="1:8" hidden="1" x14ac:dyDescent="0.3">
      <c r="A271" t="s">
        <v>77</v>
      </c>
      <c r="B271" s="2">
        <v>46235</v>
      </c>
      <c r="C271" t="s">
        <v>896</v>
      </c>
      <c r="D271">
        <v>0</v>
      </c>
      <c r="E271" t="s">
        <v>33</v>
      </c>
      <c r="F271" t="s">
        <v>33</v>
      </c>
      <c r="G271" t="s">
        <v>338</v>
      </c>
      <c r="H271" t="s">
        <v>36</v>
      </c>
    </row>
    <row r="272" spans="1:8" ht="28.95" hidden="1" customHeight="1" x14ac:dyDescent="0.3">
      <c r="A272" t="s">
        <v>77</v>
      </c>
      <c r="B272" s="2">
        <v>46174</v>
      </c>
      <c r="C272" s="10"/>
    </row>
    <row r="273" spans="1:8" ht="28.95" hidden="1" customHeight="1" x14ac:dyDescent="0.3">
      <c r="A273" t="s">
        <v>77</v>
      </c>
      <c r="B273" s="2">
        <v>46204</v>
      </c>
      <c r="C273" s="10">
        <v>31</v>
      </c>
      <c r="D273">
        <v>0</v>
      </c>
      <c r="E273" t="s">
        <v>33</v>
      </c>
      <c r="F273" t="s">
        <v>33</v>
      </c>
      <c r="G273" t="s">
        <v>1014</v>
      </c>
      <c r="H273" t="s">
        <v>36</v>
      </c>
    </row>
    <row r="274" spans="1:8" ht="72" hidden="1" customHeight="1" x14ac:dyDescent="0.3">
      <c r="A274" t="s">
        <v>80</v>
      </c>
      <c r="B274" s="2">
        <v>45536</v>
      </c>
      <c r="C274" s="10"/>
    </row>
    <row r="275" spans="1:8" ht="43.2" hidden="1" customHeight="1" x14ac:dyDescent="0.3">
      <c r="A275" t="s">
        <v>80</v>
      </c>
      <c r="B275" s="2">
        <v>45566</v>
      </c>
      <c r="C275" s="10"/>
    </row>
    <row r="276" spans="1:8" hidden="1" x14ac:dyDescent="0.3">
      <c r="A276" t="s">
        <v>80</v>
      </c>
      <c r="B276" s="2">
        <v>45597</v>
      </c>
      <c r="C276" s="10"/>
    </row>
    <row r="277" spans="1:8" hidden="1" x14ac:dyDescent="0.3">
      <c r="A277" t="s">
        <v>80</v>
      </c>
      <c r="B277" s="2">
        <v>45627</v>
      </c>
      <c r="C277" s="10"/>
    </row>
    <row r="278" spans="1:8" hidden="1" x14ac:dyDescent="0.3">
      <c r="A278" t="s">
        <v>80</v>
      </c>
      <c r="B278" s="2">
        <v>45658</v>
      </c>
      <c r="C278" s="10"/>
      <c r="G278" s="45"/>
    </row>
    <row r="279" spans="1:8" hidden="1" x14ac:dyDescent="0.3">
      <c r="A279" t="s">
        <v>80</v>
      </c>
      <c r="B279" s="2">
        <v>45689</v>
      </c>
      <c r="C279" s="10" t="s">
        <v>365</v>
      </c>
      <c r="G279" s="45"/>
    </row>
    <row r="280" spans="1:8" ht="57.6" hidden="1" customHeight="1" x14ac:dyDescent="0.3">
      <c r="A280" t="s">
        <v>80</v>
      </c>
      <c r="B280" s="2">
        <v>45717</v>
      </c>
      <c r="C280" s="10" t="s">
        <v>376</v>
      </c>
      <c r="G280" s="45"/>
    </row>
    <row r="281" spans="1:8" ht="57.6" hidden="1" x14ac:dyDescent="0.3">
      <c r="A281" t="s">
        <v>80</v>
      </c>
      <c r="B281" s="2">
        <v>45748</v>
      </c>
      <c r="C281" s="10" t="s">
        <v>377</v>
      </c>
    </row>
    <row r="282" spans="1:8" ht="100.8" hidden="1" x14ac:dyDescent="0.3">
      <c r="A282" t="s">
        <v>80</v>
      </c>
      <c r="B282" s="2">
        <v>45778</v>
      </c>
      <c r="C282" s="10" t="s">
        <v>378</v>
      </c>
      <c r="G282" s="45"/>
    </row>
    <row r="283" spans="1:8" ht="115.2" hidden="1" x14ac:dyDescent="0.3">
      <c r="A283" t="s">
        <v>80</v>
      </c>
      <c r="B283" s="2">
        <v>45809</v>
      </c>
      <c r="C283" s="10" t="s">
        <v>379</v>
      </c>
    </row>
    <row r="284" spans="1:8" ht="86.4" hidden="1" x14ac:dyDescent="0.3">
      <c r="A284" t="s">
        <v>80</v>
      </c>
      <c r="B284" s="2">
        <v>45839</v>
      </c>
      <c r="C284" s="10" t="s">
        <v>380</v>
      </c>
    </row>
    <row r="285" spans="1:8" ht="72" hidden="1" x14ac:dyDescent="0.3">
      <c r="A285" t="s">
        <v>80</v>
      </c>
      <c r="B285" s="2">
        <v>45870</v>
      </c>
      <c r="C285" s="10" t="s">
        <v>381</v>
      </c>
    </row>
    <row r="286" spans="1:8" ht="86.4" hidden="1" x14ac:dyDescent="0.3">
      <c r="A286" t="s">
        <v>80</v>
      </c>
      <c r="B286" s="2">
        <v>45901</v>
      </c>
      <c r="C286" s="10" t="s">
        <v>382</v>
      </c>
    </row>
    <row r="287" spans="1:8" ht="72" hidden="1" x14ac:dyDescent="0.3">
      <c r="A287" t="s">
        <v>80</v>
      </c>
      <c r="B287" s="2">
        <v>45931</v>
      </c>
      <c r="C287" s="10" t="s">
        <v>383</v>
      </c>
    </row>
    <row r="288" spans="1:8" ht="100.8" hidden="1" x14ac:dyDescent="0.3">
      <c r="A288" t="s">
        <v>80</v>
      </c>
      <c r="B288" s="2">
        <v>45962</v>
      </c>
      <c r="C288" s="10" t="s">
        <v>384</v>
      </c>
    </row>
    <row r="289" spans="1:8" hidden="1" x14ac:dyDescent="0.3">
      <c r="A289" t="s">
        <v>80</v>
      </c>
      <c r="B289" s="2">
        <v>45992</v>
      </c>
      <c r="C289" s="10" t="s">
        <v>385</v>
      </c>
    </row>
    <row r="290" spans="1:8" hidden="1" x14ac:dyDescent="0.3">
      <c r="A290" t="s">
        <v>80</v>
      </c>
      <c r="B290" s="2">
        <v>46023</v>
      </c>
      <c r="C290" s="10" t="s">
        <v>375</v>
      </c>
    </row>
    <row r="291" spans="1:8" hidden="1" x14ac:dyDescent="0.3">
      <c r="A291" t="s">
        <v>80</v>
      </c>
      <c r="B291" s="2">
        <v>46054</v>
      </c>
      <c r="C291" s="10" t="s">
        <v>326</v>
      </c>
    </row>
    <row r="292" spans="1:8" ht="28.8" hidden="1" x14ac:dyDescent="0.3">
      <c r="A292" t="s">
        <v>80</v>
      </c>
      <c r="B292" s="2">
        <v>46082</v>
      </c>
      <c r="C292" s="10" t="s">
        <v>386</v>
      </c>
    </row>
    <row r="293" spans="1:8" hidden="1" x14ac:dyDescent="0.3">
      <c r="A293" t="s">
        <v>80</v>
      </c>
      <c r="B293" s="2">
        <v>46113</v>
      </c>
      <c r="C293" s="10" t="s">
        <v>302</v>
      </c>
    </row>
    <row r="294" spans="1:8" hidden="1" x14ac:dyDescent="0.3">
      <c r="A294" t="s">
        <v>80</v>
      </c>
      <c r="B294" s="2">
        <v>46143</v>
      </c>
      <c r="C294" s="10" t="s">
        <v>302</v>
      </c>
    </row>
    <row r="295" spans="1:8" hidden="1" x14ac:dyDescent="0.3">
      <c r="A295" t="s">
        <v>80</v>
      </c>
      <c r="B295" s="2">
        <v>46235</v>
      </c>
      <c r="C295" t="s">
        <v>896</v>
      </c>
      <c r="D295">
        <v>0</v>
      </c>
      <c r="E295" t="s">
        <v>33</v>
      </c>
      <c r="F295" t="s">
        <v>33</v>
      </c>
      <c r="G295" t="s">
        <v>338</v>
      </c>
      <c r="H295" t="s">
        <v>36</v>
      </c>
    </row>
    <row r="296" spans="1:8" ht="86.4" hidden="1" customHeight="1" x14ac:dyDescent="0.3">
      <c r="A296" t="s">
        <v>80</v>
      </c>
      <c r="B296" s="2">
        <v>46174</v>
      </c>
      <c r="C296" s="10"/>
    </row>
    <row r="297" spans="1:8" ht="57.6" hidden="1" customHeight="1" x14ac:dyDescent="0.3">
      <c r="A297" t="s">
        <v>80</v>
      </c>
      <c r="B297" s="2">
        <v>46204</v>
      </c>
      <c r="C297" s="10">
        <v>31</v>
      </c>
      <c r="D297">
        <v>0</v>
      </c>
      <c r="E297" t="s">
        <v>33</v>
      </c>
      <c r="F297" t="s">
        <v>33</v>
      </c>
      <c r="G297" t="s">
        <v>1014</v>
      </c>
      <c r="H297" t="s">
        <v>36</v>
      </c>
    </row>
    <row r="298" spans="1:8" ht="57.6" hidden="1" customHeight="1" x14ac:dyDescent="0.3">
      <c r="A298" t="s">
        <v>81</v>
      </c>
      <c r="B298" s="2">
        <v>45536</v>
      </c>
      <c r="C298" s="10"/>
    </row>
    <row r="299" spans="1:8" ht="57.6" hidden="1" customHeight="1" x14ac:dyDescent="0.3">
      <c r="A299" t="s">
        <v>81</v>
      </c>
      <c r="B299" s="2">
        <v>45566</v>
      </c>
      <c r="C299" s="10"/>
    </row>
    <row r="300" spans="1:8" ht="57.6" hidden="1" customHeight="1" x14ac:dyDescent="0.3">
      <c r="A300" t="s">
        <v>81</v>
      </c>
      <c r="B300" s="2">
        <v>45597</v>
      </c>
      <c r="C300" s="10"/>
    </row>
    <row r="301" spans="1:8" ht="72" hidden="1" customHeight="1" x14ac:dyDescent="0.3">
      <c r="A301" t="s">
        <v>81</v>
      </c>
      <c r="B301" s="2">
        <v>45627</v>
      </c>
      <c r="C301" s="10"/>
    </row>
    <row r="302" spans="1:8" ht="57.6" hidden="1" customHeight="1" x14ac:dyDescent="0.3">
      <c r="A302" t="s">
        <v>81</v>
      </c>
      <c r="B302" s="2">
        <v>45658</v>
      </c>
      <c r="C302" s="10"/>
    </row>
    <row r="303" spans="1:8" ht="57.6" hidden="1" customHeight="1" x14ac:dyDescent="0.3">
      <c r="A303" t="s">
        <v>81</v>
      </c>
      <c r="B303" s="2">
        <v>45689</v>
      </c>
      <c r="C303" s="10" t="s">
        <v>387</v>
      </c>
    </row>
    <row r="304" spans="1:8" ht="72" hidden="1" customHeight="1" x14ac:dyDescent="0.3">
      <c r="A304" t="s">
        <v>81</v>
      </c>
      <c r="B304" s="2">
        <v>45717</v>
      </c>
      <c r="C304" s="10" t="s">
        <v>388</v>
      </c>
    </row>
    <row r="305" spans="1:8" ht="43.2" hidden="1" x14ac:dyDescent="0.3">
      <c r="A305" t="s">
        <v>81</v>
      </c>
      <c r="B305" s="2">
        <v>45748</v>
      </c>
      <c r="C305" s="10" t="s">
        <v>388</v>
      </c>
    </row>
    <row r="306" spans="1:8" ht="144" hidden="1" x14ac:dyDescent="0.3">
      <c r="A306" t="s">
        <v>81</v>
      </c>
      <c r="B306" s="2">
        <v>45778</v>
      </c>
      <c r="C306" s="10" t="s">
        <v>389</v>
      </c>
    </row>
    <row r="307" spans="1:8" ht="72" hidden="1" x14ac:dyDescent="0.3">
      <c r="A307" t="s">
        <v>81</v>
      </c>
      <c r="B307" s="2">
        <v>45809</v>
      </c>
      <c r="C307" s="10" t="s">
        <v>390</v>
      </c>
    </row>
    <row r="308" spans="1:8" hidden="1" x14ac:dyDescent="0.3">
      <c r="A308" t="s">
        <v>81</v>
      </c>
      <c r="B308" s="2">
        <v>45839</v>
      </c>
      <c r="C308" t="s">
        <v>911</v>
      </c>
      <c r="G308" s="10" t="s">
        <v>971</v>
      </c>
      <c r="H308" t="s">
        <v>36</v>
      </c>
    </row>
    <row r="309" spans="1:8" ht="28.95" hidden="1" customHeight="1" x14ac:dyDescent="0.3">
      <c r="A309" t="s">
        <v>81</v>
      </c>
      <c r="B309" s="2">
        <v>45870</v>
      </c>
      <c r="C309" t="s">
        <v>911</v>
      </c>
      <c r="D309">
        <v>0</v>
      </c>
      <c r="E309" t="s">
        <v>33</v>
      </c>
      <c r="F309" t="s">
        <v>33</v>
      </c>
      <c r="G309" s="10" t="s">
        <v>971</v>
      </c>
      <c r="H309" t="s">
        <v>36</v>
      </c>
    </row>
    <row r="310" spans="1:8" hidden="1" x14ac:dyDescent="0.3">
      <c r="A310" t="s">
        <v>81</v>
      </c>
      <c r="B310" s="2">
        <v>45901</v>
      </c>
      <c r="C310" t="s">
        <v>919</v>
      </c>
      <c r="D310">
        <v>0</v>
      </c>
      <c r="E310" t="s">
        <v>33</v>
      </c>
      <c r="F310" t="s">
        <v>33</v>
      </c>
      <c r="G310" s="44" t="s">
        <v>932</v>
      </c>
      <c r="H310" t="s">
        <v>36</v>
      </c>
    </row>
    <row r="311" spans="1:8" hidden="1" x14ac:dyDescent="0.3">
      <c r="A311" t="s">
        <v>81</v>
      </c>
      <c r="B311" s="2">
        <v>45931</v>
      </c>
      <c r="C311" t="s">
        <v>911</v>
      </c>
      <c r="D311">
        <v>0</v>
      </c>
      <c r="E311" t="s">
        <v>33</v>
      </c>
      <c r="F311" t="s">
        <v>33</v>
      </c>
      <c r="G311" s="44" t="s">
        <v>932</v>
      </c>
      <c r="H311" t="s">
        <v>36</v>
      </c>
    </row>
    <row r="312" spans="1:8" hidden="1" x14ac:dyDescent="0.3">
      <c r="A312" t="s">
        <v>81</v>
      </c>
      <c r="B312" s="2">
        <v>45962</v>
      </c>
      <c r="C312" t="s">
        <v>919</v>
      </c>
      <c r="D312">
        <v>0</v>
      </c>
      <c r="E312" t="s">
        <v>33</v>
      </c>
      <c r="F312" t="s">
        <v>33</v>
      </c>
      <c r="G312" s="44" t="s">
        <v>932</v>
      </c>
      <c r="H312" t="s">
        <v>36</v>
      </c>
    </row>
    <row r="313" spans="1:8" hidden="1" x14ac:dyDescent="0.3">
      <c r="A313" t="s">
        <v>81</v>
      </c>
      <c r="B313" s="2">
        <v>45992</v>
      </c>
      <c r="C313" t="s">
        <v>911</v>
      </c>
      <c r="D313">
        <v>0</v>
      </c>
      <c r="E313" t="s">
        <v>33</v>
      </c>
      <c r="F313" t="s">
        <v>33</v>
      </c>
      <c r="G313" s="10" t="s">
        <v>971</v>
      </c>
      <c r="H313" t="s">
        <v>36</v>
      </c>
    </row>
    <row r="314" spans="1:8" hidden="1" x14ac:dyDescent="0.3">
      <c r="A314" t="s">
        <v>81</v>
      </c>
      <c r="B314" s="2">
        <v>46023</v>
      </c>
      <c r="C314" t="s">
        <v>911</v>
      </c>
      <c r="D314">
        <v>0</v>
      </c>
      <c r="E314" t="s">
        <v>33</v>
      </c>
      <c r="F314" t="s">
        <v>33</v>
      </c>
      <c r="G314" s="44" t="s">
        <v>932</v>
      </c>
      <c r="H314" t="s">
        <v>36</v>
      </c>
    </row>
    <row r="315" spans="1:8" ht="28.8" hidden="1" x14ac:dyDescent="0.3">
      <c r="A315" t="s">
        <v>81</v>
      </c>
      <c r="B315" s="2">
        <v>46054</v>
      </c>
      <c r="C315" t="s">
        <v>895</v>
      </c>
      <c r="D315">
        <v>0</v>
      </c>
      <c r="E315" t="s">
        <v>33</v>
      </c>
      <c r="F315" t="s">
        <v>978</v>
      </c>
      <c r="G315" s="10" t="s">
        <v>979</v>
      </c>
      <c r="H315" t="s">
        <v>36</v>
      </c>
    </row>
    <row r="316" spans="1:8" ht="28.8" hidden="1" x14ac:dyDescent="0.3">
      <c r="A316" t="s">
        <v>81</v>
      </c>
      <c r="B316" s="2">
        <v>46082</v>
      </c>
      <c r="C316" t="s">
        <v>911</v>
      </c>
      <c r="D316">
        <v>0</v>
      </c>
      <c r="E316" t="s">
        <v>33</v>
      </c>
      <c r="F316" t="s">
        <v>978</v>
      </c>
      <c r="G316" s="10" t="s">
        <v>979</v>
      </c>
      <c r="H316" t="s">
        <v>36</v>
      </c>
    </row>
    <row r="317" spans="1:8" hidden="1" x14ac:dyDescent="0.3">
      <c r="A317" t="s">
        <v>81</v>
      </c>
      <c r="B317" s="2">
        <v>46113</v>
      </c>
      <c r="C317" t="s">
        <v>919</v>
      </c>
      <c r="D317">
        <v>0</v>
      </c>
      <c r="E317" t="s">
        <v>33</v>
      </c>
      <c r="F317" t="s">
        <v>33</v>
      </c>
      <c r="G317" s="10" t="s">
        <v>971</v>
      </c>
      <c r="H317" t="s">
        <v>36</v>
      </c>
    </row>
    <row r="318" spans="1:8" hidden="1" x14ac:dyDescent="0.3">
      <c r="A318" t="s">
        <v>81</v>
      </c>
      <c r="B318" s="2">
        <v>46143</v>
      </c>
      <c r="C318" t="s">
        <v>911</v>
      </c>
      <c r="D318">
        <v>0</v>
      </c>
      <c r="E318" t="s">
        <v>33</v>
      </c>
      <c r="F318" t="s">
        <v>33</v>
      </c>
      <c r="G318" s="10" t="s">
        <v>971</v>
      </c>
      <c r="H318" t="s">
        <v>36</v>
      </c>
    </row>
    <row r="319" spans="1:8" hidden="1" x14ac:dyDescent="0.3">
      <c r="A319" t="s">
        <v>81</v>
      </c>
      <c r="B319" s="2">
        <v>46235</v>
      </c>
      <c r="C319" t="s">
        <v>896</v>
      </c>
      <c r="D319">
        <v>0</v>
      </c>
      <c r="E319" t="s">
        <v>33</v>
      </c>
      <c r="F319" t="s">
        <v>33</v>
      </c>
      <c r="G319" t="s">
        <v>338</v>
      </c>
      <c r="H319" t="s">
        <v>36</v>
      </c>
    </row>
    <row r="320" spans="1:8" ht="86.4" hidden="1" customHeight="1" x14ac:dyDescent="0.3">
      <c r="A320" t="s">
        <v>81</v>
      </c>
      <c r="B320" s="2">
        <v>46174</v>
      </c>
      <c r="C320" t="s">
        <v>919</v>
      </c>
      <c r="D320">
        <v>0</v>
      </c>
      <c r="E320" t="s">
        <v>33</v>
      </c>
      <c r="F320" t="s">
        <v>33</v>
      </c>
      <c r="G320" s="10" t="s">
        <v>971</v>
      </c>
      <c r="H320" t="s">
        <v>36</v>
      </c>
    </row>
    <row r="321" spans="1:8" ht="57.6" hidden="1" customHeight="1" x14ac:dyDescent="0.3">
      <c r="A321" t="s">
        <v>81</v>
      </c>
      <c r="B321" s="2">
        <v>46204</v>
      </c>
      <c r="C321" s="10">
        <v>31</v>
      </c>
      <c r="D321">
        <v>0</v>
      </c>
      <c r="E321" t="s">
        <v>33</v>
      </c>
      <c r="F321" t="s">
        <v>33</v>
      </c>
      <c r="G321" t="s">
        <v>338</v>
      </c>
      <c r="H321" t="s">
        <v>36</v>
      </c>
    </row>
    <row r="322" spans="1:8" ht="57.6" hidden="1" customHeight="1" x14ac:dyDescent="0.3">
      <c r="A322" t="s">
        <v>85</v>
      </c>
      <c r="B322" s="2">
        <v>45536</v>
      </c>
      <c r="C322" s="10"/>
    </row>
    <row r="323" spans="1:8" ht="57.6" hidden="1" customHeight="1" x14ac:dyDescent="0.3">
      <c r="A323" t="s">
        <v>85</v>
      </c>
      <c r="B323" s="2">
        <v>45566</v>
      </c>
      <c r="C323" s="10"/>
    </row>
    <row r="324" spans="1:8" ht="57.6" hidden="1" customHeight="1" x14ac:dyDescent="0.3">
      <c r="A324" t="s">
        <v>85</v>
      </c>
      <c r="B324" s="2">
        <v>45597</v>
      </c>
      <c r="C324" s="10"/>
    </row>
    <row r="325" spans="1:8" ht="57.6" hidden="1" customHeight="1" x14ac:dyDescent="0.3">
      <c r="A325" t="s">
        <v>85</v>
      </c>
      <c r="B325" s="2">
        <v>45627</v>
      </c>
      <c r="C325" s="10"/>
    </row>
    <row r="326" spans="1:8" ht="57.6" hidden="1" customHeight="1" x14ac:dyDescent="0.3">
      <c r="A326" t="s">
        <v>85</v>
      </c>
      <c r="B326" s="2">
        <v>45658</v>
      </c>
      <c r="C326" s="10"/>
    </row>
    <row r="327" spans="1:8" ht="57.6" hidden="1" customHeight="1" x14ac:dyDescent="0.3">
      <c r="A327" t="s">
        <v>85</v>
      </c>
      <c r="B327" s="2">
        <v>45689</v>
      </c>
      <c r="C327" s="10" t="s">
        <v>391</v>
      </c>
    </row>
    <row r="328" spans="1:8" ht="57.6" hidden="1" customHeight="1" x14ac:dyDescent="0.3">
      <c r="A328" t="s">
        <v>85</v>
      </c>
      <c r="B328" s="2">
        <v>45717</v>
      </c>
      <c r="C328" s="10" t="s">
        <v>392</v>
      </c>
    </row>
    <row r="329" spans="1:8" ht="86.4" hidden="1" x14ac:dyDescent="0.3">
      <c r="A329" t="s">
        <v>85</v>
      </c>
      <c r="B329" s="2">
        <v>45748</v>
      </c>
      <c r="C329" s="10" t="s">
        <v>393</v>
      </c>
    </row>
    <row r="330" spans="1:8" ht="115.2" hidden="1" x14ac:dyDescent="0.3">
      <c r="A330" t="s">
        <v>85</v>
      </c>
      <c r="B330" s="2">
        <v>45778</v>
      </c>
      <c r="C330" s="10" t="s">
        <v>394</v>
      </c>
    </row>
    <row r="331" spans="1:8" ht="115.2" hidden="1" x14ac:dyDescent="0.3">
      <c r="A331" t="s">
        <v>85</v>
      </c>
      <c r="B331" s="2">
        <v>45809</v>
      </c>
      <c r="C331" s="10" t="s">
        <v>395</v>
      </c>
    </row>
    <row r="332" spans="1:8" ht="115.2" hidden="1" x14ac:dyDescent="0.3">
      <c r="A332" t="s">
        <v>85</v>
      </c>
      <c r="B332" s="2">
        <v>45839</v>
      </c>
      <c r="C332" s="10" t="s">
        <v>396</v>
      </c>
    </row>
    <row r="333" spans="1:8" ht="144" hidden="1" x14ac:dyDescent="0.3">
      <c r="A333" t="s">
        <v>85</v>
      </c>
      <c r="B333" s="2">
        <v>45870</v>
      </c>
      <c r="C333" s="10" t="s">
        <v>397</v>
      </c>
    </row>
    <row r="334" spans="1:8" ht="115.2" hidden="1" x14ac:dyDescent="0.3">
      <c r="A334" t="s">
        <v>85</v>
      </c>
      <c r="B334" s="2">
        <v>45901</v>
      </c>
      <c r="C334" s="10" t="s">
        <v>398</v>
      </c>
    </row>
    <row r="335" spans="1:8" ht="115.2" hidden="1" x14ac:dyDescent="0.3">
      <c r="A335" t="s">
        <v>85</v>
      </c>
      <c r="B335" s="2">
        <v>45931</v>
      </c>
      <c r="C335" s="10" t="s">
        <v>399</v>
      </c>
    </row>
    <row r="336" spans="1:8" ht="144" hidden="1" x14ac:dyDescent="0.3">
      <c r="A336" t="s">
        <v>85</v>
      </c>
      <c r="B336" s="2">
        <v>45962</v>
      </c>
      <c r="C336" s="10" t="s">
        <v>400</v>
      </c>
    </row>
    <row r="337" spans="1:8" ht="28.8" hidden="1" x14ac:dyDescent="0.3">
      <c r="A337" t="s">
        <v>85</v>
      </c>
      <c r="B337" s="2">
        <v>45992</v>
      </c>
      <c r="C337" s="10" t="s">
        <v>401</v>
      </c>
    </row>
    <row r="338" spans="1:8" ht="28.8" hidden="1" x14ac:dyDescent="0.3">
      <c r="A338" t="s">
        <v>85</v>
      </c>
      <c r="B338" s="2">
        <v>46023</v>
      </c>
      <c r="C338" s="10" t="s">
        <v>401</v>
      </c>
    </row>
    <row r="339" spans="1:8" ht="28.8" hidden="1" x14ac:dyDescent="0.3">
      <c r="A339" t="s">
        <v>85</v>
      </c>
      <c r="B339" s="2">
        <v>46054</v>
      </c>
      <c r="C339" s="10" t="s">
        <v>401</v>
      </c>
    </row>
    <row r="340" spans="1:8" ht="28.8" hidden="1" x14ac:dyDescent="0.3">
      <c r="A340" t="s">
        <v>85</v>
      </c>
      <c r="B340" s="2">
        <v>46082</v>
      </c>
      <c r="C340" s="10" t="s">
        <v>402</v>
      </c>
    </row>
    <row r="341" spans="1:8" ht="57.6" hidden="1" x14ac:dyDescent="0.3">
      <c r="A341" t="s">
        <v>85</v>
      </c>
      <c r="B341" s="2">
        <v>46113</v>
      </c>
      <c r="C341" s="10" t="s">
        <v>403</v>
      </c>
    </row>
    <row r="342" spans="1:8" hidden="1" x14ac:dyDescent="0.3">
      <c r="A342" t="s">
        <v>85</v>
      </c>
      <c r="B342" s="2">
        <v>46143</v>
      </c>
      <c r="C342" s="10" t="s">
        <v>852</v>
      </c>
    </row>
    <row r="343" spans="1:8" hidden="1" x14ac:dyDescent="0.3">
      <c r="A343" t="s">
        <v>85</v>
      </c>
      <c r="B343" s="2">
        <v>46235</v>
      </c>
      <c r="C343" s="10">
        <v>30</v>
      </c>
      <c r="D343">
        <v>0</v>
      </c>
      <c r="E343" t="s">
        <v>33</v>
      </c>
      <c r="F343" t="s">
        <v>33</v>
      </c>
      <c r="G343" t="s">
        <v>1073</v>
      </c>
      <c r="H343" t="s">
        <v>36</v>
      </c>
    </row>
    <row r="344" spans="1:8" hidden="1" x14ac:dyDescent="0.3">
      <c r="A344" t="s">
        <v>85</v>
      </c>
      <c r="B344" s="2">
        <v>46174</v>
      </c>
      <c r="C344" s="10"/>
    </row>
    <row r="345" spans="1:8" hidden="1" x14ac:dyDescent="0.3">
      <c r="A345" t="s">
        <v>85</v>
      </c>
      <c r="B345" s="2">
        <v>46204</v>
      </c>
      <c r="C345" s="10">
        <v>31</v>
      </c>
      <c r="D345">
        <v>0</v>
      </c>
      <c r="E345" t="s">
        <v>33</v>
      </c>
      <c r="F345" t="s">
        <v>33</v>
      </c>
      <c r="G345" t="s">
        <v>338</v>
      </c>
      <c r="H345" t="s">
        <v>36</v>
      </c>
    </row>
    <row r="346" spans="1:8" hidden="1" x14ac:dyDescent="0.3">
      <c r="A346" t="s">
        <v>90</v>
      </c>
      <c r="B346" s="2">
        <v>45536</v>
      </c>
      <c r="C346" s="10"/>
    </row>
    <row r="347" spans="1:8" hidden="1" x14ac:dyDescent="0.3">
      <c r="A347" t="s">
        <v>90</v>
      </c>
      <c r="B347" s="2">
        <v>45566</v>
      </c>
      <c r="C347" s="10"/>
    </row>
    <row r="348" spans="1:8" hidden="1" x14ac:dyDescent="0.3">
      <c r="A348" t="s">
        <v>90</v>
      </c>
      <c r="B348" s="2">
        <v>45597</v>
      </c>
      <c r="C348" s="10"/>
    </row>
    <row r="349" spans="1:8" hidden="1" x14ac:dyDescent="0.3">
      <c r="A349" t="s">
        <v>90</v>
      </c>
      <c r="B349" s="2">
        <v>45627</v>
      </c>
      <c r="C349" s="10"/>
    </row>
    <row r="350" spans="1:8" hidden="1" x14ac:dyDescent="0.3">
      <c r="A350" t="s">
        <v>90</v>
      </c>
      <c r="B350" s="2">
        <v>45658</v>
      </c>
      <c r="C350" s="10"/>
    </row>
    <row r="351" spans="1:8" ht="86.4" hidden="1" x14ac:dyDescent="0.3">
      <c r="A351" t="s">
        <v>90</v>
      </c>
      <c r="B351" s="2">
        <v>45689</v>
      </c>
      <c r="C351" s="10" t="s">
        <v>404</v>
      </c>
    </row>
    <row r="352" spans="1:8" ht="43.2" hidden="1" customHeight="1" x14ac:dyDescent="0.3">
      <c r="A352" t="s">
        <v>90</v>
      </c>
      <c r="B352" s="2">
        <v>45717</v>
      </c>
      <c r="C352" s="10" t="s">
        <v>405</v>
      </c>
    </row>
    <row r="353" spans="1:8" ht="86.4" hidden="1" x14ac:dyDescent="0.3">
      <c r="A353" t="s">
        <v>90</v>
      </c>
      <c r="B353" s="2">
        <v>45748</v>
      </c>
      <c r="C353" s="10" t="s">
        <v>406</v>
      </c>
    </row>
    <row r="354" spans="1:8" ht="100.8" hidden="1" x14ac:dyDescent="0.3">
      <c r="A354" t="s">
        <v>90</v>
      </c>
      <c r="B354" s="2">
        <v>45778</v>
      </c>
      <c r="C354" s="10" t="s">
        <v>407</v>
      </c>
    </row>
    <row r="355" spans="1:8" ht="129.6" hidden="1" x14ac:dyDescent="0.3">
      <c r="A355" t="s">
        <v>90</v>
      </c>
      <c r="B355" s="2">
        <v>45809</v>
      </c>
      <c r="C355" s="10" t="s">
        <v>408</v>
      </c>
    </row>
    <row r="356" spans="1:8" ht="129.6" hidden="1" x14ac:dyDescent="0.3">
      <c r="A356" t="s">
        <v>90</v>
      </c>
      <c r="B356" s="2">
        <v>45839</v>
      </c>
      <c r="C356" s="10" t="s">
        <v>409</v>
      </c>
    </row>
    <row r="357" spans="1:8" ht="129.6" hidden="1" x14ac:dyDescent="0.3">
      <c r="A357" t="s">
        <v>90</v>
      </c>
      <c r="B357" s="2">
        <v>45870</v>
      </c>
      <c r="C357" s="10" t="s">
        <v>410</v>
      </c>
    </row>
    <row r="358" spans="1:8" ht="129.6" hidden="1" x14ac:dyDescent="0.3">
      <c r="A358" t="s">
        <v>90</v>
      </c>
      <c r="B358" s="2">
        <v>45901</v>
      </c>
      <c r="C358" s="10" t="s">
        <v>411</v>
      </c>
    </row>
    <row r="359" spans="1:8" ht="115.2" hidden="1" x14ac:dyDescent="0.3">
      <c r="A359" t="s">
        <v>90</v>
      </c>
      <c r="B359" s="2">
        <v>45931</v>
      </c>
      <c r="C359" s="10" t="s">
        <v>412</v>
      </c>
    </row>
    <row r="360" spans="1:8" ht="115.2" hidden="1" x14ac:dyDescent="0.3">
      <c r="A360" t="s">
        <v>90</v>
      </c>
      <c r="B360" s="2">
        <v>45962</v>
      </c>
      <c r="C360" s="10" t="s">
        <v>413</v>
      </c>
    </row>
    <row r="361" spans="1:8" hidden="1" x14ac:dyDescent="0.3">
      <c r="A361" t="s">
        <v>90</v>
      </c>
      <c r="B361" s="2">
        <v>45992</v>
      </c>
      <c r="C361" s="10" t="s">
        <v>326</v>
      </c>
    </row>
    <row r="362" spans="1:8" hidden="1" x14ac:dyDescent="0.3">
      <c r="A362" t="s">
        <v>90</v>
      </c>
      <c r="B362" s="2">
        <v>46023</v>
      </c>
      <c r="C362" s="10" t="s">
        <v>338</v>
      </c>
    </row>
    <row r="363" spans="1:8" ht="28.95" hidden="1" customHeight="1" x14ac:dyDescent="0.3">
      <c r="A363" t="s">
        <v>90</v>
      </c>
      <c r="B363" s="2">
        <v>46054</v>
      </c>
      <c r="C363" s="10" t="s">
        <v>326</v>
      </c>
    </row>
    <row r="364" spans="1:8" hidden="1" x14ac:dyDescent="0.3">
      <c r="A364" t="s">
        <v>90</v>
      </c>
      <c r="B364" s="2">
        <v>46082</v>
      </c>
      <c r="C364" s="10" t="s">
        <v>326</v>
      </c>
    </row>
    <row r="365" spans="1:8" hidden="1" x14ac:dyDescent="0.3">
      <c r="A365" t="s">
        <v>90</v>
      </c>
      <c r="B365" s="2">
        <v>46113</v>
      </c>
      <c r="C365" s="10" t="s">
        <v>302</v>
      </c>
    </row>
    <row r="366" spans="1:8" hidden="1" x14ac:dyDescent="0.3">
      <c r="A366" t="s">
        <v>90</v>
      </c>
      <c r="B366" s="2">
        <v>46143</v>
      </c>
      <c r="C366" s="10" t="s">
        <v>302</v>
      </c>
    </row>
    <row r="367" spans="1:8" hidden="1" x14ac:dyDescent="0.3">
      <c r="A367" t="s">
        <v>90</v>
      </c>
      <c r="B367" s="2">
        <v>46235</v>
      </c>
      <c r="C367" t="s">
        <v>896</v>
      </c>
      <c r="D367">
        <v>0</v>
      </c>
      <c r="E367" t="s">
        <v>33</v>
      </c>
      <c r="F367" t="s">
        <v>33</v>
      </c>
      <c r="G367" t="s">
        <v>338</v>
      </c>
      <c r="H367" t="s">
        <v>36</v>
      </c>
    </row>
    <row r="368" spans="1:8" ht="43.2" hidden="1" customHeight="1" x14ac:dyDescent="0.3">
      <c r="A368" t="s">
        <v>90</v>
      </c>
      <c r="B368" s="2">
        <v>46174</v>
      </c>
      <c r="C368" s="10"/>
    </row>
    <row r="369" spans="1:8" ht="43.2" hidden="1" customHeight="1" x14ac:dyDescent="0.3">
      <c r="A369" t="s">
        <v>90</v>
      </c>
      <c r="B369" s="2">
        <v>46204</v>
      </c>
      <c r="C369" s="10">
        <v>31</v>
      </c>
      <c r="D369">
        <v>0</v>
      </c>
      <c r="E369" t="s">
        <v>33</v>
      </c>
      <c r="F369" t="s">
        <v>33</v>
      </c>
      <c r="G369" t="s">
        <v>338</v>
      </c>
      <c r="H369" t="s">
        <v>36</v>
      </c>
    </row>
    <row r="370" spans="1:8" ht="57.6" hidden="1" customHeight="1" x14ac:dyDescent="0.3">
      <c r="A370" t="s">
        <v>93</v>
      </c>
      <c r="B370" s="2">
        <v>45536</v>
      </c>
      <c r="C370" s="10"/>
    </row>
    <row r="371" spans="1:8" ht="57.6" hidden="1" customHeight="1" x14ac:dyDescent="0.3">
      <c r="A371" t="s">
        <v>93</v>
      </c>
      <c r="B371" s="2">
        <v>45566</v>
      </c>
      <c r="C371" s="10"/>
    </row>
    <row r="372" spans="1:8" hidden="1" x14ac:dyDescent="0.3">
      <c r="A372" t="s">
        <v>93</v>
      </c>
      <c r="B372" s="2">
        <v>45597</v>
      </c>
      <c r="C372" s="10"/>
    </row>
    <row r="373" spans="1:8" hidden="1" x14ac:dyDescent="0.3">
      <c r="A373" t="s">
        <v>93</v>
      </c>
      <c r="B373" s="2">
        <v>45627</v>
      </c>
      <c r="C373" s="10"/>
    </row>
    <row r="374" spans="1:8" hidden="1" x14ac:dyDescent="0.3">
      <c r="A374" t="s">
        <v>93</v>
      </c>
      <c r="B374" s="2">
        <v>45658</v>
      </c>
      <c r="C374" s="10"/>
    </row>
    <row r="375" spans="1:8" hidden="1" x14ac:dyDescent="0.3">
      <c r="A375" t="s">
        <v>93</v>
      </c>
      <c r="B375" s="2">
        <v>45689</v>
      </c>
      <c r="C375" s="10"/>
    </row>
    <row r="376" spans="1:8" hidden="1" x14ac:dyDescent="0.3">
      <c r="A376" t="s">
        <v>93</v>
      </c>
      <c r="B376" s="2">
        <v>45717</v>
      </c>
      <c r="C376" s="10"/>
    </row>
    <row r="377" spans="1:8" hidden="1" x14ac:dyDescent="0.3">
      <c r="A377" t="s">
        <v>93</v>
      </c>
      <c r="B377" s="2">
        <v>45748</v>
      </c>
      <c r="C377" s="10"/>
    </row>
    <row r="378" spans="1:8" hidden="1" x14ac:dyDescent="0.3">
      <c r="A378" t="s">
        <v>93</v>
      </c>
      <c r="B378" s="2">
        <v>45778</v>
      </c>
      <c r="C378" s="10"/>
    </row>
    <row r="379" spans="1:8" hidden="1" x14ac:dyDescent="0.3">
      <c r="A379" t="s">
        <v>93</v>
      </c>
      <c r="B379" s="2">
        <v>45809</v>
      </c>
      <c r="C379" s="10"/>
    </row>
    <row r="380" spans="1:8" hidden="1" x14ac:dyDescent="0.3">
      <c r="A380" t="s">
        <v>93</v>
      </c>
      <c r="B380" s="2">
        <v>45839</v>
      </c>
      <c r="C380" s="10"/>
    </row>
    <row r="381" spans="1:8" hidden="1" x14ac:dyDescent="0.3">
      <c r="A381" t="s">
        <v>93</v>
      </c>
      <c r="B381" s="2">
        <v>45870</v>
      </c>
      <c r="C381" s="10"/>
    </row>
    <row r="382" spans="1:8" hidden="1" x14ac:dyDescent="0.3">
      <c r="A382" t="s">
        <v>93</v>
      </c>
      <c r="B382" s="2">
        <v>45901</v>
      </c>
      <c r="C382" s="10"/>
    </row>
    <row r="383" spans="1:8" hidden="1" x14ac:dyDescent="0.3">
      <c r="A383" t="s">
        <v>93</v>
      </c>
      <c r="B383" s="2">
        <v>45931</v>
      </c>
      <c r="C383" s="10"/>
    </row>
    <row r="384" spans="1:8" ht="72" hidden="1" x14ac:dyDescent="0.3">
      <c r="A384" t="s">
        <v>93</v>
      </c>
      <c r="B384" s="2">
        <v>45962</v>
      </c>
      <c r="C384" s="10" t="s">
        <v>414</v>
      </c>
    </row>
    <row r="385" spans="1:8" hidden="1" x14ac:dyDescent="0.3">
      <c r="A385" t="s">
        <v>93</v>
      </c>
      <c r="B385" s="2">
        <v>45992</v>
      </c>
      <c r="C385" s="10" t="s">
        <v>415</v>
      </c>
    </row>
    <row r="386" spans="1:8" hidden="1" x14ac:dyDescent="0.3">
      <c r="A386" t="s">
        <v>93</v>
      </c>
      <c r="B386" s="2">
        <v>46023</v>
      </c>
      <c r="C386" s="10" t="s">
        <v>338</v>
      </c>
    </row>
    <row r="387" spans="1:8" hidden="1" x14ac:dyDescent="0.3">
      <c r="A387" t="s">
        <v>93</v>
      </c>
      <c r="B387" s="2">
        <v>46054</v>
      </c>
      <c r="C387" s="10" t="s">
        <v>326</v>
      </c>
    </row>
    <row r="388" spans="1:8" hidden="1" x14ac:dyDescent="0.3">
      <c r="A388" t="s">
        <v>93</v>
      </c>
      <c r="B388" s="2">
        <v>46082</v>
      </c>
      <c r="C388" s="10" t="s">
        <v>326</v>
      </c>
    </row>
    <row r="389" spans="1:8" hidden="1" x14ac:dyDescent="0.3">
      <c r="A389" t="s">
        <v>93</v>
      </c>
      <c r="B389" s="2">
        <v>46113</v>
      </c>
      <c r="C389" s="10" t="s">
        <v>416</v>
      </c>
    </row>
    <row r="390" spans="1:8" hidden="1" x14ac:dyDescent="0.3">
      <c r="A390" t="s">
        <v>93</v>
      </c>
      <c r="B390" s="2">
        <v>46143</v>
      </c>
      <c r="C390" s="10" t="s">
        <v>854</v>
      </c>
    </row>
    <row r="391" spans="1:8" hidden="1" x14ac:dyDescent="0.3">
      <c r="A391" t="s">
        <v>93</v>
      </c>
      <c r="B391" s="2">
        <v>46235</v>
      </c>
      <c r="C391" t="s">
        <v>36</v>
      </c>
      <c r="D391" t="s">
        <v>36</v>
      </c>
      <c r="E391" t="s">
        <v>36</v>
      </c>
      <c r="F391" t="s">
        <v>36</v>
      </c>
      <c r="G391" t="s">
        <v>36</v>
      </c>
      <c r="H391" t="s">
        <v>1094</v>
      </c>
    </row>
    <row r="392" spans="1:8" hidden="1" x14ac:dyDescent="0.3">
      <c r="A392" t="s">
        <v>93</v>
      </c>
      <c r="B392" s="2">
        <v>46174</v>
      </c>
      <c r="C392" s="10"/>
    </row>
    <row r="393" spans="1:8" hidden="1" x14ac:dyDescent="0.3">
      <c r="A393" t="s">
        <v>93</v>
      </c>
      <c r="B393" s="2">
        <v>46204</v>
      </c>
      <c r="C393" s="10">
        <v>31</v>
      </c>
      <c r="D393">
        <v>0</v>
      </c>
      <c r="E393" t="s">
        <v>33</v>
      </c>
      <c r="F393" t="s">
        <v>1064</v>
      </c>
      <c r="G393" s="10" t="s">
        <v>36</v>
      </c>
      <c r="H393" s="10" t="s">
        <v>36</v>
      </c>
    </row>
    <row r="394" spans="1:8" ht="28.8" hidden="1" x14ac:dyDescent="0.3">
      <c r="A394" t="s">
        <v>95</v>
      </c>
      <c r="B394" s="2">
        <v>45536</v>
      </c>
      <c r="C394" s="10" t="s">
        <v>417</v>
      </c>
    </row>
    <row r="395" spans="1:8" ht="57.6" hidden="1" x14ac:dyDescent="0.3">
      <c r="A395" t="s">
        <v>95</v>
      </c>
      <c r="B395" s="2">
        <v>45566</v>
      </c>
      <c r="C395" s="10" t="s">
        <v>418</v>
      </c>
    </row>
    <row r="396" spans="1:8" hidden="1" x14ac:dyDescent="0.3">
      <c r="A396" t="s">
        <v>95</v>
      </c>
      <c r="B396" s="2">
        <v>45597</v>
      </c>
      <c r="C396" s="10"/>
    </row>
    <row r="397" spans="1:8" hidden="1" x14ac:dyDescent="0.3">
      <c r="A397" t="s">
        <v>95</v>
      </c>
      <c r="B397" s="2">
        <v>45627</v>
      </c>
      <c r="C397" s="10"/>
    </row>
    <row r="398" spans="1:8" hidden="1" x14ac:dyDescent="0.3">
      <c r="A398" t="s">
        <v>95</v>
      </c>
      <c r="B398" s="2">
        <v>45658</v>
      </c>
      <c r="C398" s="10"/>
    </row>
    <row r="399" spans="1:8" ht="100.8" hidden="1" x14ac:dyDescent="0.3">
      <c r="A399" t="s">
        <v>95</v>
      </c>
      <c r="B399" s="2">
        <v>45689</v>
      </c>
      <c r="C399" s="10" t="s">
        <v>419</v>
      </c>
    </row>
    <row r="400" spans="1:8" ht="72" hidden="1" x14ac:dyDescent="0.3">
      <c r="A400" t="s">
        <v>95</v>
      </c>
      <c r="B400" s="2">
        <v>45717</v>
      </c>
      <c r="C400" s="10" t="s">
        <v>420</v>
      </c>
    </row>
    <row r="401" spans="1:8" ht="72" hidden="1" x14ac:dyDescent="0.3">
      <c r="A401" t="s">
        <v>95</v>
      </c>
      <c r="B401" s="2">
        <v>45748</v>
      </c>
      <c r="C401" s="10" t="s">
        <v>420</v>
      </c>
    </row>
    <row r="402" spans="1:8" ht="115.2" hidden="1" x14ac:dyDescent="0.3">
      <c r="A402" t="s">
        <v>95</v>
      </c>
      <c r="B402" s="2">
        <v>45778</v>
      </c>
      <c r="C402" s="10" t="s">
        <v>421</v>
      </c>
    </row>
    <row r="403" spans="1:8" ht="115.2" hidden="1" x14ac:dyDescent="0.3">
      <c r="A403" t="s">
        <v>95</v>
      </c>
      <c r="B403" s="2">
        <v>45809</v>
      </c>
      <c r="C403" s="10" t="s">
        <v>422</v>
      </c>
    </row>
    <row r="404" spans="1:8" hidden="1" x14ac:dyDescent="0.3">
      <c r="A404" t="s">
        <v>95</v>
      </c>
      <c r="B404" s="2">
        <v>45839</v>
      </c>
      <c r="C404" s="10" t="s">
        <v>911</v>
      </c>
      <c r="D404">
        <v>0</v>
      </c>
      <c r="E404" t="s">
        <v>33</v>
      </c>
      <c r="F404" t="s">
        <v>33</v>
      </c>
      <c r="G404" s="10" t="s">
        <v>932</v>
      </c>
      <c r="H404" t="s">
        <v>36</v>
      </c>
    </row>
    <row r="405" spans="1:8" hidden="1" x14ac:dyDescent="0.3">
      <c r="A405" t="s">
        <v>95</v>
      </c>
      <c r="B405" s="2">
        <v>45870</v>
      </c>
      <c r="C405" s="10" t="s">
        <v>911</v>
      </c>
      <c r="D405">
        <v>0</v>
      </c>
      <c r="E405" t="s">
        <v>33</v>
      </c>
      <c r="F405" t="s">
        <v>33</v>
      </c>
      <c r="G405" s="10" t="s">
        <v>932</v>
      </c>
      <c r="H405" t="s">
        <v>36</v>
      </c>
    </row>
    <row r="406" spans="1:8" hidden="1" x14ac:dyDescent="0.3">
      <c r="A406" t="s">
        <v>95</v>
      </c>
      <c r="B406" s="2">
        <v>45901</v>
      </c>
      <c r="C406" s="10" t="s">
        <v>931</v>
      </c>
      <c r="D406">
        <v>0</v>
      </c>
      <c r="E406" t="s">
        <v>33</v>
      </c>
      <c r="F406" t="s">
        <v>33</v>
      </c>
      <c r="G406" s="10" t="s">
        <v>932</v>
      </c>
      <c r="H406" t="s">
        <v>36</v>
      </c>
    </row>
    <row r="407" spans="1:8" hidden="1" x14ac:dyDescent="0.3">
      <c r="A407" t="s">
        <v>95</v>
      </c>
      <c r="B407" s="2">
        <v>45931</v>
      </c>
      <c r="C407" s="10" t="s">
        <v>911</v>
      </c>
      <c r="D407">
        <v>0</v>
      </c>
      <c r="E407" t="s">
        <v>33</v>
      </c>
      <c r="F407" t="s">
        <v>33</v>
      </c>
      <c r="G407" s="10" t="s">
        <v>932</v>
      </c>
      <c r="H407" t="s">
        <v>36</v>
      </c>
    </row>
    <row r="408" spans="1:8" hidden="1" x14ac:dyDescent="0.3">
      <c r="A408" t="s">
        <v>95</v>
      </c>
      <c r="B408" s="2">
        <v>45962</v>
      </c>
      <c r="C408" s="10" t="s">
        <v>931</v>
      </c>
      <c r="D408">
        <v>0</v>
      </c>
      <c r="E408" t="s">
        <v>33</v>
      </c>
      <c r="F408" t="s">
        <v>33</v>
      </c>
      <c r="G408" s="10" t="s">
        <v>933</v>
      </c>
      <c r="H408" t="s">
        <v>36</v>
      </c>
    </row>
    <row r="409" spans="1:8" hidden="1" x14ac:dyDescent="0.3">
      <c r="A409" t="s">
        <v>95</v>
      </c>
      <c r="B409" s="2">
        <v>45992</v>
      </c>
      <c r="C409" s="10" t="s">
        <v>935</v>
      </c>
      <c r="D409" t="s">
        <v>934</v>
      </c>
      <c r="E409" t="s">
        <v>936</v>
      </c>
      <c r="F409" t="s">
        <v>33</v>
      </c>
      <c r="G409" s="10" t="s">
        <v>938</v>
      </c>
      <c r="H409" t="s">
        <v>36</v>
      </c>
    </row>
    <row r="410" spans="1:8" hidden="1" x14ac:dyDescent="0.3">
      <c r="A410" t="s">
        <v>95</v>
      </c>
      <c r="B410" s="2">
        <v>46023</v>
      </c>
      <c r="C410" s="10" t="s">
        <v>930</v>
      </c>
      <c r="D410" t="s">
        <v>904</v>
      </c>
      <c r="E410" t="s">
        <v>937</v>
      </c>
      <c r="F410" t="s">
        <v>939</v>
      </c>
      <c r="G410" s="10" t="s">
        <v>938</v>
      </c>
      <c r="H410" t="s">
        <v>36</v>
      </c>
    </row>
    <row r="411" spans="1:8" ht="28.8" hidden="1" x14ac:dyDescent="0.3">
      <c r="A411" t="s">
        <v>95</v>
      </c>
      <c r="B411" s="2">
        <v>46054</v>
      </c>
      <c r="C411" s="10" t="s">
        <v>940</v>
      </c>
      <c r="D411" t="s">
        <v>941</v>
      </c>
      <c r="E411" t="s">
        <v>937</v>
      </c>
      <c r="F411" t="s">
        <v>939</v>
      </c>
      <c r="G411" s="10" t="s">
        <v>424</v>
      </c>
      <c r="H411" t="s">
        <v>36</v>
      </c>
    </row>
    <row r="412" spans="1:8" hidden="1" x14ac:dyDescent="0.3">
      <c r="A412" t="s">
        <v>95</v>
      </c>
      <c r="B412" s="2">
        <v>46082</v>
      </c>
      <c r="C412" s="10" t="s">
        <v>911</v>
      </c>
      <c r="D412">
        <v>0</v>
      </c>
      <c r="E412" t="s">
        <v>33</v>
      </c>
      <c r="F412" t="s">
        <v>33</v>
      </c>
      <c r="G412" s="10" t="s">
        <v>932</v>
      </c>
      <c r="H412" t="s">
        <v>36</v>
      </c>
    </row>
    <row r="413" spans="1:8" hidden="1" x14ac:dyDescent="0.3">
      <c r="A413" t="s">
        <v>95</v>
      </c>
      <c r="B413" s="2">
        <v>46113</v>
      </c>
      <c r="C413" s="10" t="s">
        <v>919</v>
      </c>
      <c r="D413">
        <v>0</v>
      </c>
      <c r="E413" t="s">
        <v>33</v>
      </c>
      <c r="F413" t="s">
        <v>33</v>
      </c>
      <c r="G413" s="10" t="s">
        <v>932</v>
      </c>
      <c r="H413" t="s">
        <v>36</v>
      </c>
    </row>
    <row r="414" spans="1:8" hidden="1" x14ac:dyDescent="0.3">
      <c r="A414" t="s">
        <v>95</v>
      </c>
      <c r="B414" s="2">
        <v>46143</v>
      </c>
      <c r="C414" s="10" t="s">
        <v>911</v>
      </c>
      <c r="D414">
        <v>0</v>
      </c>
      <c r="E414" t="s">
        <v>33</v>
      </c>
      <c r="F414" t="s">
        <v>33</v>
      </c>
      <c r="G414" s="10" t="s">
        <v>932</v>
      </c>
      <c r="H414" t="s">
        <v>36</v>
      </c>
    </row>
    <row r="415" spans="1:8" hidden="1" x14ac:dyDescent="0.3">
      <c r="A415" t="s">
        <v>95</v>
      </c>
      <c r="B415" s="2">
        <v>46235</v>
      </c>
      <c r="C415" s="10" t="s">
        <v>919</v>
      </c>
      <c r="D415">
        <v>0</v>
      </c>
      <c r="E415" t="s">
        <v>33</v>
      </c>
      <c r="F415" t="s">
        <v>33</v>
      </c>
      <c r="G415" t="s">
        <v>1073</v>
      </c>
      <c r="H415" t="s">
        <v>36</v>
      </c>
    </row>
    <row r="416" spans="1:8" ht="28.95" hidden="1" customHeight="1" x14ac:dyDescent="0.3">
      <c r="A416" t="s">
        <v>95</v>
      </c>
      <c r="B416" s="2">
        <v>46174</v>
      </c>
      <c r="C416" s="10" t="s">
        <v>919</v>
      </c>
      <c r="D416">
        <v>0</v>
      </c>
      <c r="E416" t="s">
        <v>33</v>
      </c>
      <c r="F416" t="s">
        <v>33</v>
      </c>
      <c r="G416" s="10" t="s">
        <v>932</v>
      </c>
      <c r="H416" t="s">
        <v>36</v>
      </c>
    </row>
    <row r="417" spans="1:8" ht="43.2" hidden="1" customHeight="1" x14ac:dyDescent="0.3">
      <c r="A417" t="s">
        <v>95</v>
      </c>
      <c r="B417" s="2">
        <v>46204</v>
      </c>
      <c r="C417" s="10">
        <v>31</v>
      </c>
      <c r="D417">
        <v>0</v>
      </c>
      <c r="E417" t="s">
        <v>33</v>
      </c>
      <c r="F417" t="s">
        <v>33</v>
      </c>
      <c r="G417" s="10" t="s">
        <v>932</v>
      </c>
      <c r="H417" t="s">
        <v>36</v>
      </c>
    </row>
    <row r="418" spans="1:8" ht="72" hidden="1" customHeight="1" x14ac:dyDescent="0.3">
      <c r="A418" t="s">
        <v>271</v>
      </c>
      <c r="B418" s="2">
        <v>46174</v>
      </c>
      <c r="C418" t="s">
        <v>919</v>
      </c>
      <c r="D418">
        <v>0</v>
      </c>
      <c r="E418" t="s">
        <v>36</v>
      </c>
      <c r="F418" t="s">
        <v>912</v>
      </c>
      <c r="G418" t="s">
        <v>33</v>
      </c>
      <c r="H418" t="s">
        <v>36</v>
      </c>
    </row>
    <row r="419" spans="1:8" ht="72" hidden="1" customHeight="1" x14ac:dyDescent="0.3">
      <c r="A419" t="s">
        <v>271</v>
      </c>
      <c r="B419" s="2">
        <v>46204</v>
      </c>
      <c r="C419">
        <v>18</v>
      </c>
      <c r="D419" s="41" t="s">
        <v>1022</v>
      </c>
      <c r="E419" t="s">
        <v>1024</v>
      </c>
      <c r="F419" t="s">
        <v>1008</v>
      </c>
      <c r="G419" s="32" t="s">
        <v>1025</v>
      </c>
      <c r="H419" t="s">
        <v>36</v>
      </c>
    </row>
    <row r="420" spans="1:8" ht="72" hidden="1" customHeight="1" x14ac:dyDescent="0.3">
      <c r="A420" t="s">
        <v>271</v>
      </c>
      <c r="B420" s="2">
        <v>45536</v>
      </c>
    </row>
    <row r="421" spans="1:8" ht="57.6" hidden="1" customHeight="1" x14ac:dyDescent="0.3">
      <c r="A421" t="s">
        <v>271</v>
      </c>
      <c r="B421" s="2">
        <v>45566</v>
      </c>
    </row>
    <row r="422" spans="1:8" ht="57.6" hidden="1" customHeight="1" x14ac:dyDescent="0.3">
      <c r="A422" t="s">
        <v>271</v>
      </c>
      <c r="B422" s="2">
        <v>45597</v>
      </c>
    </row>
    <row r="423" spans="1:8" ht="57.6" hidden="1" customHeight="1" x14ac:dyDescent="0.3">
      <c r="A423" t="s">
        <v>271</v>
      </c>
      <c r="B423" s="2">
        <v>45627</v>
      </c>
    </row>
    <row r="424" spans="1:8" ht="57.6" hidden="1" customHeight="1" x14ac:dyDescent="0.3">
      <c r="A424" t="s">
        <v>271</v>
      </c>
      <c r="B424" s="2">
        <v>45658</v>
      </c>
    </row>
    <row r="425" spans="1:8" hidden="1" x14ac:dyDescent="0.3">
      <c r="A425" t="s">
        <v>271</v>
      </c>
      <c r="B425" s="2">
        <v>45689</v>
      </c>
    </row>
    <row r="426" spans="1:8" hidden="1" x14ac:dyDescent="0.3">
      <c r="A426" t="s">
        <v>271</v>
      </c>
      <c r="B426" s="2">
        <v>45717</v>
      </c>
    </row>
    <row r="427" spans="1:8" hidden="1" x14ac:dyDescent="0.3">
      <c r="A427" t="s">
        <v>271</v>
      </c>
      <c r="B427" s="2">
        <v>45748</v>
      </c>
    </row>
    <row r="428" spans="1:8" hidden="1" x14ac:dyDescent="0.3">
      <c r="A428" t="s">
        <v>271</v>
      </c>
      <c r="B428" s="2">
        <v>45778</v>
      </c>
    </row>
    <row r="429" spans="1:8" hidden="1" x14ac:dyDescent="0.3">
      <c r="A429" t="s">
        <v>271</v>
      </c>
      <c r="B429" s="2">
        <v>45809</v>
      </c>
    </row>
    <row r="430" spans="1:8" hidden="1" x14ac:dyDescent="0.3">
      <c r="A430" t="s">
        <v>271</v>
      </c>
      <c r="B430" s="2">
        <v>45839</v>
      </c>
      <c r="C430" t="s">
        <v>36</v>
      </c>
      <c r="D430" t="s">
        <v>36</v>
      </c>
      <c r="E430" t="s">
        <v>36</v>
      </c>
      <c r="F430" t="s">
        <v>36</v>
      </c>
      <c r="G430" t="s">
        <v>36</v>
      </c>
      <c r="H430" t="s">
        <v>916</v>
      </c>
    </row>
    <row r="431" spans="1:8" hidden="1" x14ac:dyDescent="0.3">
      <c r="A431" t="s">
        <v>271</v>
      </c>
      <c r="B431" s="2">
        <v>45870</v>
      </c>
      <c r="C431" t="s">
        <v>36</v>
      </c>
      <c r="D431" t="s">
        <v>36</v>
      </c>
      <c r="E431" t="s">
        <v>36</v>
      </c>
      <c r="F431" t="s">
        <v>36</v>
      </c>
      <c r="G431" t="s">
        <v>36</v>
      </c>
      <c r="H431" t="s">
        <v>916</v>
      </c>
    </row>
    <row r="432" spans="1:8" hidden="1" x14ac:dyDescent="0.3">
      <c r="A432" t="s">
        <v>271</v>
      </c>
      <c r="B432" s="2">
        <v>45901</v>
      </c>
      <c r="C432" t="s">
        <v>36</v>
      </c>
      <c r="D432" t="s">
        <v>36</v>
      </c>
      <c r="E432" t="s">
        <v>36</v>
      </c>
      <c r="F432" t="s">
        <v>36</v>
      </c>
      <c r="G432" t="s">
        <v>36</v>
      </c>
      <c r="H432" t="s">
        <v>916</v>
      </c>
    </row>
    <row r="433" spans="1:8" hidden="1" x14ac:dyDescent="0.3">
      <c r="A433" t="s">
        <v>271</v>
      </c>
      <c r="B433" s="2">
        <v>45931</v>
      </c>
      <c r="C433" t="s">
        <v>36</v>
      </c>
      <c r="D433" t="s">
        <v>36</v>
      </c>
      <c r="E433" t="s">
        <v>36</v>
      </c>
      <c r="F433" t="s">
        <v>36</v>
      </c>
      <c r="G433" t="s">
        <v>36</v>
      </c>
      <c r="H433" t="s">
        <v>916</v>
      </c>
    </row>
    <row r="434" spans="1:8" hidden="1" x14ac:dyDescent="0.3">
      <c r="A434" t="s">
        <v>271</v>
      </c>
      <c r="B434" s="2">
        <v>45962</v>
      </c>
      <c r="C434" t="s">
        <v>36</v>
      </c>
      <c r="D434" t="s">
        <v>36</v>
      </c>
      <c r="E434" t="s">
        <v>36</v>
      </c>
      <c r="F434" t="s">
        <v>36</v>
      </c>
      <c r="G434" t="s">
        <v>36</v>
      </c>
      <c r="H434" t="s">
        <v>916</v>
      </c>
    </row>
    <row r="435" spans="1:8" hidden="1" x14ac:dyDescent="0.3">
      <c r="A435" t="s">
        <v>271</v>
      </c>
      <c r="B435" s="2">
        <v>45992</v>
      </c>
      <c r="C435" t="s">
        <v>36</v>
      </c>
      <c r="D435" t="s">
        <v>36</v>
      </c>
      <c r="E435" t="s">
        <v>36</v>
      </c>
      <c r="F435" t="s">
        <v>36</v>
      </c>
      <c r="G435" t="s">
        <v>36</v>
      </c>
      <c r="H435" t="s">
        <v>916</v>
      </c>
    </row>
    <row r="436" spans="1:8" hidden="1" x14ac:dyDescent="0.3">
      <c r="A436" t="s">
        <v>271</v>
      </c>
      <c r="B436" s="2">
        <v>46023</v>
      </c>
      <c r="C436" t="s">
        <v>36</v>
      </c>
      <c r="D436" t="s">
        <v>36</v>
      </c>
      <c r="E436" t="s">
        <v>36</v>
      </c>
      <c r="F436" t="s">
        <v>36</v>
      </c>
      <c r="G436" t="s">
        <v>36</v>
      </c>
      <c r="H436" t="s">
        <v>916</v>
      </c>
    </row>
    <row r="437" spans="1:8" hidden="1" x14ac:dyDescent="0.3">
      <c r="A437" t="s">
        <v>271</v>
      </c>
      <c r="B437" s="2">
        <v>46054</v>
      </c>
      <c r="C437" t="s">
        <v>36</v>
      </c>
      <c r="D437" t="s">
        <v>36</v>
      </c>
      <c r="E437" t="s">
        <v>36</v>
      </c>
      <c r="F437" t="s">
        <v>36</v>
      </c>
      <c r="G437" t="s">
        <v>36</v>
      </c>
      <c r="H437" t="s">
        <v>916</v>
      </c>
    </row>
    <row r="438" spans="1:8" hidden="1" x14ac:dyDescent="0.3">
      <c r="A438" t="s">
        <v>271</v>
      </c>
      <c r="B438" s="2">
        <v>46082</v>
      </c>
      <c r="C438" t="s">
        <v>36</v>
      </c>
      <c r="D438" t="s">
        <v>36</v>
      </c>
      <c r="E438" t="s">
        <v>36</v>
      </c>
      <c r="F438" t="s">
        <v>36</v>
      </c>
      <c r="G438" t="s">
        <v>36</v>
      </c>
      <c r="H438" t="s">
        <v>916</v>
      </c>
    </row>
    <row r="439" spans="1:8" ht="57.6" hidden="1" customHeight="1" x14ac:dyDescent="0.3">
      <c r="A439" t="s">
        <v>271</v>
      </c>
      <c r="B439" s="2">
        <v>46113</v>
      </c>
      <c r="C439" t="s">
        <v>36</v>
      </c>
      <c r="D439" t="s">
        <v>36</v>
      </c>
      <c r="E439" t="s">
        <v>36</v>
      </c>
      <c r="F439" t="s">
        <v>36</v>
      </c>
      <c r="G439" t="s">
        <v>36</v>
      </c>
      <c r="H439" t="s">
        <v>916</v>
      </c>
    </row>
    <row r="440" spans="1:8" ht="43.2" hidden="1" customHeight="1" x14ac:dyDescent="0.3">
      <c r="A440" t="s">
        <v>271</v>
      </c>
      <c r="B440" s="2">
        <v>46143</v>
      </c>
      <c r="C440" t="s">
        <v>917</v>
      </c>
      <c r="D440" t="s">
        <v>918</v>
      </c>
      <c r="E440" t="s">
        <v>916</v>
      </c>
      <c r="F440" t="s">
        <v>36</v>
      </c>
      <c r="G440" t="s">
        <v>36</v>
      </c>
    </row>
    <row r="441" spans="1:8" hidden="1" x14ac:dyDescent="0.3">
      <c r="A441" t="s">
        <v>271</v>
      </c>
      <c r="B441" s="2">
        <v>46235</v>
      </c>
      <c r="C441" t="s">
        <v>896</v>
      </c>
      <c r="D441">
        <v>0</v>
      </c>
      <c r="E441" t="s">
        <v>33</v>
      </c>
      <c r="F441" t="s">
        <v>33</v>
      </c>
      <c r="G441" t="s">
        <v>338</v>
      </c>
      <c r="H441" t="s">
        <v>36</v>
      </c>
    </row>
    <row r="442" spans="1:8" ht="57.6" hidden="1" customHeight="1" x14ac:dyDescent="0.3">
      <c r="A442" t="s">
        <v>239</v>
      </c>
      <c r="B442" s="2">
        <v>45536</v>
      </c>
      <c r="C442" s="10"/>
    </row>
    <row r="443" spans="1:8" ht="72" hidden="1" customHeight="1" x14ac:dyDescent="0.3">
      <c r="A443" t="s">
        <v>239</v>
      </c>
      <c r="B443" s="2">
        <v>45566</v>
      </c>
      <c r="C443" s="10"/>
    </row>
    <row r="444" spans="1:8" ht="57.6" hidden="1" customHeight="1" x14ac:dyDescent="0.3">
      <c r="A444" t="s">
        <v>239</v>
      </c>
      <c r="B444" s="2">
        <v>45597</v>
      </c>
      <c r="C444" s="10"/>
    </row>
    <row r="445" spans="1:8" ht="86.4" hidden="1" customHeight="1" x14ac:dyDescent="0.3">
      <c r="A445" t="s">
        <v>239</v>
      </c>
      <c r="B445" s="2">
        <v>45627</v>
      </c>
      <c r="C445" s="10"/>
    </row>
    <row r="446" spans="1:8" ht="57.6" hidden="1" customHeight="1" x14ac:dyDescent="0.3">
      <c r="A446" t="s">
        <v>239</v>
      </c>
      <c r="B446" s="2">
        <v>45658</v>
      </c>
      <c r="C446" s="10"/>
    </row>
    <row r="447" spans="1:8" ht="57.6" hidden="1" customHeight="1" x14ac:dyDescent="0.3">
      <c r="A447" t="s">
        <v>239</v>
      </c>
      <c r="B447" s="2">
        <v>45689</v>
      </c>
      <c r="C447" s="10"/>
    </row>
    <row r="448" spans="1:8" ht="57.6" hidden="1" customHeight="1" x14ac:dyDescent="0.3">
      <c r="A448" t="s">
        <v>239</v>
      </c>
      <c r="B448" s="2">
        <v>45717</v>
      </c>
      <c r="C448" s="10"/>
    </row>
    <row r="449" spans="1:8" hidden="1" x14ac:dyDescent="0.3">
      <c r="A449" t="s">
        <v>239</v>
      </c>
      <c r="B449" s="2">
        <v>45748</v>
      </c>
      <c r="C449" s="10"/>
    </row>
    <row r="450" spans="1:8" hidden="1" x14ac:dyDescent="0.3">
      <c r="A450" t="s">
        <v>239</v>
      </c>
      <c r="B450" s="2">
        <v>45778</v>
      </c>
      <c r="C450" s="10"/>
    </row>
    <row r="451" spans="1:8" hidden="1" x14ac:dyDescent="0.3">
      <c r="A451" t="s">
        <v>239</v>
      </c>
      <c r="B451" s="2">
        <v>45809</v>
      </c>
      <c r="C451" s="10"/>
    </row>
    <row r="452" spans="1:8" hidden="1" x14ac:dyDescent="0.3">
      <c r="A452" t="s">
        <v>239</v>
      </c>
      <c r="B452" s="2">
        <v>45839</v>
      </c>
      <c r="C452" t="s">
        <v>911</v>
      </c>
      <c r="D452" t="s">
        <v>36</v>
      </c>
      <c r="E452" t="s">
        <v>36</v>
      </c>
      <c r="F452" t="s">
        <v>36</v>
      </c>
      <c r="G452" t="s">
        <v>36</v>
      </c>
      <c r="H452" t="s">
        <v>967</v>
      </c>
    </row>
    <row r="453" spans="1:8" hidden="1" x14ac:dyDescent="0.3">
      <c r="A453" t="s">
        <v>239</v>
      </c>
      <c r="B453" s="2">
        <v>45870</v>
      </c>
      <c r="C453" t="s">
        <v>911</v>
      </c>
      <c r="D453" t="s">
        <v>36</v>
      </c>
      <c r="E453" t="s">
        <v>36</v>
      </c>
      <c r="F453" t="s">
        <v>36</v>
      </c>
      <c r="G453" t="s">
        <v>36</v>
      </c>
      <c r="H453" t="s">
        <v>967</v>
      </c>
    </row>
    <row r="454" spans="1:8" hidden="1" x14ac:dyDescent="0.3">
      <c r="A454" t="s">
        <v>239</v>
      </c>
      <c r="B454" s="2">
        <v>45901</v>
      </c>
      <c r="C454" t="s">
        <v>919</v>
      </c>
      <c r="D454" t="s">
        <v>36</v>
      </c>
      <c r="E454" t="s">
        <v>36</v>
      </c>
      <c r="F454" t="s">
        <v>36</v>
      </c>
      <c r="G454" t="s">
        <v>36</v>
      </c>
      <c r="H454" t="s">
        <v>967</v>
      </c>
    </row>
    <row r="455" spans="1:8" hidden="1" x14ac:dyDescent="0.3">
      <c r="A455" t="s">
        <v>239</v>
      </c>
      <c r="B455" s="2">
        <v>45931</v>
      </c>
      <c r="C455" t="s">
        <v>911</v>
      </c>
      <c r="D455" t="s">
        <v>36</v>
      </c>
      <c r="E455" t="s">
        <v>36</v>
      </c>
      <c r="F455" t="s">
        <v>36</v>
      </c>
      <c r="G455" t="s">
        <v>36</v>
      </c>
      <c r="H455" t="s">
        <v>967</v>
      </c>
    </row>
    <row r="456" spans="1:8" hidden="1" x14ac:dyDescent="0.3">
      <c r="A456" t="s">
        <v>239</v>
      </c>
      <c r="B456" s="2">
        <v>45962</v>
      </c>
      <c r="C456" t="s">
        <v>919</v>
      </c>
      <c r="D456">
        <v>0</v>
      </c>
      <c r="E456" t="s">
        <v>33</v>
      </c>
      <c r="F456" t="s">
        <v>33</v>
      </c>
      <c r="G456" s="10" t="s">
        <v>338</v>
      </c>
      <c r="H456" t="s">
        <v>36</v>
      </c>
    </row>
    <row r="457" spans="1:8" hidden="1" x14ac:dyDescent="0.3">
      <c r="A457" t="s">
        <v>239</v>
      </c>
      <c r="B457" s="2">
        <v>45992</v>
      </c>
      <c r="C457" t="s">
        <v>911</v>
      </c>
      <c r="D457">
        <v>0</v>
      </c>
      <c r="E457" t="s">
        <v>33</v>
      </c>
      <c r="F457" t="s">
        <v>33</v>
      </c>
      <c r="G457" s="10" t="s">
        <v>338</v>
      </c>
      <c r="H457" t="s">
        <v>36</v>
      </c>
    </row>
    <row r="458" spans="1:8" hidden="1" x14ac:dyDescent="0.3">
      <c r="A458" t="s">
        <v>239</v>
      </c>
      <c r="B458" s="2">
        <v>46023</v>
      </c>
      <c r="C458" t="s">
        <v>911</v>
      </c>
      <c r="D458">
        <v>0</v>
      </c>
      <c r="E458" t="s">
        <v>33</v>
      </c>
      <c r="F458" t="s">
        <v>33</v>
      </c>
      <c r="G458" s="10" t="s">
        <v>338</v>
      </c>
      <c r="H458" t="s">
        <v>36</v>
      </c>
    </row>
    <row r="459" spans="1:8" hidden="1" x14ac:dyDescent="0.3">
      <c r="A459" t="s">
        <v>239</v>
      </c>
      <c r="B459" s="2">
        <v>46054</v>
      </c>
      <c r="C459" t="s">
        <v>895</v>
      </c>
      <c r="D459">
        <v>0</v>
      </c>
      <c r="E459" t="s">
        <v>33</v>
      </c>
      <c r="F459" t="s">
        <v>33</v>
      </c>
      <c r="G459" s="10" t="s">
        <v>338</v>
      </c>
      <c r="H459" t="s">
        <v>36</v>
      </c>
    </row>
    <row r="460" spans="1:8" hidden="1" x14ac:dyDescent="0.3">
      <c r="A460" t="s">
        <v>239</v>
      </c>
      <c r="B460" s="2">
        <v>46082</v>
      </c>
      <c r="C460" t="s">
        <v>911</v>
      </c>
      <c r="D460">
        <v>0</v>
      </c>
      <c r="E460" t="s">
        <v>33</v>
      </c>
      <c r="F460" t="s">
        <v>33</v>
      </c>
      <c r="G460" s="10" t="s">
        <v>338</v>
      </c>
      <c r="H460" t="s">
        <v>36</v>
      </c>
    </row>
    <row r="461" spans="1:8" hidden="1" x14ac:dyDescent="0.3">
      <c r="A461" t="s">
        <v>239</v>
      </c>
      <c r="B461" s="2">
        <v>46113</v>
      </c>
      <c r="C461" t="s">
        <v>919</v>
      </c>
      <c r="D461">
        <v>0</v>
      </c>
      <c r="E461" t="s">
        <v>33</v>
      </c>
      <c r="F461" t="s">
        <v>33</v>
      </c>
      <c r="G461" s="10" t="s">
        <v>302</v>
      </c>
      <c r="H461" t="s">
        <v>36</v>
      </c>
    </row>
    <row r="462" spans="1:8" hidden="1" x14ac:dyDescent="0.3">
      <c r="A462" t="s">
        <v>239</v>
      </c>
      <c r="B462" s="2">
        <v>46143</v>
      </c>
      <c r="C462" t="s">
        <v>911</v>
      </c>
      <c r="D462">
        <v>0</v>
      </c>
      <c r="E462" t="s">
        <v>33</v>
      </c>
      <c r="F462" t="s">
        <v>33</v>
      </c>
      <c r="G462" s="10" t="s">
        <v>302</v>
      </c>
      <c r="H462" t="s">
        <v>36</v>
      </c>
    </row>
    <row r="463" spans="1:8" hidden="1" x14ac:dyDescent="0.3">
      <c r="A463" t="s">
        <v>239</v>
      </c>
      <c r="B463" s="2">
        <v>46235</v>
      </c>
      <c r="C463" t="s">
        <v>896</v>
      </c>
      <c r="D463">
        <v>0</v>
      </c>
      <c r="E463" t="s">
        <v>33</v>
      </c>
      <c r="F463" t="s">
        <v>33</v>
      </c>
      <c r="G463" t="s">
        <v>338</v>
      </c>
      <c r="H463" t="s">
        <v>36</v>
      </c>
    </row>
    <row r="464" spans="1:8" ht="57.6" hidden="1" customHeight="1" x14ac:dyDescent="0.3">
      <c r="A464" t="s">
        <v>239</v>
      </c>
      <c r="B464" s="2">
        <v>46174</v>
      </c>
      <c r="C464" t="s">
        <v>919</v>
      </c>
      <c r="D464">
        <v>0</v>
      </c>
      <c r="E464" t="s">
        <v>33</v>
      </c>
      <c r="F464" t="s">
        <v>33</v>
      </c>
      <c r="G464" t="s">
        <v>959</v>
      </c>
      <c r="H464" t="s">
        <v>36</v>
      </c>
    </row>
    <row r="465" spans="1:8" ht="57.6" hidden="1" customHeight="1" x14ac:dyDescent="0.3">
      <c r="A465" t="s">
        <v>239</v>
      </c>
      <c r="B465" s="2">
        <v>46204</v>
      </c>
      <c r="C465" s="10">
        <v>31</v>
      </c>
      <c r="D465">
        <v>0</v>
      </c>
      <c r="E465" t="s">
        <v>33</v>
      </c>
      <c r="F465" t="s">
        <v>1026</v>
      </c>
      <c r="G465" t="s">
        <v>338</v>
      </c>
      <c r="H465" t="s">
        <v>36</v>
      </c>
    </row>
    <row r="466" spans="1:8" ht="72" hidden="1" customHeight="1" x14ac:dyDescent="0.3">
      <c r="A466" t="s">
        <v>98</v>
      </c>
      <c r="B466" s="2">
        <v>45536</v>
      </c>
      <c r="C466" s="10"/>
    </row>
    <row r="467" spans="1:8" ht="57.6" hidden="1" customHeight="1" x14ac:dyDescent="0.3">
      <c r="A467" t="s">
        <v>98</v>
      </c>
      <c r="B467" s="2">
        <v>45566</v>
      </c>
      <c r="C467" s="10"/>
    </row>
    <row r="468" spans="1:8" hidden="1" x14ac:dyDescent="0.3">
      <c r="A468" t="s">
        <v>98</v>
      </c>
      <c r="B468" s="2">
        <v>45597</v>
      </c>
      <c r="C468" s="10"/>
    </row>
    <row r="469" spans="1:8" hidden="1" x14ac:dyDescent="0.3">
      <c r="A469" t="s">
        <v>98</v>
      </c>
      <c r="B469" s="2">
        <v>45627</v>
      </c>
      <c r="C469" s="10"/>
    </row>
    <row r="470" spans="1:8" hidden="1" x14ac:dyDescent="0.3">
      <c r="A470" t="s">
        <v>98</v>
      </c>
      <c r="B470" s="2">
        <v>45658</v>
      </c>
      <c r="C470" s="10"/>
    </row>
    <row r="471" spans="1:8" ht="43.2" hidden="1" x14ac:dyDescent="0.3">
      <c r="A471" t="s">
        <v>98</v>
      </c>
      <c r="B471" s="2">
        <v>45689</v>
      </c>
      <c r="C471" s="10" t="s">
        <v>425</v>
      </c>
    </row>
    <row r="472" spans="1:8" ht="43.2" hidden="1" x14ac:dyDescent="0.3">
      <c r="A472" t="s">
        <v>98</v>
      </c>
      <c r="B472" s="2">
        <v>45717</v>
      </c>
      <c r="C472" s="10" t="s">
        <v>426</v>
      </c>
    </row>
    <row r="473" spans="1:8" ht="43.2" hidden="1" x14ac:dyDescent="0.3">
      <c r="A473" t="s">
        <v>98</v>
      </c>
      <c r="B473" s="2">
        <v>45748</v>
      </c>
      <c r="C473" s="10" t="s">
        <v>427</v>
      </c>
    </row>
    <row r="474" spans="1:8" ht="129.6" hidden="1" x14ac:dyDescent="0.3">
      <c r="A474" t="s">
        <v>98</v>
      </c>
      <c r="B474" s="2">
        <v>45778</v>
      </c>
      <c r="C474" s="10" t="s">
        <v>428</v>
      </c>
    </row>
    <row r="475" spans="1:8" ht="129.6" hidden="1" x14ac:dyDescent="0.3">
      <c r="A475" t="s">
        <v>98</v>
      </c>
      <c r="B475" s="2">
        <v>45809</v>
      </c>
      <c r="C475" s="10" t="s">
        <v>429</v>
      </c>
    </row>
    <row r="476" spans="1:8" ht="129.6" hidden="1" x14ac:dyDescent="0.3">
      <c r="A476" t="s">
        <v>98</v>
      </c>
      <c r="B476" s="2">
        <v>45839</v>
      </c>
      <c r="C476" s="10" t="s">
        <v>430</v>
      </c>
    </row>
    <row r="477" spans="1:8" ht="115.2" hidden="1" x14ac:dyDescent="0.3">
      <c r="A477" t="s">
        <v>98</v>
      </c>
      <c r="B477" s="2">
        <v>45870</v>
      </c>
      <c r="C477" s="10" t="s">
        <v>431</v>
      </c>
    </row>
    <row r="478" spans="1:8" ht="115.2" hidden="1" x14ac:dyDescent="0.3">
      <c r="A478" t="s">
        <v>98</v>
      </c>
      <c r="B478" s="2">
        <v>45901</v>
      </c>
      <c r="C478" s="10" t="s">
        <v>432</v>
      </c>
    </row>
    <row r="479" spans="1:8" ht="115.2" hidden="1" x14ac:dyDescent="0.3">
      <c r="A479" t="s">
        <v>98</v>
      </c>
      <c r="B479" s="2">
        <v>45931</v>
      </c>
      <c r="C479" s="10" t="s">
        <v>433</v>
      </c>
    </row>
    <row r="480" spans="1:8" ht="115.2" hidden="1" x14ac:dyDescent="0.3">
      <c r="A480" t="s">
        <v>98</v>
      </c>
      <c r="B480" s="2">
        <v>45962</v>
      </c>
      <c r="C480" s="10" t="s">
        <v>434</v>
      </c>
    </row>
    <row r="481" spans="1:8" ht="28.8" hidden="1" x14ac:dyDescent="0.3">
      <c r="A481" t="s">
        <v>98</v>
      </c>
      <c r="B481" s="2">
        <v>45992</v>
      </c>
      <c r="C481" s="10" t="s">
        <v>435</v>
      </c>
    </row>
    <row r="482" spans="1:8" ht="28.8" hidden="1" x14ac:dyDescent="0.3">
      <c r="A482" t="s">
        <v>98</v>
      </c>
      <c r="B482" s="2">
        <v>46023</v>
      </c>
      <c r="C482" s="10" t="s">
        <v>436</v>
      </c>
    </row>
    <row r="483" spans="1:8" ht="43.2" hidden="1" x14ac:dyDescent="0.3">
      <c r="A483" t="s">
        <v>98</v>
      </c>
      <c r="B483" s="2">
        <v>46054</v>
      </c>
      <c r="C483" s="10" t="s">
        <v>437</v>
      </c>
    </row>
    <row r="484" spans="1:8" ht="28.8" hidden="1" x14ac:dyDescent="0.3">
      <c r="A484" t="s">
        <v>98</v>
      </c>
      <c r="B484" s="2">
        <v>46082</v>
      </c>
      <c r="C484" s="10" t="s">
        <v>438</v>
      </c>
    </row>
    <row r="485" spans="1:8" ht="28.8" hidden="1" x14ac:dyDescent="0.3">
      <c r="A485" t="s">
        <v>98</v>
      </c>
      <c r="B485" s="2">
        <v>46113</v>
      </c>
      <c r="C485" s="10" t="s">
        <v>438</v>
      </c>
    </row>
    <row r="486" spans="1:8" ht="28.8" hidden="1" x14ac:dyDescent="0.3">
      <c r="A486" t="s">
        <v>98</v>
      </c>
      <c r="B486" s="2">
        <v>46143</v>
      </c>
      <c r="C486" s="10" t="s">
        <v>855</v>
      </c>
    </row>
    <row r="487" spans="1:8" hidden="1" x14ac:dyDescent="0.3">
      <c r="A487" t="s">
        <v>98</v>
      </c>
      <c r="B487" s="2">
        <v>46235</v>
      </c>
      <c r="C487" t="s">
        <v>896</v>
      </c>
      <c r="D487">
        <v>0</v>
      </c>
      <c r="E487" t="s">
        <v>33</v>
      </c>
      <c r="F487" t="s">
        <v>33</v>
      </c>
      <c r="G487" t="s">
        <v>1073</v>
      </c>
      <c r="H487" t="s">
        <v>36</v>
      </c>
    </row>
    <row r="488" spans="1:8" hidden="1" x14ac:dyDescent="0.3">
      <c r="A488" t="s">
        <v>98</v>
      </c>
      <c r="B488" s="2">
        <v>46174</v>
      </c>
      <c r="C488" s="10"/>
    </row>
    <row r="489" spans="1:8" hidden="1" x14ac:dyDescent="0.3">
      <c r="A489" t="s">
        <v>98</v>
      </c>
      <c r="B489" s="2">
        <v>46204</v>
      </c>
      <c r="C489" s="10">
        <v>31</v>
      </c>
      <c r="D489">
        <v>0</v>
      </c>
      <c r="E489" t="s">
        <v>33</v>
      </c>
      <c r="F489" t="s">
        <v>1026</v>
      </c>
      <c r="G489" s="10" t="s">
        <v>932</v>
      </c>
      <c r="H489" t="s">
        <v>36</v>
      </c>
    </row>
    <row r="490" spans="1:8" ht="57.6" hidden="1" customHeight="1" x14ac:dyDescent="0.3">
      <c r="A490" t="s">
        <v>102</v>
      </c>
      <c r="B490" s="2">
        <v>45536</v>
      </c>
      <c r="C490" s="10"/>
    </row>
    <row r="491" spans="1:8" ht="57.6" hidden="1" customHeight="1" x14ac:dyDescent="0.3">
      <c r="A491" t="s">
        <v>102</v>
      </c>
      <c r="B491" s="2">
        <v>45566</v>
      </c>
      <c r="C491" s="10"/>
    </row>
    <row r="492" spans="1:8" hidden="1" x14ac:dyDescent="0.3">
      <c r="A492" t="s">
        <v>102</v>
      </c>
      <c r="B492" s="2">
        <v>45597</v>
      </c>
      <c r="C492" s="10"/>
    </row>
    <row r="493" spans="1:8" hidden="1" x14ac:dyDescent="0.3">
      <c r="A493" t="s">
        <v>102</v>
      </c>
      <c r="B493" s="2">
        <v>45627</v>
      </c>
      <c r="C493" s="10"/>
    </row>
    <row r="494" spans="1:8" hidden="1" x14ac:dyDescent="0.3">
      <c r="A494" t="s">
        <v>102</v>
      </c>
      <c r="B494" s="2">
        <v>45658</v>
      </c>
      <c r="C494" s="10"/>
    </row>
    <row r="495" spans="1:8" ht="57.6" hidden="1" x14ac:dyDescent="0.3">
      <c r="A495" t="s">
        <v>102</v>
      </c>
      <c r="B495" s="2">
        <v>45689</v>
      </c>
      <c r="C495" s="10" t="s">
        <v>439</v>
      </c>
    </row>
    <row r="496" spans="1:8" ht="43.2" hidden="1" x14ac:dyDescent="0.3">
      <c r="A496" t="s">
        <v>102</v>
      </c>
      <c r="B496" s="2">
        <v>45717</v>
      </c>
      <c r="C496" s="10" t="s">
        <v>440</v>
      </c>
    </row>
    <row r="497" spans="1:8" ht="43.2" hidden="1" x14ac:dyDescent="0.3">
      <c r="A497" t="s">
        <v>102</v>
      </c>
      <c r="B497" s="2">
        <v>45748</v>
      </c>
      <c r="C497" s="10" t="s">
        <v>441</v>
      </c>
    </row>
    <row r="498" spans="1:8" ht="115.2" hidden="1" x14ac:dyDescent="0.3">
      <c r="A498" t="s">
        <v>102</v>
      </c>
      <c r="B498" s="2">
        <v>45778</v>
      </c>
      <c r="C498" s="10" t="s">
        <v>442</v>
      </c>
    </row>
    <row r="499" spans="1:8" ht="144" hidden="1" x14ac:dyDescent="0.3">
      <c r="A499" t="s">
        <v>102</v>
      </c>
      <c r="B499" s="2">
        <v>45809</v>
      </c>
      <c r="C499" s="10" t="s">
        <v>443</v>
      </c>
    </row>
    <row r="500" spans="1:8" ht="115.2" hidden="1" x14ac:dyDescent="0.3">
      <c r="A500" t="s">
        <v>102</v>
      </c>
      <c r="B500" s="2">
        <v>45839</v>
      </c>
      <c r="C500" s="10" t="s">
        <v>444</v>
      </c>
    </row>
    <row r="501" spans="1:8" ht="187.2" hidden="1" x14ac:dyDescent="0.3">
      <c r="A501" t="s">
        <v>102</v>
      </c>
      <c r="B501" s="2">
        <v>45870</v>
      </c>
      <c r="C501" s="10" t="s">
        <v>445</v>
      </c>
    </row>
    <row r="502" spans="1:8" ht="115.2" hidden="1" x14ac:dyDescent="0.3">
      <c r="A502" t="s">
        <v>102</v>
      </c>
      <c r="B502" s="2">
        <v>45901</v>
      </c>
      <c r="C502" s="10" t="s">
        <v>446</v>
      </c>
    </row>
    <row r="503" spans="1:8" ht="115.2" hidden="1" x14ac:dyDescent="0.3">
      <c r="A503" t="s">
        <v>102</v>
      </c>
      <c r="B503" s="2">
        <v>45931</v>
      </c>
      <c r="C503" s="10" t="s">
        <v>447</v>
      </c>
    </row>
    <row r="504" spans="1:8" ht="115.2" hidden="1" x14ac:dyDescent="0.3">
      <c r="A504" t="s">
        <v>102</v>
      </c>
      <c r="B504" s="2">
        <v>45962</v>
      </c>
      <c r="C504" s="10" t="s">
        <v>448</v>
      </c>
    </row>
    <row r="505" spans="1:8" ht="28.8" hidden="1" x14ac:dyDescent="0.3">
      <c r="A505" t="s">
        <v>102</v>
      </c>
      <c r="B505" s="2">
        <v>45992</v>
      </c>
      <c r="C505" s="10" t="s">
        <v>435</v>
      </c>
    </row>
    <row r="506" spans="1:8" hidden="1" x14ac:dyDescent="0.3">
      <c r="A506" t="s">
        <v>102</v>
      </c>
      <c r="B506" s="2">
        <v>46023</v>
      </c>
      <c r="C506" s="10" t="s">
        <v>423</v>
      </c>
    </row>
    <row r="507" spans="1:8" hidden="1" x14ac:dyDescent="0.3">
      <c r="A507" t="s">
        <v>102</v>
      </c>
      <c r="B507" s="2">
        <v>46054</v>
      </c>
      <c r="C507" s="10" t="s">
        <v>423</v>
      </c>
    </row>
    <row r="508" spans="1:8" hidden="1" x14ac:dyDescent="0.3">
      <c r="A508" t="s">
        <v>102</v>
      </c>
      <c r="B508" s="2">
        <v>46082</v>
      </c>
      <c r="C508" s="10" t="s">
        <v>423</v>
      </c>
    </row>
    <row r="509" spans="1:8" hidden="1" x14ac:dyDescent="0.3">
      <c r="A509" t="s">
        <v>102</v>
      </c>
      <c r="B509" s="2">
        <v>46113</v>
      </c>
      <c r="C509" s="10" t="s">
        <v>423</v>
      </c>
    </row>
    <row r="510" spans="1:8" hidden="1" x14ac:dyDescent="0.3">
      <c r="A510" t="s">
        <v>102</v>
      </c>
      <c r="B510" s="2">
        <v>46143</v>
      </c>
      <c r="C510" s="10" t="s">
        <v>852</v>
      </c>
    </row>
    <row r="511" spans="1:8" hidden="1" x14ac:dyDescent="0.3">
      <c r="A511" t="s">
        <v>102</v>
      </c>
      <c r="B511" s="2">
        <v>46235</v>
      </c>
      <c r="C511" t="s">
        <v>896</v>
      </c>
      <c r="D511">
        <v>0</v>
      </c>
      <c r="E511" t="s">
        <v>33</v>
      </c>
      <c r="F511" t="s">
        <v>33</v>
      </c>
      <c r="G511" t="s">
        <v>1073</v>
      </c>
      <c r="H511" t="s">
        <v>36</v>
      </c>
    </row>
    <row r="512" spans="1:8" hidden="1" x14ac:dyDescent="0.3">
      <c r="A512" t="s">
        <v>102</v>
      </c>
      <c r="B512" s="2">
        <v>46174</v>
      </c>
      <c r="C512" s="10"/>
    </row>
    <row r="513" spans="1:8" hidden="1" x14ac:dyDescent="0.3">
      <c r="A513" t="s">
        <v>102</v>
      </c>
      <c r="B513" s="2">
        <v>46204</v>
      </c>
      <c r="C513" s="10">
        <v>31</v>
      </c>
      <c r="D513">
        <v>0</v>
      </c>
      <c r="E513" t="s">
        <v>33</v>
      </c>
      <c r="F513" t="s">
        <v>1026</v>
      </c>
      <c r="G513" s="10" t="s">
        <v>932</v>
      </c>
      <c r="H513" t="s">
        <v>36</v>
      </c>
    </row>
    <row r="514" spans="1:8" hidden="1" x14ac:dyDescent="0.3">
      <c r="A514" t="s">
        <v>104</v>
      </c>
      <c r="B514" s="2">
        <v>45536</v>
      </c>
      <c r="C514" s="10" t="s">
        <v>449</v>
      </c>
    </row>
    <row r="515" spans="1:8" hidden="1" x14ac:dyDescent="0.3">
      <c r="A515" t="s">
        <v>104</v>
      </c>
      <c r="B515" s="2">
        <v>45566</v>
      </c>
      <c r="C515" s="10" t="s">
        <v>449</v>
      </c>
    </row>
    <row r="516" spans="1:8" hidden="1" x14ac:dyDescent="0.3">
      <c r="A516" t="s">
        <v>104</v>
      </c>
      <c r="B516" s="2">
        <v>45597</v>
      </c>
      <c r="C516" s="10"/>
    </row>
    <row r="517" spans="1:8" hidden="1" x14ac:dyDescent="0.3">
      <c r="A517" t="s">
        <v>104</v>
      </c>
      <c r="B517" s="2">
        <v>45627</v>
      </c>
      <c r="C517" s="10"/>
    </row>
    <row r="518" spans="1:8" hidden="1" x14ac:dyDescent="0.3">
      <c r="A518" t="s">
        <v>104</v>
      </c>
      <c r="B518" s="2">
        <v>45658</v>
      </c>
      <c r="C518" s="10"/>
    </row>
    <row r="519" spans="1:8" ht="57.6" hidden="1" x14ac:dyDescent="0.3">
      <c r="A519" t="s">
        <v>104</v>
      </c>
      <c r="B519" s="2">
        <v>45689</v>
      </c>
      <c r="C519" s="10" t="s">
        <v>450</v>
      </c>
    </row>
    <row r="520" spans="1:8" ht="72" hidden="1" x14ac:dyDescent="0.3">
      <c r="A520" t="s">
        <v>104</v>
      </c>
      <c r="B520" s="2">
        <v>45717</v>
      </c>
      <c r="C520" s="10" t="s">
        <v>451</v>
      </c>
    </row>
    <row r="521" spans="1:8" ht="57.6" hidden="1" x14ac:dyDescent="0.3">
      <c r="A521" t="s">
        <v>104</v>
      </c>
      <c r="B521" s="2">
        <v>45748</v>
      </c>
      <c r="C521" s="10" t="s">
        <v>452</v>
      </c>
    </row>
    <row r="522" spans="1:8" ht="144" hidden="1" x14ac:dyDescent="0.3">
      <c r="A522" t="s">
        <v>104</v>
      </c>
      <c r="B522" s="2">
        <v>45778</v>
      </c>
      <c r="C522" s="10" t="s">
        <v>453</v>
      </c>
    </row>
    <row r="523" spans="1:8" ht="115.2" hidden="1" x14ac:dyDescent="0.3">
      <c r="A523" t="s">
        <v>104</v>
      </c>
      <c r="B523" s="2">
        <v>45809</v>
      </c>
      <c r="C523" s="10" t="s">
        <v>454</v>
      </c>
    </row>
    <row r="524" spans="1:8" hidden="1" x14ac:dyDescent="0.3">
      <c r="A524" t="s">
        <v>104</v>
      </c>
      <c r="B524" s="2">
        <v>45839</v>
      </c>
      <c r="C524" t="s">
        <v>949</v>
      </c>
      <c r="D524" t="s">
        <v>948</v>
      </c>
      <c r="E524" t="s">
        <v>950</v>
      </c>
      <c r="F524" t="s">
        <v>951</v>
      </c>
      <c r="G524" s="10" t="s">
        <v>932</v>
      </c>
      <c r="H524" t="s">
        <v>36</v>
      </c>
    </row>
    <row r="525" spans="1:8" hidden="1" x14ac:dyDescent="0.3">
      <c r="A525" t="s">
        <v>104</v>
      </c>
      <c r="B525" s="2">
        <v>45870</v>
      </c>
      <c r="C525" t="s">
        <v>898</v>
      </c>
      <c r="D525" t="s">
        <v>952</v>
      </c>
      <c r="E525" t="s">
        <v>950</v>
      </c>
      <c r="F525" t="s">
        <v>951</v>
      </c>
      <c r="G525" s="10" t="s">
        <v>932</v>
      </c>
      <c r="H525" t="s">
        <v>36</v>
      </c>
    </row>
    <row r="526" spans="1:8" hidden="1" x14ac:dyDescent="0.3">
      <c r="A526" t="s">
        <v>104</v>
      </c>
      <c r="B526" s="2">
        <v>45901</v>
      </c>
      <c r="C526" t="s">
        <v>919</v>
      </c>
      <c r="D526" t="s">
        <v>33</v>
      </c>
      <c r="E526" t="s">
        <v>33</v>
      </c>
      <c r="F526" t="s">
        <v>33</v>
      </c>
      <c r="G526" s="10" t="s">
        <v>932</v>
      </c>
      <c r="H526" t="s">
        <v>36</v>
      </c>
    </row>
    <row r="527" spans="1:8" hidden="1" x14ac:dyDescent="0.3">
      <c r="A527" t="s">
        <v>104</v>
      </c>
      <c r="B527" s="2">
        <v>45931</v>
      </c>
      <c r="C527" t="s">
        <v>954</v>
      </c>
      <c r="D527" t="s">
        <v>953</v>
      </c>
      <c r="E527" t="s">
        <v>950</v>
      </c>
      <c r="F527" t="s">
        <v>951</v>
      </c>
      <c r="G527" s="10" t="s">
        <v>932</v>
      </c>
      <c r="H527" t="s">
        <v>36</v>
      </c>
    </row>
    <row r="528" spans="1:8" hidden="1" x14ac:dyDescent="0.3">
      <c r="A528" t="s">
        <v>104</v>
      </c>
      <c r="B528" s="2">
        <v>45962</v>
      </c>
      <c r="C528" t="s">
        <v>919</v>
      </c>
      <c r="D528">
        <v>0</v>
      </c>
      <c r="E528" t="s">
        <v>33</v>
      </c>
      <c r="F528" t="s">
        <v>33</v>
      </c>
      <c r="G528" s="10" t="s">
        <v>932</v>
      </c>
      <c r="H528" t="s">
        <v>36</v>
      </c>
    </row>
    <row r="529" spans="1:8" hidden="1" x14ac:dyDescent="0.3">
      <c r="A529" t="s">
        <v>104</v>
      </c>
      <c r="B529" s="2">
        <v>45992</v>
      </c>
      <c r="C529" t="s">
        <v>919</v>
      </c>
      <c r="D529" t="s">
        <v>955</v>
      </c>
      <c r="E529" t="s">
        <v>936</v>
      </c>
      <c r="F529" t="s">
        <v>33</v>
      </c>
      <c r="G529" s="10" t="s">
        <v>932</v>
      </c>
      <c r="H529" t="s">
        <v>36</v>
      </c>
    </row>
    <row r="530" spans="1:8" hidden="1" x14ac:dyDescent="0.3">
      <c r="A530" t="s">
        <v>104</v>
      </c>
      <c r="B530" s="2">
        <v>46023</v>
      </c>
      <c r="C530" t="s">
        <v>911</v>
      </c>
      <c r="D530">
        <v>0</v>
      </c>
      <c r="E530" t="s">
        <v>33</v>
      </c>
      <c r="F530" t="s">
        <v>33</v>
      </c>
      <c r="G530" s="10" t="s">
        <v>932</v>
      </c>
      <c r="H530" t="s">
        <v>36</v>
      </c>
    </row>
    <row r="531" spans="1:8" hidden="1" x14ac:dyDescent="0.3">
      <c r="A531" t="s">
        <v>104</v>
      </c>
      <c r="B531" s="2">
        <v>46054</v>
      </c>
      <c r="C531" t="s">
        <v>895</v>
      </c>
      <c r="D531">
        <v>0</v>
      </c>
      <c r="E531" t="s">
        <v>33</v>
      </c>
      <c r="F531" t="s">
        <v>33</v>
      </c>
      <c r="G531" s="10" t="s">
        <v>932</v>
      </c>
      <c r="H531" t="s">
        <v>36</v>
      </c>
    </row>
    <row r="532" spans="1:8" hidden="1" x14ac:dyDescent="0.3">
      <c r="A532" t="s">
        <v>104</v>
      </c>
      <c r="B532" s="2">
        <v>46082</v>
      </c>
      <c r="C532" t="s">
        <v>917</v>
      </c>
      <c r="D532" t="s">
        <v>956</v>
      </c>
      <c r="E532" t="s">
        <v>950</v>
      </c>
      <c r="F532" t="s">
        <v>951</v>
      </c>
      <c r="G532" s="10" t="s">
        <v>932</v>
      </c>
      <c r="H532" t="s">
        <v>36</v>
      </c>
    </row>
    <row r="533" spans="1:8" hidden="1" x14ac:dyDescent="0.3">
      <c r="A533" t="s">
        <v>104</v>
      </c>
      <c r="B533" s="2">
        <v>46113</v>
      </c>
      <c r="C533" t="s">
        <v>919</v>
      </c>
      <c r="D533">
        <v>0</v>
      </c>
      <c r="E533" t="s">
        <v>33</v>
      </c>
      <c r="F533" t="s">
        <v>33</v>
      </c>
      <c r="G533" s="10" t="s">
        <v>932</v>
      </c>
    </row>
    <row r="534" spans="1:8" hidden="1" x14ac:dyDescent="0.3">
      <c r="A534" t="s">
        <v>104</v>
      </c>
      <c r="B534" s="2">
        <v>46143</v>
      </c>
      <c r="C534" t="s">
        <v>957</v>
      </c>
      <c r="D534" t="s">
        <v>958</v>
      </c>
      <c r="E534" t="s">
        <v>950</v>
      </c>
      <c r="F534" t="s">
        <v>951</v>
      </c>
      <c r="G534" s="10" t="s">
        <v>856</v>
      </c>
    </row>
    <row r="535" spans="1:8" ht="28.95" hidden="1" customHeight="1" x14ac:dyDescent="0.3">
      <c r="A535" t="s">
        <v>104</v>
      </c>
      <c r="B535" s="2">
        <v>46235</v>
      </c>
      <c r="C535" t="s">
        <v>896</v>
      </c>
      <c r="D535">
        <v>0</v>
      </c>
      <c r="E535" t="s">
        <v>33</v>
      </c>
      <c r="F535" t="s">
        <v>33</v>
      </c>
      <c r="G535" t="s">
        <v>1073</v>
      </c>
      <c r="H535" t="s">
        <v>36</v>
      </c>
    </row>
    <row r="536" spans="1:8" hidden="1" x14ac:dyDescent="0.3">
      <c r="A536" t="s">
        <v>104</v>
      </c>
      <c r="B536" s="2">
        <v>46174</v>
      </c>
      <c r="C536" t="s">
        <v>919</v>
      </c>
      <c r="D536">
        <v>0</v>
      </c>
      <c r="E536" t="s">
        <v>33</v>
      </c>
      <c r="F536" t="s">
        <v>998</v>
      </c>
      <c r="G536" s="10" t="s">
        <v>996</v>
      </c>
      <c r="H536" t="s">
        <v>36</v>
      </c>
    </row>
    <row r="537" spans="1:8" hidden="1" x14ac:dyDescent="0.3">
      <c r="A537" t="s">
        <v>104</v>
      </c>
      <c r="B537" s="2">
        <v>46204</v>
      </c>
      <c r="C537" s="10">
        <v>31</v>
      </c>
      <c r="D537">
        <v>0</v>
      </c>
      <c r="E537" t="s">
        <v>33</v>
      </c>
      <c r="F537" t="s">
        <v>912</v>
      </c>
      <c r="G537" s="10" t="s">
        <v>932</v>
      </c>
      <c r="H537" t="s">
        <v>1027</v>
      </c>
    </row>
    <row r="538" spans="1:8" ht="43.2" hidden="1" customHeight="1" x14ac:dyDescent="0.3">
      <c r="A538" t="s">
        <v>107</v>
      </c>
      <c r="B538" s="2">
        <v>45536</v>
      </c>
      <c r="C538" s="10"/>
    </row>
    <row r="539" spans="1:8" ht="57.6" hidden="1" customHeight="1" x14ac:dyDescent="0.3">
      <c r="A539" t="s">
        <v>107</v>
      </c>
      <c r="B539" s="2">
        <v>45566</v>
      </c>
      <c r="C539" s="10"/>
    </row>
    <row r="540" spans="1:8" ht="57.6" hidden="1" customHeight="1" x14ac:dyDescent="0.3">
      <c r="A540" t="s">
        <v>107</v>
      </c>
      <c r="B540" s="2">
        <v>45597</v>
      </c>
      <c r="C540" s="10"/>
    </row>
    <row r="541" spans="1:8" ht="57.6" hidden="1" customHeight="1" x14ac:dyDescent="0.3">
      <c r="A541" t="s">
        <v>107</v>
      </c>
      <c r="B541" s="2">
        <v>45627</v>
      </c>
      <c r="C541" s="10"/>
    </row>
    <row r="542" spans="1:8" ht="57.6" hidden="1" customHeight="1" x14ac:dyDescent="0.3">
      <c r="A542" t="s">
        <v>107</v>
      </c>
      <c r="B542" s="2">
        <v>45658</v>
      </c>
      <c r="C542" s="10"/>
    </row>
    <row r="543" spans="1:8" ht="57.6" hidden="1" customHeight="1" x14ac:dyDescent="0.3">
      <c r="A543" t="s">
        <v>107</v>
      </c>
      <c r="B543" s="2">
        <v>45689</v>
      </c>
      <c r="C543" s="10" t="s">
        <v>450</v>
      </c>
    </row>
    <row r="544" spans="1:8" ht="57.6" hidden="1" customHeight="1" x14ac:dyDescent="0.3">
      <c r="A544" t="s">
        <v>107</v>
      </c>
      <c r="B544" s="2">
        <v>45717</v>
      </c>
      <c r="C544" s="10" t="s">
        <v>455</v>
      </c>
    </row>
    <row r="545" spans="1:8" hidden="1" x14ac:dyDescent="0.3">
      <c r="A545" t="s">
        <v>107</v>
      </c>
      <c r="B545" s="2">
        <v>45748</v>
      </c>
      <c r="C545" s="10" t="s">
        <v>455</v>
      </c>
    </row>
    <row r="546" spans="1:8" ht="129.6" hidden="1" x14ac:dyDescent="0.3">
      <c r="A546" t="s">
        <v>107</v>
      </c>
      <c r="B546" s="2">
        <v>45778</v>
      </c>
      <c r="C546" s="10" t="s">
        <v>456</v>
      </c>
    </row>
    <row r="547" spans="1:8" ht="129.6" hidden="1" x14ac:dyDescent="0.3">
      <c r="A547" t="s">
        <v>107</v>
      </c>
      <c r="B547" s="2">
        <v>45809</v>
      </c>
      <c r="C547" s="10" t="s">
        <v>457</v>
      </c>
    </row>
    <row r="548" spans="1:8" hidden="1" x14ac:dyDescent="0.3">
      <c r="A548" t="s">
        <v>107</v>
      </c>
      <c r="B548" s="2">
        <v>45839</v>
      </c>
      <c r="C548" t="s">
        <v>911</v>
      </c>
      <c r="D548">
        <v>0</v>
      </c>
      <c r="E548" t="s">
        <v>33</v>
      </c>
      <c r="F548" t="s">
        <v>33</v>
      </c>
      <c r="G548" s="10" t="s">
        <v>959</v>
      </c>
      <c r="H548" t="s">
        <v>36</v>
      </c>
    </row>
    <row r="549" spans="1:8" hidden="1" x14ac:dyDescent="0.3">
      <c r="A549" t="s">
        <v>107</v>
      </c>
      <c r="B549" s="2">
        <v>45870</v>
      </c>
      <c r="C549" t="s">
        <v>898</v>
      </c>
      <c r="D549" t="s">
        <v>960</v>
      </c>
      <c r="E549" t="s">
        <v>469</v>
      </c>
      <c r="F549" t="s">
        <v>951</v>
      </c>
      <c r="G549" s="10" t="s">
        <v>961</v>
      </c>
      <c r="H549" t="s">
        <v>36</v>
      </c>
    </row>
    <row r="550" spans="1:8" hidden="1" x14ac:dyDescent="0.3">
      <c r="A550" t="s">
        <v>107</v>
      </c>
      <c r="B550" s="2">
        <v>45901</v>
      </c>
      <c r="C550" t="s">
        <v>919</v>
      </c>
      <c r="D550">
        <v>0</v>
      </c>
      <c r="E550" t="s">
        <v>33</v>
      </c>
      <c r="F550" t="s">
        <v>33</v>
      </c>
      <c r="G550" s="10" t="s">
        <v>959</v>
      </c>
      <c r="H550" t="s">
        <v>36</v>
      </c>
    </row>
    <row r="551" spans="1:8" hidden="1" x14ac:dyDescent="0.3">
      <c r="A551" t="s">
        <v>107</v>
      </c>
      <c r="B551" s="2">
        <v>45931</v>
      </c>
      <c r="C551" t="s">
        <v>911</v>
      </c>
      <c r="D551">
        <v>0</v>
      </c>
      <c r="E551" t="s">
        <v>33</v>
      </c>
      <c r="F551" t="s">
        <v>33</v>
      </c>
      <c r="G551" s="10" t="s">
        <v>959</v>
      </c>
      <c r="H551" t="s">
        <v>36</v>
      </c>
    </row>
    <row r="552" spans="1:8" hidden="1" x14ac:dyDescent="0.3">
      <c r="A552" t="s">
        <v>107</v>
      </c>
      <c r="B552" s="2">
        <v>45962</v>
      </c>
      <c r="C552" t="s">
        <v>919</v>
      </c>
      <c r="D552">
        <v>0</v>
      </c>
      <c r="E552" t="s">
        <v>33</v>
      </c>
      <c r="F552" t="s">
        <v>33</v>
      </c>
      <c r="G552" s="10" t="s">
        <v>959</v>
      </c>
      <c r="H552" t="s">
        <v>36</v>
      </c>
    </row>
    <row r="553" spans="1:8" hidden="1" x14ac:dyDescent="0.3">
      <c r="A553" t="s">
        <v>107</v>
      </c>
      <c r="B553" s="2">
        <v>45992</v>
      </c>
      <c r="C553" t="s">
        <v>911</v>
      </c>
      <c r="D553">
        <v>0</v>
      </c>
      <c r="E553" t="s">
        <v>33</v>
      </c>
      <c r="F553" t="s">
        <v>33</v>
      </c>
      <c r="G553" s="10" t="s">
        <v>959</v>
      </c>
      <c r="H553" t="s">
        <v>36</v>
      </c>
    </row>
    <row r="554" spans="1:8" ht="28.8" hidden="1" x14ac:dyDescent="0.3">
      <c r="A554" t="s">
        <v>107</v>
      </c>
      <c r="B554" s="2">
        <v>46023</v>
      </c>
      <c r="C554" t="s">
        <v>911</v>
      </c>
      <c r="D554">
        <v>0</v>
      </c>
      <c r="E554" t="s">
        <v>33</v>
      </c>
      <c r="F554" t="s">
        <v>33</v>
      </c>
      <c r="G554" s="10" t="s">
        <v>959</v>
      </c>
      <c r="H554" s="10" t="s">
        <v>458</v>
      </c>
    </row>
    <row r="555" spans="1:8" hidden="1" x14ac:dyDescent="0.3">
      <c r="A555" t="s">
        <v>107</v>
      </c>
      <c r="B555" s="2">
        <v>46054</v>
      </c>
      <c r="C555" t="s">
        <v>895</v>
      </c>
      <c r="D555">
        <v>0</v>
      </c>
      <c r="E555" t="s">
        <v>33</v>
      </c>
      <c r="F555" t="s">
        <v>33</v>
      </c>
      <c r="G555" s="10" t="s">
        <v>959</v>
      </c>
      <c r="H555" t="s">
        <v>36</v>
      </c>
    </row>
    <row r="556" spans="1:8" hidden="1" x14ac:dyDescent="0.3">
      <c r="A556" t="s">
        <v>107</v>
      </c>
      <c r="B556" s="2">
        <v>46082</v>
      </c>
      <c r="C556" t="s">
        <v>911</v>
      </c>
      <c r="D556">
        <v>0</v>
      </c>
      <c r="E556" t="s">
        <v>33</v>
      </c>
      <c r="F556" t="s">
        <v>33</v>
      </c>
      <c r="G556" s="10" t="s">
        <v>932</v>
      </c>
      <c r="H556" t="s">
        <v>36</v>
      </c>
    </row>
    <row r="557" spans="1:8" hidden="1" x14ac:dyDescent="0.3">
      <c r="A557" t="s">
        <v>107</v>
      </c>
      <c r="B557" s="2">
        <v>46113</v>
      </c>
      <c r="C557" t="s">
        <v>919</v>
      </c>
      <c r="D557">
        <v>0</v>
      </c>
      <c r="E557" t="s">
        <v>33</v>
      </c>
      <c r="F557" t="s">
        <v>33</v>
      </c>
      <c r="G557" s="10" t="s">
        <v>932</v>
      </c>
      <c r="H557" t="s">
        <v>36</v>
      </c>
    </row>
    <row r="558" spans="1:8" hidden="1" x14ac:dyDescent="0.3">
      <c r="A558" t="s">
        <v>107</v>
      </c>
      <c r="B558" s="2">
        <v>46143</v>
      </c>
      <c r="C558" t="s">
        <v>911</v>
      </c>
      <c r="D558">
        <v>0</v>
      </c>
      <c r="E558" t="s">
        <v>33</v>
      </c>
      <c r="F558" t="s">
        <v>33</v>
      </c>
      <c r="G558" s="10" t="s">
        <v>959</v>
      </c>
      <c r="H558" t="s">
        <v>36</v>
      </c>
    </row>
    <row r="559" spans="1:8" hidden="1" x14ac:dyDescent="0.3">
      <c r="A559" t="s">
        <v>107</v>
      </c>
      <c r="B559" s="2">
        <v>46235</v>
      </c>
      <c r="C559" s="10">
        <v>0</v>
      </c>
      <c r="D559">
        <v>30</v>
      </c>
      <c r="E559" t="s">
        <v>1080</v>
      </c>
      <c r="F559" t="s">
        <v>33</v>
      </c>
      <c r="G559" t="s">
        <v>36</v>
      </c>
      <c r="H559" t="s">
        <v>36</v>
      </c>
    </row>
    <row r="560" spans="1:8" ht="28.95" hidden="1" customHeight="1" x14ac:dyDescent="0.3">
      <c r="A560" t="s">
        <v>107</v>
      </c>
      <c r="B560" s="2">
        <v>46204</v>
      </c>
      <c r="C560" s="10">
        <v>17</v>
      </c>
      <c r="D560" t="s">
        <v>1028</v>
      </c>
      <c r="E560" t="s">
        <v>1029</v>
      </c>
      <c r="F560" t="s">
        <v>33</v>
      </c>
      <c r="G560" s="10" t="s">
        <v>1030</v>
      </c>
      <c r="H560" s="32" t="s">
        <v>1031</v>
      </c>
    </row>
    <row r="561" spans="1:8" ht="28.95" hidden="1" customHeight="1" x14ac:dyDescent="0.3">
      <c r="A561" t="s">
        <v>107</v>
      </c>
      <c r="B561" s="2">
        <v>46174</v>
      </c>
      <c r="C561" t="s">
        <v>919</v>
      </c>
      <c r="D561">
        <v>0</v>
      </c>
      <c r="E561" t="s">
        <v>33</v>
      </c>
      <c r="F561" t="s">
        <v>33</v>
      </c>
      <c r="G561" s="10" t="s">
        <v>338</v>
      </c>
      <c r="H561" t="s">
        <v>36</v>
      </c>
    </row>
    <row r="562" spans="1:8" ht="72" hidden="1" customHeight="1" x14ac:dyDescent="0.3">
      <c r="A562" t="s">
        <v>228</v>
      </c>
      <c r="B562" s="2">
        <v>45536</v>
      </c>
      <c r="C562" s="10"/>
    </row>
    <row r="563" spans="1:8" ht="57.6" hidden="1" customHeight="1" x14ac:dyDescent="0.3">
      <c r="A563" t="s">
        <v>228</v>
      </c>
      <c r="B563" s="2">
        <v>45566</v>
      </c>
      <c r="C563" s="10"/>
    </row>
    <row r="564" spans="1:8" ht="57.6" hidden="1" customHeight="1" x14ac:dyDescent="0.3">
      <c r="A564" t="s">
        <v>228</v>
      </c>
      <c r="B564" s="2">
        <v>45597</v>
      </c>
      <c r="C564" s="10"/>
    </row>
    <row r="565" spans="1:8" ht="57.6" hidden="1" customHeight="1" x14ac:dyDescent="0.3">
      <c r="A565" t="s">
        <v>228</v>
      </c>
      <c r="B565" s="2">
        <v>45627</v>
      </c>
      <c r="C565" s="10"/>
    </row>
    <row r="566" spans="1:8" ht="57.6" hidden="1" customHeight="1" x14ac:dyDescent="0.3">
      <c r="A566" t="s">
        <v>228</v>
      </c>
      <c r="B566" s="2">
        <v>45658</v>
      </c>
      <c r="C566" s="10"/>
    </row>
    <row r="567" spans="1:8" ht="57.6" hidden="1" customHeight="1" x14ac:dyDescent="0.3">
      <c r="A567" t="s">
        <v>228</v>
      </c>
      <c r="B567" s="2">
        <v>45689</v>
      </c>
      <c r="C567" s="10"/>
    </row>
    <row r="568" spans="1:8" ht="57.6" hidden="1" customHeight="1" x14ac:dyDescent="0.3">
      <c r="A568" t="s">
        <v>228</v>
      </c>
      <c r="B568" s="2">
        <v>45717</v>
      </c>
      <c r="C568" s="10"/>
    </row>
    <row r="569" spans="1:8" hidden="1" x14ac:dyDescent="0.3">
      <c r="A569" t="s">
        <v>228</v>
      </c>
      <c r="B569" s="2">
        <v>45748</v>
      </c>
      <c r="C569" s="10"/>
    </row>
    <row r="570" spans="1:8" hidden="1" x14ac:dyDescent="0.3">
      <c r="A570" t="s">
        <v>228</v>
      </c>
      <c r="B570" s="2">
        <v>45778</v>
      </c>
      <c r="C570" s="10"/>
    </row>
    <row r="571" spans="1:8" hidden="1" x14ac:dyDescent="0.3">
      <c r="A571" t="s">
        <v>228</v>
      </c>
      <c r="B571" s="2">
        <v>45809</v>
      </c>
      <c r="C571" s="10"/>
    </row>
    <row r="572" spans="1:8" hidden="1" x14ac:dyDescent="0.3">
      <c r="A572" t="s">
        <v>228</v>
      </c>
      <c r="B572" s="2">
        <v>45839</v>
      </c>
      <c r="C572" s="10"/>
    </row>
    <row r="573" spans="1:8" hidden="1" x14ac:dyDescent="0.3">
      <c r="A573" t="s">
        <v>228</v>
      </c>
      <c r="B573" s="2">
        <v>45870</v>
      </c>
      <c r="C573" s="10"/>
    </row>
    <row r="574" spans="1:8" hidden="1" x14ac:dyDescent="0.3">
      <c r="A574" t="s">
        <v>228</v>
      </c>
      <c r="B574" s="2">
        <v>45901</v>
      </c>
      <c r="C574" s="10"/>
    </row>
    <row r="575" spans="1:8" hidden="1" x14ac:dyDescent="0.3">
      <c r="A575" t="s">
        <v>228</v>
      </c>
      <c r="B575" s="2">
        <v>45931</v>
      </c>
      <c r="C575" s="10"/>
    </row>
    <row r="576" spans="1:8" hidden="1" x14ac:dyDescent="0.3">
      <c r="A576" t="s">
        <v>228</v>
      </c>
      <c r="B576" s="2">
        <v>45962</v>
      </c>
      <c r="C576" s="10"/>
    </row>
    <row r="577" spans="1:8" hidden="1" x14ac:dyDescent="0.3">
      <c r="A577" t="s">
        <v>228</v>
      </c>
      <c r="B577" s="2">
        <v>45992</v>
      </c>
      <c r="C577" s="10"/>
    </row>
    <row r="578" spans="1:8" hidden="1" x14ac:dyDescent="0.3">
      <c r="A578" t="s">
        <v>228</v>
      </c>
      <c r="B578" s="2">
        <v>46023</v>
      </c>
      <c r="C578" s="10"/>
    </row>
    <row r="579" spans="1:8" hidden="1" x14ac:dyDescent="0.3">
      <c r="A579" t="s">
        <v>228</v>
      </c>
      <c r="B579" s="2">
        <v>46054</v>
      </c>
      <c r="C579" s="10"/>
    </row>
    <row r="580" spans="1:8" hidden="1" x14ac:dyDescent="0.3">
      <c r="A580" t="s">
        <v>228</v>
      </c>
      <c r="B580" s="2">
        <v>46082</v>
      </c>
      <c r="C580" s="10" t="s">
        <v>459</v>
      </c>
    </row>
    <row r="581" spans="1:8" hidden="1" x14ac:dyDescent="0.3">
      <c r="A581" t="s">
        <v>228</v>
      </c>
      <c r="B581" s="2">
        <v>46113</v>
      </c>
      <c r="C581" s="10" t="s">
        <v>460</v>
      </c>
    </row>
    <row r="582" spans="1:8" hidden="1" x14ac:dyDescent="0.3">
      <c r="A582" t="s">
        <v>228</v>
      </c>
      <c r="B582" s="2">
        <v>46143</v>
      </c>
      <c r="C582" s="10" t="s">
        <v>852</v>
      </c>
    </row>
    <row r="583" spans="1:8" hidden="1" x14ac:dyDescent="0.3">
      <c r="A583" t="s">
        <v>228</v>
      </c>
      <c r="B583" s="2">
        <v>46235</v>
      </c>
      <c r="C583" t="s">
        <v>896</v>
      </c>
      <c r="D583">
        <v>0</v>
      </c>
      <c r="E583" t="s">
        <v>33</v>
      </c>
      <c r="F583" t="s">
        <v>33</v>
      </c>
      <c r="G583" t="s">
        <v>1073</v>
      </c>
      <c r="H583" t="s">
        <v>36</v>
      </c>
    </row>
    <row r="584" spans="1:8" ht="43.2" hidden="1" customHeight="1" x14ac:dyDescent="0.3">
      <c r="A584" t="s">
        <v>228</v>
      </c>
      <c r="B584" s="2">
        <v>46174</v>
      </c>
      <c r="C584" s="10"/>
    </row>
    <row r="585" spans="1:8" ht="57.6" hidden="1" customHeight="1" x14ac:dyDescent="0.3">
      <c r="A585" t="s">
        <v>228</v>
      </c>
      <c r="B585" s="2">
        <v>46204</v>
      </c>
      <c r="C585">
        <v>31</v>
      </c>
      <c r="D585">
        <v>0</v>
      </c>
      <c r="E585" t="s">
        <v>33</v>
      </c>
      <c r="F585" t="s">
        <v>33</v>
      </c>
      <c r="G585" s="10" t="s">
        <v>932</v>
      </c>
      <c r="H585" t="s">
        <v>36</v>
      </c>
    </row>
    <row r="586" spans="1:8" ht="57.6" hidden="1" customHeight="1" x14ac:dyDescent="0.3">
      <c r="A586" t="s">
        <v>109</v>
      </c>
      <c r="B586" s="2">
        <v>45536</v>
      </c>
      <c r="C586" s="10"/>
    </row>
    <row r="587" spans="1:8" ht="57.6" hidden="1" customHeight="1" x14ac:dyDescent="0.3">
      <c r="A587" t="s">
        <v>109</v>
      </c>
      <c r="B587" s="2">
        <v>45566</v>
      </c>
      <c r="C587" s="10"/>
    </row>
    <row r="588" spans="1:8" hidden="1" x14ac:dyDescent="0.3">
      <c r="A588" t="s">
        <v>109</v>
      </c>
      <c r="B588" s="2">
        <v>45597</v>
      </c>
      <c r="C588" s="10"/>
    </row>
    <row r="589" spans="1:8" hidden="1" x14ac:dyDescent="0.3">
      <c r="A589" t="s">
        <v>109</v>
      </c>
      <c r="B589" s="2">
        <v>45627</v>
      </c>
      <c r="C589" s="10"/>
    </row>
    <row r="590" spans="1:8" hidden="1" x14ac:dyDescent="0.3">
      <c r="A590" t="s">
        <v>109</v>
      </c>
      <c r="B590" s="2">
        <v>45658</v>
      </c>
      <c r="C590" s="10"/>
    </row>
    <row r="591" spans="1:8" ht="28.8" hidden="1" x14ac:dyDescent="0.3">
      <c r="A591" t="s">
        <v>109</v>
      </c>
      <c r="B591" s="2">
        <v>45689</v>
      </c>
      <c r="C591" s="10" t="s">
        <v>461</v>
      </c>
    </row>
    <row r="592" spans="1:8" hidden="1" x14ac:dyDescent="0.3">
      <c r="A592" t="s">
        <v>109</v>
      </c>
      <c r="B592" s="2">
        <v>45717</v>
      </c>
      <c r="C592" s="10"/>
    </row>
    <row r="593" spans="1:8" hidden="1" x14ac:dyDescent="0.3">
      <c r="A593" t="s">
        <v>109</v>
      </c>
      <c r="B593" s="2">
        <v>45748</v>
      </c>
      <c r="C593" s="10"/>
    </row>
    <row r="594" spans="1:8" ht="72" hidden="1" x14ac:dyDescent="0.3">
      <c r="A594" t="s">
        <v>109</v>
      </c>
      <c r="B594" s="2">
        <v>45778</v>
      </c>
      <c r="C594" s="10" t="s">
        <v>462</v>
      </c>
    </row>
    <row r="595" spans="1:8" ht="129.6" hidden="1" x14ac:dyDescent="0.3">
      <c r="A595" t="s">
        <v>109</v>
      </c>
      <c r="B595" s="2">
        <v>45809</v>
      </c>
      <c r="C595" s="10" t="s">
        <v>463</v>
      </c>
    </row>
    <row r="596" spans="1:8" ht="129.6" hidden="1" x14ac:dyDescent="0.3">
      <c r="A596" t="s">
        <v>109</v>
      </c>
      <c r="B596" s="2">
        <v>45839</v>
      </c>
      <c r="C596" s="10" t="s">
        <v>464</v>
      </c>
    </row>
    <row r="597" spans="1:8" ht="129.6" hidden="1" x14ac:dyDescent="0.3">
      <c r="A597" t="s">
        <v>109</v>
      </c>
      <c r="B597" s="2">
        <v>45870</v>
      </c>
      <c r="C597" s="10" t="s">
        <v>465</v>
      </c>
    </row>
    <row r="598" spans="1:8" ht="115.2" hidden="1" x14ac:dyDescent="0.3">
      <c r="A598" t="s">
        <v>109</v>
      </c>
      <c r="B598" s="2">
        <v>45901</v>
      </c>
      <c r="C598" s="10" t="s">
        <v>466</v>
      </c>
    </row>
    <row r="599" spans="1:8" ht="100.8" hidden="1" x14ac:dyDescent="0.3">
      <c r="A599" t="s">
        <v>109</v>
      </c>
      <c r="B599" s="2">
        <v>45931</v>
      </c>
      <c r="C599" s="10" t="s">
        <v>467</v>
      </c>
    </row>
    <row r="600" spans="1:8" ht="115.2" hidden="1" x14ac:dyDescent="0.3">
      <c r="A600" t="s">
        <v>109</v>
      </c>
      <c r="B600" s="2">
        <v>45962</v>
      </c>
      <c r="C600" s="10" t="s">
        <v>468</v>
      </c>
    </row>
    <row r="601" spans="1:8" hidden="1" x14ac:dyDescent="0.3">
      <c r="A601" t="s">
        <v>109</v>
      </c>
      <c r="B601" s="2">
        <v>45992</v>
      </c>
      <c r="C601" s="10" t="s">
        <v>469</v>
      </c>
    </row>
    <row r="602" spans="1:8" hidden="1" x14ac:dyDescent="0.3">
      <c r="A602" t="s">
        <v>109</v>
      </c>
      <c r="B602" s="2">
        <v>46023</v>
      </c>
      <c r="C602" s="10" t="s">
        <v>469</v>
      </c>
    </row>
    <row r="603" spans="1:8" hidden="1" x14ac:dyDescent="0.3">
      <c r="A603" t="s">
        <v>109</v>
      </c>
      <c r="B603" s="2">
        <v>46054</v>
      </c>
      <c r="C603" s="10" t="s">
        <v>326</v>
      </c>
    </row>
    <row r="604" spans="1:8" ht="28.8" hidden="1" x14ac:dyDescent="0.3">
      <c r="A604" t="s">
        <v>109</v>
      </c>
      <c r="B604" s="2">
        <v>46082</v>
      </c>
      <c r="C604" s="10" t="s">
        <v>470</v>
      </c>
    </row>
    <row r="605" spans="1:8" ht="28.8" hidden="1" x14ac:dyDescent="0.3">
      <c r="A605" t="s">
        <v>109</v>
      </c>
      <c r="B605" s="2">
        <v>46113</v>
      </c>
      <c r="C605" s="10" t="s">
        <v>470</v>
      </c>
    </row>
    <row r="606" spans="1:8" hidden="1" x14ac:dyDescent="0.3">
      <c r="A606" t="s">
        <v>109</v>
      </c>
      <c r="B606" s="2">
        <v>46143</v>
      </c>
      <c r="C606" s="10" t="s">
        <v>857</v>
      </c>
    </row>
    <row r="607" spans="1:8" hidden="1" x14ac:dyDescent="0.3">
      <c r="A607" t="s">
        <v>109</v>
      </c>
      <c r="B607" s="2">
        <v>46235</v>
      </c>
      <c r="C607" t="s">
        <v>896</v>
      </c>
      <c r="D607">
        <v>0</v>
      </c>
      <c r="E607" t="s">
        <v>33</v>
      </c>
      <c r="F607" t="s">
        <v>33</v>
      </c>
      <c r="G607" t="s">
        <v>1073</v>
      </c>
      <c r="H607" t="s">
        <v>36</v>
      </c>
    </row>
    <row r="608" spans="1:8" ht="28.95" hidden="1" customHeight="1" x14ac:dyDescent="0.3">
      <c r="A608" t="s">
        <v>109</v>
      </c>
      <c r="B608" s="2">
        <v>46174</v>
      </c>
      <c r="C608" s="10"/>
    </row>
    <row r="609" spans="1:8" hidden="1" x14ac:dyDescent="0.3">
      <c r="A609" t="s">
        <v>109</v>
      </c>
      <c r="B609" s="2">
        <v>46204</v>
      </c>
      <c r="C609" s="10">
        <v>31</v>
      </c>
      <c r="D609">
        <v>0</v>
      </c>
      <c r="E609" t="s">
        <v>33</v>
      </c>
      <c r="F609" t="s">
        <v>33</v>
      </c>
      <c r="G609" s="10" t="s">
        <v>932</v>
      </c>
      <c r="H609" t="s">
        <v>36</v>
      </c>
    </row>
    <row r="610" spans="1:8" ht="43.2" hidden="1" customHeight="1" x14ac:dyDescent="0.3">
      <c r="A610" t="s">
        <v>113</v>
      </c>
      <c r="B610" s="2">
        <v>45536</v>
      </c>
      <c r="C610" s="10"/>
    </row>
    <row r="611" spans="1:8" ht="43.2" hidden="1" customHeight="1" x14ac:dyDescent="0.3">
      <c r="A611" t="s">
        <v>113</v>
      </c>
      <c r="B611" s="2">
        <v>45566</v>
      </c>
      <c r="C611" s="10"/>
    </row>
    <row r="612" spans="1:8" ht="48" hidden="1" customHeight="1" x14ac:dyDescent="0.3">
      <c r="A612" t="s">
        <v>113</v>
      </c>
      <c r="B612" s="2">
        <v>45597</v>
      </c>
      <c r="C612" s="10"/>
    </row>
    <row r="613" spans="1:8" ht="57.6" hidden="1" customHeight="1" x14ac:dyDescent="0.3">
      <c r="A613" t="s">
        <v>113</v>
      </c>
      <c r="B613" s="2">
        <v>45627</v>
      </c>
      <c r="C613" s="10"/>
    </row>
    <row r="614" spans="1:8" ht="57.6" hidden="1" customHeight="1" x14ac:dyDescent="0.3">
      <c r="A614" t="s">
        <v>113</v>
      </c>
      <c r="B614" s="2">
        <v>45658</v>
      </c>
      <c r="C614" s="10"/>
    </row>
    <row r="615" spans="1:8" ht="57.6" hidden="1" customHeight="1" x14ac:dyDescent="0.3">
      <c r="A615" t="s">
        <v>113</v>
      </c>
      <c r="B615" s="2">
        <v>45689</v>
      </c>
      <c r="C615" s="10" t="s">
        <v>471</v>
      </c>
    </row>
    <row r="616" spans="1:8" ht="57.6" hidden="1" customHeight="1" x14ac:dyDescent="0.3">
      <c r="A616" t="s">
        <v>113</v>
      </c>
      <c r="B616" s="2">
        <v>45717</v>
      </c>
      <c r="C616" s="10" t="s">
        <v>472</v>
      </c>
    </row>
    <row r="617" spans="1:8" ht="28.8" hidden="1" x14ac:dyDescent="0.3">
      <c r="A617" t="s">
        <v>113</v>
      </c>
      <c r="B617" s="2">
        <v>45748</v>
      </c>
      <c r="C617" s="10" t="s">
        <v>473</v>
      </c>
    </row>
    <row r="618" spans="1:8" ht="129.6" hidden="1" x14ac:dyDescent="0.3">
      <c r="A618" t="s">
        <v>113</v>
      </c>
      <c r="B618" s="2">
        <v>45778</v>
      </c>
      <c r="C618" s="10" t="s">
        <v>474</v>
      </c>
    </row>
    <row r="619" spans="1:8" ht="129.6" hidden="1" x14ac:dyDescent="0.3">
      <c r="A619" t="s">
        <v>113</v>
      </c>
      <c r="B619" s="2">
        <v>45809</v>
      </c>
      <c r="C619" s="10" t="s">
        <v>475</v>
      </c>
    </row>
    <row r="620" spans="1:8" ht="129.6" hidden="1" x14ac:dyDescent="0.3">
      <c r="A620" t="s">
        <v>113</v>
      </c>
      <c r="B620" s="2">
        <v>45839</v>
      </c>
      <c r="C620" s="10" t="s">
        <v>476</v>
      </c>
    </row>
    <row r="621" spans="1:8" ht="129.6" hidden="1" x14ac:dyDescent="0.3">
      <c r="A621" t="s">
        <v>113</v>
      </c>
      <c r="B621" s="2">
        <v>45870</v>
      </c>
      <c r="C621" s="10" t="s">
        <v>477</v>
      </c>
    </row>
    <row r="622" spans="1:8" ht="100.8" hidden="1" x14ac:dyDescent="0.3">
      <c r="A622" t="s">
        <v>113</v>
      </c>
      <c r="B622" s="2">
        <v>45901</v>
      </c>
      <c r="C622" s="10" t="s">
        <v>478</v>
      </c>
    </row>
    <row r="623" spans="1:8" ht="100.8" hidden="1" x14ac:dyDescent="0.3">
      <c r="A623" t="s">
        <v>113</v>
      </c>
      <c r="B623" s="2">
        <v>45931</v>
      </c>
      <c r="C623" s="10" t="s">
        <v>479</v>
      </c>
    </row>
    <row r="624" spans="1:8" ht="100.8" hidden="1" x14ac:dyDescent="0.3">
      <c r="A624" t="s">
        <v>113</v>
      </c>
      <c r="B624" s="2">
        <v>45962</v>
      </c>
      <c r="C624" s="10" t="s">
        <v>480</v>
      </c>
    </row>
    <row r="625" spans="1:8" hidden="1" x14ac:dyDescent="0.3">
      <c r="A625" t="s">
        <v>113</v>
      </c>
      <c r="B625" s="2">
        <v>45992</v>
      </c>
      <c r="C625" s="10" t="s">
        <v>326</v>
      </c>
    </row>
    <row r="626" spans="1:8" hidden="1" x14ac:dyDescent="0.3">
      <c r="A626" t="s">
        <v>113</v>
      </c>
      <c r="B626" s="2">
        <v>46023</v>
      </c>
      <c r="C626" s="10" t="s">
        <v>338</v>
      </c>
    </row>
    <row r="627" spans="1:8" hidden="1" x14ac:dyDescent="0.3">
      <c r="A627" t="s">
        <v>113</v>
      </c>
      <c r="B627" s="2">
        <v>46054</v>
      </c>
      <c r="C627" s="10" t="s">
        <v>326</v>
      </c>
    </row>
    <row r="628" spans="1:8" hidden="1" x14ac:dyDescent="0.3">
      <c r="A628" t="s">
        <v>113</v>
      </c>
      <c r="B628" s="2">
        <v>46082</v>
      </c>
      <c r="C628" s="10" t="s">
        <v>326</v>
      </c>
    </row>
    <row r="629" spans="1:8" hidden="1" x14ac:dyDescent="0.3">
      <c r="A629" t="s">
        <v>113</v>
      </c>
      <c r="B629" s="2">
        <v>46113</v>
      </c>
      <c r="C629" s="10" t="s">
        <v>481</v>
      </c>
    </row>
    <row r="630" spans="1:8" ht="28.8" hidden="1" x14ac:dyDescent="0.3">
      <c r="A630" t="s">
        <v>113</v>
      </c>
      <c r="B630" s="2">
        <v>46143</v>
      </c>
      <c r="C630" s="10" t="s">
        <v>867</v>
      </c>
    </row>
    <row r="631" spans="1:8" hidden="1" x14ac:dyDescent="0.3">
      <c r="A631" t="s">
        <v>113</v>
      </c>
      <c r="B631" s="2">
        <v>46235</v>
      </c>
      <c r="C631" t="s">
        <v>896</v>
      </c>
      <c r="D631">
        <v>0</v>
      </c>
      <c r="E631" t="s">
        <v>33</v>
      </c>
      <c r="F631" t="s">
        <v>33</v>
      </c>
      <c r="G631" t="s">
        <v>338</v>
      </c>
      <c r="H631" t="s">
        <v>36</v>
      </c>
    </row>
    <row r="632" spans="1:8" hidden="1" x14ac:dyDescent="0.3">
      <c r="A632" t="s">
        <v>113</v>
      </c>
      <c r="B632" s="2">
        <v>46174</v>
      </c>
      <c r="C632" s="10"/>
    </row>
    <row r="633" spans="1:8" hidden="1" x14ac:dyDescent="0.3">
      <c r="A633" t="s">
        <v>113</v>
      </c>
      <c r="B633" s="2">
        <v>46204</v>
      </c>
      <c r="C633" s="10">
        <v>31</v>
      </c>
      <c r="D633">
        <v>0</v>
      </c>
      <c r="E633" t="s">
        <v>33</v>
      </c>
      <c r="F633" t="s">
        <v>33</v>
      </c>
      <c r="G633" s="10" t="s">
        <v>932</v>
      </c>
      <c r="H633" t="s">
        <v>36</v>
      </c>
    </row>
    <row r="634" spans="1:8" hidden="1" x14ac:dyDescent="0.3">
      <c r="A634" t="s">
        <v>114</v>
      </c>
      <c r="B634" s="2">
        <v>45536</v>
      </c>
      <c r="C634" s="10"/>
    </row>
    <row r="635" spans="1:8" hidden="1" x14ac:dyDescent="0.3">
      <c r="A635" t="s">
        <v>114</v>
      </c>
      <c r="B635" s="2">
        <v>45566</v>
      </c>
      <c r="C635" s="10"/>
    </row>
    <row r="636" spans="1:8" hidden="1" x14ac:dyDescent="0.3">
      <c r="A636" t="s">
        <v>114</v>
      </c>
      <c r="B636" s="2">
        <v>45597</v>
      </c>
      <c r="C636" s="10"/>
    </row>
    <row r="637" spans="1:8" hidden="1" x14ac:dyDescent="0.3">
      <c r="A637" t="s">
        <v>114</v>
      </c>
      <c r="B637" s="2">
        <v>45627</v>
      </c>
      <c r="C637" s="10"/>
    </row>
    <row r="638" spans="1:8" hidden="1" x14ac:dyDescent="0.3">
      <c r="A638" t="s">
        <v>114</v>
      </c>
      <c r="B638" s="2">
        <v>45658</v>
      </c>
      <c r="C638" s="10"/>
    </row>
    <row r="639" spans="1:8" ht="72" hidden="1" x14ac:dyDescent="0.3">
      <c r="A639" t="s">
        <v>114</v>
      </c>
      <c r="B639" s="2">
        <v>45689</v>
      </c>
      <c r="C639" s="10" t="s">
        <v>482</v>
      </c>
    </row>
    <row r="640" spans="1:8" ht="72" hidden="1" x14ac:dyDescent="0.3">
      <c r="A640" t="s">
        <v>114</v>
      </c>
      <c r="B640" s="2">
        <v>45717</v>
      </c>
      <c r="C640" s="10" t="s">
        <v>483</v>
      </c>
    </row>
    <row r="641" spans="1:8" ht="100.8" hidden="1" x14ac:dyDescent="0.3">
      <c r="A641" t="s">
        <v>114</v>
      </c>
      <c r="B641" s="2">
        <v>45748</v>
      </c>
      <c r="C641" s="10" t="s">
        <v>484</v>
      </c>
    </row>
    <row r="642" spans="1:8" ht="115.2" hidden="1" x14ac:dyDescent="0.3">
      <c r="A642" t="s">
        <v>114</v>
      </c>
      <c r="B642" s="2">
        <v>45778</v>
      </c>
      <c r="C642" s="10" t="s">
        <v>485</v>
      </c>
    </row>
    <row r="643" spans="1:8" ht="100.8" hidden="1" x14ac:dyDescent="0.3">
      <c r="A643" t="s">
        <v>114</v>
      </c>
      <c r="B643" s="2">
        <v>45809</v>
      </c>
      <c r="C643" s="10" t="s">
        <v>486</v>
      </c>
    </row>
    <row r="644" spans="1:8" hidden="1" x14ac:dyDescent="0.3">
      <c r="A644" t="s">
        <v>114</v>
      </c>
      <c r="B644" s="2">
        <v>45839</v>
      </c>
      <c r="C644" t="s">
        <v>911</v>
      </c>
      <c r="D644">
        <v>0</v>
      </c>
      <c r="E644" t="s">
        <v>33</v>
      </c>
      <c r="F644" t="s">
        <v>33</v>
      </c>
      <c r="G644" s="10" t="s">
        <v>959</v>
      </c>
      <c r="H644" t="s">
        <v>36</v>
      </c>
    </row>
    <row r="645" spans="1:8" hidden="1" x14ac:dyDescent="0.3">
      <c r="A645" t="s">
        <v>114</v>
      </c>
      <c r="B645" s="2">
        <v>45870</v>
      </c>
      <c r="C645" t="s">
        <v>911</v>
      </c>
      <c r="D645">
        <v>0</v>
      </c>
      <c r="E645" t="s">
        <v>33</v>
      </c>
      <c r="F645" t="s">
        <v>33</v>
      </c>
      <c r="G645" s="10" t="s">
        <v>959</v>
      </c>
      <c r="H645" t="s">
        <v>36</v>
      </c>
    </row>
    <row r="646" spans="1:8" hidden="1" x14ac:dyDescent="0.3">
      <c r="A646" t="s">
        <v>114</v>
      </c>
      <c r="B646" s="2">
        <v>45901</v>
      </c>
      <c r="C646" t="s">
        <v>919</v>
      </c>
      <c r="D646">
        <v>0</v>
      </c>
      <c r="E646" t="s">
        <v>33</v>
      </c>
      <c r="F646" t="s">
        <v>33</v>
      </c>
      <c r="G646" s="10" t="s">
        <v>959</v>
      </c>
      <c r="H646" t="s">
        <v>36</v>
      </c>
    </row>
    <row r="647" spans="1:8" hidden="1" x14ac:dyDescent="0.3">
      <c r="A647" t="s">
        <v>114</v>
      </c>
      <c r="B647" s="2">
        <v>45931</v>
      </c>
      <c r="C647" t="s">
        <v>911</v>
      </c>
      <c r="D647">
        <v>0</v>
      </c>
      <c r="E647" t="s">
        <v>33</v>
      </c>
      <c r="F647" t="s">
        <v>33</v>
      </c>
      <c r="G647" s="10" t="s">
        <v>959</v>
      </c>
      <c r="H647" t="s">
        <v>36</v>
      </c>
    </row>
    <row r="648" spans="1:8" hidden="1" x14ac:dyDescent="0.3">
      <c r="A648" t="s">
        <v>114</v>
      </c>
      <c r="B648" s="2">
        <v>45962</v>
      </c>
      <c r="C648" t="s">
        <v>919</v>
      </c>
      <c r="D648">
        <v>0</v>
      </c>
      <c r="E648" t="s">
        <v>33</v>
      </c>
      <c r="F648" t="s">
        <v>33</v>
      </c>
      <c r="G648" s="10" t="s">
        <v>959</v>
      </c>
      <c r="H648" t="s">
        <v>36</v>
      </c>
    </row>
    <row r="649" spans="1:8" hidden="1" x14ac:dyDescent="0.3">
      <c r="A649" t="s">
        <v>114</v>
      </c>
      <c r="B649" s="2">
        <v>45992</v>
      </c>
      <c r="C649" t="s">
        <v>965</v>
      </c>
      <c r="D649" t="s">
        <v>964</v>
      </c>
      <c r="E649" t="s">
        <v>976</v>
      </c>
      <c r="F649" t="s">
        <v>33</v>
      </c>
      <c r="G649" s="10" t="s">
        <v>977</v>
      </c>
      <c r="H649" t="s">
        <v>36</v>
      </c>
    </row>
    <row r="650" spans="1:8" hidden="1" x14ac:dyDescent="0.3">
      <c r="A650" t="s">
        <v>114</v>
      </c>
      <c r="B650" s="2">
        <v>46023</v>
      </c>
      <c r="C650" t="s">
        <v>902</v>
      </c>
      <c r="D650" t="s">
        <v>966</v>
      </c>
      <c r="E650" t="s">
        <v>976</v>
      </c>
      <c r="F650" t="s">
        <v>33</v>
      </c>
      <c r="G650" s="10" t="s">
        <v>487</v>
      </c>
      <c r="H650" t="s">
        <v>36</v>
      </c>
    </row>
    <row r="651" spans="1:8" hidden="1" x14ac:dyDescent="0.3">
      <c r="A651" t="s">
        <v>114</v>
      </c>
      <c r="B651" s="2">
        <v>46054</v>
      </c>
      <c r="C651" t="s">
        <v>895</v>
      </c>
      <c r="D651">
        <v>0</v>
      </c>
      <c r="E651" t="s">
        <v>33</v>
      </c>
      <c r="F651" t="s">
        <v>33</v>
      </c>
      <c r="G651" s="10" t="s">
        <v>959</v>
      </c>
      <c r="H651" t="s">
        <v>36</v>
      </c>
    </row>
    <row r="652" spans="1:8" hidden="1" x14ac:dyDescent="0.3">
      <c r="A652" t="s">
        <v>114</v>
      </c>
      <c r="B652" s="2">
        <v>46082</v>
      </c>
      <c r="C652" t="s">
        <v>911</v>
      </c>
      <c r="D652">
        <v>0</v>
      </c>
      <c r="E652" t="s">
        <v>33</v>
      </c>
      <c r="F652" t="s">
        <v>33</v>
      </c>
      <c r="G652" s="10" t="s">
        <v>959</v>
      </c>
      <c r="H652" t="s">
        <v>36</v>
      </c>
    </row>
    <row r="653" spans="1:8" hidden="1" x14ac:dyDescent="0.3">
      <c r="A653" t="s">
        <v>114</v>
      </c>
      <c r="B653" s="2">
        <v>46113</v>
      </c>
      <c r="C653" t="s">
        <v>919</v>
      </c>
      <c r="D653">
        <v>0</v>
      </c>
      <c r="E653" t="s">
        <v>33</v>
      </c>
      <c r="F653" t="s">
        <v>33</v>
      </c>
      <c r="G653" s="10" t="s">
        <v>487</v>
      </c>
      <c r="H653" t="s">
        <v>36</v>
      </c>
    </row>
    <row r="654" spans="1:8" hidden="1" x14ac:dyDescent="0.3">
      <c r="A654" t="s">
        <v>114</v>
      </c>
      <c r="B654" s="2">
        <v>46143</v>
      </c>
      <c r="C654" t="s">
        <v>911</v>
      </c>
      <c r="D654">
        <v>0</v>
      </c>
      <c r="E654" t="s">
        <v>33</v>
      </c>
      <c r="F654" t="s">
        <v>33</v>
      </c>
      <c r="G654" s="10" t="s">
        <v>959</v>
      </c>
      <c r="H654" t="s">
        <v>36</v>
      </c>
    </row>
    <row r="655" spans="1:8" hidden="1" x14ac:dyDescent="0.3">
      <c r="A655" t="s">
        <v>114</v>
      </c>
      <c r="B655" s="2">
        <v>46235</v>
      </c>
      <c r="C655" t="s">
        <v>896</v>
      </c>
      <c r="D655">
        <v>0</v>
      </c>
      <c r="E655" t="s">
        <v>33</v>
      </c>
      <c r="F655" t="s">
        <v>33</v>
      </c>
      <c r="G655" t="s">
        <v>338</v>
      </c>
      <c r="H655" t="s">
        <v>36</v>
      </c>
    </row>
    <row r="656" spans="1:8" hidden="1" x14ac:dyDescent="0.3">
      <c r="A656" t="s">
        <v>114</v>
      </c>
      <c r="B656" s="2">
        <v>46174</v>
      </c>
      <c r="C656" t="s">
        <v>919</v>
      </c>
      <c r="D656">
        <v>0</v>
      </c>
      <c r="E656" t="s">
        <v>33</v>
      </c>
      <c r="F656" t="s">
        <v>33</v>
      </c>
      <c r="G656" s="10" t="s">
        <v>996</v>
      </c>
      <c r="H656" t="s">
        <v>36</v>
      </c>
    </row>
    <row r="657" spans="1:8" hidden="1" x14ac:dyDescent="0.3">
      <c r="A657" t="s">
        <v>114</v>
      </c>
      <c r="B657" s="2">
        <v>46204</v>
      </c>
      <c r="C657" s="10">
        <v>31</v>
      </c>
      <c r="D657">
        <v>0</v>
      </c>
      <c r="E657" t="s">
        <v>33</v>
      </c>
      <c r="F657" t="s">
        <v>33</v>
      </c>
      <c r="G657" t="s">
        <v>1014</v>
      </c>
      <c r="H657" t="s">
        <v>36</v>
      </c>
    </row>
    <row r="658" spans="1:8" hidden="1" x14ac:dyDescent="0.3">
      <c r="A658" t="s">
        <v>117</v>
      </c>
      <c r="B658" s="2">
        <v>45536</v>
      </c>
      <c r="C658" s="10"/>
    </row>
    <row r="659" spans="1:8" hidden="1" x14ac:dyDescent="0.3">
      <c r="A659" t="s">
        <v>117</v>
      </c>
      <c r="B659" s="2">
        <v>45566</v>
      </c>
      <c r="C659" s="10"/>
    </row>
    <row r="660" spans="1:8" hidden="1" x14ac:dyDescent="0.3">
      <c r="A660" t="s">
        <v>117</v>
      </c>
      <c r="B660" s="2">
        <v>45597</v>
      </c>
      <c r="C660" s="10"/>
    </row>
    <row r="661" spans="1:8" hidden="1" x14ac:dyDescent="0.3">
      <c r="A661" t="s">
        <v>117</v>
      </c>
      <c r="B661" s="2">
        <v>45627</v>
      </c>
      <c r="C661" s="10"/>
    </row>
    <row r="662" spans="1:8" hidden="1" x14ac:dyDescent="0.3">
      <c r="A662" t="s">
        <v>117</v>
      </c>
      <c r="B662" s="2">
        <v>45658</v>
      </c>
      <c r="C662" s="10"/>
    </row>
    <row r="663" spans="1:8" ht="43.2" hidden="1" x14ac:dyDescent="0.3">
      <c r="A663" t="s">
        <v>117</v>
      </c>
      <c r="B663" s="2">
        <v>45689</v>
      </c>
      <c r="C663" s="10" t="s">
        <v>488</v>
      </c>
    </row>
    <row r="664" spans="1:8" ht="28.8" hidden="1" x14ac:dyDescent="0.3">
      <c r="A664" t="s">
        <v>117</v>
      </c>
      <c r="B664" s="2">
        <v>45717</v>
      </c>
      <c r="C664" s="10" t="s">
        <v>489</v>
      </c>
    </row>
    <row r="665" spans="1:8" hidden="1" x14ac:dyDescent="0.3">
      <c r="A665" t="s">
        <v>117</v>
      </c>
      <c r="B665" s="2">
        <v>45748</v>
      </c>
      <c r="C665" s="10" t="s">
        <v>490</v>
      </c>
    </row>
    <row r="666" spans="1:8" ht="86.4" hidden="1" x14ac:dyDescent="0.3">
      <c r="A666" t="s">
        <v>117</v>
      </c>
      <c r="B666" s="2">
        <v>45778</v>
      </c>
      <c r="C666" s="10" t="s">
        <v>491</v>
      </c>
    </row>
    <row r="667" spans="1:8" ht="86.4" hidden="1" x14ac:dyDescent="0.3">
      <c r="A667" t="s">
        <v>117</v>
      </c>
      <c r="B667" s="2">
        <v>45809</v>
      </c>
      <c r="C667" s="10" t="s">
        <v>492</v>
      </c>
    </row>
    <row r="668" spans="1:8" hidden="1" x14ac:dyDescent="0.3">
      <c r="A668" t="s">
        <v>117</v>
      </c>
      <c r="B668" s="2">
        <v>45839</v>
      </c>
      <c r="C668" s="10" t="s">
        <v>965</v>
      </c>
      <c r="D668">
        <v>15</v>
      </c>
      <c r="E668" t="s">
        <v>985</v>
      </c>
      <c r="F668" t="s">
        <v>986</v>
      </c>
      <c r="G668" s="32" t="s">
        <v>987</v>
      </c>
      <c r="H668" s="10" t="s">
        <v>36</v>
      </c>
    </row>
    <row r="669" spans="1:8" hidden="1" x14ac:dyDescent="0.3">
      <c r="A669" t="s">
        <v>117</v>
      </c>
      <c r="B669" s="2">
        <v>45901</v>
      </c>
      <c r="C669" s="10" t="s">
        <v>919</v>
      </c>
      <c r="D669">
        <v>0</v>
      </c>
      <c r="E669" t="s">
        <v>33</v>
      </c>
      <c r="F669" t="s">
        <v>33</v>
      </c>
      <c r="G669" t="s">
        <v>995</v>
      </c>
      <c r="H669" s="10" t="s">
        <v>36</v>
      </c>
    </row>
    <row r="670" spans="1:8" hidden="1" x14ac:dyDescent="0.3">
      <c r="A670" t="s">
        <v>117</v>
      </c>
      <c r="B670" s="2">
        <v>45931</v>
      </c>
      <c r="C670" s="10" t="s">
        <v>911</v>
      </c>
      <c r="D670">
        <v>0</v>
      </c>
      <c r="E670" t="s">
        <v>33</v>
      </c>
      <c r="F670" t="s">
        <v>33</v>
      </c>
      <c r="G670" t="s">
        <v>995</v>
      </c>
      <c r="H670" s="10" t="s">
        <v>36</v>
      </c>
    </row>
    <row r="671" spans="1:8" hidden="1" x14ac:dyDescent="0.3">
      <c r="A671" t="s">
        <v>117</v>
      </c>
      <c r="B671" s="2">
        <v>45962</v>
      </c>
      <c r="C671" s="10" t="s">
        <v>919</v>
      </c>
      <c r="D671">
        <v>0</v>
      </c>
      <c r="E671" t="s">
        <v>33</v>
      </c>
      <c r="F671" t="s">
        <v>33</v>
      </c>
      <c r="G671" s="10" t="s">
        <v>997</v>
      </c>
      <c r="H671" s="10" t="s">
        <v>36</v>
      </c>
    </row>
    <row r="672" spans="1:8" hidden="1" x14ac:dyDescent="0.3">
      <c r="A672" t="s">
        <v>117</v>
      </c>
      <c r="B672" s="2">
        <v>45992</v>
      </c>
      <c r="C672" s="10" t="s">
        <v>911</v>
      </c>
      <c r="D672">
        <v>0</v>
      </c>
      <c r="E672" t="s">
        <v>33</v>
      </c>
      <c r="F672" t="s">
        <v>33</v>
      </c>
      <c r="G672" t="s">
        <v>995</v>
      </c>
      <c r="H672" s="10" t="s">
        <v>36</v>
      </c>
    </row>
    <row r="673" spans="1:8" hidden="1" x14ac:dyDescent="0.3">
      <c r="A673" t="s">
        <v>117</v>
      </c>
      <c r="B673" s="2">
        <v>46023</v>
      </c>
      <c r="C673" s="10" t="s">
        <v>911</v>
      </c>
      <c r="D673">
        <v>0</v>
      </c>
      <c r="E673" t="s">
        <v>33</v>
      </c>
      <c r="F673" t="s">
        <v>33</v>
      </c>
      <c r="G673" s="10" t="s">
        <v>996</v>
      </c>
      <c r="H673" s="10" t="s">
        <v>36</v>
      </c>
    </row>
    <row r="674" spans="1:8" hidden="1" x14ac:dyDescent="0.3">
      <c r="A674" t="s">
        <v>117</v>
      </c>
      <c r="B674" s="2">
        <v>46054</v>
      </c>
      <c r="C674" s="10" t="s">
        <v>895</v>
      </c>
      <c r="D674">
        <v>0</v>
      </c>
      <c r="E674" t="s">
        <v>33</v>
      </c>
      <c r="F674" t="s">
        <v>33</v>
      </c>
      <c r="G674" t="s">
        <v>995</v>
      </c>
      <c r="H674" s="10" t="s">
        <v>36</v>
      </c>
    </row>
    <row r="675" spans="1:8" hidden="1" x14ac:dyDescent="0.3">
      <c r="A675" t="s">
        <v>117</v>
      </c>
      <c r="B675" s="2">
        <v>46082</v>
      </c>
      <c r="C675" s="10" t="s">
        <v>911</v>
      </c>
      <c r="D675">
        <v>0</v>
      </c>
      <c r="E675" t="s">
        <v>33</v>
      </c>
      <c r="F675" t="s">
        <v>33</v>
      </c>
      <c r="G675" s="10" t="s">
        <v>996</v>
      </c>
      <c r="H675" s="10" t="s">
        <v>36</v>
      </c>
    </row>
    <row r="676" spans="1:8" hidden="1" x14ac:dyDescent="0.3">
      <c r="A676" t="s">
        <v>117</v>
      </c>
      <c r="B676" s="2">
        <v>46113</v>
      </c>
      <c r="C676" s="10" t="s">
        <v>919</v>
      </c>
      <c r="D676">
        <v>0</v>
      </c>
      <c r="E676" t="s">
        <v>33</v>
      </c>
      <c r="F676" t="s">
        <v>33</v>
      </c>
      <c r="G676" s="10" t="s">
        <v>993</v>
      </c>
      <c r="H676" s="10" t="s">
        <v>36</v>
      </c>
    </row>
    <row r="677" spans="1:8" hidden="1" x14ac:dyDescent="0.3">
      <c r="A677" t="s">
        <v>117</v>
      </c>
      <c r="B677" s="2">
        <v>46143</v>
      </c>
      <c r="C677" s="10" t="s">
        <v>911</v>
      </c>
      <c r="D677">
        <v>0</v>
      </c>
      <c r="E677" t="s">
        <v>33</v>
      </c>
      <c r="F677" t="s">
        <v>33</v>
      </c>
      <c r="G677" t="s">
        <v>995</v>
      </c>
      <c r="H677" s="10" t="s">
        <v>36</v>
      </c>
    </row>
    <row r="678" spans="1:8" hidden="1" x14ac:dyDescent="0.3">
      <c r="A678" t="s">
        <v>117</v>
      </c>
      <c r="B678" s="2">
        <v>46235</v>
      </c>
      <c r="C678" s="10" t="s">
        <v>896</v>
      </c>
      <c r="D678">
        <v>0</v>
      </c>
      <c r="E678" t="s">
        <v>33</v>
      </c>
      <c r="F678" t="s">
        <v>33</v>
      </c>
      <c r="G678" s="10" t="s">
        <v>932</v>
      </c>
      <c r="H678" t="s">
        <v>36</v>
      </c>
    </row>
    <row r="679" spans="1:8" ht="28.95" hidden="1" customHeight="1" x14ac:dyDescent="0.3">
      <c r="A679" t="s">
        <v>117</v>
      </c>
      <c r="B679" s="2">
        <v>46174</v>
      </c>
      <c r="C679" s="10" t="s">
        <v>919</v>
      </c>
      <c r="D679">
        <v>0</v>
      </c>
      <c r="E679" t="s">
        <v>33</v>
      </c>
      <c r="F679" t="s">
        <v>33</v>
      </c>
      <c r="G679" s="10" t="s">
        <v>996</v>
      </c>
      <c r="H679" s="10" t="s">
        <v>36</v>
      </c>
    </row>
    <row r="680" spans="1:8" ht="72" hidden="1" customHeight="1" x14ac:dyDescent="0.3">
      <c r="A680" t="s">
        <v>117</v>
      </c>
      <c r="B680" s="2">
        <v>46204</v>
      </c>
      <c r="C680" s="10">
        <v>31</v>
      </c>
      <c r="D680">
        <v>0</v>
      </c>
      <c r="E680" t="s">
        <v>33</v>
      </c>
      <c r="F680" t="s">
        <v>33</v>
      </c>
      <c r="G680" t="s">
        <v>1014</v>
      </c>
      <c r="H680" t="s">
        <v>36</v>
      </c>
    </row>
    <row r="681" spans="1:8" ht="72" hidden="1" customHeight="1" x14ac:dyDescent="0.3">
      <c r="A681" t="s">
        <v>225</v>
      </c>
      <c r="B681" s="2">
        <v>45536</v>
      </c>
      <c r="C681" s="10"/>
    </row>
    <row r="682" spans="1:8" ht="57.6" hidden="1" customHeight="1" x14ac:dyDescent="0.3">
      <c r="A682" t="s">
        <v>225</v>
      </c>
      <c r="B682" s="2">
        <v>45566</v>
      </c>
      <c r="C682" s="10"/>
    </row>
    <row r="683" spans="1:8" ht="57.6" hidden="1" customHeight="1" x14ac:dyDescent="0.3">
      <c r="A683" t="s">
        <v>225</v>
      </c>
      <c r="B683" s="2">
        <v>45597</v>
      </c>
      <c r="C683" s="10"/>
    </row>
    <row r="684" spans="1:8" ht="57.6" hidden="1" customHeight="1" x14ac:dyDescent="0.3">
      <c r="A684" t="s">
        <v>225</v>
      </c>
      <c r="B684" s="2">
        <v>45627</v>
      </c>
      <c r="C684" s="10"/>
    </row>
    <row r="685" spans="1:8" ht="57.6" hidden="1" customHeight="1" x14ac:dyDescent="0.3">
      <c r="A685" t="s">
        <v>225</v>
      </c>
      <c r="B685" s="2">
        <v>45658</v>
      </c>
      <c r="C685" s="10"/>
    </row>
    <row r="686" spans="1:8" ht="57.6" hidden="1" customHeight="1" x14ac:dyDescent="0.3">
      <c r="A686" t="s">
        <v>225</v>
      </c>
      <c r="B686" s="2">
        <v>45689</v>
      </c>
      <c r="C686" s="10"/>
    </row>
    <row r="687" spans="1:8" ht="57.6" hidden="1" customHeight="1" x14ac:dyDescent="0.3">
      <c r="A687" t="s">
        <v>225</v>
      </c>
      <c r="B687" s="2">
        <v>45717</v>
      </c>
      <c r="C687" s="10"/>
    </row>
    <row r="688" spans="1:8" ht="57.6" hidden="1" customHeight="1" x14ac:dyDescent="0.3">
      <c r="A688" t="s">
        <v>225</v>
      </c>
      <c r="B688" s="2">
        <v>45748</v>
      </c>
      <c r="C688" s="10"/>
    </row>
    <row r="689" spans="1:8" hidden="1" x14ac:dyDescent="0.3">
      <c r="A689" t="s">
        <v>225</v>
      </c>
      <c r="B689" s="2">
        <v>45778</v>
      </c>
      <c r="C689" s="10"/>
    </row>
    <row r="690" spans="1:8" hidden="1" x14ac:dyDescent="0.3">
      <c r="A690" t="s">
        <v>225</v>
      </c>
      <c r="B690" s="2">
        <v>45809</v>
      </c>
      <c r="C690" s="10"/>
    </row>
    <row r="691" spans="1:8" hidden="1" x14ac:dyDescent="0.3">
      <c r="A691" t="s">
        <v>225</v>
      </c>
      <c r="B691" s="2">
        <v>45839</v>
      </c>
      <c r="C691" s="10" t="s">
        <v>36</v>
      </c>
      <c r="D691" s="10" t="s">
        <v>36</v>
      </c>
      <c r="E691" s="10" t="s">
        <v>36</v>
      </c>
      <c r="F691" s="10" t="s">
        <v>36</v>
      </c>
      <c r="G691" s="10" t="s">
        <v>36</v>
      </c>
      <c r="H691" s="10" t="s">
        <v>920</v>
      </c>
    </row>
    <row r="692" spans="1:8" hidden="1" x14ac:dyDescent="0.3">
      <c r="A692" t="s">
        <v>225</v>
      </c>
      <c r="B692" s="2">
        <v>45870</v>
      </c>
      <c r="C692" s="10" t="s">
        <v>36</v>
      </c>
      <c r="D692" s="10" t="s">
        <v>36</v>
      </c>
      <c r="E692" s="10" t="s">
        <v>36</v>
      </c>
      <c r="F692" s="10" t="s">
        <v>36</v>
      </c>
      <c r="G692" s="10" t="s">
        <v>36</v>
      </c>
      <c r="H692" s="10" t="s">
        <v>920</v>
      </c>
    </row>
    <row r="693" spans="1:8" hidden="1" x14ac:dyDescent="0.3">
      <c r="A693" t="s">
        <v>225</v>
      </c>
      <c r="B693" s="2">
        <v>45901</v>
      </c>
      <c r="C693" s="10" t="s">
        <v>36</v>
      </c>
      <c r="D693" s="10" t="s">
        <v>36</v>
      </c>
      <c r="E693" s="10" t="s">
        <v>36</v>
      </c>
      <c r="F693" s="10" t="s">
        <v>36</v>
      </c>
      <c r="G693" s="10" t="s">
        <v>36</v>
      </c>
      <c r="H693" s="10" t="s">
        <v>920</v>
      </c>
    </row>
    <row r="694" spans="1:8" hidden="1" x14ac:dyDescent="0.3">
      <c r="A694" t="s">
        <v>225</v>
      </c>
      <c r="B694" s="2">
        <v>45931</v>
      </c>
      <c r="C694" s="10" t="s">
        <v>895</v>
      </c>
      <c r="D694" s="10" t="s">
        <v>975</v>
      </c>
      <c r="E694" s="10" t="s">
        <v>920</v>
      </c>
      <c r="F694" s="10" t="s">
        <v>33</v>
      </c>
      <c r="G694" s="10" t="s">
        <v>33</v>
      </c>
      <c r="H694" s="10" t="s">
        <v>920</v>
      </c>
    </row>
    <row r="695" spans="1:8" hidden="1" x14ac:dyDescent="0.3">
      <c r="A695" t="s">
        <v>225</v>
      </c>
      <c r="B695" s="2">
        <v>45962</v>
      </c>
      <c r="C695" s="10" t="s">
        <v>919</v>
      </c>
      <c r="D695" s="10">
        <v>0</v>
      </c>
      <c r="E695" s="10" t="s">
        <v>33</v>
      </c>
      <c r="F695" s="10" t="s">
        <v>33</v>
      </c>
      <c r="G695" s="10" t="s">
        <v>33</v>
      </c>
      <c r="H695" s="10" t="s">
        <v>36</v>
      </c>
    </row>
    <row r="696" spans="1:8" hidden="1" x14ac:dyDescent="0.3">
      <c r="A696" t="s">
        <v>225</v>
      </c>
      <c r="B696" s="2">
        <v>45992</v>
      </c>
      <c r="C696" s="10" t="s">
        <v>911</v>
      </c>
      <c r="D696" s="10">
        <v>0</v>
      </c>
      <c r="E696" s="10" t="s">
        <v>33</v>
      </c>
      <c r="F696" s="10" t="s">
        <v>33</v>
      </c>
      <c r="G696" s="10" t="s">
        <v>460</v>
      </c>
      <c r="H696" s="10" t="s">
        <v>36</v>
      </c>
    </row>
    <row r="697" spans="1:8" hidden="1" x14ac:dyDescent="0.3">
      <c r="A697" t="s">
        <v>225</v>
      </c>
      <c r="B697" s="2">
        <v>46023</v>
      </c>
      <c r="C697" s="10" t="s">
        <v>892</v>
      </c>
      <c r="D697" s="10">
        <v>0</v>
      </c>
      <c r="E697" s="10" t="s">
        <v>33</v>
      </c>
      <c r="F697" s="10" t="s">
        <v>33</v>
      </c>
      <c r="G697" s="10" t="s">
        <v>460</v>
      </c>
      <c r="H697" s="10" t="s">
        <v>36</v>
      </c>
    </row>
    <row r="698" spans="1:8" hidden="1" x14ac:dyDescent="0.3">
      <c r="A698" t="s">
        <v>225</v>
      </c>
      <c r="B698" s="2">
        <v>46054</v>
      </c>
      <c r="C698" s="10" t="s">
        <v>895</v>
      </c>
      <c r="D698" s="10">
        <v>0</v>
      </c>
      <c r="E698" s="10" t="s">
        <v>33</v>
      </c>
      <c r="F698" s="10" t="s">
        <v>33</v>
      </c>
      <c r="G698" s="10" t="s">
        <v>460</v>
      </c>
      <c r="H698" s="10" t="s">
        <v>36</v>
      </c>
    </row>
    <row r="699" spans="1:8" hidden="1" x14ac:dyDescent="0.3">
      <c r="A699" t="s">
        <v>225</v>
      </c>
      <c r="B699" s="2">
        <v>46082</v>
      </c>
      <c r="C699" s="10" t="s">
        <v>892</v>
      </c>
      <c r="D699" s="10">
        <v>0</v>
      </c>
      <c r="E699" s="10" t="s">
        <v>33</v>
      </c>
      <c r="F699" s="10" t="s">
        <v>33</v>
      </c>
      <c r="G699" s="10" t="s">
        <v>460</v>
      </c>
      <c r="H699" s="10" t="s">
        <v>36</v>
      </c>
    </row>
    <row r="700" spans="1:8" hidden="1" x14ac:dyDescent="0.3">
      <c r="A700" t="s">
        <v>225</v>
      </c>
      <c r="B700" s="2">
        <v>46113</v>
      </c>
      <c r="C700" s="10" t="s">
        <v>896</v>
      </c>
      <c r="D700" s="10">
        <v>0</v>
      </c>
      <c r="E700" s="10" t="s">
        <v>33</v>
      </c>
      <c r="F700" s="10" t="s">
        <v>33</v>
      </c>
      <c r="G700" s="10" t="s">
        <v>460</v>
      </c>
      <c r="H700" s="10" t="s">
        <v>36</v>
      </c>
    </row>
    <row r="701" spans="1:8" hidden="1" x14ac:dyDescent="0.3">
      <c r="A701" t="s">
        <v>225</v>
      </c>
      <c r="B701" s="2">
        <v>46143</v>
      </c>
      <c r="C701" s="10" t="s">
        <v>892</v>
      </c>
      <c r="D701" s="10">
        <v>0</v>
      </c>
      <c r="E701" s="10" t="s">
        <v>33</v>
      </c>
      <c r="F701" s="10" t="s">
        <v>33</v>
      </c>
      <c r="G701" s="10" t="s">
        <v>460</v>
      </c>
      <c r="H701" s="10" t="s">
        <v>36</v>
      </c>
    </row>
    <row r="702" spans="1:8" hidden="1" x14ac:dyDescent="0.3">
      <c r="A702" t="s">
        <v>225</v>
      </c>
      <c r="B702" s="2">
        <v>46235</v>
      </c>
      <c r="C702" t="s">
        <v>896</v>
      </c>
      <c r="D702">
        <v>0</v>
      </c>
      <c r="E702" t="s">
        <v>33</v>
      </c>
      <c r="F702" t="s">
        <v>33</v>
      </c>
      <c r="G702" t="s">
        <v>338</v>
      </c>
      <c r="H702" t="s">
        <v>36</v>
      </c>
    </row>
    <row r="703" spans="1:8" ht="43.2" hidden="1" customHeight="1" x14ac:dyDescent="0.3">
      <c r="A703" t="s">
        <v>225</v>
      </c>
      <c r="B703" s="2">
        <v>46174</v>
      </c>
      <c r="C703" s="10" t="s">
        <v>896</v>
      </c>
      <c r="D703" s="10">
        <v>0</v>
      </c>
      <c r="E703" s="10" t="s">
        <v>33</v>
      </c>
      <c r="F703" s="10" t="s">
        <v>33</v>
      </c>
      <c r="G703" s="10" t="s">
        <v>338</v>
      </c>
      <c r="H703" s="10" t="s">
        <v>36</v>
      </c>
    </row>
    <row r="704" spans="1:8" ht="43.2" hidden="1" customHeight="1" x14ac:dyDescent="0.3">
      <c r="A704" t="s">
        <v>225</v>
      </c>
      <c r="B704" s="2">
        <v>46204</v>
      </c>
      <c r="C704" s="10">
        <v>31</v>
      </c>
      <c r="D704">
        <v>0</v>
      </c>
      <c r="E704" t="s">
        <v>33</v>
      </c>
      <c r="F704" t="s">
        <v>33</v>
      </c>
      <c r="G704" t="s">
        <v>1014</v>
      </c>
      <c r="H704" t="s">
        <v>36</v>
      </c>
    </row>
    <row r="705" spans="1:8" ht="57.6" hidden="1" customHeight="1" x14ac:dyDescent="0.3">
      <c r="A705" t="s">
        <v>223</v>
      </c>
      <c r="B705" s="2">
        <v>45536</v>
      </c>
      <c r="C705" s="10"/>
    </row>
    <row r="706" spans="1:8" ht="57.6" hidden="1" customHeight="1" x14ac:dyDescent="0.3">
      <c r="A706" t="s">
        <v>223</v>
      </c>
      <c r="B706" s="2">
        <v>45566</v>
      </c>
      <c r="C706" s="10"/>
    </row>
    <row r="707" spans="1:8" ht="57.6" hidden="1" customHeight="1" x14ac:dyDescent="0.3">
      <c r="A707" t="s">
        <v>223</v>
      </c>
      <c r="B707" s="2">
        <v>45597</v>
      </c>
      <c r="C707" s="10"/>
    </row>
    <row r="708" spans="1:8" ht="57.6" hidden="1" customHeight="1" x14ac:dyDescent="0.3">
      <c r="A708" t="s">
        <v>223</v>
      </c>
      <c r="B708" s="2">
        <v>45627</v>
      </c>
      <c r="C708" s="10"/>
    </row>
    <row r="709" spans="1:8" ht="57.6" hidden="1" customHeight="1" x14ac:dyDescent="0.3">
      <c r="A709" t="s">
        <v>223</v>
      </c>
      <c r="B709" s="2">
        <v>45658</v>
      </c>
      <c r="C709" s="10"/>
    </row>
    <row r="710" spans="1:8" ht="72" hidden="1" customHeight="1" x14ac:dyDescent="0.3">
      <c r="A710" t="s">
        <v>223</v>
      </c>
      <c r="B710" s="2">
        <v>45689</v>
      </c>
      <c r="C710" s="10"/>
    </row>
    <row r="711" spans="1:8" ht="57.6" hidden="1" customHeight="1" x14ac:dyDescent="0.3">
      <c r="A711" t="s">
        <v>223</v>
      </c>
      <c r="B711" s="2">
        <v>45717</v>
      </c>
      <c r="C711" s="10"/>
    </row>
    <row r="712" spans="1:8" ht="57.6" hidden="1" customHeight="1" x14ac:dyDescent="0.3">
      <c r="A712" t="s">
        <v>223</v>
      </c>
      <c r="B712" s="2">
        <v>45748</v>
      </c>
      <c r="C712" s="10"/>
    </row>
    <row r="713" spans="1:8" hidden="1" x14ac:dyDescent="0.3">
      <c r="A713" t="s">
        <v>223</v>
      </c>
      <c r="B713" s="2">
        <v>45778</v>
      </c>
      <c r="C713" s="10"/>
    </row>
    <row r="714" spans="1:8" hidden="1" x14ac:dyDescent="0.3">
      <c r="A714" t="s">
        <v>223</v>
      </c>
      <c r="B714" s="2">
        <v>45809</v>
      </c>
      <c r="C714" s="10"/>
    </row>
    <row r="715" spans="1:8" hidden="1" x14ac:dyDescent="0.3">
      <c r="A715" t="s">
        <v>223</v>
      </c>
      <c r="B715" s="2">
        <v>45839</v>
      </c>
      <c r="C715" s="10" t="s">
        <v>36</v>
      </c>
      <c r="D715" s="10" t="s">
        <v>36</v>
      </c>
      <c r="E715" s="10" t="s">
        <v>36</v>
      </c>
      <c r="F715" s="10" t="s">
        <v>36</v>
      </c>
      <c r="G715" s="10" t="s">
        <v>36</v>
      </c>
      <c r="H715" s="10" t="s">
        <v>920</v>
      </c>
    </row>
    <row r="716" spans="1:8" hidden="1" x14ac:dyDescent="0.3">
      <c r="A716" t="s">
        <v>223</v>
      </c>
      <c r="B716" s="2">
        <v>45870</v>
      </c>
      <c r="C716" s="10" t="s">
        <v>36</v>
      </c>
      <c r="D716" s="10" t="s">
        <v>36</v>
      </c>
      <c r="E716" s="10" t="s">
        <v>36</v>
      </c>
      <c r="F716" s="10" t="s">
        <v>36</v>
      </c>
      <c r="G716" s="10" t="s">
        <v>36</v>
      </c>
      <c r="H716" s="10" t="s">
        <v>920</v>
      </c>
    </row>
    <row r="717" spans="1:8" hidden="1" x14ac:dyDescent="0.3">
      <c r="A717" t="s">
        <v>223</v>
      </c>
      <c r="B717" s="2">
        <v>45901</v>
      </c>
      <c r="C717" s="10" t="s">
        <v>36</v>
      </c>
      <c r="D717" s="10" t="s">
        <v>36</v>
      </c>
      <c r="E717" s="10" t="s">
        <v>36</v>
      </c>
      <c r="F717" s="10" t="s">
        <v>36</v>
      </c>
      <c r="G717" s="10" t="s">
        <v>36</v>
      </c>
      <c r="H717" s="10" t="s">
        <v>920</v>
      </c>
    </row>
    <row r="718" spans="1:8" hidden="1" x14ac:dyDescent="0.3">
      <c r="A718" t="s">
        <v>223</v>
      </c>
      <c r="B718" s="2">
        <v>45931</v>
      </c>
      <c r="C718" s="10" t="s">
        <v>895</v>
      </c>
      <c r="D718" s="10" t="s">
        <v>942</v>
      </c>
      <c r="E718" s="10" t="s">
        <v>920</v>
      </c>
      <c r="F718" s="10" t="s">
        <v>33</v>
      </c>
      <c r="G718" s="10" t="s">
        <v>33</v>
      </c>
      <c r="H718" s="10" t="s">
        <v>920</v>
      </c>
    </row>
    <row r="719" spans="1:8" hidden="1" x14ac:dyDescent="0.3">
      <c r="A719" t="s">
        <v>223</v>
      </c>
      <c r="B719" s="2">
        <v>45962</v>
      </c>
      <c r="C719" s="10" t="s">
        <v>919</v>
      </c>
      <c r="D719" s="10">
        <v>0</v>
      </c>
      <c r="E719" s="10" t="s">
        <v>33</v>
      </c>
      <c r="F719" s="10" t="s">
        <v>33</v>
      </c>
      <c r="H719" s="10" t="s">
        <v>36</v>
      </c>
    </row>
    <row r="720" spans="1:8" hidden="1" x14ac:dyDescent="0.3">
      <c r="A720" t="s">
        <v>223</v>
      </c>
      <c r="B720" s="2">
        <v>45992</v>
      </c>
      <c r="C720" s="10" t="s">
        <v>911</v>
      </c>
      <c r="D720" s="10">
        <v>0</v>
      </c>
      <c r="E720" s="10" t="s">
        <v>33</v>
      </c>
      <c r="F720" s="10" t="s">
        <v>33</v>
      </c>
      <c r="G720" s="10" t="s">
        <v>493</v>
      </c>
      <c r="H720" s="10" t="s">
        <v>36</v>
      </c>
    </row>
    <row r="721" spans="1:8" hidden="1" x14ac:dyDescent="0.3">
      <c r="A721" t="s">
        <v>223</v>
      </c>
      <c r="B721" s="2">
        <v>46023</v>
      </c>
      <c r="C721" s="10" t="s">
        <v>892</v>
      </c>
      <c r="D721" s="10">
        <v>0</v>
      </c>
      <c r="E721" s="10" t="s">
        <v>33</v>
      </c>
      <c r="F721" s="10" t="s">
        <v>33</v>
      </c>
      <c r="G721" s="10" t="s">
        <v>932</v>
      </c>
      <c r="H721" s="10" t="s">
        <v>36</v>
      </c>
    </row>
    <row r="722" spans="1:8" hidden="1" x14ac:dyDescent="0.3">
      <c r="A722" t="s">
        <v>223</v>
      </c>
      <c r="B722" s="2">
        <v>46054</v>
      </c>
      <c r="C722" s="10" t="s">
        <v>895</v>
      </c>
      <c r="D722" s="10">
        <v>0</v>
      </c>
      <c r="E722" s="10" t="s">
        <v>33</v>
      </c>
      <c r="F722" s="10" t="s">
        <v>33</v>
      </c>
      <c r="G722" s="10" t="s">
        <v>932</v>
      </c>
      <c r="H722" s="10" t="s">
        <v>36</v>
      </c>
    </row>
    <row r="723" spans="1:8" hidden="1" x14ac:dyDescent="0.3">
      <c r="A723" t="s">
        <v>223</v>
      </c>
      <c r="B723" s="2">
        <v>46082</v>
      </c>
      <c r="C723" s="10" t="s">
        <v>892</v>
      </c>
      <c r="D723" s="10">
        <v>0</v>
      </c>
      <c r="E723" s="10" t="s">
        <v>33</v>
      </c>
      <c r="F723" s="10" t="s">
        <v>33</v>
      </c>
      <c r="G723" s="10" t="s">
        <v>932</v>
      </c>
      <c r="H723" s="10" t="s">
        <v>36</v>
      </c>
    </row>
    <row r="724" spans="1:8" hidden="1" x14ac:dyDescent="0.3">
      <c r="A724" t="s">
        <v>223</v>
      </c>
      <c r="B724" s="2">
        <v>46113</v>
      </c>
      <c r="C724" s="10" t="s">
        <v>896</v>
      </c>
      <c r="D724" s="10">
        <v>0</v>
      </c>
      <c r="E724" s="10" t="s">
        <v>33</v>
      </c>
      <c r="F724" s="10" t="s">
        <v>33</v>
      </c>
      <c r="G724" s="10" t="s">
        <v>932</v>
      </c>
      <c r="H724" s="10" t="s">
        <v>36</v>
      </c>
    </row>
    <row r="725" spans="1:8" hidden="1" x14ac:dyDescent="0.3">
      <c r="A725" t="s">
        <v>223</v>
      </c>
      <c r="B725" s="2">
        <v>46143</v>
      </c>
      <c r="C725" s="10" t="s">
        <v>892</v>
      </c>
      <c r="D725" s="10">
        <v>0</v>
      </c>
      <c r="E725" s="10" t="s">
        <v>33</v>
      </c>
      <c r="F725" s="10" t="s">
        <v>33</v>
      </c>
      <c r="G725" s="10" t="s">
        <v>932</v>
      </c>
      <c r="H725" s="10" t="s">
        <v>36</v>
      </c>
    </row>
    <row r="726" spans="1:8" hidden="1" x14ac:dyDescent="0.3">
      <c r="A726" t="s">
        <v>223</v>
      </c>
      <c r="B726" s="2">
        <v>46235</v>
      </c>
      <c r="C726" s="10" t="s">
        <v>896</v>
      </c>
      <c r="D726">
        <v>0</v>
      </c>
      <c r="E726" t="s">
        <v>33</v>
      </c>
      <c r="F726" t="s">
        <v>33</v>
      </c>
      <c r="G726" s="10" t="s">
        <v>932</v>
      </c>
      <c r="H726" t="s">
        <v>36</v>
      </c>
    </row>
    <row r="727" spans="1:8" ht="43.2" hidden="1" customHeight="1" x14ac:dyDescent="0.3">
      <c r="A727" t="s">
        <v>223</v>
      </c>
      <c r="B727" s="2">
        <v>46204</v>
      </c>
      <c r="C727" s="10">
        <v>31</v>
      </c>
      <c r="D727">
        <v>0</v>
      </c>
      <c r="E727" t="s">
        <v>33</v>
      </c>
      <c r="F727" t="s">
        <v>33</v>
      </c>
      <c r="G727" s="10" t="s">
        <v>932</v>
      </c>
      <c r="H727" t="s">
        <v>36</v>
      </c>
    </row>
    <row r="728" spans="1:8" ht="57.6" hidden="1" customHeight="1" x14ac:dyDescent="0.3">
      <c r="A728" t="s">
        <v>223</v>
      </c>
      <c r="B728" s="2">
        <v>46174</v>
      </c>
      <c r="C728" s="10" t="s">
        <v>896</v>
      </c>
      <c r="D728" s="10">
        <v>0</v>
      </c>
      <c r="E728" s="10" t="s">
        <v>33</v>
      </c>
      <c r="F728" s="10" t="s">
        <v>33</v>
      </c>
      <c r="G728" s="10" t="s">
        <v>996</v>
      </c>
      <c r="H728" s="10" t="s">
        <v>36</v>
      </c>
    </row>
    <row r="729" spans="1:8" ht="57.6" hidden="1" customHeight="1" x14ac:dyDescent="0.3">
      <c r="A729" t="s">
        <v>120</v>
      </c>
      <c r="B729" s="2">
        <v>45536</v>
      </c>
      <c r="C729" s="10"/>
    </row>
    <row r="730" spans="1:8" ht="57.6" hidden="1" customHeight="1" x14ac:dyDescent="0.3">
      <c r="A730" t="s">
        <v>120</v>
      </c>
      <c r="B730" s="2">
        <v>45566</v>
      </c>
      <c r="C730" s="10"/>
    </row>
    <row r="731" spans="1:8" ht="57.6" hidden="1" customHeight="1" x14ac:dyDescent="0.3">
      <c r="A731" t="s">
        <v>120</v>
      </c>
      <c r="B731" s="2">
        <v>45597</v>
      </c>
      <c r="C731" s="10"/>
    </row>
    <row r="732" spans="1:8" ht="57.6" hidden="1" customHeight="1" x14ac:dyDescent="0.3">
      <c r="A732" t="s">
        <v>120</v>
      </c>
      <c r="B732" s="2">
        <v>45627</v>
      </c>
      <c r="C732" s="10"/>
    </row>
    <row r="733" spans="1:8" ht="57.6" hidden="1" customHeight="1" x14ac:dyDescent="0.3">
      <c r="A733" t="s">
        <v>120</v>
      </c>
      <c r="B733" s="2">
        <v>45658</v>
      </c>
      <c r="C733" s="10"/>
    </row>
    <row r="734" spans="1:8" ht="57.6" hidden="1" customHeight="1" x14ac:dyDescent="0.3">
      <c r="A734" t="s">
        <v>120</v>
      </c>
      <c r="B734" s="2">
        <v>45689</v>
      </c>
      <c r="C734" s="10" t="s">
        <v>495</v>
      </c>
    </row>
    <row r="735" spans="1:8" ht="57.6" hidden="1" customHeight="1" x14ac:dyDescent="0.3">
      <c r="A735" t="s">
        <v>120</v>
      </c>
      <c r="B735" s="2">
        <v>45717</v>
      </c>
      <c r="C735" s="10" t="s">
        <v>496</v>
      </c>
    </row>
    <row r="736" spans="1:8" ht="57.6" hidden="1" customHeight="1" x14ac:dyDescent="0.3">
      <c r="A736" t="s">
        <v>120</v>
      </c>
      <c r="B736" s="2">
        <v>45748</v>
      </c>
      <c r="C736" s="10" t="s">
        <v>497</v>
      </c>
    </row>
    <row r="737" spans="1:8" ht="115.2" hidden="1" x14ac:dyDescent="0.3">
      <c r="A737" t="s">
        <v>120</v>
      </c>
      <c r="B737" s="2">
        <v>45778</v>
      </c>
      <c r="C737" s="10" t="s">
        <v>498</v>
      </c>
    </row>
    <row r="738" spans="1:8" ht="115.2" hidden="1" x14ac:dyDescent="0.3">
      <c r="A738" t="s">
        <v>120</v>
      </c>
      <c r="B738" s="2">
        <v>45809</v>
      </c>
      <c r="C738" s="10" t="s">
        <v>499</v>
      </c>
    </row>
    <row r="739" spans="1:8" ht="115.2" hidden="1" x14ac:dyDescent="0.3">
      <c r="A739" t="s">
        <v>120</v>
      </c>
      <c r="B739" s="2">
        <v>45839</v>
      </c>
      <c r="C739" s="10" t="s">
        <v>500</v>
      </c>
    </row>
    <row r="740" spans="1:8" ht="115.2" hidden="1" x14ac:dyDescent="0.3">
      <c r="A740" t="s">
        <v>120</v>
      </c>
      <c r="B740" s="2">
        <v>45870</v>
      </c>
      <c r="C740" s="10" t="s">
        <v>501</v>
      </c>
    </row>
    <row r="741" spans="1:8" ht="115.2" hidden="1" x14ac:dyDescent="0.3">
      <c r="A741" t="s">
        <v>120</v>
      </c>
      <c r="B741" s="2">
        <v>45901</v>
      </c>
      <c r="C741" s="10" t="s">
        <v>502</v>
      </c>
    </row>
    <row r="742" spans="1:8" ht="100.8" hidden="1" x14ac:dyDescent="0.3">
      <c r="A742" t="s">
        <v>120</v>
      </c>
      <c r="B742" s="2">
        <v>45931</v>
      </c>
      <c r="C742" s="10" t="s">
        <v>503</v>
      </c>
    </row>
    <row r="743" spans="1:8" ht="100.8" hidden="1" x14ac:dyDescent="0.3">
      <c r="A743" t="s">
        <v>120</v>
      </c>
      <c r="B743" s="2">
        <v>45962</v>
      </c>
      <c r="C743" s="10" t="s">
        <v>504</v>
      </c>
    </row>
    <row r="744" spans="1:8" ht="40.799999999999997" hidden="1" customHeight="1" x14ac:dyDescent="0.3">
      <c r="A744" t="s">
        <v>120</v>
      </c>
      <c r="B744" s="2">
        <v>45992</v>
      </c>
      <c r="C744" s="10" t="s">
        <v>455</v>
      </c>
    </row>
    <row r="745" spans="1:8" hidden="1" x14ac:dyDescent="0.3">
      <c r="A745" t="s">
        <v>120</v>
      </c>
      <c r="B745" s="2">
        <v>46023</v>
      </c>
      <c r="C745" s="10" t="s">
        <v>338</v>
      </c>
    </row>
    <row r="746" spans="1:8" ht="43.2" hidden="1" x14ac:dyDescent="0.3">
      <c r="A746" t="s">
        <v>120</v>
      </c>
      <c r="B746" s="2">
        <v>46054</v>
      </c>
      <c r="C746" s="10" t="s">
        <v>314</v>
      </c>
    </row>
    <row r="747" spans="1:8" ht="43.2" hidden="1" x14ac:dyDescent="0.3">
      <c r="A747" t="s">
        <v>120</v>
      </c>
      <c r="B747" s="2">
        <v>46082</v>
      </c>
      <c r="C747" s="10" t="s">
        <v>314</v>
      </c>
    </row>
    <row r="748" spans="1:8" ht="28.8" hidden="1" x14ac:dyDescent="0.3">
      <c r="A748" t="s">
        <v>120</v>
      </c>
      <c r="B748" s="2">
        <v>46113</v>
      </c>
      <c r="C748" s="10" t="s">
        <v>494</v>
      </c>
    </row>
    <row r="749" spans="1:8" hidden="1" x14ac:dyDescent="0.3">
      <c r="A749" t="s">
        <v>120</v>
      </c>
      <c r="B749" s="2">
        <v>46143</v>
      </c>
      <c r="C749" s="10" t="s">
        <v>852</v>
      </c>
    </row>
    <row r="750" spans="1:8" hidden="1" x14ac:dyDescent="0.3">
      <c r="A750" t="s">
        <v>120</v>
      </c>
      <c r="B750" s="2">
        <v>46235</v>
      </c>
      <c r="C750" s="10" t="s">
        <v>896</v>
      </c>
      <c r="D750">
        <v>0</v>
      </c>
      <c r="E750" t="s">
        <v>33</v>
      </c>
      <c r="F750" t="s">
        <v>33</v>
      </c>
      <c r="G750" t="s">
        <v>36</v>
      </c>
      <c r="H750" t="s">
        <v>36</v>
      </c>
    </row>
    <row r="751" spans="1:8" ht="57.6" hidden="1" customHeight="1" x14ac:dyDescent="0.3">
      <c r="A751" t="s">
        <v>120</v>
      </c>
      <c r="B751" s="2">
        <v>46174</v>
      </c>
      <c r="C751" s="10"/>
    </row>
    <row r="752" spans="1:8" ht="43.2" hidden="1" x14ac:dyDescent="0.3">
      <c r="A752" t="s">
        <v>120</v>
      </c>
      <c r="B752" s="2">
        <v>46204</v>
      </c>
      <c r="C752" s="10">
        <v>31</v>
      </c>
      <c r="D752">
        <v>0</v>
      </c>
      <c r="E752" t="s">
        <v>33</v>
      </c>
      <c r="F752" s="32" t="s">
        <v>1033</v>
      </c>
      <c r="G752" s="32" t="s">
        <v>1032</v>
      </c>
      <c r="H752" t="s">
        <v>1034</v>
      </c>
    </row>
    <row r="753" spans="1:7" hidden="1" x14ac:dyDescent="0.3">
      <c r="A753" t="s">
        <v>122</v>
      </c>
      <c r="B753" s="2">
        <v>45536</v>
      </c>
      <c r="C753" s="10"/>
    </row>
    <row r="754" spans="1:7" hidden="1" x14ac:dyDescent="0.3">
      <c r="A754" t="s">
        <v>122</v>
      </c>
      <c r="B754" s="2">
        <v>45566</v>
      </c>
      <c r="C754" s="10"/>
    </row>
    <row r="755" spans="1:7" hidden="1" x14ac:dyDescent="0.3">
      <c r="A755" t="s">
        <v>122</v>
      </c>
      <c r="B755" s="2">
        <v>45597</v>
      </c>
      <c r="C755" s="10"/>
    </row>
    <row r="756" spans="1:7" hidden="1" x14ac:dyDescent="0.3">
      <c r="A756" t="s">
        <v>122</v>
      </c>
      <c r="B756" s="2">
        <v>45627</v>
      </c>
      <c r="C756" s="10"/>
    </row>
    <row r="757" spans="1:7" hidden="1" x14ac:dyDescent="0.3">
      <c r="A757" t="s">
        <v>122</v>
      </c>
      <c r="B757" s="2">
        <v>45658</v>
      </c>
      <c r="C757" s="10"/>
    </row>
    <row r="758" spans="1:7" ht="57.6" hidden="1" x14ac:dyDescent="0.3">
      <c r="A758" t="s">
        <v>122</v>
      </c>
      <c r="B758" s="2">
        <v>45689</v>
      </c>
      <c r="C758" s="10" t="s">
        <v>505</v>
      </c>
    </row>
    <row r="759" spans="1:7" ht="86.4" hidden="1" x14ac:dyDescent="0.3">
      <c r="A759" t="s">
        <v>122</v>
      </c>
      <c r="B759" s="2">
        <v>45717</v>
      </c>
      <c r="C759" s="10" t="s">
        <v>506</v>
      </c>
    </row>
    <row r="760" spans="1:7" ht="86.4" hidden="1" x14ac:dyDescent="0.3">
      <c r="A760" t="s">
        <v>122</v>
      </c>
      <c r="B760" s="2">
        <v>45748</v>
      </c>
      <c r="C760" s="10" t="s">
        <v>507</v>
      </c>
    </row>
    <row r="761" spans="1:7" ht="115.2" hidden="1" x14ac:dyDescent="0.3">
      <c r="A761" t="s">
        <v>122</v>
      </c>
      <c r="B761" s="2">
        <v>45778</v>
      </c>
      <c r="C761" s="10" t="s">
        <v>508</v>
      </c>
    </row>
    <row r="762" spans="1:7" ht="115.2" hidden="1" x14ac:dyDescent="0.3">
      <c r="A762" t="s">
        <v>122</v>
      </c>
      <c r="B762" s="2">
        <v>45809</v>
      </c>
      <c r="C762" s="10" t="s">
        <v>508</v>
      </c>
    </row>
    <row r="763" spans="1:7" ht="115.2" hidden="1" x14ac:dyDescent="0.3">
      <c r="A763" t="s">
        <v>122</v>
      </c>
      <c r="B763" s="2">
        <v>45839</v>
      </c>
      <c r="C763" s="10" t="s">
        <v>509</v>
      </c>
    </row>
    <row r="764" spans="1:7" ht="115.2" hidden="1" x14ac:dyDescent="0.3">
      <c r="A764" t="s">
        <v>122</v>
      </c>
      <c r="B764" s="2">
        <v>45870</v>
      </c>
      <c r="C764" s="10" t="s">
        <v>510</v>
      </c>
      <c r="G764" s="45"/>
    </row>
    <row r="765" spans="1:7" ht="129.6" hidden="1" x14ac:dyDescent="0.3">
      <c r="A765" t="s">
        <v>122</v>
      </c>
      <c r="B765" s="2">
        <v>45901</v>
      </c>
      <c r="C765" s="10" t="s">
        <v>511</v>
      </c>
    </row>
    <row r="766" spans="1:7" ht="100.8" hidden="1" x14ac:dyDescent="0.3">
      <c r="A766" t="s">
        <v>122</v>
      </c>
      <c r="B766" s="2">
        <v>45931</v>
      </c>
      <c r="C766" s="10" t="s">
        <v>512</v>
      </c>
    </row>
    <row r="767" spans="1:7" ht="100.8" hidden="1" x14ac:dyDescent="0.3">
      <c r="A767" t="s">
        <v>122</v>
      </c>
      <c r="B767" s="2">
        <v>45962</v>
      </c>
      <c r="C767" s="10" t="s">
        <v>513</v>
      </c>
    </row>
    <row r="768" spans="1:7" hidden="1" x14ac:dyDescent="0.3">
      <c r="A768" t="s">
        <v>122</v>
      </c>
      <c r="B768" s="2">
        <v>45992</v>
      </c>
      <c r="C768" s="10" t="s">
        <v>326</v>
      </c>
    </row>
    <row r="769" spans="1:8" hidden="1" x14ac:dyDescent="0.3">
      <c r="A769" t="s">
        <v>122</v>
      </c>
      <c r="B769" s="2">
        <v>46023</v>
      </c>
      <c r="C769" s="10" t="s">
        <v>338</v>
      </c>
    </row>
    <row r="770" spans="1:8" hidden="1" x14ac:dyDescent="0.3">
      <c r="A770" t="s">
        <v>122</v>
      </c>
      <c r="B770" s="2">
        <v>46054</v>
      </c>
      <c r="C770" s="10" t="s">
        <v>326</v>
      </c>
    </row>
    <row r="771" spans="1:8" hidden="1" x14ac:dyDescent="0.3">
      <c r="A771" t="s">
        <v>122</v>
      </c>
      <c r="B771" s="2">
        <v>46082</v>
      </c>
      <c r="C771" s="10" t="s">
        <v>338</v>
      </c>
    </row>
    <row r="772" spans="1:8" hidden="1" x14ac:dyDescent="0.3">
      <c r="A772" t="s">
        <v>122</v>
      </c>
      <c r="B772" s="2">
        <v>46113</v>
      </c>
      <c r="C772" s="10" t="s">
        <v>302</v>
      </c>
    </row>
    <row r="773" spans="1:8" hidden="1" x14ac:dyDescent="0.3">
      <c r="A773" t="s">
        <v>122</v>
      </c>
      <c r="B773" s="2">
        <v>46143</v>
      </c>
      <c r="C773" s="10" t="s">
        <v>302</v>
      </c>
    </row>
    <row r="774" spans="1:8" hidden="1" x14ac:dyDescent="0.3">
      <c r="A774" t="s">
        <v>122</v>
      </c>
      <c r="B774" s="2">
        <v>46235</v>
      </c>
      <c r="C774" t="s">
        <v>896</v>
      </c>
      <c r="D774">
        <v>0</v>
      </c>
      <c r="E774" t="s">
        <v>33</v>
      </c>
      <c r="F774" t="s">
        <v>33</v>
      </c>
      <c r="G774" t="s">
        <v>338</v>
      </c>
      <c r="H774" t="s">
        <v>36</v>
      </c>
    </row>
    <row r="775" spans="1:8" hidden="1" x14ac:dyDescent="0.3">
      <c r="A775" t="s">
        <v>122</v>
      </c>
      <c r="B775" s="2">
        <v>46174</v>
      </c>
      <c r="C775" s="10"/>
    </row>
    <row r="776" spans="1:8" hidden="1" x14ac:dyDescent="0.3">
      <c r="A776" t="s">
        <v>122</v>
      </c>
      <c r="B776" s="2">
        <v>46204</v>
      </c>
      <c r="C776" s="10">
        <v>31</v>
      </c>
      <c r="D776">
        <v>0</v>
      </c>
      <c r="E776" t="s">
        <v>33</v>
      </c>
      <c r="F776" t="s">
        <v>33</v>
      </c>
      <c r="G776" t="s">
        <v>1014</v>
      </c>
      <c r="H776" t="s">
        <v>36</v>
      </c>
    </row>
    <row r="777" spans="1:8" ht="28.8" hidden="1" x14ac:dyDescent="0.3">
      <c r="A777" t="s">
        <v>124</v>
      </c>
      <c r="B777" s="2">
        <v>45536</v>
      </c>
      <c r="C777" s="10" t="s">
        <v>514</v>
      </c>
    </row>
    <row r="778" spans="1:8" hidden="1" x14ac:dyDescent="0.3">
      <c r="A778" t="s">
        <v>124</v>
      </c>
      <c r="B778" s="2">
        <v>45566</v>
      </c>
      <c r="C778" s="10"/>
    </row>
    <row r="779" spans="1:8" hidden="1" x14ac:dyDescent="0.3">
      <c r="A779" t="s">
        <v>124</v>
      </c>
      <c r="B779" s="2">
        <v>45597</v>
      </c>
      <c r="C779" s="10"/>
    </row>
    <row r="780" spans="1:8" hidden="1" x14ac:dyDescent="0.3">
      <c r="A780" t="s">
        <v>124</v>
      </c>
      <c r="B780" s="2">
        <v>45627</v>
      </c>
      <c r="C780" s="10"/>
    </row>
    <row r="781" spans="1:8" hidden="1" x14ac:dyDescent="0.3">
      <c r="A781" t="s">
        <v>124</v>
      </c>
      <c r="B781" s="2">
        <v>45658</v>
      </c>
      <c r="C781" s="10"/>
    </row>
    <row r="782" spans="1:8" ht="43.2" hidden="1" x14ac:dyDescent="0.3">
      <c r="A782" t="s">
        <v>124</v>
      </c>
      <c r="B782" s="2">
        <v>45689</v>
      </c>
      <c r="C782" s="10" t="s">
        <v>515</v>
      </c>
    </row>
    <row r="783" spans="1:8" ht="100.8" hidden="1" x14ac:dyDescent="0.3">
      <c r="A783" t="s">
        <v>124</v>
      </c>
      <c r="B783" s="2">
        <v>45717</v>
      </c>
      <c r="C783" s="10" t="s">
        <v>516</v>
      </c>
    </row>
    <row r="784" spans="1:8" ht="100.8" hidden="1" x14ac:dyDescent="0.3">
      <c r="A784" t="s">
        <v>124</v>
      </c>
      <c r="B784" s="2">
        <v>45748</v>
      </c>
      <c r="C784" s="10" t="s">
        <v>517</v>
      </c>
    </row>
    <row r="785" spans="1:8" ht="115.2" hidden="1" x14ac:dyDescent="0.3">
      <c r="A785" t="s">
        <v>124</v>
      </c>
      <c r="B785" s="2">
        <v>45778</v>
      </c>
      <c r="C785" s="10" t="s">
        <v>518</v>
      </c>
    </row>
    <row r="786" spans="1:8" ht="115.2" hidden="1" x14ac:dyDescent="0.3">
      <c r="A786" t="s">
        <v>124</v>
      </c>
      <c r="B786" s="2">
        <v>45809</v>
      </c>
      <c r="C786" s="10" t="s">
        <v>519</v>
      </c>
    </row>
    <row r="787" spans="1:8" ht="100.8" hidden="1" x14ac:dyDescent="0.3">
      <c r="A787" t="s">
        <v>124</v>
      </c>
      <c r="B787" s="2">
        <v>45839</v>
      </c>
      <c r="C787" s="10" t="s">
        <v>520</v>
      </c>
    </row>
    <row r="788" spans="1:8" ht="100.8" hidden="1" x14ac:dyDescent="0.3">
      <c r="A788" t="s">
        <v>124</v>
      </c>
      <c r="B788" s="2">
        <v>45870</v>
      </c>
      <c r="C788" s="10" t="s">
        <v>521</v>
      </c>
    </row>
    <row r="789" spans="1:8" ht="100.8" hidden="1" x14ac:dyDescent="0.3">
      <c r="A789" t="s">
        <v>124</v>
      </c>
      <c r="B789" s="2">
        <v>45901</v>
      </c>
      <c r="C789" s="10" t="s">
        <v>522</v>
      </c>
    </row>
    <row r="790" spans="1:8" ht="100.8" hidden="1" x14ac:dyDescent="0.3">
      <c r="A790" t="s">
        <v>124</v>
      </c>
      <c r="B790" s="2">
        <v>45931</v>
      </c>
      <c r="C790" s="10" t="s">
        <v>523</v>
      </c>
    </row>
    <row r="791" spans="1:8" ht="100.8" hidden="1" x14ac:dyDescent="0.3">
      <c r="A791" t="s">
        <v>124</v>
      </c>
      <c r="B791" s="2">
        <v>45962</v>
      </c>
      <c r="C791" s="10" t="s">
        <v>524</v>
      </c>
    </row>
    <row r="792" spans="1:8" ht="28.8" hidden="1" x14ac:dyDescent="0.3">
      <c r="A792" t="s">
        <v>124</v>
      </c>
      <c r="B792" s="2">
        <v>45992</v>
      </c>
      <c r="C792" s="10" t="s">
        <v>525</v>
      </c>
    </row>
    <row r="793" spans="1:8" ht="28.8" hidden="1" x14ac:dyDescent="0.3">
      <c r="A793" t="s">
        <v>124</v>
      </c>
      <c r="B793" s="2">
        <v>46023</v>
      </c>
      <c r="C793" s="10" t="s">
        <v>526</v>
      </c>
    </row>
    <row r="794" spans="1:8" hidden="1" x14ac:dyDescent="0.3">
      <c r="A794" t="s">
        <v>124</v>
      </c>
      <c r="B794" s="2">
        <v>46054</v>
      </c>
      <c r="C794" s="10" t="s">
        <v>326</v>
      </c>
    </row>
    <row r="795" spans="1:8" hidden="1" x14ac:dyDescent="0.3">
      <c r="A795" t="s">
        <v>124</v>
      </c>
      <c r="B795" s="2">
        <v>46082</v>
      </c>
      <c r="C795" s="10" t="s">
        <v>326</v>
      </c>
    </row>
    <row r="796" spans="1:8" ht="28.8" hidden="1" x14ac:dyDescent="0.3">
      <c r="A796" t="s">
        <v>124</v>
      </c>
      <c r="B796" s="2">
        <v>46113</v>
      </c>
      <c r="C796" s="10" t="s">
        <v>527</v>
      </c>
    </row>
    <row r="797" spans="1:8" hidden="1" x14ac:dyDescent="0.3">
      <c r="A797" t="s">
        <v>124</v>
      </c>
      <c r="B797" s="2">
        <v>46143</v>
      </c>
      <c r="C797" s="10" t="s">
        <v>302</v>
      </c>
    </row>
    <row r="798" spans="1:8" hidden="1" x14ac:dyDescent="0.3">
      <c r="A798" t="s">
        <v>124</v>
      </c>
      <c r="B798" s="2">
        <v>46235</v>
      </c>
      <c r="C798" t="s">
        <v>896</v>
      </c>
      <c r="D798">
        <v>0</v>
      </c>
      <c r="E798" t="s">
        <v>33</v>
      </c>
      <c r="F798" t="s">
        <v>33</v>
      </c>
      <c r="G798" t="s">
        <v>338</v>
      </c>
      <c r="H798" t="s">
        <v>36</v>
      </c>
    </row>
    <row r="799" spans="1:8" ht="57.6" hidden="1" customHeight="1" x14ac:dyDescent="0.3">
      <c r="A799" t="s">
        <v>124</v>
      </c>
      <c r="B799" s="2">
        <v>46174</v>
      </c>
      <c r="C799" s="10"/>
    </row>
    <row r="800" spans="1:8" ht="100.95" hidden="1" customHeight="1" x14ac:dyDescent="0.3">
      <c r="A800" t="s">
        <v>124</v>
      </c>
      <c r="B800" s="2">
        <v>46204</v>
      </c>
      <c r="C800" s="10">
        <v>31</v>
      </c>
      <c r="D800">
        <v>0</v>
      </c>
      <c r="E800" t="s">
        <v>33</v>
      </c>
      <c r="F800" t="s">
        <v>33</v>
      </c>
      <c r="G800" t="s">
        <v>1014</v>
      </c>
      <c r="H800" t="s">
        <v>36</v>
      </c>
    </row>
    <row r="801" spans="1:8" ht="72" hidden="1" customHeight="1" x14ac:dyDescent="0.3">
      <c r="A801" t="s">
        <v>127</v>
      </c>
      <c r="B801" s="2">
        <v>45536</v>
      </c>
      <c r="C801" s="10"/>
    </row>
    <row r="802" spans="1:8" ht="72" hidden="1" customHeight="1" x14ac:dyDescent="0.3">
      <c r="A802" t="s">
        <v>127</v>
      </c>
      <c r="B802" s="2">
        <v>45566</v>
      </c>
      <c r="C802" s="10"/>
    </row>
    <row r="803" spans="1:8" ht="57.6" hidden="1" customHeight="1" x14ac:dyDescent="0.3">
      <c r="A803" t="s">
        <v>127</v>
      </c>
      <c r="B803" s="2">
        <v>45597</v>
      </c>
      <c r="C803" s="10"/>
    </row>
    <row r="804" spans="1:8" hidden="1" x14ac:dyDescent="0.3">
      <c r="A804" t="s">
        <v>127</v>
      </c>
      <c r="B804" s="2">
        <v>45627</v>
      </c>
      <c r="C804" s="10"/>
    </row>
    <row r="805" spans="1:8" hidden="1" x14ac:dyDescent="0.3">
      <c r="A805" t="s">
        <v>127</v>
      </c>
      <c r="B805" s="2">
        <v>45658</v>
      </c>
      <c r="C805" s="10"/>
    </row>
    <row r="806" spans="1:8" ht="72" hidden="1" x14ac:dyDescent="0.3">
      <c r="A806" t="s">
        <v>127</v>
      </c>
      <c r="B806" s="2">
        <v>45689</v>
      </c>
      <c r="C806" s="10" t="s">
        <v>528</v>
      </c>
    </row>
    <row r="807" spans="1:8" hidden="1" x14ac:dyDescent="0.3">
      <c r="A807" t="s">
        <v>127</v>
      </c>
      <c r="B807" s="2">
        <v>45717</v>
      </c>
      <c r="C807" s="10" t="s">
        <v>529</v>
      </c>
    </row>
    <row r="808" spans="1:8" ht="28.8" hidden="1" x14ac:dyDescent="0.3">
      <c r="A808" t="s">
        <v>127</v>
      </c>
      <c r="B808" s="2">
        <v>45748</v>
      </c>
      <c r="C808" s="10" t="s">
        <v>530</v>
      </c>
    </row>
    <row r="809" spans="1:8" hidden="1" x14ac:dyDescent="0.3">
      <c r="A809" t="s">
        <v>127</v>
      </c>
      <c r="B809" s="2">
        <v>45778</v>
      </c>
      <c r="C809" s="10" t="s">
        <v>531</v>
      </c>
    </row>
    <row r="810" spans="1:8" hidden="1" x14ac:dyDescent="0.3">
      <c r="A810" t="s">
        <v>127</v>
      </c>
      <c r="B810" s="2">
        <v>45809</v>
      </c>
      <c r="C810" s="10" t="s">
        <v>531</v>
      </c>
    </row>
    <row r="811" spans="1:8" ht="28.8" hidden="1" x14ac:dyDescent="0.3">
      <c r="A811" t="s">
        <v>127</v>
      </c>
      <c r="B811" s="2">
        <v>45839</v>
      </c>
      <c r="C811" t="s">
        <v>911</v>
      </c>
      <c r="D811">
        <v>0</v>
      </c>
      <c r="E811" t="s">
        <v>33</v>
      </c>
      <c r="F811" t="s">
        <v>974</v>
      </c>
      <c r="G811" s="10" t="s">
        <v>932</v>
      </c>
      <c r="H811" s="10" t="s">
        <v>531</v>
      </c>
    </row>
    <row r="812" spans="1:8" ht="28.8" hidden="1" x14ac:dyDescent="0.3">
      <c r="A812" t="s">
        <v>127</v>
      </c>
      <c r="B812" s="2">
        <v>45870</v>
      </c>
      <c r="C812" t="s">
        <v>911</v>
      </c>
      <c r="D812">
        <v>0</v>
      </c>
      <c r="E812" t="s">
        <v>33</v>
      </c>
      <c r="F812" t="s">
        <v>974</v>
      </c>
      <c r="G812" s="10" t="s">
        <v>973</v>
      </c>
      <c r="H812" s="10" t="s">
        <v>531</v>
      </c>
    </row>
    <row r="813" spans="1:8" ht="28.8" hidden="1" x14ac:dyDescent="0.3">
      <c r="A813" t="s">
        <v>127</v>
      </c>
      <c r="B813" s="2">
        <v>45901</v>
      </c>
      <c r="C813" t="s">
        <v>919</v>
      </c>
      <c r="D813">
        <v>0</v>
      </c>
      <c r="E813" t="s">
        <v>33</v>
      </c>
      <c r="F813" t="s">
        <v>974</v>
      </c>
      <c r="G813" s="10" t="s">
        <v>932</v>
      </c>
      <c r="H813" s="10" t="s">
        <v>531</v>
      </c>
    </row>
    <row r="814" spans="1:8" hidden="1" x14ac:dyDescent="0.3">
      <c r="A814" t="s">
        <v>127</v>
      </c>
      <c r="B814" s="2">
        <v>45931</v>
      </c>
      <c r="C814" t="s">
        <v>911</v>
      </c>
      <c r="D814">
        <v>0</v>
      </c>
      <c r="E814" t="s">
        <v>33</v>
      </c>
      <c r="F814" t="s">
        <v>33</v>
      </c>
      <c r="G814" s="10" t="s">
        <v>973</v>
      </c>
      <c r="H814" t="s">
        <v>36</v>
      </c>
    </row>
    <row r="815" spans="1:8" hidden="1" x14ac:dyDescent="0.3">
      <c r="A815" t="s">
        <v>127</v>
      </c>
      <c r="B815" s="2">
        <v>45962</v>
      </c>
      <c r="C815" t="s">
        <v>919</v>
      </c>
      <c r="D815">
        <v>0</v>
      </c>
      <c r="E815" t="s">
        <v>33</v>
      </c>
      <c r="F815" t="s">
        <v>33</v>
      </c>
      <c r="G815" s="10" t="s">
        <v>973</v>
      </c>
      <c r="H815" t="s">
        <v>36</v>
      </c>
    </row>
    <row r="816" spans="1:8" hidden="1" x14ac:dyDescent="0.3">
      <c r="A816" t="s">
        <v>127</v>
      </c>
      <c r="B816" s="2">
        <v>45992</v>
      </c>
      <c r="C816" t="s">
        <v>911</v>
      </c>
      <c r="D816">
        <v>0</v>
      </c>
      <c r="E816" t="s">
        <v>33</v>
      </c>
      <c r="F816" t="s">
        <v>33</v>
      </c>
      <c r="G816" s="10" t="s">
        <v>973</v>
      </c>
      <c r="H816" t="s">
        <v>36</v>
      </c>
    </row>
    <row r="817" spans="1:8" hidden="1" x14ac:dyDescent="0.3">
      <c r="A817" t="s">
        <v>127</v>
      </c>
      <c r="B817" s="2">
        <v>46023</v>
      </c>
      <c r="C817" t="s">
        <v>911</v>
      </c>
      <c r="D817">
        <v>0</v>
      </c>
      <c r="E817" t="s">
        <v>33</v>
      </c>
      <c r="F817" t="s">
        <v>33</v>
      </c>
      <c r="G817" s="10" t="s">
        <v>932</v>
      </c>
      <c r="H817" t="s">
        <v>36</v>
      </c>
    </row>
    <row r="818" spans="1:8" hidden="1" x14ac:dyDescent="0.3">
      <c r="A818" t="s">
        <v>127</v>
      </c>
      <c r="B818" s="2">
        <v>46054</v>
      </c>
      <c r="C818" t="s">
        <v>895</v>
      </c>
      <c r="D818">
        <v>0</v>
      </c>
      <c r="E818" t="s">
        <v>33</v>
      </c>
      <c r="F818" t="s">
        <v>33</v>
      </c>
      <c r="G818" s="10" t="s">
        <v>326</v>
      </c>
      <c r="H818" t="s">
        <v>36</v>
      </c>
    </row>
    <row r="819" spans="1:8" hidden="1" x14ac:dyDescent="0.3">
      <c r="A819" t="s">
        <v>127</v>
      </c>
      <c r="B819" s="2">
        <v>46082</v>
      </c>
      <c r="C819" t="s">
        <v>911</v>
      </c>
      <c r="D819">
        <v>0</v>
      </c>
      <c r="E819" t="s">
        <v>33</v>
      </c>
      <c r="F819" t="s">
        <v>33</v>
      </c>
      <c r="G819" s="44" t="s">
        <v>932</v>
      </c>
      <c r="H819" t="s">
        <v>36</v>
      </c>
    </row>
    <row r="820" spans="1:8" hidden="1" x14ac:dyDescent="0.3">
      <c r="A820" t="s">
        <v>127</v>
      </c>
      <c r="B820" s="2">
        <v>46113</v>
      </c>
      <c r="C820" t="s">
        <v>919</v>
      </c>
      <c r="D820">
        <v>0</v>
      </c>
      <c r="E820" t="s">
        <v>33</v>
      </c>
      <c r="F820" t="s">
        <v>33</v>
      </c>
      <c r="G820" s="10" t="s">
        <v>932</v>
      </c>
      <c r="H820" t="s">
        <v>36</v>
      </c>
    </row>
    <row r="821" spans="1:8" hidden="1" x14ac:dyDescent="0.3">
      <c r="A821" t="s">
        <v>127</v>
      </c>
      <c r="B821" s="2">
        <v>46143</v>
      </c>
      <c r="C821" t="s">
        <v>911</v>
      </c>
      <c r="D821">
        <v>0</v>
      </c>
      <c r="E821" t="s">
        <v>33</v>
      </c>
      <c r="F821" t="s">
        <v>33</v>
      </c>
      <c r="G821" s="10" t="s">
        <v>973</v>
      </c>
      <c r="H821" t="s">
        <v>36</v>
      </c>
    </row>
    <row r="822" spans="1:8" hidden="1" x14ac:dyDescent="0.3">
      <c r="A822" t="s">
        <v>127</v>
      </c>
      <c r="B822" s="2">
        <v>46235</v>
      </c>
      <c r="C822" t="s">
        <v>896</v>
      </c>
      <c r="D822">
        <v>0</v>
      </c>
      <c r="E822" t="s">
        <v>33</v>
      </c>
      <c r="F822" t="s">
        <v>33</v>
      </c>
      <c r="G822" t="s">
        <v>338</v>
      </c>
      <c r="H822" t="s">
        <v>36</v>
      </c>
    </row>
    <row r="823" spans="1:8" ht="28.95" hidden="1" customHeight="1" x14ac:dyDescent="0.3">
      <c r="A823" t="s">
        <v>127</v>
      </c>
      <c r="B823" s="2">
        <v>46174</v>
      </c>
      <c r="C823" t="s">
        <v>919</v>
      </c>
      <c r="D823">
        <v>0</v>
      </c>
      <c r="E823" t="s">
        <v>33</v>
      </c>
      <c r="F823" t="s">
        <v>33</v>
      </c>
      <c r="G823" s="10" t="s">
        <v>996</v>
      </c>
      <c r="H823" t="s">
        <v>36</v>
      </c>
    </row>
    <row r="824" spans="1:8" ht="57.6" hidden="1" customHeight="1" x14ac:dyDescent="0.3">
      <c r="A824" t="s">
        <v>127</v>
      </c>
      <c r="B824" s="2">
        <v>46204</v>
      </c>
      <c r="C824" s="10">
        <v>31</v>
      </c>
      <c r="D824">
        <v>0</v>
      </c>
      <c r="E824" t="s">
        <v>33</v>
      </c>
      <c r="F824" t="s">
        <v>1036</v>
      </c>
      <c r="G824" t="s">
        <v>1035</v>
      </c>
      <c r="H824" t="s">
        <v>36</v>
      </c>
    </row>
    <row r="825" spans="1:8" ht="57.6" hidden="1" customHeight="1" x14ac:dyDescent="0.3">
      <c r="A825" t="s">
        <v>234</v>
      </c>
      <c r="B825" s="2">
        <v>45536</v>
      </c>
      <c r="C825" s="10"/>
    </row>
    <row r="826" spans="1:8" ht="57.6" hidden="1" customHeight="1" x14ac:dyDescent="0.3">
      <c r="A826" t="s">
        <v>234</v>
      </c>
      <c r="B826" s="2">
        <v>45566</v>
      </c>
      <c r="C826" s="10"/>
    </row>
    <row r="827" spans="1:8" ht="57.6" hidden="1" customHeight="1" x14ac:dyDescent="0.3">
      <c r="A827" t="s">
        <v>234</v>
      </c>
      <c r="B827" s="2">
        <v>45597</v>
      </c>
      <c r="C827" s="10"/>
    </row>
    <row r="828" spans="1:8" ht="57.6" hidden="1" customHeight="1" x14ac:dyDescent="0.3">
      <c r="A828" t="s">
        <v>234</v>
      </c>
      <c r="B828" s="2">
        <v>45627</v>
      </c>
      <c r="C828" s="10"/>
    </row>
    <row r="829" spans="1:8" ht="57.6" hidden="1" customHeight="1" x14ac:dyDescent="0.3">
      <c r="A829" t="s">
        <v>234</v>
      </c>
      <c r="B829" s="2">
        <v>45658</v>
      </c>
      <c r="C829" s="10"/>
    </row>
    <row r="830" spans="1:8" ht="57.6" hidden="1" customHeight="1" x14ac:dyDescent="0.3">
      <c r="A830" t="s">
        <v>234</v>
      </c>
      <c r="B830" s="2">
        <v>45689</v>
      </c>
      <c r="C830" s="10"/>
    </row>
    <row r="831" spans="1:8" ht="57.6" hidden="1" customHeight="1" x14ac:dyDescent="0.3">
      <c r="A831" t="s">
        <v>234</v>
      </c>
      <c r="B831" s="2">
        <v>45717</v>
      </c>
      <c r="C831" s="10"/>
    </row>
    <row r="832" spans="1:8" ht="57.6" hidden="1" customHeight="1" x14ac:dyDescent="0.3">
      <c r="A832" t="s">
        <v>234</v>
      </c>
      <c r="B832" s="2">
        <v>45748</v>
      </c>
      <c r="C832" s="10"/>
    </row>
    <row r="833" spans="1:8" hidden="1" x14ac:dyDescent="0.3">
      <c r="A833" t="s">
        <v>234</v>
      </c>
      <c r="B833" s="2">
        <v>45778</v>
      </c>
      <c r="C833" s="10"/>
    </row>
    <row r="834" spans="1:8" hidden="1" x14ac:dyDescent="0.3">
      <c r="A834" t="s">
        <v>234</v>
      </c>
      <c r="B834" s="2">
        <v>45809</v>
      </c>
      <c r="C834" s="10"/>
    </row>
    <row r="835" spans="1:8" hidden="1" x14ac:dyDescent="0.3">
      <c r="A835" t="s">
        <v>234</v>
      </c>
      <c r="B835" s="2">
        <v>45839</v>
      </c>
      <c r="C835" s="10"/>
    </row>
    <row r="836" spans="1:8" hidden="1" x14ac:dyDescent="0.3">
      <c r="A836" t="s">
        <v>234</v>
      </c>
      <c r="B836" s="2">
        <v>45870</v>
      </c>
      <c r="C836" s="10"/>
    </row>
    <row r="837" spans="1:8" hidden="1" x14ac:dyDescent="0.3">
      <c r="A837" t="s">
        <v>234</v>
      </c>
      <c r="B837" s="2">
        <v>45901</v>
      </c>
      <c r="C837" s="10"/>
    </row>
    <row r="838" spans="1:8" hidden="1" x14ac:dyDescent="0.3">
      <c r="A838" t="s">
        <v>234</v>
      </c>
      <c r="B838" s="2">
        <v>45931</v>
      </c>
      <c r="C838" s="10"/>
    </row>
    <row r="839" spans="1:8" hidden="1" x14ac:dyDescent="0.3">
      <c r="A839" t="s">
        <v>234</v>
      </c>
      <c r="B839" s="2">
        <v>45962</v>
      </c>
      <c r="C839" s="10"/>
    </row>
    <row r="840" spans="1:8" hidden="1" x14ac:dyDescent="0.3">
      <c r="A840" t="s">
        <v>234</v>
      </c>
      <c r="B840" s="2">
        <v>45992</v>
      </c>
      <c r="C840" s="10" t="s">
        <v>533</v>
      </c>
    </row>
    <row r="841" spans="1:8" hidden="1" x14ac:dyDescent="0.3">
      <c r="A841" t="s">
        <v>234</v>
      </c>
      <c r="B841" s="2">
        <v>46023</v>
      </c>
      <c r="C841" s="10" t="s">
        <v>533</v>
      </c>
    </row>
    <row r="842" spans="1:8" hidden="1" x14ac:dyDescent="0.3">
      <c r="A842" t="s">
        <v>234</v>
      </c>
      <c r="B842" s="2">
        <v>46054</v>
      </c>
      <c r="C842" s="10" t="s">
        <v>326</v>
      </c>
    </row>
    <row r="843" spans="1:8" hidden="1" x14ac:dyDescent="0.3">
      <c r="A843" t="s">
        <v>234</v>
      </c>
      <c r="B843" s="2">
        <v>46082</v>
      </c>
      <c r="C843" s="10" t="s">
        <v>326</v>
      </c>
    </row>
    <row r="844" spans="1:8" hidden="1" x14ac:dyDescent="0.3">
      <c r="A844" t="s">
        <v>234</v>
      </c>
      <c r="B844" s="2">
        <v>46113</v>
      </c>
      <c r="C844" s="10" t="s">
        <v>302</v>
      </c>
    </row>
    <row r="845" spans="1:8" hidden="1" x14ac:dyDescent="0.3">
      <c r="A845" t="s">
        <v>234</v>
      </c>
      <c r="B845" s="2">
        <v>46143</v>
      </c>
      <c r="C845" s="10" t="s">
        <v>302</v>
      </c>
    </row>
    <row r="846" spans="1:8" hidden="1" x14ac:dyDescent="0.3">
      <c r="A846" t="s">
        <v>234</v>
      </c>
      <c r="B846" s="2">
        <v>46235</v>
      </c>
      <c r="C846" t="s">
        <v>896</v>
      </c>
      <c r="D846">
        <v>0</v>
      </c>
      <c r="E846" t="s">
        <v>33</v>
      </c>
      <c r="F846" t="s">
        <v>33</v>
      </c>
      <c r="G846" t="s">
        <v>338</v>
      </c>
      <c r="H846" t="s">
        <v>36</v>
      </c>
    </row>
    <row r="847" spans="1:8" ht="43.2" hidden="1" customHeight="1" x14ac:dyDescent="0.3">
      <c r="A847" t="s">
        <v>234</v>
      </c>
      <c r="B847" s="2">
        <v>46174</v>
      </c>
      <c r="C847" s="10">
        <v>31</v>
      </c>
      <c r="D847">
        <v>0</v>
      </c>
      <c r="E847" t="s">
        <v>33</v>
      </c>
      <c r="F847" t="s">
        <v>33</v>
      </c>
      <c r="G847" t="s">
        <v>1014</v>
      </c>
      <c r="H847" t="s">
        <v>36</v>
      </c>
    </row>
    <row r="848" spans="1:8" hidden="1" x14ac:dyDescent="0.3">
      <c r="A848" t="s">
        <v>234</v>
      </c>
      <c r="B848" s="2">
        <v>46204</v>
      </c>
      <c r="C848" s="10">
        <v>31</v>
      </c>
      <c r="D848">
        <v>0</v>
      </c>
      <c r="E848" t="s">
        <v>33</v>
      </c>
      <c r="F848" t="s">
        <v>33</v>
      </c>
      <c r="G848" t="s">
        <v>1014</v>
      </c>
      <c r="H848" t="s">
        <v>36</v>
      </c>
    </row>
    <row r="849" spans="1:8" hidden="1" x14ac:dyDescent="0.3">
      <c r="A849" t="s">
        <v>131</v>
      </c>
      <c r="B849" s="2">
        <v>45536</v>
      </c>
      <c r="C849" s="10"/>
    </row>
    <row r="850" spans="1:8" hidden="1" x14ac:dyDescent="0.3">
      <c r="A850" t="s">
        <v>131</v>
      </c>
      <c r="B850" s="2">
        <v>45566</v>
      </c>
      <c r="C850" s="10"/>
    </row>
    <row r="851" spans="1:8" hidden="1" x14ac:dyDescent="0.3">
      <c r="A851" t="s">
        <v>131</v>
      </c>
      <c r="B851" s="2">
        <v>45597</v>
      </c>
      <c r="C851" s="10"/>
    </row>
    <row r="852" spans="1:8" hidden="1" x14ac:dyDescent="0.3">
      <c r="A852" t="s">
        <v>131</v>
      </c>
      <c r="B852" s="2">
        <v>45627</v>
      </c>
      <c r="C852" s="10"/>
    </row>
    <row r="853" spans="1:8" hidden="1" x14ac:dyDescent="0.3">
      <c r="A853" t="s">
        <v>131</v>
      </c>
      <c r="B853" s="2">
        <v>45658</v>
      </c>
      <c r="C853" s="10"/>
    </row>
    <row r="854" spans="1:8" ht="100.8" hidden="1" x14ac:dyDescent="0.3">
      <c r="A854" t="s">
        <v>131</v>
      </c>
      <c r="B854" s="2">
        <v>45689</v>
      </c>
      <c r="C854" s="10" t="s">
        <v>534</v>
      </c>
    </row>
    <row r="855" spans="1:8" ht="187.2" hidden="1" x14ac:dyDescent="0.3">
      <c r="A855" t="s">
        <v>131</v>
      </c>
      <c r="B855" s="2">
        <v>45717</v>
      </c>
      <c r="C855" s="10" t="s">
        <v>535</v>
      </c>
    </row>
    <row r="856" spans="1:8" ht="115.2" hidden="1" x14ac:dyDescent="0.3">
      <c r="A856" t="s">
        <v>131</v>
      </c>
      <c r="B856" s="2">
        <v>45748</v>
      </c>
      <c r="C856" s="10" t="s">
        <v>536</v>
      </c>
    </row>
    <row r="857" spans="1:8" ht="129.6" hidden="1" x14ac:dyDescent="0.3">
      <c r="A857" t="s">
        <v>131</v>
      </c>
      <c r="B857" s="2">
        <v>45778</v>
      </c>
      <c r="C857" s="10" t="s">
        <v>537</v>
      </c>
    </row>
    <row r="858" spans="1:8" ht="100.8" hidden="1" x14ac:dyDescent="0.3">
      <c r="A858" t="s">
        <v>131</v>
      </c>
      <c r="B858" s="2">
        <v>45809</v>
      </c>
      <c r="C858" s="10" t="s">
        <v>538</v>
      </c>
    </row>
    <row r="859" spans="1:8" hidden="1" x14ac:dyDescent="0.3">
      <c r="A859" t="s">
        <v>131</v>
      </c>
      <c r="B859" s="2">
        <v>45839</v>
      </c>
      <c r="C859" t="s">
        <v>911</v>
      </c>
      <c r="D859">
        <v>0</v>
      </c>
      <c r="E859" t="s">
        <v>33</v>
      </c>
      <c r="F859" t="s">
        <v>33</v>
      </c>
      <c r="G859" s="10" t="s">
        <v>338</v>
      </c>
      <c r="H859" t="s">
        <v>36</v>
      </c>
    </row>
    <row r="860" spans="1:8" hidden="1" x14ac:dyDescent="0.3">
      <c r="A860" t="s">
        <v>131</v>
      </c>
      <c r="B860" s="2">
        <v>45870</v>
      </c>
      <c r="C860" t="s">
        <v>911</v>
      </c>
      <c r="D860">
        <v>0</v>
      </c>
      <c r="E860" t="s">
        <v>33</v>
      </c>
      <c r="F860" t="s">
        <v>33</v>
      </c>
      <c r="G860" s="10" t="s">
        <v>338</v>
      </c>
      <c r="H860" t="s">
        <v>36</v>
      </c>
    </row>
    <row r="861" spans="1:8" hidden="1" x14ac:dyDescent="0.3">
      <c r="A861" t="s">
        <v>131</v>
      </c>
      <c r="B861" s="2">
        <v>45901</v>
      </c>
      <c r="C861" t="s">
        <v>919</v>
      </c>
      <c r="D861">
        <v>0</v>
      </c>
      <c r="E861" t="s">
        <v>33</v>
      </c>
      <c r="F861" t="s">
        <v>33</v>
      </c>
      <c r="G861" s="10" t="s">
        <v>338</v>
      </c>
      <c r="H861" t="s">
        <v>36</v>
      </c>
    </row>
    <row r="862" spans="1:8" hidden="1" x14ac:dyDescent="0.3">
      <c r="A862" t="s">
        <v>131</v>
      </c>
      <c r="B862" s="2">
        <v>45931</v>
      </c>
      <c r="C862" t="s">
        <v>911</v>
      </c>
      <c r="D862">
        <v>0</v>
      </c>
      <c r="E862" t="s">
        <v>33</v>
      </c>
      <c r="F862" t="s">
        <v>33</v>
      </c>
      <c r="G862" s="10" t="s">
        <v>338</v>
      </c>
      <c r="H862" t="s">
        <v>36</v>
      </c>
    </row>
    <row r="863" spans="1:8" hidden="1" x14ac:dyDescent="0.3">
      <c r="A863" t="s">
        <v>131</v>
      </c>
      <c r="B863" s="2">
        <v>45962</v>
      </c>
      <c r="C863" t="s">
        <v>919</v>
      </c>
      <c r="D863">
        <v>0</v>
      </c>
      <c r="E863" t="s">
        <v>33</v>
      </c>
      <c r="F863" t="s">
        <v>33</v>
      </c>
      <c r="G863" s="10" t="s">
        <v>338</v>
      </c>
      <c r="H863" t="s">
        <v>36</v>
      </c>
    </row>
    <row r="864" spans="1:8" hidden="1" x14ac:dyDescent="0.3">
      <c r="A864" t="s">
        <v>131</v>
      </c>
      <c r="B864" s="2">
        <v>45992</v>
      </c>
      <c r="C864" t="s">
        <v>911</v>
      </c>
      <c r="D864">
        <v>0</v>
      </c>
      <c r="E864" t="s">
        <v>33</v>
      </c>
      <c r="F864" t="s">
        <v>33</v>
      </c>
      <c r="G864" s="10" t="s">
        <v>338</v>
      </c>
      <c r="H864" t="s">
        <v>36</v>
      </c>
    </row>
    <row r="865" spans="1:8" hidden="1" x14ac:dyDescent="0.3">
      <c r="A865" t="s">
        <v>131</v>
      </c>
      <c r="B865" s="2">
        <v>46023</v>
      </c>
      <c r="C865" t="s">
        <v>911</v>
      </c>
      <c r="D865">
        <v>0</v>
      </c>
      <c r="E865" t="s">
        <v>33</v>
      </c>
      <c r="F865" t="s">
        <v>33</v>
      </c>
      <c r="G865" s="10" t="s">
        <v>338</v>
      </c>
      <c r="H865" t="s">
        <v>36</v>
      </c>
    </row>
    <row r="866" spans="1:8" hidden="1" x14ac:dyDescent="0.3">
      <c r="A866" t="s">
        <v>131</v>
      </c>
      <c r="B866" s="2">
        <v>46054</v>
      </c>
      <c r="C866" t="s">
        <v>895</v>
      </c>
      <c r="D866">
        <v>0</v>
      </c>
      <c r="E866" t="s">
        <v>33</v>
      </c>
      <c r="F866" t="s">
        <v>33</v>
      </c>
      <c r="G866" s="10" t="s">
        <v>338</v>
      </c>
      <c r="H866" t="s">
        <v>36</v>
      </c>
    </row>
    <row r="867" spans="1:8" hidden="1" x14ac:dyDescent="0.3">
      <c r="A867" t="s">
        <v>131</v>
      </c>
      <c r="B867" s="2">
        <v>46082</v>
      </c>
      <c r="C867" t="s">
        <v>911</v>
      </c>
      <c r="D867">
        <v>0</v>
      </c>
      <c r="E867" t="s">
        <v>33</v>
      </c>
      <c r="F867" t="s">
        <v>33</v>
      </c>
      <c r="G867" s="10" t="s">
        <v>338</v>
      </c>
      <c r="H867" t="s">
        <v>36</v>
      </c>
    </row>
    <row r="868" spans="1:8" hidden="1" x14ac:dyDescent="0.3">
      <c r="A868" t="s">
        <v>131</v>
      </c>
      <c r="B868" s="2">
        <v>46113</v>
      </c>
      <c r="C868" t="s">
        <v>919</v>
      </c>
      <c r="D868">
        <v>0</v>
      </c>
      <c r="E868" t="s">
        <v>33</v>
      </c>
      <c r="F868" t="s">
        <v>33</v>
      </c>
      <c r="G868" s="10" t="s">
        <v>338</v>
      </c>
      <c r="H868" t="s">
        <v>36</v>
      </c>
    </row>
    <row r="869" spans="1:8" hidden="1" x14ac:dyDescent="0.3">
      <c r="A869" t="s">
        <v>131</v>
      </c>
      <c r="B869" s="2">
        <v>46143</v>
      </c>
      <c r="C869" t="s">
        <v>911</v>
      </c>
      <c r="D869">
        <v>0</v>
      </c>
      <c r="E869" t="s">
        <v>33</v>
      </c>
      <c r="F869" t="s">
        <v>33</v>
      </c>
      <c r="G869" s="10" t="s">
        <v>338</v>
      </c>
      <c r="H869" t="s">
        <v>36</v>
      </c>
    </row>
    <row r="870" spans="1:8" hidden="1" x14ac:dyDescent="0.3">
      <c r="A870" t="s">
        <v>131</v>
      </c>
      <c r="B870" s="2">
        <v>46235</v>
      </c>
      <c r="C870" t="s">
        <v>896</v>
      </c>
      <c r="D870">
        <v>0</v>
      </c>
      <c r="E870" t="s">
        <v>33</v>
      </c>
      <c r="F870" t="s">
        <v>33</v>
      </c>
      <c r="G870" t="s">
        <v>338</v>
      </c>
      <c r="H870" t="s">
        <v>36</v>
      </c>
    </row>
    <row r="871" spans="1:8" hidden="1" x14ac:dyDescent="0.3">
      <c r="A871" t="s">
        <v>131</v>
      </c>
      <c r="B871" s="2">
        <v>46174</v>
      </c>
      <c r="C871" t="s">
        <v>919</v>
      </c>
      <c r="D871">
        <v>0</v>
      </c>
      <c r="E871" t="s">
        <v>33</v>
      </c>
      <c r="F871" t="s">
        <v>33</v>
      </c>
      <c r="G871" s="10" t="s">
        <v>338</v>
      </c>
      <c r="H871" t="s">
        <v>36</v>
      </c>
    </row>
    <row r="872" spans="1:8" hidden="1" x14ac:dyDescent="0.3">
      <c r="A872" t="s">
        <v>131</v>
      </c>
      <c r="B872" s="2">
        <v>46204</v>
      </c>
      <c r="C872" s="10">
        <v>31</v>
      </c>
      <c r="D872">
        <v>0</v>
      </c>
      <c r="E872" t="s">
        <v>33</v>
      </c>
      <c r="F872" t="s">
        <v>33</v>
      </c>
      <c r="G872" t="s">
        <v>1014</v>
      </c>
      <c r="H872" t="s">
        <v>36</v>
      </c>
    </row>
    <row r="873" spans="1:8" hidden="1" x14ac:dyDescent="0.3">
      <c r="A873" t="s">
        <v>134</v>
      </c>
      <c r="B873" s="2">
        <v>45536</v>
      </c>
      <c r="C873" s="10"/>
    </row>
    <row r="874" spans="1:8" hidden="1" x14ac:dyDescent="0.3">
      <c r="A874" t="s">
        <v>134</v>
      </c>
      <c r="B874" s="2">
        <v>45566</v>
      </c>
      <c r="C874" s="10"/>
    </row>
    <row r="875" spans="1:8" hidden="1" x14ac:dyDescent="0.3">
      <c r="A875" t="s">
        <v>134</v>
      </c>
      <c r="B875" s="2">
        <v>45597</v>
      </c>
      <c r="C875" s="10"/>
    </row>
    <row r="876" spans="1:8" hidden="1" x14ac:dyDescent="0.3">
      <c r="A876" t="s">
        <v>134</v>
      </c>
      <c r="B876" s="2">
        <v>45627</v>
      </c>
      <c r="C876" s="10"/>
    </row>
    <row r="877" spans="1:8" hidden="1" x14ac:dyDescent="0.3">
      <c r="A877" t="s">
        <v>134</v>
      </c>
      <c r="B877" s="2">
        <v>45658</v>
      </c>
      <c r="C877" s="10"/>
    </row>
    <row r="878" spans="1:8" ht="43.2" hidden="1" x14ac:dyDescent="0.3">
      <c r="A878" t="s">
        <v>134</v>
      </c>
      <c r="B878" s="2">
        <v>45689</v>
      </c>
      <c r="C878" s="10" t="s">
        <v>539</v>
      </c>
    </row>
    <row r="879" spans="1:8" ht="28.95" hidden="1" customHeight="1" x14ac:dyDescent="0.3">
      <c r="A879" t="s">
        <v>134</v>
      </c>
      <c r="B879" s="2">
        <v>45717</v>
      </c>
      <c r="C879" s="10" t="s">
        <v>540</v>
      </c>
    </row>
    <row r="880" spans="1:8" ht="43.2" hidden="1" customHeight="1" x14ac:dyDescent="0.3">
      <c r="A880" t="s">
        <v>134</v>
      </c>
      <c r="B880" s="2">
        <v>45748</v>
      </c>
      <c r="C880" s="10" t="s">
        <v>541</v>
      </c>
    </row>
    <row r="881" spans="1:8" ht="115.2" hidden="1" x14ac:dyDescent="0.3">
      <c r="A881" t="s">
        <v>134</v>
      </c>
      <c r="B881" s="2">
        <v>45778</v>
      </c>
      <c r="C881" s="10" t="s">
        <v>542</v>
      </c>
    </row>
    <row r="882" spans="1:8" ht="115.2" hidden="1" x14ac:dyDescent="0.3">
      <c r="A882" t="s">
        <v>134</v>
      </c>
      <c r="B882" s="2">
        <v>45809</v>
      </c>
      <c r="C882" s="10" t="s">
        <v>543</v>
      </c>
    </row>
    <row r="883" spans="1:8" ht="129.6" hidden="1" x14ac:dyDescent="0.3">
      <c r="A883" t="s">
        <v>134</v>
      </c>
      <c r="B883" s="2">
        <v>45839</v>
      </c>
      <c r="C883" s="10" t="s">
        <v>544</v>
      </c>
    </row>
    <row r="884" spans="1:8" ht="115.2" hidden="1" x14ac:dyDescent="0.3">
      <c r="A884" t="s">
        <v>134</v>
      </c>
      <c r="B884" s="2">
        <v>45870</v>
      </c>
      <c r="C884" s="10" t="s">
        <v>545</v>
      </c>
    </row>
    <row r="885" spans="1:8" ht="100.8" hidden="1" x14ac:dyDescent="0.3">
      <c r="A885" t="s">
        <v>134</v>
      </c>
      <c r="B885" s="2">
        <v>45901</v>
      </c>
      <c r="C885" s="10" t="s">
        <v>546</v>
      </c>
    </row>
    <row r="886" spans="1:8" ht="100.8" hidden="1" x14ac:dyDescent="0.3">
      <c r="A886" t="s">
        <v>134</v>
      </c>
      <c r="B886" s="2">
        <v>45931</v>
      </c>
      <c r="C886" s="10" t="s">
        <v>547</v>
      </c>
    </row>
    <row r="887" spans="1:8" ht="100.8" hidden="1" x14ac:dyDescent="0.3">
      <c r="A887" t="s">
        <v>134</v>
      </c>
      <c r="B887" s="2">
        <v>45962</v>
      </c>
      <c r="C887" s="10" t="s">
        <v>548</v>
      </c>
    </row>
    <row r="888" spans="1:8" hidden="1" x14ac:dyDescent="0.3">
      <c r="A888" t="s">
        <v>134</v>
      </c>
      <c r="B888" s="2">
        <v>45992</v>
      </c>
      <c r="C888" s="10" t="s">
        <v>455</v>
      </c>
    </row>
    <row r="889" spans="1:8" hidden="1" x14ac:dyDescent="0.3">
      <c r="A889" t="s">
        <v>134</v>
      </c>
      <c r="B889" s="2">
        <v>46023</v>
      </c>
      <c r="C889" s="10" t="s">
        <v>338</v>
      </c>
    </row>
    <row r="890" spans="1:8" hidden="1" x14ac:dyDescent="0.3">
      <c r="A890" t="s">
        <v>134</v>
      </c>
      <c r="B890" s="2">
        <v>46054</v>
      </c>
      <c r="C890" s="10" t="s">
        <v>326</v>
      </c>
    </row>
    <row r="891" spans="1:8" hidden="1" x14ac:dyDescent="0.3">
      <c r="A891" t="s">
        <v>134</v>
      </c>
      <c r="B891" s="2">
        <v>46082</v>
      </c>
      <c r="C891" s="10" t="s">
        <v>326</v>
      </c>
    </row>
    <row r="892" spans="1:8" hidden="1" x14ac:dyDescent="0.3">
      <c r="A892" t="s">
        <v>134</v>
      </c>
      <c r="B892" s="2">
        <v>46113</v>
      </c>
      <c r="C892" s="10" t="s">
        <v>532</v>
      </c>
    </row>
    <row r="893" spans="1:8" hidden="1" x14ac:dyDescent="0.3">
      <c r="A893" t="s">
        <v>134</v>
      </c>
      <c r="B893" s="2">
        <v>46143</v>
      </c>
      <c r="C893" s="10" t="s">
        <v>302</v>
      </c>
    </row>
    <row r="894" spans="1:8" hidden="1" x14ac:dyDescent="0.3">
      <c r="A894" t="s">
        <v>134</v>
      </c>
      <c r="B894" s="2">
        <v>46235</v>
      </c>
      <c r="C894" t="s">
        <v>896</v>
      </c>
      <c r="D894">
        <v>0</v>
      </c>
      <c r="E894" t="s">
        <v>33</v>
      </c>
      <c r="F894" t="s">
        <v>33</v>
      </c>
      <c r="G894" t="s">
        <v>338</v>
      </c>
      <c r="H894" t="s">
        <v>36</v>
      </c>
    </row>
    <row r="895" spans="1:8" hidden="1" x14ac:dyDescent="0.3">
      <c r="A895" t="s">
        <v>134</v>
      </c>
      <c r="B895" s="2">
        <v>46174</v>
      </c>
      <c r="C895" s="10"/>
    </row>
    <row r="896" spans="1:8" hidden="1" x14ac:dyDescent="0.3">
      <c r="A896" t="s">
        <v>134</v>
      </c>
      <c r="B896" s="2">
        <v>46204</v>
      </c>
      <c r="C896" s="10">
        <v>31</v>
      </c>
      <c r="D896">
        <v>0</v>
      </c>
      <c r="E896" t="s">
        <v>33</v>
      </c>
      <c r="F896" t="s">
        <v>33</v>
      </c>
      <c r="G896" t="s">
        <v>1014</v>
      </c>
      <c r="H896" t="s">
        <v>36</v>
      </c>
    </row>
    <row r="897" spans="1:8" hidden="1" x14ac:dyDescent="0.3">
      <c r="A897" t="s">
        <v>994</v>
      </c>
      <c r="B897" s="2">
        <v>45870</v>
      </c>
      <c r="C897" s="10" t="s">
        <v>911</v>
      </c>
      <c r="D897">
        <v>0</v>
      </c>
      <c r="E897" t="s">
        <v>33</v>
      </c>
      <c r="F897" t="s">
        <v>33</v>
      </c>
      <c r="G897" t="s">
        <v>995</v>
      </c>
      <c r="H897" s="10" t="s">
        <v>36</v>
      </c>
    </row>
    <row r="898" spans="1:8" hidden="1" x14ac:dyDescent="0.3">
      <c r="A898" t="s">
        <v>138</v>
      </c>
      <c r="B898" s="2">
        <v>45536</v>
      </c>
      <c r="C898" s="10"/>
    </row>
    <row r="899" spans="1:8" hidden="1" x14ac:dyDescent="0.3">
      <c r="A899" t="s">
        <v>138</v>
      </c>
      <c r="B899" s="2">
        <v>45566</v>
      </c>
      <c r="C899" s="10"/>
    </row>
    <row r="900" spans="1:8" hidden="1" x14ac:dyDescent="0.3">
      <c r="A900" t="s">
        <v>138</v>
      </c>
      <c r="B900" s="2">
        <v>45597</v>
      </c>
      <c r="C900" s="10"/>
    </row>
    <row r="901" spans="1:8" hidden="1" x14ac:dyDescent="0.3">
      <c r="A901" t="s">
        <v>138</v>
      </c>
      <c r="B901" s="2">
        <v>45627</v>
      </c>
      <c r="C901" s="10"/>
    </row>
    <row r="902" spans="1:8" hidden="1" x14ac:dyDescent="0.3">
      <c r="A902" t="s">
        <v>138</v>
      </c>
      <c r="B902" s="2">
        <v>45658</v>
      </c>
      <c r="C902" s="10"/>
    </row>
    <row r="903" spans="1:8" ht="86.4" hidden="1" x14ac:dyDescent="0.3">
      <c r="A903" t="s">
        <v>138</v>
      </c>
      <c r="B903" s="2">
        <v>45689</v>
      </c>
      <c r="C903" s="10" t="s">
        <v>549</v>
      </c>
    </row>
    <row r="904" spans="1:8" hidden="1" x14ac:dyDescent="0.3">
      <c r="A904" t="s">
        <v>138</v>
      </c>
      <c r="B904" s="2">
        <v>45717</v>
      </c>
      <c r="C904" s="10"/>
    </row>
    <row r="905" spans="1:8" hidden="1" x14ac:dyDescent="0.3">
      <c r="A905" t="s">
        <v>138</v>
      </c>
      <c r="B905" s="2">
        <v>45748</v>
      </c>
      <c r="C905" s="10"/>
    </row>
    <row r="906" spans="1:8" hidden="1" x14ac:dyDescent="0.3">
      <c r="A906" t="s">
        <v>138</v>
      </c>
      <c r="B906" s="2">
        <v>45778</v>
      </c>
      <c r="C906" s="10" t="s">
        <v>550</v>
      </c>
    </row>
    <row r="907" spans="1:8" hidden="1" x14ac:dyDescent="0.3">
      <c r="A907" t="s">
        <v>138</v>
      </c>
      <c r="B907" s="2">
        <v>45809</v>
      </c>
      <c r="C907" s="10" t="s">
        <v>550</v>
      </c>
    </row>
    <row r="908" spans="1:8" hidden="1" x14ac:dyDescent="0.3">
      <c r="A908" t="s">
        <v>138</v>
      </c>
      <c r="B908" s="2">
        <v>45839</v>
      </c>
      <c r="C908" s="10" t="s">
        <v>550</v>
      </c>
    </row>
    <row r="909" spans="1:8" hidden="1" x14ac:dyDescent="0.3">
      <c r="A909" t="s">
        <v>138</v>
      </c>
      <c r="B909" s="2">
        <v>45870</v>
      </c>
      <c r="C909" s="10" t="s">
        <v>550</v>
      </c>
    </row>
    <row r="910" spans="1:8" hidden="1" x14ac:dyDescent="0.3">
      <c r="A910" t="s">
        <v>138</v>
      </c>
      <c r="B910" s="2">
        <v>45901</v>
      </c>
      <c r="C910" s="10" t="s">
        <v>550</v>
      </c>
    </row>
    <row r="911" spans="1:8" hidden="1" x14ac:dyDescent="0.3">
      <c r="A911" t="s">
        <v>138</v>
      </c>
      <c r="B911" s="2">
        <v>45931</v>
      </c>
      <c r="C911" s="10" t="s">
        <v>550</v>
      </c>
    </row>
    <row r="912" spans="1:8" hidden="1" x14ac:dyDescent="0.3">
      <c r="A912" t="s">
        <v>138</v>
      </c>
      <c r="B912" s="2">
        <v>45962</v>
      </c>
      <c r="C912" s="10" t="s">
        <v>550</v>
      </c>
    </row>
    <row r="913" spans="1:8" hidden="1" x14ac:dyDescent="0.3">
      <c r="A913" t="s">
        <v>138</v>
      </c>
      <c r="B913" s="2">
        <v>45992</v>
      </c>
      <c r="C913" s="10" t="s">
        <v>550</v>
      </c>
    </row>
    <row r="914" spans="1:8" hidden="1" x14ac:dyDescent="0.3">
      <c r="A914" t="s">
        <v>138</v>
      </c>
      <c r="B914" s="2">
        <v>46023</v>
      </c>
      <c r="C914" s="10" t="s">
        <v>550</v>
      </c>
    </row>
    <row r="915" spans="1:8" hidden="1" x14ac:dyDescent="0.3">
      <c r="A915" t="s">
        <v>138</v>
      </c>
      <c r="B915" s="2">
        <v>46054</v>
      </c>
      <c r="C915" s="10" t="s">
        <v>326</v>
      </c>
    </row>
    <row r="916" spans="1:8" ht="28.8" hidden="1" x14ac:dyDescent="0.3">
      <c r="A916" t="s">
        <v>138</v>
      </c>
      <c r="B916" s="2">
        <v>46082</v>
      </c>
      <c r="C916" s="10" t="s">
        <v>551</v>
      </c>
    </row>
    <row r="917" spans="1:8" hidden="1" x14ac:dyDescent="0.3">
      <c r="A917" t="s">
        <v>138</v>
      </c>
      <c r="B917" s="2">
        <v>46113</v>
      </c>
      <c r="C917" s="10" t="s">
        <v>552</v>
      </c>
    </row>
    <row r="918" spans="1:8" hidden="1" x14ac:dyDescent="0.3">
      <c r="A918" t="s">
        <v>138</v>
      </c>
      <c r="B918" s="2">
        <v>46143</v>
      </c>
      <c r="C918" s="10" t="s">
        <v>858</v>
      </c>
    </row>
    <row r="919" spans="1:8" hidden="1" x14ac:dyDescent="0.3">
      <c r="A919" t="s">
        <v>138</v>
      </c>
      <c r="B919" s="2">
        <v>46235</v>
      </c>
      <c r="C919" s="10"/>
    </row>
    <row r="920" spans="1:8" ht="28.95" hidden="1" customHeight="1" x14ac:dyDescent="0.3">
      <c r="A920" t="s">
        <v>138</v>
      </c>
      <c r="B920" s="2">
        <v>46174</v>
      </c>
      <c r="C920" s="10"/>
    </row>
    <row r="921" spans="1:8" ht="57.6" hidden="1" customHeight="1" x14ac:dyDescent="0.3">
      <c r="A921" t="s">
        <v>138</v>
      </c>
      <c r="B921" s="2">
        <v>46204</v>
      </c>
      <c r="C921" s="10">
        <v>31</v>
      </c>
      <c r="D921">
        <v>0</v>
      </c>
      <c r="E921" t="s">
        <v>33</v>
      </c>
      <c r="F921" t="s">
        <v>1036</v>
      </c>
      <c r="G921" t="s">
        <v>1035</v>
      </c>
      <c r="H921" t="s">
        <v>36</v>
      </c>
    </row>
    <row r="922" spans="1:8" ht="57.6" hidden="1" customHeight="1" x14ac:dyDescent="0.3">
      <c r="A922" t="s">
        <v>220</v>
      </c>
      <c r="B922" s="2">
        <v>45536</v>
      </c>
      <c r="C922" s="10"/>
    </row>
    <row r="923" spans="1:8" ht="57.6" hidden="1" customHeight="1" x14ac:dyDescent="0.3">
      <c r="A923" t="s">
        <v>220</v>
      </c>
      <c r="B923" s="2">
        <v>45566</v>
      </c>
      <c r="C923" s="10"/>
    </row>
    <row r="924" spans="1:8" hidden="1" x14ac:dyDescent="0.3">
      <c r="A924" t="s">
        <v>220</v>
      </c>
      <c r="B924" s="2">
        <v>45597</v>
      </c>
      <c r="C924" s="10"/>
    </row>
    <row r="925" spans="1:8" ht="57.6" hidden="1" customHeight="1" x14ac:dyDescent="0.3">
      <c r="A925" t="s">
        <v>220</v>
      </c>
      <c r="B925" s="2">
        <v>45627</v>
      </c>
      <c r="C925" s="10"/>
    </row>
    <row r="926" spans="1:8" ht="57.6" hidden="1" customHeight="1" x14ac:dyDescent="0.3">
      <c r="A926" t="s">
        <v>220</v>
      </c>
      <c r="B926" s="2">
        <v>45658</v>
      </c>
      <c r="C926" s="10"/>
    </row>
    <row r="927" spans="1:8" ht="57.6" hidden="1" customHeight="1" x14ac:dyDescent="0.3">
      <c r="A927" t="s">
        <v>220</v>
      </c>
      <c r="B927" s="2">
        <v>45689</v>
      </c>
      <c r="C927" s="10"/>
    </row>
    <row r="928" spans="1:8" ht="57.6" hidden="1" customHeight="1" x14ac:dyDescent="0.3">
      <c r="A928" t="s">
        <v>220</v>
      </c>
      <c r="B928" s="2">
        <v>45717</v>
      </c>
      <c r="C928" s="10"/>
      <c r="G928" s="45"/>
    </row>
    <row r="929" spans="1:8" hidden="1" x14ac:dyDescent="0.3">
      <c r="A929" t="s">
        <v>220</v>
      </c>
      <c r="B929" s="2">
        <v>45748</v>
      </c>
      <c r="C929" s="10"/>
      <c r="G929" s="45"/>
    </row>
    <row r="930" spans="1:8" hidden="1" x14ac:dyDescent="0.3">
      <c r="A930" t="s">
        <v>220</v>
      </c>
      <c r="B930" s="2">
        <v>45778</v>
      </c>
      <c r="C930" s="10"/>
    </row>
    <row r="931" spans="1:8" hidden="1" x14ac:dyDescent="0.3">
      <c r="A931" t="s">
        <v>220</v>
      </c>
      <c r="B931" s="2">
        <v>45809</v>
      </c>
      <c r="C931" s="10"/>
    </row>
    <row r="932" spans="1:8" hidden="1" x14ac:dyDescent="0.3">
      <c r="A932" t="s">
        <v>220</v>
      </c>
      <c r="B932" s="2">
        <v>45839</v>
      </c>
      <c r="C932" s="10" t="s">
        <v>36</v>
      </c>
      <c r="D932" t="s">
        <v>36</v>
      </c>
      <c r="E932" t="s">
        <v>36</v>
      </c>
      <c r="F932" t="s">
        <v>36</v>
      </c>
      <c r="G932" t="s">
        <v>36</v>
      </c>
      <c r="H932" t="s">
        <v>920</v>
      </c>
    </row>
    <row r="933" spans="1:8" hidden="1" x14ac:dyDescent="0.3">
      <c r="A933" t="s">
        <v>220</v>
      </c>
      <c r="B933" s="2">
        <v>45870</v>
      </c>
      <c r="C933" s="10" t="s">
        <v>36</v>
      </c>
      <c r="D933" t="s">
        <v>36</v>
      </c>
      <c r="E933" t="s">
        <v>36</v>
      </c>
      <c r="F933" t="s">
        <v>36</v>
      </c>
      <c r="G933" t="s">
        <v>36</v>
      </c>
      <c r="H933" t="s">
        <v>920</v>
      </c>
    </row>
    <row r="934" spans="1:8" hidden="1" x14ac:dyDescent="0.3">
      <c r="A934" t="s">
        <v>220</v>
      </c>
      <c r="B934" s="2">
        <v>45901</v>
      </c>
      <c r="C934" s="10" t="s">
        <v>921</v>
      </c>
      <c r="D934" t="s">
        <v>922</v>
      </c>
      <c r="E934" t="s">
        <v>923</v>
      </c>
      <c r="F934" t="s">
        <v>33</v>
      </c>
      <c r="G934" t="s">
        <v>912</v>
      </c>
      <c r="H934" t="s">
        <v>36</v>
      </c>
    </row>
    <row r="935" spans="1:8" hidden="1" x14ac:dyDescent="0.3">
      <c r="A935" t="s">
        <v>220</v>
      </c>
      <c r="B935" s="2">
        <v>45931</v>
      </c>
      <c r="C935" s="10" t="s">
        <v>911</v>
      </c>
      <c r="D935">
        <v>0</v>
      </c>
      <c r="E935" t="s">
        <v>33</v>
      </c>
      <c r="F935" t="s">
        <v>33</v>
      </c>
      <c r="G935" t="s">
        <v>33</v>
      </c>
      <c r="H935" t="s">
        <v>36</v>
      </c>
    </row>
    <row r="936" spans="1:8" hidden="1" x14ac:dyDescent="0.3">
      <c r="A936" t="s">
        <v>220</v>
      </c>
      <c r="B936" s="2">
        <v>45962</v>
      </c>
      <c r="C936" s="10" t="s">
        <v>896</v>
      </c>
      <c r="D936">
        <v>0</v>
      </c>
      <c r="E936" t="s">
        <v>33</v>
      </c>
      <c r="F936" t="s">
        <v>33</v>
      </c>
      <c r="G936" t="s">
        <v>33</v>
      </c>
      <c r="H936" t="s">
        <v>36</v>
      </c>
    </row>
    <row r="937" spans="1:8" hidden="1" x14ac:dyDescent="0.3">
      <c r="A937" t="s">
        <v>220</v>
      </c>
      <c r="B937" s="2">
        <v>45992</v>
      </c>
      <c r="C937" s="10" t="s">
        <v>925</v>
      </c>
      <c r="D937" t="s">
        <v>924</v>
      </c>
      <c r="E937" t="s">
        <v>927</v>
      </c>
      <c r="F937" t="s">
        <v>33</v>
      </c>
      <c r="G937" t="s">
        <v>926</v>
      </c>
      <c r="H937" t="s">
        <v>36</v>
      </c>
    </row>
    <row r="938" spans="1:8" hidden="1" x14ac:dyDescent="0.3">
      <c r="A938" t="s">
        <v>220</v>
      </c>
      <c r="B938" s="2">
        <v>46023</v>
      </c>
      <c r="C938" t="s">
        <v>892</v>
      </c>
      <c r="D938">
        <v>0</v>
      </c>
      <c r="E938" t="s">
        <v>33</v>
      </c>
      <c r="F938" t="s">
        <v>912</v>
      </c>
      <c r="G938" s="10" t="s">
        <v>338</v>
      </c>
      <c r="H938" t="s">
        <v>36</v>
      </c>
    </row>
    <row r="939" spans="1:8" hidden="1" x14ac:dyDescent="0.3">
      <c r="A939" t="s">
        <v>220</v>
      </c>
      <c r="B939" s="2">
        <v>46054</v>
      </c>
      <c r="C939" s="10" t="s">
        <v>903</v>
      </c>
      <c r="D939">
        <v>0</v>
      </c>
      <c r="E939" t="s">
        <v>33</v>
      </c>
      <c r="F939" t="s">
        <v>912</v>
      </c>
      <c r="G939" s="10" t="s">
        <v>314</v>
      </c>
      <c r="H939" t="s">
        <v>36</v>
      </c>
    </row>
    <row r="940" spans="1:8" hidden="1" x14ac:dyDescent="0.3">
      <c r="A940" t="s">
        <v>220</v>
      </c>
      <c r="B940" s="2">
        <v>46082</v>
      </c>
      <c r="C940" s="10" t="s">
        <v>892</v>
      </c>
      <c r="D940">
        <v>0</v>
      </c>
      <c r="E940" t="s">
        <v>33</v>
      </c>
      <c r="F940" t="s">
        <v>912</v>
      </c>
      <c r="G940" s="10" t="s">
        <v>314</v>
      </c>
      <c r="H940" t="s">
        <v>36</v>
      </c>
    </row>
    <row r="941" spans="1:8" hidden="1" x14ac:dyDescent="0.3">
      <c r="A941" t="s">
        <v>220</v>
      </c>
      <c r="B941" s="2">
        <v>46113</v>
      </c>
      <c r="C941" s="10" t="s">
        <v>896</v>
      </c>
      <c r="D941">
        <v>0</v>
      </c>
      <c r="E941" t="s">
        <v>33</v>
      </c>
      <c r="F941" t="s">
        <v>912</v>
      </c>
      <c r="G941" s="10" t="s">
        <v>314</v>
      </c>
      <c r="H941" t="s">
        <v>36</v>
      </c>
    </row>
    <row r="942" spans="1:8" hidden="1" x14ac:dyDescent="0.3">
      <c r="A942" t="s">
        <v>220</v>
      </c>
      <c r="B942" s="2">
        <v>46143</v>
      </c>
      <c r="C942" s="10" t="s">
        <v>911</v>
      </c>
      <c r="D942">
        <v>0</v>
      </c>
      <c r="E942" t="s">
        <v>33</v>
      </c>
      <c r="F942" t="s">
        <v>912</v>
      </c>
      <c r="G942" s="10" t="s">
        <v>302</v>
      </c>
      <c r="H942" t="s">
        <v>36</v>
      </c>
    </row>
    <row r="943" spans="1:8" ht="28.95" hidden="1" customHeight="1" x14ac:dyDescent="0.3">
      <c r="A943" t="s">
        <v>220</v>
      </c>
      <c r="B943" s="2">
        <v>46235</v>
      </c>
      <c r="C943" t="s">
        <v>896</v>
      </c>
      <c r="D943">
        <v>0</v>
      </c>
      <c r="E943" t="s">
        <v>33</v>
      </c>
      <c r="F943" t="s">
        <v>33</v>
      </c>
      <c r="G943" t="s">
        <v>338</v>
      </c>
      <c r="H943" t="s">
        <v>36</v>
      </c>
    </row>
    <row r="944" spans="1:8" hidden="1" x14ac:dyDescent="0.3">
      <c r="A944" t="s">
        <v>220</v>
      </c>
      <c r="B944" s="2">
        <v>46174</v>
      </c>
      <c r="C944" s="10" t="s">
        <v>896</v>
      </c>
      <c r="D944">
        <v>0</v>
      </c>
      <c r="E944" t="s">
        <v>33</v>
      </c>
      <c r="F944" t="s">
        <v>912</v>
      </c>
      <c r="G944" s="10" t="s">
        <v>996</v>
      </c>
      <c r="H944" t="s">
        <v>36</v>
      </c>
    </row>
    <row r="945" spans="1:8" hidden="1" x14ac:dyDescent="0.3">
      <c r="A945" t="s">
        <v>220</v>
      </c>
      <c r="B945" s="2">
        <v>46204</v>
      </c>
      <c r="C945" s="10">
        <v>31</v>
      </c>
      <c r="D945">
        <v>0</v>
      </c>
      <c r="E945" t="s">
        <v>33</v>
      </c>
      <c r="F945" t="s">
        <v>1061</v>
      </c>
      <c r="G945" t="s">
        <v>1063</v>
      </c>
      <c r="H945" t="s">
        <v>1062</v>
      </c>
    </row>
    <row r="946" spans="1:8" ht="72" hidden="1" customHeight="1" x14ac:dyDescent="0.3">
      <c r="A946" t="s">
        <v>222</v>
      </c>
      <c r="B946" s="2">
        <v>45536</v>
      </c>
      <c r="C946" s="10"/>
    </row>
    <row r="947" spans="1:8" ht="57.6" hidden="1" customHeight="1" x14ac:dyDescent="0.3">
      <c r="A947" t="s">
        <v>222</v>
      </c>
      <c r="B947" s="2">
        <v>45566</v>
      </c>
      <c r="C947" s="10"/>
    </row>
    <row r="948" spans="1:8" ht="57.6" hidden="1" customHeight="1" x14ac:dyDescent="0.3">
      <c r="A948" t="s">
        <v>222</v>
      </c>
      <c r="B948" s="2">
        <v>45597</v>
      </c>
      <c r="C948" s="10"/>
    </row>
    <row r="949" spans="1:8" ht="72" hidden="1" customHeight="1" x14ac:dyDescent="0.3">
      <c r="A949" t="s">
        <v>222</v>
      </c>
      <c r="B949" s="2">
        <v>45627</v>
      </c>
      <c r="C949" s="10"/>
    </row>
    <row r="950" spans="1:8" ht="57.6" hidden="1" customHeight="1" x14ac:dyDescent="0.3">
      <c r="A950" t="s">
        <v>222</v>
      </c>
      <c r="B950" s="2">
        <v>45658</v>
      </c>
      <c r="C950" s="10"/>
    </row>
    <row r="951" spans="1:8" ht="57.6" hidden="1" customHeight="1" x14ac:dyDescent="0.3">
      <c r="A951" t="s">
        <v>222</v>
      </c>
      <c r="B951" s="2">
        <v>45689</v>
      </c>
      <c r="C951" s="10"/>
    </row>
    <row r="952" spans="1:8" ht="57.6" hidden="1" customHeight="1" x14ac:dyDescent="0.3">
      <c r="A952" t="s">
        <v>222</v>
      </c>
      <c r="B952" s="2">
        <v>45717</v>
      </c>
      <c r="C952" s="10"/>
    </row>
    <row r="953" spans="1:8" hidden="1" x14ac:dyDescent="0.3">
      <c r="A953" t="s">
        <v>222</v>
      </c>
      <c r="B953" s="2">
        <v>45748</v>
      </c>
      <c r="C953" s="10"/>
    </row>
    <row r="954" spans="1:8" hidden="1" x14ac:dyDescent="0.3">
      <c r="A954" t="s">
        <v>222</v>
      </c>
      <c r="B954" s="2">
        <v>45778</v>
      </c>
      <c r="C954" s="10"/>
    </row>
    <row r="955" spans="1:8" hidden="1" x14ac:dyDescent="0.3">
      <c r="A955" t="s">
        <v>222</v>
      </c>
      <c r="B955" s="2">
        <v>45809</v>
      </c>
      <c r="C955" s="10"/>
    </row>
    <row r="956" spans="1:8" hidden="1" x14ac:dyDescent="0.3">
      <c r="A956" t="s">
        <v>222</v>
      </c>
      <c r="B956" s="2">
        <v>45839</v>
      </c>
      <c r="C956" s="10" t="s">
        <v>36</v>
      </c>
      <c r="D956" t="s">
        <v>36</v>
      </c>
      <c r="E956" t="s">
        <v>36</v>
      </c>
      <c r="F956" t="s">
        <v>36</v>
      </c>
      <c r="H956" t="s">
        <v>920</v>
      </c>
    </row>
    <row r="957" spans="1:8" hidden="1" x14ac:dyDescent="0.3">
      <c r="A957" t="s">
        <v>222</v>
      </c>
      <c r="B957" s="2">
        <v>45870</v>
      </c>
      <c r="C957" s="10" t="s">
        <v>36</v>
      </c>
      <c r="D957" t="s">
        <v>36</v>
      </c>
      <c r="E957" t="s">
        <v>36</v>
      </c>
      <c r="F957" t="s">
        <v>36</v>
      </c>
      <c r="H957" t="s">
        <v>920</v>
      </c>
    </row>
    <row r="958" spans="1:8" hidden="1" x14ac:dyDescent="0.3">
      <c r="A958" t="s">
        <v>222</v>
      </c>
      <c r="B958" s="2">
        <v>45901</v>
      </c>
      <c r="C958" s="10" t="s">
        <v>921</v>
      </c>
      <c r="D958" t="s">
        <v>922</v>
      </c>
      <c r="E958" t="s">
        <v>923</v>
      </c>
      <c r="F958" t="s">
        <v>33</v>
      </c>
      <c r="H958" t="s">
        <v>36</v>
      </c>
    </row>
    <row r="959" spans="1:8" hidden="1" x14ac:dyDescent="0.3">
      <c r="A959" t="s">
        <v>222</v>
      </c>
      <c r="B959" s="2">
        <v>45931</v>
      </c>
      <c r="C959" s="10" t="s">
        <v>911</v>
      </c>
      <c r="D959">
        <v>0</v>
      </c>
      <c r="E959" t="s">
        <v>33</v>
      </c>
      <c r="F959" t="s">
        <v>33</v>
      </c>
      <c r="G959" s="10" t="s">
        <v>928</v>
      </c>
      <c r="H959" t="s">
        <v>36</v>
      </c>
    </row>
    <row r="960" spans="1:8" hidden="1" x14ac:dyDescent="0.3">
      <c r="A960" t="s">
        <v>222</v>
      </c>
      <c r="B960" s="2">
        <v>45962</v>
      </c>
      <c r="C960" s="10" t="s">
        <v>896</v>
      </c>
      <c r="D960">
        <v>0</v>
      </c>
      <c r="E960" t="s">
        <v>33</v>
      </c>
      <c r="F960" t="s">
        <v>33</v>
      </c>
      <c r="G960" s="10" t="s">
        <v>928</v>
      </c>
      <c r="H960" t="s">
        <v>36</v>
      </c>
    </row>
    <row r="961" spans="1:8" hidden="1" x14ac:dyDescent="0.3">
      <c r="A961" t="s">
        <v>222</v>
      </c>
      <c r="B961" s="2">
        <v>45992</v>
      </c>
      <c r="C961" s="10" t="s">
        <v>925</v>
      </c>
      <c r="D961" t="s">
        <v>924</v>
      </c>
      <c r="E961" t="s">
        <v>927</v>
      </c>
      <c r="F961" t="s">
        <v>33</v>
      </c>
      <c r="G961" s="10" t="s">
        <v>926</v>
      </c>
      <c r="H961" t="s">
        <v>36</v>
      </c>
    </row>
    <row r="962" spans="1:8" hidden="1" x14ac:dyDescent="0.3">
      <c r="A962" t="s">
        <v>222</v>
      </c>
      <c r="B962" s="2">
        <v>46023</v>
      </c>
      <c r="C962" t="s">
        <v>892</v>
      </c>
      <c r="D962">
        <v>0</v>
      </c>
      <c r="E962" t="s">
        <v>33</v>
      </c>
      <c r="F962" t="s">
        <v>912</v>
      </c>
      <c r="G962" s="10" t="s">
        <v>338</v>
      </c>
      <c r="H962" t="s">
        <v>36</v>
      </c>
    </row>
    <row r="963" spans="1:8" hidden="1" x14ac:dyDescent="0.3">
      <c r="A963" t="s">
        <v>222</v>
      </c>
      <c r="B963" s="2">
        <v>46054</v>
      </c>
      <c r="C963" s="10" t="s">
        <v>903</v>
      </c>
      <c r="D963">
        <v>0</v>
      </c>
      <c r="E963" t="s">
        <v>33</v>
      </c>
      <c r="F963" t="s">
        <v>912</v>
      </c>
      <c r="G963" s="10" t="s">
        <v>314</v>
      </c>
      <c r="H963" t="s">
        <v>36</v>
      </c>
    </row>
    <row r="964" spans="1:8" hidden="1" x14ac:dyDescent="0.3">
      <c r="A964" t="s">
        <v>222</v>
      </c>
      <c r="B964" s="2">
        <v>46082</v>
      </c>
      <c r="C964" s="10" t="s">
        <v>892</v>
      </c>
      <c r="D964">
        <v>0</v>
      </c>
      <c r="E964" t="s">
        <v>33</v>
      </c>
      <c r="F964" t="s">
        <v>912</v>
      </c>
      <c r="G964" s="10" t="s">
        <v>929</v>
      </c>
      <c r="H964" t="s">
        <v>36</v>
      </c>
    </row>
    <row r="965" spans="1:8" hidden="1" x14ac:dyDescent="0.3">
      <c r="A965" t="s">
        <v>222</v>
      </c>
      <c r="B965" s="2">
        <v>46113</v>
      </c>
      <c r="C965" s="10" t="s">
        <v>896</v>
      </c>
      <c r="D965">
        <v>0</v>
      </c>
      <c r="E965" t="s">
        <v>33</v>
      </c>
      <c r="F965" t="s">
        <v>912</v>
      </c>
      <c r="G965" s="10" t="s">
        <v>314</v>
      </c>
      <c r="H965" t="s">
        <v>36</v>
      </c>
    </row>
    <row r="966" spans="1:8" hidden="1" x14ac:dyDescent="0.3">
      <c r="A966" t="s">
        <v>222</v>
      </c>
      <c r="B966" s="2">
        <v>46143</v>
      </c>
      <c r="C966" s="10" t="s">
        <v>911</v>
      </c>
      <c r="D966">
        <v>0</v>
      </c>
      <c r="E966" t="s">
        <v>33</v>
      </c>
      <c r="F966" t="s">
        <v>912</v>
      </c>
      <c r="G966" s="10" t="s">
        <v>302</v>
      </c>
      <c r="H966" t="s">
        <v>36</v>
      </c>
    </row>
    <row r="967" spans="1:8" ht="28.95" hidden="1" customHeight="1" x14ac:dyDescent="0.3">
      <c r="A967" t="s">
        <v>222</v>
      </c>
      <c r="B967" s="2">
        <v>46235</v>
      </c>
      <c r="C967" t="s">
        <v>896</v>
      </c>
      <c r="D967">
        <v>0</v>
      </c>
      <c r="E967" t="s">
        <v>33</v>
      </c>
      <c r="F967" t="s">
        <v>33</v>
      </c>
      <c r="G967" t="s">
        <v>338</v>
      </c>
      <c r="H967" t="s">
        <v>36</v>
      </c>
    </row>
    <row r="968" spans="1:8" ht="28.95" hidden="1" customHeight="1" x14ac:dyDescent="0.3">
      <c r="A968" t="s">
        <v>222</v>
      </c>
      <c r="B968" s="2">
        <v>46174</v>
      </c>
      <c r="C968" s="10" t="s">
        <v>896</v>
      </c>
      <c r="D968">
        <v>0</v>
      </c>
      <c r="E968" t="s">
        <v>33</v>
      </c>
      <c r="F968" t="s">
        <v>912</v>
      </c>
      <c r="G968" s="10" t="s">
        <v>996</v>
      </c>
      <c r="H968" t="s">
        <v>36</v>
      </c>
    </row>
    <row r="969" spans="1:8" ht="28.95" hidden="1" customHeight="1" x14ac:dyDescent="0.3">
      <c r="A969" t="s">
        <v>222</v>
      </c>
      <c r="B969" s="2">
        <v>46204</v>
      </c>
      <c r="C969" s="10">
        <v>31</v>
      </c>
      <c r="D969">
        <v>0</v>
      </c>
      <c r="E969" t="s">
        <v>33</v>
      </c>
      <c r="F969" t="s">
        <v>1061</v>
      </c>
      <c r="G969" t="s">
        <v>1063</v>
      </c>
      <c r="H969" t="s">
        <v>36</v>
      </c>
    </row>
    <row r="970" spans="1:8" ht="72" hidden="1" customHeight="1" x14ac:dyDescent="0.3">
      <c r="A970" t="s">
        <v>142</v>
      </c>
      <c r="B970" s="2">
        <v>45536</v>
      </c>
      <c r="C970" s="10"/>
    </row>
    <row r="971" spans="1:8" ht="72" hidden="1" customHeight="1" x14ac:dyDescent="0.3">
      <c r="A971" t="s">
        <v>142</v>
      </c>
      <c r="B971" s="2">
        <v>45566</v>
      </c>
      <c r="C971" s="10"/>
    </row>
    <row r="972" spans="1:8" ht="72" hidden="1" customHeight="1" x14ac:dyDescent="0.3">
      <c r="A972" t="s">
        <v>142</v>
      </c>
      <c r="B972" s="2">
        <v>45597</v>
      </c>
      <c r="C972" s="10"/>
    </row>
    <row r="973" spans="1:8" ht="72" hidden="1" customHeight="1" x14ac:dyDescent="0.3">
      <c r="A973" t="s">
        <v>142</v>
      </c>
      <c r="B973" s="2">
        <v>45627</v>
      </c>
      <c r="C973" s="10"/>
    </row>
    <row r="974" spans="1:8" ht="57.6" hidden="1" customHeight="1" x14ac:dyDescent="0.3">
      <c r="A974" t="s">
        <v>142</v>
      </c>
      <c r="B974" s="2">
        <v>45658</v>
      </c>
      <c r="C974" s="10"/>
    </row>
    <row r="975" spans="1:8" ht="72" hidden="1" customHeight="1" x14ac:dyDescent="0.3">
      <c r="A975" t="s">
        <v>142</v>
      </c>
      <c r="B975" s="2">
        <v>45689</v>
      </c>
      <c r="C975" s="10" t="s">
        <v>553</v>
      </c>
    </row>
    <row r="976" spans="1:8" ht="72" hidden="1" customHeight="1" x14ac:dyDescent="0.3">
      <c r="A976" t="s">
        <v>142</v>
      </c>
      <c r="B976" s="2">
        <v>45717</v>
      </c>
      <c r="C976" s="10" t="s">
        <v>554</v>
      </c>
    </row>
    <row r="977" spans="1:8" ht="86.4" hidden="1" x14ac:dyDescent="0.3">
      <c r="A977" t="s">
        <v>142</v>
      </c>
      <c r="B977" s="2">
        <v>45748</v>
      </c>
      <c r="C977" s="10" t="s">
        <v>555</v>
      </c>
    </row>
    <row r="978" spans="1:8" ht="100.8" hidden="1" x14ac:dyDescent="0.3">
      <c r="A978" t="s">
        <v>142</v>
      </c>
      <c r="B978" s="2">
        <v>45778</v>
      </c>
      <c r="C978" s="10" t="s">
        <v>556</v>
      </c>
    </row>
    <row r="979" spans="1:8" ht="28.95" hidden="1" customHeight="1" x14ac:dyDescent="0.3">
      <c r="A979" t="s">
        <v>142</v>
      </c>
      <c r="B979" s="2">
        <v>45809</v>
      </c>
      <c r="C979" s="10" t="s">
        <v>557</v>
      </c>
    </row>
    <row r="980" spans="1:8" hidden="1" x14ac:dyDescent="0.3">
      <c r="A980" t="s">
        <v>142</v>
      </c>
      <c r="B980" s="2">
        <v>45839</v>
      </c>
      <c r="C980" t="s">
        <v>911</v>
      </c>
      <c r="D980">
        <v>0</v>
      </c>
      <c r="E980" t="s">
        <v>33</v>
      </c>
      <c r="F980" t="s">
        <v>33</v>
      </c>
      <c r="G980" s="10" t="s">
        <v>338</v>
      </c>
      <c r="H980" t="s">
        <v>36</v>
      </c>
    </row>
    <row r="981" spans="1:8" hidden="1" x14ac:dyDescent="0.3">
      <c r="A981" t="s">
        <v>142</v>
      </c>
      <c r="B981" s="2">
        <v>45870</v>
      </c>
      <c r="C981" t="s">
        <v>911</v>
      </c>
      <c r="D981">
        <v>0</v>
      </c>
      <c r="E981" t="s">
        <v>33</v>
      </c>
      <c r="F981" t="s">
        <v>33</v>
      </c>
      <c r="G981" s="10" t="s">
        <v>338</v>
      </c>
      <c r="H981" t="s">
        <v>36</v>
      </c>
    </row>
    <row r="982" spans="1:8" hidden="1" x14ac:dyDescent="0.3">
      <c r="A982" t="s">
        <v>142</v>
      </c>
      <c r="B982" s="2">
        <v>45901</v>
      </c>
      <c r="C982" t="s">
        <v>919</v>
      </c>
      <c r="D982">
        <v>0</v>
      </c>
      <c r="E982" t="s">
        <v>33</v>
      </c>
      <c r="F982" t="s">
        <v>33</v>
      </c>
      <c r="G982" s="10" t="s">
        <v>338</v>
      </c>
      <c r="H982" t="s">
        <v>36</v>
      </c>
    </row>
    <row r="983" spans="1:8" hidden="1" x14ac:dyDescent="0.3">
      <c r="A983" t="s">
        <v>142</v>
      </c>
      <c r="B983" s="2">
        <v>45931</v>
      </c>
      <c r="C983" t="s">
        <v>911</v>
      </c>
      <c r="D983">
        <v>0</v>
      </c>
      <c r="E983" t="s">
        <v>33</v>
      </c>
      <c r="F983" t="s">
        <v>33</v>
      </c>
      <c r="G983" s="10" t="s">
        <v>338</v>
      </c>
      <c r="H983" t="s">
        <v>36</v>
      </c>
    </row>
    <row r="984" spans="1:8" hidden="1" x14ac:dyDescent="0.3">
      <c r="A984" t="s">
        <v>142</v>
      </c>
      <c r="B984" s="2">
        <v>45962</v>
      </c>
      <c r="C984" t="s">
        <v>919</v>
      </c>
      <c r="D984">
        <v>0</v>
      </c>
      <c r="E984" t="s">
        <v>33</v>
      </c>
      <c r="F984" t="s">
        <v>33</v>
      </c>
      <c r="G984" s="44" t="s">
        <v>932</v>
      </c>
      <c r="H984" t="s">
        <v>36</v>
      </c>
    </row>
    <row r="985" spans="1:8" hidden="1" x14ac:dyDescent="0.3">
      <c r="A985" t="s">
        <v>142</v>
      </c>
      <c r="B985" s="2">
        <v>45992</v>
      </c>
      <c r="C985" t="s">
        <v>911</v>
      </c>
      <c r="D985">
        <v>0</v>
      </c>
      <c r="E985" t="s">
        <v>33</v>
      </c>
      <c r="F985" t="s">
        <v>33</v>
      </c>
      <c r="G985" s="44" t="s">
        <v>932</v>
      </c>
      <c r="H985" t="s">
        <v>36</v>
      </c>
    </row>
    <row r="986" spans="1:8" hidden="1" x14ac:dyDescent="0.3">
      <c r="A986" t="s">
        <v>142</v>
      </c>
      <c r="B986" s="2">
        <v>46023</v>
      </c>
      <c r="C986" t="s">
        <v>911</v>
      </c>
      <c r="D986">
        <v>0</v>
      </c>
      <c r="E986" t="s">
        <v>33</v>
      </c>
      <c r="F986" t="s">
        <v>33</v>
      </c>
      <c r="G986" s="10" t="s">
        <v>558</v>
      </c>
      <c r="H986" t="s">
        <v>36</v>
      </c>
    </row>
    <row r="987" spans="1:8" hidden="1" x14ac:dyDescent="0.3">
      <c r="A987" t="s">
        <v>142</v>
      </c>
      <c r="B987" s="2">
        <v>46054</v>
      </c>
      <c r="C987" t="s">
        <v>895</v>
      </c>
      <c r="D987">
        <v>0</v>
      </c>
      <c r="E987" t="s">
        <v>33</v>
      </c>
      <c r="F987" t="s">
        <v>33</v>
      </c>
      <c r="G987" s="10" t="s">
        <v>338</v>
      </c>
      <c r="H987" t="s">
        <v>36</v>
      </c>
    </row>
    <row r="988" spans="1:8" hidden="1" x14ac:dyDescent="0.3">
      <c r="A988" t="s">
        <v>142</v>
      </c>
      <c r="B988" s="2">
        <v>46082</v>
      </c>
      <c r="C988" t="s">
        <v>911</v>
      </c>
      <c r="D988">
        <v>0</v>
      </c>
      <c r="E988" t="s">
        <v>33</v>
      </c>
      <c r="F988" t="s">
        <v>33</v>
      </c>
      <c r="G988" s="10" t="s">
        <v>338</v>
      </c>
      <c r="H988" t="s">
        <v>36</v>
      </c>
    </row>
    <row r="989" spans="1:8" hidden="1" x14ac:dyDescent="0.3">
      <c r="A989" t="s">
        <v>142</v>
      </c>
      <c r="B989" s="2">
        <v>46113</v>
      </c>
      <c r="C989" t="s">
        <v>919</v>
      </c>
      <c r="D989">
        <v>0</v>
      </c>
      <c r="E989" t="s">
        <v>33</v>
      </c>
      <c r="F989" t="s">
        <v>33</v>
      </c>
      <c r="G989" s="10" t="s">
        <v>338</v>
      </c>
      <c r="H989" t="s">
        <v>36</v>
      </c>
    </row>
    <row r="990" spans="1:8" hidden="1" x14ac:dyDescent="0.3">
      <c r="A990" t="s">
        <v>142</v>
      </c>
      <c r="B990" s="2">
        <v>46143</v>
      </c>
      <c r="C990" t="s">
        <v>911</v>
      </c>
      <c r="D990">
        <v>0</v>
      </c>
      <c r="E990" t="s">
        <v>33</v>
      </c>
      <c r="F990" t="s">
        <v>33</v>
      </c>
      <c r="G990" s="10" t="s">
        <v>338</v>
      </c>
      <c r="H990" t="s">
        <v>36</v>
      </c>
    </row>
    <row r="991" spans="1:8" ht="43.2" hidden="1" customHeight="1" x14ac:dyDescent="0.3">
      <c r="A991" t="s">
        <v>142</v>
      </c>
      <c r="B991" s="2">
        <v>46235</v>
      </c>
      <c r="C991" t="s">
        <v>896</v>
      </c>
      <c r="D991">
        <v>0</v>
      </c>
      <c r="E991" t="s">
        <v>33</v>
      </c>
      <c r="F991" t="s">
        <v>33</v>
      </c>
      <c r="G991" t="s">
        <v>338</v>
      </c>
      <c r="H991" t="s">
        <v>36</v>
      </c>
    </row>
    <row r="992" spans="1:8" ht="72" hidden="1" customHeight="1" x14ac:dyDescent="0.3">
      <c r="A992" t="s">
        <v>142</v>
      </c>
      <c r="B992" s="2">
        <v>46174</v>
      </c>
      <c r="C992" t="s">
        <v>919</v>
      </c>
      <c r="D992">
        <v>0</v>
      </c>
      <c r="E992" t="s">
        <v>33</v>
      </c>
      <c r="F992" t="s">
        <v>33</v>
      </c>
      <c r="G992" s="10" t="s">
        <v>996</v>
      </c>
      <c r="H992" t="s">
        <v>36</v>
      </c>
    </row>
    <row r="993" spans="1:8" ht="43.2" hidden="1" customHeight="1" x14ac:dyDescent="0.3">
      <c r="A993" t="s">
        <v>142</v>
      </c>
      <c r="B993" s="2">
        <v>46204</v>
      </c>
      <c r="C993" s="10">
        <v>31</v>
      </c>
      <c r="D993">
        <v>0</v>
      </c>
      <c r="E993" t="s">
        <v>33</v>
      </c>
      <c r="F993" t="s">
        <v>33</v>
      </c>
      <c r="G993" t="s">
        <v>1014</v>
      </c>
      <c r="H993" t="s">
        <v>36</v>
      </c>
    </row>
    <row r="994" spans="1:8" ht="57.6" hidden="1" customHeight="1" x14ac:dyDescent="0.3">
      <c r="A994" t="s">
        <v>145</v>
      </c>
      <c r="B994" s="2">
        <v>45536</v>
      </c>
      <c r="C994" s="10"/>
    </row>
    <row r="995" spans="1:8" ht="57.6" hidden="1" customHeight="1" x14ac:dyDescent="0.3">
      <c r="A995" t="s">
        <v>145</v>
      </c>
      <c r="B995" s="2">
        <v>45566</v>
      </c>
      <c r="C995" s="10"/>
    </row>
    <row r="996" spans="1:8" hidden="1" x14ac:dyDescent="0.3">
      <c r="A996" t="s">
        <v>145</v>
      </c>
      <c r="B996" s="2">
        <v>45597</v>
      </c>
      <c r="C996" s="10"/>
      <c r="G996" s="45"/>
    </row>
    <row r="997" spans="1:8" hidden="1" x14ac:dyDescent="0.3">
      <c r="A997" t="s">
        <v>145</v>
      </c>
      <c r="B997" s="2">
        <v>45627</v>
      </c>
      <c r="C997" s="10"/>
      <c r="G997" s="45"/>
    </row>
    <row r="998" spans="1:8" hidden="1" x14ac:dyDescent="0.3">
      <c r="A998" t="s">
        <v>145</v>
      </c>
      <c r="B998" s="2">
        <v>45658</v>
      </c>
      <c r="C998" s="10"/>
      <c r="G998" s="45"/>
    </row>
    <row r="999" spans="1:8" ht="43.2" hidden="1" x14ac:dyDescent="0.3">
      <c r="A999" t="s">
        <v>145</v>
      </c>
      <c r="B999" s="2">
        <v>45689</v>
      </c>
      <c r="C999" s="10" t="s">
        <v>559</v>
      </c>
      <c r="G999" s="45"/>
    </row>
    <row r="1000" spans="1:8" ht="57.6" hidden="1" customHeight="1" x14ac:dyDescent="0.3">
      <c r="A1000" t="s">
        <v>145</v>
      </c>
      <c r="B1000" s="2">
        <v>45717</v>
      </c>
      <c r="C1000" s="10" t="s">
        <v>455</v>
      </c>
      <c r="G1000" s="45"/>
    </row>
    <row r="1001" spans="1:8" ht="28.8" hidden="1" x14ac:dyDescent="0.3">
      <c r="A1001" t="s">
        <v>145</v>
      </c>
      <c r="B1001" s="2">
        <v>45748</v>
      </c>
      <c r="C1001" s="10" t="s">
        <v>560</v>
      </c>
    </row>
    <row r="1002" spans="1:8" ht="129.6" hidden="1" x14ac:dyDescent="0.3">
      <c r="A1002" t="s">
        <v>145</v>
      </c>
      <c r="B1002" s="2">
        <v>45778</v>
      </c>
      <c r="C1002" s="10" t="s">
        <v>561</v>
      </c>
    </row>
    <row r="1003" spans="1:8" ht="129.6" hidden="1" x14ac:dyDescent="0.3">
      <c r="A1003" t="s">
        <v>145</v>
      </c>
      <c r="B1003" s="2">
        <v>45809</v>
      </c>
      <c r="C1003" s="10" t="s">
        <v>562</v>
      </c>
    </row>
    <row r="1004" spans="1:8" ht="100.8" hidden="1" x14ac:dyDescent="0.3">
      <c r="A1004" t="s">
        <v>145</v>
      </c>
      <c r="B1004" s="2">
        <v>45839</v>
      </c>
      <c r="C1004" s="10" t="s">
        <v>563</v>
      </c>
    </row>
    <row r="1005" spans="1:8" ht="144" hidden="1" x14ac:dyDescent="0.3">
      <c r="A1005" t="s">
        <v>145</v>
      </c>
      <c r="B1005" s="2">
        <v>45870</v>
      </c>
      <c r="C1005" s="10" t="s">
        <v>564</v>
      </c>
      <c r="G1005" s="45"/>
    </row>
    <row r="1006" spans="1:8" ht="115.2" hidden="1" x14ac:dyDescent="0.3">
      <c r="A1006" t="s">
        <v>145</v>
      </c>
      <c r="B1006" s="2">
        <v>45901</v>
      </c>
      <c r="C1006" s="10" t="s">
        <v>565</v>
      </c>
      <c r="G1006" s="45"/>
    </row>
    <row r="1007" spans="1:8" ht="100.8" hidden="1" x14ac:dyDescent="0.3">
      <c r="A1007" t="s">
        <v>145</v>
      </c>
      <c r="B1007" s="2">
        <v>45931</v>
      </c>
      <c r="C1007" s="10" t="s">
        <v>566</v>
      </c>
    </row>
    <row r="1008" spans="1:8" ht="100.8" hidden="1" x14ac:dyDescent="0.3">
      <c r="A1008" t="s">
        <v>145</v>
      </c>
      <c r="B1008" s="2">
        <v>45962</v>
      </c>
      <c r="C1008" s="10" t="s">
        <v>567</v>
      </c>
    </row>
    <row r="1009" spans="1:8" ht="28.8" hidden="1" x14ac:dyDescent="0.3">
      <c r="A1009" t="s">
        <v>145</v>
      </c>
      <c r="B1009" s="2">
        <v>45992</v>
      </c>
      <c r="C1009" s="10" t="s">
        <v>568</v>
      </c>
    </row>
    <row r="1010" spans="1:8" hidden="1" x14ac:dyDescent="0.3">
      <c r="A1010" t="s">
        <v>145</v>
      </c>
      <c r="B1010" s="2">
        <v>46023</v>
      </c>
      <c r="C1010" s="10" t="s">
        <v>338</v>
      </c>
    </row>
    <row r="1011" spans="1:8" hidden="1" x14ac:dyDescent="0.3">
      <c r="A1011" t="s">
        <v>145</v>
      </c>
      <c r="B1011" s="2">
        <v>46054</v>
      </c>
      <c r="C1011" s="10" t="s">
        <v>326</v>
      </c>
    </row>
    <row r="1012" spans="1:8" hidden="1" x14ac:dyDescent="0.3">
      <c r="A1012" t="s">
        <v>145</v>
      </c>
      <c r="B1012" s="2">
        <v>46082</v>
      </c>
      <c r="C1012" s="10" t="s">
        <v>326</v>
      </c>
    </row>
    <row r="1013" spans="1:8" ht="28.8" hidden="1" x14ac:dyDescent="0.3">
      <c r="A1013" t="s">
        <v>145</v>
      </c>
      <c r="B1013" s="2">
        <v>46113</v>
      </c>
      <c r="C1013" s="10" t="s">
        <v>569</v>
      </c>
    </row>
    <row r="1014" spans="1:8" ht="28.8" hidden="1" x14ac:dyDescent="0.3">
      <c r="A1014" t="s">
        <v>145</v>
      </c>
      <c r="B1014" s="2">
        <v>46143</v>
      </c>
      <c r="C1014" s="10" t="s">
        <v>867</v>
      </c>
    </row>
    <row r="1015" spans="1:8" hidden="1" x14ac:dyDescent="0.3">
      <c r="A1015" t="s">
        <v>145</v>
      </c>
      <c r="B1015" s="2">
        <v>46235</v>
      </c>
      <c r="C1015" s="10" t="s">
        <v>896</v>
      </c>
      <c r="D1015">
        <v>0</v>
      </c>
      <c r="E1015" t="s">
        <v>33</v>
      </c>
      <c r="F1015" t="s">
        <v>33</v>
      </c>
      <c r="G1015" s="10" t="s">
        <v>932</v>
      </c>
      <c r="H1015" t="s">
        <v>36</v>
      </c>
    </row>
    <row r="1016" spans="1:8" hidden="1" x14ac:dyDescent="0.3">
      <c r="A1016" t="s">
        <v>145</v>
      </c>
      <c r="B1016" s="2">
        <v>46174</v>
      </c>
      <c r="C1016" s="10"/>
    </row>
    <row r="1017" spans="1:8" hidden="1" x14ac:dyDescent="0.3">
      <c r="A1017" t="s">
        <v>145</v>
      </c>
      <c r="B1017" s="2">
        <v>46204</v>
      </c>
      <c r="C1017" s="10">
        <v>31</v>
      </c>
      <c r="E1017" t="s">
        <v>33</v>
      </c>
      <c r="F1017" t="s">
        <v>33</v>
      </c>
      <c r="G1017" t="s">
        <v>1037</v>
      </c>
      <c r="H1017" t="s">
        <v>1038</v>
      </c>
    </row>
    <row r="1018" spans="1:8" ht="57.6" hidden="1" customHeight="1" x14ac:dyDescent="0.3">
      <c r="A1018" t="s">
        <v>149</v>
      </c>
      <c r="B1018" s="2">
        <v>45536</v>
      </c>
      <c r="C1018" s="10"/>
    </row>
    <row r="1019" spans="1:8" ht="57.6" hidden="1" customHeight="1" x14ac:dyDescent="0.3">
      <c r="A1019" t="s">
        <v>149</v>
      </c>
      <c r="B1019" s="2">
        <v>45566</v>
      </c>
      <c r="C1019" s="10"/>
    </row>
    <row r="1020" spans="1:8" hidden="1" x14ac:dyDescent="0.3">
      <c r="A1020" t="s">
        <v>149</v>
      </c>
      <c r="B1020" s="2">
        <v>45597</v>
      </c>
      <c r="C1020" s="10"/>
    </row>
    <row r="1021" spans="1:8" ht="57.6" hidden="1" customHeight="1" x14ac:dyDescent="0.3">
      <c r="A1021" t="s">
        <v>149</v>
      </c>
      <c r="B1021" s="2">
        <v>45627</v>
      </c>
      <c r="C1021" s="10"/>
    </row>
    <row r="1022" spans="1:8" ht="57.6" hidden="1" customHeight="1" x14ac:dyDescent="0.3">
      <c r="A1022" t="s">
        <v>149</v>
      </c>
      <c r="B1022" s="2">
        <v>45658</v>
      </c>
      <c r="C1022" s="10"/>
    </row>
    <row r="1023" spans="1:8" ht="57.6" hidden="1" customHeight="1" x14ac:dyDescent="0.3">
      <c r="A1023" t="s">
        <v>149</v>
      </c>
      <c r="B1023" s="2">
        <v>45689</v>
      </c>
      <c r="C1023" s="10" t="s">
        <v>582</v>
      </c>
    </row>
    <row r="1024" spans="1:8" ht="57.6" hidden="1" customHeight="1" x14ac:dyDescent="0.3">
      <c r="A1024" t="s">
        <v>149</v>
      </c>
      <c r="B1024" s="2">
        <v>45717</v>
      </c>
      <c r="C1024" s="10" t="s">
        <v>583</v>
      </c>
    </row>
    <row r="1025" spans="1:8" ht="57.6" hidden="1" x14ac:dyDescent="0.3">
      <c r="A1025" t="s">
        <v>149</v>
      </c>
      <c r="B1025" s="2">
        <v>45748</v>
      </c>
      <c r="C1025" s="10" t="s">
        <v>584</v>
      </c>
    </row>
    <row r="1026" spans="1:8" ht="100.8" hidden="1" x14ac:dyDescent="0.3">
      <c r="A1026" t="s">
        <v>149</v>
      </c>
      <c r="B1026" s="2">
        <v>45778</v>
      </c>
      <c r="C1026" s="10" t="s">
        <v>585</v>
      </c>
    </row>
    <row r="1027" spans="1:8" ht="100.8" hidden="1" x14ac:dyDescent="0.3">
      <c r="A1027" t="s">
        <v>149</v>
      </c>
      <c r="B1027" s="2">
        <v>45809</v>
      </c>
      <c r="C1027" s="10" t="s">
        <v>586</v>
      </c>
    </row>
    <row r="1028" spans="1:8" hidden="1" x14ac:dyDescent="0.3">
      <c r="A1028" t="s">
        <v>149</v>
      </c>
      <c r="B1028" s="2">
        <v>45839</v>
      </c>
      <c r="C1028" t="s">
        <v>911</v>
      </c>
      <c r="D1028">
        <v>0</v>
      </c>
      <c r="E1028" t="s">
        <v>33</v>
      </c>
      <c r="F1028" t="s">
        <v>33</v>
      </c>
      <c r="G1028" s="44" t="s">
        <v>932</v>
      </c>
      <c r="H1028" t="s">
        <v>36</v>
      </c>
    </row>
    <row r="1029" spans="1:8" hidden="1" x14ac:dyDescent="0.3">
      <c r="A1029" t="s">
        <v>149</v>
      </c>
      <c r="B1029" s="2">
        <v>45870</v>
      </c>
      <c r="C1029" t="s">
        <v>911</v>
      </c>
      <c r="D1029">
        <v>0</v>
      </c>
      <c r="E1029" t="s">
        <v>33</v>
      </c>
      <c r="F1029" t="s">
        <v>33</v>
      </c>
      <c r="G1029" s="44" t="s">
        <v>932</v>
      </c>
      <c r="H1029" t="s">
        <v>36</v>
      </c>
    </row>
    <row r="1030" spans="1:8" hidden="1" x14ac:dyDescent="0.3">
      <c r="A1030" t="s">
        <v>149</v>
      </c>
      <c r="B1030" s="2">
        <v>45901</v>
      </c>
      <c r="C1030" t="s">
        <v>919</v>
      </c>
      <c r="D1030">
        <v>0</v>
      </c>
      <c r="E1030" t="s">
        <v>33</v>
      </c>
      <c r="F1030" t="s">
        <v>33</v>
      </c>
      <c r="G1030" s="44" t="s">
        <v>932</v>
      </c>
      <c r="H1030" t="s">
        <v>36</v>
      </c>
    </row>
    <row r="1031" spans="1:8" hidden="1" x14ac:dyDescent="0.3">
      <c r="A1031" t="s">
        <v>149</v>
      </c>
      <c r="B1031" s="2">
        <v>45931</v>
      </c>
      <c r="C1031" t="s">
        <v>911</v>
      </c>
      <c r="D1031">
        <v>0</v>
      </c>
      <c r="E1031" t="s">
        <v>33</v>
      </c>
      <c r="F1031" t="s">
        <v>33</v>
      </c>
      <c r="G1031" s="44" t="s">
        <v>932</v>
      </c>
      <c r="H1031" t="s">
        <v>36</v>
      </c>
    </row>
    <row r="1032" spans="1:8" hidden="1" x14ac:dyDescent="0.3">
      <c r="A1032" t="s">
        <v>149</v>
      </c>
      <c r="B1032" s="2">
        <v>45962</v>
      </c>
      <c r="C1032" t="s">
        <v>919</v>
      </c>
      <c r="D1032">
        <v>0</v>
      </c>
      <c r="E1032" t="s">
        <v>33</v>
      </c>
      <c r="F1032" t="s">
        <v>33</v>
      </c>
      <c r="G1032" s="44" t="s">
        <v>932</v>
      </c>
      <c r="H1032" t="s">
        <v>36</v>
      </c>
    </row>
    <row r="1033" spans="1:8" hidden="1" x14ac:dyDescent="0.3">
      <c r="A1033" t="s">
        <v>149</v>
      </c>
      <c r="B1033" s="2">
        <v>45992</v>
      </c>
      <c r="C1033" t="s">
        <v>911</v>
      </c>
      <c r="D1033">
        <v>0</v>
      </c>
      <c r="E1033" t="s">
        <v>33</v>
      </c>
      <c r="F1033" t="s">
        <v>33</v>
      </c>
      <c r="G1033" s="10" t="s">
        <v>972</v>
      </c>
      <c r="H1033" t="s">
        <v>36</v>
      </c>
    </row>
    <row r="1034" spans="1:8" hidden="1" x14ac:dyDescent="0.3">
      <c r="A1034" t="s">
        <v>149</v>
      </c>
      <c r="B1034" s="2">
        <v>46023</v>
      </c>
      <c r="C1034" t="s">
        <v>911</v>
      </c>
      <c r="D1034">
        <v>0</v>
      </c>
      <c r="E1034" t="s">
        <v>33</v>
      </c>
      <c r="F1034" t="s">
        <v>33</v>
      </c>
      <c r="G1034" s="10" t="s">
        <v>972</v>
      </c>
      <c r="H1034" t="s">
        <v>36</v>
      </c>
    </row>
    <row r="1035" spans="1:8" hidden="1" x14ac:dyDescent="0.3">
      <c r="A1035" t="s">
        <v>149</v>
      </c>
      <c r="B1035" s="2">
        <v>46054</v>
      </c>
      <c r="C1035" t="s">
        <v>895</v>
      </c>
      <c r="D1035">
        <v>0</v>
      </c>
      <c r="E1035" t="s">
        <v>33</v>
      </c>
      <c r="F1035" t="s">
        <v>33</v>
      </c>
      <c r="G1035" s="10" t="s">
        <v>326</v>
      </c>
      <c r="H1035" t="s">
        <v>36</v>
      </c>
    </row>
    <row r="1036" spans="1:8" hidden="1" x14ac:dyDescent="0.3">
      <c r="A1036" t="s">
        <v>149</v>
      </c>
      <c r="B1036" s="2">
        <v>46082</v>
      </c>
      <c r="C1036" t="s">
        <v>911</v>
      </c>
      <c r="D1036">
        <v>0</v>
      </c>
      <c r="E1036" t="s">
        <v>33</v>
      </c>
      <c r="F1036" t="s">
        <v>33</v>
      </c>
      <c r="G1036" s="10" t="s">
        <v>326</v>
      </c>
      <c r="H1036" t="s">
        <v>36</v>
      </c>
    </row>
    <row r="1037" spans="1:8" hidden="1" x14ac:dyDescent="0.3">
      <c r="A1037" t="s">
        <v>149</v>
      </c>
      <c r="B1037" s="2">
        <v>46113</v>
      </c>
      <c r="C1037" t="s">
        <v>919</v>
      </c>
      <c r="D1037">
        <v>0</v>
      </c>
      <c r="E1037" t="s">
        <v>33</v>
      </c>
      <c r="F1037" t="s">
        <v>33</v>
      </c>
      <c r="G1037" s="44" t="s">
        <v>932</v>
      </c>
      <c r="H1037" t="s">
        <v>36</v>
      </c>
    </row>
    <row r="1038" spans="1:8" hidden="1" x14ac:dyDescent="0.3">
      <c r="A1038" t="s">
        <v>149</v>
      </c>
      <c r="B1038" s="2">
        <v>46143</v>
      </c>
      <c r="C1038" t="s">
        <v>911</v>
      </c>
      <c r="D1038">
        <v>0</v>
      </c>
      <c r="E1038" t="s">
        <v>33</v>
      </c>
      <c r="F1038" t="s">
        <v>33</v>
      </c>
      <c r="G1038" s="44" t="s">
        <v>932</v>
      </c>
      <c r="H1038" t="s">
        <v>36</v>
      </c>
    </row>
    <row r="1039" spans="1:8" hidden="1" x14ac:dyDescent="0.3">
      <c r="A1039" t="s">
        <v>149</v>
      </c>
      <c r="B1039" s="2">
        <v>46235</v>
      </c>
      <c r="C1039" s="10" t="s">
        <v>896</v>
      </c>
      <c r="D1039">
        <v>0</v>
      </c>
      <c r="E1039" t="s">
        <v>33</v>
      </c>
      <c r="F1039" t="s">
        <v>33</v>
      </c>
      <c r="G1039" s="10" t="s">
        <v>932</v>
      </c>
      <c r="H1039" t="s">
        <v>36</v>
      </c>
    </row>
    <row r="1040" spans="1:8" hidden="1" x14ac:dyDescent="0.3">
      <c r="A1040" t="s">
        <v>149</v>
      </c>
      <c r="B1040" s="2">
        <v>46204</v>
      </c>
      <c r="C1040" s="10">
        <v>31</v>
      </c>
      <c r="D1040">
        <v>0</v>
      </c>
      <c r="E1040" t="s">
        <v>33</v>
      </c>
      <c r="F1040" t="s">
        <v>33</v>
      </c>
      <c r="G1040" t="s">
        <v>1014</v>
      </c>
      <c r="H1040" t="s">
        <v>36</v>
      </c>
    </row>
    <row r="1041" spans="1:8" hidden="1" x14ac:dyDescent="0.3">
      <c r="A1041" t="s">
        <v>149</v>
      </c>
      <c r="B1041" s="2">
        <v>46174</v>
      </c>
      <c r="C1041" t="s">
        <v>919</v>
      </c>
      <c r="D1041">
        <v>0</v>
      </c>
      <c r="E1041" t="s">
        <v>33</v>
      </c>
      <c r="F1041" t="s">
        <v>33</v>
      </c>
      <c r="G1041" s="10" t="s">
        <v>338</v>
      </c>
      <c r="H1041" t="s">
        <v>36</v>
      </c>
    </row>
    <row r="1042" spans="1:8" hidden="1" x14ac:dyDescent="0.3">
      <c r="A1042" t="s">
        <v>152</v>
      </c>
      <c r="B1042" s="2">
        <v>45536</v>
      </c>
      <c r="C1042" s="10"/>
    </row>
    <row r="1043" spans="1:8" hidden="1" x14ac:dyDescent="0.3">
      <c r="A1043" t="s">
        <v>152</v>
      </c>
      <c r="B1043" s="2">
        <v>45566</v>
      </c>
      <c r="C1043" s="10"/>
    </row>
    <row r="1044" spans="1:8" hidden="1" x14ac:dyDescent="0.3">
      <c r="A1044" t="s">
        <v>152</v>
      </c>
      <c r="B1044" s="2">
        <v>45597</v>
      </c>
      <c r="C1044" s="10"/>
    </row>
    <row r="1045" spans="1:8" hidden="1" x14ac:dyDescent="0.3">
      <c r="A1045" t="s">
        <v>152</v>
      </c>
      <c r="B1045" s="2">
        <v>45627</v>
      </c>
      <c r="C1045" s="10"/>
    </row>
    <row r="1046" spans="1:8" hidden="1" x14ac:dyDescent="0.3">
      <c r="A1046" t="s">
        <v>152</v>
      </c>
      <c r="B1046" s="2">
        <v>45658</v>
      </c>
      <c r="C1046" s="10"/>
    </row>
    <row r="1047" spans="1:8" ht="57.6" hidden="1" customHeight="1" x14ac:dyDescent="0.3">
      <c r="A1047" t="s">
        <v>152</v>
      </c>
      <c r="B1047" s="2">
        <v>45689</v>
      </c>
      <c r="C1047" s="10" t="s">
        <v>570</v>
      </c>
    </row>
    <row r="1048" spans="1:8" ht="57.6" hidden="1" customHeight="1" x14ac:dyDescent="0.3">
      <c r="A1048" t="s">
        <v>152</v>
      </c>
      <c r="B1048" s="2">
        <v>45717</v>
      </c>
      <c r="C1048" s="10" t="s">
        <v>554</v>
      </c>
    </row>
    <row r="1049" spans="1:8" ht="28.8" hidden="1" x14ac:dyDescent="0.3">
      <c r="A1049" t="s">
        <v>152</v>
      </c>
      <c r="B1049" s="2">
        <v>45748</v>
      </c>
      <c r="C1049" s="10" t="s">
        <v>554</v>
      </c>
    </row>
    <row r="1050" spans="1:8" ht="129.6" hidden="1" x14ac:dyDescent="0.3">
      <c r="A1050" t="s">
        <v>152</v>
      </c>
      <c r="B1050" s="2">
        <v>45778</v>
      </c>
      <c r="C1050" s="10" t="s">
        <v>571</v>
      </c>
    </row>
    <row r="1051" spans="1:8" ht="129.6" hidden="1" x14ac:dyDescent="0.3">
      <c r="A1051" t="s">
        <v>152</v>
      </c>
      <c r="B1051" s="2">
        <v>45809</v>
      </c>
      <c r="C1051" s="10" t="s">
        <v>572</v>
      </c>
    </row>
    <row r="1052" spans="1:8" ht="129.6" hidden="1" x14ac:dyDescent="0.3">
      <c r="A1052" t="s">
        <v>152</v>
      </c>
      <c r="B1052" s="2">
        <v>45839</v>
      </c>
      <c r="C1052" s="10" t="s">
        <v>573</v>
      </c>
    </row>
    <row r="1053" spans="1:8" ht="129.6" hidden="1" x14ac:dyDescent="0.3">
      <c r="A1053" t="s">
        <v>152</v>
      </c>
      <c r="B1053" s="2">
        <v>45870</v>
      </c>
      <c r="C1053" s="10" t="s">
        <v>574</v>
      </c>
    </row>
    <row r="1054" spans="1:8" ht="100.8" hidden="1" x14ac:dyDescent="0.3">
      <c r="A1054" t="s">
        <v>152</v>
      </c>
      <c r="B1054" s="2">
        <v>45901</v>
      </c>
      <c r="C1054" s="10" t="s">
        <v>575</v>
      </c>
    </row>
    <row r="1055" spans="1:8" ht="158.4" hidden="1" x14ac:dyDescent="0.3">
      <c r="A1055" t="s">
        <v>152</v>
      </c>
      <c r="B1055" s="2">
        <v>45931</v>
      </c>
      <c r="C1055" s="10" t="s">
        <v>576</v>
      </c>
    </row>
    <row r="1056" spans="1:8" ht="158.4" hidden="1" x14ac:dyDescent="0.3">
      <c r="A1056" t="s">
        <v>152</v>
      </c>
      <c r="B1056" s="2">
        <v>45962</v>
      </c>
      <c r="C1056" s="10" t="s">
        <v>577</v>
      </c>
    </row>
    <row r="1057" spans="1:8" ht="28.8" hidden="1" x14ac:dyDescent="0.3">
      <c r="A1057" t="s">
        <v>152</v>
      </c>
      <c r="B1057" s="2">
        <v>45992</v>
      </c>
      <c r="C1057" s="10" t="s">
        <v>578</v>
      </c>
    </row>
    <row r="1058" spans="1:8" ht="28.8" hidden="1" x14ac:dyDescent="0.3">
      <c r="A1058" t="s">
        <v>152</v>
      </c>
      <c r="B1058" s="2">
        <v>46023</v>
      </c>
      <c r="C1058" s="10" t="s">
        <v>579</v>
      </c>
    </row>
    <row r="1059" spans="1:8" ht="43.2" hidden="1" x14ac:dyDescent="0.3">
      <c r="A1059" t="s">
        <v>152</v>
      </c>
      <c r="B1059" s="2">
        <v>46054</v>
      </c>
      <c r="C1059" s="10" t="s">
        <v>580</v>
      </c>
    </row>
    <row r="1060" spans="1:8" ht="28.8" hidden="1" x14ac:dyDescent="0.3">
      <c r="A1060" t="s">
        <v>152</v>
      </c>
      <c r="B1060" s="2">
        <v>46082</v>
      </c>
      <c r="C1060" s="10" t="s">
        <v>581</v>
      </c>
    </row>
    <row r="1061" spans="1:8" ht="28.8" hidden="1" x14ac:dyDescent="0.3">
      <c r="A1061" t="s">
        <v>152</v>
      </c>
      <c r="B1061" s="2">
        <v>46113</v>
      </c>
      <c r="C1061" s="10" t="s">
        <v>581</v>
      </c>
    </row>
    <row r="1062" spans="1:8" ht="28.8" hidden="1" x14ac:dyDescent="0.3">
      <c r="A1062" t="s">
        <v>152</v>
      </c>
      <c r="B1062" s="2">
        <v>46143</v>
      </c>
      <c r="C1062" s="10" t="s">
        <v>865</v>
      </c>
    </row>
    <row r="1063" spans="1:8" ht="28.8" hidden="1" x14ac:dyDescent="0.3">
      <c r="A1063" t="s">
        <v>152</v>
      </c>
      <c r="B1063" s="2">
        <v>46235</v>
      </c>
      <c r="C1063" s="10" t="s">
        <v>895</v>
      </c>
      <c r="D1063" t="s">
        <v>1081</v>
      </c>
      <c r="E1063" t="s">
        <v>33</v>
      </c>
      <c r="F1063" t="s">
        <v>33</v>
      </c>
      <c r="G1063" s="10" t="s">
        <v>1082</v>
      </c>
      <c r="H1063" t="s">
        <v>36</v>
      </c>
    </row>
    <row r="1064" spans="1:8" ht="43.2" hidden="1" customHeight="1" x14ac:dyDescent="0.3">
      <c r="A1064" t="s">
        <v>152</v>
      </c>
      <c r="B1064" s="2">
        <v>46174</v>
      </c>
      <c r="C1064" s="10"/>
    </row>
    <row r="1065" spans="1:8" ht="57.6" hidden="1" customHeight="1" x14ac:dyDescent="0.3">
      <c r="A1065" t="s">
        <v>152</v>
      </c>
      <c r="B1065" s="2">
        <v>46204</v>
      </c>
      <c r="C1065" s="10">
        <v>31</v>
      </c>
      <c r="D1065">
        <v>0</v>
      </c>
      <c r="E1065" t="s">
        <v>33</v>
      </c>
      <c r="F1065" t="s">
        <v>33</v>
      </c>
      <c r="G1065" t="s">
        <v>1039</v>
      </c>
      <c r="H1065" t="s">
        <v>36</v>
      </c>
    </row>
    <row r="1066" spans="1:8" ht="57.6" hidden="1" customHeight="1" x14ac:dyDescent="0.3">
      <c r="A1066" t="s">
        <v>155</v>
      </c>
      <c r="B1066" s="2">
        <v>45536</v>
      </c>
      <c r="C1066" s="10"/>
    </row>
    <row r="1067" spans="1:8" ht="57.6" hidden="1" customHeight="1" x14ac:dyDescent="0.3">
      <c r="A1067" t="s">
        <v>155</v>
      </c>
      <c r="B1067" s="2">
        <v>45566</v>
      </c>
      <c r="C1067" s="10"/>
    </row>
    <row r="1068" spans="1:8" hidden="1" x14ac:dyDescent="0.3">
      <c r="A1068" t="s">
        <v>155</v>
      </c>
      <c r="B1068" s="2">
        <v>45597</v>
      </c>
      <c r="C1068" s="10"/>
    </row>
    <row r="1069" spans="1:8" hidden="1" x14ac:dyDescent="0.3">
      <c r="A1069" t="s">
        <v>155</v>
      </c>
      <c r="B1069" s="2">
        <v>45627</v>
      </c>
      <c r="C1069" s="10"/>
    </row>
    <row r="1070" spans="1:8" hidden="1" x14ac:dyDescent="0.3">
      <c r="A1070" t="s">
        <v>155</v>
      </c>
      <c r="B1070" s="2">
        <v>45658</v>
      </c>
      <c r="C1070" s="10"/>
    </row>
    <row r="1071" spans="1:8" hidden="1" x14ac:dyDescent="0.3">
      <c r="A1071" t="s">
        <v>155</v>
      </c>
      <c r="B1071" s="2">
        <v>45689</v>
      </c>
      <c r="C1071" s="10" t="s">
        <v>587</v>
      </c>
    </row>
    <row r="1072" spans="1:8" hidden="1" x14ac:dyDescent="0.3">
      <c r="A1072" t="s">
        <v>155</v>
      </c>
      <c r="B1072" s="2">
        <v>45717</v>
      </c>
      <c r="C1072" s="10" t="s">
        <v>588</v>
      </c>
      <c r="G1072" s="45"/>
    </row>
    <row r="1073" spans="1:8" hidden="1" x14ac:dyDescent="0.3">
      <c r="A1073" t="s">
        <v>155</v>
      </c>
      <c r="B1073" s="2">
        <v>45748</v>
      </c>
      <c r="C1073" s="10" t="s">
        <v>588</v>
      </c>
      <c r="G1073" s="45"/>
    </row>
    <row r="1074" spans="1:8" ht="129.6" hidden="1" x14ac:dyDescent="0.3">
      <c r="A1074" t="s">
        <v>155</v>
      </c>
      <c r="B1074" s="2">
        <v>45778</v>
      </c>
      <c r="C1074" s="10" t="s">
        <v>589</v>
      </c>
      <c r="G1074" s="45"/>
    </row>
    <row r="1075" spans="1:8" ht="129.6" hidden="1" x14ac:dyDescent="0.3">
      <c r="A1075" t="s">
        <v>155</v>
      </c>
      <c r="B1075" s="2">
        <v>45809</v>
      </c>
      <c r="C1075" s="10" t="s">
        <v>590</v>
      </c>
    </row>
    <row r="1076" spans="1:8" hidden="1" x14ac:dyDescent="0.3">
      <c r="A1076" t="s">
        <v>155</v>
      </c>
      <c r="B1076" s="2">
        <v>45839</v>
      </c>
      <c r="C1076" s="10"/>
    </row>
    <row r="1077" spans="1:8" ht="129.6" hidden="1" x14ac:dyDescent="0.3">
      <c r="A1077" t="s">
        <v>155</v>
      </c>
      <c r="B1077" s="2">
        <v>45870</v>
      </c>
      <c r="C1077" s="10" t="s">
        <v>591</v>
      </c>
    </row>
    <row r="1078" spans="1:8" ht="129.6" hidden="1" x14ac:dyDescent="0.3">
      <c r="A1078" t="s">
        <v>155</v>
      </c>
      <c r="B1078" s="2">
        <v>45901</v>
      </c>
      <c r="C1078" s="10" t="s">
        <v>592</v>
      </c>
    </row>
    <row r="1079" spans="1:8" ht="100.8" hidden="1" x14ac:dyDescent="0.3">
      <c r="A1079" t="s">
        <v>155</v>
      </c>
      <c r="B1079" s="2">
        <v>45931</v>
      </c>
      <c r="C1079" s="10" t="s">
        <v>593</v>
      </c>
    </row>
    <row r="1080" spans="1:8" ht="100.8" hidden="1" x14ac:dyDescent="0.3">
      <c r="A1080" t="s">
        <v>155</v>
      </c>
      <c r="B1080" s="2">
        <v>45962</v>
      </c>
      <c r="C1080" s="10" t="s">
        <v>594</v>
      </c>
    </row>
    <row r="1081" spans="1:8" hidden="1" x14ac:dyDescent="0.3">
      <c r="A1081" t="s">
        <v>155</v>
      </c>
      <c r="B1081" s="2">
        <v>45992</v>
      </c>
      <c r="C1081" s="10" t="s">
        <v>326</v>
      </c>
    </row>
    <row r="1082" spans="1:8" hidden="1" x14ac:dyDescent="0.3">
      <c r="A1082" t="s">
        <v>155</v>
      </c>
      <c r="B1082" s="2">
        <v>46023</v>
      </c>
      <c r="C1082" s="10" t="s">
        <v>338</v>
      </c>
    </row>
    <row r="1083" spans="1:8" hidden="1" x14ac:dyDescent="0.3">
      <c r="A1083" t="s">
        <v>155</v>
      </c>
      <c r="B1083" s="2">
        <v>46054</v>
      </c>
      <c r="C1083" s="10" t="s">
        <v>326</v>
      </c>
    </row>
    <row r="1084" spans="1:8" ht="28.8" hidden="1" x14ac:dyDescent="0.3">
      <c r="A1084" t="s">
        <v>155</v>
      </c>
      <c r="B1084" s="2">
        <v>46082</v>
      </c>
      <c r="C1084" s="10" t="s">
        <v>595</v>
      </c>
    </row>
    <row r="1085" spans="1:8" ht="28.8" hidden="1" x14ac:dyDescent="0.3">
      <c r="A1085" t="s">
        <v>155</v>
      </c>
      <c r="B1085" s="2">
        <v>46113</v>
      </c>
      <c r="C1085" s="10" t="s">
        <v>596</v>
      </c>
    </row>
    <row r="1086" spans="1:8" ht="28.8" hidden="1" x14ac:dyDescent="0.3">
      <c r="A1086" t="s">
        <v>155</v>
      </c>
      <c r="B1086" s="2">
        <v>46143</v>
      </c>
      <c r="C1086" s="10" t="s">
        <v>864</v>
      </c>
    </row>
    <row r="1087" spans="1:8" hidden="1" x14ac:dyDescent="0.3">
      <c r="A1087" t="s">
        <v>155</v>
      </c>
      <c r="B1087" s="2">
        <v>46235</v>
      </c>
      <c r="C1087" s="10" t="s">
        <v>36</v>
      </c>
      <c r="D1087" s="10" t="s">
        <v>36</v>
      </c>
      <c r="E1087" s="10" t="s">
        <v>36</v>
      </c>
      <c r="F1087" s="10" t="s">
        <v>36</v>
      </c>
      <c r="G1087" s="10" t="s">
        <v>36</v>
      </c>
      <c r="H1087" t="s">
        <v>1083</v>
      </c>
    </row>
    <row r="1088" spans="1:8" hidden="1" x14ac:dyDescent="0.3">
      <c r="A1088" t="s">
        <v>155</v>
      </c>
      <c r="B1088" s="2">
        <v>46174</v>
      </c>
      <c r="C1088" s="10"/>
    </row>
    <row r="1089" spans="1:8" hidden="1" x14ac:dyDescent="0.3">
      <c r="A1089" t="s">
        <v>155</v>
      </c>
      <c r="B1089" s="2">
        <v>46204</v>
      </c>
      <c r="C1089" s="10" t="s">
        <v>36</v>
      </c>
      <c r="D1089" t="s">
        <v>36</v>
      </c>
      <c r="E1089" t="s">
        <v>1041</v>
      </c>
      <c r="F1089" t="s">
        <v>36</v>
      </c>
      <c r="G1089" t="s">
        <v>36</v>
      </c>
      <c r="H1089" t="s">
        <v>36</v>
      </c>
    </row>
    <row r="1090" spans="1:8" hidden="1" x14ac:dyDescent="0.3">
      <c r="A1090" t="s">
        <v>157</v>
      </c>
      <c r="B1090" s="2">
        <v>45536</v>
      </c>
      <c r="C1090" s="10"/>
    </row>
    <row r="1091" spans="1:8" hidden="1" x14ac:dyDescent="0.3">
      <c r="A1091" t="s">
        <v>157</v>
      </c>
      <c r="B1091" s="2">
        <v>45566</v>
      </c>
      <c r="C1091" s="10"/>
    </row>
    <row r="1092" spans="1:8" hidden="1" x14ac:dyDescent="0.3">
      <c r="A1092" t="s">
        <v>157</v>
      </c>
      <c r="B1092" s="2">
        <v>45597</v>
      </c>
      <c r="C1092" s="10"/>
    </row>
    <row r="1093" spans="1:8" hidden="1" x14ac:dyDescent="0.3">
      <c r="A1093" t="s">
        <v>157</v>
      </c>
      <c r="B1093" s="2">
        <v>45627</v>
      </c>
      <c r="C1093" s="10"/>
    </row>
    <row r="1094" spans="1:8" hidden="1" x14ac:dyDescent="0.3">
      <c r="A1094" t="s">
        <v>157</v>
      </c>
      <c r="B1094" s="2">
        <v>45658</v>
      </c>
      <c r="C1094" s="10"/>
    </row>
    <row r="1095" spans="1:8" hidden="1" x14ac:dyDescent="0.3">
      <c r="A1095" t="s">
        <v>157</v>
      </c>
      <c r="B1095" s="2">
        <v>45689</v>
      </c>
      <c r="C1095" s="10"/>
    </row>
    <row r="1096" spans="1:8" hidden="1" x14ac:dyDescent="0.3">
      <c r="A1096" t="s">
        <v>157</v>
      </c>
      <c r="B1096" s="2">
        <v>45717</v>
      </c>
      <c r="C1096" s="10"/>
    </row>
    <row r="1097" spans="1:8" hidden="1" x14ac:dyDescent="0.3">
      <c r="A1097" t="s">
        <v>157</v>
      </c>
      <c r="B1097" s="2">
        <v>45748</v>
      </c>
      <c r="C1097" s="10"/>
    </row>
    <row r="1098" spans="1:8" hidden="1" x14ac:dyDescent="0.3">
      <c r="A1098" t="s">
        <v>157</v>
      </c>
      <c r="B1098" s="2">
        <v>45778</v>
      </c>
      <c r="C1098" s="10"/>
    </row>
    <row r="1099" spans="1:8" hidden="1" x14ac:dyDescent="0.3">
      <c r="A1099" t="s">
        <v>157</v>
      </c>
      <c r="B1099" s="2">
        <v>45809</v>
      </c>
      <c r="C1099" s="10"/>
    </row>
    <row r="1100" spans="1:8" hidden="1" x14ac:dyDescent="0.3">
      <c r="A1100" t="s">
        <v>157</v>
      </c>
      <c r="B1100" s="2">
        <v>45839</v>
      </c>
      <c r="C1100" s="10"/>
    </row>
    <row r="1101" spans="1:8" hidden="1" x14ac:dyDescent="0.3">
      <c r="A1101" t="s">
        <v>157</v>
      </c>
      <c r="B1101" s="2">
        <v>45870</v>
      </c>
      <c r="C1101" s="10"/>
    </row>
    <row r="1102" spans="1:8" hidden="1" x14ac:dyDescent="0.3">
      <c r="A1102" t="s">
        <v>157</v>
      </c>
      <c r="B1102" s="2">
        <v>45901</v>
      </c>
      <c r="C1102" s="10"/>
    </row>
    <row r="1103" spans="1:8" ht="100.8" hidden="1" x14ac:dyDescent="0.3">
      <c r="A1103" t="s">
        <v>157</v>
      </c>
      <c r="B1103" s="2">
        <v>45931</v>
      </c>
      <c r="C1103" s="10" t="s">
        <v>597</v>
      </c>
    </row>
    <row r="1104" spans="1:8" ht="100.8" hidden="1" x14ac:dyDescent="0.3">
      <c r="A1104" t="s">
        <v>157</v>
      </c>
      <c r="B1104" s="2">
        <v>45962</v>
      </c>
      <c r="C1104" s="10" t="s">
        <v>597</v>
      </c>
    </row>
    <row r="1105" spans="1:8" hidden="1" x14ac:dyDescent="0.3">
      <c r="A1105" t="s">
        <v>157</v>
      </c>
      <c r="B1105" s="2">
        <v>45992</v>
      </c>
      <c r="C1105" s="10" t="s">
        <v>598</v>
      </c>
    </row>
    <row r="1106" spans="1:8" hidden="1" x14ac:dyDescent="0.3">
      <c r="A1106" t="s">
        <v>157</v>
      </c>
      <c r="B1106" s="2">
        <v>46023</v>
      </c>
      <c r="C1106" s="10" t="s">
        <v>338</v>
      </c>
    </row>
    <row r="1107" spans="1:8" hidden="1" x14ac:dyDescent="0.3">
      <c r="A1107" t="s">
        <v>157</v>
      </c>
      <c r="B1107" s="2">
        <v>46054</v>
      </c>
      <c r="C1107" s="10" t="s">
        <v>326</v>
      </c>
    </row>
    <row r="1108" spans="1:8" hidden="1" x14ac:dyDescent="0.3">
      <c r="A1108" t="s">
        <v>157</v>
      </c>
      <c r="B1108" s="2">
        <v>46082</v>
      </c>
      <c r="C1108" s="10" t="s">
        <v>326</v>
      </c>
    </row>
    <row r="1109" spans="1:8" ht="28.8" hidden="1" x14ac:dyDescent="0.3">
      <c r="A1109" t="s">
        <v>157</v>
      </c>
      <c r="B1109" s="2">
        <v>46113</v>
      </c>
      <c r="C1109" s="10" t="s">
        <v>595</v>
      </c>
    </row>
    <row r="1110" spans="1:8" ht="28.8" hidden="1" x14ac:dyDescent="0.3">
      <c r="A1110" t="s">
        <v>157</v>
      </c>
      <c r="B1110" s="2">
        <v>46143</v>
      </c>
      <c r="C1110" s="10" t="s">
        <v>867</v>
      </c>
    </row>
    <row r="1111" spans="1:8" hidden="1" x14ac:dyDescent="0.3">
      <c r="A1111" t="s">
        <v>157</v>
      </c>
      <c r="B1111" s="2">
        <v>46235</v>
      </c>
      <c r="C1111" s="10" t="s">
        <v>896</v>
      </c>
      <c r="D1111">
        <v>0</v>
      </c>
      <c r="E1111" t="s">
        <v>33</v>
      </c>
      <c r="F1111" t="s">
        <v>33</v>
      </c>
      <c r="G1111" t="s">
        <v>932</v>
      </c>
      <c r="H1111" t="s">
        <v>36</v>
      </c>
    </row>
    <row r="1112" spans="1:8" hidden="1" x14ac:dyDescent="0.3">
      <c r="A1112" t="s">
        <v>157</v>
      </c>
      <c r="B1112" s="2">
        <v>46174</v>
      </c>
      <c r="C1112" s="10"/>
    </row>
    <row r="1113" spans="1:8" hidden="1" x14ac:dyDescent="0.3">
      <c r="A1113" t="s">
        <v>157</v>
      </c>
      <c r="B1113" s="2">
        <v>46204</v>
      </c>
      <c r="C1113" s="10">
        <v>31</v>
      </c>
      <c r="D1113">
        <v>0</v>
      </c>
      <c r="E1113" t="s">
        <v>33</v>
      </c>
      <c r="F1113" t="s">
        <v>33</v>
      </c>
      <c r="G1113" t="s">
        <v>932</v>
      </c>
      <c r="H1113" t="s">
        <v>36</v>
      </c>
    </row>
    <row r="1114" spans="1:8" hidden="1" x14ac:dyDescent="0.3">
      <c r="A1114" t="s">
        <v>160</v>
      </c>
      <c r="B1114" s="2">
        <v>45536</v>
      </c>
      <c r="C1114" s="10"/>
    </row>
    <row r="1115" spans="1:8" ht="28.8" hidden="1" x14ac:dyDescent="0.3">
      <c r="A1115" t="s">
        <v>160</v>
      </c>
      <c r="B1115" s="2">
        <v>45566</v>
      </c>
      <c r="C1115" s="10" t="s">
        <v>599</v>
      </c>
    </row>
    <row r="1116" spans="1:8" hidden="1" x14ac:dyDescent="0.3">
      <c r="A1116" t="s">
        <v>160</v>
      </c>
      <c r="B1116" s="2">
        <v>45597</v>
      </c>
      <c r="C1116" s="10"/>
    </row>
    <row r="1117" spans="1:8" hidden="1" x14ac:dyDescent="0.3">
      <c r="A1117" t="s">
        <v>160</v>
      </c>
      <c r="B1117" s="2">
        <v>45627</v>
      </c>
      <c r="C1117" s="10"/>
    </row>
    <row r="1118" spans="1:8" hidden="1" x14ac:dyDescent="0.3">
      <c r="A1118" t="s">
        <v>160</v>
      </c>
      <c r="B1118" s="2">
        <v>45658</v>
      </c>
      <c r="C1118" s="10"/>
    </row>
    <row r="1119" spans="1:8" ht="28.8" hidden="1" x14ac:dyDescent="0.3">
      <c r="A1119" t="s">
        <v>160</v>
      </c>
      <c r="B1119" s="2">
        <v>45689</v>
      </c>
      <c r="C1119" s="10" t="s">
        <v>600</v>
      </c>
    </row>
    <row r="1120" spans="1:8" ht="43.2" hidden="1" customHeight="1" x14ac:dyDescent="0.3">
      <c r="A1120" t="s">
        <v>160</v>
      </c>
      <c r="B1120" s="2">
        <v>45717</v>
      </c>
      <c r="C1120" s="10" t="s">
        <v>601</v>
      </c>
    </row>
    <row r="1121" spans="1:8" ht="86.4" hidden="1" x14ac:dyDescent="0.3">
      <c r="A1121" t="s">
        <v>160</v>
      </c>
      <c r="B1121" s="2">
        <v>45748</v>
      </c>
      <c r="C1121" s="10" t="s">
        <v>602</v>
      </c>
    </row>
    <row r="1122" spans="1:8" ht="100.8" hidden="1" x14ac:dyDescent="0.3">
      <c r="A1122" t="s">
        <v>160</v>
      </c>
      <c r="B1122" s="2">
        <v>45778</v>
      </c>
      <c r="C1122" s="10" t="s">
        <v>603</v>
      </c>
    </row>
    <row r="1123" spans="1:8" ht="100.8" hidden="1" x14ac:dyDescent="0.3">
      <c r="A1123" t="s">
        <v>160</v>
      </c>
      <c r="B1123" s="2">
        <v>45809</v>
      </c>
      <c r="C1123" s="10" t="s">
        <v>604</v>
      </c>
    </row>
    <row r="1124" spans="1:8" hidden="1" x14ac:dyDescent="0.3">
      <c r="A1124" t="s">
        <v>160</v>
      </c>
      <c r="B1124" s="2">
        <v>45839</v>
      </c>
      <c r="C1124" t="s">
        <v>911</v>
      </c>
      <c r="D1124">
        <v>0</v>
      </c>
      <c r="E1124" t="s">
        <v>33</v>
      </c>
      <c r="F1124" t="s">
        <v>33</v>
      </c>
      <c r="G1124" s="10" t="s">
        <v>338</v>
      </c>
      <c r="H1124" t="s">
        <v>36</v>
      </c>
    </row>
    <row r="1125" spans="1:8" hidden="1" x14ac:dyDescent="0.3">
      <c r="A1125" t="s">
        <v>160</v>
      </c>
      <c r="B1125" s="2">
        <v>45870</v>
      </c>
      <c r="C1125" t="s">
        <v>911</v>
      </c>
      <c r="D1125">
        <v>0</v>
      </c>
      <c r="E1125" t="s">
        <v>33</v>
      </c>
      <c r="F1125" t="s">
        <v>33</v>
      </c>
      <c r="G1125" s="10" t="s">
        <v>338</v>
      </c>
      <c r="H1125" t="s">
        <v>36</v>
      </c>
    </row>
    <row r="1126" spans="1:8" hidden="1" x14ac:dyDescent="0.3">
      <c r="A1126" t="s">
        <v>160</v>
      </c>
      <c r="B1126" s="2">
        <v>45901</v>
      </c>
      <c r="C1126" t="s">
        <v>919</v>
      </c>
      <c r="D1126">
        <v>0</v>
      </c>
      <c r="E1126" t="s">
        <v>33</v>
      </c>
      <c r="F1126" t="s">
        <v>33</v>
      </c>
      <c r="G1126" s="10" t="s">
        <v>338</v>
      </c>
      <c r="H1126" t="s">
        <v>36</v>
      </c>
    </row>
    <row r="1127" spans="1:8" hidden="1" x14ac:dyDescent="0.3">
      <c r="A1127" t="s">
        <v>160</v>
      </c>
      <c r="B1127" s="2">
        <v>45931</v>
      </c>
      <c r="C1127" t="s">
        <v>911</v>
      </c>
      <c r="D1127">
        <v>0</v>
      </c>
      <c r="E1127" t="s">
        <v>33</v>
      </c>
      <c r="F1127" t="s">
        <v>33</v>
      </c>
      <c r="G1127" s="10" t="s">
        <v>338</v>
      </c>
      <c r="H1127" t="s">
        <v>36</v>
      </c>
    </row>
    <row r="1128" spans="1:8" hidden="1" x14ac:dyDescent="0.3">
      <c r="A1128" t="s">
        <v>160</v>
      </c>
      <c r="B1128" s="2">
        <v>45962</v>
      </c>
      <c r="C1128" t="s">
        <v>919</v>
      </c>
      <c r="D1128">
        <v>0</v>
      </c>
      <c r="E1128" t="s">
        <v>33</v>
      </c>
      <c r="F1128" t="s">
        <v>33</v>
      </c>
      <c r="G1128" s="44" t="s">
        <v>932</v>
      </c>
      <c r="H1128" t="s">
        <v>36</v>
      </c>
    </row>
    <row r="1129" spans="1:8" hidden="1" x14ac:dyDescent="0.3">
      <c r="A1129" t="s">
        <v>160</v>
      </c>
      <c r="B1129" s="2">
        <v>45992</v>
      </c>
      <c r="C1129" t="s">
        <v>911</v>
      </c>
      <c r="D1129">
        <v>0</v>
      </c>
      <c r="E1129" t="s">
        <v>33</v>
      </c>
      <c r="F1129" t="s">
        <v>33</v>
      </c>
      <c r="G1129" s="44" t="s">
        <v>932</v>
      </c>
      <c r="H1129" t="s">
        <v>36</v>
      </c>
    </row>
    <row r="1130" spans="1:8" hidden="1" x14ac:dyDescent="0.3">
      <c r="A1130" t="s">
        <v>160</v>
      </c>
      <c r="B1130" s="2">
        <v>46023</v>
      </c>
      <c r="C1130" t="s">
        <v>911</v>
      </c>
      <c r="D1130">
        <v>0</v>
      </c>
      <c r="E1130" t="s">
        <v>33</v>
      </c>
      <c r="F1130" t="s">
        <v>33</v>
      </c>
      <c r="G1130" s="44" t="s">
        <v>932</v>
      </c>
      <c r="H1130" t="s">
        <v>36</v>
      </c>
    </row>
    <row r="1131" spans="1:8" hidden="1" x14ac:dyDescent="0.3">
      <c r="A1131" t="s">
        <v>160</v>
      </c>
      <c r="B1131" s="2">
        <v>46054</v>
      </c>
      <c r="C1131" t="s">
        <v>895</v>
      </c>
      <c r="D1131">
        <v>0</v>
      </c>
      <c r="E1131" t="s">
        <v>33</v>
      </c>
      <c r="F1131" t="s">
        <v>33</v>
      </c>
      <c r="G1131" s="10" t="s">
        <v>338</v>
      </c>
      <c r="H1131" t="s">
        <v>36</v>
      </c>
    </row>
    <row r="1132" spans="1:8" hidden="1" x14ac:dyDescent="0.3">
      <c r="A1132" t="s">
        <v>160</v>
      </c>
      <c r="B1132" s="2">
        <v>46082</v>
      </c>
      <c r="C1132" t="s">
        <v>911</v>
      </c>
      <c r="D1132">
        <v>0</v>
      </c>
      <c r="E1132" t="s">
        <v>33</v>
      </c>
      <c r="F1132" t="s">
        <v>33</v>
      </c>
      <c r="G1132" s="10" t="s">
        <v>338</v>
      </c>
      <c r="H1132" t="s">
        <v>36</v>
      </c>
    </row>
    <row r="1133" spans="1:8" hidden="1" x14ac:dyDescent="0.3">
      <c r="A1133" t="s">
        <v>160</v>
      </c>
      <c r="B1133" s="2">
        <v>46113</v>
      </c>
      <c r="C1133" t="s">
        <v>919</v>
      </c>
      <c r="D1133">
        <v>0</v>
      </c>
      <c r="E1133" t="s">
        <v>33</v>
      </c>
      <c r="F1133" t="s">
        <v>33</v>
      </c>
      <c r="G1133" s="10" t="s">
        <v>338</v>
      </c>
      <c r="H1133" t="s">
        <v>36</v>
      </c>
    </row>
    <row r="1134" spans="1:8" hidden="1" x14ac:dyDescent="0.3">
      <c r="A1134" t="s">
        <v>160</v>
      </c>
      <c r="B1134" s="2">
        <v>46143</v>
      </c>
      <c r="C1134" t="s">
        <v>911</v>
      </c>
      <c r="D1134">
        <v>0</v>
      </c>
      <c r="E1134" t="s">
        <v>33</v>
      </c>
      <c r="F1134" t="s">
        <v>33</v>
      </c>
      <c r="G1134" s="10" t="s">
        <v>338</v>
      </c>
      <c r="H1134" t="s">
        <v>36</v>
      </c>
    </row>
    <row r="1135" spans="1:8" hidden="1" x14ac:dyDescent="0.3">
      <c r="A1135" t="s">
        <v>160</v>
      </c>
      <c r="B1135" s="2">
        <v>46235</v>
      </c>
      <c r="C1135" t="s">
        <v>896</v>
      </c>
      <c r="D1135">
        <v>0</v>
      </c>
      <c r="E1135" t="s">
        <v>33</v>
      </c>
      <c r="F1135" t="s">
        <v>33</v>
      </c>
      <c r="G1135" t="s">
        <v>338</v>
      </c>
      <c r="H1135" t="s">
        <v>36</v>
      </c>
    </row>
    <row r="1136" spans="1:8" hidden="1" x14ac:dyDescent="0.3">
      <c r="A1136" t="s">
        <v>160</v>
      </c>
      <c r="B1136" s="2">
        <v>46174</v>
      </c>
      <c r="C1136" t="s">
        <v>919</v>
      </c>
      <c r="D1136">
        <v>0</v>
      </c>
      <c r="E1136" t="s">
        <v>33</v>
      </c>
      <c r="F1136" t="s">
        <v>33</v>
      </c>
      <c r="G1136" s="10" t="s">
        <v>338</v>
      </c>
      <c r="H1136" t="s">
        <v>36</v>
      </c>
    </row>
    <row r="1137" spans="1:8" hidden="1" x14ac:dyDescent="0.3">
      <c r="A1137" t="s">
        <v>160</v>
      </c>
      <c r="B1137" s="2">
        <v>46204</v>
      </c>
      <c r="C1137" s="10">
        <v>31</v>
      </c>
      <c r="D1137">
        <v>0</v>
      </c>
      <c r="E1137" t="s">
        <v>33</v>
      </c>
      <c r="F1137" t="s">
        <v>33</v>
      </c>
      <c r="G1137" t="s">
        <v>1014</v>
      </c>
      <c r="H1137" t="s">
        <v>36</v>
      </c>
    </row>
    <row r="1138" spans="1:8" hidden="1" x14ac:dyDescent="0.3">
      <c r="A1138" t="s">
        <v>244</v>
      </c>
      <c r="B1138" s="2">
        <v>45536</v>
      </c>
      <c r="C1138" s="10"/>
    </row>
    <row r="1139" spans="1:8" hidden="1" x14ac:dyDescent="0.3">
      <c r="A1139" t="s">
        <v>244</v>
      </c>
      <c r="B1139" s="2">
        <v>45566</v>
      </c>
      <c r="C1139" s="10"/>
    </row>
    <row r="1140" spans="1:8" hidden="1" x14ac:dyDescent="0.3">
      <c r="A1140" t="s">
        <v>244</v>
      </c>
      <c r="B1140" s="2">
        <v>45597</v>
      </c>
      <c r="C1140" s="10"/>
    </row>
    <row r="1141" spans="1:8" hidden="1" x14ac:dyDescent="0.3">
      <c r="A1141" t="s">
        <v>244</v>
      </c>
      <c r="B1141" s="2">
        <v>45627</v>
      </c>
      <c r="C1141" s="10"/>
    </row>
    <row r="1142" spans="1:8" ht="43.2" hidden="1" customHeight="1" x14ac:dyDescent="0.3">
      <c r="A1142" t="s">
        <v>244</v>
      </c>
      <c r="B1142" s="2">
        <v>45658</v>
      </c>
      <c r="C1142" s="10"/>
    </row>
    <row r="1143" spans="1:8" ht="43.2" hidden="1" customHeight="1" x14ac:dyDescent="0.3">
      <c r="A1143" t="s">
        <v>244</v>
      </c>
      <c r="B1143" s="2">
        <v>45689</v>
      </c>
      <c r="C1143" s="10"/>
    </row>
    <row r="1144" spans="1:8" ht="43.2" hidden="1" customHeight="1" x14ac:dyDescent="0.3">
      <c r="A1144" t="s">
        <v>244</v>
      </c>
      <c r="B1144" s="2">
        <v>45717</v>
      </c>
      <c r="C1144" s="10"/>
    </row>
    <row r="1145" spans="1:8" hidden="1" x14ac:dyDescent="0.3">
      <c r="A1145" t="s">
        <v>244</v>
      </c>
      <c r="B1145" s="2">
        <v>45748</v>
      </c>
      <c r="C1145" s="10"/>
    </row>
    <row r="1146" spans="1:8" hidden="1" x14ac:dyDescent="0.3">
      <c r="A1146" t="s">
        <v>244</v>
      </c>
      <c r="B1146" s="2">
        <v>45778</v>
      </c>
      <c r="C1146" s="10"/>
    </row>
    <row r="1147" spans="1:8" hidden="1" x14ac:dyDescent="0.3">
      <c r="A1147" t="s">
        <v>244</v>
      </c>
      <c r="B1147" s="2">
        <v>45809</v>
      </c>
      <c r="C1147" s="10"/>
    </row>
    <row r="1148" spans="1:8" hidden="1" x14ac:dyDescent="0.3">
      <c r="A1148" t="s">
        <v>244</v>
      </c>
      <c r="B1148" s="2">
        <v>45839</v>
      </c>
      <c r="C1148" s="10"/>
    </row>
    <row r="1149" spans="1:8" hidden="1" x14ac:dyDescent="0.3">
      <c r="A1149" t="s">
        <v>244</v>
      </c>
      <c r="B1149" s="2">
        <v>45870</v>
      </c>
      <c r="C1149" s="10"/>
    </row>
    <row r="1150" spans="1:8" hidden="1" x14ac:dyDescent="0.3">
      <c r="A1150" t="s">
        <v>244</v>
      </c>
      <c r="B1150" s="2">
        <v>45901</v>
      </c>
      <c r="C1150" s="10"/>
    </row>
    <row r="1151" spans="1:8" hidden="1" x14ac:dyDescent="0.3">
      <c r="A1151" t="s">
        <v>244</v>
      </c>
      <c r="B1151" s="2">
        <v>45931</v>
      </c>
      <c r="C1151" s="10"/>
    </row>
    <row r="1152" spans="1:8" hidden="1" x14ac:dyDescent="0.3">
      <c r="A1152" t="s">
        <v>244</v>
      </c>
      <c r="B1152" s="2">
        <v>45962</v>
      </c>
      <c r="C1152" s="10"/>
    </row>
    <row r="1153" spans="1:8" hidden="1" x14ac:dyDescent="0.3">
      <c r="A1153" t="s">
        <v>244</v>
      </c>
      <c r="B1153" s="2">
        <v>45992</v>
      </c>
      <c r="C1153" s="10"/>
    </row>
    <row r="1154" spans="1:8" hidden="1" x14ac:dyDescent="0.3">
      <c r="A1154" t="s">
        <v>244</v>
      </c>
      <c r="B1154" s="2">
        <v>46023</v>
      </c>
      <c r="C1154" s="10"/>
    </row>
    <row r="1155" spans="1:8" hidden="1" x14ac:dyDescent="0.3">
      <c r="A1155" t="s">
        <v>244</v>
      </c>
      <c r="B1155" s="2">
        <v>46054</v>
      </c>
      <c r="C1155" s="10"/>
    </row>
    <row r="1156" spans="1:8" hidden="1" x14ac:dyDescent="0.3">
      <c r="A1156" t="s">
        <v>244</v>
      </c>
      <c r="B1156" s="2">
        <v>46082</v>
      </c>
      <c r="C1156" s="10"/>
    </row>
    <row r="1157" spans="1:8" hidden="1" x14ac:dyDescent="0.3">
      <c r="A1157" t="s">
        <v>244</v>
      </c>
      <c r="B1157" s="2">
        <v>46113</v>
      </c>
      <c r="C1157" s="10" t="s">
        <v>605</v>
      </c>
    </row>
    <row r="1158" spans="1:8" hidden="1" x14ac:dyDescent="0.3">
      <c r="A1158" t="s">
        <v>244</v>
      </c>
      <c r="B1158" s="2">
        <v>46143</v>
      </c>
      <c r="C1158" s="10" t="s">
        <v>852</v>
      </c>
    </row>
    <row r="1159" spans="1:8" hidden="1" x14ac:dyDescent="0.3">
      <c r="A1159" t="s">
        <v>244</v>
      </c>
      <c r="B1159" s="2">
        <v>46235</v>
      </c>
      <c r="C1159" s="10" t="s">
        <v>896</v>
      </c>
      <c r="D1159">
        <v>0</v>
      </c>
      <c r="E1159" t="s">
        <v>33</v>
      </c>
      <c r="F1159" t="s">
        <v>33</v>
      </c>
      <c r="G1159" t="s">
        <v>932</v>
      </c>
      <c r="H1159" t="s">
        <v>36</v>
      </c>
    </row>
    <row r="1160" spans="1:8" hidden="1" x14ac:dyDescent="0.3">
      <c r="A1160" t="s">
        <v>244</v>
      </c>
      <c r="B1160" s="2">
        <v>46174</v>
      </c>
      <c r="C1160" s="10"/>
    </row>
    <row r="1161" spans="1:8" hidden="1" x14ac:dyDescent="0.3">
      <c r="A1161" t="s">
        <v>244</v>
      </c>
      <c r="B1161" s="2">
        <v>46204</v>
      </c>
      <c r="C1161" s="10">
        <v>31</v>
      </c>
      <c r="D1161">
        <v>0</v>
      </c>
      <c r="E1161" t="s">
        <v>33</v>
      </c>
      <c r="F1161" t="s">
        <v>33</v>
      </c>
      <c r="G1161" t="s">
        <v>932</v>
      </c>
      <c r="H1161" t="s">
        <v>36</v>
      </c>
    </row>
    <row r="1162" spans="1:8" hidden="1" x14ac:dyDescent="0.3">
      <c r="A1162" t="s">
        <v>163</v>
      </c>
      <c r="B1162" s="2">
        <v>45536</v>
      </c>
      <c r="C1162" s="10"/>
    </row>
    <row r="1163" spans="1:8" hidden="1" x14ac:dyDescent="0.3">
      <c r="A1163" t="s">
        <v>163</v>
      </c>
      <c r="B1163" s="2">
        <v>45566</v>
      </c>
      <c r="C1163" s="10"/>
    </row>
    <row r="1164" spans="1:8" hidden="1" x14ac:dyDescent="0.3">
      <c r="A1164" t="s">
        <v>163</v>
      </c>
      <c r="B1164" s="2">
        <v>45597</v>
      </c>
      <c r="C1164" s="10"/>
    </row>
    <row r="1165" spans="1:8" hidden="1" x14ac:dyDescent="0.3">
      <c r="A1165" t="s">
        <v>163</v>
      </c>
      <c r="B1165" s="2">
        <v>45627</v>
      </c>
      <c r="C1165" s="10"/>
    </row>
    <row r="1166" spans="1:8" ht="43.2" hidden="1" customHeight="1" x14ac:dyDescent="0.3">
      <c r="A1166" t="s">
        <v>163</v>
      </c>
      <c r="B1166" s="2">
        <v>45658</v>
      </c>
      <c r="C1166" s="10"/>
    </row>
    <row r="1167" spans="1:8" ht="43.2" hidden="1" customHeight="1" x14ac:dyDescent="0.3">
      <c r="A1167" t="s">
        <v>163</v>
      </c>
      <c r="B1167" s="2">
        <v>45689</v>
      </c>
      <c r="C1167" s="10" t="s">
        <v>610</v>
      </c>
    </row>
    <row r="1168" spans="1:8" ht="43.2" hidden="1" customHeight="1" x14ac:dyDescent="0.3">
      <c r="A1168" t="s">
        <v>163</v>
      </c>
      <c r="B1168" s="2">
        <v>45717</v>
      </c>
      <c r="C1168" s="10" t="s">
        <v>611</v>
      </c>
    </row>
    <row r="1169" spans="1:8" ht="57.6" hidden="1" x14ac:dyDescent="0.3">
      <c r="A1169" t="s">
        <v>163</v>
      </c>
      <c r="B1169" s="2">
        <v>45748</v>
      </c>
      <c r="C1169" s="10" t="s">
        <v>612</v>
      </c>
    </row>
    <row r="1170" spans="1:8" ht="129.6" hidden="1" x14ac:dyDescent="0.3">
      <c r="A1170" t="s">
        <v>163</v>
      </c>
      <c r="B1170" s="2">
        <v>45778</v>
      </c>
      <c r="C1170" s="10" t="s">
        <v>613</v>
      </c>
    </row>
    <row r="1171" spans="1:8" ht="129.6" hidden="1" x14ac:dyDescent="0.3">
      <c r="A1171" t="s">
        <v>163</v>
      </c>
      <c r="B1171" s="2">
        <v>45809</v>
      </c>
      <c r="C1171" s="10" t="s">
        <v>614</v>
      </c>
    </row>
    <row r="1172" spans="1:8" ht="129.6" hidden="1" x14ac:dyDescent="0.3">
      <c r="A1172" t="s">
        <v>163</v>
      </c>
      <c r="B1172" s="2">
        <v>45839</v>
      </c>
      <c r="C1172" s="10" t="s">
        <v>615</v>
      </c>
    </row>
    <row r="1173" spans="1:8" ht="129.6" hidden="1" x14ac:dyDescent="0.3">
      <c r="A1173" t="s">
        <v>163</v>
      </c>
      <c r="B1173" s="2">
        <v>45870</v>
      </c>
      <c r="C1173" s="10" t="s">
        <v>616</v>
      </c>
    </row>
    <row r="1174" spans="1:8" ht="129.6" hidden="1" x14ac:dyDescent="0.3">
      <c r="A1174" t="s">
        <v>163</v>
      </c>
      <c r="B1174" s="2">
        <v>45901</v>
      </c>
      <c r="C1174" s="10" t="s">
        <v>617</v>
      </c>
    </row>
    <row r="1175" spans="1:8" ht="100.8" hidden="1" x14ac:dyDescent="0.3">
      <c r="A1175" t="s">
        <v>163</v>
      </c>
      <c r="B1175" s="2">
        <v>45931</v>
      </c>
      <c r="C1175" s="10" t="s">
        <v>618</v>
      </c>
    </row>
    <row r="1176" spans="1:8" hidden="1" x14ac:dyDescent="0.3">
      <c r="A1176" t="s">
        <v>163</v>
      </c>
      <c r="B1176" s="2">
        <v>45962</v>
      </c>
      <c r="C1176" s="10" t="s">
        <v>619</v>
      </c>
    </row>
    <row r="1177" spans="1:8" hidden="1" x14ac:dyDescent="0.3">
      <c r="A1177" t="s">
        <v>163</v>
      </c>
      <c r="B1177" s="2">
        <v>45992</v>
      </c>
      <c r="C1177" s="10" t="s">
        <v>619</v>
      </c>
    </row>
    <row r="1178" spans="1:8" hidden="1" x14ac:dyDescent="0.3">
      <c r="A1178" t="s">
        <v>163</v>
      </c>
      <c r="B1178" s="2">
        <v>46023</v>
      </c>
      <c r="C1178" s="10" t="s">
        <v>619</v>
      </c>
    </row>
    <row r="1179" spans="1:8" hidden="1" x14ac:dyDescent="0.3">
      <c r="A1179" t="s">
        <v>163</v>
      </c>
      <c r="B1179" s="2">
        <v>46054</v>
      </c>
      <c r="C1179" s="10" t="s">
        <v>619</v>
      </c>
    </row>
    <row r="1180" spans="1:8" hidden="1" x14ac:dyDescent="0.3">
      <c r="A1180" t="s">
        <v>163</v>
      </c>
      <c r="B1180" s="2">
        <v>46082</v>
      </c>
      <c r="C1180" s="10" t="s">
        <v>619</v>
      </c>
    </row>
    <row r="1181" spans="1:8" hidden="1" x14ac:dyDescent="0.3">
      <c r="A1181" t="s">
        <v>163</v>
      </c>
      <c r="B1181" s="2">
        <v>46113</v>
      </c>
      <c r="C1181" s="10" t="s">
        <v>619</v>
      </c>
    </row>
    <row r="1182" spans="1:8" hidden="1" x14ac:dyDescent="0.3">
      <c r="A1182" t="s">
        <v>163</v>
      </c>
      <c r="B1182" s="2">
        <v>46143</v>
      </c>
      <c r="C1182" s="10" t="s">
        <v>859</v>
      </c>
    </row>
    <row r="1183" spans="1:8" hidden="1" x14ac:dyDescent="0.3">
      <c r="A1183" t="s">
        <v>163</v>
      </c>
      <c r="B1183" s="2">
        <v>46174</v>
      </c>
      <c r="C1183" s="10"/>
    </row>
    <row r="1184" spans="1:8" ht="28.95" hidden="1" customHeight="1" x14ac:dyDescent="0.3">
      <c r="A1184" t="s">
        <v>163</v>
      </c>
      <c r="B1184" s="2">
        <v>46204</v>
      </c>
      <c r="C1184" s="10" t="s">
        <v>36</v>
      </c>
      <c r="D1184" t="s">
        <v>36</v>
      </c>
      <c r="E1184" t="s">
        <v>1040</v>
      </c>
      <c r="F1184" t="s">
        <v>36</v>
      </c>
      <c r="G1184" t="s">
        <v>36</v>
      </c>
      <c r="H1184" t="s">
        <v>36</v>
      </c>
    </row>
    <row r="1185" spans="1:8" ht="28.95" hidden="1" customHeight="1" x14ac:dyDescent="0.3">
      <c r="A1185" t="s">
        <v>163</v>
      </c>
      <c r="B1185" s="2">
        <v>46235</v>
      </c>
      <c r="C1185" s="10" t="s">
        <v>36</v>
      </c>
      <c r="D1185" s="10" t="s">
        <v>36</v>
      </c>
      <c r="E1185" s="10" t="s">
        <v>36</v>
      </c>
      <c r="F1185" s="10" t="s">
        <v>36</v>
      </c>
      <c r="G1185" s="10" t="s">
        <v>36</v>
      </c>
      <c r="H1185" t="s">
        <v>1083</v>
      </c>
    </row>
    <row r="1186" spans="1:8" ht="72" hidden="1" customHeight="1" x14ac:dyDescent="0.3">
      <c r="A1186" t="s">
        <v>166</v>
      </c>
      <c r="B1186" s="2">
        <v>45536</v>
      </c>
      <c r="C1186" s="10" t="s">
        <v>620</v>
      </c>
    </row>
    <row r="1187" spans="1:8" ht="72" hidden="1" customHeight="1" x14ac:dyDescent="0.3">
      <c r="A1187" t="s">
        <v>166</v>
      </c>
      <c r="B1187" s="2">
        <v>45566</v>
      </c>
      <c r="C1187" s="10"/>
    </row>
    <row r="1188" spans="1:8" ht="72" hidden="1" customHeight="1" x14ac:dyDescent="0.3">
      <c r="A1188" t="s">
        <v>166</v>
      </c>
      <c r="B1188" s="2">
        <v>45597</v>
      </c>
      <c r="C1188" s="10"/>
    </row>
    <row r="1189" spans="1:8" ht="72" hidden="1" customHeight="1" x14ac:dyDescent="0.3">
      <c r="A1189" t="s">
        <v>166</v>
      </c>
      <c r="B1189" s="2">
        <v>45627</v>
      </c>
      <c r="C1189" s="10"/>
    </row>
    <row r="1190" spans="1:8" ht="72" hidden="1" customHeight="1" x14ac:dyDescent="0.3">
      <c r="A1190" t="s">
        <v>166</v>
      </c>
      <c r="B1190" s="2">
        <v>45658</v>
      </c>
      <c r="C1190" s="10"/>
    </row>
    <row r="1191" spans="1:8" ht="57.6" hidden="1" customHeight="1" x14ac:dyDescent="0.3">
      <c r="A1191" t="s">
        <v>166</v>
      </c>
      <c r="B1191" s="2">
        <v>45689</v>
      </c>
      <c r="C1191" s="10" t="s">
        <v>621</v>
      </c>
    </row>
    <row r="1192" spans="1:8" ht="43.2" hidden="1" x14ac:dyDescent="0.3">
      <c r="A1192" t="s">
        <v>166</v>
      </c>
      <c r="B1192" s="2">
        <v>45717</v>
      </c>
      <c r="C1192" s="10" t="s">
        <v>622</v>
      </c>
    </row>
    <row r="1193" spans="1:8" ht="115.2" hidden="1" x14ac:dyDescent="0.3">
      <c r="A1193" t="s">
        <v>166</v>
      </c>
      <c r="B1193" s="2">
        <v>45748</v>
      </c>
      <c r="C1193" s="10" t="s">
        <v>623</v>
      </c>
    </row>
    <row r="1194" spans="1:8" ht="144" hidden="1" x14ac:dyDescent="0.3">
      <c r="A1194" t="s">
        <v>166</v>
      </c>
      <c r="B1194" s="2">
        <v>45778</v>
      </c>
      <c r="C1194" s="10" t="s">
        <v>624</v>
      </c>
    </row>
    <row r="1195" spans="1:8" ht="144" hidden="1" x14ac:dyDescent="0.3">
      <c r="A1195" t="s">
        <v>166</v>
      </c>
      <c r="B1195" s="2">
        <v>45809</v>
      </c>
      <c r="C1195" s="10" t="s">
        <v>625</v>
      </c>
    </row>
    <row r="1196" spans="1:8" ht="144" hidden="1" x14ac:dyDescent="0.3">
      <c r="A1196" t="s">
        <v>166</v>
      </c>
      <c r="B1196" s="2">
        <v>45839</v>
      </c>
      <c r="C1196" s="10" t="s">
        <v>626</v>
      </c>
    </row>
    <row r="1197" spans="1:8" ht="115.2" hidden="1" x14ac:dyDescent="0.3">
      <c r="A1197" t="s">
        <v>166</v>
      </c>
      <c r="B1197" s="2">
        <v>45870</v>
      </c>
      <c r="C1197" s="10" t="s">
        <v>627</v>
      </c>
    </row>
    <row r="1198" spans="1:8" ht="115.2" hidden="1" x14ac:dyDescent="0.3">
      <c r="A1198" t="s">
        <v>166</v>
      </c>
      <c r="B1198" s="2">
        <v>45901</v>
      </c>
      <c r="C1198" s="10" t="s">
        <v>628</v>
      </c>
    </row>
    <row r="1199" spans="1:8" ht="115.2" hidden="1" x14ac:dyDescent="0.3">
      <c r="A1199" t="s">
        <v>166</v>
      </c>
      <c r="B1199" s="2">
        <v>45931</v>
      </c>
      <c r="C1199" s="10" t="s">
        <v>629</v>
      </c>
    </row>
    <row r="1200" spans="1:8" ht="115.2" hidden="1" x14ac:dyDescent="0.3">
      <c r="A1200" t="s">
        <v>166</v>
      </c>
      <c r="B1200" s="2">
        <v>45962</v>
      </c>
      <c r="C1200" s="10" t="s">
        <v>630</v>
      </c>
    </row>
    <row r="1201" spans="1:8" ht="28.8" hidden="1" x14ac:dyDescent="0.3">
      <c r="A1201" t="s">
        <v>166</v>
      </c>
      <c r="B1201" s="2">
        <v>45992</v>
      </c>
      <c r="C1201" s="10" t="s">
        <v>631</v>
      </c>
    </row>
    <row r="1202" spans="1:8" hidden="1" x14ac:dyDescent="0.3">
      <c r="A1202" t="s">
        <v>166</v>
      </c>
      <c r="B1202" s="2">
        <v>46023</v>
      </c>
      <c r="C1202" s="10" t="s">
        <v>632</v>
      </c>
    </row>
    <row r="1203" spans="1:8" ht="43.2" hidden="1" x14ac:dyDescent="0.3">
      <c r="A1203" t="s">
        <v>166</v>
      </c>
      <c r="B1203" s="2">
        <v>46054</v>
      </c>
      <c r="C1203" s="10" t="s">
        <v>314</v>
      </c>
    </row>
    <row r="1204" spans="1:8" hidden="1" x14ac:dyDescent="0.3">
      <c r="A1204" t="s">
        <v>166</v>
      </c>
      <c r="B1204" s="2">
        <v>46082</v>
      </c>
      <c r="C1204" s="10" t="s">
        <v>632</v>
      </c>
    </row>
    <row r="1205" spans="1:8" hidden="1" x14ac:dyDescent="0.3">
      <c r="A1205" t="s">
        <v>166</v>
      </c>
      <c r="B1205" s="2">
        <v>46113</v>
      </c>
      <c r="C1205" s="10" t="s">
        <v>632</v>
      </c>
    </row>
    <row r="1206" spans="1:8" hidden="1" x14ac:dyDescent="0.3">
      <c r="A1206" t="s">
        <v>166</v>
      </c>
      <c r="B1206" s="2">
        <v>46143</v>
      </c>
      <c r="C1206" s="10" t="s">
        <v>852</v>
      </c>
    </row>
    <row r="1207" spans="1:8" hidden="1" x14ac:dyDescent="0.3">
      <c r="A1207" t="s">
        <v>166</v>
      </c>
      <c r="B1207" s="2">
        <v>46174</v>
      </c>
      <c r="C1207" s="10"/>
    </row>
    <row r="1208" spans="1:8" ht="28.95" hidden="1" customHeight="1" x14ac:dyDescent="0.3">
      <c r="A1208" t="s">
        <v>166</v>
      </c>
      <c r="B1208" s="2">
        <v>46204</v>
      </c>
      <c r="C1208" s="10">
        <v>31</v>
      </c>
      <c r="D1208">
        <v>0</v>
      </c>
      <c r="E1208" t="s">
        <v>33</v>
      </c>
      <c r="F1208" t="s">
        <v>1042</v>
      </c>
      <c r="G1208" t="s">
        <v>932</v>
      </c>
      <c r="H1208" t="s">
        <v>36</v>
      </c>
    </row>
    <row r="1209" spans="1:8" hidden="1" x14ac:dyDescent="0.3">
      <c r="A1209" t="s">
        <v>166</v>
      </c>
      <c r="B1209" s="2">
        <v>46235</v>
      </c>
      <c r="C1209" s="10" t="s">
        <v>896</v>
      </c>
      <c r="D1209">
        <v>0</v>
      </c>
      <c r="E1209" t="s">
        <v>33</v>
      </c>
      <c r="F1209" t="s">
        <v>33</v>
      </c>
      <c r="G1209" s="10" t="s">
        <v>932</v>
      </c>
      <c r="H1209" t="s">
        <v>36</v>
      </c>
    </row>
    <row r="1210" spans="1:8" ht="72" hidden="1" customHeight="1" x14ac:dyDescent="0.3">
      <c r="A1210" t="s">
        <v>169</v>
      </c>
      <c r="B1210" s="2">
        <v>45536</v>
      </c>
      <c r="C1210" s="10" t="s">
        <v>633</v>
      </c>
    </row>
    <row r="1211" spans="1:8" ht="72" hidden="1" customHeight="1" x14ac:dyDescent="0.3">
      <c r="A1211" t="s">
        <v>169</v>
      </c>
      <c r="B1211" s="2">
        <v>45566</v>
      </c>
      <c r="C1211" s="10"/>
    </row>
    <row r="1212" spans="1:8" ht="72" hidden="1" customHeight="1" x14ac:dyDescent="0.3">
      <c r="A1212" t="s">
        <v>169</v>
      </c>
      <c r="B1212" s="2">
        <v>45597</v>
      </c>
      <c r="C1212" s="10"/>
    </row>
    <row r="1213" spans="1:8" ht="57.6" hidden="1" customHeight="1" x14ac:dyDescent="0.3">
      <c r="A1213" t="s">
        <v>169</v>
      </c>
      <c r="B1213" s="2">
        <v>45627</v>
      </c>
      <c r="C1213" s="10"/>
    </row>
    <row r="1214" spans="1:8" ht="57.6" hidden="1" customHeight="1" x14ac:dyDescent="0.3">
      <c r="A1214" t="s">
        <v>169</v>
      </c>
      <c r="B1214" s="2">
        <v>45658</v>
      </c>
      <c r="C1214" s="10"/>
    </row>
    <row r="1215" spans="1:8" ht="57.6" hidden="1" customHeight="1" x14ac:dyDescent="0.3">
      <c r="A1215" t="s">
        <v>169</v>
      </c>
      <c r="B1215" s="2">
        <v>45689</v>
      </c>
      <c r="C1215" s="10" t="s">
        <v>634</v>
      </c>
    </row>
    <row r="1216" spans="1:8" ht="57.6" hidden="1" customHeight="1" x14ac:dyDescent="0.3">
      <c r="A1216" t="s">
        <v>169</v>
      </c>
      <c r="B1216" s="2">
        <v>45717</v>
      </c>
      <c r="C1216" s="10" t="s">
        <v>634</v>
      </c>
    </row>
    <row r="1217" spans="1:8" hidden="1" x14ac:dyDescent="0.3">
      <c r="A1217" t="s">
        <v>169</v>
      </c>
      <c r="B1217" s="2">
        <v>45748</v>
      </c>
      <c r="C1217" s="10" t="s">
        <v>634</v>
      </c>
    </row>
    <row r="1218" spans="1:8" ht="115.2" hidden="1" x14ac:dyDescent="0.3">
      <c r="A1218" t="s">
        <v>169</v>
      </c>
      <c r="B1218" s="2">
        <v>45778</v>
      </c>
      <c r="C1218" s="10" t="s">
        <v>635</v>
      </c>
    </row>
    <row r="1219" spans="1:8" ht="115.2" hidden="1" x14ac:dyDescent="0.3">
      <c r="A1219" t="s">
        <v>169</v>
      </c>
      <c r="B1219" s="2">
        <v>45809</v>
      </c>
      <c r="C1219" s="10" t="s">
        <v>636</v>
      </c>
    </row>
    <row r="1220" spans="1:8" ht="115.2" hidden="1" x14ac:dyDescent="0.3">
      <c r="A1220" t="s">
        <v>169</v>
      </c>
      <c r="B1220" s="2">
        <v>45839</v>
      </c>
      <c r="C1220" s="10" t="s">
        <v>637</v>
      </c>
    </row>
    <row r="1221" spans="1:8" ht="115.2" hidden="1" x14ac:dyDescent="0.3">
      <c r="A1221" t="s">
        <v>169</v>
      </c>
      <c r="B1221" s="2">
        <v>45870</v>
      </c>
      <c r="C1221" s="10" t="s">
        <v>638</v>
      </c>
    </row>
    <row r="1222" spans="1:8" ht="115.2" hidden="1" x14ac:dyDescent="0.3">
      <c r="A1222" t="s">
        <v>169</v>
      </c>
      <c r="B1222" s="2">
        <v>45901</v>
      </c>
      <c r="C1222" s="10" t="s">
        <v>639</v>
      </c>
    </row>
    <row r="1223" spans="1:8" ht="115.2" hidden="1" x14ac:dyDescent="0.3">
      <c r="A1223" t="s">
        <v>169</v>
      </c>
      <c r="B1223" s="2">
        <v>45931</v>
      </c>
      <c r="C1223" s="10" t="s">
        <v>640</v>
      </c>
    </row>
    <row r="1224" spans="1:8" ht="115.2" hidden="1" x14ac:dyDescent="0.3">
      <c r="A1224" t="s">
        <v>169</v>
      </c>
      <c r="B1224" s="2">
        <v>45962</v>
      </c>
      <c r="C1224" s="10" t="s">
        <v>641</v>
      </c>
    </row>
    <row r="1225" spans="1:8" ht="28.8" hidden="1" x14ac:dyDescent="0.3">
      <c r="A1225" t="s">
        <v>169</v>
      </c>
      <c r="B1225" s="2">
        <v>45992</v>
      </c>
      <c r="C1225" s="10" t="s">
        <v>642</v>
      </c>
    </row>
    <row r="1226" spans="1:8" ht="28.8" hidden="1" x14ac:dyDescent="0.3">
      <c r="A1226" t="s">
        <v>169</v>
      </c>
      <c r="B1226" s="2">
        <v>46023</v>
      </c>
      <c r="C1226" s="10" t="s">
        <v>642</v>
      </c>
    </row>
    <row r="1227" spans="1:8" ht="28.8" hidden="1" x14ac:dyDescent="0.3">
      <c r="A1227" t="s">
        <v>169</v>
      </c>
      <c r="B1227" s="2">
        <v>46054</v>
      </c>
      <c r="C1227" s="10" t="s">
        <v>642</v>
      </c>
    </row>
    <row r="1228" spans="1:8" hidden="1" x14ac:dyDescent="0.3">
      <c r="A1228" t="s">
        <v>169</v>
      </c>
      <c r="B1228" s="2">
        <v>46082</v>
      </c>
      <c r="C1228" s="10" t="s">
        <v>632</v>
      </c>
    </row>
    <row r="1229" spans="1:8" hidden="1" x14ac:dyDescent="0.3">
      <c r="A1229" t="s">
        <v>169</v>
      </c>
      <c r="B1229" s="2">
        <v>46113</v>
      </c>
      <c r="C1229" s="10" t="s">
        <v>632</v>
      </c>
    </row>
    <row r="1230" spans="1:8" hidden="1" x14ac:dyDescent="0.3">
      <c r="A1230" t="s">
        <v>169</v>
      </c>
      <c r="B1230" s="2">
        <v>46143</v>
      </c>
      <c r="C1230" s="10" t="s">
        <v>852</v>
      </c>
    </row>
    <row r="1231" spans="1:8" hidden="1" x14ac:dyDescent="0.3">
      <c r="A1231" t="s">
        <v>169</v>
      </c>
      <c r="B1231" s="2">
        <v>46174</v>
      </c>
      <c r="C1231" s="10"/>
    </row>
    <row r="1232" spans="1:8" hidden="1" x14ac:dyDescent="0.3">
      <c r="A1232" t="s">
        <v>169</v>
      </c>
      <c r="B1232" s="2">
        <v>46204</v>
      </c>
      <c r="C1232" s="10">
        <v>31</v>
      </c>
      <c r="D1232">
        <v>0</v>
      </c>
      <c r="E1232" t="s">
        <v>33</v>
      </c>
      <c r="F1232" t="s">
        <v>1042</v>
      </c>
      <c r="G1232" t="s">
        <v>932</v>
      </c>
      <c r="H1232" t="s">
        <v>36</v>
      </c>
    </row>
    <row r="1233" spans="1:8" hidden="1" x14ac:dyDescent="0.3">
      <c r="A1233" t="s">
        <v>169</v>
      </c>
      <c r="B1233" s="2">
        <v>46235</v>
      </c>
      <c r="C1233" s="10" t="s">
        <v>896</v>
      </c>
      <c r="D1233">
        <v>0</v>
      </c>
      <c r="E1233" t="s">
        <v>33</v>
      </c>
      <c r="F1233" t="s">
        <v>33</v>
      </c>
      <c r="G1233" s="10" t="s">
        <v>932</v>
      </c>
      <c r="H1233" t="s">
        <v>36</v>
      </c>
    </row>
    <row r="1234" spans="1:8" ht="57.6" hidden="1" customHeight="1" x14ac:dyDescent="0.3">
      <c r="A1234" t="s">
        <v>171</v>
      </c>
      <c r="B1234" s="2">
        <v>45536</v>
      </c>
      <c r="C1234" s="10"/>
    </row>
    <row r="1235" spans="1:8" ht="57.6" hidden="1" customHeight="1" x14ac:dyDescent="0.3">
      <c r="A1235" t="s">
        <v>171</v>
      </c>
      <c r="B1235" s="2">
        <v>45566</v>
      </c>
      <c r="C1235" s="10" t="s">
        <v>643</v>
      </c>
    </row>
    <row r="1236" spans="1:8" ht="57.6" hidden="1" customHeight="1" x14ac:dyDescent="0.3">
      <c r="A1236" t="s">
        <v>171</v>
      </c>
      <c r="B1236" s="2">
        <v>45597</v>
      </c>
      <c r="C1236" s="10"/>
    </row>
    <row r="1237" spans="1:8" ht="57.6" hidden="1" customHeight="1" x14ac:dyDescent="0.3">
      <c r="A1237" t="s">
        <v>171</v>
      </c>
      <c r="B1237" s="2">
        <v>45627</v>
      </c>
      <c r="C1237" s="10"/>
    </row>
    <row r="1238" spans="1:8" ht="57.6" hidden="1" customHeight="1" x14ac:dyDescent="0.3">
      <c r="A1238" t="s">
        <v>171</v>
      </c>
      <c r="B1238" s="2">
        <v>45658</v>
      </c>
      <c r="C1238" s="10"/>
    </row>
    <row r="1239" spans="1:8" ht="57.6" hidden="1" customHeight="1" x14ac:dyDescent="0.3">
      <c r="A1239" t="s">
        <v>171</v>
      </c>
      <c r="B1239" s="2">
        <v>45689</v>
      </c>
      <c r="C1239" s="10" t="s">
        <v>644</v>
      </c>
    </row>
    <row r="1240" spans="1:8" ht="57.6" hidden="1" customHeight="1" x14ac:dyDescent="0.3">
      <c r="A1240" t="s">
        <v>171</v>
      </c>
      <c r="B1240" s="2">
        <v>45717</v>
      </c>
      <c r="C1240" s="10" t="s">
        <v>644</v>
      </c>
    </row>
    <row r="1241" spans="1:8" ht="86.4" hidden="1" x14ac:dyDescent="0.3">
      <c r="A1241" t="s">
        <v>171</v>
      </c>
      <c r="B1241" s="2">
        <v>45748</v>
      </c>
      <c r="C1241" s="10" t="s">
        <v>645</v>
      </c>
    </row>
    <row r="1242" spans="1:8" ht="115.2" hidden="1" x14ac:dyDescent="0.3">
      <c r="A1242" t="s">
        <v>171</v>
      </c>
      <c r="B1242" s="2">
        <v>45778</v>
      </c>
      <c r="C1242" s="10" t="s">
        <v>646</v>
      </c>
    </row>
    <row r="1243" spans="1:8" ht="115.2" hidden="1" x14ac:dyDescent="0.3">
      <c r="A1243" t="s">
        <v>171</v>
      </c>
      <c r="B1243" s="2">
        <v>45809</v>
      </c>
      <c r="C1243" s="10" t="s">
        <v>647</v>
      </c>
    </row>
    <row r="1244" spans="1:8" ht="115.2" hidden="1" x14ac:dyDescent="0.3">
      <c r="A1244" t="s">
        <v>171</v>
      </c>
      <c r="B1244" s="2">
        <v>45839</v>
      </c>
      <c r="C1244" s="10" t="s">
        <v>648</v>
      </c>
    </row>
    <row r="1245" spans="1:8" ht="129.6" hidden="1" x14ac:dyDescent="0.3">
      <c r="A1245" t="s">
        <v>171</v>
      </c>
      <c r="B1245" s="2">
        <v>45870</v>
      </c>
      <c r="C1245" s="10" t="s">
        <v>649</v>
      </c>
    </row>
    <row r="1246" spans="1:8" ht="100.8" hidden="1" x14ac:dyDescent="0.3">
      <c r="A1246" t="s">
        <v>171</v>
      </c>
      <c r="B1246" s="2">
        <v>45901</v>
      </c>
      <c r="C1246" s="10" t="s">
        <v>650</v>
      </c>
    </row>
    <row r="1247" spans="1:8" ht="100.8" hidden="1" x14ac:dyDescent="0.3">
      <c r="A1247" t="s">
        <v>171</v>
      </c>
      <c r="B1247" s="2">
        <v>45931</v>
      </c>
      <c r="C1247" s="10" t="s">
        <v>651</v>
      </c>
    </row>
    <row r="1248" spans="1:8" ht="100.8" hidden="1" x14ac:dyDescent="0.3">
      <c r="A1248" t="s">
        <v>171</v>
      </c>
      <c r="B1248" s="2">
        <v>45962</v>
      </c>
      <c r="C1248" s="10" t="s">
        <v>652</v>
      </c>
    </row>
    <row r="1249" spans="1:8" hidden="1" x14ac:dyDescent="0.3">
      <c r="A1249" t="s">
        <v>171</v>
      </c>
      <c r="B1249" s="2">
        <v>45992</v>
      </c>
      <c r="C1249" s="10" t="s">
        <v>598</v>
      </c>
    </row>
    <row r="1250" spans="1:8" hidden="1" x14ac:dyDescent="0.3">
      <c r="A1250" t="s">
        <v>171</v>
      </c>
      <c r="B1250" s="2">
        <v>46023</v>
      </c>
      <c r="C1250" s="10" t="s">
        <v>338</v>
      </c>
    </row>
    <row r="1251" spans="1:8" hidden="1" x14ac:dyDescent="0.3">
      <c r="A1251" t="s">
        <v>171</v>
      </c>
      <c r="B1251" s="2">
        <v>46054</v>
      </c>
      <c r="C1251" s="10" t="s">
        <v>326</v>
      </c>
    </row>
    <row r="1252" spans="1:8" hidden="1" x14ac:dyDescent="0.3">
      <c r="A1252" t="s">
        <v>171</v>
      </c>
      <c r="B1252" s="2">
        <v>46082</v>
      </c>
      <c r="C1252" s="10" t="s">
        <v>326</v>
      </c>
    </row>
    <row r="1253" spans="1:8" hidden="1" x14ac:dyDescent="0.3">
      <c r="A1253" t="s">
        <v>171</v>
      </c>
      <c r="B1253" s="2">
        <v>46113</v>
      </c>
      <c r="C1253" s="10" t="s">
        <v>302</v>
      </c>
    </row>
    <row r="1254" spans="1:8" hidden="1" x14ac:dyDescent="0.3">
      <c r="A1254" t="s">
        <v>171</v>
      </c>
      <c r="B1254" s="2">
        <v>46143</v>
      </c>
      <c r="C1254" s="10" t="s">
        <v>302</v>
      </c>
    </row>
    <row r="1255" spans="1:8" hidden="1" x14ac:dyDescent="0.3">
      <c r="A1255" t="s">
        <v>171</v>
      </c>
      <c r="B1255" s="2">
        <v>46174</v>
      </c>
      <c r="C1255" s="10"/>
    </row>
    <row r="1256" spans="1:8" hidden="1" x14ac:dyDescent="0.3">
      <c r="A1256" t="s">
        <v>171</v>
      </c>
      <c r="B1256" s="2">
        <v>46204</v>
      </c>
      <c r="C1256" s="10">
        <v>31</v>
      </c>
      <c r="D1256">
        <v>0</v>
      </c>
      <c r="E1256" t="s">
        <v>33</v>
      </c>
      <c r="F1256" t="s">
        <v>33</v>
      </c>
      <c r="G1256" t="s">
        <v>1014</v>
      </c>
      <c r="H1256" t="s">
        <v>36</v>
      </c>
    </row>
    <row r="1257" spans="1:8" hidden="1" x14ac:dyDescent="0.3">
      <c r="A1257" t="s">
        <v>171</v>
      </c>
      <c r="B1257" s="2">
        <v>46235</v>
      </c>
      <c r="C1257" t="s">
        <v>896</v>
      </c>
      <c r="D1257">
        <v>0</v>
      </c>
      <c r="E1257" t="s">
        <v>33</v>
      </c>
      <c r="F1257" t="s">
        <v>33</v>
      </c>
      <c r="G1257" t="s">
        <v>338</v>
      </c>
      <c r="H1257" t="s">
        <v>36</v>
      </c>
    </row>
    <row r="1258" spans="1:8" ht="57.6" hidden="1" customHeight="1" x14ac:dyDescent="0.3">
      <c r="A1258" t="s">
        <v>172</v>
      </c>
      <c r="B1258" s="2">
        <v>45536</v>
      </c>
      <c r="C1258" s="10"/>
    </row>
    <row r="1259" spans="1:8" ht="57.6" hidden="1" customHeight="1" x14ac:dyDescent="0.3">
      <c r="A1259" t="s">
        <v>172</v>
      </c>
      <c r="B1259" s="2">
        <v>45566</v>
      </c>
      <c r="C1259" s="10"/>
    </row>
    <row r="1260" spans="1:8" ht="57.6" hidden="1" customHeight="1" x14ac:dyDescent="0.3">
      <c r="A1260" t="s">
        <v>172</v>
      </c>
      <c r="B1260" s="2">
        <v>45597</v>
      </c>
      <c r="C1260" s="10"/>
    </row>
    <row r="1261" spans="1:8" ht="57.6" hidden="1" customHeight="1" x14ac:dyDescent="0.3">
      <c r="A1261" t="s">
        <v>172</v>
      </c>
      <c r="B1261" s="2">
        <v>45627</v>
      </c>
      <c r="C1261" s="10"/>
    </row>
    <row r="1262" spans="1:8" ht="57.6" hidden="1" customHeight="1" x14ac:dyDescent="0.3">
      <c r="A1262" t="s">
        <v>172</v>
      </c>
      <c r="B1262" s="2">
        <v>45658</v>
      </c>
      <c r="C1262" s="10"/>
    </row>
    <row r="1263" spans="1:8" ht="57.6" hidden="1" customHeight="1" x14ac:dyDescent="0.3">
      <c r="A1263" t="s">
        <v>172</v>
      </c>
      <c r="B1263" s="2">
        <v>45689</v>
      </c>
      <c r="C1263" s="10" t="s">
        <v>653</v>
      </c>
    </row>
    <row r="1264" spans="1:8" ht="57.6" hidden="1" customHeight="1" x14ac:dyDescent="0.3">
      <c r="A1264" t="s">
        <v>172</v>
      </c>
      <c r="B1264" s="2">
        <v>45717</v>
      </c>
      <c r="C1264" s="10" t="s">
        <v>654</v>
      </c>
    </row>
    <row r="1265" spans="1:8" ht="28.8" hidden="1" x14ac:dyDescent="0.3">
      <c r="A1265" t="s">
        <v>172</v>
      </c>
      <c r="B1265" s="2">
        <v>45748</v>
      </c>
      <c r="C1265" s="10" t="s">
        <v>654</v>
      </c>
    </row>
    <row r="1266" spans="1:8" ht="129.6" hidden="1" x14ac:dyDescent="0.3">
      <c r="A1266" t="s">
        <v>172</v>
      </c>
      <c r="B1266" s="2">
        <v>45778</v>
      </c>
      <c r="C1266" s="10" t="s">
        <v>655</v>
      </c>
    </row>
    <row r="1267" spans="1:8" ht="129.6" hidden="1" x14ac:dyDescent="0.3">
      <c r="A1267" t="s">
        <v>172</v>
      </c>
      <c r="B1267" s="2">
        <v>45809</v>
      </c>
      <c r="C1267" s="10" t="s">
        <v>656</v>
      </c>
    </row>
    <row r="1268" spans="1:8" ht="129.6" hidden="1" x14ac:dyDescent="0.3">
      <c r="A1268" t="s">
        <v>172</v>
      </c>
      <c r="B1268" s="2">
        <v>45839</v>
      </c>
      <c r="C1268" s="10" t="s">
        <v>657</v>
      </c>
    </row>
    <row r="1269" spans="1:8" ht="100.8" hidden="1" x14ac:dyDescent="0.3">
      <c r="A1269" t="s">
        <v>172</v>
      </c>
      <c r="B1269" s="2">
        <v>45870</v>
      </c>
      <c r="C1269" s="10" t="s">
        <v>658</v>
      </c>
    </row>
    <row r="1270" spans="1:8" ht="100.8" hidden="1" x14ac:dyDescent="0.3">
      <c r="A1270" t="s">
        <v>172</v>
      </c>
      <c r="B1270" s="2">
        <v>45901</v>
      </c>
      <c r="C1270" s="10" t="s">
        <v>659</v>
      </c>
    </row>
    <row r="1271" spans="1:8" ht="100.8" hidden="1" x14ac:dyDescent="0.3">
      <c r="A1271" t="s">
        <v>172</v>
      </c>
      <c r="B1271" s="2">
        <v>45931</v>
      </c>
      <c r="C1271" s="10" t="s">
        <v>660</v>
      </c>
    </row>
    <row r="1272" spans="1:8" ht="100.8" hidden="1" x14ac:dyDescent="0.3">
      <c r="A1272" t="s">
        <v>172</v>
      </c>
      <c r="B1272" s="2">
        <v>45962</v>
      </c>
      <c r="C1272" s="10" t="s">
        <v>661</v>
      </c>
    </row>
    <row r="1273" spans="1:8" hidden="1" x14ac:dyDescent="0.3">
      <c r="A1273" t="s">
        <v>172</v>
      </c>
      <c r="B1273" s="2">
        <v>45992</v>
      </c>
      <c r="C1273" s="10" t="s">
        <v>598</v>
      </c>
    </row>
    <row r="1274" spans="1:8" ht="28.8" hidden="1" x14ac:dyDescent="0.3">
      <c r="A1274" t="s">
        <v>172</v>
      </c>
      <c r="B1274" s="2">
        <v>46023</v>
      </c>
      <c r="C1274" s="10" t="s">
        <v>662</v>
      </c>
    </row>
    <row r="1275" spans="1:8" ht="28.8" hidden="1" x14ac:dyDescent="0.3">
      <c r="A1275" t="s">
        <v>172</v>
      </c>
      <c r="B1275" s="2">
        <v>46054</v>
      </c>
      <c r="C1275" s="10" t="s">
        <v>662</v>
      </c>
    </row>
    <row r="1276" spans="1:8" ht="43.2" hidden="1" x14ac:dyDescent="0.3">
      <c r="A1276" t="s">
        <v>172</v>
      </c>
      <c r="B1276" s="2">
        <v>46082</v>
      </c>
      <c r="C1276" s="10" t="s">
        <v>663</v>
      </c>
    </row>
    <row r="1277" spans="1:8" ht="28.8" hidden="1" x14ac:dyDescent="0.3">
      <c r="A1277" t="s">
        <v>172</v>
      </c>
      <c r="B1277" s="2">
        <v>46113</v>
      </c>
      <c r="C1277" s="10" t="s">
        <v>664</v>
      </c>
    </row>
    <row r="1278" spans="1:8" ht="28.8" hidden="1" x14ac:dyDescent="0.3">
      <c r="A1278" t="s">
        <v>172</v>
      </c>
      <c r="B1278" s="2">
        <v>46143</v>
      </c>
      <c r="C1278" s="10" t="s">
        <v>867</v>
      </c>
    </row>
    <row r="1279" spans="1:8" hidden="1" x14ac:dyDescent="0.3">
      <c r="A1279" t="s">
        <v>172</v>
      </c>
      <c r="B1279" s="2">
        <v>46174</v>
      </c>
      <c r="C1279" s="10"/>
    </row>
    <row r="1280" spans="1:8" ht="28.95" hidden="1" customHeight="1" x14ac:dyDescent="0.3">
      <c r="A1280" t="s">
        <v>172</v>
      </c>
      <c r="B1280" s="2">
        <v>46204</v>
      </c>
      <c r="C1280" s="10">
        <v>31</v>
      </c>
      <c r="D1280">
        <v>0</v>
      </c>
      <c r="E1280" t="s">
        <v>33</v>
      </c>
      <c r="F1280" t="s">
        <v>1042</v>
      </c>
      <c r="G1280" t="s">
        <v>932</v>
      </c>
      <c r="H1280" t="s">
        <v>36</v>
      </c>
    </row>
    <row r="1281" spans="1:8" hidden="1" x14ac:dyDescent="0.3">
      <c r="A1281" t="s">
        <v>172</v>
      </c>
      <c r="B1281" s="2">
        <v>46235</v>
      </c>
      <c r="C1281" t="s">
        <v>896</v>
      </c>
      <c r="D1281">
        <v>0</v>
      </c>
      <c r="E1281" t="s">
        <v>33</v>
      </c>
      <c r="F1281" t="s">
        <v>33</v>
      </c>
      <c r="G1281" t="s">
        <v>338</v>
      </c>
      <c r="H1281" t="s">
        <v>36</v>
      </c>
    </row>
    <row r="1282" spans="1:8" ht="57.6" hidden="1" customHeight="1" x14ac:dyDescent="0.3">
      <c r="A1282" t="s">
        <v>265</v>
      </c>
      <c r="B1282" s="2">
        <v>46204</v>
      </c>
      <c r="C1282" s="10">
        <v>0</v>
      </c>
      <c r="D1282">
        <v>31</v>
      </c>
      <c r="E1282" t="s">
        <v>1043</v>
      </c>
      <c r="F1282" t="s">
        <v>33</v>
      </c>
      <c r="G1282" t="s">
        <v>1044</v>
      </c>
      <c r="H1282" t="s">
        <v>1045</v>
      </c>
    </row>
    <row r="1283" spans="1:8" ht="57.6" hidden="1" customHeight="1" x14ac:dyDescent="0.3">
      <c r="A1283" t="s">
        <v>265</v>
      </c>
      <c r="B1283" s="2">
        <v>46174</v>
      </c>
      <c r="C1283" s="10"/>
    </row>
    <row r="1284" spans="1:8" ht="57.6" hidden="1" customHeight="1" x14ac:dyDescent="0.3">
      <c r="A1284" t="s">
        <v>265</v>
      </c>
      <c r="B1284" s="2">
        <v>45536</v>
      </c>
      <c r="C1284" s="10"/>
    </row>
    <row r="1285" spans="1:8" ht="57.6" hidden="1" customHeight="1" x14ac:dyDescent="0.3">
      <c r="A1285" t="s">
        <v>265</v>
      </c>
      <c r="B1285" s="2">
        <v>45566</v>
      </c>
      <c r="C1285" s="10" t="s">
        <v>675</v>
      </c>
    </row>
    <row r="1286" spans="1:8" ht="57.6" hidden="1" customHeight="1" x14ac:dyDescent="0.3">
      <c r="A1286" t="s">
        <v>265</v>
      </c>
      <c r="B1286" s="2">
        <v>45597</v>
      </c>
      <c r="C1286" s="10"/>
    </row>
    <row r="1287" spans="1:8" ht="57.6" hidden="1" customHeight="1" x14ac:dyDescent="0.3">
      <c r="A1287" t="s">
        <v>265</v>
      </c>
      <c r="B1287" s="2">
        <v>45627</v>
      </c>
      <c r="C1287" s="10"/>
    </row>
    <row r="1288" spans="1:8" ht="57.6" hidden="1" customHeight="1" x14ac:dyDescent="0.3">
      <c r="A1288" t="s">
        <v>265</v>
      </c>
      <c r="B1288" s="2">
        <v>45658</v>
      </c>
      <c r="C1288" s="10"/>
    </row>
    <row r="1289" spans="1:8" hidden="1" x14ac:dyDescent="0.3">
      <c r="A1289" t="s">
        <v>265</v>
      </c>
      <c r="B1289" s="2">
        <v>45689</v>
      </c>
      <c r="C1289" s="10" t="s">
        <v>676</v>
      </c>
    </row>
    <row r="1290" spans="1:8" ht="43.2" hidden="1" x14ac:dyDescent="0.3">
      <c r="A1290" t="s">
        <v>265</v>
      </c>
      <c r="B1290" s="2">
        <v>45717</v>
      </c>
      <c r="C1290" s="10" t="s">
        <v>677</v>
      </c>
    </row>
    <row r="1291" spans="1:8" ht="43.2" hidden="1" x14ac:dyDescent="0.3">
      <c r="A1291" t="s">
        <v>265</v>
      </c>
      <c r="B1291" s="2">
        <v>45748</v>
      </c>
      <c r="C1291" s="10" t="s">
        <v>677</v>
      </c>
    </row>
    <row r="1292" spans="1:8" ht="144" hidden="1" x14ac:dyDescent="0.3">
      <c r="A1292" t="s">
        <v>265</v>
      </c>
      <c r="B1292" s="2">
        <v>45778</v>
      </c>
      <c r="C1292" s="10" t="s">
        <v>678</v>
      </c>
    </row>
    <row r="1293" spans="1:8" ht="115.2" hidden="1" x14ac:dyDescent="0.3">
      <c r="A1293" t="s">
        <v>265</v>
      </c>
      <c r="B1293" s="2">
        <v>45809</v>
      </c>
      <c r="C1293" s="10" t="s">
        <v>679</v>
      </c>
    </row>
    <row r="1294" spans="1:8" ht="115.2" hidden="1" x14ac:dyDescent="0.3">
      <c r="A1294" t="s">
        <v>265</v>
      </c>
      <c r="B1294" s="2">
        <v>45839</v>
      </c>
      <c r="C1294" s="10" t="s">
        <v>680</v>
      </c>
    </row>
    <row r="1295" spans="1:8" ht="115.2" hidden="1" x14ac:dyDescent="0.3">
      <c r="A1295" t="s">
        <v>265</v>
      </c>
      <c r="B1295" s="2">
        <v>45870</v>
      </c>
      <c r="C1295" s="10" t="s">
        <v>681</v>
      </c>
    </row>
    <row r="1296" spans="1:8" ht="115.2" hidden="1" x14ac:dyDescent="0.3">
      <c r="A1296" t="s">
        <v>265</v>
      </c>
      <c r="B1296" s="2">
        <v>45901</v>
      </c>
      <c r="C1296" s="10" t="s">
        <v>682</v>
      </c>
    </row>
    <row r="1297" spans="1:8" ht="115.2" hidden="1" x14ac:dyDescent="0.3">
      <c r="A1297" t="s">
        <v>265</v>
      </c>
      <c r="B1297" s="2">
        <v>45931</v>
      </c>
      <c r="C1297" s="10" t="s">
        <v>683</v>
      </c>
    </row>
    <row r="1298" spans="1:8" ht="115.2" hidden="1" x14ac:dyDescent="0.3">
      <c r="A1298" t="s">
        <v>265</v>
      </c>
      <c r="B1298" s="2">
        <v>45962</v>
      </c>
      <c r="C1298" s="10" t="s">
        <v>684</v>
      </c>
    </row>
    <row r="1299" spans="1:8" ht="28.8" hidden="1" x14ac:dyDescent="0.3">
      <c r="A1299" t="s">
        <v>265</v>
      </c>
      <c r="B1299" s="2">
        <v>45992</v>
      </c>
      <c r="C1299" s="10" t="s">
        <v>685</v>
      </c>
    </row>
    <row r="1300" spans="1:8" ht="28.8" hidden="1" x14ac:dyDescent="0.3">
      <c r="A1300" t="s">
        <v>265</v>
      </c>
      <c r="B1300" s="2">
        <v>46023</v>
      </c>
      <c r="C1300" s="10" t="s">
        <v>686</v>
      </c>
    </row>
    <row r="1301" spans="1:8" ht="28.8" hidden="1" x14ac:dyDescent="0.3">
      <c r="A1301" t="s">
        <v>265</v>
      </c>
      <c r="B1301" s="2">
        <v>46054</v>
      </c>
      <c r="C1301" s="10" t="s">
        <v>686</v>
      </c>
    </row>
    <row r="1302" spans="1:8" ht="28.8" hidden="1" x14ac:dyDescent="0.3">
      <c r="A1302" t="s">
        <v>265</v>
      </c>
      <c r="B1302" s="2">
        <v>46082</v>
      </c>
      <c r="C1302" s="10" t="s">
        <v>687</v>
      </c>
    </row>
    <row r="1303" spans="1:8" ht="28.8" hidden="1" x14ac:dyDescent="0.3">
      <c r="A1303" t="s">
        <v>265</v>
      </c>
      <c r="B1303" s="2">
        <v>46113</v>
      </c>
      <c r="C1303" s="10" t="s">
        <v>687</v>
      </c>
    </row>
    <row r="1304" spans="1:8" ht="28.8" hidden="1" x14ac:dyDescent="0.3">
      <c r="A1304" t="s">
        <v>265</v>
      </c>
      <c r="B1304" s="2">
        <v>46143</v>
      </c>
      <c r="C1304" s="10" t="s">
        <v>860</v>
      </c>
    </row>
    <row r="1305" spans="1:8" hidden="1" x14ac:dyDescent="0.3">
      <c r="A1305" t="s">
        <v>265</v>
      </c>
      <c r="B1305" s="2">
        <v>46235</v>
      </c>
      <c r="C1305" s="10" t="s">
        <v>36</v>
      </c>
      <c r="D1305" s="10" t="s">
        <v>36</v>
      </c>
      <c r="E1305" s="10" t="s">
        <v>36</v>
      </c>
      <c r="F1305" s="10" t="s">
        <v>36</v>
      </c>
      <c r="G1305" s="10" t="s">
        <v>36</v>
      </c>
      <c r="H1305" t="s">
        <v>1090</v>
      </c>
    </row>
    <row r="1306" spans="1:8" ht="57.6" hidden="1" customHeight="1" x14ac:dyDescent="0.3">
      <c r="A1306" t="s">
        <v>177</v>
      </c>
      <c r="B1306" s="2">
        <v>45536</v>
      </c>
      <c r="C1306" s="10"/>
    </row>
    <row r="1307" spans="1:8" ht="57.6" hidden="1" customHeight="1" x14ac:dyDescent="0.3">
      <c r="A1307" t="s">
        <v>177</v>
      </c>
      <c r="B1307" s="2">
        <v>45566</v>
      </c>
      <c r="C1307" s="10"/>
    </row>
    <row r="1308" spans="1:8" ht="57.6" hidden="1" customHeight="1" x14ac:dyDescent="0.3">
      <c r="A1308" t="s">
        <v>177</v>
      </c>
      <c r="B1308" s="2">
        <v>45597</v>
      </c>
      <c r="C1308" s="10"/>
    </row>
    <row r="1309" spans="1:8" ht="57.6" hidden="1" customHeight="1" x14ac:dyDescent="0.3">
      <c r="A1309" t="s">
        <v>177</v>
      </c>
      <c r="B1309" s="2">
        <v>45627</v>
      </c>
      <c r="C1309" s="10"/>
    </row>
    <row r="1310" spans="1:8" ht="57.6" hidden="1" customHeight="1" x14ac:dyDescent="0.3">
      <c r="A1310" t="s">
        <v>177</v>
      </c>
      <c r="B1310" s="2">
        <v>45658</v>
      </c>
      <c r="C1310" s="10"/>
    </row>
    <row r="1311" spans="1:8" ht="57.6" hidden="1" customHeight="1" x14ac:dyDescent="0.3">
      <c r="A1311" t="s">
        <v>177</v>
      </c>
      <c r="B1311" s="2">
        <v>45689</v>
      </c>
      <c r="C1311" s="10" t="s">
        <v>665</v>
      </c>
    </row>
    <row r="1312" spans="1:8" ht="57.6" hidden="1" customHeight="1" x14ac:dyDescent="0.3">
      <c r="A1312" t="s">
        <v>177</v>
      </c>
      <c r="B1312" s="2">
        <v>45717</v>
      </c>
      <c r="C1312" s="10" t="s">
        <v>665</v>
      </c>
    </row>
    <row r="1313" spans="1:8" hidden="1" x14ac:dyDescent="0.3">
      <c r="A1313" t="s">
        <v>177</v>
      </c>
      <c r="B1313" s="2">
        <v>45748</v>
      </c>
      <c r="C1313" s="10" t="s">
        <v>665</v>
      </c>
    </row>
    <row r="1314" spans="1:8" ht="115.2" hidden="1" x14ac:dyDescent="0.3">
      <c r="A1314" t="s">
        <v>177</v>
      </c>
      <c r="B1314" s="2">
        <v>45778</v>
      </c>
      <c r="C1314" s="10" t="s">
        <v>666</v>
      </c>
    </row>
    <row r="1315" spans="1:8" ht="100.8" hidden="1" x14ac:dyDescent="0.3">
      <c r="A1315" t="s">
        <v>177</v>
      </c>
      <c r="B1315" s="2">
        <v>45809</v>
      </c>
      <c r="C1315" s="10" t="s">
        <v>667</v>
      </c>
    </row>
    <row r="1316" spans="1:8" ht="100.8" hidden="1" x14ac:dyDescent="0.3">
      <c r="A1316" t="s">
        <v>177</v>
      </c>
      <c r="B1316" s="2">
        <v>45839</v>
      </c>
      <c r="C1316" s="10" t="s">
        <v>668</v>
      </c>
    </row>
    <row r="1317" spans="1:8" ht="100.8" hidden="1" x14ac:dyDescent="0.3">
      <c r="A1317" t="s">
        <v>177</v>
      </c>
      <c r="B1317" s="2">
        <v>45870</v>
      </c>
      <c r="C1317" s="10" t="s">
        <v>669</v>
      </c>
    </row>
    <row r="1318" spans="1:8" ht="100.8" hidden="1" x14ac:dyDescent="0.3">
      <c r="A1318" t="s">
        <v>177</v>
      </c>
      <c r="B1318" s="2">
        <v>45901</v>
      </c>
      <c r="C1318" s="10" t="s">
        <v>670</v>
      </c>
    </row>
    <row r="1319" spans="1:8" ht="115.2" hidden="1" x14ac:dyDescent="0.3">
      <c r="A1319" t="s">
        <v>177</v>
      </c>
      <c r="B1319" s="2">
        <v>45931</v>
      </c>
      <c r="C1319" s="10" t="s">
        <v>671</v>
      </c>
    </row>
    <row r="1320" spans="1:8" ht="100.8" hidden="1" x14ac:dyDescent="0.3">
      <c r="A1320" t="s">
        <v>177</v>
      </c>
      <c r="B1320" s="2">
        <v>45962</v>
      </c>
      <c r="C1320" s="10" t="s">
        <v>672</v>
      </c>
    </row>
    <row r="1321" spans="1:8" ht="28.8" hidden="1" x14ac:dyDescent="0.3">
      <c r="A1321" t="s">
        <v>177</v>
      </c>
      <c r="B1321" s="2">
        <v>45992</v>
      </c>
      <c r="C1321" s="10" t="s">
        <v>673</v>
      </c>
    </row>
    <row r="1322" spans="1:8" hidden="1" x14ac:dyDescent="0.3">
      <c r="A1322" t="s">
        <v>177</v>
      </c>
      <c r="B1322" s="2">
        <v>46023</v>
      </c>
      <c r="C1322" s="10" t="s">
        <v>674</v>
      </c>
    </row>
    <row r="1323" spans="1:8" hidden="1" x14ac:dyDescent="0.3">
      <c r="A1323" t="s">
        <v>177</v>
      </c>
      <c r="B1323" s="2">
        <v>46054</v>
      </c>
      <c r="C1323" s="10" t="s">
        <v>326</v>
      </c>
    </row>
    <row r="1324" spans="1:8" hidden="1" x14ac:dyDescent="0.3">
      <c r="A1324" t="s">
        <v>177</v>
      </c>
      <c r="B1324" s="2">
        <v>46082</v>
      </c>
      <c r="C1324" s="10" t="s">
        <v>326</v>
      </c>
    </row>
    <row r="1325" spans="1:8" hidden="1" x14ac:dyDescent="0.3">
      <c r="A1325" t="s">
        <v>177</v>
      </c>
      <c r="B1325" s="2">
        <v>46113</v>
      </c>
      <c r="C1325" s="10" t="s">
        <v>302</v>
      </c>
    </row>
    <row r="1326" spans="1:8" hidden="1" x14ac:dyDescent="0.3">
      <c r="A1326" t="s">
        <v>177</v>
      </c>
      <c r="B1326" s="2">
        <v>46143</v>
      </c>
      <c r="C1326" s="10" t="s">
        <v>302</v>
      </c>
    </row>
    <row r="1327" spans="1:8" hidden="1" x14ac:dyDescent="0.3">
      <c r="A1327" t="s">
        <v>177</v>
      </c>
      <c r="B1327" s="2">
        <v>46235</v>
      </c>
      <c r="C1327" t="s">
        <v>896</v>
      </c>
      <c r="D1327">
        <v>0</v>
      </c>
      <c r="E1327" t="s">
        <v>33</v>
      </c>
      <c r="F1327" t="s">
        <v>33</v>
      </c>
      <c r="G1327" t="s">
        <v>338</v>
      </c>
      <c r="H1327" t="s">
        <v>36</v>
      </c>
    </row>
    <row r="1328" spans="1:8" ht="28.95" hidden="1" customHeight="1" x14ac:dyDescent="0.3">
      <c r="A1328" t="s">
        <v>177</v>
      </c>
      <c r="B1328" s="2">
        <v>46174</v>
      </c>
      <c r="C1328" s="10"/>
    </row>
    <row r="1329" spans="1:8" ht="28.95" hidden="1" customHeight="1" x14ac:dyDescent="0.3">
      <c r="A1329" t="s">
        <v>177</v>
      </c>
      <c r="B1329" s="2">
        <v>46204</v>
      </c>
      <c r="C1329" s="10">
        <v>31</v>
      </c>
      <c r="D1329">
        <v>0</v>
      </c>
      <c r="E1329" t="s">
        <v>33</v>
      </c>
      <c r="F1329" t="s">
        <v>33</v>
      </c>
      <c r="G1329" t="s">
        <v>932</v>
      </c>
      <c r="H1329" t="s">
        <v>36</v>
      </c>
    </row>
    <row r="1330" spans="1:8" ht="72" hidden="1" customHeight="1" x14ac:dyDescent="0.3">
      <c r="A1330" t="s">
        <v>180</v>
      </c>
      <c r="B1330" s="2">
        <v>45536</v>
      </c>
      <c r="C1330" s="10"/>
    </row>
    <row r="1331" spans="1:8" ht="57.6" hidden="1" customHeight="1" x14ac:dyDescent="0.3">
      <c r="A1331" t="s">
        <v>180</v>
      </c>
      <c r="B1331" s="2">
        <v>45566</v>
      </c>
      <c r="C1331" s="10"/>
    </row>
    <row r="1332" spans="1:8" ht="57.6" hidden="1" customHeight="1" x14ac:dyDescent="0.3">
      <c r="A1332" t="s">
        <v>180</v>
      </c>
      <c r="B1332" s="2">
        <v>45597</v>
      </c>
      <c r="C1332" s="10"/>
    </row>
    <row r="1333" spans="1:8" ht="57.6" hidden="1" customHeight="1" x14ac:dyDescent="0.3">
      <c r="A1333" t="s">
        <v>180</v>
      </c>
      <c r="B1333" s="2">
        <v>45627</v>
      </c>
      <c r="C1333" s="10"/>
    </row>
    <row r="1334" spans="1:8" ht="57.6" hidden="1" customHeight="1" x14ac:dyDescent="0.3">
      <c r="A1334" t="s">
        <v>180</v>
      </c>
      <c r="B1334" s="2">
        <v>45658</v>
      </c>
      <c r="C1334" s="10"/>
    </row>
    <row r="1335" spans="1:8" ht="57.6" hidden="1" customHeight="1" x14ac:dyDescent="0.3">
      <c r="A1335" t="s">
        <v>180</v>
      </c>
      <c r="B1335" s="2">
        <v>45689</v>
      </c>
      <c r="C1335" s="10" t="s">
        <v>688</v>
      </c>
    </row>
    <row r="1336" spans="1:8" ht="57.6" hidden="1" customHeight="1" x14ac:dyDescent="0.3">
      <c r="A1336" t="s">
        <v>180</v>
      </c>
      <c r="B1336" s="2">
        <v>45717</v>
      </c>
      <c r="C1336" s="10" t="s">
        <v>689</v>
      </c>
    </row>
    <row r="1337" spans="1:8" ht="28.8" hidden="1" x14ac:dyDescent="0.3">
      <c r="A1337" t="s">
        <v>180</v>
      </c>
      <c r="B1337" s="2">
        <v>45748</v>
      </c>
      <c r="C1337" s="10" t="s">
        <v>689</v>
      </c>
    </row>
    <row r="1338" spans="1:8" ht="115.2" hidden="1" x14ac:dyDescent="0.3">
      <c r="A1338" t="s">
        <v>180</v>
      </c>
      <c r="B1338" s="2">
        <v>45778</v>
      </c>
      <c r="C1338" s="10" t="s">
        <v>690</v>
      </c>
    </row>
    <row r="1339" spans="1:8" ht="86.4" hidden="1" x14ac:dyDescent="0.3">
      <c r="A1339" t="s">
        <v>180</v>
      </c>
      <c r="B1339" s="2">
        <v>45809</v>
      </c>
      <c r="C1339" s="10" t="s">
        <v>691</v>
      </c>
    </row>
    <row r="1340" spans="1:8" ht="129.6" hidden="1" x14ac:dyDescent="0.3">
      <c r="A1340" t="s">
        <v>180</v>
      </c>
      <c r="B1340" s="2">
        <v>45839</v>
      </c>
      <c r="C1340" s="10" t="s">
        <v>692</v>
      </c>
    </row>
    <row r="1341" spans="1:8" ht="100.8" hidden="1" x14ac:dyDescent="0.3">
      <c r="A1341" t="s">
        <v>180</v>
      </c>
      <c r="B1341" s="2">
        <v>45870</v>
      </c>
      <c r="C1341" s="10" t="s">
        <v>693</v>
      </c>
    </row>
    <row r="1342" spans="1:8" ht="72" hidden="1" x14ac:dyDescent="0.3">
      <c r="A1342" t="s">
        <v>180</v>
      </c>
      <c r="B1342" s="2">
        <v>45901</v>
      </c>
      <c r="C1342" s="10" t="s">
        <v>694</v>
      </c>
    </row>
    <row r="1343" spans="1:8" ht="72" hidden="1" x14ac:dyDescent="0.3">
      <c r="A1343" t="s">
        <v>180</v>
      </c>
      <c r="B1343" s="2">
        <v>45931</v>
      </c>
      <c r="C1343" s="10" t="s">
        <v>695</v>
      </c>
    </row>
    <row r="1344" spans="1:8" ht="72" hidden="1" x14ac:dyDescent="0.3">
      <c r="A1344" t="s">
        <v>180</v>
      </c>
      <c r="B1344" s="2">
        <v>45962</v>
      </c>
      <c r="C1344" s="10" t="s">
        <v>696</v>
      </c>
    </row>
    <row r="1345" spans="1:8" hidden="1" x14ac:dyDescent="0.3">
      <c r="A1345" t="s">
        <v>180</v>
      </c>
      <c r="B1345" s="2">
        <v>45992</v>
      </c>
      <c r="C1345" s="10" t="s">
        <v>598</v>
      </c>
    </row>
    <row r="1346" spans="1:8" hidden="1" x14ac:dyDescent="0.3">
      <c r="A1346" t="s">
        <v>180</v>
      </c>
      <c r="B1346" s="2">
        <v>46023</v>
      </c>
      <c r="C1346" s="10" t="s">
        <v>338</v>
      </c>
    </row>
    <row r="1347" spans="1:8" hidden="1" x14ac:dyDescent="0.3">
      <c r="A1347" t="s">
        <v>180</v>
      </c>
      <c r="B1347" s="2">
        <v>46054</v>
      </c>
      <c r="C1347" s="10" t="s">
        <v>326</v>
      </c>
    </row>
    <row r="1348" spans="1:8" hidden="1" x14ac:dyDescent="0.3">
      <c r="A1348" t="s">
        <v>180</v>
      </c>
      <c r="B1348" s="2">
        <v>46082</v>
      </c>
      <c r="C1348" s="10" t="s">
        <v>326</v>
      </c>
    </row>
    <row r="1349" spans="1:8" hidden="1" x14ac:dyDescent="0.3">
      <c r="A1349" t="s">
        <v>180</v>
      </c>
      <c r="B1349" s="2">
        <v>46113</v>
      </c>
      <c r="C1349" s="10" t="s">
        <v>326</v>
      </c>
    </row>
    <row r="1350" spans="1:8" hidden="1" x14ac:dyDescent="0.3">
      <c r="A1350" t="s">
        <v>180</v>
      </c>
      <c r="B1350" s="2">
        <v>46143</v>
      </c>
      <c r="C1350" s="10" t="s">
        <v>302</v>
      </c>
    </row>
    <row r="1351" spans="1:8" hidden="1" x14ac:dyDescent="0.3">
      <c r="A1351" t="s">
        <v>180</v>
      </c>
      <c r="B1351" s="2">
        <v>46174</v>
      </c>
      <c r="C1351" s="10"/>
    </row>
    <row r="1352" spans="1:8" hidden="1" x14ac:dyDescent="0.3">
      <c r="A1352" t="s">
        <v>180</v>
      </c>
      <c r="B1352" s="2">
        <v>46204</v>
      </c>
      <c r="C1352" s="10">
        <v>31</v>
      </c>
      <c r="D1352">
        <v>0</v>
      </c>
      <c r="E1352" t="s">
        <v>33</v>
      </c>
      <c r="F1352" t="s">
        <v>33</v>
      </c>
      <c r="G1352" t="s">
        <v>1014</v>
      </c>
      <c r="H1352" t="s">
        <v>36</v>
      </c>
    </row>
    <row r="1353" spans="1:8" hidden="1" x14ac:dyDescent="0.3">
      <c r="A1353" t="s">
        <v>180</v>
      </c>
      <c r="B1353" s="2">
        <v>46235</v>
      </c>
      <c r="C1353" s="10" t="s">
        <v>896</v>
      </c>
      <c r="D1353">
        <v>0</v>
      </c>
      <c r="E1353" t="s">
        <v>33</v>
      </c>
      <c r="F1353" t="s">
        <v>33</v>
      </c>
      <c r="G1353" s="10" t="s">
        <v>932</v>
      </c>
      <c r="H1353" t="s">
        <v>36</v>
      </c>
    </row>
    <row r="1354" spans="1:8" ht="57.6" hidden="1" customHeight="1" x14ac:dyDescent="0.3">
      <c r="A1354" t="s">
        <v>241</v>
      </c>
      <c r="B1354" s="2">
        <v>45536</v>
      </c>
      <c r="C1354" s="10"/>
    </row>
    <row r="1355" spans="1:8" ht="43.2" hidden="1" customHeight="1" x14ac:dyDescent="0.3">
      <c r="A1355" t="s">
        <v>241</v>
      </c>
      <c r="B1355" s="2">
        <v>45566</v>
      </c>
      <c r="C1355" s="10"/>
    </row>
    <row r="1356" spans="1:8" ht="57.6" hidden="1" customHeight="1" x14ac:dyDescent="0.3">
      <c r="A1356" t="s">
        <v>241</v>
      </c>
      <c r="B1356" s="2">
        <v>45597</v>
      </c>
      <c r="C1356" s="10"/>
    </row>
    <row r="1357" spans="1:8" ht="43.2" hidden="1" customHeight="1" x14ac:dyDescent="0.3">
      <c r="A1357" t="s">
        <v>241</v>
      </c>
      <c r="B1357" s="2">
        <v>45627</v>
      </c>
      <c r="C1357" s="10"/>
    </row>
    <row r="1358" spans="1:8" ht="43.2" hidden="1" customHeight="1" x14ac:dyDescent="0.3">
      <c r="A1358" t="s">
        <v>241</v>
      </c>
      <c r="B1358" s="2">
        <v>45658</v>
      </c>
      <c r="C1358" s="10"/>
    </row>
    <row r="1359" spans="1:8" ht="43.2" hidden="1" customHeight="1" x14ac:dyDescent="0.3">
      <c r="A1359" t="s">
        <v>241</v>
      </c>
      <c r="B1359" s="2">
        <v>45689</v>
      </c>
      <c r="C1359" s="10"/>
    </row>
    <row r="1360" spans="1:8" ht="43.2" hidden="1" customHeight="1" x14ac:dyDescent="0.3">
      <c r="A1360" t="s">
        <v>241</v>
      </c>
      <c r="B1360" s="2">
        <v>45717</v>
      </c>
      <c r="C1360" s="10"/>
    </row>
    <row r="1361" spans="1:8" hidden="1" x14ac:dyDescent="0.3">
      <c r="A1361" t="s">
        <v>241</v>
      </c>
      <c r="B1361" s="2">
        <v>45748</v>
      </c>
      <c r="C1361" s="10"/>
    </row>
    <row r="1362" spans="1:8" hidden="1" x14ac:dyDescent="0.3">
      <c r="A1362" t="s">
        <v>241</v>
      </c>
      <c r="B1362" s="2">
        <v>45778</v>
      </c>
      <c r="C1362" s="10"/>
    </row>
    <row r="1363" spans="1:8" hidden="1" x14ac:dyDescent="0.3">
      <c r="A1363" t="s">
        <v>241</v>
      </c>
      <c r="B1363" s="2">
        <v>45809</v>
      </c>
      <c r="C1363" s="10"/>
    </row>
    <row r="1364" spans="1:8" hidden="1" x14ac:dyDescent="0.3">
      <c r="A1364" t="s">
        <v>241</v>
      </c>
      <c r="B1364" s="2">
        <v>45839</v>
      </c>
      <c r="C1364" s="10"/>
    </row>
    <row r="1365" spans="1:8" hidden="1" x14ac:dyDescent="0.3">
      <c r="A1365" t="s">
        <v>241</v>
      </c>
      <c r="B1365" s="2">
        <v>45870</v>
      </c>
      <c r="C1365" s="10"/>
    </row>
    <row r="1366" spans="1:8" hidden="1" x14ac:dyDescent="0.3">
      <c r="A1366" t="s">
        <v>241</v>
      </c>
      <c r="B1366" s="2">
        <v>45901</v>
      </c>
      <c r="C1366" s="10"/>
    </row>
    <row r="1367" spans="1:8" hidden="1" x14ac:dyDescent="0.3">
      <c r="A1367" t="s">
        <v>241</v>
      </c>
      <c r="B1367" s="2">
        <v>45931</v>
      </c>
      <c r="C1367" s="10"/>
    </row>
    <row r="1368" spans="1:8" hidden="1" x14ac:dyDescent="0.3">
      <c r="A1368" t="s">
        <v>241</v>
      </c>
      <c r="B1368" s="2">
        <v>45962</v>
      </c>
      <c r="C1368" s="10"/>
    </row>
    <row r="1369" spans="1:8" hidden="1" x14ac:dyDescent="0.3">
      <c r="A1369" t="s">
        <v>241</v>
      </c>
      <c r="B1369" s="2">
        <v>45992</v>
      </c>
      <c r="C1369" s="10"/>
    </row>
    <row r="1370" spans="1:8" hidden="1" x14ac:dyDescent="0.3">
      <c r="A1370" t="s">
        <v>241</v>
      </c>
      <c r="B1370" s="2">
        <v>46023</v>
      </c>
      <c r="C1370" s="10"/>
    </row>
    <row r="1371" spans="1:8" hidden="1" x14ac:dyDescent="0.3">
      <c r="A1371" t="s">
        <v>241</v>
      </c>
      <c r="B1371" s="2">
        <v>46054</v>
      </c>
      <c r="C1371" s="10"/>
    </row>
    <row r="1372" spans="1:8" hidden="1" x14ac:dyDescent="0.3">
      <c r="A1372" t="s">
        <v>241</v>
      </c>
      <c r="B1372" s="2">
        <v>46082</v>
      </c>
      <c r="C1372" s="10"/>
    </row>
    <row r="1373" spans="1:8" hidden="1" x14ac:dyDescent="0.3">
      <c r="A1373" t="s">
        <v>241</v>
      </c>
      <c r="B1373" s="2">
        <v>46113</v>
      </c>
      <c r="C1373" s="10" t="s">
        <v>459</v>
      </c>
    </row>
    <row r="1374" spans="1:8" ht="28.8" hidden="1" x14ac:dyDescent="0.3">
      <c r="A1374" t="s">
        <v>241</v>
      </c>
      <c r="B1374" s="2">
        <v>46143</v>
      </c>
      <c r="C1374" s="10" t="s">
        <v>866</v>
      </c>
    </row>
    <row r="1375" spans="1:8" hidden="1" x14ac:dyDescent="0.3">
      <c r="A1375" t="s">
        <v>241</v>
      </c>
      <c r="B1375" s="2">
        <v>46174</v>
      </c>
      <c r="C1375" s="10"/>
    </row>
    <row r="1376" spans="1:8" hidden="1" x14ac:dyDescent="0.3">
      <c r="A1376" t="s">
        <v>241</v>
      </c>
      <c r="B1376" s="2">
        <v>46204</v>
      </c>
      <c r="C1376" s="10">
        <v>31</v>
      </c>
      <c r="D1376">
        <v>0</v>
      </c>
      <c r="E1376" t="s">
        <v>33</v>
      </c>
      <c r="F1376" t="s">
        <v>33</v>
      </c>
      <c r="G1376" t="s">
        <v>1046</v>
      </c>
      <c r="H1376" t="s">
        <v>36</v>
      </c>
    </row>
    <row r="1377" spans="1:3" hidden="1" x14ac:dyDescent="0.3">
      <c r="A1377" t="s">
        <v>241</v>
      </c>
      <c r="B1377" s="2">
        <v>46235</v>
      </c>
      <c r="C1377" s="10"/>
    </row>
    <row r="1378" spans="1:3" hidden="1" x14ac:dyDescent="0.3">
      <c r="A1378" t="s">
        <v>182</v>
      </c>
      <c r="B1378" s="2">
        <v>45536</v>
      </c>
      <c r="C1378" s="10"/>
    </row>
    <row r="1379" spans="1:3" hidden="1" x14ac:dyDescent="0.3">
      <c r="A1379" t="s">
        <v>182</v>
      </c>
      <c r="B1379" s="2">
        <v>45566</v>
      </c>
      <c r="C1379" s="10"/>
    </row>
    <row r="1380" spans="1:3" hidden="1" x14ac:dyDescent="0.3">
      <c r="A1380" t="s">
        <v>182</v>
      </c>
      <c r="B1380" s="2">
        <v>45597</v>
      </c>
      <c r="C1380" s="10"/>
    </row>
    <row r="1381" spans="1:3" hidden="1" x14ac:dyDescent="0.3">
      <c r="A1381" t="s">
        <v>182</v>
      </c>
      <c r="B1381" s="2">
        <v>45627</v>
      </c>
      <c r="C1381" s="10"/>
    </row>
    <row r="1382" spans="1:3" hidden="1" x14ac:dyDescent="0.3">
      <c r="A1382" t="s">
        <v>182</v>
      </c>
      <c r="B1382" s="2">
        <v>45658</v>
      </c>
      <c r="C1382" s="10"/>
    </row>
    <row r="1383" spans="1:3" hidden="1" x14ac:dyDescent="0.3">
      <c r="A1383" t="s">
        <v>182</v>
      </c>
      <c r="B1383" s="2">
        <v>45689</v>
      </c>
      <c r="C1383" s="10"/>
    </row>
    <row r="1384" spans="1:3" hidden="1" x14ac:dyDescent="0.3">
      <c r="A1384" t="s">
        <v>182</v>
      </c>
      <c r="B1384" s="2">
        <v>45717</v>
      </c>
      <c r="C1384" s="10"/>
    </row>
    <row r="1385" spans="1:3" hidden="1" x14ac:dyDescent="0.3">
      <c r="A1385" t="s">
        <v>182</v>
      </c>
      <c r="B1385" s="2">
        <v>45748</v>
      </c>
      <c r="C1385" s="10"/>
    </row>
    <row r="1386" spans="1:3" hidden="1" x14ac:dyDescent="0.3">
      <c r="A1386" t="s">
        <v>182</v>
      </c>
      <c r="B1386" s="2">
        <v>45778</v>
      </c>
      <c r="C1386" s="10"/>
    </row>
    <row r="1387" spans="1:3" hidden="1" x14ac:dyDescent="0.3">
      <c r="A1387" t="s">
        <v>182</v>
      </c>
      <c r="B1387" s="2">
        <v>45809</v>
      </c>
      <c r="C1387" s="10"/>
    </row>
    <row r="1388" spans="1:3" ht="72" hidden="1" x14ac:dyDescent="0.3">
      <c r="A1388" t="s">
        <v>182</v>
      </c>
      <c r="B1388" s="2">
        <v>45839</v>
      </c>
      <c r="C1388" s="10" t="s">
        <v>697</v>
      </c>
    </row>
    <row r="1389" spans="1:3" ht="86.4" hidden="1" x14ac:dyDescent="0.3">
      <c r="A1389" t="s">
        <v>182</v>
      </c>
      <c r="B1389" s="2">
        <v>45870</v>
      </c>
      <c r="C1389" s="10" t="s">
        <v>698</v>
      </c>
    </row>
    <row r="1390" spans="1:3" ht="72" hidden="1" x14ac:dyDescent="0.3">
      <c r="A1390" t="s">
        <v>182</v>
      </c>
      <c r="B1390" s="2">
        <v>45901</v>
      </c>
      <c r="C1390" s="10" t="s">
        <v>699</v>
      </c>
    </row>
    <row r="1391" spans="1:3" ht="57.6" hidden="1" x14ac:dyDescent="0.3">
      <c r="A1391" t="s">
        <v>182</v>
      </c>
      <c r="B1391" s="2">
        <v>45931</v>
      </c>
      <c r="C1391" s="10" t="s">
        <v>700</v>
      </c>
    </row>
    <row r="1392" spans="1:3" ht="115.2" hidden="1" x14ac:dyDescent="0.3">
      <c r="A1392" t="s">
        <v>182</v>
      </c>
      <c r="B1392" s="2">
        <v>45962</v>
      </c>
      <c r="C1392" s="10" t="s">
        <v>701</v>
      </c>
    </row>
    <row r="1393" spans="1:8" hidden="1" x14ac:dyDescent="0.3">
      <c r="A1393" t="s">
        <v>182</v>
      </c>
      <c r="B1393" s="2">
        <v>45992</v>
      </c>
      <c r="C1393" s="10" t="s">
        <v>702</v>
      </c>
    </row>
    <row r="1394" spans="1:8" hidden="1" x14ac:dyDescent="0.3">
      <c r="A1394" t="s">
        <v>182</v>
      </c>
      <c r="B1394" s="2">
        <v>46023</v>
      </c>
      <c r="C1394" s="10" t="s">
        <v>338</v>
      </c>
    </row>
    <row r="1395" spans="1:8" ht="43.2" hidden="1" x14ac:dyDescent="0.3">
      <c r="A1395" t="s">
        <v>182</v>
      </c>
      <c r="B1395" s="2">
        <v>46054</v>
      </c>
      <c r="C1395" s="10" t="s">
        <v>314</v>
      </c>
    </row>
    <row r="1396" spans="1:8" ht="28.8" hidden="1" x14ac:dyDescent="0.3">
      <c r="A1396" t="s">
        <v>182</v>
      </c>
      <c r="B1396" s="2">
        <v>46082</v>
      </c>
      <c r="C1396" s="10" t="s">
        <v>703</v>
      </c>
    </row>
    <row r="1397" spans="1:8" ht="28.8" hidden="1" x14ac:dyDescent="0.3">
      <c r="A1397" t="s">
        <v>182</v>
      </c>
      <c r="B1397" s="2">
        <v>46113</v>
      </c>
      <c r="C1397" s="10" t="s">
        <v>703</v>
      </c>
    </row>
    <row r="1398" spans="1:8" ht="28.8" hidden="1" x14ac:dyDescent="0.3">
      <c r="A1398" t="s">
        <v>182</v>
      </c>
      <c r="B1398" s="2">
        <v>46143</v>
      </c>
      <c r="C1398" s="10" t="s">
        <v>861</v>
      </c>
    </row>
    <row r="1399" spans="1:8" hidden="1" x14ac:dyDescent="0.3">
      <c r="A1399" t="s">
        <v>182</v>
      </c>
      <c r="B1399" s="2">
        <v>46174</v>
      </c>
      <c r="C1399" s="10"/>
    </row>
    <row r="1400" spans="1:8" hidden="1" x14ac:dyDescent="0.3">
      <c r="A1400" t="s">
        <v>182</v>
      </c>
      <c r="B1400" s="2">
        <v>46204</v>
      </c>
      <c r="C1400" s="10">
        <v>31</v>
      </c>
      <c r="D1400">
        <v>0</v>
      </c>
      <c r="E1400" t="s">
        <v>33</v>
      </c>
      <c r="F1400" t="s">
        <v>33</v>
      </c>
      <c r="G1400" t="s">
        <v>1048</v>
      </c>
      <c r="H1400" t="s">
        <v>36</v>
      </c>
    </row>
    <row r="1401" spans="1:8" hidden="1" x14ac:dyDescent="0.3">
      <c r="A1401" t="s">
        <v>182</v>
      </c>
      <c r="B1401" s="2">
        <v>46235</v>
      </c>
      <c r="C1401" s="10" t="s">
        <v>896</v>
      </c>
      <c r="D1401">
        <v>0</v>
      </c>
      <c r="E1401" t="s">
        <v>33</v>
      </c>
      <c r="F1401" t="s">
        <v>33</v>
      </c>
      <c r="G1401" t="s">
        <v>1048</v>
      </c>
      <c r="H1401" t="s">
        <v>36</v>
      </c>
    </row>
    <row r="1402" spans="1:8" hidden="1" x14ac:dyDescent="0.3">
      <c r="A1402" t="s">
        <v>184</v>
      </c>
      <c r="B1402" s="2">
        <v>45536</v>
      </c>
      <c r="C1402" s="10"/>
    </row>
    <row r="1403" spans="1:8" ht="57.6" hidden="1" x14ac:dyDescent="0.3">
      <c r="A1403" t="s">
        <v>184</v>
      </c>
      <c r="B1403" s="2">
        <v>45566</v>
      </c>
      <c r="C1403" s="10" t="s">
        <v>704</v>
      </c>
    </row>
    <row r="1404" spans="1:8" ht="43.2" hidden="1" customHeight="1" x14ac:dyDescent="0.3">
      <c r="A1404" t="s">
        <v>184</v>
      </c>
      <c r="B1404" s="2">
        <v>45597</v>
      </c>
      <c r="C1404" s="10"/>
    </row>
    <row r="1405" spans="1:8" ht="57.6" hidden="1" customHeight="1" x14ac:dyDescent="0.3">
      <c r="A1405" t="s">
        <v>184</v>
      </c>
      <c r="B1405" s="2">
        <v>45627</v>
      </c>
      <c r="C1405" s="10"/>
    </row>
    <row r="1406" spans="1:8" ht="43.2" hidden="1" customHeight="1" x14ac:dyDescent="0.3">
      <c r="A1406" t="s">
        <v>184</v>
      </c>
      <c r="B1406" s="2">
        <v>45658</v>
      </c>
      <c r="C1406" s="10"/>
    </row>
    <row r="1407" spans="1:8" ht="43.2" hidden="1" customHeight="1" x14ac:dyDescent="0.3">
      <c r="A1407" t="s">
        <v>184</v>
      </c>
      <c r="B1407" s="2">
        <v>45689</v>
      </c>
      <c r="C1407" s="10" t="s">
        <v>705</v>
      </c>
    </row>
    <row r="1408" spans="1:8" ht="57.6" hidden="1" customHeight="1" x14ac:dyDescent="0.3">
      <c r="A1408" t="s">
        <v>184</v>
      </c>
      <c r="B1408" s="2">
        <v>45717</v>
      </c>
      <c r="C1408" s="10" t="s">
        <v>706</v>
      </c>
    </row>
    <row r="1409" spans="1:8" hidden="1" x14ac:dyDescent="0.3">
      <c r="A1409" t="s">
        <v>184</v>
      </c>
      <c r="B1409" s="2">
        <v>45748</v>
      </c>
      <c r="C1409" s="10" t="s">
        <v>707</v>
      </c>
    </row>
    <row r="1410" spans="1:8" ht="100.8" hidden="1" x14ac:dyDescent="0.3">
      <c r="A1410" t="s">
        <v>184</v>
      </c>
      <c r="B1410" s="2">
        <v>45778</v>
      </c>
      <c r="C1410" s="10" t="s">
        <v>708</v>
      </c>
    </row>
    <row r="1411" spans="1:8" ht="100.8" hidden="1" x14ac:dyDescent="0.3">
      <c r="A1411" t="s">
        <v>184</v>
      </c>
      <c r="B1411" s="2">
        <v>45809</v>
      </c>
      <c r="C1411" s="10" t="s">
        <v>709</v>
      </c>
    </row>
    <row r="1412" spans="1:8" ht="100.8" hidden="1" x14ac:dyDescent="0.3">
      <c r="A1412" t="s">
        <v>184</v>
      </c>
      <c r="B1412" s="2">
        <v>45839</v>
      </c>
      <c r="C1412" s="10" t="s">
        <v>710</v>
      </c>
    </row>
    <row r="1413" spans="1:8" ht="72" hidden="1" x14ac:dyDescent="0.3">
      <c r="A1413" t="s">
        <v>184</v>
      </c>
      <c r="B1413" s="2">
        <v>45870</v>
      </c>
      <c r="C1413" s="10" t="s">
        <v>711</v>
      </c>
    </row>
    <row r="1414" spans="1:8" ht="86.4" hidden="1" x14ac:dyDescent="0.3">
      <c r="A1414" t="s">
        <v>184</v>
      </c>
      <c r="B1414" s="2">
        <v>45901</v>
      </c>
      <c r="C1414" s="10" t="s">
        <v>712</v>
      </c>
    </row>
    <row r="1415" spans="1:8" ht="100.8" hidden="1" x14ac:dyDescent="0.3">
      <c r="A1415" t="s">
        <v>184</v>
      </c>
      <c r="B1415" s="2">
        <v>45931</v>
      </c>
      <c r="C1415" s="10" t="s">
        <v>713</v>
      </c>
    </row>
    <row r="1416" spans="1:8" ht="129.6" hidden="1" x14ac:dyDescent="0.3">
      <c r="A1416" t="s">
        <v>184</v>
      </c>
      <c r="B1416" s="2">
        <v>45962</v>
      </c>
      <c r="C1416" s="10" t="s">
        <v>714</v>
      </c>
    </row>
    <row r="1417" spans="1:8" ht="43.2" hidden="1" x14ac:dyDescent="0.3">
      <c r="A1417" t="s">
        <v>184</v>
      </c>
      <c r="B1417" s="2">
        <v>45992</v>
      </c>
      <c r="C1417" s="10" t="s">
        <v>314</v>
      </c>
    </row>
    <row r="1418" spans="1:8" hidden="1" x14ac:dyDescent="0.3">
      <c r="A1418" t="s">
        <v>184</v>
      </c>
      <c r="B1418" s="2">
        <v>46023</v>
      </c>
      <c r="C1418" s="10" t="s">
        <v>338</v>
      </c>
    </row>
    <row r="1419" spans="1:8" ht="28.95" hidden="1" customHeight="1" x14ac:dyDescent="0.3">
      <c r="A1419" t="s">
        <v>184</v>
      </c>
      <c r="B1419" s="2">
        <v>46054</v>
      </c>
      <c r="C1419" s="10" t="s">
        <v>715</v>
      </c>
    </row>
    <row r="1420" spans="1:8" ht="28.8" hidden="1" x14ac:dyDescent="0.3">
      <c r="A1420" t="s">
        <v>184</v>
      </c>
      <c r="B1420" s="2">
        <v>46082</v>
      </c>
      <c r="C1420" s="10" t="s">
        <v>716</v>
      </c>
    </row>
    <row r="1421" spans="1:8" hidden="1" x14ac:dyDescent="0.3">
      <c r="A1421" t="s">
        <v>184</v>
      </c>
      <c r="B1421" s="2">
        <v>46113</v>
      </c>
      <c r="C1421" s="10" t="s">
        <v>717</v>
      </c>
    </row>
    <row r="1422" spans="1:8" ht="28.8" hidden="1" x14ac:dyDescent="0.3">
      <c r="A1422" t="s">
        <v>184</v>
      </c>
      <c r="B1422" s="2">
        <v>46143</v>
      </c>
      <c r="C1422" s="10" t="s">
        <v>867</v>
      </c>
    </row>
    <row r="1423" spans="1:8" hidden="1" x14ac:dyDescent="0.3">
      <c r="A1423" t="s">
        <v>184</v>
      </c>
      <c r="B1423" s="2">
        <v>46174</v>
      </c>
      <c r="C1423" s="10"/>
    </row>
    <row r="1424" spans="1:8" hidden="1" x14ac:dyDescent="0.3">
      <c r="A1424" t="s">
        <v>184</v>
      </c>
      <c r="B1424" s="2">
        <v>46204</v>
      </c>
      <c r="C1424" s="10">
        <v>31</v>
      </c>
      <c r="D1424">
        <v>0</v>
      </c>
      <c r="E1424" t="s">
        <v>33</v>
      </c>
      <c r="F1424" t="s">
        <v>33</v>
      </c>
      <c r="G1424" t="s">
        <v>1047</v>
      </c>
      <c r="H1424" t="s">
        <v>36</v>
      </c>
    </row>
    <row r="1425" spans="1:8" hidden="1" x14ac:dyDescent="0.3">
      <c r="A1425" t="s">
        <v>184</v>
      </c>
      <c r="B1425" s="2">
        <v>46235</v>
      </c>
      <c r="C1425" s="10" t="s">
        <v>896</v>
      </c>
      <c r="D1425">
        <v>0</v>
      </c>
      <c r="E1425" t="s">
        <v>33</v>
      </c>
      <c r="F1425" t="s">
        <v>33</v>
      </c>
      <c r="G1425" s="10" t="s">
        <v>932</v>
      </c>
      <c r="H1425" t="s">
        <v>36</v>
      </c>
    </row>
    <row r="1426" spans="1:8" ht="43.2" hidden="1" customHeight="1" x14ac:dyDescent="0.3">
      <c r="A1426" t="s">
        <v>186</v>
      </c>
      <c r="B1426" s="2">
        <v>45536</v>
      </c>
      <c r="C1426" s="10"/>
    </row>
    <row r="1427" spans="1:8" ht="43.2" hidden="1" customHeight="1" x14ac:dyDescent="0.3">
      <c r="A1427" t="s">
        <v>186</v>
      </c>
      <c r="B1427" s="2">
        <v>45566</v>
      </c>
      <c r="C1427" s="10" t="s">
        <v>718</v>
      </c>
    </row>
    <row r="1428" spans="1:8" ht="57.6" hidden="1" customHeight="1" x14ac:dyDescent="0.3">
      <c r="A1428" t="s">
        <v>186</v>
      </c>
      <c r="B1428" s="2">
        <v>45597</v>
      </c>
      <c r="C1428" s="10"/>
    </row>
    <row r="1429" spans="1:8" ht="43.2" hidden="1" customHeight="1" x14ac:dyDescent="0.3">
      <c r="A1429" t="s">
        <v>186</v>
      </c>
      <c r="B1429" s="2">
        <v>45627</v>
      </c>
      <c r="C1429" s="10"/>
    </row>
    <row r="1430" spans="1:8" ht="43.2" hidden="1" customHeight="1" x14ac:dyDescent="0.3">
      <c r="A1430" t="s">
        <v>186</v>
      </c>
      <c r="B1430" s="2">
        <v>45658</v>
      </c>
      <c r="C1430" s="10"/>
    </row>
    <row r="1431" spans="1:8" ht="57.6" hidden="1" customHeight="1" x14ac:dyDescent="0.3">
      <c r="A1431" t="s">
        <v>186</v>
      </c>
      <c r="B1431" s="2">
        <v>45689</v>
      </c>
      <c r="C1431" s="10" t="s">
        <v>587</v>
      </c>
    </row>
    <row r="1432" spans="1:8" ht="57.6" hidden="1" customHeight="1" x14ac:dyDescent="0.3">
      <c r="A1432" t="s">
        <v>186</v>
      </c>
      <c r="B1432" s="2">
        <v>45717</v>
      </c>
      <c r="C1432" s="10" t="s">
        <v>706</v>
      </c>
    </row>
    <row r="1433" spans="1:8" hidden="1" x14ac:dyDescent="0.3">
      <c r="A1433" t="s">
        <v>186</v>
      </c>
      <c r="B1433" s="2">
        <v>45748</v>
      </c>
      <c r="C1433" s="10"/>
    </row>
    <row r="1434" spans="1:8" ht="86.4" hidden="1" x14ac:dyDescent="0.3">
      <c r="A1434" t="s">
        <v>186</v>
      </c>
      <c r="B1434" s="2">
        <v>45778</v>
      </c>
      <c r="C1434" s="10" t="s">
        <v>719</v>
      </c>
    </row>
    <row r="1435" spans="1:8" ht="72" hidden="1" x14ac:dyDescent="0.3">
      <c r="A1435" t="s">
        <v>186</v>
      </c>
      <c r="B1435" s="2">
        <v>45809</v>
      </c>
      <c r="C1435" s="10" t="s">
        <v>720</v>
      </c>
    </row>
    <row r="1436" spans="1:8" ht="72" hidden="1" x14ac:dyDescent="0.3">
      <c r="A1436" t="s">
        <v>186</v>
      </c>
      <c r="B1436" s="2">
        <v>45839</v>
      </c>
      <c r="C1436" s="10" t="s">
        <v>721</v>
      </c>
    </row>
    <row r="1437" spans="1:8" ht="72" hidden="1" x14ac:dyDescent="0.3">
      <c r="A1437" t="s">
        <v>186</v>
      </c>
      <c r="B1437" s="2">
        <v>45870</v>
      </c>
      <c r="C1437" s="10" t="s">
        <v>722</v>
      </c>
    </row>
    <row r="1438" spans="1:8" ht="100.8" hidden="1" x14ac:dyDescent="0.3">
      <c r="A1438" t="s">
        <v>186</v>
      </c>
      <c r="B1438" s="2">
        <v>45901</v>
      </c>
      <c r="C1438" s="10" t="s">
        <v>723</v>
      </c>
    </row>
    <row r="1439" spans="1:8" ht="115.2" hidden="1" x14ac:dyDescent="0.3">
      <c r="A1439" t="s">
        <v>186</v>
      </c>
      <c r="B1439" s="2">
        <v>45931</v>
      </c>
      <c r="C1439" s="10" t="s">
        <v>724</v>
      </c>
    </row>
    <row r="1440" spans="1:8" ht="129.6" hidden="1" x14ac:dyDescent="0.3">
      <c r="A1440" t="s">
        <v>186</v>
      </c>
      <c r="B1440" s="2">
        <v>45962</v>
      </c>
      <c r="C1440" s="10" t="s">
        <v>725</v>
      </c>
    </row>
    <row r="1441" spans="1:8" ht="43.2" hidden="1" x14ac:dyDescent="0.3">
      <c r="A1441" t="s">
        <v>186</v>
      </c>
      <c r="B1441" s="2">
        <v>45992</v>
      </c>
      <c r="C1441" s="10" t="s">
        <v>314</v>
      </c>
    </row>
    <row r="1442" spans="1:8" ht="43.2" hidden="1" x14ac:dyDescent="0.3">
      <c r="A1442" t="s">
        <v>186</v>
      </c>
      <c r="B1442" s="2">
        <v>46023</v>
      </c>
      <c r="C1442" s="10" t="s">
        <v>314</v>
      </c>
    </row>
    <row r="1443" spans="1:8" ht="43.2" hidden="1" x14ac:dyDescent="0.3">
      <c r="A1443" t="s">
        <v>186</v>
      </c>
      <c r="B1443" s="2">
        <v>46054</v>
      </c>
      <c r="C1443" s="10" t="s">
        <v>314</v>
      </c>
    </row>
    <row r="1444" spans="1:8" ht="43.2" hidden="1" x14ac:dyDescent="0.3">
      <c r="A1444" t="s">
        <v>186</v>
      </c>
      <c r="B1444" s="2">
        <v>46082</v>
      </c>
      <c r="C1444" s="10" t="s">
        <v>314</v>
      </c>
    </row>
    <row r="1445" spans="1:8" ht="43.2" hidden="1" x14ac:dyDescent="0.3">
      <c r="A1445" t="s">
        <v>186</v>
      </c>
      <c r="B1445" s="2">
        <v>46113</v>
      </c>
      <c r="C1445" s="10" t="s">
        <v>314</v>
      </c>
    </row>
    <row r="1446" spans="1:8" ht="28.8" hidden="1" x14ac:dyDescent="0.3">
      <c r="A1446" t="s">
        <v>186</v>
      </c>
      <c r="B1446" s="2">
        <v>46143</v>
      </c>
      <c r="C1446" s="10" t="s">
        <v>867</v>
      </c>
    </row>
    <row r="1447" spans="1:8" hidden="1" x14ac:dyDescent="0.3">
      <c r="A1447" t="s">
        <v>186</v>
      </c>
      <c r="B1447" s="2">
        <v>46174</v>
      </c>
      <c r="C1447" s="10"/>
    </row>
    <row r="1448" spans="1:8" hidden="1" x14ac:dyDescent="0.3">
      <c r="A1448" t="s">
        <v>186</v>
      </c>
      <c r="B1448" s="2">
        <v>46204</v>
      </c>
      <c r="C1448" s="10">
        <v>31</v>
      </c>
      <c r="D1448">
        <v>0</v>
      </c>
      <c r="E1448" t="s">
        <v>33</v>
      </c>
      <c r="F1448" t="s">
        <v>33</v>
      </c>
      <c r="G1448" t="s">
        <v>1047</v>
      </c>
      <c r="H1448" t="s">
        <v>36</v>
      </c>
    </row>
    <row r="1449" spans="1:8" hidden="1" x14ac:dyDescent="0.3">
      <c r="A1449" t="s">
        <v>186</v>
      </c>
      <c r="B1449" s="2">
        <v>46235</v>
      </c>
      <c r="C1449" s="10" t="s">
        <v>896</v>
      </c>
      <c r="D1449">
        <v>0</v>
      </c>
      <c r="E1449" t="s">
        <v>33</v>
      </c>
      <c r="F1449" t="s">
        <v>33</v>
      </c>
      <c r="G1449" s="10" t="s">
        <v>932</v>
      </c>
      <c r="H1449" t="s">
        <v>36</v>
      </c>
    </row>
    <row r="1450" spans="1:8" ht="43.2" hidden="1" customHeight="1" x14ac:dyDescent="0.3">
      <c r="A1450" t="s">
        <v>188</v>
      </c>
      <c r="B1450" s="2">
        <v>45536</v>
      </c>
      <c r="C1450" s="10"/>
    </row>
    <row r="1451" spans="1:8" ht="43.2" hidden="1" customHeight="1" x14ac:dyDescent="0.3">
      <c r="A1451" t="s">
        <v>188</v>
      </c>
      <c r="B1451" s="2">
        <v>45566</v>
      </c>
      <c r="C1451" s="10" t="s">
        <v>726</v>
      </c>
    </row>
    <row r="1452" spans="1:8" ht="43.2" hidden="1" customHeight="1" x14ac:dyDescent="0.3">
      <c r="A1452" t="s">
        <v>188</v>
      </c>
      <c r="B1452" s="2">
        <v>45597</v>
      </c>
      <c r="C1452" s="10"/>
    </row>
    <row r="1453" spans="1:8" ht="43.2" hidden="1" customHeight="1" x14ac:dyDescent="0.3">
      <c r="A1453" t="s">
        <v>188</v>
      </c>
      <c r="B1453" s="2">
        <v>45627</v>
      </c>
      <c r="C1453" s="10"/>
    </row>
    <row r="1454" spans="1:8" ht="57.6" hidden="1" customHeight="1" x14ac:dyDescent="0.3">
      <c r="A1454" t="s">
        <v>188</v>
      </c>
      <c r="B1454" s="2">
        <v>45658</v>
      </c>
      <c r="C1454" s="10"/>
    </row>
    <row r="1455" spans="1:8" ht="57.6" hidden="1" customHeight="1" x14ac:dyDescent="0.3">
      <c r="A1455" t="s">
        <v>188</v>
      </c>
      <c r="B1455" s="2">
        <v>45689</v>
      </c>
      <c r="C1455" s="10" t="s">
        <v>726</v>
      </c>
    </row>
    <row r="1456" spans="1:8" ht="57.6" hidden="1" customHeight="1" x14ac:dyDescent="0.3">
      <c r="A1456" t="s">
        <v>188</v>
      </c>
      <c r="B1456" s="2">
        <v>45717</v>
      </c>
      <c r="C1456" s="10" t="s">
        <v>727</v>
      </c>
    </row>
    <row r="1457" spans="1:8" ht="28.8" hidden="1" x14ac:dyDescent="0.3">
      <c r="A1457" t="s">
        <v>188</v>
      </c>
      <c r="B1457" s="2">
        <v>45748</v>
      </c>
      <c r="C1457" s="10" t="s">
        <v>727</v>
      </c>
    </row>
    <row r="1458" spans="1:8" ht="100.8" hidden="1" x14ac:dyDescent="0.3">
      <c r="A1458" t="s">
        <v>188</v>
      </c>
      <c r="B1458" s="2">
        <v>45778</v>
      </c>
      <c r="C1458" s="10" t="s">
        <v>728</v>
      </c>
    </row>
    <row r="1459" spans="1:8" ht="100.8" hidden="1" x14ac:dyDescent="0.3">
      <c r="A1459" t="s">
        <v>188</v>
      </c>
      <c r="B1459" s="2">
        <v>45809</v>
      </c>
      <c r="C1459" s="10" t="s">
        <v>729</v>
      </c>
    </row>
    <row r="1460" spans="1:8" ht="86.4" hidden="1" x14ac:dyDescent="0.3">
      <c r="A1460" t="s">
        <v>188</v>
      </c>
      <c r="B1460" s="2">
        <v>45839</v>
      </c>
      <c r="C1460" s="10" t="s">
        <v>730</v>
      </c>
    </row>
    <row r="1461" spans="1:8" ht="72" hidden="1" x14ac:dyDescent="0.3">
      <c r="A1461" t="s">
        <v>188</v>
      </c>
      <c r="B1461" s="2">
        <v>45870</v>
      </c>
      <c r="C1461" s="10" t="s">
        <v>731</v>
      </c>
    </row>
    <row r="1462" spans="1:8" ht="100.8" hidden="1" x14ac:dyDescent="0.3">
      <c r="A1462" t="s">
        <v>188</v>
      </c>
      <c r="B1462" s="2">
        <v>45901</v>
      </c>
      <c r="C1462" s="10" t="s">
        <v>732</v>
      </c>
    </row>
    <row r="1463" spans="1:8" ht="115.2" hidden="1" x14ac:dyDescent="0.3">
      <c r="A1463" t="s">
        <v>188</v>
      </c>
      <c r="B1463" s="2">
        <v>45931</v>
      </c>
      <c r="C1463" s="10" t="s">
        <v>733</v>
      </c>
    </row>
    <row r="1464" spans="1:8" ht="100.8" hidden="1" x14ac:dyDescent="0.3">
      <c r="A1464" t="s">
        <v>188</v>
      </c>
      <c r="B1464" s="2">
        <v>45962</v>
      </c>
      <c r="C1464" s="10" t="s">
        <v>734</v>
      </c>
    </row>
    <row r="1465" spans="1:8" hidden="1" x14ac:dyDescent="0.3">
      <c r="A1465" t="s">
        <v>188</v>
      </c>
      <c r="B1465" s="2">
        <v>45992</v>
      </c>
      <c r="C1465" s="10" t="s">
        <v>598</v>
      </c>
    </row>
    <row r="1466" spans="1:8" hidden="1" x14ac:dyDescent="0.3">
      <c r="A1466" t="s">
        <v>188</v>
      </c>
      <c r="B1466" s="2">
        <v>46023</v>
      </c>
      <c r="C1466" s="10" t="s">
        <v>338</v>
      </c>
    </row>
    <row r="1467" spans="1:8" hidden="1" x14ac:dyDescent="0.3">
      <c r="A1467" t="s">
        <v>188</v>
      </c>
      <c r="B1467" s="2">
        <v>46054</v>
      </c>
      <c r="C1467" s="10" t="s">
        <v>326</v>
      </c>
    </row>
    <row r="1468" spans="1:8" hidden="1" x14ac:dyDescent="0.3">
      <c r="A1468" t="s">
        <v>188</v>
      </c>
      <c r="B1468" s="2">
        <v>46082</v>
      </c>
      <c r="C1468" s="10" t="s">
        <v>326</v>
      </c>
    </row>
    <row r="1469" spans="1:8" hidden="1" x14ac:dyDescent="0.3">
      <c r="A1469" t="s">
        <v>188</v>
      </c>
      <c r="B1469" s="2">
        <v>46113</v>
      </c>
      <c r="C1469" s="10" t="s">
        <v>302</v>
      </c>
    </row>
    <row r="1470" spans="1:8" hidden="1" x14ac:dyDescent="0.3">
      <c r="A1470" t="s">
        <v>188</v>
      </c>
      <c r="B1470" s="2">
        <v>46143</v>
      </c>
      <c r="C1470" s="10" t="s">
        <v>302</v>
      </c>
    </row>
    <row r="1471" spans="1:8" hidden="1" x14ac:dyDescent="0.3">
      <c r="A1471" t="s">
        <v>188</v>
      </c>
      <c r="B1471" s="2">
        <v>46174</v>
      </c>
      <c r="C1471" s="10"/>
    </row>
    <row r="1472" spans="1:8" hidden="1" x14ac:dyDescent="0.3">
      <c r="A1472" t="s">
        <v>188</v>
      </c>
      <c r="B1472" s="2">
        <v>46204</v>
      </c>
      <c r="C1472" s="10">
        <v>31</v>
      </c>
      <c r="D1472">
        <v>0</v>
      </c>
      <c r="E1472" t="s">
        <v>33</v>
      </c>
      <c r="F1472" t="s">
        <v>1049</v>
      </c>
      <c r="G1472" t="s">
        <v>1050</v>
      </c>
      <c r="H1472" t="s">
        <v>36</v>
      </c>
    </row>
    <row r="1473" spans="1:8" hidden="1" x14ac:dyDescent="0.3">
      <c r="A1473" t="s">
        <v>188</v>
      </c>
      <c r="B1473" s="2">
        <v>46235</v>
      </c>
      <c r="C1473" t="s">
        <v>896</v>
      </c>
      <c r="D1473">
        <v>0</v>
      </c>
      <c r="E1473" t="s">
        <v>33</v>
      </c>
      <c r="F1473" t="s">
        <v>33</v>
      </c>
      <c r="G1473" t="s">
        <v>338</v>
      </c>
      <c r="H1473" t="s">
        <v>36</v>
      </c>
    </row>
    <row r="1474" spans="1:8" ht="57.6" hidden="1" customHeight="1" x14ac:dyDescent="0.3">
      <c r="A1474" t="s">
        <v>226</v>
      </c>
      <c r="B1474" s="2">
        <v>45536</v>
      </c>
      <c r="C1474" s="10"/>
    </row>
    <row r="1475" spans="1:8" ht="57.6" hidden="1" customHeight="1" x14ac:dyDescent="0.3">
      <c r="A1475" t="s">
        <v>226</v>
      </c>
      <c r="B1475" s="2">
        <v>45566</v>
      </c>
      <c r="C1475" s="10"/>
    </row>
    <row r="1476" spans="1:8" ht="43.2" hidden="1" customHeight="1" x14ac:dyDescent="0.3">
      <c r="A1476" t="s">
        <v>226</v>
      </c>
      <c r="B1476" s="2">
        <v>45597</v>
      </c>
      <c r="C1476" s="10"/>
    </row>
    <row r="1477" spans="1:8" ht="43.2" hidden="1" customHeight="1" x14ac:dyDescent="0.3">
      <c r="A1477" t="s">
        <v>226</v>
      </c>
      <c r="B1477" s="2">
        <v>45627</v>
      </c>
      <c r="C1477" s="10"/>
    </row>
    <row r="1478" spans="1:8" ht="57.6" hidden="1" customHeight="1" x14ac:dyDescent="0.3">
      <c r="A1478" t="s">
        <v>226</v>
      </c>
      <c r="B1478" s="2">
        <v>45658</v>
      </c>
      <c r="C1478" s="10"/>
    </row>
    <row r="1479" spans="1:8" ht="57.6" hidden="1" customHeight="1" x14ac:dyDescent="0.3">
      <c r="A1479" t="s">
        <v>226</v>
      </c>
      <c r="B1479" s="2">
        <v>45689</v>
      </c>
      <c r="C1479" s="10"/>
    </row>
    <row r="1480" spans="1:8" ht="57.6" hidden="1" customHeight="1" x14ac:dyDescent="0.3">
      <c r="A1480" t="s">
        <v>226</v>
      </c>
      <c r="B1480" s="2">
        <v>45717</v>
      </c>
      <c r="C1480" s="10"/>
    </row>
    <row r="1481" spans="1:8" hidden="1" x14ac:dyDescent="0.3">
      <c r="A1481" t="s">
        <v>226</v>
      </c>
      <c r="B1481" s="2">
        <v>45748</v>
      </c>
      <c r="C1481" s="10"/>
    </row>
    <row r="1482" spans="1:8" hidden="1" x14ac:dyDescent="0.3">
      <c r="A1482" t="s">
        <v>226</v>
      </c>
      <c r="B1482" s="2">
        <v>45778</v>
      </c>
      <c r="C1482" s="10"/>
    </row>
    <row r="1483" spans="1:8" hidden="1" x14ac:dyDescent="0.3">
      <c r="A1483" t="s">
        <v>226</v>
      </c>
      <c r="B1483" s="2">
        <v>45809</v>
      </c>
      <c r="C1483" s="10"/>
    </row>
    <row r="1484" spans="1:8" hidden="1" x14ac:dyDescent="0.3">
      <c r="A1484" t="s">
        <v>226</v>
      </c>
      <c r="B1484" s="2">
        <v>45839</v>
      </c>
      <c r="C1484" s="10"/>
    </row>
    <row r="1485" spans="1:8" hidden="1" x14ac:dyDescent="0.3">
      <c r="A1485" t="s">
        <v>226</v>
      </c>
      <c r="B1485" s="2">
        <v>45870</v>
      </c>
      <c r="C1485" s="10"/>
    </row>
    <row r="1486" spans="1:8" hidden="1" x14ac:dyDescent="0.3">
      <c r="A1486" t="s">
        <v>226</v>
      </c>
      <c r="B1486" s="2">
        <v>45901</v>
      </c>
      <c r="C1486" s="10"/>
    </row>
    <row r="1487" spans="1:8" hidden="1" x14ac:dyDescent="0.3">
      <c r="A1487" t="s">
        <v>226</v>
      </c>
      <c r="B1487" s="2">
        <v>45931</v>
      </c>
      <c r="C1487" s="10"/>
    </row>
    <row r="1488" spans="1:8" hidden="1" x14ac:dyDescent="0.3">
      <c r="A1488" t="s">
        <v>226</v>
      </c>
      <c r="B1488" s="2">
        <v>45962</v>
      </c>
      <c r="C1488" s="10"/>
    </row>
    <row r="1489" spans="1:8" hidden="1" x14ac:dyDescent="0.3">
      <c r="A1489" t="s">
        <v>226</v>
      </c>
      <c r="B1489" s="2">
        <v>45992</v>
      </c>
      <c r="C1489" s="10" t="s">
        <v>493</v>
      </c>
    </row>
    <row r="1490" spans="1:8" hidden="1" x14ac:dyDescent="0.3">
      <c r="A1490" t="s">
        <v>226</v>
      </c>
      <c r="B1490" s="2">
        <v>46023</v>
      </c>
      <c r="C1490" s="10" t="s">
        <v>338</v>
      </c>
    </row>
    <row r="1491" spans="1:8" hidden="1" x14ac:dyDescent="0.3">
      <c r="A1491" t="s">
        <v>226</v>
      </c>
      <c r="B1491" s="2">
        <v>46054</v>
      </c>
      <c r="C1491" s="10" t="s">
        <v>326</v>
      </c>
    </row>
    <row r="1492" spans="1:8" hidden="1" x14ac:dyDescent="0.3">
      <c r="A1492" t="s">
        <v>226</v>
      </c>
      <c r="B1492" s="2">
        <v>46082</v>
      </c>
      <c r="C1492" s="10" t="s">
        <v>326</v>
      </c>
    </row>
    <row r="1493" spans="1:8" hidden="1" x14ac:dyDescent="0.3">
      <c r="A1493" t="s">
        <v>226</v>
      </c>
      <c r="B1493" s="2">
        <v>46113</v>
      </c>
      <c r="C1493" s="10" t="s">
        <v>302</v>
      </c>
    </row>
    <row r="1494" spans="1:8" hidden="1" x14ac:dyDescent="0.3">
      <c r="A1494" t="s">
        <v>226</v>
      </c>
      <c r="B1494" s="2">
        <v>46143</v>
      </c>
      <c r="C1494" s="10" t="s">
        <v>302</v>
      </c>
    </row>
    <row r="1495" spans="1:8" hidden="1" x14ac:dyDescent="0.3">
      <c r="A1495" t="s">
        <v>226</v>
      </c>
      <c r="B1495" s="2">
        <v>46174</v>
      </c>
      <c r="C1495" s="10"/>
    </row>
    <row r="1496" spans="1:8" hidden="1" x14ac:dyDescent="0.3">
      <c r="A1496" t="s">
        <v>226</v>
      </c>
      <c r="B1496" s="2">
        <v>46204</v>
      </c>
      <c r="C1496" s="10">
        <v>31</v>
      </c>
      <c r="D1496">
        <v>0</v>
      </c>
      <c r="E1496" t="s">
        <v>33</v>
      </c>
      <c r="F1496" t="s">
        <v>33</v>
      </c>
      <c r="G1496" t="s">
        <v>1014</v>
      </c>
      <c r="H1496" t="s">
        <v>36</v>
      </c>
    </row>
    <row r="1497" spans="1:8" hidden="1" x14ac:dyDescent="0.3">
      <c r="A1497" t="s">
        <v>226</v>
      </c>
      <c r="B1497" s="2">
        <v>46235</v>
      </c>
      <c r="C1497" t="s">
        <v>896</v>
      </c>
      <c r="D1497">
        <v>0</v>
      </c>
      <c r="E1497" t="s">
        <v>33</v>
      </c>
      <c r="F1497" t="s">
        <v>33</v>
      </c>
      <c r="G1497" t="s">
        <v>338</v>
      </c>
      <c r="H1497" t="s">
        <v>36</v>
      </c>
    </row>
    <row r="1498" spans="1:8" hidden="1" x14ac:dyDescent="0.3">
      <c r="A1498" t="s">
        <v>208</v>
      </c>
      <c r="B1498" s="2">
        <v>45536</v>
      </c>
      <c r="C1498" s="10"/>
    </row>
    <row r="1499" spans="1:8" hidden="1" x14ac:dyDescent="0.3">
      <c r="A1499" t="s">
        <v>208</v>
      </c>
      <c r="B1499" s="2">
        <v>45566</v>
      </c>
      <c r="C1499" s="10"/>
    </row>
    <row r="1500" spans="1:8" hidden="1" x14ac:dyDescent="0.3">
      <c r="A1500" t="s">
        <v>208</v>
      </c>
      <c r="B1500" s="2">
        <v>45597</v>
      </c>
      <c r="C1500" s="10"/>
    </row>
    <row r="1501" spans="1:8" hidden="1" x14ac:dyDescent="0.3">
      <c r="A1501" t="s">
        <v>208</v>
      </c>
      <c r="B1501" s="2">
        <v>45627</v>
      </c>
      <c r="C1501" s="10"/>
    </row>
    <row r="1502" spans="1:8" hidden="1" x14ac:dyDescent="0.3">
      <c r="A1502" t="s">
        <v>208</v>
      </c>
      <c r="B1502" s="2">
        <v>45658</v>
      </c>
      <c r="C1502" s="10"/>
    </row>
    <row r="1503" spans="1:8" hidden="1" x14ac:dyDescent="0.3">
      <c r="A1503" t="s">
        <v>208</v>
      </c>
      <c r="B1503" s="2">
        <v>45689</v>
      </c>
      <c r="C1503" s="10"/>
    </row>
    <row r="1504" spans="1:8" hidden="1" x14ac:dyDescent="0.3">
      <c r="A1504" t="s">
        <v>208</v>
      </c>
      <c r="B1504" s="2">
        <v>45717</v>
      </c>
      <c r="C1504" s="10"/>
    </row>
    <row r="1505" spans="1:8" hidden="1" x14ac:dyDescent="0.3">
      <c r="A1505" t="s">
        <v>208</v>
      </c>
      <c r="B1505" s="2">
        <v>45748</v>
      </c>
      <c r="C1505" s="10"/>
    </row>
    <row r="1506" spans="1:8" hidden="1" x14ac:dyDescent="0.3">
      <c r="A1506" t="s">
        <v>208</v>
      </c>
      <c r="B1506" s="2">
        <v>45778</v>
      </c>
      <c r="C1506" s="10"/>
    </row>
    <row r="1507" spans="1:8" hidden="1" x14ac:dyDescent="0.3">
      <c r="A1507" t="s">
        <v>208</v>
      </c>
      <c r="B1507" s="2">
        <v>45809</v>
      </c>
      <c r="C1507" s="10"/>
    </row>
    <row r="1508" spans="1:8" ht="115.2" hidden="1" x14ac:dyDescent="0.3">
      <c r="A1508" t="s">
        <v>208</v>
      </c>
      <c r="B1508" s="2">
        <v>45839</v>
      </c>
      <c r="C1508" s="10" t="s">
        <v>735</v>
      </c>
    </row>
    <row r="1509" spans="1:8" ht="86.4" hidden="1" x14ac:dyDescent="0.3">
      <c r="A1509" t="s">
        <v>208</v>
      </c>
      <c r="B1509" s="2">
        <v>45870</v>
      </c>
      <c r="C1509" s="10" t="s">
        <v>736</v>
      </c>
    </row>
    <row r="1510" spans="1:8" ht="72" hidden="1" x14ac:dyDescent="0.3">
      <c r="A1510" t="s">
        <v>208</v>
      </c>
      <c r="B1510" s="2">
        <v>45901</v>
      </c>
      <c r="C1510" s="10" t="s">
        <v>737</v>
      </c>
    </row>
    <row r="1511" spans="1:8" ht="72" hidden="1" x14ac:dyDescent="0.3">
      <c r="A1511" t="s">
        <v>208</v>
      </c>
      <c r="B1511" s="2">
        <v>45931</v>
      </c>
      <c r="C1511" s="10" t="s">
        <v>738</v>
      </c>
    </row>
    <row r="1512" spans="1:8" ht="72" hidden="1" x14ac:dyDescent="0.3">
      <c r="A1512" t="s">
        <v>208</v>
      </c>
      <c r="B1512" s="2">
        <v>45962</v>
      </c>
      <c r="C1512" s="10" t="s">
        <v>739</v>
      </c>
    </row>
    <row r="1513" spans="1:8" ht="28.8" hidden="1" x14ac:dyDescent="0.3">
      <c r="A1513" t="s">
        <v>208</v>
      </c>
      <c r="B1513" s="2">
        <v>45992</v>
      </c>
      <c r="C1513" s="10" t="s">
        <v>740</v>
      </c>
    </row>
    <row r="1514" spans="1:8" hidden="1" x14ac:dyDescent="0.3">
      <c r="A1514" t="s">
        <v>208</v>
      </c>
      <c r="B1514" s="2">
        <v>46023</v>
      </c>
      <c r="C1514" s="10" t="s">
        <v>338</v>
      </c>
    </row>
    <row r="1515" spans="1:8" hidden="1" x14ac:dyDescent="0.3">
      <c r="A1515" t="s">
        <v>208</v>
      </c>
      <c r="B1515" s="2">
        <v>46054</v>
      </c>
      <c r="C1515" s="10" t="s">
        <v>326</v>
      </c>
    </row>
    <row r="1516" spans="1:8" hidden="1" x14ac:dyDescent="0.3">
      <c r="A1516" t="s">
        <v>208</v>
      </c>
      <c r="B1516" s="2">
        <v>46082</v>
      </c>
      <c r="C1516" s="10" t="s">
        <v>326</v>
      </c>
    </row>
    <row r="1517" spans="1:8" hidden="1" x14ac:dyDescent="0.3">
      <c r="A1517" t="s">
        <v>208</v>
      </c>
      <c r="B1517" s="2">
        <v>46113</v>
      </c>
      <c r="C1517" s="10" t="s">
        <v>302</v>
      </c>
    </row>
    <row r="1518" spans="1:8" hidden="1" x14ac:dyDescent="0.3">
      <c r="A1518" t="s">
        <v>208</v>
      </c>
      <c r="B1518" s="2">
        <v>46143</v>
      </c>
      <c r="C1518" s="10" t="s">
        <v>302</v>
      </c>
    </row>
    <row r="1519" spans="1:8" hidden="1" x14ac:dyDescent="0.3">
      <c r="A1519" t="s">
        <v>208</v>
      </c>
      <c r="B1519" s="2">
        <v>46174</v>
      </c>
      <c r="C1519" s="10"/>
    </row>
    <row r="1520" spans="1:8" hidden="1" x14ac:dyDescent="0.3">
      <c r="A1520" t="s">
        <v>208</v>
      </c>
      <c r="B1520" s="2">
        <v>46204</v>
      </c>
      <c r="C1520" s="10">
        <v>31</v>
      </c>
      <c r="D1520">
        <v>0</v>
      </c>
      <c r="E1520" t="s">
        <v>33</v>
      </c>
      <c r="F1520" t="s">
        <v>1049</v>
      </c>
      <c r="G1520" t="s">
        <v>1050</v>
      </c>
      <c r="H1520" t="s">
        <v>36</v>
      </c>
    </row>
    <row r="1521" spans="1:8" hidden="1" x14ac:dyDescent="0.3">
      <c r="A1521" t="s">
        <v>208</v>
      </c>
      <c r="B1521" s="2">
        <v>46235</v>
      </c>
      <c r="C1521" s="10" t="s">
        <v>919</v>
      </c>
      <c r="D1521">
        <v>0</v>
      </c>
      <c r="E1521" t="s">
        <v>33</v>
      </c>
      <c r="F1521" t="s">
        <v>33</v>
      </c>
      <c r="G1521" t="s">
        <v>1050</v>
      </c>
      <c r="H1521" t="s">
        <v>36</v>
      </c>
    </row>
    <row r="1522" spans="1:8" hidden="1" x14ac:dyDescent="0.3">
      <c r="A1522" t="s">
        <v>190</v>
      </c>
      <c r="B1522" s="2">
        <v>45536</v>
      </c>
      <c r="C1522" s="10" t="s">
        <v>741</v>
      </c>
    </row>
    <row r="1523" spans="1:8" hidden="1" x14ac:dyDescent="0.3">
      <c r="A1523" t="s">
        <v>190</v>
      </c>
      <c r="B1523" s="2">
        <v>45566</v>
      </c>
      <c r="C1523" s="10"/>
    </row>
    <row r="1524" spans="1:8" ht="57.6" hidden="1" customHeight="1" x14ac:dyDescent="0.3">
      <c r="A1524" t="s">
        <v>190</v>
      </c>
      <c r="B1524" s="2">
        <v>45597</v>
      </c>
      <c r="C1524" s="10"/>
    </row>
    <row r="1525" spans="1:8" ht="43.2" hidden="1" customHeight="1" x14ac:dyDescent="0.3">
      <c r="A1525" t="s">
        <v>190</v>
      </c>
      <c r="B1525" s="2">
        <v>45627</v>
      </c>
      <c r="C1525" s="10"/>
    </row>
    <row r="1526" spans="1:8" ht="43.2" hidden="1" customHeight="1" x14ac:dyDescent="0.3">
      <c r="A1526" t="s">
        <v>190</v>
      </c>
      <c r="B1526" s="2">
        <v>45658</v>
      </c>
      <c r="C1526" s="10"/>
    </row>
    <row r="1527" spans="1:8" ht="43.2" hidden="1" customHeight="1" x14ac:dyDescent="0.3">
      <c r="A1527" t="s">
        <v>190</v>
      </c>
      <c r="B1527" s="2">
        <v>45689</v>
      </c>
      <c r="C1527" s="10" t="s">
        <v>742</v>
      </c>
    </row>
    <row r="1528" spans="1:8" ht="43.2" hidden="1" customHeight="1" x14ac:dyDescent="0.3">
      <c r="A1528" t="s">
        <v>190</v>
      </c>
      <c r="B1528" s="2">
        <v>45717</v>
      </c>
      <c r="C1528" s="10" t="s">
        <v>743</v>
      </c>
    </row>
    <row r="1529" spans="1:8" ht="28.8" hidden="1" x14ac:dyDescent="0.3">
      <c r="A1529" t="s">
        <v>190</v>
      </c>
      <c r="B1529" s="2">
        <v>45748</v>
      </c>
      <c r="C1529" s="10" t="s">
        <v>743</v>
      </c>
    </row>
    <row r="1530" spans="1:8" ht="129.6" hidden="1" x14ac:dyDescent="0.3">
      <c r="A1530" t="s">
        <v>190</v>
      </c>
      <c r="B1530" s="2">
        <v>45778</v>
      </c>
      <c r="C1530" s="10" t="s">
        <v>744</v>
      </c>
    </row>
    <row r="1531" spans="1:8" ht="129.6" hidden="1" x14ac:dyDescent="0.3">
      <c r="A1531" t="s">
        <v>190</v>
      </c>
      <c r="B1531" s="2">
        <v>45809</v>
      </c>
      <c r="C1531" s="10" t="s">
        <v>745</v>
      </c>
    </row>
    <row r="1532" spans="1:8" ht="129.6" hidden="1" x14ac:dyDescent="0.3">
      <c r="A1532" t="s">
        <v>190</v>
      </c>
      <c r="B1532" s="2">
        <v>45839</v>
      </c>
      <c r="C1532" s="10" t="s">
        <v>746</v>
      </c>
    </row>
    <row r="1533" spans="1:8" ht="129.6" hidden="1" x14ac:dyDescent="0.3">
      <c r="A1533" t="s">
        <v>190</v>
      </c>
      <c r="B1533" s="2">
        <v>45870</v>
      </c>
      <c r="C1533" s="10" t="s">
        <v>747</v>
      </c>
    </row>
    <row r="1534" spans="1:8" ht="129.6" hidden="1" x14ac:dyDescent="0.3">
      <c r="A1534" t="s">
        <v>190</v>
      </c>
      <c r="B1534" s="2">
        <v>45901</v>
      </c>
      <c r="C1534" s="10" t="s">
        <v>748</v>
      </c>
    </row>
    <row r="1535" spans="1:8" ht="115.2" hidden="1" x14ac:dyDescent="0.3">
      <c r="A1535" t="s">
        <v>190</v>
      </c>
      <c r="B1535" s="2">
        <v>45931</v>
      </c>
      <c r="C1535" s="10" t="s">
        <v>749</v>
      </c>
    </row>
    <row r="1536" spans="1:8" ht="129.6" hidden="1" x14ac:dyDescent="0.3">
      <c r="A1536" t="s">
        <v>190</v>
      </c>
      <c r="B1536" s="2">
        <v>45962</v>
      </c>
      <c r="C1536" s="10" t="s">
        <v>750</v>
      </c>
    </row>
    <row r="1537" spans="1:8" ht="43.2" hidden="1" x14ac:dyDescent="0.3">
      <c r="A1537" t="s">
        <v>190</v>
      </c>
      <c r="B1537" s="2">
        <v>45992</v>
      </c>
      <c r="C1537" s="10" t="s">
        <v>751</v>
      </c>
    </row>
    <row r="1538" spans="1:8" ht="43.2" hidden="1" x14ac:dyDescent="0.3">
      <c r="A1538" t="s">
        <v>190</v>
      </c>
      <c r="B1538" s="2">
        <v>46023</v>
      </c>
      <c r="C1538" s="10" t="s">
        <v>751</v>
      </c>
    </row>
    <row r="1539" spans="1:8" ht="43.2" hidden="1" x14ac:dyDescent="0.3">
      <c r="A1539" t="s">
        <v>190</v>
      </c>
      <c r="B1539" s="2">
        <v>46054</v>
      </c>
      <c r="C1539" s="10" t="s">
        <v>751</v>
      </c>
    </row>
    <row r="1540" spans="1:8" ht="28.8" hidden="1" x14ac:dyDescent="0.3">
      <c r="A1540" t="s">
        <v>190</v>
      </c>
      <c r="B1540" s="2">
        <v>46082</v>
      </c>
      <c r="C1540" s="10" t="s">
        <v>752</v>
      </c>
    </row>
    <row r="1541" spans="1:8" ht="28.8" hidden="1" x14ac:dyDescent="0.3">
      <c r="A1541" t="s">
        <v>190</v>
      </c>
      <c r="B1541" s="2">
        <v>46113</v>
      </c>
      <c r="C1541" s="10" t="s">
        <v>752</v>
      </c>
    </row>
    <row r="1542" spans="1:8" ht="28.8" hidden="1" x14ac:dyDescent="0.3">
      <c r="A1542" t="s">
        <v>190</v>
      </c>
      <c r="B1542" s="2">
        <v>46143</v>
      </c>
      <c r="C1542" s="10" t="s">
        <v>867</v>
      </c>
    </row>
    <row r="1543" spans="1:8" hidden="1" x14ac:dyDescent="0.3">
      <c r="A1543" t="s">
        <v>190</v>
      </c>
      <c r="B1543" s="2">
        <v>46174</v>
      </c>
      <c r="C1543" s="10"/>
    </row>
    <row r="1544" spans="1:8" hidden="1" x14ac:dyDescent="0.3">
      <c r="A1544" t="s">
        <v>190</v>
      </c>
      <c r="B1544" s="2">
        <v>46204</v>
      </c>
      <c r="C1544" s="10">
        <v>31</v>
      </c>
      <c r="D1544">
        <v>0</v>
      </c>
      <c r="E1544" t="s">
        <v>33</v>
      </c>
      <c r="F1544" t="s">
        <v>33</v>
      </c>
      <c r="G1544" t="s">
        <v>932</v>
      </c>
      <c r="H1544" t="s">
        <v>36</v>
      </c>
    </row>
    <row r="1545" spans="1:8" hidden="1" x14ac:dyDescent="0.3">
      <c r="A1545" t="s">
        <v>190</v>
      </c>
      <c r="B1545" s="2">
        <v>46235</v>
      </c>
      <c r="C1545" s="10" t="s">
        <v>896</v>
      </c>
      <c r="D1545">
        <v>0</v>
      </c>
      <c r="E1545" t="s">
        <v>33</v>
      </c>
      <c r="F1545" t="s">
        <v>33</v>
      </c>
      <c r="G1545" s="10" t="s">
        <v>932</v>
      </c>
      <c r="H1545" t="s">
        <v>36</v>
      </c>
    </row>
    <row r="1546" spans="1:8" ht="72" hidden="1" customHeight="1" x14ac:dyDescent="0.3">
      <c r="A1546" t="s">
        <v>213</v>
      </c>
      <c r="B1546" s="2">
        <v>45536</v>
      </c>
      <c r="C1546" s="10"/>
    </row>
    <row r="1547" spans="1:8" ht="72" hidden="1" customHeight="1" x14ac:dyDescent="0.3">
      <c r="A1547" t="s">
        <v>213</v>
      </c>
      <c r="B1547" s="2">
        <v>45566</v>
      </c>
      <c r="C1547" s="10"/>
    </row>
    <row r="1548" spans="1:8" ht="72" hidden="1" customHeight="1" x14ac:dyDescent="0.3">
      <c r="A1548" t="s">
        <v>213</v>
      </c>
      <c r="B1548" s="2">
        <v>45597</v>
      </c>
      <c r="C1548" s="10"/>
    </row>
    <row r="1549" spans="1:8" ht="72" hidden="1" customHeight="1" x14ac:dyDescent="0.3">
      <c r="A1549" t="s">
        <v>213</v>
      </c>
      <c r="B1549" s="2">
        <v>45627</v>
      </c>
      <c r="C1549" s="10"/>
    </row>
    <row r="1550" spans="1:8" ht="72" hidden="1" customHeight="1" x14ac:dyDescent="0.3">
      <c r="A1550" t="s">
        <v>213</v>
      </c>
      <c r="B1550" s="2">
        <v>45658</v>
      </c>
      <c r="C1550" s="10"/>
    </row>
    <row r="1551" spans="1:8" ht="57.6" hidden="1" customHeight="1" x14ac:dyDescent="0.3">
      <c r="A1551" t="s">
        <v>213</v>
      </c>
      <c r="B1551" s="2">
        <v>45689</v>
      </c>
      <c r="C1551" s="10"/>
    </row>
    <row r="1552" spans="1:8" ht="72" hidden="1" customHeight="1" x14ac:dyDescent="0.3">
      <c r="A1552" t="s">
        <v>213</v>
      </c>
      <c r="B1552" s="2">
        <v>45717</v>
      </c>
      <c r="C1552" s="10"/>
    </row>
    <row r="1553" spans="1:8" hidden="1" x14ac:dyDescent="0.3">
      <c r="A1553" t="s">
        <v>213</v>
      </c>
      <c r="B1553" s="2">
        <v>45748</v>
      </c>
      <c r="C1553" s="10"/>
    </row>
    <row r="1554" spans="1:8" hidden="1" x14ac:dyDescent="0.3">
      <c r="A1554" t="s">
        <v>213</v>
      </c>
      <c r="B1554" s="2">
        <v>45778</v>
      </c>
      <c r="C1554" s="10"/>
    </row>
    <row r="1555" spans="1:8" hidden="1" x14ac:dyDescent="0.3">
      <c r="A1555" t="s">
        <v>213</v>
      </c>
      <c r="B1555" s="2">
        <v>45809</v>
      </c>
      <c r="C1555" s="10"/>
    </row>
    <row r="1556" spans="1:8" hidden="1" x14ac:dyDescent="0.3">
      <c r="A1556" t="s">
        <v>213</v>
      </c>
      <c r="B1556" s="2">
        <v>45839</v>
      </c>
      <c r="C1556" s="10"/>
    </row>
    <row r="1557" spans="1:8" hidden="1" x14ac:dyDescent="0.3">
      <c r="A1557" t="s">
        <v>213</v>
      </c>
      <c r="B1557" s="2">
        <v>45870</v>
      </c>
      <c r="C1557" t="s">
        <v>968</v>
      </c>
      <c r="D1557" t="s">
        <v>969</v>
      </c>
      <c r="E1557" t="s">
        <v>970</v>
      </c>
      <c r="F1557" t="s">
        <v>33</v>
      </c>
      <c r="G1557" t="s">
        <v>33</v>
      </c>
      <c r="H1557" t="s">
        <v>36</v>
      </c>
    </row>
    <row r="1558" spans="1:8" hidden="1" x14ac:dyDescent="0.3">
      <c r="A1558" t="s">
        <v>213</v>
      </c>
      <c r="B1558" s="2">
        <v>45901</v>
      </c>
      <c r="C1558" t="s">
        <v>919</v>
      </c>
      <c r="D1558">
        <v>0</v>
      </c>
      <c r="E1558" t="s">
        <v>33</v>
      </c>
      <c r="F1558" t="s">
        <v>33</v>
      </c>
      <c r="G1558" s="10" t="s">
        <v>338</v>
      </c>
      <c r="H1558" t="s">
        <v>36</v>
      </c>
    </row>
    <row r="1559" spans="1:8" hidden="1" x14ac:dyDescent="0.3">
      <c r="A1559" t="s">
        <v>213</v>
      </c>
      <c r="B1559" s="2">
        <v>45931</v>
      </c>
      <c r="C1559" t="s">
        <v>911</v>
      </c>
      <c r="D1559">
        <v>0</v>
      </c>
      <c r="E1559" t="s">
        <v>33</v>
      </c>
      <c r="F1559" t="s">
        <v>33</v>
      </c>
      <c r="G1559" s="10" t="s">
        <v>338</v>
      </c>
      <c r="H1559" t="s">
        <v>36</v>
      </c>
    </row>
    <row r="1560" spans="1:8" hidden="1" x14ac:dyDescent="0.3">
      <c r="A1560" t="s">
        <v>213</v>
      </c>
      <c r="B1560" s="2">
        <v>45962</v>
      </c>
      <c r="C1560" t="s">
        <v>919</v>
      </c>
      <c r="D1560">
        <v>0</v>
      </c>
      <c r="E1560" t="s">
        <v>33</v>
      </c>
      <c r="F1560" t="s">
        <v>33</v>
      </c>
      <c r="G1560" s="10" t="s">
        <v>338</v>
      </c>
      <c r="H1560" t="s">
        <v>36</v>
      </c>
    </row>
    <row r="1561" spans="1:8" hidden="1" x14ac:dyDescent="0.3">
      <c r="A1561" t="s">
        <v>213</v>
      </c>
      <c r="B1561" s="2">
        <v>45992</v>
      </c>
      <c r="C1561" t="s">
        <v>911</v>
      </c>
      <c r="D1561">
        <v>0</v>
      </c>
      <c r="E1561" t="s">
        <v>33</v>
      </c>
      <c r="F1561" t="s">
        <v>33</v>
      </c>
      <c r="G1561" s="10" t="s">
        <v>338</v>
      </c>
      <c r="H1561" t="s">
        <v>36</v>
      </c>
    </row>
    <row r="1562" spans="1:8" hidden="1" x14ac:dyDescent="0.3">
      <c r="A1562" t="s">
        <v>213</v>
      </c>
      <c r="B1562" s="2">
        <v>46023</v>
      </c>
      <c r="C1562" t="s">
        <v>911</v>
      </c>
      <c r="D1562">
        <v>0</v>
      </c>
      <c r="E1562" t="s">
        <v>33</v>
      </c>
      <c r="F1562" t="s">
        <v>33</v>
      </c>
      <c r="G1562" s="10" t="s">
        <v>338</v>
      </c>
      <c r="H1562" t="s">
        <v>36</v>
      </c>
    </row>
    <row r="1563" spans="1:8" hidden="1" x14ac:dyDescent="0.3">
      <c r="A1563" t="s">
        <v>213</v>
      </c>
      <c r="B1563" s="2">
        <v>46054</v>
      </c>
      <c r="C1563" t="s">
        <v>895</v>
      </c>
      <c r="D1563">
        <v>0</v>
      </c>
      <c r="E1563" t="s">
        <v>33</v>
      </c>
      <c r="F1563" t="s">
        <v>33</v>
      </c>
      <c r="G1563" s="10" t="s">
        <v>338</v>
      </c>
      <c r="H1563" t="s">
        <v>36</v>
      </c>
    </row>
    <row r="1564" spans="1:8" hidden="1" x14ac:dyDescent="0.3">
      <c r="A1564" t="s">
        <v>213</v>
      </c>
      <c r="B1564" s="2">
        <v>46082</v>
      </c>
      <c r="C1564" t="s">
        <v>911</v>
      </c>
      <c r="D1564">
        <v>0</v>
      </c>
      <c r="E1564" t="s">
        <v>33</v>
      </c>
      <c r="F1564" t="s">
        <v>33</v>
      </c>
      <c r="G1564" s="10" t="s">
        <v>606</v>
      </c>
      <c r="H1564" t="s">
        <v>36</v>
      </c>
    </row>
    <row r="1565" spans="1:8" hidden="1" x14ac:dyDescent="0.3">
      <c r="A1565" t="s">
        <v>213</v>
      </c>
      <c r="B1565" s="2">
        <v>46113</v>
      </c>
      <c r="C1565" t="s">
        <v>919</v>
      </c>
      <c r="D1565">
        <v>0</v>
      </c>
      <c r="E1565" t="s">
        <v>33</v>
      </c>
      <c r="F1565" t="s">
        <v>33</v>
      </c>
      <c r="G1565" s="10" t="s">
        <v>606</v>
      </c>
      <c r="H1565" t="s">
        <v>36</v>
      </c>
    </row>
    <row r="1566" spans="1:8" hidden="1" x14ac:dyDescent="0.3">
      <c r="A1566" t="s">
        <v>213</v>
      </c>
      <c r="B1566" s="2">
        <v>46143</v>
      </c>
      <c r="C1566" t="s">
        <v>911</v>
      </c>
      <c r="D1566">
        <v>0</v>
      </c>
      <c r="E1566" t="s">
        <v>33</v>
      </c>
      <c r="F1566" t="s">
        <v>33</v>
      </c>
      <c r="G1566" s="10" t="s">
        <v>338</v>
      </c>
      <c r="H1566" t="s">
        <v>36</v>
      </c>
    </row>
    <row r="1567" spans="1:8" ht="28.95" hidden="1" customHeight="1" x14ac:dyDescent="0.3">
      <c r="A1567" t="s">
        <v>213</v>
      </c>
      <c r="B1567" s="2">
        <v>46235</v>
      </c>
      <c r="C1567" t="s">
        <v>896</v>
      </c>
      <c r="D1567">
        <v>0</v>
      </c>
      <c r="E1567" t="s">
        <v>33</v>
      </c>
      <c r="F1567" t="s">
        <v>33</v>
      </c>
      <c r="G1567" t="s">
        <v>338</v>
      </c>
      <c r="H1567" t="s">
        <v>36</v>
      </c>
    </row>
    <row r="1568" spans="1:8" hidden="1" x14ac:dyDescent="0.3">
      <c r="A1568" t="s">
        <v>213</v>
      </c>
      <c r="B1568" s="2">
        <v>46174</v>
      </c>
      <c r="C1568" t="s">
        <v>919</v>
      </c>
      <c r="D1568">
        <v>0</v>
      </c>
      <c r="E1568" t="s">
        <v>33</v>
      </c>
      <c r="F1568" t="s">
        <v>33</v>
      </c>
      <c r="G1568" s="10" t="s">
        <v>338</v>
      </c>
      <c r="H1568" t="s">
        <v>36</v>
      </c>
    </row>
    <row r="1569" spans="1:8" hidden="1" x14ac:dyDescent="0.3">
      <c r="A1569" t="s">
        <v>213</v>
      </c>
      <c r="B1569" s="2">
        <v>46204</v>
      </c>
      <c r="C1569" s="10">
        <v>20</v>
      </c>
      <c r="D1569" t="s">
        <v>1051</v>
      </c>
      <c r="E1569" t="s">
        <v>1052</v>
      </c>
      <c r="F1569" t="s">
        <v>33</v>
      </c>
      <c r="G1569" t="s">
        <v>1053</v>
      </c>
      <c r="H1569" t="s">
        <v>1054</v>
      </c>
    </row>
    <row r="1570" spans="1:8" ht="57.6" hidden="1" customHeight="1" x14ac:dyDescent="0.3">
      <c r="A1570" t="s">
        <v>216</v>
      </c>
      <c r="B1570" s="2">
        <v>45536</v>
      </c>
      <c r="C1570" s="10"/>
    </row>
    <row r="1571" spans="1:8" ht="57.6" hidden="1" customHeight="1" x14ac:dyDescent="0.3">
      <c r="A1571" t="s">
        <v>216</v>
      </c>
      <c r="B1571" s="2">
        <v>45566</v>
      </c>
      <c r="C1571" s="10"/>
    </row>
    <row r="1572" spans="1:8" ht="57.6" hidden="1" customHeight="1" x14ac:dyDescent="0.3">
      <c r="A1572" t="s">
        <v>216</v>
      </c>
      <c r="B1572" s="2">
        <v>45597</v>
      </c>
      <c r="C1572" s="10"/>
    </row>
    <row r="1573" spans="1:8" ht="57.6" hidden="1" customHeight="1" x14ac:dyDescent="0.3">
      <c r="A1573" t="s">
        <v>216</v>
      </c>
      <c r="B1573" s="2">
        <v>45627</v>
      </c>
      <c r="C1573" s="10"/>
    </row>
    <row r="1574" spans="1:8" ht="57.6" hidden="1" customHeight="1" x14ac:dyDescent="0.3">
      <c r="A1574" t="s">
        <v>216</v>
      </c>
      <c r="B1574" s="2">
        <v>45658</v>
      </c>
      <c r="C1574" s="10"/>
    </row>
    <row r="1575" spans="1:8" ht="57.6" hidden="1" customHeight="1" x14ac:dyDescent="0.3">
      <c r="A1575" t="s">
        <v>216</v>
      </c>
      <c r="B1575" s="2">
        <v>45689</v>
      </c>
      <c r="C1575" s="10"/>
    </row>
    <row r="1576" spans="1:8" ht="57.6" hidden="1" customHeight="1" x14ac:dyDescent="0.3">
      <c r="A1576" t="s">
        <v>216</v>
      </c>
      <c r="B1576" s="2">
        <v>45717</v>
      </c>
      <c r="C1576" s="10"/>
    </row>
    <row r="1577" spans="1:8" hidden="1" x14ac:dyDescent="0.3">
      <c r="A1577" t="s">
        <v>216</v>
      </c>
      <c r="B1577" s="2">
        <v>45748</v>
      </c>
      <c r="C1577" s="10"/>
    </row>
    <row r="1578" spans="1:8" hidden="1" x14ac:dyDescent="0.3">
      <c r="A1578" t="s">
        <v>216</v>
      </c>
      <c r="B1578" s="2">
        <v>45778</v>
      </c>
      <c r="C1578" s="10"/>
    </row>
    <row r="1579" spans="1:8" hidden="1" x14ac:dyDescent="0.3">
      <c r="A1579" t="s">
        <v>216</v>
      </c>
      <c r="B1579" s="2">
        <v>45809</v>
      </c>
      <c r="C1579" s="10"/>
    </row>
    <row r="1580" spans="1:8" hidden="1" x14ac:dyDescent="0.3">
      <c r="A1580" t="s">
        <v>216</v>
      </c>
      <c r="B1580" s="2">
        <v>45839</v>
      </c>
      <c r="C1580" s="10"/>
    </row>
    <row r="1581" spans="1:8" hidden="1" x14ac:dyDescent="0.3">
      <c r="A1581" t="s">
        <v>216</v>
      </c>
      <c r="B1581" s="2">
        <v>45870</v>
      </c>
      <c r="C1581" s="10"/>
    </row>
    <row r="1582" spans="1:8" ht="57.6" hidden="1" x14ac:dyDescent="0.3">
      <c r="A1582" t="s">
        <v>216</v>
      </c>
      <c r="B1582" s="2">
        <v>45901</v>
      </c>
      <c r="C1582" s="10" t="s">
        <v>607</v>
      </c>
    </row>
    <row r="1583" spans="1:8" ht="57.6" hidden="1" x14ac:dyDescent="0.3">
      <c r="A1583" t="s">
        <v>216</v>
      </c>
      <c r="B1583" s="2">
        <v>45931</v>
      </c>
      <c r="C1583" s="10" t="s">
        <v>608</v>
      </c>
    </row>
    <row r="1584" spans="1:8" ht="72" hidden="1" x14ac:dyDescent="0.3">
      <c r="A1584" t="s">
        <v>216</v>
      </c>
      <c r="B1584" s="2">
        <v>45962</v>
      </c>
      <c r="C1584" s="10" t="s">
        <v>609</v>
      </c>
    </row>
    <row r="1585" spans="1:8" hidden="1" x14ac:dyDescent="0.3">
      <c r="A1585" t="s">
        <v>216</v>
      </c>
      <c r="B1585" s="2">
        <v>45992</v>
      </c>
      <c r="C1585" s="10" t="s">
        <v>326</v>
      </c>
    </row>
    <row r="1586" spans="1:8" hidden="1" x14ac:dyDescent="0.3">
      <c r="A1586" t="s">
        <v>216</v>
      </c>
      <c r="B1586" s="2">
        <v>46023</v>
      </c>
      <c r="C1586" s="10" t="s">
        <v>338</v>
      </c>
    </row>
    <row r="1587" spans="1:8" hidden="1" x14ac:dyDescent="0.3">
      <c r="A1587" t="s">
        <v>216</v>
      </c>
      <c r="B1587" s="2">
        <v>46054</v>
      </c>
      <c r="C1587" s="10" t="s">
        <v>326</v>
      </c>
    </row>
    <row r="1588" spans="1:8" ht="28.8" hidden="1" x14ac:dyDescent="0.3">
      <c r="A1588" t="s">
        <v>216</v>
      </c>
      <c r="B1588" s="2">
        <v>46082</v>
      </c>
      <c r="C1588" s="10" t="s">
        <v>606</v>
      </c>
    </row>
    <row r="1589" spans="1:8" ht="28.8" hidden="1" x14ac:dyDescent="0.3">
      <c r="A1589" t="s">
        <v>216</v>
      </c>
      <c r="B1589" s="2">
        <v>46113</v>
      </c>
      <c r="C1589" s="10" t="s">
        <v>606</v>
      </c>
    </row>
    <row r="1590" spans="1:8" hidden="1" x14ac:dyDescent="0.3">
      <c r="A1590" t="s">
        <v>216</v>
      </c>
      <c r="B1590" s="2">
        <v>46143</v>
      </c>
      <c r="C1590" s="10" t="s">
        <v>302</v>
      </c>
    </row>
    <row r="1591" spans="1:8" hidden="1" x14ac:dyDescent="0.3">
      <c r="A1591" t="s">
        <v>216</v>
      </c>
      <c r="B1591" s="2">
        <v>46235</v>
      </c>
      <c r="C1591" s="10" t="s">
        <v>895</v>
      </c>
      <c r="D1591" t="s">
        <v>1087</v>
      </c>
      <c r="E1591" t="s">
        <v>927</v>
      </c>
      <c r="F1591" t="s">
        <v>33</v>
      </c>
      <c r="G1591" s="10" t="s">
        <v>1089</v>
      </c>
      <c r="H1591" t="s">
        <v>36</v>
      </c>
    </row>
    <row r="1592" spans="1:8" hidden="1" x14ac:dyDescent="0.3">
      <c r="A1592" t="s">
        <v>216</v>
      </c>
      <c r="B1592" s="2">
        <v>46174</v>
      </c>
      <c r="C1592" s="10"/>
    </row>
    <row r="1593" spans="1:8" hidden="1" x14ac:dyDescent="0.3">
      <c r="A1593" t="s">
        <v>216</v>
      </c>
      <c r="B1593" s="2">
        <v>46204</v>
      </c>
      <c r="C1593" s="10">
        <v>20</v>
      </c>
      <c r="D1593" t="s">
        <v>1051</v>
      </c>
      <c r="E1593" t="s">
        <v>1052</v>
      </c>
      <c r="F1593" t="s">
        <v>33</v>
      </c>
      <c r="G1593" t="s">
        <v>1053</v>
      </c>
      <c r="H1593" t="s">
        <v>36</v>
      </c>
    </row>
    <row r="1594" spans="1:8" hidden="1" x14ac:dyDescent="0.3">
      <c r="A1594" t="s">
        <v>218</v>
      </c>
      <c r="B1594" s="2">
        <v>45536</v>
      </c>
      <c r="C1594" s="10"/>
    </row>
    <row r="1595" spans="1:8" hidden="1" x14ac:dyDescent="0.3">
      <c r="A1595" t="s">
        <v>218</v>
      </c>
      <c r="B1595" s="2">
        <v>45566</v>
      </c>
      <c r="C1595" s="10"/>
    </row>
    <row r="1596" spans="1:8" hidden="1" x14ac:dyDescent="0.3">
      <c r="A1596" t="s">
        <v>218</v>
      </c>
      <c r="B1596" s="2">
        <v>45597</v>
      </c>
      <c r="C1596" s="10"/>
    </row>
    <row r="1597" spans="1:8" hidden="1" x14ac:dyDescent="0.3">
      <c r="A1597" t="s">
        <v>218</v>
      </c>
      <c r="B1597" s="2">
        <v>45627</v>
      </c>
      <c r="C1597" s="10"/>
    </row>
    <row r="1598" spans="1:8" hidden="1" x14ac:dyDescent="0.3">
      <c r="A1598" t="s">
        <v>218</v>
      </c>
      <c r="B1598" s="2">
        <v>45658</v>
      </c>
      <c r="C1598" s="10"/>
    </row>
    <row r="1599" spans="1:8" hidden="1" x14ac:dyDescent="0.3">
      <c r="A1599" t="s">
        <v>218</v>
      </c>
      <c r="B1599" s="2">
        <v>45689</v>
      </c>
      <c r="C1599" s="10"/>
    </row>
    <row r="1600" spans="1:8" hidden="1" x14ac:dyDescent="0.3">
      <c r="A1600" t="s">
        <v>218</v>
      </c>
      <c r="B1600" s="2">
        <v>45717</v>
      </c>
      <c r="C1600" s="10"/>
    </row>
    <row r="1601" spans="1:8" hidden="1" x14ac:dyDescent="0.3">
      <c r="A1601" t="s">
        <v>218</v>
      </c>
      <c r="B1601" s="2">
        <v>45748</v>
      </c>
      <c r="C1601" s="10"/>
    </row>
    <row r="1602" spans="1:8" hidden="1" x14ac:dyDescent="0.3">
      <c r="A1602" t="s">
        <v>218</v>
      </c>
      <c r="B1602" s="2">
        <v>45778</v>
      </c>
      <c r="C1602" s="10"/>
    </row>
    <row r="1603" spans="1:8" hidden="1" x14ac:dyDescent="0.3">
      <c r="A1603" t="s">
        <v>218</v>
      </c>
      <c r="B1603" s="2">
        <v>45809</v>
      </c>
      <c r="C1603" s="10"/>
    </row>
    <row r="1604" spans="1:8" hidden="1" x14ac:dyDescent="0.3">
      <c r="A1604" t="s">
        <v>218</v>
      </c>
      <c r="B1604" s="2">
        <v>45839</v>
      </c>
      <c r="C1604" s="10"/>
    </row>
    <row r="1605" spans="1:8" hidden="1" x14ac:dyDescent="0.3">
      <c r="A1605" t="s">
        <v>218</v>
      </c>
      <c r="B1605" s="2">
        <v>45870</v>
      </c>
      <c r="C1605" t="s">
        <v>968</v>
      </c>
      <c r="D1605" t="s">
        <v>969</v>
      </c>
      <c r="E1605" t="s">
        <v>970</v>
      </c>
      <c r="F1605" t="s">
        <v>33</v>
      </c>
      <c r="G1605" t="s">
        <v>33</v>
      </c>
      <c r="H1605" t="s">
        <v>36</v>
      </c>
    </row>
    <row r="1606" spans="1:8" hidden="1" x14ac:dyDescent="0.3">
      <c r="A1606" t="s">
        <v>218</v>
      </c>
      <c r="B1606" s="2">
        <v>45901</v>
      </c>
      <c r="C1606" t="s">
        <v>919</v>
      </c>
      <c r="D1606">
        <v>0</v>
      </c>
      <c r="E1606" t="s">
        <v>33</v>
      </c>
      <c r="F1606" t="s">
        <v>33</v>
      </c>
      <c r="G1606" s="10" t="s">
        <v>338</v>
      </c>
      <c r="H1606" t="s">
        <v>36</v>
      </c>
    </row>
    <row r="1607" spans="1:8" hidden="1" x14ac:dyDescent="0.3">
      <c r="A1607" t="s">
        <v>218</v>
      </c>
      <c r="B1607" s="2">
        <v>45931</v>
      </c>
      <c r="C1607" t="s">
        <v>911</v>
      </c>
      <c r="D1607">
        <v>0</v>
      </c>
      <c r="E1607" t="s">
        <v>33</v>
      </c>
      <c r="F1607" t="s">
        <v>33</v>
      </c>
      <c r="G1607" s="10" t="s">
        <v>338</v>
      </c>
      <c r="H1607" t="s">
        <v>36</v>
      </c>
    </row>
    <row r="1608" spans="1:8" hidden="1" x14ac:dyDescent="0.3">
      <c r="A1608" t="s">
        <v>218</v>
      </c>
      <c r="B1608" s="2">
        <v>45962</v>
      </c>
      <c r="C1608" t="s">
        <v>919</v>
      </c>
      <c r="D1608">
        <v>0</v>
      </c>
      <c r="E1608" t="s">
        <v>33</v>
      </c>
      <c r="F1608" t="s">
        <v>33</v>
      </c>
      <c r="G1608" s="10" t="s">
        <v>338</v>
      </c>
      <c r="H1608" t="s">
        <v>36</v>
      </c>
    </row>
    <row r="1609" spans="1:8" hidden="1" x14ac:dyDescent="0.3">
      <c r="A1609" t="s">
        <v>218</v>
      </c>
      <c r="B1609" s="2">
        <v>45992</v>
      </c>
      <c r="C1609" t="s">
        <v>911</v>
      </c>
      <c r="D1609">
        <v>0</v>
      </c>
      <c r="E1609" t="s">
        <v>33</v>
      </c>
      <c r="F1609" t="s">
        <v>33</v>
      </c>
      <c r="G1609" s="10" t="s">
        <v>338</v>
      </c>
      <c r="H1609" t="s">
        <v>36</v>
      </c>
    </row>
    <row r="1610" spans="1:8" hidden="1" x14ac:dyDescent="0.3">
      <c r="A1610" t="s">
        <v>218</v>
      </c>
      <c r="B1610" s="2">
        <v>46023</v>
      </c>
      <c r="C1610" t="s">
        <v>911</v>
      </c>
      <c r="D1610">
        <v>0</v>
      </c>
      <c r="E1610" t="s">
        <v>33</v>
      </c>
      <c r="F1610" t="s">
        <v>33</v>
      </c>
      <c r="G1610" s="10" t="s">
        <v>338</v>
      </c>
      <c r="H1610" t="s">
        <v>36</v>
      </c>
    </row>
    <row r="1611" spans="1:8" hidden="1" x14ac:dyDescent="0.3">
      <c r="A1611" t="s">
        <v>218</v>
      </c>
      <c r="B1611" s="2">
        <v>46054</v>
      </c>
      <c r="C1611" t="s">
        <v>895</v>
      </c>
      <c r="D1611">
        <v>0</v>
      </c>
      <c r="E1611" t="s">
        <v>33</v>
      </c>
      <c r="F1611" t="s">
        <v>33</v>
      </c>
      <c r="G1611" s="10" t="s">
        <v>338</v>
      </c>
      <c r="H1611" t="s">
        <v>36</v>
      </c>
    </row>
    <row r="1612" spans="1:8" hidden="1" x14ac:dyDescent="0.3">
      <c r="A1612" t="s">
        <v>218</v>
      </c>
      <c r="B1612" s="2">
        <v>46082</v>
      </c>
      <c r="C1612" t="s">
        <v>911</v>
      </c>
      <c r="D1612">
        <v>0</v>
      </c>
      <c r="E1612" t="s">
        <v>33</v>
      </c>
      <c r="F1612" t="s">
        <v>33</v>
      </c>
      <c r="G1612" s="10" t="s">
        <v>606</v>
      </c>
      <c r="H1612" t="s">
        <v>36</v>
      </c>
    </row>
    <row r="1613" spans="1:8" hidden="1" x14ac:dyDescent="0.3">
      <c r="A1613" t="s">
        <v>218</v>
      </c>
      <c r="B1613" s="2">
        <v>46113</v>
      </c>
      <c r="C1613" t="s">
        <v>919</v>
      </c>
      <c r="D1613">
        <v>0</v>
      </c>
      <c r="E1613" t="s">
        <v>33</v>
      </c>
      <c r="F1613" t="s">
        <v>33</v>
      </c>
      <c r="G1613" s="10" t="s">
        <v>606</v>
      </c>
      <c r="H1613" t="s">
        <v>36</v>
      </c>
    </row>
    <row r="1614" spans="1:8" hidden="1" x14ac:dyDescent="0.3">
      <c r="A1614" t="s">
        <v>218</v>
      </c>
      <c r="B1614" s="2">
        <v>46143</v>
      </c>
      <c r="C1614" t="s">
        <v>911</v>
      </c>
      <c r="D1614">
        <v>0</v>
      </c>
      <c r="E1614" t="s">
        <v>33</v>
      </c>
      <c r="F1614" t="s">
        <v>33</v>
      </c>
      <c r="G1614" s="10" t="s">
        <v>338</v>
      </c>
      <c r="H1614" t="s">
        <v>36</v>
      </c>
    </row>
    <row r="1615" spans="1:8" hidden="1" x14ac:dyDescent="0.3">
      <c r="A1615" t="s">
        <v>218</v>
      </c>
      <c r="B1615" s="2">
        <v>46235</v>
      </c>
      <c r="C1615" s="10" t="s">
        <v>1085</v>
      </c>
      <c r="D1615" t="s">
        <v>1084</v>
      </c>
      <c r="E1615" t="s">
        <v>927</v>
      </c>
      <c r="F1615" t="s">
        <v>1088</v>
      </c>
      <c r="G1615" t="s">
        <v>1086</v>
      </c>
      <c r="H1615" t="s">
        <v>36</v>
      </c>
    </row>
    <row r="1616" spans="1:8" ht="57.6" hidden="1" customHeight="1" x14ac:dyDescent="0.3">
      <c r="A1616" t="s">
        <v>218</v>
      </c>
      <c r="B1616" s="2">
        <v>46174</v>
      </c>
      <c r="C1616" t="s">
        <v>919</v>
      </c>
      <c r="D1616">
        <v>0</v>
      </c>
      <c r="E1616" t="s">
        <v>33</v>
      </c>
      <c r="F1616" t="s">
        <v>33</v>
      </c>
      <c r="G1616" s="10" t="s">
        <v>338</v>
      </c>
      <c r="H1616" t="s">
        <v>36</v>
      </c>
    </row>
    <row r="1617" spans="1:8" ht="57.6" hidden="1" customHeight="1" x14ac:dyDescent="0.3">
      <c r="A1617" t="s">
        <v>218</v>
      </c>
      <c r="B1617" s="2">
        <v>46204</v>
      </c>
      <c r="C1617" s="10">
        <v>31</v>
      </c>
      <c r="D1617">
        <v>0</v>
      </c>
      <c r="E1617" t="s">
        <v>33</v>
      </c>
      <c r="F1617" t="s">
        <v>33</v>
      </c>
      <c r="G1617" t="s">
        <v>1050</v>
      </c>
      <c r="H1617" t="s">
        <v>36</v>
      </c>
    </row>
    <row r="1618" spans="1:8" ht="72" hidden="1" customHeight="1" x14ac:dyDescent="0.3">
      <c r="A1618" t="s">
        <v>192</v>
      </c>
      <c r="B1618" s="2">
        <v>45536</v>
      </c>
      <c r="C1618" s="10"/>
    </row>
    <row r="1619" spans="1:8" ht="72" hidden="1" customHeight="1" x14ac:dyDescent="0.3">
      <c r="A1619" t="s">
        <v>192</v>
      </c>
      <c r="B1619" s="2">
        <v>45566</v>
      </c>
      <c r="C1619" s="10"/>
    </row>
    <row r="1620" spans="1:8" hidden="1" x14ac:dyDescent="0.3">
      <c r="A1620" t="s">
        <v>192</v>
      </c>
      <c r="B1620" s="2">
        <v>45597</v>
      </c>
      <c r="C1620" s="10"/>
      <c r="G1620" s="45"/>
    </row>
    <row r="1621" spans="1:8" hidden="1" x14ac:dyDescent="0.3">
      <c r="A1621" t="s">
        <v>192</v>
      </c>
      <c r="B1621" s="2">
        <v>45627</v>
      </c>
      <c r="C1621" s="10"/>
      <c r="G1621" s="45"/>
    </row>
    <row r="1622" spans="1:8" hidden="1" x14ac:dyDescent="0.3">
      <c r="A1622" t="s">
        <v>192</v>
      </c>
      <c r="B1622" s="2">
        <v>45658</v>
      </c>
      <c r="C1622" s="10"/>
      <c r="G1622" s="45"/>
    </row>
    <row r="1623" spans="1:8" hidden="1" x14ac:dyDescent="0.3">
      <c r="A1623" t="s">
        <v>192</v>
      </c>
      <c r="B1623" s="2">
        <v>45689</v>
      </c>
      <c r="C1623" s="10"/>
      <c r="G1623" s="45"/>
    </row>
    <row r="1624" spans="1:8" hidden="1" x14ac:dyDescent="0.3">
      <c r="A1624" t="s">
        <v>192</v>
      </c>
      <c r="B1624" s="2">
        <v>45717</v>
      </c>
      <c r="C1624" s="10"/>
      <c r="G1624" s="45"/>
    </row>
    <row r="1625" spans="1:8" hidden="1" x14ac:dyDescent="0.3">
      <c r="A1625" t="s">
        <v>192</v>
      </c>
      <c r="B1625" s="2">
        <v>45748</v>
      </c>
      <c r="C1625" s="10"/>
    </row>
    <row r="1626" spans="1:8" hidden="1" x14ac:dyDescent="0.3">
      <c r="A1626" t="s">
        <v>192</v>
      </c>
      <c r="B1626" s="2">
        <v>45778</v>
      </c>
      <c r="C1626" s="10"/>
    </row>
    <row r="1627" spans="1:8" hidden="1" x14ac:dyDescent="0.3">
      <c r="A1627" t="s">
        <v>192</v>
      </c>
      <c r="B1627" s="2">
        <v>45809</v>
      </c>
      <c r="C1627" s="10"/>
    </row>
    <row r="1628" spans="1:8" hidden="1" x14ac:dyDescent="0.3">
      <c r="A1628" t="s">
        <v>192</v>
      </c>
      <c r="B1628" s="2">
        <v>45839</v>
      </c>
      <c r="C1628" s="10"/>
      <c r="G1628" s="45"/>
    </row>
    <row r="1629" spans="1:8" hidden="1" x14ac:dyDescent="0.3">
      <c r="A1629" t="s">
        <v>192</v>
      </c>
      <c r="B1629" s="2">
        <v>45870</v>
      </c>
      <c r="C1629" s="10"/>
      <c r="G1629" s="45"/>
    </row>
    <row r="1630" spans="1:8" hidden="1" x14ac:dyDescent="0.3">
      <c r="A1630" t="s">
        <v>192</v>
      </c>
      <c r="B1630" s="2">
        <v>45901</v>
      </c>
      <c r="C1630" s="10"/>
      <c r="G1630" s="45"/>
    </row>
    <row r="1631" spans="1:8" hidden="1" x14ac:dyDescent="0.3">
      <c r="A1631" t="s">
        <v>192</v>
      </c>
      <c r="B1631" s="2">
        <v>45931</v>
      </c>
      <c r="C1631" s="10"/>
    </row>
    <row r="1632" spans="1:8" hidden="1" x14ac:dyDescent="0.3">
      <c r="A1632" t="s">
        <v>192</v>
      </c>
      <c r="B1632" s="2">
        <v>45962</v>
      </c>
      <c r="C1632" s="10"/>
    </row>
    <row r="1633" spans="1:8" hidden="1" x14ac:dyDescent="0.3">
      <c r="A1633" t="s">
        <v>192</v>
      </c>
      <c r="B1633" s="2">
        <v>45992</v>
      </c>
      <c r="C1633" s="10"/>
    </row>
    <row r="1634" spans="1:8" hidden="1" x14ac:dyDescent="0.3">
      <c r="A1634" t="s">
        <v>192</v>
      </c>
      <c r="B1634" s="2">
        <v>46023</v>
      </c>
      <c r="C1634" s="10"/>
    </row>
    <row r="1635" spans="1:8" hidden="1" x14ac:dyDescent="0.3">
      <c r="A1635" t="s">
        <v>192</v>
      </c>
      <c r="B1635" s="2">
        <v>46054</v>
      </c>
      <c r="C1635" s="10"/>
    </row>
    <row r="1636" spans="1:8" hidden="1" x14ac:dyDescent="0.3">
      <c r="A1636" t="s">
        <v>192</v>
      </c>
      <c r="B1636" s="2">
        <v>46082</v>
      </c>
      <c r="C1636" s="10"/>
    </row>
    <row r="1637" spans="1:8" hidden="1" x14ac:dyDescent="0.3">
      <c r="A1637" t="s">
        <v>192</v>
      </c>
      <c r="B1637" s="2">
        <v>46113</v>
      </c>
      <c r="C1637" s="10"/>
    </row>
    <row r="1638" spans="1:8" hidden="1" x14ac:dyDescent="0.3">
      <c r="A1638" t="s">
        <v>192</v>
      </c>
      <c r="B1638" s="2">
        <v>46143</v>
      </c>
      <c r="C1638" s="10" t="s">
        <v>862</v>
      </c>
    </row>
    <row r="1639" spans="1:8" hidden="1" x14ac:dyDescent="0.3">
      <c r="A1639" t="s">
        <v>192</v>
      </c>
      <c r="B1639" s="2">
        <v>46235</v>
      </c>
      <c r="C1639" s="10"/>
    </row>
    <row r="1640" spans="1:8" ht="57.6" hidden="1" customHeight="1" x14ac:dyDescent="0.3">
      <c r="A1640" t="s">
        <v>192</v>
      </c>
      <c r="B1640" s="2">
        <v>46174</v>
      </c>
      <c r="C1640" s="10"/>
    </row>
    <row r="1641" spans="1:8" ht="43.2" hidden="1" customHeight="1" x14ac:dyDescent="0.3">
      <c r="A1641" t="s">
        <v>192</v>
      </c>
      <c r="B1641" s="2">
        <v>46204</v>
      </c>
      <c r="C1641" s="10" t="s">
        <v>36</v>
      </c>
      <c r="D1641" s="10" t="s">
        <v>36</v>
      </c>
      <c r="E1641" s="10" t="s">
        <v>36</v>
      </c>
      <c r="F1641" t="s">
        <v>1055</v>
      </c>
      <c r="G1641" t="s">
        <v>36</v>
      </c>
      <c r="H1641" t="s">
        <v>36</v>
      </c>
    </row>
    <row r="1642" spans="1:8" ht="57.6" hidden="1" customHeight="1" x14ac:dyDescent="0.3">
      <c r="A1642" t="s">
        <v>194</v>
      </c>
      <c r="B1642" s="2">
        <v>45536</v>
      </c>
      <c r="C1642" s="10"/>
    </row>
    <row r="1643" spans="1:8" ht="57.6" hidden="1" customHeight="1" x14ac:dyDescent="0.3">
      <c r="A1643" t="s">
        <v>194</v>
      </c>
      <c r="B1643" s="2">
        <v>45566</v>
      </c>
      <c r="C1643" s="10"/>
    </row>
    <row r="1644" spans="1:8" ht="57.6" hidden="1" customHeight="1" x14ac:dyDescent="0.3">
      <c r="A1644" t="s">
        <v>194</v>
      </c>
      <c r="B1644" s="2">
        <v>45597</v>
      </c>
      <c r="C1644" s="10"/>
    </row>
    <row r="1645" spans="1:8" ht="57.6" hidden="1" customHeight="1" x14ac:dyDescent="0.3">
      <c r="A1645" t="s">
        <v>194</v>
      </c>
      <c r="B1645" s="2">
        <v>45627</v>
      </c>
      <c r="C1645" s="10"/>
    </row>
    <row r="1646" spans="1:8" ht="57.6" hidden="1" customHeight="1" x14ac:dyDescent="0.3">
      <c r="A1646" t="s">
        <v>194</v>
      </c>
      <c r="B1646" s="2">
        <v>45658</v>
      </c>
      <c r="C1646" s="10"/>
    </row>
    <row r="1647" spans="1:8" ht="57.6" hidden="1" customHeight="1" x14ac:dyDescent="0.3">
      <c r="A1647" t="s">
        <v>194</v>
      </c>
      <c r="B1647" s="2">
        <v>45689</v>
      </c>
      <c r="C1647" s="10" t="s">
        <v>763</v>
      </c>
    </row>
    <row r="1648" spans="1:8" ht="57.6" hidden="1" customHeight="1" x14ac:dyDescent="0.3">
      <c r="A1648" t="s">
        <v>194</v>
      </c>
      <c r="B1648" s="2">
        <v>45717</v>
      </c>
      <c r="C1648" s="10" t="s">
        <v>764</v>
      </c>
    </row>
    <row r="1649" spans="1:8" ht="100.8" hidden="1" x14ac:dyDescent="0.3">
      <c r="A1649" t="s">
        <v>194</v>
      </c>
      <c r="B1649" s="2">
        <v>45748</v>
      </c>
      <c r="C1649" s="10" t="s">
        <v>765</v>
      </c>
    </row>
    <row r="1650" spans="1:8" ht="129.6" hidden="1" x14ac:dyDescent="0.3">
      <c r="A1650" t="s">
        <v>194</v>
      </c>
      <c r="B1650" s="2">
        <v>45778</v>
      </c>
      <c r="C1650" s="10" t="s">
        <v>766</v>
      </c>
    </row>
    <row r="1651" spans="1:8" ht="129.6" hidden="1" x14ac:dyDescent="0.3">
      <c r="A1651" t="s">
        <v>194</v>
      </c>
      <c r="B1651" s="2">
        <v>45809</v>
      </c>
      <c r="C1651" s="10" t="s">
        <v>767</v>
      </c>
    </row>
    <row r="1652" spans="1:8" hidden="1" x14ac:dyDescent="0.3">
      <c r="A1652" t="s">
        <v>194</v>
      </c>
      <c r="B1652" s="2">
        <v>45839</v>
      </c>
      <c r="C1652" t="s">
        <v>911</v>
      </c>
      <c r="D1652">
        <v>0</v>
      </c>
      <c r="E1652" t="s">
        <v>33</v>
      </c>
      <c r="F1652" t="s">
        <v>33</v>
      </c>
      <c r="G1652" s="44" t="s">
        <v>932</v>
      </c>
      <c r="H1652" t="s">
        <v>36</v>
      </c>
    </row>
    <row r="1653" spans="1:8" hidden="1" x14ac:dyDescent="0.3">
      <c r="A1653" t="s">
        <v>194</v>
      </c>
      <c r="B1653" s="2">
        <v>45870</v>
      </c>
      <c r="C1653" t="s">
        <v>911</v>
      </c>
      <c r="D1653">
        <v>0</v>
      </c>
      <c r="E1653" t="s">
        <v>33</v>
      </c>
      <c r="F1653" t="s">
        <v>33</v>
      </c>
      <c r="G1653" s="44" t="s">
        <v>932</v>
      </c>
      <c r="H1653" t="s">
        <v>36</v>
      </c>
    </row>
    <row r="1654" spans="1:8" hidden="1" x14ac:dyDescent="0.3">
      <c r="A1654" t="s">
        <v>194</v>
      </c>
      <c r="B1654" s="2">
        <v>45901</v>
      </c>
      <c r="C1654" t="s">
        <v>919</v>
      </c>
      <c r="D1654">
        <v>0</v>
      </c>
      <c r="E1654" t="s">
        <v>33</v>
      </c>
      <c r="F1654" t="s">
        <v>33</v>
      </c>
      <c r="G1654" s="44" t="s">
        <v>932</v>
      </c>
      <c r="H1654" t="s">
        <v>36</v>
      </c>
    </row>
    <row r="1655" spans="1:8" hidden="1" x14ac:dyDescent="0.3">
      <c r="A1655" t="s">
        <v>194</v>
      </c>
      <c r="B1655" s="2">
        <v>45931</v>
      </c>
      <c r="C1655" t="s">
        <v>911</v>
      </c>
      <c r="D1655">
        <v>0</v>
      </c>
      <c r="E1655" t="s">
        <v>33</v>
      </c>
      <c r="F1655" t="s">
        <v>33</v>
      </c>
      <c r="G1655" s="44" t="s">
        <v>932</v>
      </c>
      <c r="H1655" t="s">
        <v>36</v>
      </c>
    </row>
    <row r="1656" spans="1:8" hidden="1" x14ac:dyDescent="0.3">
      <c r="A1656" t="s">
        <v>194</v>
      </c>
      <c r="B1656" s="2">
        <v>45962</v>
      </c>
      <c r="C1656" t="s">
        <v>919</v>
      </c>
      <c r="D1656">
        <v>0</v>
      </c>
      <c r="E1656" t="s">
        <v>33</v>
      </c>
      <c r="F1656" t="s">
        <v>33</v>
      </c>
      <c r="G1656" s="44" t="s">
        <v>932</v>
      </c>
      <c r="H1656" t="s">
        <v>36</v>
      </c>
    </row>
    <row r="1657" spans="1:8" hidden="1" x14ac:dyDescent="0.3">
      <c r="A1657" t="s">
        <v>194</v>
      </c>
      <c r="B1657" s="2">
        <v>45992</v>
      </c>
      <c r="C1657" t="s">
        <v>911</v>
      </c>
      <c r="D1657">
        <v>0</v>
      </c>
      <c r="E1657" t="s">
        <v>33</v>
      </c>
      <c r="F1657" t="s">
        <v>33</v>
      </c>
      <c r="G1657" s="10" t="s">
        <v>338</v>
      </c>
      <c r="H1657" t="s">
        <v>36</v>
      </c>
    </row>
    <row r="1658" spans="1:8" hidden="1" x14ac:dyDescent="0.3">
      <c r="A1658" t="s">
        <v>194</v>
      </c>
      <c r="B1658" s="2">
        <v>46023</v>
      </c>
      <c r="C1658" t="s">
        <v>911</v>
      </c>
      <c r="D1658">
        <v>0</v>
      </c>
      <c r="E1658" t="s">
        <v>33</v>
      </c>
      <c r="F1658" t="s">
        <v>33</v>
      </c>
      <c r="G1658" s="10" t="s">
        <v>338</v>
      </c>
      <c r="H1658" t="s">
        <v>36</v>
      </c>
    </row>
    <row r="1659" spans="1:8" hidden="1" x14ac:dyDescent="0.3">
      <c r="A1659" t="s">
        <v>194</v>
      </c>
      <c r="B1659" s="2">
        <v>46054</v>
      </c>
      <c r="C1659" t="s">
        <v>895</v>
      </c>
      <c r="D1659">
        <v>0</v>
      </c>
      <c r="E1659" t="s">
        <v>33</v>
      </c>
      <c r="F1659" t="s">
        <v>33</v>
      </c>
      <c r="G1659" s="10" t="s">
        <v>338</v>
      </c>
      <c r="H1659" t="s">
        <v>36</v>
      </c>
    </row>
    <row r="1660" spans="1:8" hidden="1" x14ac:dyDescent="0.3">
      <c r="A1660" t="s">
        <v>194</v>
      </c>
      <c r="B1660" s="2">
        <v>46082</v>
      </c>
      <c r="C1660" t="s">
        <v>911</v>
      </c>
      <c r="D1660">
        <v>0</v>
      </c>
      <c r="E1660" t="s">
        <v>33</v>
      </c>
      <c r="F1660" t="s">
        <v>33</v>
      </c>
      <c r="G1660" s="44" t="s">
        <v>932</v>
      </c>
      <c r="H1660" t="s">
        <v>36</v>
      </c>
    </row>
    <row r="1661" spans="1:8" hidden="1" x14ac:dyDescent="0.3">
      <c r="A1661" t="s">
        <v>194</v>
      </c>
      <c r="B1661" s="2">
        <v>46113</v>
      </c>
      <c r="C1661" t="s">
        <v>919</v>
      </c>
      <c r="D1661">
        <v>0</v>
      </c>
      <c r="E1661" t="s">
        <v>33</v>
      </c>
      <c r="F1661" t="s">
        <v>33</v>
      </c>
      <c r="G1661" s="44" t="s">
        <v>932</v>
      </c>
      <c r="H1661" t="s">
        <v>36</v>
      </c>
    </row>
    <row r="1662" spans="1:8" hidden="1" x14ac:dyDescent="0.3">
      <c r="A1662" t="s">
        <v>194</v>
      </c>
      <c r="B1662" s="2">
        <v>46143</v>
      </c>
      <c r="C1662" t="s">
        <v>911</v>
      </c>
      <c r="D1662">
        <v>0</v>
      </c>
      <c r="E1662" t="s">
        <v>33</v>
      </c>
      <c r="F1662" t="s">
        <v>33</v>
      </c>
      <c r="G1662" s="44" t="s">
        <v>932</v>
      </c>
      <c r="H1662" t="s">
        <v>36</v>
      </c>
    </row>
    <row r="1663" spans="1:8" hidden="1" x14ac:dyDescent="0.3">
      <c r="A1663" t="s">
        <v>194</v>
      </c>
      <c r="B1663" s="2">
        <v>46235</v>
      </c>
      <c r="C1663" s="10" t="s">
        <v>896</v>
      </c>
      <c r="D1663">
        <v>0</v>
      </c>
      <c r="E1663" t="s">
        <v>33</v>
      </c>
      <c r="F1663" t="s">
        <v>33</v>
      </c>
      <c r="G1663" s="10" t="s">
        <v>932</v>
      </c>
      <c r="H1663" t="s">
        <v>36</v>
      </c>
    </row>
    <row r="1664" spans="1:8" hidden="1" x14ac:dyDescent="0.3">
      <c r="A1664" t="s">
        <v>194</v>
      </c>
      <c r="B1664" s="2">
        <v>46204</v>
      </c>
      <c r="C1664" s="10">
        <v>28</v>
      </c>
      <c r="D1664" t="s">
        <v>1056</v>
      </c>
      <c r="E1664" t="s">
        <v>1057</v>
      </c>
      <c r="F1664" t="s">
        <v>33</v>
      </c>
      <c r="G1664" t="s">
        <v>1058</v>
      </c>
      <c r="H1664" t="s">
        <v>36</v>
      </c>
    </row>
    <row r="1665" spans="1:8" hidden="1" x14ac:dyDescent="0.3">
      <c r="A1665" t="s">
        <v>194</v>
      </c>
      <c r="B1665" s="2">
        <v>46174</v>
      </c>
      <c r="C1665" t="s">
        <v>919</v>
      </c>
      <c r="D1665">
        <v>0</v>
      </c>
      <c r="E1665" t="s">
        <v>33</v>
      </c>
      <c r="F1665" t="s">
        <v>33</v>
      </c>
      <c r="G1665" s="10" t="s">
        <v>996</v>
      </c>
      <c r="H1665" t="s">
        <v>36</v>
      </c>
    </row>
    <row r="1666" spans="1:8" ht="57.6" hidden="1" customHeight="1" x14ac:dyDescent="0.3">
      <c r="A1666" t="s">
        <v>196</v>
      </c>
      <c r="B1666" s="2">
        <v>45536</v>
      </c>
      <c r="C1666" s="10"/>
    </row>
    <row r="1667" spans="1:8" ht="57.6" hidden="1" customHeight="1" x14ac:dyDescent="0.3">
      <c r="A1667" t="s">
        <v>196</v>
      </c>
      <c r="B1667" s="2">
        <v>45566</v>
      </c>
      <c r="C1667" s="10"/>
    </row>
    <row r="1668" spans="1:8" ht="57.6" hidden="1" customHeight="1" x14ac:dyDescent="0.3">
      <c r="A1668" t="s">
        <v>196</v>
      </c>
      <c r="B1668" s="2">
        <v>45597</v>
      </c>
      <c r="C1668" s="10"/>
    </row>
    <row r="1669" spans="1:8" ht="72" hidden="1" customHeight="1" x14ac:dyDescent="0.3">
      <c r="A1669" t="s">
        <v>196</v>
      </c>
      <c r="B1669" s="2">
        <v>45627</v>
      </c>
      <c r="C1669" s="10"/>
    </row>
    <row r="1670" spans="1:8" ht="57.6" hidden="1" customHeight="1" x14ac:dyDescent="0.3">
      <c r="A1670" t="s">
        <v>196</v>
      </c>
      <c r="B1670" s="2">
        <v>45658</v>
      </c>
      <c r="C1670" s="10"/>
    </row>
    <row r="1671" spans="1:8" ht="57.6" hidden="1" customHeight="1" x14ac:dyDescent="0.3">
      <c r="A1671" t="s">
        <v>196</v>
      </c>
      <c r="B1671" s="2">
        <v>45689</v>
      </c>
      <c r="C1671" s="10" t="s">
        <v>768</v>
      </c>
    </row>
    <row r="1672" spans="1:8" ht="57.6" hidden="1" customHeight="1" x14ac:dyDescent="0.3">
      <c r="A1672" t="s">
        <v>196</v>
      </c>
      <c r="B1672" s="2">
        <v>45717</v>
      </c>
      <c r="C1672" s="10" t="s">
        <v>769</v>
      </c>
    </row>
    <row r="1673" spans="1:8" ht="72" hidden="1" x14ac:dyDescent="0.3">
      <c r="A1673" t="s">
        <v>196</v>
      </c>
      <c r="B1673" s="2">
        <v>45748</v>
      </c>
      <c r="C1673" s="10" t="s">
        <v>770</v>
      </c>
    </row>
    <row r="1674" spans="1:8" ht="115.2" hidden="1" x14ac:dyDescent="0.3">
      <c r="A1674" t="s">
        <v>196</v>
      </c>
      <c r="B1674" s="2">
        <v>45778</v>
      </c>
      <c r="C1674" s="10" t="s">
        <v>771</v>
      </c>
    </row>
    <row r="1675" spans="1:8" ht="100.8" hidden="1" x14ac:dyDescent="0.3">
      <c r="A1675" t="s">
        <v>196</v>
      </c>
      <c r="B1675" s="2">
        <v>45809</v>
      </c>
      <c r="C1675" s="10" t="s">
        <v>772</v>
      </c>
    </row>
    <row r="1676" spans="1:8" ht="100.8" hidden="1" x14ac:dyDescent="0.3">
      <c r="A1676" t="s">
        <v>196</v>
      </c>
      <c r="B1676" s="2">
        <v>45839</v>
      </c>
      <c r="C1676" s="10" t="s">
        <v>773</v>
      </c>
    </row>
    <row r="1677" spans="1:8" ht="100.8" hidden="1" x14ac:dyDescent="0.3">
      <c r="A1677" t="s">
        <v>196</v>
      </c>
      <c r="B1677" s="2">
        <v>45870</v>
      </c>
      <c r="C1677" s="10" t="s">
        <v>774</v>
      </c>
    </row>
    <row r="1678" spans="1:8" ht="100.8" hidden="1" x14ac:dyDescent="0.3">
      <c r="A1678" t="s">
        <v>196</v>
      </c>
      <c r="B1678" s="2">
        <v>45901</v>
      </c>
      <c r="C1678" s="10" t="s">
        <v>775</v>
      </c>
    </row>
    <row r="1679" spans="1:8" ht="115.2" hidden="1" x14ac:dyDescent="0.3">
      <c r="A1679" t="s">
        <v>196</v>
      </c>
      <c r="B1679" s="2">
        <v>45931</v>
      </c>
      <c r="C1679" s="10" t="s">
        <v>776</v>
      </c>
    </row>
    <row r="1680" spans="1:8" ht="100.8" hidden="1" x14ac:dyDescent="0.3">
      <c r="A1680" t="s">
        <v>196</v>
      </c>
      <c r="B1680" s="2">
        <v>45962</v>
      </c>
      <c r="C1680" s="10" t="s">
        <v>777</v>
      </c>
    </row>
    <row r="1681" spans="1:8" hidden="1" x14ac:dyDescent="0.3">
      <c r="A1681" t="s">
        <v>196</v>
      </c>
      <c r="B1681" s="2">
        <v>45992</v>
      </c>
      <c r="C1681" s="10" t="s">
        <v>598</v>
      </c>
    </row>
    <row r="1682" spans="1:8" hidden="1" x14ac:dyDescent="0.3">
      <c r="A1682" t="s">
        <v>196</v>
      </c>
      <c r="B1682" s="2">
        <v>46023</v>
      </c>
      <c r="C1682" s="10" t="s">
        <v>338</v>
      </c>
    </row>
    <row r="1683" spans="1:8" hidden="1" x14ac:dyDescent="0.3">
      <c r="A1683" t="s">
        <v>196</v>
      </c>
      <c r="B1683" s="2">
        <v>46054</v>
      </c>
      <c r="C1683" s="10" t="s">
        <v>326</v>
      </c>
    </row>
    <row r="1684" spans="1:8" hidden="1" x14ac:dyDescent="0.3">
      <c r="A1684" t="s">
        <v>196</v>
      </c>
      <c r="B1684" s="2">
        <v>46082</v>
      </c>
      <c r="C1684" s="10" t="s">
        <v>326</v>
      </c>
    </row>
    <row r="1685" spans="1:8" hidden="1" x14ac:dyDescent="0.3">
      <c r="A1685" t="s">
        <v>196</v>
      </c>
      <c r="B1685" s="2">
        <v>46113</v>
      </c>
      <c r="C1685" s="10" t="s">
        <v>302</v>
      </c>
    </row>
    <row r="1686" spans="1:8" hidden="1" x14ac:dyDescent="0.3">
      <c r="A1686" t="s">
        <v>196</v>
      </c>
      <c r="B1686" s="2">
        <v>46143</v>
      </c>
      <c r="C1686" s="10" t="s">
        <v>302</v>
      </c>
    </row>
    <row r="1687" spans="1:8" hidden="1" x14ac:dyDescent="0.3">
      <c r="A1687" t="s">
        <v>196</v>
      </c>
      <c r="B1687" s="2">
        <v>46235</v>
      </c>
      <c r="C1687" t="s">
        <v>896</v>
      </c>
      <c r="D1687">
        <v>0</v>
      </c>
      <c r="E1687" t="s">
        <v>33</v>
      </c>
      <c r="F1687" t="s">
        <v>33</v>
      </c>
      <c r="G1687" t="s">
        <v>338</v>
      </c>
      <c r="H1687" t="s">
        <v>36</v>
      </c>
    </row>
    <row r="1688" spans="1:8" hidden="1" x14ac:dyDescent="0.3">
      <c r="A1688" t="s">
        <v>196</v>
      </c>
      <c r="B1688" s="2">
        <v>46174</v>
      </c>
      <c r="C1688" s="10"/>
    </row>
    <row r="1689" spans="1:8" hidden="1" x14ac:dyDescent="0.3">
      <c r="A1689" t="s">
        <v>196</v>
      </c>
      <c r="B1689" s="2">
        <v>46204</v>
      </c>
      <c r="C1689" s="10">
        <v>31</v>
      </c>
      <c r="D1689">
        <v>0</v>
      </c>
      <c r="E1689" t="s">
        <v>33</v>
      </c>
      <c r="F1689" t="s">
        <v>33</v>
      </c>
      <c r="G1689" t="s">
        <v>1014</v>
      </c>
      <c r="H1689" t="s">
        <v>36</v>
      </c>
    </row>
    <row r="1690" spans="1:8" hidden="1" x14ac:dyDescent="0.3">
      <c r="A1690" t="s">
        <v>199</v>
      </c>
      <c r="B1690" s="2">
        <v>45536</v>
      </c>
      <c r="C1690" s="10"/>
    </row>
    <row r="1691" spans="1:8" hidden="1" x14ac:dyDescent="0.3">
      <c r="A1691" t="s">
        <v>199</v>
      </c>
      <c r="B1691" s="2">
        <v>45566</v>
      </c>
      <c r="C1691" s="10"/>
    </row>
    <row r="1692" spans="1:8" hidden="1" x14ac:dyDescent="0.3">
      <c r="A1692" t="s">
        <v>199</v>
      </c>
      <c r="B1692" s="2">
        <v>45597</v>
      </c>
      <c r="C1692" s="10"/>
    </row>
    <row r="1693" spans="1:8" hidden="1" x14ac:dyDescent="0.3">
      <c r="A1693" t="s">
        <v>199</v>
      </c>
      <c r="B1693" s="2">
        <v>45627</v>
      </c>
      <c r="C1693" s="10"/>
    </row>
    <row r="1694" spans="1:8" ht="43.2" hidden="1" customHeight="1" x14ac:dyDescent="0.3">
      <c r="A1694" t="s">
        <v>199</v>
      </c>
      <c r="B1694" s="2">
        <v>45658</v>
      </c>
      <c r="C1694" s="10"/>
    </row>
    <row r="1695" spans="1:8" ht="43.2" hidden="1" customHeight="1" x14ac:dyDescent="0.3">
      <c r="A1695" t="s">
        <v>199</v>
      </c>
      <c r="B1695" s="2">
        <v>45689</v>
      </c>
      <c r="C1695" s="10" t="s">
        <v>753</v>
      </c>
    </row>
    <row r="1696" spans="1:8" ht="43.2" hidden="1" customHeight="1" x14ac:dyDescent="0.3">
      <c r="A1696" t="s">
        <v>199</v>
      </c>
      <c r="B1696" s="2">
        <v>45717</v>
      </c>
      <c r="C1696" s="10" t="s">
        <v>706</v>
      </c>
    </row>
    <row r="1697" spans="1:8" ht="28.8" hidden="1" x14ac:dyDescent="0.3">
      <c r="A1697" t="s">
        <v>199</v>
      </c>
      <c r="B1697" s="2">
        <v>45748</v>
      </c>
      <c r="C1697" s="10" t="s">
        <v>754</v>
      </c>
    </row>
    <row r="1698" spans="1:8" ht="115.2" hidden="1" x14ac:dyDescent="0.3">
      <c r="A1698" t="s">
        <v>199</v>
      </c>
      <c r="B1698" s="2">
        <v>45778</v>
      </c>
      <c r="C1698" s="10" t="s">
        <v>755</v>
      </c>
    </row>
    <row r="1699" spans="1:8" ht="115.2" hidden="1" x14ac:dyDescent="0.3">
      <c r="A1699" t="s">
        <v>199</v>
      </c>
      <c r="B1699" s="2">
        <v>45809</v>
      </c>
      <c r="C1699" s="10" t="s">
        <v>756</v>
      </c>
    </row>
    <row r="1700" spans="1:8" ht="115.2" hidden="1" x14ac:dyDescent="0.3">
      <c r="A1700" t="s">
        <v>199</v>
      </c>
      <c r="B1700" s="2">
        <v>45839</v>
      </c>
      <c r="C1700" s="10" t="s">
        <v>757</v>
      </c>
    </row>
    <row r="1701" spans="1:8" ht="100.8" hidden="1" x14ac:dyDescent="0.3">
      <c r="A1701" t="s">
        <v>199</v>
      </c>
      <c r="B1701" s="2">
        <v>45870</v>
      </c>
      <c r="C1701" s="10" t="s">
        <v>758</v>
      </c>
    </row>
    <row r="1702" spans="1:8" ht="100.8" hidden="1" x14ac:dyDescent="0.3">
      <c r="A1702" t="s">
        <v>199</v>
      </c>
      <c r="B1702" s="2">
        <v>45901</v>
      </c>
      <c r="C1702" s="10" t="s">
        <v>759</v>
      </c>
    </row>
    <row r="1703" spans="1:8" ht="100.8" hidden="1" x14ac:dyDescent="0.3">
      <c r="A1703" t="s">
        <v>199</v>
      </c>
      <c r="B1703" s="2">
        <v>45931</v>
      </c>
      <c r="C1703" s="10" t="s">
        <v>760</v>
      </c>
    </row>
    <row r="1704" spans="1:8" ht="115.2" hidden="1" x14ac:dyDescent="0.3">
      <c r="A1704" t="s">
        <v>199</v>
      </c>
      <c r="B1704" s="2">
        <v>45962</v>
      </c>
      <c r="C1704" s="10" t="s">
        <v>761</v>
      </c>
    </row>
    <row r="1705" spans="1:8" hidden="1" x14ac:dyDescent="0.3">
      <c r="A1705" t="s">
        <v>199</v>
      </c>
      <c r="B1705" s="2">
        <v>45992</v>
      </c>
      <c r="C1705" s="10" t="s">
        <v>598</v>
      </c>
    </row>
    <row r="1706" spans="1:8" hidden="1" x14ac:dyDescent="0.3">
      <c r="A1706" t="s">
        <v>199</v>
      </c>
      <c r="B1706" s="2">
        <v>46023</v>
      </c>
      <c r="C1706" s="10" t="s">
        <v>338</v>
      </c>
    </row>
    <row r="1707" spans="1:8" hidden="1" x14ac:dyDescent="0.3">
      <c r="A1707" t="s">
        <v>199</v>
      </c>
      <c r="B1707" s="2">
        <v>46054</v>
      </c>
      <c r="C1707" s="10" t="s">
        <v>326</v>
      </c>
    </row>
    <row r="1708" spans="1:8" ht="28.8" hidden="1" x14ac:dyDescent="0.3">
      <c r="A1708" t="s">
        <v>199</v>
      </c>
      <c r="B1708" s="2">
        <v>46082</v>
      </c>
      <c r="C1708" s="10" t="s">
        <v>762</v>
      </c>
    </row>
    <row r="1709" spans="1:8" ht="28.8" hidden="1" x14ac:dyDescent="0.3">
      <c r="A1709" t="s">
        <v>199</v>
      </c>
      <c r="B1709" s="2">
        <v>46113</v>
      </c>
      <c r="C1709" s="10" t="s">
        <v>752</v>
      </c>
    </row>
    <row r="1710" spans="1:8" ht="28.8" hidden="1" x14ac:dyDescent="0.3">
      <c r="A1710" t="s">
        <v>199</v>
      </c>
      <c r="B1710" s="2">
        <v>46143</v>
      </c>
      <c r="C1710" s="10" t="s">
        <v>867</v>
      </c>
    </row>
    <row r="1711" spans="1:8" hidden="1" x14ac:dyDescent="0.3">
      <c r="A1711" t="s">
        <v>199</v>
      </c>
      <c r="B1711" s="2">
        <v>46235</v>
      </c>
      <c r="C1711" s="10" t="s">
        <v>896</v>
      </c>
      <c r="D1711">
        <v>0</v>
      </c>
      <c r="E1711" t="s">
        <v>33</v>
      </c>
      <c r="F1711" t="s">
        <v>33</v>
      </c>
      <c r="G1711" s="10" t="s">
        <v>932</v>
      </c>
      <c r="H1711" t="s">
        <v>36</v>
      </c>
    </row>
    <row r="1712" spans="1:8" ht="86.4" hidden="1" customHeight="1" x14ac:dyDescent="0.3">
      <c r="A1712" t="s">
        <v>199</v>
      </c>
      <c r="B1712" s="2">
        <v>46174</v>
      </c>
      <c r="C1712" s="10"/>
    </row>
    <row r="1713" spans="1:8" ht="57.6" hidden="1" customHeight="1" x14ac:dyDescent="0.3">
      <c r="A1713" t="s">
        <v>199</v>
      </c>
      <c r="B1713" s="2">
        <v>46204</v>
      </c>
      <c r="C1713" s="10">
        <v>31</v>
      </c>
      <c r="D1713">
        <v>0</v>
      </c>
      <c r="E1713" t="s">
        <v>33</v>
      </c>
      <c r="F1713" t="s">
        <v>33</v>
      </c>
      <c r="G1713" t="s">
        <v>932</v>
      </c>
      <c r="H1713" t="s">
        <v>36</v>
      </c>
    </row>
    <row r="1714" spans="1:8" ht="57.6" hidden="1" customHeight="1" x14ac:dyDescent="0.3">
      <c r="A1714" t="s">
        <v>201</v>
      </c>
      <c r="B1714" s="2">
        <v>45536</v>
      </c>
      <c r="C1714" s="10"/>
    </row>
    <row r="1715" spans="1:8" ht="57.6" hidden="1" customHeight="1" x14ac:dyDescent="0.3">
      <c r="A1715" t="s">
        <v>201</v>
      </c>
      <c r="B1715" s="2">
        <v>45566</v>
      </c>
      <c r="C1715" s="10"/>
    </row>
    <row r="1716" spans="1:8" hidden="1" x14ac:dyDescent="0.3">
      <c r="A1716" t="s">
        <v>201</v>
      </c>
      <c r="B1716" s="2">
        <v>45597</v>
      </c>
      <c r="C1716" s="10"/>
    </row>
    <row r="1717" spans="1:8" hidden="1" x14ac:dyDescent="0.3">
      <c r="A1717" t="s">
        <v>201</v>
      </c>
      <c r="B1717" s="2">
        <v>45627</v>
      </c>
      <c r="C1717" s="10"/>
    </row>
    <row r="1718" spans="1:8" hidden="1" x14ac:dyDescent="0.3">
      <c r="A1718" t="s">
        <v>201</v>
      </c>
      <c r="B1718" s="2">
        <v>45658</v>
      </c>
      <c r="C1718" s="10"/>
    </row>
    <row r="1719" spans="1:8" ht="57.6" hidden="1" x14ac:dyDescent="0.3">
      <c r="A1719" t="s">
        <v>201</v>
      </c>
      <c r="B1719" s="2">
        <v>45689</v>
      </c>
      <c r="C1719" s="10" t="s">
        <v>778</v>
      </c>
    </row>
    <row r="1720" spans="1:8" hidden="1" x14ac:dyDescent="0.3">
      <c r="A1720" t="s">
        <v>201</v>
      </c>
      <c r="B1720" s="2">
        <v>45717</v>
      </c>
      <c r="C1720" s="10" t="s">
        <v>455</v>
      </c>
    </row>
    <row r="1721" spans="1:8" ht="28.8" hidden="1" x14ac:dyDescent="0.3">
      <c r="A1721" t="s">
        <v>201</v>
      </c>
      <c r="B1721" s="2">
        <v>45748</v>
      </c>
      <c r="C1721" s="10" t="s">
        <v>779</v>
      </c>
    </row>
    <row r="1722" spans="1:8" ht="115.2" hidden="1" x14ac:dyDescent="0.3">
      <c r="A1722" t="s">
        <v>201</v>
      </c>
      <c r="B1722" s="2">
        <v>45778</v>
      </c>
      <c r="C1722" s="10" t="s">
        <v>780</v>
      </c>
    </row>
    <row r="1723" spans="1:8" ht="100.8" hidden="1" x14ac:dyDescent="0.3">
      <c r="A1723" t="s">
        <v>201</v>
      </c>
      <c r="B1723" s="2">
        <v>45809</v>
      </c>
      <c r="C1723" s="10" t="s">
        <v>781</v>
      </c>
    </row>
    <row r="1724" spans="1:8" ht="129.6" hidden="1" x14ac:dyDescent="0.3">
      <c r="A1724" t="s">
        <v>201</v>
      </c>
      <c r="B1724" s="2">
        <v>45839</v>
      </c>
      <c r="C1724" s="10" t="s">
        <v>782</v>
      </c>
    </row>
    <row r="1725" spans="1:8" ht="129.6" hidden="1" x14ac:dyDescent="0.3">
      <c r="A1725" t="s">
        <v>201</v>
      </c>
      <c r="B1725" s="2">
        <v>45870</v>
      </c>
      <c r="C1725" s="10" t="s">
        <v>783</v>
      </c>
    </row>
    <row r="1726" spans="1:8" ht="100.8" hidden="1" x14ac:dyDescent="0.3">
      <c r="A1726" t="s">
        <v>201</v>
      </c>
      <c r="B1726" s="2">
        <v>45901</v>
      </c>
      <c r="C1726" s="10" t="s">
        <v>784</v>
      </c>
    </row>
    <row r="1727" spans="1:8" ht="100.8" hidden="1" x14ac:dyDescent="0.3">
      <c r="A1727" t="s">
        <v>201</v>
      </c>
      <c r="B1727" s="2">
        <v>45931</v>
      </c>
      <c r="C1727" s="10" t="s">
        <v>785</v>
      </c>
    </row>
    <row r="1728" spans="1:8" ht="115.2" hidden="1" x14ac:dyDescent="0.3">
      <c r="A1728" t="s">
        <v>201</v>
      </c>
      <c r="B1728" s="2">
        <v>45962</v>
      </c>
      <c r="C1728" s="10" t="s">
        <v>786</v>
      </c>
    </row>
    <row r="1729" spans="1:8" ht="28.8" hidden="1" x14ac:dyDescent="0.3">
      <c r="A1729" t="s">
        <v>201</v>
      </c>
      <c r="B1729" s="2">
        <v>45992</v>
      </c>
      <c r="C1729" s="10" t="s">
        <v>787</v>
      </c>
    </row>
    <row r="1730" spans="1:8" hidden="1" x14ac:dyDescent="0.3">
      <c r="A1730" t="s">
        <v>201</v>
      </c>
      <c r="B1730" s="2">
        <v>46023</v>
      </c>
      <c r="C1730" s="10" t="s">
        <v>338</v>
      </c>
    </row>
    <row r="1731" spans="1:8" hidden="1" x14ac:dyDescent="0.3">
      <c r="A1731" t="s">
        <v>201</v>
      </c>
      <c r="B1731" s="2">
        <v>46054</v>
      </c>
      <c r="C1731" s="10" t="s">
        <v>326</v>
      </c>
    </row>
    <row r="1732" spans="1:8" ht="28.8" hidden="1" x14ac:dyDescent="0.3">
      <c r="A1732" t="s">
        <v>201</v>
      </c>
      <c r="B1732" s="2">
        <v>46082</v>
      </c>
      <c r="C1732" s="10" t="s">
        <v>788</v>
      </c>
    </row>
    <row r="1733" spans="1:8" ht="28.8" hidden="1" x14ac:dyDescent="0.3">
      <c r="A1733" t="s">
        <v>201</v>
      </c>
      <c r="B1733" s="2">
        <v>46113</v>
      </c>
      <c r="C1733" s="10" t="s">
        <v>664</v>
      </c>
    </row>
    <row r="1734" spans="1:8" ht="28.8" hidden="1" x14ac:dyDescent="0.3">
      <c r="A1734" t="s">
        <v>201</v>
      </c>
      <c r="B1734" s="2">
        <v>46143</v>
      </c>
      <c r="C1734" s="10" t="s">
        <v>867</v>
      </c>
    </row>
    <row r="1735" spans="1:8" hidden="1" x14ac:dyDescent="0.3">
      <c r="A1735" t="s">
        <v>201</v>
      </c>
      <c r="B1735" s="2">
        <v>46235</v>
      </c>
      <c r="C1735" s="10" t="s">
        <v>896</v>
      </c>
      <c r="D1735">
        <v>0</v>
      </c>
      <c r="E1735" t="s">
        <v>33</v>
      </c>
      <c r="F1735" t="s">
        <v>33</v>
      </c>
      <c r="G1735" s="10" t="s">
        <v>932</v>
      </c>
      <c r="H1735" t="s">
        <v>36</v>
      </c>
    </row>
    <row r="1736" spans="1:8" hidden="1" x14ac:dyDescent="0.3">
      <c r="A1736" t="s">
        <v>201</v>
      </c>
      <c r="B1736" s="2">
        <v>46174</v>
      </c>
      <c r="C1736" s="10"/>
    </row>
    <row r="1737" spans="1:8" hidden="1" x14ac:dyDescent="0.3">
      <c r="A1737" t="s">
        <v>201</v>
      </c>
      <c r="B1737" s="2">
        <v>46204</v>
      </c>
      <c r="C1737" s="10">
        <v>31</v>
      </c>
      <c r="D1737">
        <v>0</v>
      </c>
      <c r="E1737" t="s">
        <v>33</v>
      </c>
      <c r="F1737" t="s">
        <v>33</v>
      </c>
      <c r="G1737" t="s">
        <v>932</v>
      </c>
      <c r="H1737" t="s">
        <v>36</v>
      </c>
    </row>
    <row r="1738" spans="1:8" hidden="1" x14ac:dyDescent="0.3">
      <c r="A1738" t="s">
        <v>211</v>
      </c>
      <c r="B1738" s="2">
        <v>45536</v>
      </c>
      <c r="C1738" s="10"/>
    </row>
    <row r="1739" spans="1:8" hidden="1" x14ac:dyDescent="0.3">
      <c r="A1739" t="s">
        <v>211</v>
      </c>
      <c r="B1739" s="2">
        <v>45566</v>
      </c>
      <c r="C1739" s="10"/>
    </row>
    <row r="1740" spans="1:8" hidden="1" x14ac:dyDescent="0.3">
      <c r="A1740" t="s">
        <v>211</v>
      </c>
      <c r="B1740" s="2">
        <v>45597</v>
      </c>
      <c r="C1740" s="10"/>
    </row>
    <row r="1741" spans="1:8" hidden="1" x14ac:dyDescent="0.3">
      <c r="A1741" t="s">
        <v>211</v>
      </c>
      <c r="B1741" s="2">
        <v>45627</v>
      </c>
      <c r="C1741" s="10"/>
    </row>
    <row r="1742" spans="1:8" hidden="1" x14ac:dyDescent="0.3">
      <c r="A1742" t="s">
        <v>211</v>
      </c>
      <c r="B1742" s="2">
        <v>45658</v>
      </c>
      <c r="C1742" s="10"/>
    </row>
    <row r="1743" spans="1:8" hidden="1" x14ac:dyDescent="0.3">
      <c r="A1743" t="s">
        <v>211</v>
      </c>
      <c r="B1743" s="2">
        <v>45689</v>
      </c>
      <c r="C1743" s="10"/>
    </row>
    <row r="1744" spans="1:8" hidden="1" x14ac:dyDescent="0.3">
      <c r="A1744" t="s">
        <v>211</v>
      </c>
      <c r="B1744" s="2">
        <v>45717</v>
      </c>
      <c r="C1744" s="10"/>
    </row>
    <row r="1745" spans="1:8" hidden="1" x14ac:dyDescent="0.3">
      <c r="A1745" t="s">
        <v>211</v>
      </c>
      <c r="B1745" s="2">
        <v>45748</v>
      </c>
      <c r="C1745" s="10"/>
    </row>
    <row r="1746" spans="1:8" hidden="1" x14ac:dyDescent="0.3">
      <c r="A1746" t="s">
        <v>211</v>
      </c>
      <c r="B1746" s="2">
        <v>45778</v>
      </c>
      <c r="C1746" s="10"/>
    </row>
    <row r="1747" spans="1:8" hidden="1" x14ac:dyDescent="0.3">
      <c r="A1747" t="s">
        <v>211</v>
      </c>
      <c r="B1747" s="2">
        <v>45809</v>
      </c>
      <c r="C1747" s="10"/>
    </row>
    <row r="1748" spans="1:8" hidden="1" x14ac:dyDescent="0.3">
      <c r="A1748" t="s">
        <v>211</v>
      </c>
      <c r="B1748" s="2">
        <v>45839</v>
      </c>
      <c r="C1748" s="10"/>
    </row>
    <row r="1749" spans="1:8" hidden="1" x14ac:dyDescent="0.3">
      <c r="A1749" t="s">
        <v>211</v>
      </c>
      <c r="B1749" s="2">
        <v>45870</v>
      </c>
      <c r="C1749" s="10"/>
    </row>
    <row r="1750" spans="1:8" ht="72" hidden="1" x14ac:dyDescent="0.3">
      <c r="A1750" t="s">
        <v>211</v>
      </c>
      <c r="B1750" s="2">
        <v>45901</v>
      </c>
      <c r="C1750" s="10" t="s">
        <v>789</v>
      </c>
    </row>
    <row r="1751" spans="1:8" ht="72" hidden="1" x14ac:dyDescent="0.3">
      <c r="A1751" t="s">
        <v>211</v>
      </c>
      <c r="B1751" s="2">
        <v>45931</v>
      </c>
      <c r="C1751" s="10" t="s">
        <v>790</v>
      </c>
    </row>
    <row r="1752" spans="1:8" ht="72" hidden="1" x14ac:dyDescent="0.3">
      <c r="A1752" t="s">
        <v>211</v>
      </c>
      <c r="B1752" s="2">
        <v>45962</v>
      </c>
      <c r="C1752" s="10" t="s">
        <v>791</v>
      </c>
    </row>
    <row r="1753" spans="1:8" ht="28.8" hidden="1" x14ac:dyDescent="0.3">
      <c r="A1753" t="s">
        <v>211</v>
      </c>
      <c r="B1753" s="2">
        <v>45992</v>
      </c>
      <c r="C1753" s="10" t="s">
        <v>792</v>
      </c>
    </row>
    <row r="1754" spans="1:8" hidden="1" x14ac:dyDescent="0.3">
      <c r="A1754" t="s">
        <v>211</v>
      </c>
      <c r="B1754" s="2">
        <v>46023</v>
      </c>
      <c r="C1754" s="10" t="s">
        <v>338</v>
      </c>
    </row>
    <row r="1755" spans="1:8" ht="28.8" hidden="1" x14ac:dyDescent="0.3">
      <c r="A1755" t="s">
        <v>211</v>
      </c>
      <c r="B1755" s="2">
        <v>46054</v>
      </c>
      <c r="C1755" s="10" t="s">
        <v>301</v>
      </c>
    </row>
    <row r="1756" spans="1:8" hidden="1" x14ac:dyDescent="0.3">
      <c r="A1756" t="s">
        <v>211</v>
      </c>
      <c r="B1756" s="2">
        <v>46082</v>
      </c>
      <c r="C1756" s="10" t="s">
        <v>598</v>
      </c>
    </row>
    <row r="1757" spans="1:8" ht="28.8" hidden="1" x14ac:dyDescent="0.3">
      <c r="A1757" t="s">
        <v>211</v>
      </c>
      <c r="B1757" s="2">
        <v>46113</v>
      </c>
      <c r="C1757" s="10" t="s">
        <v>793</v>
      </c>
    </row>
    <row r="1758" spans="1:8" hidden="1" x14ac:dyDescent="0.3">
      <c r="A1758" t="s">
        <v>211</v>
      </c>
      <c r="B1758" s="2">
        <v>46143</v>
      </c>
      <c r="C1758" s="10" t="s">
        <v>852</v>
      </c>
    </row>
    <row r="1759" spans="1:8" hidden="1" x14ac:dyDescent="0.3">
      <c r="A1759" t="s">
        <v>211</v>
      </c>
      <c r="B1759" s="2">
        <v>46235</v>
      </c>
      <c r="C1759" s="10" t="s">
        <v>896</v>
      </c>
      <c r="D1759">
        <v>0</v>
      </c>
      <c r="E1759" t="s">
        <v>33</v>
      </c>
      <c r="F1759" t="s">
        <v>33</v>
      </c>
      <c r="G1759" s="10" t="s">
        <v>932</v>
      </c>
      <c r="H1759" t="s">
        <v>36</v>
      </c>
    </row>
    <row r="1760" spans="1:8" hidden="1" x14ac:dyDescent="0.3">
      <c r="A1760" t="s">
        <v>211</v>
      </c>
      <c r="B1760" s="2">
        <v>46174</v>
      </c>
      <c r="C1760" s="10"/>
    </row>
    <row r="1761" spans="1:8" hidden="1" x14ac:dyDescent="0.3">
      <c r="A1761" t="s">
        <v>211</v>
      </c>
      <c r="B1761" s="2">
        <v>46204</v>
      </c>
      <c r="C1761" s="10">
        <v>23</v>
      </c>
      <c r="D1761" t="s">
        <v>1059</v>
      </c>
      <c r="E1761" t="s">
        <v>1008</v>
      </c>
      <c r="F1761" t="s">
        <v>33</v>
      </c>
      <c r="G1761" t="s">
        <v>1060</v>
      </c>
      <c r="H1761" t="s">
        <v>36</v>
      </c>
    </row>
    <row r="1762" spans="1:8" hidden="1" x14ac:dyDescent="0.3">
      <c r="A1762" t="s">
        <v>1004</v>
      </c>
      <c r="B1762" s="2">
        <v>46204</v>
      </c>
      <c r="C1762">
        <v>31</v>
      </c>
      <c r="D1762">
        <v>0</v>
      </c>
      <c r="E1762" t="s">
        <v>33</v>
      </c>
      <c r="F1762" t="s">
        <v>33</v>
      </c>
      <c r="G1762" t="s">
        <v>993</v>
      </c>
      <c r="H1762" t="s">
        <v>36</v>
      </c>
    </row>
    <row r="1763" spans="1:8" hidden="1" x14ac:dyDescent="0.3">
      <c r="A1763" t="s">
        <v>202</v>
      </c>
      <c r="B1763" s="2">
        <v>45536</v>
      </c>
      <c r="C1763" s="10"/>
    </row>
    <row r="1764" spans="1:8" hidden="1" x14ac:dyDescent="0.3">
      <c r="A1764" t="s">
        <v>202</v>
      </c>
      <c r="B1764" s="2">
        <v>45566</v>
      </c>
      <c r="C1764" s="10"/>
    </row>
    <row r="1765" spans="1:8" hidden="1" x14ac:dyDescent="0.3">
      <c r="A1765" t="s">
        <v>202</v>
      </c>
      <c r="B1765" s="2">
        <v>45597</v>
      </c>
      <c r="C1765" s="10"/>
    </row>
    <row r="1766" spans="1:8" hidden="1" x14ac:dyDescent="0.3">
      <c r="A1766" t="s">
        <v>202</v>
      </c>
      <c r="B1766" s="2">
        <v>45627</v>
      </c>
      <c r="C1766" s="10"/>
    </row>
    <row r="1767" spans="1:8" hidden="1" x14ac:dyDescent="0.3">
      <c r="A1767" t="s">
        <v>202</v>
      </c>
      <c r="B1767" s="2">
        <v>45658</v>
      </c>
      <c r="C1767" s="10"/>
    </row>
    <row r="1768" spans="1:8" ht="86.4" hidden="1" x14ac:dyDescent="0.3">
      <c r="A1768" t="s">
        <v>202</v>
      </c>
      <c r="B1768" s="2">
        <v>45689</v>
      </c>
      <c r="C1768" s="10" t="s">
        <v>794</v>
      </c>
    </row>
    <row r="1769" spans="1:8" ht="144" hidden="1" x14ac:dyDescent="0.3">
      <c r="A1769" t="s">
        <v>202</v>
      </c>
      <c r="B1769" s="2">
        <v>45717</v>
      </c>
      <c r="C1769" s="10" t="s">
        <v>795</v>
      </c>
    </row>
    <row r="1770" spans="1:8" ht="100.8" hidden="1" x14ac:dyDescent="0.3">
      <c r="A1770" t="s">
        <v>202</v>
      </c>
      <c r="B1770" s="2">
        <v>45748</v>
      </c>
      <c r="C1770" s="10" t="s">
        <v>796</v>
      </c>
    </row>
    <row r="1771" spans="1:8" ht="100.8" hidden="1" x14ac:dyDescent="0.3">
      <c r="A1771" t="s">
        <v>202</v>
      </c>
      <c r="B1771" s="2">
        <v>45778</v>
      </c>
      <c r="C1771" s="10" t="s">
        <v>797</v>
      </c>
    </row>
    <row r="1772" spans="1:8" ht="100.8" hidden="1" x14ac:dyDescent="0.3">
      <c r="A1772" t="s">
        <v>202</v>
      </c>
      <c r="B1772" s="2">
        <v>45809</v>
      </c>
      <c r="C1772" s="10" t="s">
        <v>798</v>
      </c>
    </row>
    <row r="1773" spans="1:8" hidden="1" x14ac:dyDescent="0.3">
      <c r="A1773" t="s">
        <v>202</v>
      </c>
      <c r="B1773" s="2">
        <v>45839</v>
      </c>
      <c r="C1773" t="s">
        <v>911</v>
      </c>
      <c r="D1773">
        <v>0</v>
      </c>
      <c r="E1773" t="s">
        <v>33</v>
      </c>
      <c r="F1773" t="s">
        <v>33</v>
      </c>
      <c r="G1773" s="10" t="s">
        <v>943</v>
      </c>
      <c r="H1773" t="s">
        <v>36</v>
      </c>
    </row>
    <row r="1774" spans="1:8" hidden="1" x14ac:dyDescent="0.3">
      <c r="A1774" t="s">
        <v>202</v>
      </c>
      <c r="B1774" s="2">
        <v>45870</v>
      </c>
      <c r="C1774" t="s">
        <v>911</v>
      </c>
      <c r="D1774">
        <v>0</v>
      </c>
      <c r="E1774" t="s">
        <v>33</v>
      </c>
      <c r="F1774" t="s">
        <v>33</v>
      </c>
      <c r="G1774" s="10" t="s">
        <v>943</v>
      </c>
      <c r="H1774" t="s">
        <v>36</v>
      </c>
    </row>
    <row r="1775" spans="1:8" hidden="1" x14ac:dyDescent="0.3">
      <c r="A1775" t="s">
        <v>202</v>
      </c>
      <c r="B1775" s="2">
        <v>45901</v>
      </c>
      <c r="C1775" t="s">
        <v>919</v>
      </c>
      <c r="D1775">
        <v>0</v>
      </c>
      <c r="E1775" t="s">
        <v>33</v>
      </c>
      <c r="F1775" t="s">
        <v>944</v>
      </c>
      <c r="G1775" s="10" t="s">
        <v>943</v>
      </c>
      <c r="H1775" t="s">
        <v>36</v>
      </c>
    </row>
    <row r="1776" spans="1:8" hidden="1" x14ac:dyDescent="0.3">
      <c r="A1776" t="s">
        <v>202</v>
      </c>
      <c r="B1776" s="2">
        <v>45931</v>
      </c>
      <c r="C1776" t="s">
        <v>911</v>
      </c>
      <c r="D1776">
        <v>0</v>
      </c>
      <c r="E1776" t="s">
        <v>33</v>
      </c>
      <c r="F1776" t="s">
        <v>33</v>
      </c>
      <c r="G1776" s="10" t="s">
        <v>932</v>
      </c>
      <c r="H1776" t="s">
        <v>36</v>
      </c>
    </row>
    <row r="1777" spans="1:8" hidden="1" x14ac:dyDescent="0.3">
      <c r="A1777" t="s">
        <v>202</v>
      </c>
      <c r="B1777" s="2">
        <v>45962</v>
      </c>
      <c r="C1777" t="s">
        <v>919</v>
      </c>
      <c r="D1777">
        <v>0</v>
      </c>
      <c r="E1777" t="s">
        <v>33</v>
      </c>
      <c r="F1777" t="s">
        <v>33</v>
      </c>
      <c r="G1777" s="10" t="s">
        <v>943</v>
      </c>
      <c r="H1777" t="s">
        <v>36</v>
      </c>
    </row>
    <row r="1778" spans="1:8" hidden="1" x14ac:dyDescent="0.3">
      <c r="A1778" t="s">
        <v>202</v>
      </c>
      <c r="B1778" s="2">
        <v>45992</v>
      </c>
      <c r="C1778" t="s">
        <v>946</v>
      </c>
      <c r="D1778" t="s">
        <v>945</v>
      </c>
      <c r="E1778" t="s">
        <v>936</v>
      </c>
      <c r="F1778" t="s">
        <v>33</v>
      </c>
      <c r="G1778" s="10" t="s">
        <v>932</v>
      </c>
      <c r="H1778" t="s">
        <v>36</v>
      </c>
    </row>
    <row r="1779" spans="1:8" hidden="1" x14ac:dyDescent="0.3">
      <c r="A1779" t="s">
        <v>202</v>
      </c>
      <c r="B1779" s="2">
        <v>46023</v>
      </c>
      <c r="C1779" t="s">
        <v>895</v>
      </c>
      <c r="D1779" t="s">
        <v>947</v>
      </c>
      <c r="E1779" t="s">
        <v>936</v>
      </c>
      <c r="F1779" t="s">
        <v>33</v>
      </c>
      <c r="G1779" s="10" t="s">
        <v>932</v>
      </c>
      <c r="H1779" t="s">
        <v>36</v>
      </c>
    </row>
    <row r="1780" spans="1:8" hidden="1" x14ac:dyDescent="0.3">
      <c r="A1780" t="s">
        <v>202</v>
      </c>
      <c r="B1780" s="2">
        <v>46054</v>
      </c>
      <c r="C1780" t="s">
        <v>895</v>
      </c>
      <c r="D1780">
        <v>0</v>
      </c>
      <c r="E1780" t="s">
        <v>33</v>
      </c>
      <c r="F1780" t="s">
        <v>33</v>
      </c>
      <c r="G1780" s="10" t="s">
        <v>943</v>
      </c>
      <c r="H1780" t="s">
        <v>36</v>
      </c>
    </row>
    <row r="1781" spans="1:8" hidden="1" x14ac:dyDescent="0.3">
      <c r="A1781" t="s">
        <v>202</v>
      </c>
      <c r="B1781" s="2">
        <v>46082</v>
      </c>
      <c r="C1781" t="s">
        <v>911</v>
      </c>
      <c r="D1781">
        <v>0</v>
      </c>
      <c r="E1781" t="s">
        <v>33</v>
      </c>
      <c r="F1781" t="s">
        <v>33</v>
      </c>
      <c r="G1781" s="10" t="s">
        <v>932</v>
      </c>
      <c r="H1781" t="s">
        <v>36</v>
      </c>
    </row>
    <row r="1782" spans="1:8" hidden="1" x14ac:dyDescent="0.3">
      <c r="A1782" t="s">
        <v>202</v>
      </c>
      <c r="B1782" s="2">
        <v>46113</v>
      </c>
      <c r="C1782" t="s">
        <v>919</v>
      </c>
      <c r="D1782">
        <v>0</v>
      </c>
      <c r="E1782" t="s">
        <v>33</v>
      </c>
      <c r="F1782" t="s">
        <v>33</v>
      </c>
      <c r="G1782" s="10" t="s">
        <v>932</v>
      </c>
      <c r="H1782" t="s">
        <v>36</v>
      </c>
    </row>
    <row r="1783" spans="1:8" hidden="1" x14ac:dyDescent="0.3">
      <c r="A1783" t="s">
        <v>202</v>
      </c>
      <c r="B1783" s="2">
        <v>46143</v>
      </c>
      <c r="C1783" t="s">
        <v>911</v>
      </c>
      <c r="D1783">
        <v>0</v>
      </c>
      <c r="E1783" t="s">
        <v>33</v>
      </c>
      <c r="F1783" t="s">
        <v>33</v>
      </c>
      <c r="G1783" s="10" t="s">
        <v>943</v>
      </c>
      <c r="H1783" t="s">
        <v>36</v>
      </c>
    </row>
    <row r="1784" spans="1:8" hidden="1" x14ac:dyDescent="0.3">
      <c r="A1784" t="s">
        <v>202</v>
      </c>
      <c r="B1784" s="2">
        <v>46235</v>
      </c>
      <c r="C1784" s="10" t="s">
        <v>919</v>
      </c>
      <c r="D1784">
        <v>0</v>
      </c>
      <c r="E1784" t="s">
        <v>33</v>
      </c>
      <c r="F1784" t="s">
        <v>33</v>
      </c>
      <c r="G1784" t="s">
        <v>932</v>
      </c>
      <c r="H1784" t="s">
        <v>36</v>
      </c>
    </row>
    <row r="1785" spans="1:8" hidden="1" x14ac:dyDescent="0.3">
      <c r="A1785" t="s">
        <v>202</v>
      </c>
      <c r="B1785" s="2">
        <v>46174</v>
      </c>
      <c r="C1785" t="s">
        <v>919</v>
      </c>
      <c r="D1785">
        <v>0</v>
      </c>
      <c r="E1785" t="s">
        <v>33</v>
      </c>
      <c r="F1785" t="s">
        <v>33</v>
      </c>
      <c r="G1785" s="10" t="s">
        <v>943</v>
      </c>
      <c r="H1785" t="s">
        <v>36</v>
      </c>
    </row>
    <row r="1786" spans="1:8" hidden="1" x14ac:dyDescent="0.3">
      <c r="A1786" t="s">
        <v>202</v>
      </c>
      <c r="B1786" s="2">
        <v>46204</v>
      </c>
      <c r="C1786" s="10">
        <v>31</v>
      </c>
      <c r="D1786">
        <v>0</v>
      </c>
      <c r="E1786" t="s">
        <v>33</v>
      </c>
      <c r="F1786" t="s">
        <v>33</v>
      </c>
      <c r="G1786" t="s">
        <v>932</v>
      </c>
      <c r="H1786" t="s">
        <v>36</v>
      </c>
    </row>
    <row r="1787" spans="1:8" hidden="1" x14ac:dyDescent="0.3">
      <c r="A1787" t="s">
        <v>206</v>
      </c>
      <c r="B1787" s="2">
        <v>45536</v>
      </c>
      <c r="C1787" s="10"/>
    </row>
    <row r="1788" spans="1:8" hidden="1" x14ac:dyDescent="0.3">
      <c r="A1788" t="s">
        <v>206</v>
      </c>
      <c r="B1788" s="2">
        <v>45566</v>
      </c>
      <c r="C1788" s="10"/>
    </row>
    <row r="1789" spans="1:8" hidden="1" x14ac:dyDescent="0.3">
      <c r="A1789" t="s">
        <v>206</v>
      </c>
      <c r="B1789" s="2">
        <v>45597</v>
      </c>
      <c r="C1789" s="10"/>
    </row>
    <row r="1790" spans="1:8" hidden="1" x14ac:dyDescent="0.3">
      <c r="A1790" t="s">
        <v>206</v>
      </c>
      <c r="B1790" s="2">
        <v>45627</v>
      </c>
      <c r="C1790" s="10"/>
    </row>
    <row r="1791" spans="1:8" hidden="1" x14ac:dyDescent="0.3">
      <c r="A1791" t="s">
        <v>206</v>
      </c>
      <c r="B1791" s="2">
        <v>45658</v>
      </c>
      <c r="C1791" s="10"/>
    </row>
    <row r="1792" spans="1:8" hidden="1" x14ac:dyDescent="0.3">
      <c r="A1792" t="s">
        <v>206</v>
      </c>
      <c r="B1792" s="2">
        <v>45689</v>
      </c>
      <c r="C1792" s="10" t="s">
        <v>799</v>
      </c>
    </row>
    <row r="1793" spans="1:8" hidden="1" x14ac:dyDescent="0.3">
      <c r="A1793" t="s">
        <v>206</v>
      </c>
      <c r="B1793" s="2">
        <v>45717</v>
      </c>
      <c r="C1793" s="10" t="s">
        <v>799</v>
      </c>
    </row>
    <row r="1794" spans="1:8" hidden="1" x14ac:dyDescent="0.3">
      <c r="A1794" t="s">
        <v>206</v>
      </c>
      <c r="B1794" s="2">
        <v>45748</v>
      </c>
      <c r="C1794" s="10" t="s">
        <v>799</v>
      </c>
    </row>
    <row r="1795" spans="1:8" hidden="1" x14ac:dyDescent="0.3">
      <c r="A1795" t="s">
        <v>206</v>
      </c>
      <c r="B1795" s="2">
        <v>45778</v>
      </c>
      <c r="C1795" s="10" t="s">
        <v>799</v>
      </c>
    </row>
    <row r="1796" spans="1:8" hidden="1" x14ac:dyDescent="0.3">
      <c r="A1796" t="s">
        <v>206</v>
      </c>
      <c r="B1796" s="2">
        <v>45809</v>
      </c>
      <c r="C1796" s="10" t="s">
        <v>799</v>
      </c>
    </row>
    <row r="1797" spans="1:8" hidden="1" x14ac:dyDescent="0.3">
      <c r="A1797" t="s">
        <v>206</v>
      </c>
      <c r="B1797" s="2">
        <v>45839</v>
      </c>
      <c r="C1797" s="10" t="s">
        <v>799</v>
      </c>
    </row>
    <row r="1798" spans="1:8" hidden="1" x14ac:dyDescent="0.3">
      <c r="A1798" t="s">
        <v>206</v>
      </c>
      <c r="B1798" s="2">
        <v>45870</v>
      </c>
      <c r="C1798" s="10"/>
    </row>
    <row r="1799" spans="1:8" hidden="1" x14ac:dyDescent="0.3">
      <c r="A1799" t="s">
        <v>206</v>
      </c>
      <c r="B1799" s="2">
        <v>45901</v>
      </c>
      <c r="C1799" s="10"/>
    </row>
    <row r="1800" spans="1:8" hidden="1" x14ac:dyDescent="0.3">
      <c r="A1800" t="s">
        <v>206</v>
      </c>
      <c r="B1800" s="2">
        <v>45931</v>
      </c>
      <c r="C1800" s="10"/>
    </row>
    <row r="1801" spans="1:8" hidden="1" x14ac:dyDescent="0.3">
      <c r="A1801" t="s">
        <v>206</v>
      </c>
      <c r="B1801" s="2">
        <v>45962</v>
      </c>
      <c r="C1801" s="10"/>
    </row>
    <row r="1802" spans="1:8" hidden="1" x14ac:dyDescent="0.3">
      <c r="A1802" t="s">
        <v>206</v>
      </c>
      <c r="B1802" s="2">
        <v>45992</v>
      </c>
      <c r="C1802" s="10"/>
    </row>
    <row r="1803" spans="1:8" hidden="1" x14ac:dyDescent="0.3">
      <c r="A1803" t="s">
        <v>206</v>
      </c>
      <c r="B1803" s="2">
        <v>46023</v>
      </c>
      <c r="C1803" s="10"/>
    </row>
    <row r="1804" spans="1:8" hidden="1" x14ac:dyDescent="0.3">
      <c r="A1804" t="s">
        <v>206</v>
      </c>
      <c r="B1804" s="2">
        <v>46054</v>
      </c>
      <c r="C1804" s="10"/>
    </row>
    <row r="1805" spans="1:8" hidden="1" x14ac:dyDescent="0.3">
      <c r="A1805" t="s">
        <v>206</v>
      </c>
      <c r="B1805" s="2">
        <v>46082</v>
      </c>
      <c r="C1805" s="10" t="s">
        <v>36</v>
      </c>
    </row>
    <row r="1806" spans="1:8" hidden="1" x14ac:dyDescent="0.3">
      <c r="A1806" t="s">
        <v>206</v>
      </c>
      <c r="B1806" s="2">
        <v>46113</v>
      </c>
      <c r="C1806" s="10" t="s">
        <v>36</v>
      </c>
    </row>
    <row r="1807" spans="1:8" hidden="1" x14ac:dyDescent="0.3">
      <c r="A1807" t="s">
        <v>206</v>
      </c>
      <c r="B1807" s="2">
        <v>46143</v>
      </c>
      <c r="C1807" s="10" t="s">
        <v>863</v>
      </c>
    </row>
    <row r="1808" spans="1:8" hidden="1" x14ac:dyDescent="0.3">
      <c r="A1808" t="s">
        <v>206</v>
      </c>
      <c r="B1808" s="2">
        <v>46235</v>
      </c>
      <c r="C1808" s="10" t="s">
        <v>36</v>
      </c>
      <c r="D1808" s="10" t="s">
        <v>36</v>
      </c>
      <c r="E1808" s="10" t="s">
        <v>36</v>
      </c>
      <c r="F1808" s="10" t="s">
        <v>36</v>
      </c>
      <c r="G1808" s="10" t="s">
        <v>36</v>
      </c>
      <c r="H1808" s="10" t="s">
        <v>36</v>
      </c>
    </row>
    <row r="1809" spans="1:8" hidden="1" x14ac:dyDescent="0.3">
      <c r="A1809" t="s">
        <v>206</v>
      </c>
      <c r="B1809" s="2">
        <v>46174</v>
      </c>
      <c r="C1809" s="10" t="s">
        <v>36</v>
      </c>
      <c r="D1809" s="10" t="s">
        <v>36</v>
      </c>
      <c r="E1809" s="10" t="s">
        <v>36</v>
      </c>
      <c r="F1809" s="10" t="s">
        <v>36</v>
      </c>
      <c r="G1809" s="10" t="s">
        <v>36</v>
      </c>
      <c r="H1809" s="10" t="s">
        <v>36</v>
      </c>
    </row>
    <row r="1810" spans="1:8" hidden="1" x14ac:dyDescent="0.3">
      <c r="A1810" t="s">
        <v>206</v>
      </c>
      <c r="B1810" s="2">
        <v>46204</v>
      </c>
      <c r="C1810" s="10" t="s">
        <v>36</v>
      </c>
      <c r="D1810" s="10" t="s">
        <v>36</v>
      </c>
      <c r="E1810" s="10" t="s">
        <v>36</v>
      </c>
      <c r="F1810" s="10" t="s">
        <v>36</v>
      </c>
      <c r="G1810" s="10" t="s">
        <v>36</v>
      </c>
      <c r="H1810" s="10" t="s">
        <v>36</v>
      </c>
    </row>
    <row r="1811" spans="1:8" x14ac:dyDescent="0.3">
      <c r="A1811" t="s">
        <v>43</v>
      </c>
      <c r="B1811" s="2">
        <v>46266</v>
      </c>
      <c r="C1811">
        <v>30</v>
      </c>
      <c r="D1811">
        <v>0</v>
      </c>
      <c r="E1811" t="s">
        <v>33</v>
      </c>
      <c r="F1811" t="s">
        <v>33</v>
      </c>
      <c r="G1811" t="s">
        <v>1073</v>
      </c>
      <c r="H1811" t="s">
        <v>36</v>
      </c>
    </row>
    <row r="1812" spans="1:8" x14ac:dyDescent="0.3">
      <c r="A1812" t="s">
        <v>49</v>
      </c>
      <c r="B1812" s="2">
        <v>46266</v>
      </c>
      <c r="C1812">
        <v>30</v>
      </c>
      <c r="D1812">
        <v>0</v>
      </c>
      <c r="E1812" t="s">
        <v>33</v>
      </c>
      <c r="F1812" t="s">
        <v>33</v>
      </c>
      <c r="G1812" t="s">
        <v>1073</v>
      </c>
      <c r="H1812" t="s">
        <v>36</v>
      </c>
    </row>
    <row r="1813" spans="1:8" ht="28.8" x14ac:dyDescent="0.3">
      <c r="A1813" t="s">
        <v>250</v>
      </c>
      <c r="B1813" s="2">
        <v>46266</v>
      </c>
      <c r="C1813" s="10">
        <v>30</v>
      </c>
      <c r="D1813" s="10">
        <v>0</v>
      </c>
      <c r="E1813" s="10" t="s">
        <v>33</v>
      </c>
      <c r="F1813" s="10" t="s">
        <v>33</v>
      </c>
      <c r="G1813" s="10" t="s">
        <v>1111</v>
      </c>
      <c r="H1813" s="10" t="s">
        <v>36</v>
      </c>
    </row>
    <row r="1814" spans="1:8" x14ac:dyDescent="0.3">
      <c r="A1814" t="s">
        <v>55</v>
      </c>
      <c r="B1814" s="2">
        <v>46266</v>
      </c>
      <c r="C1814">
        <v>30</v>
      </c>
      <c r="D1814">
        <v>0</v>
      </c>
      <c r="E1814" t="s">
        <v>33</v>
      </c>
      <c r="F1814" t="s">
        <v>33</v>
      </c>
      <c r="G1814" t="s">
        <v>1073</v>
      </c>
      <c r="H1814" t="s">
        <v>36</v>
      </c>
    </row>
    <row r="1815" spans="1:8" x14ac:dyDescent="0.3">
      <c r="A1815" t="s">
        <v>60</v>
      </c>
      <c r="B1815" s="2">
        <v>46266</v>
      </c>
      <c r="C1815" s="10">
        <v>30</v>
      </c>
      <c r="D1815" s="10">
        <v>0</v>
      </c>
      <c r="E1815" s="10" t="s">
        <v>33</v>
      </c>
      <c r="F1815" s="10" t="s">
        <v>33</v>
      </c>
      <c r="G1815" s="10" t="s">
        <v>1112</v>
      </c>
      <c r="H1815" s="10" t="s">
        <v>36</v>
      </c>
    </row>
    <row r="1816" spans="1:8" x14ac:dyDescent="0.3">
      <c r="A1816" t="s">
        <v>61</v>
      </c>
      <c r="B1816" s="2">
        <v>46266</v>
      </c>
      <c r="C1816" s="10">
        <v>30</v>
      </c>
      <c r="D1816" s="10">
        <v>0</v>
      </c>
      <c r="E1816" s="10" t="s">
        <v>33</v>
      </c>
      <c r="F1816" s="10" t="s">
        <v>33</v>
      </c>
      <c r="G1816" s="10" t="s">
        <v>959</v>
      </c>
      <c r="H1816" s="10" t="s">
        <v>36</v>
      </c>
    </row>
    <row r="1817" spans="1:8" ht="28.8" x14ac:dyDescent="0.3">
      <c r="A1817" t="s">
        <v>64</v>
      </c>
      <c r="B1817" s="2">
        <v>46266</v>
      </c>
      <c r="C1817" s="10">
        <v>30</v>
      </c>
      <c r="D1817" s="10">
        <v>0</v>
      </c>
      <c r="E1817" s="10" t="s">
        <v>33</v>
      </c>
      <c r="F1817" s="10" t="s">
        <v>33</v>
      </c>
      <c r="G1817" s="10" t="s">
        <v>1111</v>
      </c>
      <c r="H1817" s="10" t="s">
        <v>36</v>
      </c>
    </row>
    <row r="1818" spans="1:8" x14ac:dyDescent="0.3">
      <c r="A1818" t="s">
        <v>66</v>
      </c>
      <c r="B1818" s="2">
        <v>46266</v>
      </c>
      <c r="C1818" s="10">
        <v>30</v>
      </c>
      <c r="D1818" s="10">
        <v>0</v>
      </c>
      <c r="E1818" s="10" t="s">
        <v>33</v>
      </c>
      <c r="F1818" s="10" t="s">
        <v>33</v>
      </c>
      <c r="G1818" s="10" t="s">
        <v>1114</v>
      </c>
      <c r="H1818" s="10" t="s">
        <v>36</v>
      </c>
    </row>
    <row r="1819" spans="1:8" ht="28.8" x14ac:dyDescent="0.3">
      <c r="A1819" t="s">
        <v>71</v>
      </c>
      <c r="B1819" s="2">
        <v>46266</v>
      </c>
      <c r="C1819" s="10">
        <v>30</v>
      </c>
      <c r="D1819" s="10">
        <v>0</v>
      </c>
      <c r="E1819" s="10" t="s">
        <v>33</v>
      </c>
      <c r="F1819" s="10" t="s">
        <v>33</v>
      </c>
      <c r="G1819" s="10" t="s">
        <v>1111</v>
      </c>
      <c r="H1819" s="10" t="s">
        <v>36</v>
      </c>
    </row>
    <row r="1820" spans="1:8" ht="28.8" x14ac:dyDescent="0.3">
      <c r="A1820" t="s">
        <v>251</v>
      </c>
      <c r="B1820" s="2">
        <v>46266</v>
      </c>
      <c r="C1820" s="10">
        <v>30</v>
      </c>
      <c r="D1820" s="10">
        <v>0</v>
      </c>
      <c r="E1820" s="10" t="s">
        <v>33</v>
      </c>
      <c r="F1820" s="10" t="s">
        <v>33</v>
      </c>
      <c r="G1820" s="10" t="s">
        <v>1111</v>
      </c>
      <c r="H1820" s="10" t="s">
        <v>36</v>
      </c>
    </row>
    <row r="1821" spans="1:8" x14ac:dyDescent="0.3">
      <c r="A1821" t="s">
        <v>77</v>
      </c>
      <c r="B1821" s="2">
        <v>46266</v>
      </c>
      <c r="C1821" s="10">
        <v>30</v>
      </c>
      <c r="D1821" s="10">
        <v>0</v>
      </c>
      <c r="E1821" s="10" t="s">
        <v>33</v>
      </c>
      <c r="F1821" s="10" t="s">
        <v>33</v>
      </c>
      <c r="G1821" s="10" t="s">
        <v>959</v>
      </c>
      <c r="H1821" s="10" t="s">
        <v>36</v>
      </c>
    </row>
    <row r="1822" spans="1:8" x14ac:dyDescent="0.3">
      <c r="A1822" t="s">
        <v>80</v>
      </c>
      <c r="B1822" s="2">
        <v>46266</v>
      </c>
      <c r="C1822" s="10">
        <v>30</v>
      </c>
      <c r="D1822" s="10">
        <v>0</v>
      </c>
      <c r="E1822" s="10" t="s">
        <v>33</v>
      </c>
      <c r="F1822" s="10" t="s">
        <v>33</v>
      </c>
      <c r="G1822" s="10" t="s">
        <v>1112</v>
      </c>
      <c r="H1822" s="10" t="s">
        <v>36</v>
      </c>
    </row>
    <row r="1823" spans="1:8" ht="28.8" x14ac:dyDescent="0.3">
      <c r="A1823" t="s">
        <v>81</v>
      </c>
      <c r="B1823" s="2">
        <v>46266</v>
      </c>
      <c r="C1823" s="10">
        <v>30</v>
      </c>
      <c r="D1823" s="10">
        <v>0</v>
      </c>
      <c r="E1823" s="10" t="s">
        <v>33</v>
      </c>
      <c r="F1823" s="10" t="s">
        <v>33</v>
      </c>
      <c r="G1823" s="10" t="s">
        <v>1111</v>
      </c>
      <c r="H1823" s="10" t="s">
        <v>36</v>
      </c>
    </row>
    <row r="1824" spans="1:8" x14ac:dyDescent="0.3">
      <c r="A1824" t="s">
        <v>85</v>
      </c>
      <c r="B1824" s="2">
        <v>46266</v>
      </c>
      <c r="C1824" s="10">
        <v>30</v>
      </c>
      <c r="D1824" s="10">
        <v>0</v>
      </c>
      <c r="E1824" s="10" t="s">
        <v>33</v>
      </c>
      <c r="F1824" s="10" t="s">
        <v>33</v>
      </c>
      <c r="G1824" t="s">
        <v>1073</v>
      </c>
      <c r="H1824" s="10" t="s">
        <v>36</v>
      </c>
    </row>
    <row r="1825" spans="1:8" x14ac:dyDescent="0.3">
      <c r="A1825" t="s">
        <v>90</v>
      </c>
      <c r="B1825" s="2">
        <v>46266</v>
      </c>
      <c r="C1825" s="10">
        <v>30</v>
      </c>
      <c r="D1825" s="10">
        <v>0</v>
      </c>
      <c r="E1825" s="10" t="s">
        <v>33</v>
      </c>
      <c r="F1825" s="10" t="s">
        <v>33</v>
      </c>
      <c r="G1825" s="10" t="s">
        <v>959</v>
      </c>
      <c r="H1825" s="10" t="s">
        <v>36</v>
      </c>
    </row>
    <row r="1826" spans="1:8" ht="28.8" x14ac:dyDescent="0.3">
      <c r="A1826" t="s">
        <v>93</v>
      </c>
      <c r="B1826" s="2">
        <v>46266</v>
      </c>
      <c r="C1826" s="10">
        <v>30</v>
      </c>
      <c r="D1826" s="10">
        <v>0</v>
      </c>
      <c r="E1826" s="10" t="s">
        <v>33</v>
      </c>
      <c r="F1826" s="10" t="s">
        <v>33</v>
      </c>
      <c r="G1826" s="10" t="s">
        <v>1111</v>
      </c>
      <c r="H1826" s="10" t="s">
        <v>36</v>
      </c>
    </row>
    <row r="1827" spans="1:8" x14ac:dyDescent="0.3">
      <c r="A1827" t="s">
        <v>95</v>
      </c>
      <c r="B1827" s="2">
        <v>46266</v>
      </c>
      <c r="C1827" s="10">
        <v>30</v>
      </c>
      <c r="D1827" s="10">
        <v>0</v>
      </c>
      <c r="E1827" s="10" t="s">
        <v>33</v>
      </c>
      <c r="F1827" s="10" t="s">
        <v>33</v>
      </c>
      <c r="G1827" t="s">
        <v>1073</v>
      </c>
      <c r="H1827" s="10" t="s">
        <v>36</v>
      </c>
    </row>
    <row r="1828" spans="1:8" ht="28.8" x14ac:dyDescent="0.3">
      <c r="A1828" t="s">
        <v>271</v>
      </c>
      <c r="B1828" s="2">
        <v>46266</v>
      </c>
      <c r="C1828" s="10">
        <v>30</v>
      </c>
      <c r="D1828" s="10">
        <v>0</v>
      </c>
      <c r="E1828" s="10" t="s">
        <v>33</v>
      </c>
      <c r="F1828" s="10" t="s">
        <v>33</v>
      </c>
      <c r="G1828" s="10" t="s">
        <v>1111</v>
      </c>
      <c r="H1828" s="10" t="s">
        <v>36</v>
      </c>
    </row>
    <row r="1829" spans="1:8" x14ac:dyDescent="0.3">
      <c r="A1829" t="s">
        <v>239</v>
      </c>
      <c r="B1829" s="2">
        <v>46266</v>
      </c>
      <c r="C1829" s="10">
        <v>30</v>
      </c>
      <c r="D1829" s="10">
        <v>0</v>
      </c>
      <c r="E1829" s="10" t="s">
        <v>33</v>
      </c>
      <c r="F1829" s="10" t="s">
        <v>33</v>
      </c>
      <c r="G1829" s="10" t="s">
        <v>959</v>
      </c>
      <c r="H1829" s="10" t="s">
        <v>36</v>
      </c>
    </row>
    <row r="1830" spans="1:8" x14ac:dyDescent="0.3">
      <c r="A1830" t="s">
        <v>98</v>
      </c>
      <c r="B1830" s="2">
        <v>46266</v>
      </c>
      <c r="C1830" s="10">
        <v>30</v>
      </c>
      <c r="D1830" s="10">
        <v>0</v>
      </c>
      <c r="E1830" s="10" t="s">
        <v>33</v>
      </c>
      <c r="F1830" s="10" t="s">
        <v>33</v>
      </c>
      <c r="G1830" t="s">
        <v>1073</v>
      </c>
      <c r="H1830" s="10" t="s">
        <v>36</v>
      </c>
    </row>
    <row r="1831" spans="1:8" x14ac:dyDescent="0.3">
      <c r="A1831" t="s">
        <v>102</v>
      </c>
      <c r="B1831" s="2">
        <v>46266</v>
      </c>
      <c r="C1831" s="10">
        <v>30</v>
      </c>
      <c r="D1831" s="10">
        <v>0</v>
      </c>
      <c r="E1831" s="10" t="s">
        <v>33</v>
      </c>
      <c r="F1831" s="10" t="s">
        <v>33</v>
      </c>
      <c r="G1831" t="s">
        <v>1073</v>
      </c>
      <c r="H1831" s="10" t="s">
        <v>36</v>
      </c>
    </row>
    <row r="1832" spans="1:8" x14ac:dyDescent="0.3">
      <c r="A1832" t="s">
        <v>104</v>
      </c>
      <c r="B1832" s="2">
        <v>46266</v>
      </c>
      <c r="C1832" s="10">
        <v>22</v>
      </c>
      <c r="D1832" s="10" t="s">
        <v>1110</v>
      </c>
      <c r="E1832" s="10" t="s">
        <v>33</v>
      </c>
      <c r="F1832" s="10" t="s">
        <v>944</v>
      </c>
      <c r="G1832" s="10" t="s">
        <v>1097</v>
      </c>
      <c r="H1832" s="10" t="s">
        <v>36</v>
      </c>
    </row>
    <row r="1833" spans="1:8" ht="28.8" x14ac:dyDescent="0.3">
      <c r="A1833" t="s">
        <v>107</v>
      </c>
      <c r="B1833" s="2">
        <v>46266</v>
      </c>
      <c r="C1833" s="10">
        <v>0</v>
      </c>
      <c r="D1833" s="10">
        <v>30</v>
      </c>
      <c r="E1833" s="10" t="s">
        <v>1029</v>
      </c>
      <c r="F1833" s="10" t="s">
        <v>33</v>
      </c>
      <c r="G1833" s="10" t="s">
        <v>1098</v>
      </c>
      <c r="H1833" s="10" t="s">
        <v>36</v>
      </c>
    </row>
    <row r="1834" spans="1:8" x14ac:dyDescent="0.3">
      <c r="A1834" t="s">
        <v>228</v>
      </c>
      <c r="B1834" s="2">
        <v>46266</v>
      </c>
      <c r="C1834" s="10">
        <v>30</v>
      </c>
      <c r="D1834" s="10">
        <v>0</v>
      </c>
      <c r="E1834" s="10" t="s">
        <v>33</v>
      </c>
      <c r="F1834" s="10" t="s">
        <v>33</v>
      </c>
      <c r="G1834" t="s">
        <v>1073</v>
      </c>
      <c r="H1834" s="10" t="s">
        <v>36</v>
      </c>
    </row>
    <row r="1835" spans="1:8" x14ac:dyDescent="0.3">
      <c r="A1835" t="s">
        <v>109</v>
      </c>
      <c r="B1835" s="2">
        <v>46266</v>
      </c>
      <c r="C1835" s="10">
        <v>30</v>
      </c>
      <c r="D1835" s="10">
        <v>0</v>
      </c>
      <c r="E1835" s="10" t="s">
        <v>33</v>
      </c>
      <c r="F1835" s="10" t="s">
        <v>33</v>
      </c>
      <c r="G1835" t="s">
        <v>1073</v>
      </c>
      <c r="H1835" s="10" t="s">
        <v>36</v>
      </c>
    </row>
    <row r="1836" spans="1:8" x14ac:dyDescent="0.3">
      <c r="A1836" t="s">
        <v>113</v>
      </c>
      <c r="B1836" s="2">
        <v>46266</v>
      </c>
      <c r="C1836" s="10">
        <v>30</v>
      </c>
      <c r="D1836" s="10">
        <v>0</v>
      </c>
      <c r="E1836" s="10" t="s">
        <v>33</v>
      </c>
      <c r="F1836" s="10" t="s">
        <v>33</v>
      </c>
      <c r="G1836" s="10" t="s">
        <v>959</v>
      </c>
      <c r="H1836" s="10" t="s">
        <v>36</v>
      </c>
    </row>
    <row r="1837" spans="1:8" x14ac:dyDescent="0.3">
      <c r="A1837" t="s">
        <v>114</v>
      </c>
      <c r="B1837" s="2">
        <v>46266</v>
      </c>
      <c r="C1837" s="10">
        <v>30</v>
      </c>
      <c r="D1837" s="10">
        <v>0</v>
      </c>
      <c r="E1837" s="10" t="s">
        <v>33</v>
      </c>
      <c r="F1837" s="10" t="s">
        <v>33</v>
      </c>
      <c r="G1837" s="10" t="s">
        <v>959</v>
      </c>
      <c r="H1837" s="10" t="s">
        <v>36</v>
      </c>
    </row>
    <row r="1838" spans="1:8" ht="28.8" x14ac:dyDescent="0.3">
      <c r="A1838" t="s">
        <v>117</v>
      </c>
      <c r="B1838" s="2">
        <v>46266</v>
      </c>
      <c r="C1838" s="10">
        <v>30</v>
      </c>
      <c r="D1838" s="10" t="s">
        <v>1115</v>
      </c>
      <c r="E1838" s="10" t="s">
        <v>1116</v>
      </c>
      <c r="F1838" s="10" t="s">
        <v>33</v>
      </c>
      <c r="G1838" s="10" t="s">
        <v>1117</v>
      </c>
      <c r="H1838" s="10" t="s">
        <v>36</v>
      </c>
    </row>
    <row r="1839" spans="1:8" x14ac:dyDescent="0.3">
      <c r="A1839" t="s">
        <v>225</v>
      </c>
      <c r="B1839" s="2">
        <v>46266</v>
      </c>
      <c r="C1839" s="10">
        <v>30</v>
      </c>
      <c r="D1839" s="10">
        <v>0</v>
      </c>
      <c r="E1839" s="10" t="s">
        <v>33</v>
      </c>
      <c r="F1839" s="10" t="s">
        <v>33</v>
      </c>
      <c r="G1839" s="10" t="s">
        <v>959</v>
      </c>
      <c r="H1839" s="10" t="s">
        <v>36</v>
      </c>
    </row>
    <row r="1840" spans="1:8" x14ac:dyDescent="0.3">
      <c r="A1840" t="s">
        <v>223</v>
      </c>
      <c r="B1840" s="2">
        <v>46266</v>
      </c>
      <c r="C1840" s="10">
        <v>30</v>
      </c>
      <c r="D1840" s="10">
        <v>0</v>
      </c>
      <c r="E1840" s="10" t="s">
        <v>33</v>
      </c>
      <c r="F1840" s="10" t="s">
        <v>33</v>
      </c>
      <c r="G1840" t="s">
        <v>1073</v>
      </c>
      <c r="H1840" s="10" t="s">
        <v>36</v>
      </c>
    </row>
    <row r="1841" spans="1:8" x14ac:dyDescent="0.3">
      <c r="A1841" t="s">
        <v>120</v>
      </c>
      <c r="B1841" s="2">
        <v>46266</v>
      </c>
      <c r="C1841" s="10">
        <v>30</v>
      </c>
      <c r="D1841" s="10">
        <v>0</v>
      </c>
      <c r="E1841" s="10" t="s">
        <v>33</v>
      </c>
      <c r="F1841" s="10" t="s">
        <v>33</v>
      </c>
      <c r="G1841" t="s">
        <v>1073</v>
      </c>
      <c r="H1841" s="10" t="s">
        <v>36</v>
      </c>
    </row>
    <row r="1842" spans="1:8" x14ac:dyDescent="0.3">
      <c r="A1842" t="s">
        <v>236</v>
      </c>
      <c r="B1842" s="2">
        <v>46266</v>
      </c>
      <c r="C1842" s="10">
        <v>30</v>
      </c>
      <c r="D1842" s="10">
        <v>0</v>
      </c>
      <c r="E1842" s="10" t="s">
        <v>33</v>
      </c>
      <c r="F1842" s="10" t="s">
        <v>33</v>
      </c>
      <c r="G1842" t="s">
        <v>36</v>
      </c>
      <c r="H1842" s="10" t="s">
        <v>36</v>
      </c>
    </row>
    <row r="1843" spans="1:8" ht="28.8" x14ac:dyDescent="0.3">
      <c r="A1843" t="s">
        <v>122</v>
      </c>
      <c r="B1843" s="2">
        <v>46266</v>
      </c>
      <c r="C1843" s="10">
        <v>30</v>
      </c>
      <c r="D1843" s="10">
        <v>0</v>
      </c>
      <c r="E1843" s="10" t="s">
        <v>33</v>
      </c>
      <c r="F1843" s="10" t="s">
        <v>33</v>
      </c>
      <c r="G1843" s="10" t="s">
        <v>1111</v>
      </c>
      <c r="H1843" s="10" t="s">
        <v>36</v>
      </c>
    </row>
    <row r="1844" spans="1:8" x14ac:dyDescent="0.3">
      <c r="A1844" t="s">
        <v>124</v>
      </c>
      <c r="B1844" s="2">
        <v>46266</v>
      </c>
      <c r="C1844" s="10">
        <v>30</v>
      </c>
      <c r="D1844" s="10">
        <v>0</v>
      </c>
      <c r="E1844" s="10" t="s">
        <v>33</v>
      </c>
      <c r="F1844" s="10" t="s">
        <v>33</v>
      </c>
      <c r="G1844" s="10" t="s">
        <v>1112</v>
      </c>
      <c r="H1844" s="10" t="s">
        <v>36</v>
      </c>
    </row>
    <row r="1845" spans="1:8" x14ac:dyDescent="0.3">
      <c r="A1845" t="s">
        <v>127</v>
      </c>
      <c r="B1845" s="2">
        <v>46266</v>
      </c>
      <c r="C1845" s="10">
        <v>30</v>
      </c>
      <c r="D1845" s="10">
        <v>0</v>
      </c>
      <c r="E1845" s="10" t="s">
        <v>33</v>
      </c>
      <c r="F1845" s="10" t="s">
        <v>1113</v>
      </c>
      <c r="G1845" t="s">
        <v>1073</v>
      </c>
      <c r="H1845" s="10" t="s">
        <v>36</v>
      </c>
    </row>
    <row r="1846" spans="1:8" x14ac:dyDescent="0.3">
      <c r="A1846" t="s">
        <v>234</v>
      </c>
      <c r="B1846" s="2">
        <v>46266</v>
      </c>
      <c r="C1846" s="10">
        <v>30</v>
      </c>
      <c r="D1846" s="10">
        <v>0</v>
      </c>
      <c r="E1846" s="10" t="s">
        <v>33</v>
      </c>
      <c r="F1846" s="10" t="s">
        <v>33</v>
      </c>
      <c r="G1846" s="10" t="s">
        <v>959</v>
      </c>
      <c r="H1846" s="10" t="s">
        <v>36</v>
      </c>
    </row>
    <row r="1847" spans="1:8" x14ac:dyDescent="0.3">
      <c r="A1847" t="s">
        <v>131</v>
      </c>
      <c r="B1847" s="2">
        <v>46266</v>
      </c>
      <c r="C1847" s="10">
        <v>30</v>
      </c>
      <c r="D1847" s="10">
        <v>0</v>
      </c>
      <c r="E1847" s="10" t="s">
        <v>33</v>
      </c>
      <c r="F1847" s="10" t="s">
        <v>33</v>
      </c>
      <c r="G1847" s="10" t="s">
        <v>959</v>
      </c>
      <c r="H1847" s="10" t="s">
        <v>36</v>
      </c>
    </row>
    <row r="1848" spans="1:8" x14ac:dyDescent="0.3">
      <c r="A1848" t="s">
        <v>134</v>
      </c>
      <c r="B1848" s="2">
        <v>46266</v>
      </c>
      <c r="C1848" s="10">
        <v>30</v>
      </c>
      <c r="D1848" s="10">
        <v>0</v>
      </c>
      <c r="E1848" s="10" t="s">
        <v>33</v>
      </c>
      <c r="F1848" s="10" t="s">
        <v>33</v>
      </c>
      <c r="G1848" s="10" t="s">
        <v>959</v>
      </c>
      <c r="H1848" s="10" t="s">
        <v>36</v>
      </c>
    </row>
    <row r="1849" spans="1:8" x14ac:dyDescent="0.3">
      <c r="A1849" t="s">
        <v>138</v>
      </c>
      <c r="B1849" s="2">
        <v>46266</v>
      </c>
      <c r="C1849" s="10" t="s">
        <v>36</v>
      </c>
      <c r="D1849" s="10" t="s">
        <v>36</v>
      </c>
      <c r="E1849" s="10" t="s">
        <v>36</v>
      </c>
      <c r="F1849" s="10" t="s">
        <v>36</v>
      </c>
      <c r="G1849" s="10" t="s">
        <v>36</v>
      </c>
      <c r="H1849" s="10" t="s">
        <v>36</v>
      </c>
    </row>
    <row r="1850" spans="1:8" x14ac:dyDescent="0.3">
      <c r="A1850" t="s">
        <v>220</v>
      </c>
      <c r="B1850" s="2">
        <v>46266</v>
      </c>
      <c r="C1850" s="10">
        <v>30</v>
      </c>
      <c r="D1850" s="10">
        <v>0</v>
      </c>
      <c r="E1850" s="10" t="s">
        <v>33</v>
      </c>
      <c r="F1850" s="10" t="s">
        <v>33</v>
      </c>
      <c r="G1850" s="10" t="s">
        <v>1112</v>
      </c>
      <c r="H1850" s="10" t="s">
        <v>36</v>
      </c>
    </row>
    <row r="1851" spans="1:8" x14ac:dyDescent="0.3">
      <c r="A1851" t="s">
        <v>222</v>
      </c>
      <c r="B1851" s="2">
        <v>46266</v>
      </c>
      <c r="C1851" s="10">
        <v>30</v>
      </c>
      <c r="D1851" s="10">
        <v>0</v>
      </c>
      <c r="E1851" s="10" t="s">
        <v>33</v>
      </c>
      <c r="F1851" s="10" t="s">
        <v>33</v>
      </c>
      <c r="G1851" s="10" t="s">
        <v>1112</v>
      </c>
      <c r="H1851" s="10" t="s">
        <v>36</v>
      </c>
    </row>
    <row r="1852" spans="1:8" ht="28.8" x14ac:dyDescent="0.3">
      <c r="A1852" t="s">
        <v>142</v>
      </c>
      <c r="B1852" s="2">
        <v>46266</v>
      </c>
      <c r="C1852" s="10">
        <v>30</v>
      </c>
      <c r="D1852" s="10">
        <v>0</v>
      </c>
      <c r="E1852" s="10" t="s">
        <v>33</v>
      </c>
      <c r="F1852" s="10" t="s">
        <v>33</v>
      </c>
      <c r="G1852" s="10" t="s">
        <v>959</v>
      </c>
      <c r="H1852" s="10" t="s">
        <v>1099</v>
      </c>
    </row>
    <row r="1853" spans="1:8" x14ac:dyDescent="0.3">
      <c r="A1853" t="s">
        <v>145</v>
      </c>
      <c r="B1853" s="2">
        <v>46266</v>
      </c>
      <c r="C1853" s="10">
        <v>30</v>
      </c>
      <c r="D1853" s="10">
        <v>0</v>
      </c>
      <c r="E1853" s="10" t="s">
        <v>33</v>
      </c>
      <c r="F1853" s="10" t="s">
        <v>33</v>
      </c>
      <c r="G1853" t="s">
        <v>1073</v>
      </c>
      <c r="H1853" s="10" t="s">
        <v>36</v>
      </c>
    </row>
    <row r="1854" spans="1:8" x14ac:dyDescent="0.3">
      <c r="A1854" t="s">
        <v>149</v>
      </c>
      <c r="B1854" s="2">
        <v>46266</v>
      </c>
      <c r="C1854" s="10">
        <v>30</v>
      </c>
      <c r="D1854" s="10">
        <v>0</v>
      </c>
      <c r="E1854" s="10" t="s">
        <v>33</v>
      </c>
      <c r="F1854" s="10" t="s">
        <v>33</v>
      </c>
      <c r="G1854" t="s">
        <v>1073</v>
      </c>
      <c r="H1854" s="10" t="s">
        <v>36</v>
      </c>
    </row>
    <row r="1855" spans="1:8" x14ac:dyDescent="0.3">
      <c r="A1855" t="s">
        <v>152</v>
      </c>
      <c r="B1855" s="2">
        <v>46266</v>
      </c>
      <c r="C1855" s="10">
        <v>30</v>
      </c>
      <c r="D1855" s="10">
        <v>0</v>
      </c>
      <c r="E1855" s="10" t="s">
        <v>33</v>
      </c>
      <c r="F1855" s="10" t="s">
        <v>33</v>
      </c>
      <c r="G1855" t="s">
        <v>1073</v>
      </c>
      <c r="H1855" s="10" t="s">
        <v>36</v>
      </c>
    </row>
    <row r="1856" spans="1:8" x14ac:dyDescent="0.3">
      <c r="A1856" t="s">
        <v>155</v>
      </c>
      <c r="B1856" s="2">
        <v>46266</v>
      </c>
      <c r="C1856" s="10">
        <v>0</v>
      </c>
      <c r="D1856" s="10">
        <v>30</v>
      </c>
      <c r="E1856" s="10" t="s">
        <v>1029</v>
      </c>
      <c r="F1856" s="10" t="s">
        <v>33</v>
      </c>
      <c r="G1856" s="10" t="s">
        <v>1100</v>
      </c>
      <c r="H1856" s="10" t="s">
        <v>36</v>
      </c>
    </row>
    <row r="1857" spans="1:8" x14ac:dyDescent="0.3">
      <c r="A1857" t="s">
        <v>157</v>
      </c>
      <c r="B1857" s="2">
        <v>46266</v>
      </c>
      <c r="C1857" s="10">
        <v>30</v>
      </c>
      <c r="D1857" s="10">
        <v>0</v>
      </c>
      <c r="E1857" s="10" t="s">
        <v>33</v>
      </c>
      <c r="F1857" s="10" t="s">
        <v>33</v>
      </c>
      <c r="G1857" t="s">
        <v>1073</v>
      </c>
      <c r="H1857" s="10" t="s">
        <v>36</v>
      </c>
    </row>
    <row r="1858" spans="1:8" x14ac:dyDescent="0.3">
      <c r="A1858" t="s">
        <v>160</v>
      </c>
      <c r="B1858" s="2">
        <v>46266</v>
      </c>
      <c r="C1858" s="10">
        <v>30</v>
      </c>
      <c r="D1858" s="10">
        <v>0</v>
      </c>
      <c r="E1858" s="10" t="s">
        <v>33</v>
      </c>
      <c r="F1858" s="10" t="s">
        <v>33</v>
      </c>
      <c r="G1858" s="10" t="s">
        <v>959</v>
      </c>
      <c r="H1858" s="10" t="s">
        <v>36</v>
      </c>
    </row>
    <row r="1859" spans="1:8" x14ac:dyDescent="0.3">
      <c r="A1859" t="s">
        <v>244</v>
      </c>
      <c r="B1859" s="2">
        <v>46266</v>
      </c>
      <c r="C1859" s="10">
        <v>30</v>
      </c>
      <c r="D1859" s="10">
        <v>0</v>
      </c>
      <c r="E1859" s="10" t="s">
        <v>33</v>
      </c>
      <c r="F1859" s="10" t="s">
        <v>33</v>
      </c>
      <c r="G1859" s="10" t="s">
        <v>1073</v>
      </c>
      <c r="H1859" s="10" t="s">
        <v>36</v>
      </c>
    </row>
    <row r="1860" spans="1:8" x14ac:dyDescent="0.3">
      <c r="A1860" t="s">
        <v>163</v>
      </c>
      <c r="B1860" s="2">
        <v>46266</v>
      </c>
      <c r="C1860" s="10" t="s">
        <v>36</v>
      </c>
      <c r="D1860" s="10" t="s">
        <v>36</v>
      </c>
      <c r="E1860" s="10" t="s">
        <v>36</v>
      </c>
      <c r="F1860" s="10" t="s">
        <v>36</v>
      </c>
      <c r="G1860" s="10" t="s">
        <v>36</v>
      </c>
      <c r="H1860" s="10" t="s">
        <v>36</v>
      </c>
    </row>
    <row r="1861" spans="1:8" x14ac:dyDescent="0.3">
      <c r="A1861" t="s">
        <v>166</v>
      </c>
      <c r="B1861" s="2">
        <v>46266</v>
      </c>
      <c r="C1861" s="10">
        <v>30</v>
      </c>
      <c r="D1861" s="10">
        <v>0</v>
      </c>
      <c r="E1861" s="10" t="s">
        <v>33</v>
      </c>
      <c r="F1861" s="10" t="s">
        <v>33</v>
      </c>
      <c r="G1861" s="10" t="s">
        <v>1073</v>
      </c>
      <c r="H1861" s="10" t="s">
        <v>36</v>
      </c>
    </row>
    <row r="1862" spans="1:8" x14ac:dyDescent="0.3">
      <c r="A1862" t="s">
        <v>169</v>
      </c>
      <c r="B1862" s="2">
        <v>46266</v>
      </c>
      <c r="C1862" s="10">
        <v>30</v>
      </c>
      <c r="D1862" s="10">
        <v>0</v>
      </c>
      <c r="E1862" s="10" t="s">
        <v>33</v>
      </c>
      <c r="F1862" s="10" t="s">
        <v>33</v>
      </c>
      <c r="G1862" s="10" t="s">
        <v>1073</v>
      </c>
      <c r="H1862" s="10" t="s">
        <v>36</v>
      </c>
    </row>
    <row r="1863" spans="1:8" ht="28.8" x14ac:dyDescent="0.3">
      <c r="A1863" t="s">
        <v>171</v>
      </c>
      <c r="B1863" s="2">
        <v>46266</v>
      </c>
      <c r="C1863" s="10">
        <v>30</v>
      </c>
      <c r="D1863" s="10">
        <v>0</v>
      </c>
      <c r="E1863" s="10" t="s">
        <v>33</v>
      </c>
      <c r="F1863" s="10" t="s">
        <v>33</v>
      </c>
      <c r="G1863" s="10" t="s">
        <v>1111</v>
      </c>
      <c r="H1863" s="10" t="s">
        <v>36</v>
      </c>
    </row>
    <row r="1864" spans="1:8" ht="28.8" x14ac:dyDescent="0.3">
      <c r="A1864" t="s">
        <v>172</v>
      </c>
      <c r="B1864" s="2">
        <v>46266</v>
      </c>
      <c r="C1864" s="10">
        <v>30</v>
      </c>
      <c r="D1864" s="10">
        <v>0</v>
      </c>
      <c r="E1864" s="10" t="s">
        <v>33</v>
      </c>
      <c r="F1864" s="10" t="s">
        <v>33</v>
      </c>
      <c r="G1864" s="10" t="s">
        <v>1111</v>
      </c>
      <c r="H1864" s="10" t="s">
        <v>36</v>
      </c>
    </row>
    <row r="1865" spans="1:8" x14ac:dyDescent="0.3">
      <c r="A1865" t="s">
        <v>265</v>
      </c>
      <c r="B1865" s="2">
        <v>46266</v>
      </c>
      <c r="C1865" s="10">
        <v>0</v>
      </c>
      <c r="D1865" s="10">
        <v>30</v>
      </c>
      <c r="E1865" s="10" t="s">
        <v>1090</v>
      </c>
      <c r="F1865" s="10" t="s">
        <v>36</v>
      </c>
      <c r="G1865" s="10" t="s">
        <v>1101</v>
      </c>
      <c r="H1865" s="10" t="s">
        <v>36</v>
      </c>
    </row>
    <row r="1866" spans="1:8" x14ac:dyDescent="0.3">
      <c r="A1866" t="s">
        <v>177</v>
      </c>
      <c r="B1866" s="2">
        <v>46266</v>
      </c>
      <c r="C1866" s="10">
        <v>30</v>
      </c>
      <c r="D1866" s="10">
        <v>0</v>
      </c>
      <c r="E1866" s="10" t="s">
        <v>33</v>
      </c>
      <c r="F1866" s="10" t="s">
        <v>33</v>
      </c>
      <c r="G1866" s="10" t="s">
        <v>959</v>
      </c>
      <c r="H1866" s="10" t="s">
        <v>36</v>
      </c>
    </row>
    <row r="1867" spans="1:8" x14ac:dyDescent="0.3">
      <c r="A1867" t="s">
        <v>180</v>
      </c>
      <c r="B1867" s="2">
        <v>46266</v>
      </c>
      <c r="C1867" s="10">
        <v>30</v>
      </c>
      <c r="D1867" s="10">
        <v>0</v>
      </c>
      <c r="E1867" s="10" t="s">
        <v>33</v>
      </c>
      <c r="F1867" s="10" t="s">
        <v>33</v>
      </c>
      <c r="G1867" s="10" t="s">
        <v>959</v>
      </c>
      <c r="H1867" s="10" t="s">
        <v>36</v>
      </c>
    </row>
    <row r="1868" spans="1:8" x14ac:dyDescent="0.3">
      <c r="A1868" t="s">
        <v>241</v>
      </c>
      <c r="B1868" s="2">
        <v>46266</v>
      </c>
      <c r="C1868" s="10">
        <v>30</v>
      </c>
      <c r="D1868" s="10">
        <v>0</v>
      </c>
      <c r="E1868" s="10" t="s">
        <v>33</v>
      </c>
      <c r="F1868" s="10" t="s">
        <v>33</v>
      </c>
      <c r="G1868" s="10" t="s">
        <v>1112</v>
      </c>
      <c r="H1868" s="10" t="s">
        <v>36</v>
      </c>
    </row>
    <row r="1869" spans="1:8" x14ac:dyDescent="0.3">
      <c r="A1869" t="s">
        <v>182</v>
      </c>
      <c r="B1869" s="2">
        <v>46266</v>
      </c>
      <c r="C1869" s="10">
        <v>30</v>
      </c>
      <c r="D1869" s="10">
        <v>0</v>
      </c>
      <c r="E1869" s="10" t="s">
        <v>33</v>
      </c>
      <c r="F1869" s="10" t="s">
        <v>33</v>
      </c>
      <c r="G1869" s="10" t="s">
        <v>1108</v>
      </c>
      <c r="H1869" s="10" t="s">
        <v>36</v>
      </c>
    </row>
    <row r="1870" spans="1:8" ht="28.8" x14ac:dyDescent="0.3">
      <c r="A1870" t="s">
        <v>184</v>
      </c>
      <c r="B1870" s="2">
        <v>46266</v>
      </c>
      <c r="C1870" s="10">
        <v>30</v>
      </c>
      <c r="D1870" s="10">
        <v>0</v>
      </c>
      <c r="E1870" s="10" t="s">
        <v>33</v>
      </c>
      <c r="F1870" s="10" t="s">
        <v>33</v>
      </c>
      <c r="G1870" s="10" t="s">
        <v>1111</v>
      </c>
      <c r="H1870" s="10" t="s">
        <v>36</v>
      </c>
    </row>
    <row r="1871" spans="1:8" ht="28.8" x14ac:dyDescent="0.3">
      <c r="A1871" t="s">
        <v>1003</v>
      </c>
      <c r="B1871" s="2">
        <v>46266</v>
      </c>
      <c r="C1871" s="10">
        <v>30</v>
      </c>
      <c r="D1871" s="10">
        <v>0</v>
      </c>
      <c r="E1871" s="10" t="s">
        <v>33</v>
      </c>
      <c r="F1871" s="10" t="s">
        <v>33</v>
      </c>
      <c r="G1871" s="10" t="s">
        <v>1111</v>
      </c>
      <c r="H1871" s="10" t="s">
        <v>36</v>
      </c>
    </row>
    <row r="1872" spans="1:8" x14ac:dyDescent="0.3">
      <c r="A1872" t="s">
        <v>186</v>
      </c>
      <c r="B1872" s="2">
        <v>46266</v>
      </c>
      <c r="C1872" s="10">
        <v>30</v>
      </c>
      <c r="D1872" s="10">
        <v>0</v>
      </c>
      <c r="E1872" s="10" t="s">
        <v>33</v>
      </c>
      <c r="F1872" s="10" t="s">
        <v>33</v>
      </c>
      <c r="G1872" s="10" t="s">
        <v>1109</v>
      </c>
      <c r="H1872" s="10" t="s">
        <v>36</v>
      </c>
    </row>
    <row r="1873" spans="1:8" x14ac:dyDescent="0.3">
      <c r="A1873" t="s">
        <v>188</v>
      </c>
      <c r="B1873" s="2">
        <v>46266</v>
      </c>
      <c r="C1873" s="10">
        <v>30</v>
      </c>
      <c r="D1873" s="10">
        <v>0</v>
      </c>
      <c r="E1873" s="10" t="s">
        <v>33</v>
      </c>
      <c r="F1873" s="10" t="s">
        <v>33</v>
      </c>
      <c r="G1873" s="10" t="s">
        <v>1112</v>
      </c>
      <c r="H1873" s="10" t="s">
        <v>36</v>
      </c>
    </row>
    <row r="1874" spans="1:8" x14ac:dyDescent="0.3">
      <c r="A1874" t="s">
        <v>226</v>
      </c>
      <c r="B1874" s="2">
        <v>46266</v>
      </c>
      <c r="C1874" s="10">
        <v>30</v>
      </c>
      <c r="D1874" s="10">
        <v>0</v>
      </c>
      <c r="E1874" s="10" t="s">
        <v>33</v>
      </c>
      <c r="F1874" s="10" t="s">
        <v>33</v>
      </c>
      <c r="G1874" s="10" t="s">
        <v>959</v>
      </c>
      <c r="H1874" s="10" t="s">
        <v>36</v>
      </c>
    </row>
    <row r="1875" spans="1:8" ht="28.8" x14ac:dyDescent="0.3">
      <c r="A1875" t="s">
        <v>1002</v>
      </c>
      <c r="B1875" s="2">
        <v>46266</v>
      </c>
      <c r="C1875" s="10">
        <v>30</v>
      </c>
      <c r="D1875" s="10">
        <v>0</v>
      </c>
      <c r="E1875" s="10" t="s">
        <v>33</v>
      </c>
      <c r="F1875" s="10" t="s">
        <v>33</v>
      </c>
      <c r="G1875" s="10" t="s">
        <v>1111</v>
      </c>
      <c r="H1875" s="10" t="s">
        <v>36</v>
      </c>
    </row>
    <row r="1876" spans="1:8" ht="28.8" x14ac:dyDescent="0.3">
      <c r="A1876" t="s">
        <v>208</v>
      </c>
      <c r="B1876" s="2">
        <v>46266</v>
      </c>
      <c r="C1876" s="10">
        <v>30</v>
      </c>
      <c r="D1876" s="10">
        <v>0</v>
      </c>
      <c r="E1876" s="10" t="s">
        <v>33</v>
      </c>
      <c r="F1876" s="10" t="s">
        <v>33</v>
      </c>
      <c r="G1876" s="10" t="s">
        <v>1111</v>
      </c>
      <c r="H1876" s="10" t="s">
        <v>36</v>
      </c>
    </row>
    <row r="1877" spans="1:8" x14ac:dyDescent="0.3">
      <c r="A1877" t="s">
        <v>190</v>
      </c>
      <c r="B1877" s="2">
        <v>46266</v>
      </c>
      <c r="C1877" s="10">
        <v>30</v>
      </c>
      <c r="D1877" s="10">
        <v>0</v>
      </c>
      <c r="E1877" s="10" t="s">
        <v>33</v>
      </c>
      <c r="F1877" s="10" t="s">
        <v>33</v>
      </c>
      <c r="G1877" s="10" t="s">
        <v>1073</v>
      </c>
      <c r="H1877" s="10" t="s">
        <v>36</v>
      </c>
    </row>
    <row r="1878" spans="1:8" ht="28.8" x14ac:dyDescent="0.3">
      <c r="A1878" t="s">
        <v>213</v>
      </c>
      <c r="B1878" s="2">
        <v>46266</v>
      </c>
      <c r="C1878" s="10">
        <v>30</v>
      </c>
      <c r="D1878" s="10">
        <v>0</v>
      </c>
      <c r="E1878" s="10" t="s">
        <v>33</v>
      </c>
      <c r="F1878" s="10" t="s">
        <v>33</v>
      </c>
      <c r="G1878" s="10" t="s">
        <v>1111</v>
      </c>
      <c r="H1878" s="10" t="s">
        <v>36</v>
      </c>
    </row>
    <row r="1879" spans="1:8" x14ac:dyDescent="0.3">
      <c r="A1879" t="s">
        <v>216</v>
      </c>
      <c r="B1879" s="2">
        <v>46266</v>
      </c>
      <c r="C1879" s="10">
        <v>30</v>
      </c>
      <c r="D1879" s="10">
        <v>0</v>
      </c>
      <c r="E1879" s="10" t="s">
        <v>33</v>
      </c>
      <c r="F1879" s="10" t="s">
        <v>33</v>
      </c>
      <c r="G1879" s="10" t="s">
        <v>1112</v>
      </c>
      <c r="H1879" s="10" t="s">
        <v>36</v>
      </c>
    </row>
    <row r="1880" spans="1:8" ht="28.8" x14ac:dyDescent="0.3">
      <c r="A1880" t="s">
        <v>218</v>
      </c>
      <c r="B1880" s="2">
        <v>46266</v>
      </c>
      <c r="C1880" s="10">
        <v>30</v>
      </c>
      <c r="D1880" s="10">
        <v>0</v>
      </c>
      <c r="E1880" s="10" t="s">
        <v>33</v>
      </c>
      <c r="F1880" s="10" t="s">
        <v>33</v>
      </c>
      <c r="G1880" s="10" t="s">
        <v>1111</v>
      </c>
      <c r="H1880" s="10" t="s">
        <v>36</v>
      </c>
    </row>
    <row r="1881" spans="1:8" x14ac:dyDescent="0.3">
      <c r="A1881" t="s">
        <v>192</v>
      </c>
      <c r="B1881" s="2">
        <v>46266</v>
      </c>
      <c r="C1881" s="10" t="s">
        <v>36</v>
      </c>
      <c r="D1881" s="10" t="s">
        <v>36</v>
      </c>
      <c r="E1881" s="10" t="s">
        <v>36</v>
      </c>
      <c r="F1881" s="10" t="s">
        <v>36</v>
      </c>
      <c r="G1881" s="10" t="s">
        <v>36</v>
      </c>
      <c r="H1881" s="10" t="s">
        <v>36</v>
      </c>
    </row>
    <row r="1882" spans="1:8" ht="28.8" x14ac:dyDescent="0.3">
      <c r="A1882" t="s">
        <v>194</v>
      </c>
      <c r="B1882" s="2">
        <v>46266</v>
      </c>
      <c r="C1882" s="10">
        <v>30</v>
      </c>
      <c r="D1882" s="10">
        <v>0</v>
      </c>
      <c r="E1882" s="10" t="s">
        <v>33</v>
      </c>
      <c r="F1882" s="10" t="s">
        <v>33</v>
      </c>
      <c r="G1882" s="10" t="s">
        <v>1111</v>
      </c>
      <c r="H1882" s="10" t="s">
        <v>36</v>
      </c>
    </row>
    <row r="1883" spans="1:8" x14ac:dyDescent="0.3">
      <c r="A1883" t="s">
        <v>196</v>
      </c>
      <c r="B1883" s="2">
        <v>46266</v>
      </c>
      <c r="C1883" s="10">
        <v>30</v>
      </c>
      <c r="D1883" s="10">
        <v>0</v>
      </c>
      <c r="E1883" s="10" t="s">
        <v>33</v>
      </c>
      <c r="F1883" s="10" t="s">
        <v>33</v>
      </c>
      <c r="G1883" s="10" t="s">
        <v>959</v>
      </c>
      <c r="H1883" s="10" t="s">
        <v>36</v>
      </c>
    </row>
    <row r="1884" spans="1:8" ht="28.8" x14ac:dyDescent="0.3">
      <c r="A1884" t="s">
        <v>1013</v>
      </c>
      <c r="B1884" s="2"/>
      <c r="C1884" s="10">
        <v>30</v>
      </c>
      <c r="D1884" s="10">
        <v>0</v>
      </c>
      <c r="E1884" s="10" t="s">
        <v>33</v>
      </c>
      <c r="F1884" s="10" t="s">
        <v>33</v>
      </c>
      <c r="G1884" s="10" t="s">
        <v>1111</v>
      </c>
      <c r="H1884" s="10" t="s">
        <v>36</v>
      </c>
    </row>
    <row r="1885" spans="1:8" ht="28.8" x14ac:dyDescent="0.3">
      <c r="A1885" t="s">
        <v>199</v>
      </c>
      <c r="B1885" s="2">
        <v>46266</v>
      </c>
      <c r="C1885" s="10">
        <v>30</v>
      </c>
      <c r="D1885" s="10">
        <v>0</v>
      </c>
      <c r="E1885" s="10" t="s">
        <v>33</v>
      </c>
      <c r="F1885" s="10" t="s">
        <v>33</v>
      </c>
      <c r="G1885" s="10" t="s">
        <v>1111</v>
      </c>
      <c r="H1885" s="10" t="s">
        <v>36</v>
      </c>
    </row>
    <row r="1886" spans="1:8" ht="28.8" x14ac:dyDescent="0.3">
      <c r="A1886" t="s">
        <v>201</v>
      </c>
      <c r="B1886" s="2">
        <v>46266</v>
      </c>
      <c r="C1886" s="10">
        <v>2</v>
      </c>
      <c r="D1886" s="10" t="s">
        <v>895</v>
      </c>
      <c r="E1886" s="10" t="s">
        <v>1118</v>
      </c>
      <c r="F1886" s="10" t="s">
        <v>33</v>
      </c>
      <c r="G1886" s="10" t="s">
        <v>1102</v>
      </c>
      <c r="H1886" s="10" t="s">
        <v>36</v>
      </c>
    </row>
    <row r="1887" spans="1:8" x14ac:dyDescent="0.3">
      <c r="A1887" t="s">
        <v>211</v>
      </c>
      <c r="B1887" s="2">
        <v>46266</v>
      </c>
      <c r="C1887" s="10">
        <v>30</v>
      </c>
      <c r="D1887" s="10">
        <v>0</v>
      </c>
      <c r="E1887" s="10" t="s">
        <v>33</v>
      </c>
      <c r="F1887" s="10" t="s">
        <v>33</v>
      </c>
      <c r="G1887" s="10" t="s">
        <v>1073</v>
      </c>
      <c r="H1887" s="10" t="s">
        <v>36</v>
      </c>
    </row>
    <row r="1888" spans="1:8" x14ac:dyDescent="0.3">
      <c r="A1888" t="s">
        <v>1004</v>
      </c>
      <c r="B1888" s="2">
        <v>46266</v>
      </c>
      <c r="C1888" s="10">
        <v>30</v>
      </c>
      <c r="D1888" s="10">
        <v>0</v>
      </c>
      <c r="E1888" s="10" t="s">
        <v>33</v>
      </c>
      <c r="F1888" s="10" t="s">
        <v>33</v>
      </c>
      <c r="G1888" s="10" t="s">
        <v>1073</v>
      </c>
      <c r="H1888" s="10" t="s">
        <v>36</v>
      </c>
    </row>
    <row r="1889" spans="1:8" ht="28.8" x14ac:dyDescent="0.3">
      <c r="A1889" t="s">
        <v>202</v>
      </c>
      <c r="B1889" s="2">
        <v>46266</v>
      </c>
      <c r="C1889" s="10">
        <v>30</v>
      </c>
      <c r="D1889" s="10">
        <v>0</v>
      </c>
      <c r="E1889" s="10" t="s">
        <v>33</v>
      </c>
      <c r="F1889" s="10" t="s">
        <v>33</v>
      </c>
      <c r="G1889" s="10" t="s">
        <v>1111</v>
      </c>
      <c r="H1889" s="10" t="s">
        <v>36</v>
      </c>
    </row>
    <row r="1890" spans="1:8" x14ac:dyDescent="0.3">
      <c r="A1890" t="s">
        <v>206</v>
      </c>
      <c r="B1890" s="2">
        <v>46266</v>
      </c>
      <c r="C1890" s="10" t="s">
        <v>36</v>
      </c>
      <c r="D1890" s="10" t="s">
        <v>36</v>
      </c>
      <c r="E1890" s="10" t="s">
        <v>36</v>
      </c>
      <c r="F1890" s="10" t="s">
        <v>36</v>
      </c>
      <c r="G1890" s="10" t="s">
        <v>36</v>
      </c>
      <c r="H1890" s="10" t="s">
        <v>36</v>
      </c>
    </row>
  </sheetData>
  <pageMargins left="0.75" right="0.75" top="1" bottom="1" header="0.5" footer="0.5"/>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54"/>
  <sheetViews>
    <sheetView workbookViewId="0"/>
  </sheetViews>
  <sheetFormatPr defaultRowHeight="14.4" x14ac:dyDescent="0.3"/>
  <sheetData>
    <row r="1" spans="1:1" x14ac:dyDescent="0.3">
      <c r="A1" t="s">
        <v>800</v>
      </c>
    </row>
    <row r="2" spans="1:1" x14ac:dyDescent="0.3">
      <c r="A2" t="s">
        <v>801</v>
      </c>
    </row>
    <row r="3" spans="1:1" x14ac:dyDescent="0.3">
      <c r="A3" t="s">
        <v>802</v>
      </c>
    </row>
    <row r="4" spans="1:1" x14ac:dyDescent="0.3">
      <c r="A4" t="s">
        <v>803</v>
      </c>
    </row>
    <row r="5" spans="1:1" x14ac:dyDescent="0.3">
      <c r="A5" t="s">
        <v>804</v>
      </c>
    </row>
    <row r="6" spans="1:1" x14ac:dyDescent="0.3">
      <c r="A6" t="s">
        <v>805</v>
      </c>
    </row>
    <row r="7" spans="1:1" x14ac:dyDescent="0.3">
      <c r="A7" t="s">
        <v>806</v>
      </c>
    </row>
    <row r="8" spans="1:1" x14ac:dyDescent="0.3">
      <c r="A8" t="s">
        <v>807</v>
      </c>
    </row>
    <row r="9" spans="1:1" x14ac:dyDescent="0.3">
      <c r="A9" t="s">
        <v>808</v>
      </c>
    </row>
    <row r="10" spans="1:1" x14ac:dyDescent="0.3">
      <c r="A10" t="s">
        <v>809</v>
      </c>
    </row>
    <row r="11" spans="1:1" x14ac:dyDescent="0.3">
      <c r="A11" t="s">
        <v>810</v>
      </c>
    </row>
    <row r="12" spans="1:1" x14ac:dyDescent="0.3">
      <c r="A12" t="s">
        <v>811</v>
      </c>
    </row>
    <row r="13" spans="1:1" x14ac:dyDescent="0.3">
      <c r="A13" t="s">
        <v>812</v>
      </c>
    </row>
    <row r="14" spans="1:1" x14ac:dyDescent="0.3">
      <c r="A14" t="s">
        <v>813</v>
      </c>
    </row>
    <row r="15" spans="1:1" x14ac:dyDescent="0.3">
      <c r="A15" t="s">
        <v>814</v>
      </c>
    </row>
    <row r="16" spans="1:1" x14ac:dyDescent="0.3">
      <c r="A16" t="s">
        <v>815</v>
      </c>
    </row>
    <row r="17" spans="1:1" x14ac:dyDescent="0.3">
      <c r="A17" t="s">
        <v>816</v>
      </c>
    </row>
    <row r="18" spans="1:1" x14ac:dyDescent="0.3">
      <c r="A18" t="s">
        <v>817</v>
      </c>
    </row>
    <row r="19" spans="1:1" x14ac:dyDescent="0.3">
      <c r="A19" t="s">
        <v>818</v>
      </c>
    </row>
    <row r="20" spans="1:1" x14ac:dyDescent="0.3">
      <c r="A20" t="s">
        <v>819</v>
      </c>
    </row>
    <row r="21" spans="1:1" x14ac:dyDescent="0.3">
      <c r="A21" t="s">
        <v>820</v>
      </c>
    </row>
    <row r="22" spans="1:1" x14ac:dyDescent="0.3">
      <c r="A22" t="s">
        <v>821</v>
      </c>
    </row>
    <row r="23" spans="1:1" x14ac:dyDescent="0.3">
      <c r="A23" t="s">
        <v>822</v>
      </c>
    </row>
    <row r="24" spans="1:1" x14ac:dyDescent="0.3">
      <c r="A24" t="s">
        <v>823</v>
      </c>
    </row>
    <row r="25" spans="1:1" x14ac:dyDescent="0.3">
      <c r="A25" t="s">
        <v>824</v>
      </c>
    </row>
    <row r="26" spans="1:1" x14ac:dyDescent="0.3">
      <c r="A26" t="s">
        <v>825</v>
      </c>
    </row>
    <row r="27" spans="1:1" x14ac:dyDescent="0.3">
      <c r="A27" t="s">
        <v>826</v>
      </c>
    </row>
    <row r="28" spans="1:1" x14ac:dyDescent="0.3">
      <c r="A28" t="s">
        <v>827</v>
      </c>
    </row>
    <row r="29" spans="1:1" x14ac:dyDescent="0.3">
      <c r="A29" t="s">
        <v>828</v>
      </c>
    </row>
    <row r="30" spans="1:1" x14ac:dyDescent="0.3">
      <c r="A30" t="s">
        <v>829</v>
      </c>
    </row>
    <row r="31" spans="1:1" x14ac:dyDescent="0.3">
      <c r="A31" t="s">
        <v>830</v>
      </c>
    </row>
    <row r="32" spans="1:1" x14ac:dyDescent="0.3">
      <c r="A32" t="s">
        <v>831</v>
      </c>
    </row>
    <row r="33" spans="1:1" x14ac:dyDescent="0.3">
      <c r="A33" t="s">
        <v>832</v>
      </c>
    </row>
    <row r="34" spans="1:1" x14ac:dyDescent="0.3">
      <c r="A34" t="s">
        <v>833</v>
      </c>
    </row>
    <row r="35" spans="1:1" x14ac:dyDescent="0.3">
      <c r="A35" t="s">
        <v>834</v>
      </c>
    </row>
    <row r="36" spans="1:1" x14ac:dyDescent="0.3">
      <c r="A36" t="s">
        <v>835</v>
      </c>
    </row>
    <row r="37" spans="1:1" x14ac:dyDescent="0.3">
      <c r="A37" t="s">
        <v>836</v>
      </c>
    </row>
    <row r="38" spans="1:1" x14ac:dyDescent="0.3">
      <c r="A38" t="s">
        <v>837</v>
      </c>
    </row>
    <row r="39" spans="1:1" x14ac:dyDescent="0.3">
      <c r="A39" t="s">
        <v>838</v>
      </c>
    </row>
    <row r="40" spans="1:1" x14ac:dyDescent="0.3">
      <c r="A40" t="s">
        <v>839</v>
      </c>
    </row>
    <row r="41" spans="1:1" x14ac:dyDescent="0.3">
      <c r="A41" t="s">
        <v>840</v>
      </c>
    </row>
    <row r="42" spans="1:1" x14ac:dyDescent="0.3">
      <c r="A42" t="s">
        <v>841</v>
      </c>
    </row>
    <row r="43" spans="1:1" x14ac:dyDescent="0.3">
      <c r="A43" t="s">
        <v>842</v>
      </c>
    </row>
    <row r="44" spans="1:1" x14ac:dyDescent="0.3">
      <c r="A44" t="s">
        <v>843</v>
      </c>
    </row>
    <row r="45" spans="1:1" x14ac:dyDescent="0.3">
      <c r="A45" t="s">
        <v>844</v>
      </c>
    </row>
    <row r="46" spans="1:1" x14ac:dyDescent="0.3">
      <c r="A46" t="s">
        <v>23</v>
      </c>
    </row>
    <row r="47" spans="1:1" x14ac:dyDescent="0.3">
      <c r="A47" t="s">
        <v>845</v>
      </c>
    </row>
    <row r="48" spans="1:1" x14ac:dyDescent="0.3">
      <c r="A48" t="s">
        <v>846</v>
      </c>
    </row>
    <row r="49" spans="1:1" x14ac:dyDescent="0.3">
      <c r="A49" t="s">
        <v>847</v>
      </c>
    </row>
    <row r="50" spans="1:1" x14ac:dyDescent="0.3">
      <c r="A50" t="s">
        <v>848</v>
      </c>
    </row>
    <row r="51" spans="1:1" x14ac:dyDescent="0.3">
      <c r="A51" t="s">
        <v>849</v>
      </c>
    </row>
    <row r="52" spans="1:1" x14ac:dyDescent="0.3">
      <c r="A52" t="s">
        <v>850</v>
      </c>
    </row>
    <row r="53" spans="1:1" x14ac:dyDescent="0.3">
      <c r="A53" t="s">
        <v>245</v>
      </c>
    </row>
    <row r="54" spans="1:1" x14ac:dyDescent="0.3">
      <c r="A54" t="s">
        <v>851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AA89C7AA1C434699DD452F24C65F19" ma:contentTypeVersion="19" ma:contentTypeDescription="Create a new document." ma:contentTypeScope="" ma:versionID="40a245793d4cb22db8b02008dfbd96a7">
  <xsd:schema xmlns:xsd="http://www.w3.org/2001/XMLSchema" xmlns:xs="http://www.w3.org/2001/XMLSchema" xmlns:p="http://schemas.microsoft.com/office/2006/metadata/properties" xmlns:ns2="081f4cea-e4a8-4ef1-8569-acd66926ff75" xmlns:ns3="a90240b5-4e38-4506-935e-d3ed7ed70542" targetNamespace="http://schemas.microsoft.com/office/2006/metadata/properties" ma:root="true" ma:fieldsID="41dc93792ca85768c22f6f1b44e8071c" ns2:_="" ns3:_="">
    <xsd:import namespace="081f4cea-e4a8-4ef1-8569-acd66926ff75"/>
    <xsd:import namespace="a90240b5-4e38-4506-935e-d3ed7ed705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f4cea-e4a8-4ef1-8569-acd66926f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43aa3c2-a8d1-4a0c-8743-2084a0a69bf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0240b5-4e38-4506-935e-d3ed7ed7054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1ae5a1e-713c-4539-b298-32b1b8471072}" ma:internalName="TaxCatchAll" ma:showField="CatchAllData" ma:web="a90240b5-4e38-4506-935e-d3ed7ed705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81f4cea-e4a8-4ef1-8569-acd66926ff75">
      <Terms xmlns="http://schemas.microsoft.com/office/infopath/2007/PartnerControls"/>
    </lcf76f155ced4ddcb4097134ff3c332f>
    <TaxCatchAll xmlns="a90240b5-4e38-4506-935e-d3ed7ed70542" xsi:nil="true"/>
  </documentManagement>
</p:properties>
</file>

<file path=customXml/itemProps1.xml><?xml version="1.0" encoding="utf-8"?>
<ds:datastoreItem xmlns:ds="http://schemas.openxmlformats.org/officeDocument/2006/customXml" ds:itemID="{3E2F7CE6-75F3-4A2D-8E21-B7313B54D007}">
  <ds:schemaRefs>
    <ds:schemaRef ds:uri="http://schemas.microsoft.com/sharepoint/v3/contenttype/forms"/>
  </ds:schemaRefs>
</ds:datastoreItem>
</file>

<file path=customXml/itemProps2.xml><?xml version="1.0" encoding="utf-8"?>
<ds:datastoreItem xmlns:ds="http://schemas.openxmlformats.org/officeDocument/2006/customXml" ds:itemID="{881960BC-C6EC-4148-ABF7-51EC129FD1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1f4cea-e4a8-4ef1-8569-acd66926ff75"/>
    <ds:schemaRef ds:uri="a90240b5-4e38-4506-935e-d3ed7ed705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14ABDB-E8F2-4B5F-8176-522B74CB7690}">
  <ds:schemaRefs>
    <ds:schemaRef ds:uri="http://schemas.microsoft.com/office/2006/metadata/properties"/>
    <ds:schemaRef ds:uri="http://schemas.microsoft.com/office/infopath/2007/PartnerControls"/>
    <ds:schemaRef ds:uri="081f4cea-e4a8-4ef1-8569-acd66926ff75"/>
    <ds:schemaRef ds:uri="a90240b5-4e38-4506-935e-d3ed7ed705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site_tech_info</vt:lpstr>
      <vt:lpstr>Simulated Production</vt:lpstr>
      <vt:lpstr>OG</vt:lpstr>
      <vt:lpstr>measured</vt:lpstr>
      <vt:lpstr>Expected Production</vt:lpstr>
      <vt:lpstr>expected_production</vt:lpstr>
      <vt:lpstr>performance</vt:lpstr>
      <vt:lpstr>Comments</vt:lpstr>
      <vt:lpstr>CountryList</vt:lpstr>
      <vt:lpstr>AfricaCountries</vt:lpstr>
      <vt:lpstr>DegradationRate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Mathakgale Mohale</dc:creator>
  <cp:keywords/>
  <dc:description/>
  <cp:lastModifiedBy>Mathakgale Mohale</cp:lastModifiedBy>
  <cp:revision>0</cp:revision>
  <dcterms:created xsi:type="dcterms:W3CDTF">2015-06-05T18:17:20Z</dcterms:created>
  <dcterms:modified xsi:type="dcterms:W3CDTF">2026-10-27T09:00:33Z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0x010100D9AA89C7AA1C434699DD452F24C65F19</vt:lpwstr>
  </property>
  <property fmtid="{D5CDD505-2E9C-101B-9397-08002B2CF9AE}" pid="3" name="MediaServiceImageTags">
    <vt:lpwstr/>
  </property>
</Properties>
</file>