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Performance Report - Rev13/"/>
    </mc:Choice>
  </mc:AlternateContent>
  <xr:revisionPtr revIDLastSave="3985" documentId="13_ncr:1_{8CCFD1E3-719E-4C10-96BD-950107C648A6}" xr6:coauthVersionLast="47" xr6:coauthVersionMax="47" xr10:uidLastSave="{4098F80E-4E6F-47ED-8823-C17AE3669096}"/>
  <bookViews>
    <workbookView xWindow="30" yWindow="-16320" windowWidth="29040" windowHeight="15720" tabRatio="746" activeTab="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8" i="6" l="1"/>
  <c r="I65" i="4"/>
  <c r="I64" i="4"/>
  <c r="I63" i="4"/>
  <c r="W83" i="1"/>
  <c r="C2779" i="9" l="1" a="1"/>
  <c r="C2779" i="9" s="1"/>
  <c r="C2778" i="9" a="1"/>
  <c r="C2778" i="9" s="1"/>
  <c r="C2777" i="9" a="1"/>
  <c r="C2777" i="9" s="1"/>
  <c r="C2776" i="9" a="1"/>
  <c r="C2776" i="9" s="1"/>
  <c r="C2775" i="9" a="1"/>
  <c r="C2775" i="9" s="1"/>
  <c r="C2774" i="9" a="1"/>
  <c r="C2774"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C2751" i="7"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4" i="6"/>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D2679" i="9" s="1" a="1"/>
  <c r="D2679" i="9" s="1"/>
  <c r="E2679" i="9" s="1"/>
  <c r="F2679" i="9"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67" i="9" a="1"/>
  <c r="D2667" i="9" s="1"/>
  <c r="E2667" i="9" s="1"/>
  <c r="F2667"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716" i="9" l="1"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<sst xmlns="http://schemas.openxmlformats.org/spreadsheetml/2006/main" count="15227" uniqueCount="1095">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</sst>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0.0%"/>
    <numFmt numFmtId="165" formatCode="_(\R* #,##0.00_);_(\R* \(#,##0.00\);_(\R* \-??_);_(@_)"/>
    <numFmt numFmtId="166" formatCode="dd/mm/yyyy"/>
    <numFmt numFmtId="167" formatCode="0.0"/>
    <numFmt numFmtId="168" formatCode="_(* #,##0_);_(* \(#,##0\);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6">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Border="1" applyAlignment="1">
      <alignment vertical="top" wrapText="1"/>
    </xf>
    <xf numFmtId="0" fontId="0" fillId="0" borderId="2" xfId="0" applyBorder="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8"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B3" activePane="bottomRight" state="frozen"/>
      <selection pane="topRight" activeCell="B1" sqref="B1"/>
      <selection pane="bottomLeft" activeCell="A2" sqref="A2"/>
      <selection pane="bottomRight" activeCell="B13" sqref="B13"/>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3.5838466803559208</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2.945927446954141</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1.6810403832991101</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0.3613963039014374</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3.7344284736481863</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2.7378507871321012</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2.7378507871321012</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1.8124572210814511</v>
      </c>
      <c r="X9" t="s">
        <v>1000</v>
      </c>
      <c r="Y9" t="s">
        <v>1008</v>
      </c>
      <c r="Z9" t="s">
        <v>1092</v>
      </c>
    </row>
    <row r="10" spans="1:26" ht="14.25" customHeight="1" x14ac:dyDescent="0.3">
      <c r="A10" s="1" t="s">
        <v>66</v>
      </c>
      <c r="B10" s="1">
        <v>15000</v>
      </c>
      <c r="C10" s="1" t="s">
        <v>36</v>
      </c>
      <c r="D10" s="13"/>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2.9815195071868583</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2.2532511978097194</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0.39151266255989048</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2.193018480492813</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4.3997262149212863</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4.4599589322381927</v>
      </c>
      <c r="X17" t="s">
        <v>1000</v>
      </c>
      <c r="Y17" t="s">
        <v>1000</v>
      </c>
      <c r="Z17" t="s">
        <v>1093</v>
      </c>
    </row>
    <row r="18" spans="1:26" ht="14.25" customHeight="1" x14ac:dyDescent="0.3">
      <c r="A18" s="1" t="s">
        <v>93</v>
      </c>
      <c r="B18" s="1">
        <v>65000</v>
      </c>
      <c r="C18" s="1" t="s">
        <v>22</v>
      </c>
      <c r="D18" s="1">
        <v>0</v>
      </c>
      <c r="E18" s="1" t="s">
        <v>36</v>
      </c>
      <c r="F18" s="1" t="s">
        <v>36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2.0889801505817931</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2.2231348391512662</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0.30116358658453113</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0.87885010266940455</v>
      </c>
      <c r="X21" t="s">
        <v>1000</v>
      </c>
      <c r="Y21" t="s">
        <v>1000</v>
      </c>
      <c r="Z21" t="s">
        <v>1092</v>
      </c>
    </row>
    <row r="22" spans="1:26" ht="14.25" customHeight="1" x14ac:dyDescent="0.3">
      <c r="A22" s="1" t="s">
        <v>98</v>
      </c>
      <c r="B22" s="1">
        <v>180000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4.9089664613278572</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4.9089664613278572</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3.2826830937713893</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3.2854209445585214</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0.50924024640657084</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2.3682409308692676</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7.0417522245037647</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3.3292265571526354</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2.21492128678987</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0.92539356605065026</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0.92539356605065026</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D34">
        <v>0</v>
      </c>
      <c r="E34" s="1" t="s">
        <v>36</v>
      </c>
      <c r="F34" s="1" t="s">
        <v>36</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3.3456536618754278</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3.8138261464750172</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4.3258042436687196</v>
      </c>
      <c r="X36" t="s">
        <v>1000</v>
      </c>
      <c r="Y36" t="s">
        <v>1000</v>
      </c>
      <c r="Z36" t="s">
        <v>1092</v>
      </c>
    </row>
    <row r="37" spans="1:26" ht="14.25" customHeight="1" x14ac:dyDescent="0.3">
      <c r="A37" s="1" t="s">
        <v>127</v>
      </c>
      <c r="B37" s="1">
        <v>114000</v>
      </c>
      <c r="C37" s="1" t="s">
        <v>22</v>
      </c>
      <c r="D37" s="1">
        <v>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2.3901437371663246</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1.5304585900068446</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2.8035592060232717</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2.5215605749486651</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2.9842573579739904</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0.95277207392197127</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0.95277207392197127</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3.0061601642710474</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3.2060232717316905</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4.3367556468172488</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5.7796030116358654</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3.2306639288158796</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4.4052019164955514</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3.3237508555783708</v>
      </c>
      <c r="X50" t="s">
        <v>1000</v>
      </c>
      <c r="Y50" t="s">
        <v>1000</v>
      </c>
      <c r="Z50" t="s">
        <v>1092</v>
      </c>
    </row>
    <row r="51" spans="1:26" ht="14.25" customHeight="1" x14ac:dyDescent="0.3">
      <c r="A51" t="s">
        <v>244</v>
      </c>
      <c r="B51">
        <v>127440</v>
      </c>
      <c r="C51">
        <v>100</v>
      </c>
      <c r="D51">
        <v>246</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0.432580424366872</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3.1813826146475015</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3.1786447638603694</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3.1786447638603694</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5.7850787132101305</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4.1122518822724166</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4.1122518822724166</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1.6591375770020533</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0.55852156057494862</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1.8672142368240932</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1.9548254620123204</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5.7494866529774126E-2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2.0287474332648872</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2.0041067761806981</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0.76659822039698833</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0.14236824093086928</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1.4346338124572211</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4.7638603696098567</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1.0485968514715949</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1.0485968514715949</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1.0485968514715949</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2.8062970568104038</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3.2963723477070501</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4.5311430527036274</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5.2594113620807663</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4.8405201916495555</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1.1252566735112937</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0.23819301848049282</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3.3210130047912387</v>
      </c>
      <c r="X81" t="s">
        <v>1000</v>
      </c>
      <c r="Y81" t="s">
        <v>1000</v>
      </c>
      <c r="Z81" t="s">
        <v>1092</v>
      </c>
    </row>
    <row r="82" spans="1:26" ht="14.25" customHeight="1" x14ac:dyDescent="0.3">
      <c r="A82" s="1" t="s">
        <v>206</v>
      </c>
      <c r="B82" s="1">
        <v>27000</v>
      </c>
      <c r="C82" s="1">
        <f>1*33</f>
        <v>33</v>
      </c>
      <c r="D82" s="1" t="s">
        <v>22</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2.967830253251198</v>
      </c>
      <c r="X82" t="s">
        <v>1000</v>
      </c>
      <c r="Y82" t="s">
        <v>1000</v>
      </c>
      <c r="Z82" t="s">
        <v>1092</v>
      </c>
    </row>
    <row r="83" spans="1:26" ht="14.25" customHeight="1" x14ac:dyDescent="0.3">
      <c r="A83" t="s">
        <v>1068</v>
      </c>
      <c r="B83">
        <v>1113000</v>
      </c>
      <c r="C83">
        <v>785</v>
      </c>
      <c r="D83">
        <v>480</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54" activePane="bottomRight" state="frozen"/>
      <selection pane="topRight" activeCell="B1" sqref="B1"/>
      <selection pane="bottomLeft" activeCell="A2" sqref="A2"/>
      <selection pane="bottomRight" activeCell="I64" sqref="I64"/>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7916</f>
        <v>7916</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24908</f>
        <v>24908</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8155.7</f>
        <v>8155.7</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Production'!$B$2:$B$80,MATCH(TRIM($A2),INDEX(TRIM('Expected Production'!$A$2:$A$80),0),0)),"Not found")</f>
        <v>0.9</v>
      </c>
      <c r="D2" s="29" cm="1">
        <f t="array" aca="1" ref="D2" ca="1">_xlfn.IFNA(_xlfn.XLOOKUP(TRIM(A2),TRIM(site_tech_info!$A$2:$A$79),site_tech_info!$W$2:$W$79),"")</f>
        <v>1.6810403832991101</v>
      </c>
      <c r="E2" s="30" cm="1">
        <f t="array" ref="E2">IFERROR(SUM(INDEX('Simulated Production'!$B$2:$M$80,MATCH(TRIM($A2),INDEX(TRIM('Simulated Production'!$A$2:$A$80),0),0),0)),"Not found")</f>
        <v>63342</v>
      </c>
      <c r="F2" s="31">
        <f ca="1">(Table2[[#This Row],[As-Built kWh]]*Table2[[#This Row],[Expected Utilisation%]])*(1-0.007)^(Table2[[#This Row],[Age]])</f>
        <v>56338.573305787315</v>
      </c>
      <c r="G2" s="31">
        <f ca="1">(4681+4732*(9/31)+4546*(10/31)+4620*(3/30)+4991+4762)*(1-0.007)^(Table2[[#This Row],[Age]])</f>
        <v>17528.048357209071</v>
      </c>
      <c r="H2" s="30">
        <f ca="1">F2-G2</f>
        <v>38810.524948578241</v>
      </c>
      <c r="I2" s="30" cm="1">
        <f t="array" ref="I2">SUMPRODUCT((TRIM(measured[Site Name])=TRIM($A2))*(measured[Date]&gt;=DATE(2025,7,1))*(measured[Date]&lt;=DATE(2026,6,30))*measured[Measured Value (kWh)])</f>
        <v>34917.199999999997</v>
      </c>
      <c r="J2" s="30">
        <f ca="1">I2-H2</f>
        <v>-3893.3249485782435</v>
      </c>
      <c r="K2" s="30">
        <f ca="1">(Table2[[#This Row],[Actual Generation (kWh)]]/Table2[[#This Row],[Correct kWh]])*100</f>
        <v>89.968378542324075</v>
      </c>
      <c r="L2" s="27" t="s">
        <v>983</v>
      </c>
    </row>
    <row r="3" spans="1:12" x14ac:dyDescent="0.3">
      <c r="A3" s="26" t="s">
        <v>81</v>
      </c>
      <c r="B3" s="27" t="s">
        <v>875</v>
      </c>
      <c r="C3" s="28" cm="1">
        <f t="array" ref="C3">IFERROR(INDEX('Expected Production'!$B$2:$B$80,MATCH(TRIM($A3),INDEX(TRIM('Expected Production'!$A$2:$A$80),0),0)),"Not found")</f>
        <v>0.9</v>
      </c>
      <c r="D3" s="29" cm="1">
        <f t="array" aca="1" ref="D3" ca="1">_xlfn.IFNA(_xlfn.XLOOKUP(TRIM(A3),TRIM(site_tech_info!$A$2:$A$79),site_tech_info!$W$2:$W$79),"")</f>
        <v>2.193018480492813</v>
      </c>
      <c r="E3" s="30" cm="1">
        <f t="array" ref="E3">IFERROR(SUM(INDEX('Simulated Production'!$B$2:$M$80,MATCH(TRIM($A3),INDEX(TRIM('Simulated Production'!$A$2:$A$80),0),0),0)),"Not found")</f>
        <v>94580</v>
      </c>
      <c r="F3" s="31">
        <f ca="1">(Table2[[#This Row],[As-Built kWh]]*Table2[[#This Row],[Expected Utilisation%]])*(1-0.007)^(Table2[[#This Row],[Age]])</f>
        <v>83820.734994472004</v>
      </c>
      <c r="G3" s="31">
        <f ca="1">(8100*(1/2)+7806*(1/2))*(1-0.007)^(Table2[[#This Row],[Age]])</f>
        <v>7831.4220226385169</v>
      </c>
      <c r="H3" s="30">
        <f t="shared" ref="H3:H24" ca="1" si="0">F3-G3</f>
        <v>75989.312971833482</v>
      </c>
      <c r="I3" s="30" cm="1">
        <f t="array" ref="I3">SUMPRODUCT((TRIM(measured[Site Name])=TRIM($A3))*(measured[Date]&gt;=DATE(2025,7,1))*(measured[Date]&lt;=DATE(2026,6,30))*measured[Measured Value (kWh)])</f>
        <v>76046.755900000004</v>
      </c>
      <c r="J3" s="30">
        <f t="shared" ref="J3:J23" ca="1" si="1">I3-H3</f>
        <v>57.442928166521597</v>
      </c>
      <c r="K3" s="30">
        <f ca="1">(Table2[[#This Row],[Actual Generation (kWh)]]/Table2[[#This Row],[Correct kWh]])*100</f>
        <v>100.0755934300759</v>
      </c>
      <c r="L3" s="27" t="s">
        <v>980</v>
      </c>
    </row>
    <row r="4" spans="1:12" x14ac:dyDescent="0.3">
      <c r="A4" s="26" t="s">
        <v>95</v>
      </c>
      <c r="B4" s="27" t="s">
        <v>875</v>
      </c>
      <c r="C4" s="28" cm="1">
        <f t="array" ref="C4">IFERROR(INDEX('Expected Production'!$B$2:$B$80,MATCH(TRIM($A4),INDEX(TRIM('Expected Production'!$A$2:$A$80),0),0)),"Not found")</f>
        <v>0.8</v>
      </c>
      <c r="D4" s="29" cm="1">
        <f t="array" aca="1" ref="D4" ca="1">_xlfn.IFNA(_xlfn.XLOOKUP(TRIM(A4),TRIM(site_tech_info!$A$2:$A$79),site_tech_info!$W$2:$W$79),"")</f>
        <v>2.2231348391512662</v>
      </c>
      <c r="E4" s="30" cm="1">
        <f t="array" ref="E4">IFERROR(SUM(INDEX('Simulated Production'!$B$2:$M$80,MATCH(TRIM($A4),INDEX(TRIM('Simulated Production'!$A$2:$A$80),0),0),0)),"Not found")</f>
        <v>428379</v>
      </c>
      <c r="F4" s="31">
        <f ca="1">(Table2[[#This Row],[As-Built kWh]]*Table2[[#This Row],[Expected Utilisation%]])*(1-0.007)^(Table2[[#This Row],[Age]])</f>
        <v>337392.89110419026</v>
      </c>
      <c r="G4" s="31">
        <f ca="1">(23255*(7/30)+35066*(2/30))*(1-0.007)^(Table2[[#This Row],[Age]])</f>
        <v>7643.5955872131408</v>
      </c>
      <c r="H4" s="30">
        <f t="shared" ca="1" si="0"/>
        <v>329749.29551697714</v>
      </c>
      <c r="I4" s="30" cm="1">
        <f t="array" ref="I4">SUMPRODUCT((TRIM(measured[Site Name])=TRIM($A4))*(measured[Date]&gt;=DATE(2025,7,1))*(measured[Date]&lt;=DATE(2026,6,30))*measured[Measured Value (kWh)])</f>
        <v>166060.42000000001</v>
      </c>
      <c r="J4" s="30">
        <f t="shared" ca="1" si="1"/>
        <v>-163688.87551697713</v>
      </c>
      <c r="K4" s="30">
        <f ca="1">(Table2[[#This Row],[Actual Generation (kWh)]]/Table2[[#This Row],[Correct kWh]])*100</f>
        <v>50.359598112151346</v>
      </c>
      <c r="L4" s="27" t="s">
        <v>981</v>
      </c>
    </row>
    <row r="5" spans="1:12" x14ac:dyDescent="0.3">
      <c r="A5" s="35" t="s">
        <v>104</v>
      </c>
      <c r="B5" s="36" t="s">
        <v>875</v>
      </c>
      <c r="C5" s="37" cm="1">
        <f t="array" ref="C5">IFERROR(INDEX('Expected Production'!$B$2:$B$80,MATCH(TRIM($A5),INDEX(TRIM('Expected Production'!$A$2:$A$80),0),0)),"Not found")</f>
        <v>0.9</v>
      </c>
      <c r="D5" s="38" cm="1">
        <f t="array" aca="1" ref="D5" ca="1">_xlfn.IFNA(_xlfn.XLOOKUP(TRIM(A5),TRIM(site_tech_info!$A$2:$A$79),site_tech_info!$W$2:$W$79),"")</f>
        <v>3.2826830937713893</v>
      </c>
      <c r="E5" s="39" cm="1">
        <f t="array" ref="E5">IFERROR(SUM(INDEX('Simulated Production'!$B$2:$M$80,MATCH(TRIM($A5),INDEX(TRIM('Simulated Production'!$A$2:$A$80),0),0),0)),"Not found")</f>
        <v>45617</v>
      </c>
      <c r="F5" s="40">
        <f ca="1">(Table2[[#This Row],[As-Built kWh]]*Table2[[#This Row],[Expected Utilisation%]])*(1-0.007)^(Table2[[#This Row],[Age]])</f>
        <v>40119.413875844592</v>
      </c>
      <c r="G5" s="40">
        <f ca="1">(4681+3499*(9/31)+2081*(10/31)+4317*(3/30)+4991*(18/31))*(1-0.007)^(Table2[[#This Row],[Age]])</f>
        <v>9476.7598006187454</v>
      </c>
      <c r="H5" s="39">
        <f t="shared" ca="1" si="0"/>
        <v>30642.654075225844</v>
      </c>
      <c r="I5" s="39" cm="1">
        <f t="array" ref="I5">SUMPRODUCT((TRIM(measured[Site Name])=TRIM($A5))*(measured[Date]&gt;=DATE(2025,7,1))*(measured[Date]&lt;=DATE(2026,6,30))*measured[Measured Value (kWh)])</f>
        <v>24341.599999999999</v>
      </c>
      <c r="J5" s="39">
        <f t="shared" ca="1" si="1"/>
        <v>-6301.0540752258457</v>
      </c>
      <c r="K5" s="39">
        <f ca="1">(Table2[[#This Row],[Actual Generation (kWh)]]/Table2[[#This Row],[Correct kWh]])*100</f>
        <v>79.436983298649182</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3.2854209445585214</v>
      </c>
      <c r="E6" s="14" cm="1">
        <f t="array" ref="E6">IFERROR(SUM(INDEX('Simulated Production'!$B$2:$M$80,MATCH(TRIM($A6),INDEX(TRIM('Simulated Production'!$A$2:$A$80),0),0),0)),"Not found")</f>
        <v>40942</v>
      </c>
      <c r="F6" s="5">
        <f ca="1">(Table2[[#This Row],[As-Built kWh]]*Table2[[#This Row],[Expected Utilisation%]])*(1-0.007)^(Table2[[#This Row],[Age]])</f>
        <v>36007.134461931397</v>
      </c>
      <c r="G6" s="5">
        <f ca="1">(2974*(24/31)+3147*(2/30))*(1-0.007)^(Table2[[#This Row],[Age]])</f>
        <v>2454.9357526910826</v>
      </c>
      <c r="H6" s="14">
        <f t="shared" ca="1" si="0"/>
        <v>33552.198709240314</v>
      </c>
      <c r="I6" s="14" cm="1">
        <f t="array" ref="I6">SUMPRODUCT((TRIM(measured[Site Name])=TRIM($A6))*(measured[Date]&gt;=DATE(2025,7,1))*(measured[Date]&lt;=DATE(2026,6,30))*measured[Measured Value (kWh)])</f>
        <v>32105.499999999996</v>
      </c>
      <c r="J6" s="14">
        <f t="shared" ca="1" si="1"/>
        <v>-1446.6987092403178</v>
      </c>
      <c r="K6" s="14">
        <f ca="1">(Table2[[#This Row],[Actual Generation (kWh)]]/Table2[[#This Row],[Correct kWh]])*100</f>
        <v>95.688214886370787</v>
      </c>
      <c r="L6" t="s">
        <v>880</v>
      </c>
    </row>
    <row r="7" spans="1:12" x14ac:dyDescent="0.3">
      <c r="A7" s="26" t="s">
        <v>114</v>
      </c>
      <c r="B7" s="27" t="s">
        <v>875</v>
      </c>
      <c r="C7" s="28" cm="1">
        <f t="array" ref="C7">IFERROR(INDEX('Expected Production'!$B$2:$B$80,MATCH(TRIM($A7),INDEX(TRIM('Expected Production'!$A$2:$A$80),0),0)),"Not found")</f>
        <v>0.85</v>
      </c>
      <c r="D7" s="29" cm="1">
        <f t="array" aca="1" ref="D7" ca="1">_xlfn.IFNA(_xlfn.XLOOKUP(TRIM(A7),TRIM(site_tech_info!$A$2:$A$79),site_tech_info!$W$2:$W$79),"")</f>
        <v>3.3292265571526354</v>
      </c>
      <c r="E7" s="30" cm="1">
        <f t="array" ref="E7">IFERROR(SUM(INDEX('Simulated Production'!$B$2:$M$80,MATCH(TRIM($A7),INDEX(TRIM('Simulated Production'!$A$2:$A$80),0),0),0)),"Not found")</f>
        <v>319608</v>
      </c>
      <c r="F7" s="31">
        <f ca="1">(Table2[[#This Row],[As-Built kWh]]*Table2[[#This Row],[Expected Utilisation%]])*(1-0.007)^(Table2[[#This Row],[Age]])</f>
        <v>265387.17057423695</v>
      </c>
      <c r="G7" s="31">
        <v>0</v>
      </c>
      <c r="H7" s="30">
        <f t="shared" ca="1" si="0"/>
        <v>265387.17057423695</v>
      </c>
      <c r="I7" s="30" cm="1">
        <f t="array" ref="I7">SUMPRODUCT((TRIM(measured[Site Name])=TRIM($A7))*(measured[Date]&gt;=DATE(2025,7,1))*(measured[Date]&lt;=DATE(2026,6,30))*measured[Measured Value (kWh)])</f>
        <v>254905.02</v>
      </c>
      <c r="J7" s="30">
        <f t="shared" ca="1" si="1"/>
        <v>-10482.150574236963</v>
      </c>
      <c r="K7" s="30">
        <f ca="1">(Table2[[#This Row],[Actual Generation (kWh)]]/Table2[[#This Row],[Correct kWh]])*100</f>
        <v>96.050242160705807</v>
      </c>
      <c r="L7" s="27" t="s">
        <v>984</v>
      </c>
    </row>
    <row r="8" spans="1:12" x14ac:dyDescent="0.3">
      <c r="A8" s="26" t="s">
        <v>117</v>
      </c>
      <c r="B8" s="27" t="s">
        <v>875</v>
      </c>
      <c r="C8" s="28" cm="1">
        <f t="array" ref="C8">IFERROR(INDEX('Expected Production'!$B$2:$B$80,MATCH(TRIM($A8),INDEX(TRIM('Expected Production'!$A$2:$A$80),0),0)),"Not found")</f>
        <v>0.9</v>
      </c>
      <c r="D8" s="29" cm="1">
        <f t="array" aca="1" ref="D8" ca="1">_xlfn.IFNA(_xlfn.XLOOKUP(TRIM(A8),TRIM(site_tech_info!$A$2:$A$79),site_tech_info!$W$2:$W$79),"")</f>
        <v>2.21492128678987</v>
      </c>
      <c r="E8" s="30" cm="1">
        <f t="array" ref="E8">IFERROR(SUM(INDEX('Simulated Production'!$B$2:$M$80,MATCH(TRIM($A8),INDEX(TRIM('Simulated Production'!$A$2:$A$80),0),0),0)),"Not found")</f>
        <v>355254</v>
      </c>
      <c r="F8" s="31">
        <f ca="1">(Table2[[#This Row],[As-Built kWh]]*Table2[[#This Row],[Expected Utilisation%]])*(1-0.007)^(Table2[[#This Row],[Age]])</f>
        <v>314792.45283402276</v>
      </c>
      <c r="G8" s="31">
        <f ca="1">((22354*(0.5)+26969*(7/31))*(1-0.007)^(Table2[[#This Row],[Age]]))*(1-0.007)^(Table2[[#This Row],[Age]])</f>
        <v>16737.741669075185</v>
      </c>
      <c r="H8" s="30">
        <f t="shared" ca="1" si="0"/>
        <v>298054.7111649476</v>
      </c>
      <c r="I8" s="30" cm="1">
        <f t="array" ref="I8">SUMPRODUCT((TRIM(measured[Site Name])=TRIM($A8))*(measured[Date]&gt;=DATE(2025,7,1))*(measured[Date]&lt;=DATE(2026,6,30))*measured[Measured Value (kWh)])</f>
        <v>271722.179</v>
      </c>
      <c r="J8" s="30">
        <f t="shared" ca="1" si="1"/>
        <v>-26332.532164947595</v>
      </c>
      <c r="K8" s="30">
        <f ca="1">(Table2[[#This Row],[Actual Generation (kWh)]]/Table2[[#This Row],[Correct kWh]])*100</f>
        <v>91.165201830889771</v>
      </c>
      <c r="L8" s="27" t="s">
        <v>988</v>
      </c>
    </row>
    <row r="9" spans="1:12" s="27" customFormat="1" x14ac:dyDescent="0.3">
      <c r="A9" s="26" t="s">
        <v>127</v>
      </c>
      <c r="B9" s="27" t="s">
        <v>875</v>
      </c>
      <c r="C9" s="28" cm="1">
        <f t="array" ref="C9">IFERROR(INDEX('Expected Production'!$B$2:$B$80,MATCH(TRIM($A9),INDEX(TRIM('Expected Production'!$A$2:$A$80),0),0)),"Not found")</f>
        <v>0.8</v>
      </c>
      <c r="D9" s="29" cm="1">
        <f t="array" aca="1" ref="D9" ca="1">_xlfn.IFNA(_xlfn.XLOOKUP(TRIM(A9),TRIM(site_tech_info!$A$2:$A$79),site_tech_info!$W$2:$W$79),"")</f>
        <v>2.3901437371663246</v>
      </c>
      <c r="E9" s="30" cm="1">
        <f t="array" ref="E9">IFERROR(SUM(INDEX('Simulated Production'!$B$2:$M$80,MATCH(TRIM($A9),INDEX(TRIM('Simulated Production'!$A$2:$A$80),0),0),0)),"Not found")</f>
        <v>200775</v>
      </c>
      <c r="F9" s="31">
        <f ca="1">(Table2[[#This Row],[As-Built kWh]]*Table2[[#This Row],[Expected Utilisation%]])*(1-0.007)^(Table2[[#This Row],[Age]])</f>
        <v>157945.72910784849</v>
      </c>
      <c r="G9" s="31">
        <f ca="1">('Expected Production'!I34*0.5+'Expected Production'!C34*0.8)*(1-0.007)^(Table2[[#This Row],[Age]])</f>
        <v>17824.365316433319</v>
      </c>
      <c r="H9" s="30">
        <f t="shared" ca="1" si="0"/>
        <v>140121.36379141518</v>
      </c>
      <c r="I9" s="30" cm="1">
        <f t="array" ref="I9">SUMPRODUCT((TRIM(measured[Site Name])=TRIM($A9))*(measured[Date]&gt;=DATE(2025,7,1))*(measured[Date]&lt;=DATE(2026,6,30))*measured[Measured Value (kWh)])</f>
        <v>147166.31</v>
      </c>
      <c r="J9" s="30">
        <f t="shared" ca="1" si="1"/>
        <v>7044.9462085848209</v>
      </c>
      <c r="K9" s="30">
        <f ca="1">(Table2[[#This Row],[Actual Generation (kWh)]]/Table2[[#This Row],[Correct kWh]])*100</f>
        <v>105.02774596104555</v>
      </c>
      <c r="L9" s="27" t="s">
        <v>989</v>
      </c>
    </row>
    <row r="10" spans="1:12" s="27" customFormat="1" x14ac:dyDescent="0.3">
      <c r="A10" s="26" t="s">
        <v>131</v>
      </c>
      <c r="B10" s="27" t="s">
        <v>875</v>
      </c>
      <c r="C10" s="28" cm="1">
        <f t="array" ref="C10">IFERROR(INDEX('Expected Production'!$B$2:$B$80,MATCH(TRIM($A10),INDEX(TRIM('Expected Production'!$A$2:$A$80),0),0)),"Not found")</f>
        <v>0.9</v>
      </c>
      <c r="D10" s="29" cm="1">
        <f t="array" aca="1" ref="D10" ca="1">_xlfn.IFNA(_xlfn.XLOOKUP(TRIM(A10),TRIM(site_tech_info!$A$2:$A$79),site_tech_info!$W$2:$W$79),"")</f>
        <v>2.8035592060232717</v>
      </c>
      <c r="E10" s="30" cm="1">
        <f t="array" ref="E10">IFERROR(SUM(INDEX('Simulated Production'!$B$2:$M$80,MATCH(TRIM($A10),INDEX(TRIM('Simulated Production'!$A$2:$A$80),0),0),0)),"Not found")</f>
        <v>73186</v>
      </c>
      <c r="F10" s="31">
        <f ca="1">(Table2[[#This Row],[As-Built kWh]]*Table2[[#This Row],[Expected Utilisation%]])*(1-0.007)^(Table2[[#This Row],[Age]])</f>
        <v>64582.902353801721</v>
      </c>
      <c r="G10" s="31">
        <v>0</v>
      </c>
      <c r="H10" s="30">
        <f t="shared" ca="1" si="0"/>
        <v>64582.902353801721</v>
      </c>
      <c r="I10" s="30" cm="1">
        <f t="array" ref="I10">SUMPRODUCT((TRIM(measured[Site Name])=TRIM($A10))*(measured[Date]&gt;=DATE(2025,7,1))*(measured[Date]&lt;=DATE(2026,6,30))*measured[Measured Value (kWh)])</f>
        <v>61467.39</v>
      </c>
      <c r="J10" s="30">
        <f t="shared" ca="1" si="1"/>
        <v>-3115.5123538017215</v>
      </c>
      <c r="K10" s="30">
        <f ca="1">(Table2[[#This Row],[Actual Generation (kWh)]]/Table2[[#This Row],[Correct kWh]])*100</f>
        <v>95.175948679521795</v>
      </c>
      <c r="L10" s="27"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3.0061601642710474</v>
      </c>
      <c r="E11" s="14" cm="1">
        <f t="array" ref="E11">IFERROR(SUM(INDEX('Simulated Production'!$B$2:$M$80,MATCH(TRIM($A11),INDEX(TRIM('Simulated Production'!$A$2:$A$80),0),0),0)),"Not found")</f>
        <v>66026</v>
      </c>
      <c r="F11" s="5">
        <f ca="1">(Table2[[#This Row],[As-Built kWh]]*Table2[[#This Row],[Expected Utilisation%]])*(1-0.007)^(Table2[[#This Row],[Age]])</f>
        <v>58181.705718834215</v>
      </c>
      <c r="G11" s="5">
        <v>0</v>
      </c>
      <c r="H11" s="14">
        <f t="shared" ca="1" si="0"/>
        <v>58181.705718834215</v>
      </c>
      <c r="I11" s="14" cm="1">
        <f t="array" ref="I11">SUMPRODUCT((TRIM(measured[Site Name])=TRIM($A11))*(measured[Date]&gt;=DATE(2025,7,1))*(measured[Date]&lt;=DATE(2026,6,30))*measured[Measured Value (kWh)])</f>
        <v>46668.700000000004</v>
      </c>
      <c r="J11" s="14">
        <f t="shared" ca="1" si="1"/>
        <v>-11513.005718834211</v>
      </c>
      <c r="K11" s="14">
        <f ca="1">(Table2[[#This Row],[Actual Generation (kWh)]]/Table2[[#This Row],[Correct kWh]])*100</f>
        <v>80.211983171357431</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4.3367556468172488</v>
      </c>
      <c r="E12" s="14" cm="1">
        <f t="array" ref="E12">IFERROR(SUM(INDEX('Simulated Production'!$B$2:$M$80,MATCH(TRIM($A12),INDEX(TRIM('Simulated Production'!$A$2:$A$80),0),0),0)),"Not found")</f>
        <v>125072.49999999997</v>
      </c>
      <c r="F12" s="5">
        <f ca="1">(Table2[[#This Row],[As-Built kWh]]*Table2[[#This Row],[Expected Utilisation%]])*(1-0.007)^(Table2[[#This Row],[Age]])</f>
        <v>90989.804176294419</v>
      </c>
      <c r="G12" s="5">
        <f ca="1">(5691*0.3*(1-0.007)^(Table2[[#This Row],[Age]]))*(1-0.007)^(Table2[[#This Row],[Age]])</f>
        <v>1606.3830490202279</v>
      </c>
      <c r="H12" s="14">
        <f t="shared" ca="1" si="0"/>
        <v>89383.421127274196</v>
      </c>
      <c r="I12" s="14" cm="1">
        <f t="array" ref="I12">SUMPRODUCT((TRIM(measured[Site Name])=TRIM($A12))*(measured[Date]&gt;=DATE(2025,7,1))*(measured[Date]&lt;=DATE(2026,6,30))*measured[Measured Value (kWh)])</f>
        <v>72438</v>
      </c>
      <c r="J12" s="14">
        <f t="shared" ca="1" si="1"/>
        <v>-16945.421127274196</v>
      </c>
      <c r="K12" s="14">
        <f ca="1">(Table2[[#This Row],[Actual Generation (kWh)]]/Table2[[#This Row],[Correct kWh]])*100</f>
        <v>81.041874529343204</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3.3237508555783708</v>
      </c>
      <c r="E13" s="14" cm="1">
        <f t="array" ref="E13">IFERROR(SUM(INDEX('Simulated Production'!$B$2:$M$80,MATCH(TRIM($A13),INDEX(TRIM('Simulated Production'!$A$2:$A$80),0),0),0)),"Not found")</f>
        <v>225937</v>
      </c>
      <c r="F13" s="5">
        <f ca="1">(Table2[[#This Row],[As-Built kWh]]*Table2[[#This Row],[Expected Utilisation%]])*(1-0.007)^(Table2[[#This Row],[Age]])</f>
        <v>187614.4764071996</v>
      </c>
      <c r="G13" s="5">
        <v>0</v>
      </c>
      <c r="H13" s="14">
        <f t="shared" ca="1" si="0"/>
        <v>187614.4764071996</v>
      </c>
      <c r="I13" s="14" cm="1">
        <f t="array" ref="I13">SUMPRODUCT((TRIM(measured[Site Name])=TRIM($A13))*(measured[Date]&gt;=DATE(2025,7,1))*(measured[Date]&lt;=DATE(2026,6,30))*measured[Measured Value (kWh)])</f>
        <v>176720.45</v>
      </c>
      <c r="J13" s="14">
        <f t="shared" ca="1" si="1"/>
        <v>-10894.026407199592</v>
      </c>
      <c r="K13" s="14">
        <f ca="1">(Table2[[#This Row],[Actual Generation (kWh)]]/Table2[[#This Row],[Correct kWh]])*100</f>
        <v>94.193397750632457</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3.2963723477070501</v>
      </c>
      <c r="E14" s="14" cm="1">
        <f t="array" ref="E14">IFERROR(SUM(INDEX('Simulated Production'!$B$2:$M$80,MATCH(TRIM($A14),INDEX(TRIM('Simulated Production'!$A$2:$A$80),0),0),0)),"Not found")</f>
        <v>81158</v>
      </c>
      <c r="F14" s="5">
        <f ca="1">(Table2[[#This Row],[As-Built kWh]]*Table2[[#This Row],[Expected Utilisation%]])*(1-0.007)^(Table2[[#This Row],[Age]])</f>
        <v>73352.793183233705</v>
      </c>
      <c r="G14" s="5">
        <v>0</v>
      </c>
      <c r="H14" s="14">
        <f t="shared" ca="1" si="0"/>
        <v>73352.793183233705</v>
      </c>
      <c r="I14" s="14" cm="1">
        <f t="array" ref="I14">SUMPRODUCT((TRIM(measured[Site Name])=TRIM($A14))*(measured[Date]&gt;=DATE(2025,7,1))*(measured[Date]&lt;=DATE(2026,6,30))*measured[Measured Value (kWh)])</f>
        <v>56043.3</v>
      </c>
      <c r="J14" s="14">
        <f t="shared" ca="1" si="1"/>
        <v>-17309.493183233702</v>
      </c>
      <c r="K14" s="14">
        <f ca="1">(Table2[[#This Row],[Actual Generation (kWh)]]/Table2[[#This Row],[Correct kWh]])*100</f>
        <v>76.402407553867846</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1.0485968514715949</v>
      </c>
      <c r="E16" s="14" cm="1">
        <f t="array" ref="E16">IFERROR(SUM(INDEX('Simulated Production'!$B$2:$M$80,MATCH(TRIM($A16),INDEX(TRIM('Simulated Production'!$A$2:$A$80),0),0),0)),"Not found")</f>
        <v>102211</v>
      </c>
      <c r="F16" s="5">
        <f ca="1">(Table2[[#This Row],[As-Built kWh]]*Table2[[#This Row],[Expected Utilisation%]])*(1-0.007)^(Table2[[#This Row],[Age]])</f>
        <v>91314.792867141005</v>
      </c>
      <c r="G16" s="5">
        <f ca="1">(6087*(1-0.007)^(Table2[[#This Row],[Age]]))*(1-0.007)^(Table2[[#This Row],[Age]])</f>
        <v>5997.9837512814674</v>
      </c>
      <c r="H16" s="14">
        <f t="shared" ca="1" si="0"/>
        <v>85316.809115859534</v>
      </c>
      <c r="I16" s="14" cm="1">
        <f t="array" ref="I16">SUMPRODUCT((TRIM(measured[Site Name])=TRIM($A16))*(measured[Date]&gt;=DATE(2025,7,1))*(measured[Date]&lt;=DATE(2026,6,30))*measured[Measured Value (kWh)])</f>
        <v>77775.48</v>
      </c>
      <c r="J16" s="14">
        <f t="shared" ca="1" si="1"/>
        <v>-7541.3291158595384</v>
      </c>
      <c r="K16" s="14">
        <f ca="1">(Table2[[#This Row],[Actual Generation (kWh)]]/Table2[[#This Row],[Correct kWh]])*100</f>
        <v>91.160793290313435</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1.0485968514715949</v>
      </c>
      <c r="E17" s="14" cm="1">
        <f t="array" ref="E17">IFERROR(SUM(INDEX('Simulated Production'!$B$2:$M$80,MATCH(TRIM($A17),INDEX(TRIM('Simulated Production'!$A$2:$A$80),0),0),0)),"Not found")</f>
        <v>105762.7</v>
      </c>
      <c r="F17" s="5">
        <f ca="1">(Table2[[#This Row],[As-Built kWh]]*Table2[[#This Row],[Expected Utilisation%]])*(1-0.007)^(Table2[[#This Row],[Age]])</f>
        <v>94487.863767789895</v>
      </c>
      <c r="G17" s="5">
        <f ca="1">(6247*(1-0.007)^(Table2[[#This Row],[Age]]))*(1-0.007)^(Table2[[#This Row],[Age]])</f>
        <v>6155.6439123140008</v>
      </c>
      <c r="H17" s="14">
        <f t="shared" ca="1" si="0"/>
        <v>88332.219855475894</v>
      </c>
      <c r="I17" s="14" cm="1">
        <f t="array" ref="I17">SUMPRODUCT((TRIM(measured[Site Name])=TRIM($A17))*(measured[Date]&gt;=DATE(2025,7,1))*(measured[Date]&lt;=DATE(2026,6,30))*measured[Measured Value (kWh)])</f>
        <v>78264.639999999999</v>
      </c>
      <c r="J17" s="14">
        <f t="shared" ca="1" si="1"/>
        <v>-10067.579855475895</v>
      </c>
      <c r="K17" s="14">
        <f ca="1">(Table2[[#This Row],[Actual Generation (kWh)]]/Table2[[#This Row],[Correct kWh]])*100</f>
        <v>88.602596117308167</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0.95277207392197127</v>
      </c>
      <c r="E18" s="14" cm="1">
        <f t="array" ref="E18">IFERROR(SUM(INDEX('Simulated Production'!$B$2:$M$80,MATCH(TRIM($A18),INDEX(TRIM('Simulated Production'!$A$2:$A$80),0),0),0)),"Not found")</f>
        <v>524973</v>
      </c>
      <c r="F18" s="5">
        <f ca="1">(Table2[[#This Row],[As-Built kWh]]*Table2[[#This Row],[Expected Utilisation%]])*(1-0.007)^(Table2[[#This Row],[Age]])</f>
        <v>469324.04627974826</v>
      </c>
      <c r="G18" s="5">
        <f ca="1">(31229+36815+40778+47657*(5/30))*(1-0.007)^(Table2[[#This Row],[Age]])</f>
        <v>115985.95238481137</v>
      </c>
      <c r="H18" s="14">
        <f t="shared" ca="1" si="0"/>
        <v>353338.0938949369</v>
      </c>
      <c r="I18" s="14" cm="1">
        <f t="array" ref="I18">SUMPRODUCT((TRIM(measured[Site Name])=TRIM($A18))*(measured[Date]&gt;=DATE(2025,7,1))*(measured[Date]&lt;=DATE(2026,6,30))*measured[Measured Value (kWh)])</f>
        <v>300497.95500000002</v>
      </c>
      <c r="J18" s="14">
        <f t="shared" ca="1" si="1"/>
        <v>-52840.138894936885</v>
      </c>
      <c r="K18" s="14">
        <f ca="1">(Table2[[#This Row],[Actual Generation (kWh)]]/Table2[[#This Row],[Correct kWh]])*100</f>
        <v>85.045445195997289</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0.95277207392197127</v>
      </c>
      <c r="E19" s="14" cm="1">
        <f t="array" ref="E19">IFERROR(SUM(INDEX('Simulated Production'!$B$2:$M$80,MATCH(TRIM($A19),INDEX(TRIM('Simulated Production'!$A$2:$A$80),0),0),0)),"Not found")</f>
        <v>138565</v>
      </c>
      <c r="F19" s="5">
        <f ca="1">(Table2[[#This Row],[As-Built kWh]]*Table2[[#This Row],[Expected Utilisation%]])*(1-0.007)^(Table2[[#This Row],[Age]])</f>
        <v>123876.63074625422</v>
      </c>
      <c r="G19" s="5">
        <f ca="1">(8307+9721+10756+12191*(5/30))*(1-0.007)^(Table2[[#This Row],[Age]])</f>
        <v>30610.27601944892</v>
      </c>
      <c r="H19" s="14">
        <f t="shared" ca="1" si="0"/>
        <v>93266.354726805293</v>
      </c>
      <c r="I19" s="14" cm="1">
        <f t="array" ref="I19">SUMPRODUCT((TRIM(measured[Site Name])=TRIM($A19))*(measured[Date]&gt;=DATE(2025,7,1))*(measured[Date]&lt;=DATE(2026,6,30))*measured[Measured Value (kWh)])</f>
        <v>81974.632769999997</v>
      </c>
      <c r="J19" s="14">
        <f t="shared" ca="1" si="1"/>
        <v>-11291.721956805297</v>
      </c>
      <c r="K19" s="14">
        <f ca="1">(Table2[[#This Row],[Actual Generation (kWh)]]/Table2[[#This Row],[Correct kWh]])*100</f>
        <v>87.89303818093795</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0.92539356605065026</v>
      </c>
      <c r="E20" s="14" cm="1">
        <f t="array" ref="E20">IFERROR(SUM(INDEX('Simulated Production'!$B$2:$M$80,MATCH(TRIM($A20),INDEX(TRIM('Simulated Production'!$A$2:$A$80),0),0),0)),"Not found")</f>
        <v>89076</v>
      </c>
      <c r="F20" s="5">
        <f ca="1">(Table2[[#This Row],[As-Built kWh]]*Table2[[#This Row],[Expected Utilisation%]])*(1-0.007)^(Table2[[#This Row],[Age]])</f>
        <v>79648.952803959139</v>
      </c>
      <c r="G20" s="5">
        <f ca="1">(5785+6585+7019+7479+7553+7553*(3/30))*(1-0.007)^(Table2[[#This Row],[Age]])</f>
        <v>34948.376898103343</v>
      </c>
      <c r="H20" s="14">
        <f t="shared" ca="1" si="0"/>
        <v>44700.575905855796</v>
      </c>
      <c r="I20" s="14" cm="1">
        <f t="array" ref="I20">SUMPRODUCT((TRIM(measured[Site Name])=TRIM($A20))*(measured[Date]&gt;=DATE(2025,7,1))*(measured[Date]&lt;=DATE(2026,6,30))*measured[Measured Value (kWh)])</f>
        <v>33061.699999999997</v>
      </c>
      <c r="J20" s="14">
        <f t="shared" ca="1" si="1"/>
        <v>-11638.875905855799</v>
      </c>
      <c r="K20" s="14">
        <f ca="1">(Table2[[#This Row],[Actual Generation (kWh)]]/Table2[[#This Row],[Correct kWh]])*100</f>
        <v>73.962581756511327</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0.92539356605065026</v>
      </c>
      <c r="E21" s="14" cm="1">
        <f t="array" ref="E21">IFERROR(SUM(INDEX('Simulated Production'!$B$2:$M$80,MATCH(TRIM($A21),INDEX(TRIM('Simulated Production'!$A$2:$A$80),0),0),0)),"Not found")</f>
        <v>89076</v>
      </c>
      <c r="F21" s="5">
        <f ca="1">(Table2[[#This Row],[As-Built kWh]]*Table2[[#This Row],[Expected Utilisation%]])*(1-0.007)^(Table2[[#This Row],[Age]])</f>
        <v>79648.952803959139</v>
      </c>
      <c r="G21" s="5">
        <f ca="1">(5785+6585+7019+7479+7553+7553*(3/30))*(1-0.007)^(Table2[[#This Row],[Age]])</f>
        <v>34948.376898103343</v>
      </c>
      <c r="H21" s="14">
        <f t="shared" ca="1" si="0"/>
        <v>44700.575905855796</v>
      </c>
      <c r="I21" s="14" cm="1">
        <f t="array" ref="I21">SUMPRODUCT((TRIM(measured[Site Name])=TRIM($A21))*(measured[Date]&gt;=DATE(2025,7,1))*(measured[Date]&lt;=DATE(2026,6,30))*measured[Measured Value (kWh)])</f>
        <v>47460.299999999996</v>
      </c>
      <c r="J21" s="14">
        <f t="shared" ca="1" si="1"/>
        <v>2759.7240941441996</v>
      </c>
      <c r="K21" s="14">
        <f ca="1">(Table2[[#This Row],[Actual Generation (kWh)]]/Table2[[#This Row],[Correct kWh]])*100</f>
        <v>106.17379986324221</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0.87885010266940455</v>
      </c>
      <c r="E22" s="14" cm="1">
        <f t="array" ref="E22">IFERROR(SUM(INDEX('Simulated Production'!$B$2:$M$80,MATCH(TRIM($A22),INDEX(TRIM('Simulated Production'!$A$2:$A$80),0),0),0)),"Not found")</f>
        <v>31637</v>
      </c>
      <c r="F22" s="5">
        <f ca="1">(Table2[[#This Row],[As-Built kWh]]*Table2[[#This Row],[Expected Utilisation%]])*(1-0.007)^(Table2[[#This Row],[Age]])</f>
        <v>28298.05919172931</v>
      </c>
      <c r="G22" s="5">
        <f ca="1">(2350+2520+2436+2426+2356+2437)*(1-0.007)^(Table2[[#This Row],[Age]])</f>
        <v>14435.604926716194</v>
      </c>
      <c r="H22" s="14">
        <f t="shared" ca="1" si="0"/>
        <v>13862.454265013115</v>
      </c>
      <c r="I22" s="14" cm="1">
        <f t="array" ref="I22">SUMPRODUCT((TRIM(measured[Site Name])=TRIM($A22))*(measured[Date]&gt;=DATE(2025,7,1))*(measured[Date]&lt;=DATE(2026,6,30))*measured[Measured Value (kWh)])</f>
        <v>17882.440000000002</v>
      </c>
      <c r="J22" s="14">
        <f t="shared" ca="1" si="1"/>
        <v>4019.9857349868871</v>
      </c>
      <c r="K22" s="14">
        <f ca="1">(Table2[[#This Row],[Actual Generation (kWh)]]/Table2[[#This Row],[Correct kWh]])*100</f>
        <v>128.99909105657261</v>
      </c>
      <c r="L22" t="s">
        <v>880</v>
      </c>
    </row>
    <row r="23" spans="1:12" s="21" customFormat="1" x14ac:dyDescent="0.3">
      <c r="A23" s="21" t="s">
        <v>271</v>
      </c>
      <c r="B23" s="21" t="s">
        <v>875</v>
      </c>
      <c r="C23" s="22" cm="1">
        <f t="array" ref="C23">IFERROR(INDEX('Expected Production'!$B$2:$B$80,MATCH(TRIM($A23),INDEX(TRIM('Expected Production'!$A$2:$A$80),0),0)),"Not found")</f>
        <v>0.9</v>
      </c>
      <c r="D23" s="23" cm="1">
        <f t="array" aca="1" ref="D23" ca="1">_xlfn.IFNA(_xlfn.XLOOKUP(TRIM(A23),TRIM(site_tech_info!$A$2:$A$79),site_tech_info!$W$2:$W$79),"")</f>
        <v>0.30116358658453113</v>
      </c>
      <c r="E23" s="24" cm="1">
        <f t="array" ref="E23">IFERROR(SUM(INDEX('Simulated Production'!$B$2:$M$80,MATCH(TRIM($A23),INDEX(TRIM('Simulated Production'!$A$2:$A$80),0),0),0)),"Not found")</f>
        <v>190644.6</v>
      </c>
      <c r="F23" s="25">
        <f ca="1">(Table2[[#This Row],[As-Built kWh]]*Table2[[#This Row],[Expected Utilisation%]])*(1-0.007)^(Table2[[#This Row],[Age]])</f>
        <v>171217.53591319447</v>
      </c>
      <c r="G23" s="25">
        <v>171487.7679849522</v>
      </c>
      <c r="H23" s="24">
        <f t="shared" ca="1" si="0"/>
        <v>-270.23207175772404</v>
      </c>
      <c r="I23" s="24" cm="1">
        <f t="array" ref="I23">SUMPRODUCT((TRIM(measured[Site Name])=TRIM($A23))*(measured[Date]&gt;=DATE(2025,7,1))*(measured[Date]&lt;=DATE(2026,6,30))*measured[Measured Value (kWh)])</f>
        <v>10169</v>
      </c>
      <c r="J23" s="24">
        <f t="shared" ca="1" si="1"/>
        <v>10439.232071757724</v>
      </c>
      <c r="K23" s="24">
        <f ca="1">(Table2[[#This Row],[Actual Generation (kWh)]]/Table2[[#This Row],[Correct kWh]])*100</f>
        <v>-3763.0618504516351</v>
      </c>
      <c r="L23" s="21" t="s">
        <v>880</v>
      </c>
    </row>
    <row r="24" spans="1:12" s="21" customFormat="1" x14ac:dyDescent="0.3">
      <c r="A24" s="21" t="s">
        <v>250</v>
      </c>
      <c r="B24" s="21" t="s">
        <v>875</v>
      </c>
      <c r="C24" s="22" cm="1">
        <f t="array" ref="C24">IFERROR(INDEX('Expected Production'!$B$2:$B$80,MATCH(TRIM($A24),INDEX(TRIM('Expected Production'!$A$2:$A$80),0),0)),"Not found")</f>
        <v>0.9</v>
      </c>
      <c r="D24" s="23" cm="1">
        <f t="array" aca="1" ref="D24" ca="1">_xlfn.IFNA(_xlfn.XLOOKUP(TRIM(A24),TRIM(site_tech_info!$A$2:$A$79),site_tech_info!$W$2:$W$79),"")</f>
        <v>0.3613963039014374</v>
      </c>
      <c r="E24" s="24" cm="1">
        <f t="array" ref="E24">IFERROR(SUM(INDEX('Simulated Production'!$B$2:$M$80,MATCH(TRIM($A24),INDEX(TRIM('Simulated Production'!$A$2:$A$80),0),0),0)),"Not found")</f>
        <v>380893</v>
      </c>
      <c r="F24" s="25">
        <f ca="1">(Table2[[#This Row],[As-Built kWh]]*Table2[[#This Row],[Expected Utilisation%]])*(1-0.007)^(Table2[[#This Row],[Age]])</f>
        <v>341934.53829804121</v>
      </c>
      <c r="G24" s="25">
        <f ca="1">(28051+31649+28250+28466+28992+28904+28877+25885+27341+27824*(28/30))*(1-0.007)^(Table2[[#This Row],[Age]])</f>
        <v>281668.09593475785</v>
      </c>
      <c r="H24" s="24">
        <f t="shared" ca="1" si="0"/>
        <v>60266.442363283364</v>
      </c>
      <c r="I24" s="24" cm="1">
        <f t="array" ref="I24">SUMPRODUCT((TRIM(measured[Site Name])=TRIM($A24))*(measured[Date]&gt;=DATE(2025,7,1))*(measured[Date]&lt;=DATE(2026,6,30))*measured[Measured Value (kWh)])</f>
        <v>53212.2</v>
      </c>
      <c r="J24" s="24">
        <f ca="1">I24-H24</f>
        <v>-7054.242363283367</v>
      </c>
      <c r="K24" s="24">
        <f ca="1">(Table2[[#This Row],[Actual Generation (kWh)]]/Table2[[#This Row],[Correct kWh]])*100</f>
        <v>88.294908266260819</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opLeftCell="A1293" zoomScaleNormal="100" workbookViewId="0">
      <selection activeCell="C1761" sqref="C1761"/>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3">
        <v>25295</v>
      </c>
    </row>
    <row r="428" spans="1:3" ht="15" hidden="1" customHeight="1" x14ac:dyDescent="0.3">
      <c r="A428" t="s">
        <v>77</v>
      </c>
      <c r="B428" s="2">
        <v>46204</v>
      </c>
      <c r="C428">
        <v>16600</v>
      </c>
    </row>
    <row r="429" spans="1:3" ht="15"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4">
        <v>2477</v>
      </c>
    </row>
    <row r="932" spans="1:3" ht="15" hidden="1" customHeight="1" x14ac:dyDescent="0.3">
      <c r="A932" t="s">
        <v>109</v>
      </c>
      <c r="B932" s="2">
        <v>46204</v>
      </c>
      <c r="C932">
        <v>2598</v>
      </c>
    </row>
    <row r="933" spans="1:3" ht="15"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2" ht="15"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3">
        <v>3164</v>
      </c>
    </row>
    <row r="1652" spans="1:3" ht="15" hidden="1" customHeight="1" x14ac:dyDescent="0.3">
      <c r="A1652" t="s">
        <v>152</v>
      </c>
      <c r="B1652" s="2">
        <v>46204</v>
      </c>
      <c r="C1652">
        <v>6388</v>
      </c>
    </row>
    <row r="1653" spans="1:3" ht="15"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3">
        <v>5956</v>
      </c>
    </row>
    <row r="1688" spans="1:3" ht="15" hidden="1" customHeight="1" x14ac:dyDescent="0.3">
      <c r="A1688" t="s">
        <v>155</v>
      </c>
      <c r="B1688" s="2">
        <v>46204</v>
      </c>
      <c r="C1688">
        <v>0</v>
      </c>
    </row>
    <row r="1689" spans="1:3" ht="15"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x14ac:dyDescent="0.3">
      <c r="A2709" t="s">
        <v>251</v>
      </c>
      <c r="B2709" s="2">
        <v>46235</v>
      </c>
      <c r="C2709">
        <v>19960.113000000001</v>
      </c>
    </row>
    <row r="2710" spans="1:3" x14ac:dyDescent="0.3">
      <c r="A2710" t="s">
        <v>244</v>
      </c>
      <c r="B2710" s="2">
        <v>46235</v>
      </c>
      <c r="C2710">
        <v>9230</v>
      </c>
    </row>
    <row r="2711" spans="1:3" x14ac:dyDescent="0.3">
      <c r="A2711" t="s">
        <v>1013</v>
      </c>
      <c r="B2711" s="2">
        <v>46235</v>
      </c>
      <c r="C2711">
        <v>13767.458000000001</v>
      </c>
    </row>
    <row r="2712" spans="1:3" x14ac:dyDescent="0.3">
      <c r="A2712" t="s">
        <v>1004</v>
      </c>
      <c r="B2712" s="2">
        <v>46235</v>
      </c>
      <c r="C2712">
        <v>4246.9290000000001</v>
      </c>
    </row>
    <row r="2713" spans="1:3" x14ac:dyDescent="0.3">
      <c r="A2713" t="s">
        <v>1002</v>
      </c>
      <c r="B2713" s="2">
        <v>46235</v>
      </c>
      <c r="C2713">
        <v>15700</v>
      </c>
    </row>
    <row r="2714" spans="1:3"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80"/>
  <sheetViews>
    <sheetView zoomScaleNormal="100" workbookViewId="0">
      <pane xSplit="1" ySplit="1" topLeftCell="B50" activePane="bottomRight" state="frozen"/>
      <selection pane="topRight" activeCell="B1" sqref="B1"/>
      <selection pane="bottomLeft" activeCell="A2" sqref="A2"/>
      <selection pane="bottomRight" activeCell="J65" sqref="J65"/>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4"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4"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row>
    <row r="3" spans="1:14"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4"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4"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4"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4"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4"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4"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4"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4"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4"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4"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4"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4"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4"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7124.4000000000005</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22417.200000000001</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7340.13</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topLeftCell="A1005" zoomScaleNormal="100" workbookViewId="0">
      <selection activeCell="E1905" sqref="E1905"/>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customHeight="1" x14ac:dyDescent="0.3">
      <c r="A1761" t="s">
        <v>213</v>
      </c>
      <c r="B1761" s="2">
        <v>46235</v>
      </c>
      <c r="C1761">
        <v>7124</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customHeight="1" x14ac:dyDescent="0.3">
      <c r="A1797" t="s">
        <v>216</v>
      </c>
      <c r="B1797" s="2">
        <v>46235</v>
      </c>
      <c r="C1797">
        <v>22417</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customHeight="1" x14ac:dyDescent="0.3">
      <c r="A1833" t="s">
        <v>218</v>
      </c>
      <c r="B1833" s="2">
        <v>46235</v>
      </c>
      <c r="C1833">
        <v>7340</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hidden="1" customHeight="1" x14ac:dyDescent="0.3">
      <c r="A2084" t="s">
        <v>265</v>
      </c>
      <c r="B2084" s="2">
        <v>46204</v>
      </c>
      <c r="C2084">
        <v>18821.97</v>
      </c>
    </row>
    <row r="2085" spans="1:3" ht="15"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hidden="1" customHeight="1" x14ac:dyDescent="0.3">
      <c r="A2660" t="s">
        <v>202</v>
      </c>
      <c r="B2660" s="2">
        <v>46204</v>
      </c>
      <c r="C2660">
        <v>18900</v>
      </c>
    </row>
    <row r="2661" spans="1:3" ht="15"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hidden="1" x14ac:dyDescent="0.3">
      <c r="A2732" t="s">
        <v>271</v>
      </c>
      <c r="B2732" s="2">
        <v>46204</v>
      </c>
      <c r="C2732" cm="1">
        <f t="array" ref="C2732">IFERROR(INDEX('Expected Production'!$C$2:$N$200,MATCH(A2732,'Expected Production'!$A$2:$A$200,0),MONTH(B2732)),"")</f>
        <v>10986.300000000001</v>
      </c>
    </row>
    <row r="2733" spans="1:3"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hidden="1" x14ac:dyDescent="0.3">
      <c r="A2768" t="s">
        <v>251</v>
      </c>
      <c r="B2768" s="2">
        <v>46204</v>
      </c>
      <c r="C2768" cm="1">
        <f t="array" ref="C2768">IFERROR(INDEX('Expected Production'!$C$2:$N$200,MATCH(A2768,'Expected Production'!$A$2:$A$200,0),MONTH(B2768)),"")</f>
        <v>18261</v>
      </c>
    </row>
    <row r="2769" spans="1:3"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hidden="1" x14ac:dyDescent="0.3">
      <c r="A2804" t="s">
        <v>250</v>
      </c>
      <c r="B2804" s="2">
        <v>46204</v>
      </c>
      <c r="C2804" cm="1">
        <f t="array" ref="C2804">IFERROR(INDEX('Expected Production'!$C$2:$N$200,MATCH(A2804,'Expected Production'!$A$2:$A$200,0),MONTH(B2804)),"")</f>
        <v>28051.200000000001</v>
      </c>
    </row>
    <row r="2805" spans="1:3"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hidden="1"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hidden="1" x14ac:dyDescent="0.3">
      <c r="A2812" t="s">
        <v>1004</v>
      </c>
      <c r="B2812" s="2">
        <v>46266</v>
      </c>
      <c r="C2812" cm="1">
        <f t="array" ref="C2812">IFERROR(INDEX('Expected Production'!$C$2:$N$200,MATCH(A2812,'Expected Production'!$A$2:$A$200,0),MONTH(B2812)),"")</f>
        <v>5567.4000000000005</v>
      </c>
    </row>
    <row r="2813" spans="1:3" hidden="1" x14ac:dyDescent="0.3">
      <c r="A2813" t="s">
        <v>1004</v>
      </c>
      <c r="B2813" s="2">
        <v>46296</v>
      </c>
      <c r="C2813" cm="1">
        <f t="array" ref="C2813">IFERROR(INDEX('Expected Production'!$C$2:$N$200,MATCH(A2813,'Expected Production'!$A$2:$A$200,0),MONTH(B2813)),"")</f>
        <v>6030.9000000000005</v>
      </c>
    </row>
    <row r="2814" spans="1:3" hidden="1" x14ac:dyDescent="0.3">
      <c r="A2814" t="s">
        <v>1004</v>
      </c>
      <c r="B2814" s="2">
        <v>46327</v>
      </c>
      <c r="C2814" cm="1">
        <f t="array" ref="C2814">IFERROR(INDEX('Expected Production'!$C$2:$N$200,MATCH(A2814,'Expected Production'!$A$2:$A$200,0),MONTH(B2814)),"")</f>
        <v>5897.7</v>
      </c>
    </row>
    <row r="2815" spans="1:3" hidden="1"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tabSelected="1" zoomScaleNormal="100" workbookViewId="0">
      <pane ySplit="23" topLeftCell="A118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opLeftCell="A177" zoomScaleNormal="100" workbookViewId="0">
      <selection activeCell="A537" sqref="A537:XFD537"/>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2026-09-07T10:35:13Z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